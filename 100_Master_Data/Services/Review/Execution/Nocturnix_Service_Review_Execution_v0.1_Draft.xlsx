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0d716e900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26873216134443e"/>
    <x:sheet xmlns:r="http://schemas.openxmlformats.org/officeDocument/2006/relationships" name="Review Sequence" sheetId="2" r:id="R2bcc492247e44167"/>
    <x:sheet xmlns:r="http://schemas.openxmlformats.org/officeDocument/2006/relationships" name="Duplicate Review Queue" sheetId="3" r:id="Re7e607d7f68e454b"/>
    <x:sheet xmlns:r="http://schemas.openxmlformats.org/officeDocument/2006/relationships" name="Service Identity Queue" sheetId="4" r:id="R229ef11ea0f44aa2"/>
    <x:sheet xmlns:r="http://schemas.openxmlformats.org/officeDocument/2006/relationships" name="Manufacturer Scope Queue" sheetId="5" r:id="Ra62facf64f1b4b31"/>
    <x:sheet xmlns:r="http://schemas.openxmlformats.org/officeDocument/2006/relationships" name="Device Applicability Queue" sheetId="6" r:id="Rc0bc6d583db44a60"/>
    <x:sheet xmlns:r="http://schemas.openxmlformats.org/officeDocument/2006/relationships" name="Part Requirement Queue" sheetId="7" r:id="Rfe9fecb547694a5b"/>
    <x:sheet xmlns:r="http://schemas.openxmlformats.org/officeDocument/2006/relationships" name="Labor Reference Queue" sheetId="8" r:id="R894be77366df49e9"/>
    <x:sheet xmlns:r="http://schemas.openxmlformats.org/officeDocument/2006/relationships" name="Approval Preparation" sheetId="9" r:id="R955d261365664d58"/>
    <x:sheet xmlns:r="http://schemas.openxmlformats.org/officeDocument/2006/relationships" name="Blocked Items" sheetId="10" r:id="Rad7dde277bb84e95"/>
    <x:sheet xmlns:r="http://schemas.openxmlformats.org/officeDocument/2006/relationships" name="Escalation Queue" sheetId="11" r:id="R35e823d3d9cb435c"/>
    <x:sheet xmlns:r="http://schemas.openxmlformats.org/officeDocument/2006/relationships" name="Reviewer Assignment" sheetId="12" r:id="Rddd0f40cd7e94c4a"/>
    <x:sheet xmlns:r="http://schemas.openxmlformats.org/officeDocument/2006/relationships" name="Progress Dashboard" sheetId="13" r:id="R933924ad615949ca"/>
    <x:sheet xmlns:r="http://schemas.openxmlformats.org/officeDocument/2006/relationships" name="Validation Summary" sheetId="14" r:id="Rfd849649ccb84eb1"/>
    <x:sheet xmlns:r="http://schemas.openxmlformats.org/officeDocument/2006/relationships" name="Revision History" sheetId="15" r:id="R35afb275f05948a3"/>
    <x:sheet xmlns:r="http://schemas.openxmlformats.org/officeDocument/2006/relationships" name="Import Metadata" sheetId="16" r:id="Raa66be8691a9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466A8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f823db3a54c3b" /><Relationship Type="http://schemas.openxmlformats.org/officeDocument/2006/relationships/theme" Target="/xl/theme/theme1.xml" Id="Rb537859f0cdd4205" /><Relationship Type="http://schemas.openxmlformats.org/officeDocument/2006/relationships/sharedStrings" Target="/xl/sharedStrings.xml" Id="R22d8dd283d2f47fa" /><Relationship Type="http://schemas.openxmlformats.org/officeDocument/2006/relationships/worksheet" Target="/xl/worksheets/sheet1.xml" Id="R926873216134443e" /><Relationship Type="http://schemas.openxmlformats.org/officeDocument/2006/relationships/worksheet" Target="/xl/worksheets/sheet2.xml" Id="R2bcc492247e44167" /><Relationship Type="http://schemas.openxmlformats.org/officeDocument/2006/relationships/worksheet" Target="/xl/worksheets/sheet3.xml" Id="Re7e607d7f68e454b" /><Relationship Type="http://schemas.openxmlformats.org/officeDocument/2006/relationships/worksheet" Target="/xl/worksheets/sheet4.xml" Id="R229ef11ea0f44aa2" /><Relationship Type="http://schemas.openxmlformats.org/officeDocument/2006/relationships/worksheet" Target="/xl/worksheets/sheet5.xml" Id="Ra62facf64f1b4b31" /><Relationship Type="http://schemas.openxmlformats.org/officeDocument/2006/relationships/worksheet" Target="/xl/worksheets/sheet6.xml" Id="Rc0bc6d583db44a60" /><Relationship Type="http://schemas.openxmlformats.org/officeDocument/2006/relationships/worksheet" Target="/xl/worksheets/sheet7.xml" Id="Rfe9fecb547694a5b" /><Relationship Type="http://schemas.openxmlformats.org/officeDocument/2006/relationships/worksheet" Target="/xl/worksheets/sheet8.xml" Id="R894be77366df49e9" /><Relationship Type="http://schemas.openxmlformats.org/officeDocument/2006/relationships/worksheet" Target="/xl/worksheets/sheet9.xml" Id="R955d261365664d58" /><Relationship Type="http://schemas.openxmlformats.org/officeDocument/2006/relationships/worksheet" Target="/xl/worksheets/sheet10.xml" Id="Rad7dde277bb84e95" /><Relationship Type="http://schemas.openxmlformats.org/officeDocument/2006/relationships/worksheet" Target="/xl/worksheets/sheet11.xml" Id="R35e823d3d9cb435c" /><Relationship Type="http://schemas.openxmlformats.org/officeDocument/2006/relationships/worksheet" Target="/xl/worksheets/sheet12.xml" Id="Rddd0f40cd7e94c4a" /><Relationship Type="http://schemas.openxmlformats.org/officeDocument/2006/relationships/worksheet" Target="/xl/worksheets/sheet13.xml" Id="R933924ad615949ca" /><Relationship Type="http://schemas.openxmlformats.org/officeDocument/2006/relationships/worksheet" Target="/xl/worksheets/sheet14.xml" Id="Rfd849649ccb84eb1" /><Relationship Type="http://schemas.openxmlformats.org/officeDocument/2006/relationships/worksheet" Target="/xl/worksheets/sheet15.xml" Id="R35afb275f05948a3" /><Relationship Type="http://schemas.openxmlformats.org/officeDocument/2006/relationships/worksheet" Target="/xl/worksheets/sheet16.xml" Id="Raa66be8691a942f6" /></Relationships>
</file>

<file path=xl/tables/table1.xml><?xml version="1.0" encoding="utf-8"?>
<x:table xmlns:x="http://schemas.openxmlformats.org/spreadsheetml/2006/main" id="1" name="InstructionsTable" displayName="InstructionsTable" ref="A1:B6" headerRowCount="1" totalsRowCount="0" totalsRowShown="0">
  <x:tableColumns count="2">
    <x:tableColumn id="1" name="Section"/>
    <x:tableColumn id="2" name="Instru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SequenceTable" displayName="ReviewSequenceTable" ref="A1:Q1586" headerRowCount="1" totalsRowCount="0" totalsRowShown="0">
  <x:tableColumns count="17">
    <x:tableColumn id="1" name="Sequence ID"/>
    <x:tableColumn id="2" name="Work Item Type"/>
    <x:tableColumn id="3" name="Work Item ID"/>
    <x:tableColumn id="4" name="Service ID"/>
    <x:tableColumn id="5" name="Duplicate Group ID"/>
    <x:tableColumn id="6" name="Review Stage"/>
    <x:tableColumn id="7" name="Stage Order"/>
    <x:tableColumn id="8" name="Dependency Work Item ID"/>
    <x:tableColumn id="9" name="Dependency Status"/>
    <x:tableColumn id="10" name="Current Status"/>
    <x:tableColumn id="11" name="Priority"/>
    <x:tableColumn id="12" name="Assigned Reviewer"/>
    <x:tableColumn id="13" name="Target Review Date"/>
    <x:tableColumn id="14" name="Review Completed Date"/>
    <x:tableColumn id="15" name="Blocking Reason"/>
    <x:tableColumn id="16" name="Escalation Required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ReviewQueueTable" displayName="DuplicateReviewQueueTable" ref="A1:R16" headerRowCount="1" totalsRowCount="0" totalsRowShown="0">
  <x:tableColumns count="18">
    <x:tableColumn id="1" name="Execution Item ID"/>
    <x:tableColumn id="2" name="Duplicate Group ID"/>
    <x:tableColumn id="3" name="Service IDs"/>
    <x:tableColumn id="4" name="Service Names"/>
    <x:tableColumn id="5" name="Duplicate Reason"/>
    <x:tableColumn id="6" name="Source Evidence Reference"/>
    <x:tableColumn id="7" name="Proposed Disposition"/>
    <x:tableColumn id="8" name="Proposed Surviving Service ID"/>
    <x:tableColumn id="9" name="Proposed Retired Service IDs"/>
    <x:tableColumn id="10" name="Reviewer Decision"/>
    <x:tableColumn id="11" name="Reviewer Name"/>
    <x:tableColumn id="12" name="Review Date"/>
    <x:tableColumn id="13" name="Second-Level Approval Status"/>
    <x:tableColumn id="14" name="Approver Name"/>
    <x:tableColumn id="15" name="Approval Date"/>
    <x:tableColumn id="16" name="Blocking Issue"/>
    <x:tableColumn id="17" name="Escalation Required"/>
    <x:tableColumn id="1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viceIdentityQueueTable" displayName="ServiceIdentityQueueTable" ref="A1:T315" headerRowCount="1" totalsRowCount="0" totalsRowShown="0">
  <x:tableColumns count="20">
    <x:tableColumn id="1" name="Execution Item ID"/>
    <x:tableColumn id="2" name="Phase 4B Review Item ID"/>
    <x:tableColumn id="3" name="Service ID"/>
    <x:tableColumn id="4" name="Current Canonical Service Name"/>
    <x:tableColumn id="5" name="Proposed Canonical Service Name"/>
    <x:tableColumn id="6" name="Proposed Category"/>
    <x:tableColumn id="7" name="Proposed Type"/>
    <x:tableColumn id="8" name="Proposed Family"/>
    <x:tableColumn id="9" name="Proposed Variant"/>
    <x:tableColumn id="10" name="Duplicate Dependency"/>
    <x:tableColumn id="11" name="Duplicate Dependency Status"/>
    <x:tableColumn id="12" name="Reviewer Decision"/>
    <x:tableColumn id="13" name="Decision Basis"/>
    <x:tableColumn id="14" name="Evidence Reference"/>
    <x:tableColumn id="15" name="Reviewer Name"/>
    <x:tableColumn id="16" name="Review Date"/>
    <x:tableColumn id="17" name="Second-Level Approval Status"/>
    <x:tableColumn id="18" name="Blocking Issue"/>
    <x:tableColumn id="19" name="Escalation Required"/>
    <x:tableColumn id="2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nufacturerScopeQueueTable" displayName="ManufacturerScopeQueueTable" ref="A1:R315" headerRowCount="1" totalsRowCount="0" totalsRowShown="0">
  <x:tableColumns count="18">
    <x:tableColumn id="1" name="Execution Item ID"/>
    <x:tableColumn id="2" name="Service ID"/>
    <x:tableColumn id="3" name="Service Identity Dependency"/>
    <x:tableColumn id="4" name="Dependency Status"/>
    <x:tableColumn id="5" name="Observed Manufacturer Value"/>
    <x:tableColumn id="6" name="Proposed Manufacturer Scope Type"/>
    <x:tableColumn id="7" name="Proposed Manufacturer ID"/>
    <x:tableColumn id="8" name="Proposed Manufacturer Name"/>
    <x:tableColumn id="9" name="Generic Across Manufacturers"/>
    <x:tableColumn id="10" name="Manufacturer-Specific"/>
    <x:tableColumn id="11" name="Reviewer Decision"/>
    <x:tableColumn id="12" name="Evidence Reference"/>
    <x:tableColumn id="13" name="Reviewer Name"/>
    <x:tableColumn id="14" name="Review Date"/>
    <x:tableColumn id="15" name="Second-Level Approval Status"/>
    <x:tableColumn id="16" name="Blocking Issue"/>
    <x:tableColumn id="17" name="Escalation Required"/>
    <x:tableColumn id="1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viceApplicabilityQueueTable" displayName="DeviceApplicabilityQueueTable" ref="A1:R315" headerRowCount="1" totalsRowCount="0" totalsRowShown="0">
  <x:tableColumns count="18">
    <x:tableColumn id="1" name="Execution Item ID"/>
    <x:tableColumn id="2" name="Service ID"/>
    <x:tableColumn id="3" name="Service Identity Dependency"/>
    <x:tableColumn id="4" name="Identity Dependency Status"/>
    <x:tableColumn id="5" name="Manufacturer Scope Dependency"/>
    <x:tableColumn id="6" name="Manufacturer Dependency Status"/>
    <x:tableColumn id="7" name="Observed Device Value"/>
    <x:tableColumn id="8" name="Proposed Device ID"/>
    <x:tableColumn id="9" name="Proposed Device Name"/>
    <x:tableColumn id="10" name="Applicability Type"/>
    <x:tableColumn id="11" name="Reviewer Decision"/>
    <x:tableColumn id="12" name="Evidence Reference"/>
    <x:tableColumn id="13" name="Reviewer Name"/>
    <x:tableColumn id="14" name="Review Date"/>
    <x:tableColumn id="15" name="Second-Level Approval Status"/>
    <x:tableColumn id="16" name="Blocking Issue"/>
    <x:tableColumn id="17" name="Escalation Required"/>
    <x:tableColumn id="1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rtRequirementQueueTable" displayName="PartRequirementQueueTable" ref="A1:Q315" headerRowCount="1" totalsRowCount="0" totalsRowShown="0">
  <x:tableColumns count="17">
    <x:tableColumn id="1" name="Execution Item ID"/>
    <x:tableColumn id="2" name="Service ID"/>
    <x:tableColumn id="3" name="Service Identity Dependency"/>
    <x:tableColumn id="4" name="Dependency Status"/>
    <x:tableColumn id="5" name="Observed Part Value"/>
    <x:tableColumn id="6" name="Proposed Part ID"/>
    <x:tableColumn id="7" name="Proposed Part Name"/>
    <x:tableColumn id="8" name="Requirement Type"/>
    <x:tableColumn id="9" name="Quantity"/>
    <x:tableColumn id="10" name="Reviewer Decision"/>
    <x:tableColumn id="11" name="Evidence Reference"/>
    <x:tableColumn id="12" name="Reviewer Name"/>
    <x:tableColumn id="13" name="Review Date"/>
    <x:tableColumn id="14" name="Second-Level Approval Status"/>
    <x:tableColumn id="15" name="Blocking Issue"/>
    <x:tableColumn id="16" name="Escalation Require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aborReferenceQueueTable" displayName="LaborReferenceQueueTable" ref="A1:S315" headerRowCount="1" totalsRowCount="0" totalsRowShown="0">
  <x:tableColumns count="19">
    <x:tableColumn id="1" name="Execution Item ID"/>
    <x:tableColumn id="2" name="Service ID"/>
    <x:tableColumn id="3" name="Service Identity Dependency"/>
    <x:tableColumn id="4" name="Dependency Status"/>
    <x:tableColumn id="5" name="Observed Labor ID"/>
    <x:tableColumn id="6" name="Observed Labor Name"/>
    <x:tableColumn id="7" name="Observed Duration"/>
    <x:tableColumn id="8" name="Observed Skill Level"/>
    <x:tableColumn id="9" name="Proposed Labor Reference"/>
    <x:tableColumn id="10" name="Proposed Duration"/>
    <x:tableColumn id="11" name="Proposed Skill Level"/>
    <x:tableColumn id="12" name="Reviewer Decision"/>
    <x:tableColumn id="13" name="Evidence Reference"/>
    <x:tableColumn id="14" name="Reviewer Name"/>
    <x:tableColumn id="15" name="Review Date"/>
    <x:tableColumn id="16" name="Second-Level Approval Status"/>
    <x:tableColumn id="17" name="Blocking Issue"/>
    <x:tableColumn id="18" name="Escalation Required"/>
    <x:tableColumn id="19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pprovalPreparationTable" displayName="ApprovalPreparationTable" ref="A1:Q315" headerRowCount="1" totalsRowCount="0" totalsRowShown="0">
  <x:tableColumns count="17">
    <x:tableColumn id="1" name="Approval Preparation ID"/>
    <x:tableColumn id="2" name="Source Queue"/>
    <x:tableColumn id="3" name="Execution Item ID"/>
    <x:tableColumn id="4" name="Entity Type"/>
    <x:tableColumn id="5" name="Entity ID"/>
    <x:tableColumn id="6" name="Proposed Decision"/>
    <x:tableColumn id="7" name="Proposed Value"/>
    <x:tableColumn id="8" name="Evidence Reference"/>
    <x:tableColumn id="9" name="Reviewer"/>
    <x:tableColumn id="10" name="Review Date"/>
    <x:tableColumn id="11" name="Dependency Check"/>
    <x:tableColumn id="12" name="Validation Check"/>
    <x:tableColumn id="13" name="Second-Level Approval Status"/>
    <x:tableColumn id="14" name="Approver"/>
    <x:tableColumn id="15" name="Approval Date"/>
    <x:tableColumn id="16" name="Import Eligibility"/>
    <x:tableColumn id="17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lockedItemsTable" displayName="BlockedItemsTable" ref="A1:I1586" headerRowCount="1" totalsRowCount="0" totalsRowShown="0">
  <x:tableColumns count="9">
    <x:tableColumn id="1" name="Blocked Item ID"/>
    <x:tableColumn id="2" name="Source Queue"/>
    <x:tableColumn id="3" name="Execution Item ID"/>
    <x:tableColumn id="4" name="Service ID"/>
    <x:tableColumn id="5" name="Duplicate Group ID"/>
    <x:tableColumn id="6" name="Dependency Status"/>
    <x:tableColumn id="7" name="Current Status"/>
    <x:tableColumn id="8" name="Blocking Reason"/>
    <x:tableColumn id="9" name="Escalation Requir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scalationQueueTable" displayName="EscalationQueueTable" ref="A1:M330" headerRowCount="1" totalsRowCount="0" totalsRowShown="0">
  <x:tableColumns count="13">
    <x:tableColumn id="1" name="Escalation ID"/>
    <x:tableColumn id="2" name="Source Execution Queue"/>
    <x:tableColumn id="3" name="Execution Item ID"/>
    <x:tableColumn id="4" name="Service ID"/>
    <x:tableColumn id="5" name="Duplicate Group ID"/>
    <x:tableColumn id="6" name="Escalation Type"/>
    <x:tableColumn id="7" name="Issue Summary"/>
    <x:tableColumn id="8" name="Evidence Required"/>
    <x:tableColumn id="9" name="Assigned Reviewer"/>
    <x:tableColumn id="10" name="Assigned Approver"/>
    <x:tableColumn id="11" name="Due Date"/>
    <x:tableColumn id="12" name="Escalation Status"/>
    <x:tableColumn id="13" name="Resolution 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viewerAssignmentTable" displayName="ReviewerAssignmentTable" ref="A1:I8" headerRowCount="1" totalsRowCount="0" totalsRowShown="0">
  <x:tableColumns count="9">
    <x:tableColumn id="1" name="Reviewer"/>
    <x:tableColumn id="2" name="Role"/>
    <x:tableColumn id="3" name="Review Stage"/>
    <x:tableColumn id="4" name="Assigned Item Count"/>
    <x:tableColumn id="5" name="Completed Item Count"/>
    <x:tableColumn id="6" name="Blocked Item Count"/>
    <x:tableColumn id="7" name="Open Escalations"/>
    <x:tableColumn id="8" name="Target Completion Date"/>
    <x:tableColumn id="9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ValidationSummaryTable" displayName="ValidationSummaryTable" ref="A1:C20" headerRowCount="1" totalsRowCount="0" totalsRowShown="0">
  <x:tableColumns count="3">
    <x:tableColumn id="1" name="Validation Gate"/>
    <x:tableColumn id="2" name="Result"/>
    <x:tableColumn id="3" name="Detail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visionHistoryTable" displayName="RevisionHistoryTable" ref="A1:D2" headerRowCount="1" totalsRowCount="0" totalsRowShown="0">
  <x:tableColumns count="4">
    <x:tableColumn id="1" name="Version"/>
    <x:tableColumn id="2" name="Date UTC"/>
    <x:tableColumn id="3" name="Author"/>
    <x:tableColumn id="4" name="Chang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mportMetadataTable" displayName="ImportMetadataTable" ref="A1:C12" headerRowCount="1" totalsRowCount="0" totalsRowShown="0">
  <x:tableColumns count="3">
    <x:tableColumn id="1" name="Field"/>
    <x:tableColumn id="2" name="Value"/>
    <x:tableColumn id="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90431c3ca84c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a9ba080da54c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5d72f310e245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79a204d2b940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02a77464dea45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535235416464c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d4bfd34d6db45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9045bd38d9d43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b66b285926242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520a61cc6d642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4b17a2cee0a4d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cec1131efbc45a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daaaeb1540b4b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31c443fd50e44f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4b38c25f58349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44.5" hidden="0" customWidth="1"/>
  </x:cols>
  <x:sheetData>
    <x:row r="1">
      <x:c r="A1" s="5" t="str">
        <x:v>Section</x:v>
      </x:c>
      <x:c r="B1" s="5" t="str">
        <x:v>Instruction</x:v>
      </x:c>
    </x:row>
    <x:row r="2">
      <x:c r="A2" s="6" t="str">
        <x:v>Status</x:v>
      </x:c>
      <x:c r="B2" s="6" t="str">
        <x:v>Draft; Manual Review Required; reviewer proposals only; no automatic approvals.</x:v>
      </x:c>
    </x:row>
    <x:row r="3">
      <x:c r="A3" s="6" t="str">
        <x:v>Prohibitions</x:v>
      </x:c>
      <x:c r="B3" s="6" t="str">
        <x:v>No registry modification, no merges executed, no Service IDs retired, no production import, no pricing activation.</x:v>
      </x:c>
    </x:row>
    <x:row r="4">
      <x:c r="A4" s="6" t="str">
        <x:v>Dependency Order</x:v>
      </x:c>
      <x:c r="B4" s="6" t="str">
        <x:v>1 Duplicate-group review; 2 Service identity review; 3 Manufacturer-scope review; 4 Device-applicability review; 5 Part-requirement review; 6 Labor-reference review; 7 Second-level approval preparation.</x:v>
      </x:c>
    </x:row>
    <x:row r="5">
      <x:c r="A5" s="6" t="str">
        <x:v>Governance Boundary</x:v>
      </x:c>
      <x:c r="B5" s="6" t="str">
        <x:v>Second-level approval is required before any future update phase. Import Eligibility remains Not Eligible.</x:v>
      </x:c>
    </x:row>
    <x:row r="6">
      <x:c r="A6" s="6" t="str">
        <x:v>Reviewer Controls</x:v>
      </x:c>
      <x:c r="B6" s="6" t="str">
        <x:v>Use queue dropdowns and evidence fields. Block or escalate records when dependencies, evidence, or governed ID choices are unresolved.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4690431c3ca84c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5" hidden="0" customWidth="1"/>
    <x:col min="2" max="2" width="15.25" hidden="0" customWidth="1"/>
    <x:col min="3" max="3" width="12.880000114440918" hidden="0" customWidth="1"/>
    <x:col min="4" max="4" width="10.75" hidden="0" customWidth="1"/>
    <x:col min="5" max="5" width="17.5" hidden="0" customWidth="1"/>
    <x:col min="6" max="6" width="20.1299991607666" hidden="0" customWidth="1"/>
    <x:col min="7" max="7" width="12" hidden="0" customWidth="1"/>
    <x:col min="8" max="8" width="22.75" hidden="0" customWidth="1"/>
    <x:col min="9" max="9" width="19.1299991607666" hidden="0" customWidth="1"/>
    <x:col min="10" max="10" width="14.130000114440918" hidden="0" customWidth="1"/>
    <x:col min="11" max="11" width="8.5" hidden="0" customWidth="1"/>
    <x:col min="12" max="12" width="17.25" hidden="0" customWidth="1"/>
    <x:col min="13" max="13" width="17.3799991607666" hidden="0" customWidth="1"/>
    <x:col min="14" max="14" width="21.25" hidden="0" customWidth="1"/>
    <x:col min="15" max="15" width="15.630000114440918" hidden="0" customWidth="1"/>
    <x:col min="16" max="16" width="18.25" hidden="0" customWidth="1"/>
    <x:col min="17" max="17" width="48.25" hidden="0" customWidth="1"/>
  </x:cols>
  <x:sheetData>
    <x:row r="1">
      <x:c r="A1" s="5" t="str">
        <x:v>Sequence ID</x:v>
      </x:c>
      <x:c r="B1" s="5" t="str">
        <x:v>Work Item Type</x:v>
      </x:c>
      <x:c r="C1" s="5" t="str">
        <x:v>Work Item ID</x:v>
      </x:c>
      <x:c r="D1" s="5" t="str">
        <x:v>Service ID</x:v>
      </x:c>
      <x:c r="E1" s="5" t="str">
        <x:v>Duplicate Group ID</x:v>
      </x:c>
      <x:c r="F1" s="5" t="str">
        <x:v>Review Stage</x:v>
      </x:c>
      <x:c r="G1" s="5" t="str">
        <x:v>Stage Order</x:v>
      </x:c>
      <x:c r="H1" s="5" t="str">
        <x:v>Dependency Work Item ID</x:v>
      </x:c>
      <x:c r="I1" s="5" t="str">
        <x:v>Dependency Status</x:v>
      </x:c>
      <x:c r="J1" s="5" t="str">
        <x:v>Current Status</x:v>
      </x:c>
      <x:c r="K1" s="5" t="str">
        <x:v>Priority</x:v>
      </x:c>
      <x:c r="L1" s="5" t="str">
        <x:v>Assigned Reviewer</x:v>
      </x:c>
      <x:c r="M1" s="5" t="str">
        <x:v>Target Review Date</x:v>
      </x:c>
      <x:c r="N1" s="5" t="str">
        <x:v>Review Completed Date</x:v>
      </x:c>
      <x:c r="O1" s="5" t="str">
        <x:v>Blocking Reason</x:v>
      </x:c>
      <x:c r="P1" s="5" t="str">
        <x:v>Escalation Required</x:v>
      </x:c>
      <x:c r="Q1" s="5" t="str">
        <x:v>Notes</x:v>
      </x:c>
    </x:row>
    <x:row r="2">
      <x:c r="A2" s="6" t="str">
        <x:v>SEQ-DUP-0001</x:v>
      </x:c>
      <x:c r="B2" s="6" t="str">
        <x:v>Duplicate Group</x:v>
      </x:c>
      <x:c r="C2" s="6" t="str">
        <x:v>DUPX-0001</x:v>
      </x:c>
      <x:c r="D2" s="6" t="str"/>
      <x:c r="E2" s="6" t="str">
        <x:v>DUP000001</x:v>
      </x:c>
      <x:c r="F2" s="6" t="str">
        <x:v>Duplicate-group review</x:v>
      </x:c>
      <x:c r="G2" s="6" t="n">
        <x:v>1</x:v>
      </x:c>
      <x:c r="H2" s="6" t="str"/>
      <x:c r="I2" s="6" t="str">
        <x:v>No upstream dependency</x:v>
      </x:c>
      <x:c r="J2" s="6" t="str">
        <x:v>Not Started</x:v>
      </x:c>
      <x:c r="K2" s="6" t="str">
        <x:v>High</x:v>
      </x:c>
      <x:c r="L2" s="6" t="str"/>
      <x:c r="M2" s="6" t="str"/>
      <x:c r="N2" s="6" t="str"/>
      <x:c r="O2" s="7" t="str"/>
      <x:c r="P2" s="6" t="str">
        <x:v>No</x:v>
      </x:c>
      <x:c r="Q2" s="7" t="str">
        <x:v>Review before affected service identities.</x:v>
      </x:c>
    </x:row>
    <x:row r="3">
      <x:c r="A3" s="6" t="str">
        <x:v>SEQ-DUP-0002</x:v>
      </x:c>
      <x:c r="B3" s="6" t="str">
        <x:v>Duplicate Group</x:v>
      </x:c>
      <x:c r="C3" s="6" t="str">
        <x:v>DUPX-0002</x:v>
      </x:c>
      <x:c r="D3" s="6" t="str"/>
      <x:c r="E3" s="6" t="str">
        <x:v>DUP000002</x:v>
      </x:c>
      <x:c r="F3" s="6" t="str">
        <x:v>Duplicate-group review</x:v>
      </x:c>
      <x:c r="G3" s="6" t="n">
        <x:v>1</x:v>
      </x:c>
      <x:c r="H3" s="6" t="str"/>
      <x:c r="I3" s="6" t="str">
        <x:v>No upstream dependency</x:v>
      </x:c>
      <x:c r="J3" s="6" t="str">
        <x:v>Not Started</x:v>
      </x:c>
      <x:c r="K3" s="6" t="str">
        <x:v>High</x:v>
      </x:c>
      <x:c r="L3" s="6" t="str"/>
      <x:c r="M3" s="6" t="str"/>
      <x:c r="N3" s="6" t="str"/>
      <x:c r="O3" s="7" t="str"/>
      <x:c r="P3" s="6" t="str">
        <x:v>No</x:v>
      </x:c>
      <x:c r="Q3" s="7" t="str">
        <x:v>Review before affected service identities.</x:v>
      </x:c>
    </x:row>
    <x:row r="4">
      <x:c r="A4" s="6" t="str">
        <x:v>SEQ-DUP-0003</x:v>
      </x:c>
      <x:c r="B4" s="6" t="str">
        <x:v>Duplicate Group</x:v>
      </x:c>
      <x:c r="C4" s="6" t="str">
        <x:v>DUPX-0003</x:v>
      </x:c>
      <x:c r="D4" s="6" t="str"/>
      <x:c r="E4" s="6" t="str">
        <x:v>DUP000003</x:v>
      </x:c>
      <x:c r="F4" s="6" t="str">
        <x:v>Duplicate-group review</x:v>
      </x:c>
      <x:c r="G4" s="6" t="n">
        <x:v>1</x:v>
      </x:c>
      <x:c r="H4" s="6" t="str"/>
      <x:c r="I4" s="6" t="str">
        <x:v>No upstream dependency</x:v>
      </x:c>
      <x:c r="J4" s="6" t="str">
        <x:v>Not Started</x:v>
      </x:c>
      <x:c r="K4" s="6" t="str">
        <x:v>High</x:v>
      </x:c>
      <x:c r="L4" s="6" t="str"/>
      <x:c r="M4" s="6" t="str"/>
      <x:c r="N4" s="6" t="str"/>
      <x:c r="O4" s="7" t="str"/>
      <x:c r="P4" s="6" t="str">
        <x:v>No</x:v>
      </x:c>
      <x:c r="Q4" s="7" t="str">
        <x:v>Review before affected service identities.</x:v>
      </x:c>
    </x:row>
    <x:row r="5">
      <x:c r="A5" s="6" t="str">
        <x:v>SEQ-DUP-0004</x:v>
      </x:c>
      <x:c r="B5" s="6" t="str">
        <x:v>Duplicate Group</x:v>
      </x:c>
      <x:c r="C5" s="6" t="str">
        <x:v>DUPX-0004</x:v>
      </x:c>
      <x:c r="D5" s="6" t="str"/>
      <x:c r="E5" s="6" t="str">
        <x:v>DUP000004</x:v>
      </x:c>
      <x:c r="F5" s="6" t="str">
        <x:v>Duplicate-group review</x:v>
      </x:c>
      <x:c r="G5" s="6" t="n">
        <x:v>1</x:v>
      </x:c>
      <x:c r="H5" s="6" t="str"/>
      <x:c r="I5" s="6" t="str">
        <x:v>No upstream dependency</x:v>
      </x:c>
      <x:c r="J5" s="6" t="str">
        <x:v>Not Started</x:v>
      </x:c>
      <x:c r="K5" s="6" t="str">
        <x:v>High</x:v>
      </x:c>
      <x:c r="L5" s="6" t="str"/>
      <x:c r="M5" s="6" t="str"/>
      <x:c r="N5" s="6" t="str"/>
      <x:c r="O5" s="7" t="str"/>
      <x:c r="P5" s="6" t="str">
        <x:v>No</x:v>
      </x:c>
      <x:c r="Q5" s="7" t="str">
        <x:v>Review before affected service identities.</x:v>
      </x:c>
    </x:row>
    <x:row r="6">
      <x:c r="A6" s="6" t="str">
        <x:v>SEQ-DUP-0005</x:v>
      </x:c>
      <x:c r="B6" s="6" t="str">
        <x:v>Duplicate Group</x:v>
      </x:c>
      <x:c r="C6" s="6" t="str">
        <x:v>DUPX-0005</x:v>
      </x:c>
      <x:c r="D6" s="6" t="str"/>
      <x:c r="E6" s="6" t="str">
        <x:v>DUP000005</x:v>
      </x:c>
      <x:c r="F6" s="6" t="str">
        <x:v>Duplicate-group review</x:v>
      </x:c>
      <x:c r="G6" s="6" t="n">
        <x:v>1</x:v>
      </x:c>
      <x:c r="H6" s="6" t="str"/>
      <x:c r="I6" s="6" t="str">
        <x:v>No upstream dependency</x:v>
      </x:c>
      <x:c r="J6" s="6" t="str">
        <x:v>Not Started</x:v>
      </x:c>
      <x:c r="K6" s="6" t="str">
        <x:v>High</x:v>
      </x:c>
      <x:c r="L6" s="6" t="str"/>
      <x:c r="M6" s="6" t="str"/>
      <x:c r="N6" s="6" t="str"/>
      <x:c r="O6" s="7" t="str"/>
      <x:c r="P6" s="6" t="str">
        <x:v>No</x:v>
      </x:c>
      <x:c r="Q6" s="7" t="str">
        <x:v>Review before affected service identities.</x:v>
      </x:c>
    </x:row>
    <x:row r="7">
      <x:c r="A7" s="6" t="str">
        <x:v>SEQ-DUP-0006</x:v>
      </x:c>
      <x:c r="B7" s="6" t="str">
        <x:v>Duplicate Group</x:v>
      </x:c>
      <x:c r="C7" s="6" t="str">
        <x:v>DUPX-0006</x:v>
      </x:c>
      <x:c r="D7" s="6" t="str"/>
      <x:c r="E7" s="6" t="str">
        <x:v>DUP000006</x:v>
      </x:c>
      <x:c r="F7" s="6" t="str">
        <x:v>Duplicate-group review</x:v>
      </x:c>
      <x:c r="G7" s="6" t="n">
        <x:v>1</x:v>
      </x:c>
      <x:c r="H7" s="6" t="str"/>
      <x:c r="I7" s="6" t="str">
        <x:v>No upstream dependency</x:v>
      </x:c>
      <x:c r="J7" s="6" t="str">
        <x:v>Not Started</x:v>
      </x:c>
      <x:c r="K7" s="6" t="str">
        <x:v>High</x:v>
      </x:c>
      <x:c r="L7" s="6" t="str"/>
      <x:c r="M7" s="6" t="str"/>
      <x:c r="N7" s="6" t="str"/>
      <x:c r="O7" s="7" t="str"/>
      <x:c r="P7" s="6" t="str">
        <x:v>No</x:v>
      </x:c>
      <x:c r="Q7" s="7" t="str">
        <x:v>Review before affected service identities.</x:v>
      </x:c>
    </x:row>
    <x:row r="8">
      <x:c r="A8" s="6" t="str">
        <x:v>SEQ-DUP-0007</x:v>
      </x:c>
      <x:c r="B8" s="6" t="str">
        <x:v>Duplicate Group</x:v>
      </x:c>
      <x:c r="C8" s="6" t="str">
        <x:v>DUPX-0007</x:v>
      </x:c>
      <x:c r="D8" s="6" t="str"/>
      <x:c r="E8" s="6" t="str">
        <x:v>DUP000007</x:v>
      </x:c>
      <x:c r="F8" s="6" t="str">
        <x:v>Duplicate-group review</x:v>
      </x:c>
      <x:c r="G8" s="6" t="n">
        <x:v>1</x:v>
      </x:c>
      <x:c r="H8" s="6" t="str"/>
      <x:c r="I8" s="6" t="str">
        <x:v>No upstream dependency</x:v>
      </x:c>
      <x:c r="J8" s="6" t="str">
        <x:v>Not Started</x:v>
      </x:c>
      <x:c r="K8" s="6" t="str">
        <x:v>High</x:v>
      </x:c>
      <x:c r="L8" s="6" t="str"/>
      <x:c r="M8" s="6" t="str"/>
      <x:c r="N8" s="6" t="str"/>
      <x:c r="O8" s="7" t="str"/>
      <x:c r="P8" s="6" t="str">
        <x:v>No</x:v>
      </x:c>
      <x:c r="Q8" s="7" t="str">
        <x:v>Review before affected service identities.</x:v>
      </x:c>
    </x:row>
    <x:row r="9">
      <x:c r="A9" s="6" t="str">
        <x:v>SEQ-DUP-0008</x:v>
      </x:c>
      <x:c r="B9" s="6" t="str">
        <x:v>Duplicate Group</x:v>
      </x:c>
      <x:c r="C9" s="6" t="str">
        <x:v>DUPX-0008</x:v>
      </x:c>
      <x:c r="D9" s="6" t="str"/>
      <x:c r="E9" s="6" t="str">
        <x:v>DUP000008</x:v>
      </x:c>
      <x:c r="F9" s="6" t="str">
        <x:v>Duplicate-group review</x:v>
      </x:c>
      <x:c r="G9" s="6" t="n">
        <x:v>1</x:v>
      </x:c>
      <x:c r="H9" s="6" t="str"/>
      <x:c r="I9" s="6" t="str">
        <x:v>No upstream dependency</x:v>
      </x:c>
      <x:c r="J9" s="6" t="str">
        <x:v>Not Started</x:v>
      </x:c>
      <x:c r="K9" s="6" t="str">
        <x:v>High</x:v>
      </x:c>
      <x:c r="L9" s="6" t="str"/>
      <x:c r="M9" s="6" t="str"/>
      <x:c r="N9" s="6" t="str"/>
      <x:c r="O9" s="7" t="str"/>
      <x:c r="P9" s="6" t="str">
        <x:v>No</x:v>
      </x:c>
      <x:c r="Q9" s="7" t="str">
        <x:v>Review before affected service identities.</x:v>
      </x:c>
    </x:row>
    <x:row r="10">
      <x:c r="A10" s="6" t="str">
        <x:v>SEQ-DUP-0009</x:v>
      </x:c>
      <x:c r="B10" s="6" t="str">
        <x:v>Duplicate Group</x:v>
      </x:c>
      <x:c r="C10" s="6" t="str">
        <x:v>DUPX-0009</x:v>
      </x:c>
      <x:c r="D10" s="6" t="str"/>
      <x:c r="E10" s="6" t="str">
        <x:v>DUP000009</x:v>
      </x:c>
      <x:c r="F10" s="6" t="str">
        <x:v>Duplicate-group review</x:v>
      </x:c>
      <x:c r="G10" s="6" t="n">
        <x:v>1</x:v>
      </x:c>
      <x:c r="H10" s="6" t="str"/>
      <x:c r="I10" s="6" t="str">
        <x:v>No upstream dependency</x:v>
      </x:c>
      <x:c r="J10" s="6" t="str">
        <x:v>Not Started</x:v>
      </x:c>
      <x:c r="K10" s="6" t="str">
        <x:v>High</x:v>
      </x:c>
      <x:c r="L10" s="6" t="str"/>
      <x:c r="M10" s="6" t="str"/>
      <x:c r="N10" s="6" t="str"/>
      <x:c r="O10" s="7" t="str"/>
      <x:c r="P10" s="6" t="str">
        <x:v>No</x:v>
      </x:c>
      <x:c r="Q10" s="7" t="str">
        <x:v>Review before affected service identities.</x:v>
      </x:c>
    </x:row>
    <x:row r="11">
      <x:c r="A11" s="6" t="str">
        <x:v>SEQ-DUP-0010</x:v>
      </x:c>
      <x:c r="B11" s="6" t="str">
        <x:v>Duplicate Group</x:v>
      </x:c>
      <x:c r="C11" s="6" t="str">
        <x:v>DUPX-0010</x:v>
      </x:c>
      <x:c r="D11" s="6" t="str"/>
      <x:c r="E11" s="6" t="str">
        <x:v>DUP000010</x:v>
      </x:c>
      <x:c r="F11" s="6" t="str">
        <x:v>Duplicate-group review</x:v>
      </x:c>
      <x:c r="G11" s="6" t="n">
        <x:v>1</x:v>
      </x:c>
      <x:c r="H11" s="6" t="str"/>
      <x:c r="I11" s="6" t="str">
        <x:v>No upstream dependency</x:v>
      </x:c>
      <x:c r="J11" s="6" t="str">
        <x:v>Not Started</x:v>
      </x:c>
      <x:c r="K11" s="6" t="str">
        <x:v>High</x:v>
      </x:c>
      <x:c r="L11" s="6" t="str"/>
      <x:c r="M11" s="6" t="str"/>
      <x:c r="N11" s="6" t="str"/>
      <x:c r="O11" s="7" t="str"/>
      <x:c r="P11" s="6" t="str">
        <x:v>No</x:v>
      </x:c>
      <x:c r="Q11" s="7" t="str">
        <x:v>Review before affected service identities.</x:v>
      </x:c>
    </x:row>
    <x:row r="12">
      <x:c r="A12" s="6" t="str">
        <x:v>SEQ-DUP-0011</x:v>
      </x:c>
      <x:c r="B12" s="6" t="str">
        <x:v>Duplicate Group</x:v>
      </x:c>
      <x:c r="C12" s="6" t="str">
        <x:v>DUPX-0011</x:v>
      </x:c>
      <x:c r="D12" s="6" t="str"/>
      <x:c r="E12" s="6" t="str">
        <x:v>DUP000011</x:v>
      </x:c>
      <x:c r="F12" s="6" t="str">
        <x:v>Duplicate-group review</x:v>
      </x:c>
      <x:c r="G12" s="6" t="n">
        <x:v>1</x:v>
      </x:c>
      <x:c r="H12" s="6" t="str"/>
      <x:c r="I12" s="6" t="str">
        <x:v>No upstream dependency</x:v>
      </x:c>
      <x:c r="J12" s="6" t="str">
        <x:v>Not Started</x:v>
      </x:c>
      <x:c r="K12" s="6" t="str">
        <x:v>High</x:v>
      </x:c>
      <x:c r="L12" s="6" t="str"/>
      <x:c r="M12" s="6" t="str"/>
      <x:c r="N12" s="6" t="str"/>
      <x:c r="O12" s="7" t="str"/>
      <x:c r="P12" s="6" t="str">
        <x:v>No</x:v>
      </x:c>
      <x:c r="Q12" s="7" t="str">
        <x:v>Review before affected service identities.</x:v>
      </x:c>
    </x:row>
    <x:row r="13">
      <x:c r="A13" s="6" t="str">
        <x:v>SEQ-DUP-0012</x:v>
      </x:c>
      <x:c r="B13" s="6" t="str">
        <x:v>Duplicate Group</x:v>
      </x:c>
      <x:c r="C13" s="6" t="str">
        <x:v>DUPX-0012</x:v>
      </x:c>
      <x:c r="D13" s="6" t="str"/>
      <x:c r="E13" s="6" t="str">
        <x:v>DUP000012</x:v>
      </x:c>
      <x:c r="F13" s="6" t="str">
        <x:v>Duplicate-group review</x:v>
      </x:c>
      <x:c r="G13" s="6" t="n">
        <x:v>1</x:v>
      </x:c>
      <x:c r="H13" s="6" t="str"/>
      <x:c r="I13" s="6" t="str">
        <x:v>No upstream dependency</x:v>
      </x:c>
      <x:c r="J13" s="6" t="str">
        <x:v>Not Started</x:v>
      </x:c>
      <x:c r="K13" s="6" t="str">
        <x:v>High</x:v>
      </x:c>
      <x:c r="L13" s="6" t="str"/>
      <x:c r="M13" s="6" t="str"/>
      <x:c r="N13" s="6" t="str"/>
      <x:c r="O13" s="7" t="str"/>
      <x:c r="P13" s="6" t="str">
        <x:v>No</x:v>
      </x:c>
      <x:c r="Q13" s="7" t="str">
        <x:v>Review before affected service identities.</x:v>
      </x:c>
    </x:row>
    <x:row r="14">
      <x:c r="A14" s="6" t="str">
        <x:v>SEQ-DUP-0013</x:v>
      </x:c>
      <x:c r="B14" s="6" t="str">
        <x:v>Duplicate Group</x:v>
      </x:c>
      <x:c r="C14" s="6" t="str">
        <x:v>DUPX-0013</x:v>
      </x:c>
      <x:c r="D14" s="6" t="str"/>
      <x:c r="E14" s="6" t="str">
        <x:v>DUP000013</x:v>
      </x:c>
      <x:c r="F14" s="6" t="str">
        <x:v>Duplicate-group review</x:v>
      </x:c>
      <x:c r="G14" s="6" t="n">
        <x:v>1</x:v>
      </x:c>
      <x:c r="H14" s="6" t="str"/>
      <x:c r="I14" s="6" t="str">
        <x:v>No upstream dependency</x:v>
      </x:c>
      <x:c r="J14" s="6" t="str">
        <x:v>Not Started</x:v>
      </x:c>
      <x:c r="K14" s="6" t="str">
        <x:v>High</x:v>
      </x:c>
      <x:c r="L14" s="6" t="str"/>
      <x:c r="M14" s="6" t="str"/>
      <x:c r="N14" s="6" t="str"/>
      <x:c r="O14" s="7" t="str"/>
      <x:c r="P14" s="6" t="str">
        <x:v>No</x:v>
      </x:c>
      <x:c r="Q14" s="7" t="str">
        <x:v>Review before affected service identities.</x:v>
      </x:c>
    </x:row>
    <x:row r="15">
      <x:c r="A15" s="6" t="str">
        <x:v>SEQ-DUP-0014</x:v>
      </x:c>
      <x:c r="B15" s="6" t="str">
        <x:v>Duplicate Group</x:v>
      </x:c>
      <x:c r="C15" s="6" t="str">
        <x:v>DUPX-0014</x:v>
      </x:c>
      <x:c r="D15" s="6" t="str"/>
      <x:c r="E15" s="6" t="str">
        <x:v>DUP000014</x:v>
      </x:c>
      <x:c r="F15" s="6" t="str">
        <x:v>Duplicate-group review</x:v>
      </x:c>
      <x:c r="G15" s="6" t="n">
        <x:v>1</x:v>
      </x:c>
      <x:c r="H15" s="6" t="str"/>
      <x:c r="I15" s="6" t="str">
        <x:v>No upstream dependency</x:v>
      </x:c>
      <x:c r="J15" s="6" t="str">
        <x:v>Not Started</x:v>
      </x:c>
      <x:c r="K15" s="6" t="str">
        <x:v>High</x:v>
      </x:c>
      <x:c r="L15" s="6" t="str"/>
      <x:c r="M15" s="6" t="str"/>
      <x:c r="N15" s="6" t="str"/>
      <x:c r="O15" s="7" t="str"/>
      <x:c r="P15" s="6" t="str">
        <x:v>No</x:v>
      </x:c>
      <x:c r="Q15" s="7" t="str">
        <x:v>Review before affected service identities.</x:v>
      </x:c>
    </x:row>
    <x:row r="16">
      <x:c r="A16" s="6" t="str">
        <x:v>SEQ-DUP-0015</x:v>
      </x:c>
      <x:c r="B16" s="6" t="str">
        <x:v>Duplicate Group</x:v>
      </x:c>
      <x:c r="C16" s="6" t="str">
        <x:v>DUPX-0015</x:v>
      </x:c>
      <x:c r="D16" s="6" t="str"/>
      <x:c r="E16" s="6" t="str">
        <x:v>DUP000015</x:v>
      </x:c>
      <x:c r="F16" s="6" t="str">
        <x:v>Duplicate-group review</x:v>
      </x:c>
      <x:c r="G16" s="6" t="n">
        <x:v>1</x:v>
      </x:c>
      <x:c r="H16" s="6" t="str"/>
      <x:c r="I16" s="6" t="str">
        <x:v>No upstream dependency</x:v>
      </x:c>
      <x:c r="J16" s="6" t="str">
        <x:v>Not Started</x:v>
      </x:c>
      <x:c r="K16" s="6" t="str">
        <x:v>High</x:v>
      </x:c>
      <x:c r="L16" s="6" t="str"/>
      <x:c r="M16" s="6" t="str"/>
      <x:c r="N16" s="6" t="str"/>
      <x:c r="O16" s="7" t="str"/>
      <x:c r="P16" s="6" t="str">
        <x:v>No</x:v>
      </x:c>
      <x:c r="Q16" s="7" t="str">
        <x:v>Review before affected service identities.</x:v>
      </x:c>
    </x:row>
    <x:row r="17">
      <x:c r="A17" s="6" t="str">
        <x:v>SEQ-SID-0001</x:v>
      </x:c>
      <x:c r="B17" s="6" t="str">
        <x:v>Service Identity</x:v>
      </x:c>
      <x:c r="C17" s="6" t="str">
        <x:v>SIDX-0001</x:v>
      </x:c>
      <x:c r="D17" s="6" t="str">
        <x:v>SVC000001</x:v>
      </x:c>
      <x:c r="E17" s="6" t="str"/>
      <x:c r="F17" s="6" t="str">
        <x:v>Service identity review</x:v>
      </x:c>
      <x:c r="G17" s="6" t="n">
        <x:v>2</x:v>
      </x:c>
      <x:c r="H17" s="6" t="str"/>
      <x:c r="I17" s="6" t="str">
        <x:f>IF(H17="","No upstream dependency",IF(ISNUMBER(SEARCH(";",H17)),"Multiple dependencies - verify source queues",IFERROR(XLOOKUP(H17,C2:C1586,J2:J1586),"Dependency not found")))</x:f>
        <x:v>No upstream dependency</x:v>
      </x:c>
      <x:c r="J17" s="6" t="str">
        <x:v>Not Started</x:v>
      </x:c>
      <x:c r="K17" s="6" t="str">
        <x:v>Normal</x:v>
      </x:c>
      <x:c r="L17" s="6" t="str"/>
      <x:c r="M17" s="6" t="str"/>
      <x:c r="N17" s="6" t="str"/>
      <x:c r="O17" s="7" t="str"/>
      <x:c r="P17" s="6" t="str">
        <x:v>No</x:v>
      </x:c>
      <x:c r="Q17" s="7" t="str">
        <x:v>Identity review follows duplicate disposition where applicable.</x:v>
      </x:c>
    </x:row>
    <x:row r="18">
      <x:c r="A18" s="6" t="str">
        <x:v>SEQ-SID-0002</x:v>
      </x:c>
      <x:c r="B18" s="6" t="str">
        <x:v>Service Identity</x:v>
      </x:c>
      <x:c r="C18" s="6" t="str">
        <x:v>SIDX-0002</x:v>
      </x:c>
      <x:c r="D18" s="6" t="str">
        <x:v>SVC000002</x:v>
      </x:c>
      <x:c r="E18" s="6" t="str"/>
      <x:c r="F18" s="6" t="str">
        <x:v>Service identity review</x:v>
      </x:c>
      <x:c r="G18" s="6" t="n">
        <x:v>2</x:v>
      </x:c>
      <x:c r="H18" s="6" t="str"/>
      <x:c r="I18" s="6" t="str">
        <x:f>IF(H18="","No upstream dependency",IF(ISNUMBER(SEARCH(";",H18)),"Multiple dependencies - verify source queues",IFERROR(XLOOKUP(H18,C2:C1586,J2:J1586),"Dependency not found")))</x:f>
        <x:v>No upstream dependency</x:v>
      </x:c>
      <x:c r="J18" s="6" t="str">
        <x:v>Not Started</x:v>
      </x:c>
      <x:c r="K18" s="6" t="str">
        <x:v>Normal</x:v>
      </x:c>
      <x:c r="L18" s="6" t="str"/>
      <x:c r="M18" s="6" t="str"/>
      <x:c r="N18" s="6" t="str"/>
      <x:c r="O18" s="7" t="str"/>
      <x:c r="P18" s="6" t="str">
        <x:v>No</x:v>
      </x:c>
      <x:c r="Q18" s="7" t="str">
        <x:v>Identity review follows duplicate disposition where applicable.</x:v>
      </x:c>
    </x:row>
    <x:row r="19">
      <x:c r="A19" s="6" t="str">
        <x:v>SEQ-SID-0003</x:v>
      </x:c>
      <x:c r="B19" s="6" t="str">
        <x:v>Service Identity</x:v>
      </x:c>
      <x:c r="C19" s="6" t="str">
        <x:v>SIDX-0003</x:v>
      </x:c>
      <x:c r="D19" s="6" t="str">
        <x:v>SVC000003</x:v>
      </x:c>
      <x:c r="E19" s="6" t="str"/>
      <x:c r="F19" s="6" t="str">
        <x:v>Service identity review</x:v>
      </x:c>
      <x:c r="G19" s="6" t="n">
        <x:v>2</x:v>
      </x:c>
      <x:c r="H19" s="6" t="str"/>
      <x:c r="I19" s="6" t="str">
        <x:f>IF(H19="","No upstream dependency",IF(ISNUMBER(SEARCH(";",H19)),"Multiple dependencies - verify source queues",IFERROR(XLOOKUP(H19,C2:C1586,J2:J1586),"Dependency not found")))</x:f>
        <x:v>No upstream dependency</x:v>
      </x:c>
      <x:c r="J19" s="6" t="str">
        <x:v>Not Started</x:v>
      </x:c>
      <x:c r="K19" s="6" t="str">
        <x:v>Normal</x:v>
      </x:c>
      <x:c r="L19" s="6" t="str"/>
      <x:c r="M19" s="6" t="str"/>
      <x:c r="N19" s="6" t="str"/>
      <x:c r="O19" s="7" t="str"/>
      <x:c r="P19" s="6" t="str">
        <x:v>No</x:v>
      </x:c>
      <x:c r="Q19" s="7" t="str">
        <x:v>Identity review follows duplicate disposition where applicable.</x:v>
      </x:c>
    </x:row>
    <x:row r="20">
      <x:c r="A20" s="6" t="str">
        <x:v>SEQ-SID-0004</x:v>
      </x:c>
      <x:c r="B20" s="6" t="str">
        <x:v>Service Identity</x:v>
      </x:c>
      <x:c r="C20" s="6" t="str">
        <x:v>SIDX-0004</x:v>
      </x:c>
      <x:c r="D20" s="6" t="str">
        <x:v>SVC000004</x:v>
      </x:c>
      <x:c r="E20" s="6" t="str"/>
      <x:c r="F20" s="6" t="str">
        <x:v>Service identity review</x:v>
      </x:c>
      <x:c r="G20" s="6" t="n">
        <x:v>2</x:v>
      </x:c>
      <x:c r="H20" s="6" t="str"/>
      <x:c r="I20" s="6" t="str">
        <x:f>IF(H20="","No upstream dependency",IF(ISNUMBER(SEARCH(";",H20)),"Multiple dependencies - verify source queues",IFERROR(XLOOKUP(H20,C2:C1586,J2:J1586),"Dependency not found")))</x:f>
        <x:v>No upstream dependency</x:v>
      </x:c>
      <x:c r="J20" s="6" t="str">
        <x:v>Not Started</x:v>
      </x:c>
      <x:c r="K20" s="6" t="str">
        <x:v>Normal</x:v>
      </x:c>
      <x:c r="L20" s="6" t="str"/>
      <x:c r="M20" s="6" t="str"/>
      <x:c r="N20" s="6" t="str"/>
      <x:c r="O20" s="7" t="str"/>
      <x:c r="P20" s="6" t="str">
        <x:v>No</x:v>
      </x:c>
      <x:c r="Q20" s="7" t="str">
        <x:v>Identity review follows duplicate disposition where applicable.</x:v>
      </x:c>
    </x:row>
    <x:row r="21">
      <x:c r="A21" s="6" t="str">
        <x:v>SEQ-SID-0005</x:v>
      </x:c>
      <x:c r="B21" s="6" t="str">
        <x:v>Service Identity</x:v>
      </x:c>
      <x:c r="C21" s="6" t="str">
        <x:v>SIDX-0005</x:v>
      </x:c>
      <x:c r="D21" s="6" t="str">
        <x:v>SVC000005</x:v>
      </x:c>
      <x:c r="E21" s="6" t="str"/>
      <x:c r="F21" s="6" t="str">
        <x:v>Service identity review</x:v>
      </x:c>
      <x:c r="G21" s="6" t="n">
        <x:v>2</x:v>
      </x:c>
      <x:c r="H21" s="6" t="str"/>
      <x:c r="I21" s="6" t="str">
        <x:f>IF(H21="","No upstream dependency",IF(ISNUMBER(SEARCH(";",H21)),"Multiple dependencies - verify source queues",IFERROR(XLOOKUP(H21,C2:C1586,J2:J1586),"Dependency not found")))</x:f>
        <x:v>No upstream dependency</x:v>
      </x:c>
      <x:c r="J21" s="6" t="str">
        <x:v>Not Started</x:v>
      </x:c>
      <x:c r="K21" s="6" t="str">
        <x:v>Normal</x:v>
      </x:c>
      <x:c r="L21" s="6" t="str"/>
      <x:c r="M21" s="6" t="str"/>
      <x:c r="N21" s="6" t="str"/>
      <x:c r="O21" s="7" t="str"/>
      <x:c r="P21" s="6" t="str">
        <x:v>No</x:v>
      </x:c>
      <x:c r="Q21" s="7" t="str">
        <x:v>Identity review follows duplicate disposition where applicable.</x:v>
      </x:c>
    </x:row>
    <x:row r="22">
      <x:c r="A22" s="6" t="str">
        <x:v>SEQ-SID-0006</x:v>
      </x:c>
      <x:c r="B22" s="6" t="str">
        <x:v>Service Identity</x:v>
      </x:c>
      <x:c r="C22" s="6" t="str">
        <x:v>SIDX-0006</x:v>
      </x:c>
      <x:c r="D22" s="6" t="str">
        <x:v>SVC000006</x:v>
      </x:c>
      <x:c r="E22" s="6" t="str"/>
      <x:c r="F22" s="6" t="str">
        <x:v>Service identity review</x:v>
      </x:c>
      <x:c r="G22" s="6" t="n">
        <x:v>2</x:v>
      </x:c>
      <x:c r="H22" s="6" t="str"/>
      <x:c r="I22" s="6" t="str">
        <x:f>IF(H22="","No upstream dependency",IF(ISNUMBER(SEARCH(";",H22)),"Multiple dependencies - verify source queues",IFERROR(XLOOKUP(H22,C2:C1586,J2:J1586),"Dependency not found")))</x:f>
        <x:v>No upstream dependency</x:v>
      </x:c>
      <x:c r="J22" s="6" t="str">
        <x:v>Not Started</x:v>
      </x:c>
      <x:c r="K22" s="6" t="str">
        <x:v>Normal</x:v>
      </x:c>
      <x:c r="L22" s="6" t="str"/>
      <x:c r="M22" s="6" t="str"/>
      <x:c r="N22" s="6" t="str"/>
      <x:c r="O22" s="7" t="str"/>
      <x:c r="P22" s="6" t="str">
        <x:v>No</x:v>
      </x:c>
      <x:c r="Q22" s="7" t="str">
        <x:v>Identity review follows duplicate disposition where applicable.</x:v>
      </x:c>
    </x:row>
    <x:row r="23">
      <x:c r="A23" s="6" t="str">
        <x:v>SEQ-SID-0007</x:v>
      </x:c>
      <x:c r="B23" s="6" t="str">
        <x:v>Service Identity</x:v>
      </x:c>
      <x:c r="C23" s="6" t="str">
        <x:v>SIDX-0007</x:v>
      </x:c>
      <x:c r="D23" s="6" t="str">
        <x:v>SVC000007</x:v>
      </x:c>
      <x:c r="E23" s="6" t="str"/>
      <x:c r="F23" s="6" t="str">
        <x:v>Service identity review</x:v>
      </x:c>
      <x:c r="G23" s="6" t="n">
        <x:v>2</x:v>
      </x:c>
      <x:c r="H23" s="6" t="str"/>
      <x:c r="I23" s="6" t="str">
        <x:f>IF(H23="","No upstream dependency",IF(ISNUMBER(SEARCH(";",H23)),"Multiple dependencies - verify source queues",IFERROR(XLOOKUP(H23,C2:C1586,J2:J1586),"Dependency not found")))</x:f>
        <x:v>No upstream dependency</x:v>
      </x:c>
      <x:c r="J23" s="6" t="str">
        <x:v>Not Started</x:v>
      </x:c>
      <x:c r="K23" s="6" t="str">
        <x:v>Normal</x:v>
      </x:c>
      <x:c r="L23" s="6" t="str"/>
      <x:c r="M23" s="6" t="str"/>
      <x:c r="N23" s="6" t="str"/>
      <x:c r="O23" s="7" t="str"/>
      <x:c r="P23" s="6" t="str">
        <x:v>No</x:v>
      </x:c>
      <x:c r="Q23" s="7" t="str">
        <x:v>Identity review follows duplicate disposition where applicable.</x:v>
      </x:c>
    </x:row>
    <x:row r="24">
      <x:c r="A24" s="6" t="str">
        <x:v>SEQ-SID-0008</x:v>
      </x:c>
      <x:c r="B24" s="6" t="str">
        <x:v>Service Identity</x:v>
      </x:c>
      <x:c r="C24" s="6" t="str">
        <x:v>SIDX-0008</x:v>
      </x:c>
      <x:c r="D24" s="6" t="str">
        <x:v>SVC000008</x:v>
      </x:c>
      <x:c r="E24" s="6" t="str">
        <x:v>DUP000001</x:v>
      </x:c>
      <x:c r="F24" s="6" t="str">
        <x:v>Service identity review</x:v>
      </x:c>
      <x:c r="G24" s="6" t="n">
        <x:v>2</x:v>
      </x:c>
      <x:c r="H24" s="6" t="str">
        <x:v>DUPX-0001</x:v>
      </x:c>
      <x:c r="I24" s="6" t="str">
        <x:f>IF(H24="","No upstream dependency",IF(ISNUMBER(SEARCH(";",H24)),"Multiple dependencies - verify source queues",IFERROR(XLOOKUP(H24,C2:C1586,J2:J1586),"Dependency not found")))</x:f>
        <x:v>Not Started</x:v>
      </x:c>
      <x:c r="J24" s="6" t="str">
        <x:v>Not Started</x:v>
      </x:c>
      <x:c r="K24" s="6" t="str">
        <x:v>Normal</x:v>
      </x:c>
      <x:c r="L24" s="6" t="str"/>
      <x:c r="M24" s="6" t="str"/>
      <x:c r="N24" s="6" t="str"/>
      <x:c r="O24" s="7" t="str"/>
      <x:c r="P24" s="6" t="str">
        <x:v>Yes</x:v>
      </x:c>
      <x:c r="Q24" s="7" t="str">
        <x:v>Identity review follows duplicate disposition where applicable.</x:v>
      </x:c>
    </x:row>
    <x:row r="25">
      <x:c r="A25" s="6" t="str">
        <x:v>SEQ-SID-0009</x:v>
      </x:c>
      <x:c r="B25" s="6" t="str">
        <x:v>Service Identity</x:v>
      </x:c>
      <x:c r="C25" s="6" t="str">
        <x:v>SIDX-0009</x:v>
      </x:c>
      <x:c r="D25" s="6" t="str">
        <x:v>SVC000009</x:v>
      </x:c>
      <x:c r="E25" s="6" t="str">
        <x:v>DUP000002</x:v>
      </x:c>
      <x:c r="F25" s="6" t="str">
        <x:v>Service identity review</x:v>
      </x:c>
      <x:c r="G25" s="6" t="n">
        <x:v>2</x:v>
      </x:c>
      <x:c r="H25" s="6" t="str">
        <x:v>DUPX-0002</x:v>
      </x:c>
      <x:c r="I25" s="6" t="str">
        <x:f>IF(H25="","No upstream dependency",IF(ISNUMBER(SEARCH(";",H25)),"Multiple dependencies - verify source queues",IFERROR(XLOOKUP(H25,C2:C1586,J2:J1586),"Dependency not found")))</x:f>
        <x:v>Not Started</x:v>
      </x:c>
      <x:c r="J25" s="6" t="str">
        <x:v>Not Started</x:v>
      </x:c>
      <x:c r="K25" s="6" t="str">
        <x:v>Normal</x:v>
      </x:c>
      <x:c r="L25" s="6" t="str"/>
      <x:c r="M25" s="6" t="str"/>
      <x:c r="N25" s="6" t="str"/>
      <x:c r="O25" s="7" t="str"/>
      <x:c r="P25" s="6" t="str">
        <x:v>Yes</x:v>
      </x:c>
      <x:c r="Q25" s="7" t="str">
        <x:v>Identity review follows duplicate disposition where applicable.</x:v>
      </x:c>
    </x:row>
    <x:row r="26">
      <x:c r="A26" s="6" t="str">
        <x:v>SEQ-SID-0010</x:v>
      </x:c>
      <x:c r="B26" s="6" t="str">
        <x:v>Service Identity</x:v>
      </x:c>
      <x:c r="C26" s="6" t="str">
        <x:v>SIDX-0010</x:v>
      </x:c>
      <x:c r="D26" s="6" t="str">
        <x:v>SVC000010</x:v>
      </x:c>
      <x:c r="E26" s="6" t="str"/>
      <x:c r="F26" s="6" t="str">
        <x:v>Service identity review</x:v>
      </x:c>
      <x:c r="G26" s="6" t="n">
        <x:v>2</x:v>
      </x:c>
      <x:c r="H26" s="6" t="str"/>
      <x:c r="I26" s="6" t="str">
        <x:f>IF(H26="","No upstream dependency",IF(ISNUMBER(SEARCH(";",H26)),"Multiple dependencies - verify source queues",IFERROR(XLOOKUP(H26,C2:C1586,J2:J1586),"Dependency not found")))</x:f>
        <x:v>No upstream dependency</x:v>
      </x:c>
      <x:c r="J26" s="6" t="str">
        <x:v>Not Started</x:v>
      </x:c>
      <x:c r="K26" s="6" t="str">
        <x:v>Normal</x:v>
      </x:c>
      <x:c r="L26" s="6" t="str"/>
      <x:c r="M26" s="6" t="str"/>
      <x:c r="N26" s="6" t="str"/>
      <x:c r="O26" s="7" t="str"/>
      <x:c r="P26" s="6" t="str">
        <x:v>No</x:v>
      </x:c>
      <x:c r="Q26" s="7" t="str">
        <x:v>Identity review follows duplicate disposition where applicable.</x:v>
      </x:c>
    </x:row>
    <x:row r="27">
      <x:c r="A27" s="6" t="str">
        <x:v>SEQ-SID-0011</x:v>
      </x:c>
      <x:c r="B27" s="6" t="str">
        <x:v>Service Identity</x:v>
      </x:c>
      <x:c r="C27" s="6" t="str">
        <x:v>SIDX-0011</x:v>
      </x:c>
      <x:c r="D27" s="6" t="str">
        <x:v>SVC000011</x:v>
      </x:c>
      <x:c r="E27" s="6" t="str"/>
      <x:c r="F27" s="6" t="str">
        <x:v>Service identity review</x:v>
      </x:c>
      <x:c r="G27" s="6" t="n">
        <x:v>2</x:v>
      </x:c>
      <x:c r="H27" s="6" t="str"/>
      <x:c r="I27" s="6" t="str">
        <x:f>IF(H27="","No upstream dependency",IF(ISNUMBER(SEARCH(";",H27)),"Multiple dependencies - verify source queues",IFERROR(XLOOKUP(H27,C2:C1586,J2:J1586),"Dependency not found")))</x:f>
        <x:v>No upstream dependency</x:v>
      </x:c>
      <x:c r="J27" s="6" t="str">
        <x:v>Not Started</x:v>
      </x:c>
      <x:c r="K27" s="6" t="str">
        <x:v>Normal</x:v>
      </x:c>
      <x:c r="L27" s="6" t="str"/>
      <x:c r="M27" s="6" t="str"/>
      <x:c r="N27" s="6" t="str"/>
      <x:c r="O27" s="7" t="str"/>
      <x:c r="P27" s="6" t="str">
        <x:v>No</x:v>
      </x:c>
      <x:c r="Q27" s="7" t="str">
        <x:v>Identity review follows duplicate disposition where applicable.</x:v>
      </x:c>
    </x:row>
    <x:row r="28">
      <x:c r="A28" s="6" t="str">
        <x:v>SEQ-SID-0012</x:v>
      </x:c>
      <x:c r="B28" s="6" t="str">
        <x:v>Service Identity</x:v>
      </x:c>
      <x:c r="C28" s="6" t="str">
        <x:v>SIDX-0012</x:v>
      </x:c>
      <x:c r="D28" s="6" t="str">
        <x:v>SVC000012</x:v>
      </x:c>
      <x:c r="E28" s="6" t="str"/>
      <x:c r="F28" s="6" t="str">
        <x:v>Service identity review</x:v>
      </x:c>
      <x:c r="G28" s="6" t="n">
        <x:v>2</x:v>
      </x:c>
      <x:c r="H28" s="6" t="str"/>
      <x:c r="I28" s="6" t="str">
        <x:f>IF(H28="","No upstream dependency",IF(ISNUMBER(SEARCH(";",H28)),"Multiple dependencies - verify source queues",IFERROR(XLOOKUP(H28,C2:C1586,J2:J1586),"Dependency not found")))</x:f>
        <x:v>No upstream dependency</x:v>
      </x:c>
      <x:c r="J28" s="6" t="str">
        <x:v>Not Started</x:v>
      </x:c>
      <x:c r="K28" s="6" t="str">
        <x:v>Normal</x:v>
      </x:c>
      <x:c r="L28" s="6" t="str"/>
      <x:c r="M28" s="6" t="str"/>
      <x:c r="N28" s="6" t="str"/>
      <x:c r="O28" s="7" t="str"/>
      <x:c r="P28" s="6" t="str">
        <x:v>No</x:v>
      </x:c>
      <x:c r="Q28" s="7" t="str">
        <x:v>Identity review follows duplicate disposition where applicable.</x:v>
      </x:c>
    </x:row>
    <x:row r="29">
      <x:c r="A29" s="6" t="str">
        <x:v>SEQ-SID-0013</x:v>
      </x:c>
      <x:c r="B29" s="6" t="str">
        <x:v>Service Identity</x:v>
      </x:c>
      <x:c r="C29" s="6" t="str">
        <x:v>SIDX-0013</x:v>
      </x:c>
      <x:c r="D29" s="6" t="str">
        <x:v>SVC000013</x:v>
      </x:c>
      <x:c r="E29" s="6" t="str"/>
      <x:c r="F29" s="6" t="str">
        <x:v>Service identity review</x:v>
      </x:c>
      <x:c r="G29" s="6" t="n">
        <x:v>2</x:v>
      </x:c>
      <x:c r="H29" s="6" t="str"/>
      <x:c r="I29" s="6" t="str">
        <x:f>IF(H29="","No upstream dependency",IF(ISNUMBER(SEARCH(";",H29)),"Multiple dependencies - verify source queues",IFERROR(XLOOKUP(H29,C2:C1586,J2:J1586),"Dependency not found")))</x:f>
        <x:v>No upstream dependency</x:v>
      </x:c>
      <x:c r="J29" s="6" t="str">
        <x:v>Not Started</x:v>
      </x:c>
      <x:c r="K29" s="6" t="str">
        <x:v>Normal</x:v>
      </x:c>
      <x:c r="L29" s="6" t="str"/>
      <x:c r="M29" s="6" t="str"/>
      <x:c r="N29" s="6" t="str"/>
      <x:c r="O29" s="7" t="str"/>
      <x:c r="P29" s="6" t="str">
        <x:v>No</x:v>
      </x:c>
      <x:c r="Q29" s="7" t="str">
        <x:v>Identity review follows duplicate disposition where applicable.</x:v>
      </x:c>
    </x:row>
    <x:row r="30">
      <x:c r="A30" s="6" t="str">
        <x:v>SEQ-SID-0014</x:v>
      </x:c>
      <x:c r="B30" s="6" t="str">
        <x:v>Service Identity</x:v>
      </x:c>
      <x:c r="C30" s="6" t="str">
        <x:v>SIDX-0014</x:v>
      </x:c>
      <x:c r="D30" s="6" t="str">
        <x:v>SVC000014</x:v>
      </x:c>
      <x:c r="E30" s="6" t="str"/>
      <x:c r="F30" s="6" t="str">
        <x:v>Service identity review</x:v>
      </x:c>
      <x:c r="G30" s="6" t="n">
        <x:v>2</x:v>
      </x:c>
      <x:c r="H30" s="6" t="str"/>
      <x:c r="I30" s="6" t="str">
        <x:f>IF(H30="","No upstream dependency",IF(ISNUMBER(SEARCH(";",H30)),"Multiple dependencies - verify source queues",IFERROR(XLOOKUP(H30,C2:C1586,J2:J1586),"Dependency not found")))</x:f>
        <x:v>No upstream dependency</x:v>
      </x:c>
      <x:c r="J30" s="6" t="str">
        <x:v>Not Started</x:v>
      </x:c>
      <x:c r="K30" s="6" t="str">
        <x:v>Normal</x:v>
      </x:c>
      <x:c r="L30" s="6" t="str"/>
      <x:c r="M30" s="6" t="str"/>
      <x:c r="N30" s="6" t="str"/>
      <x:c r="O30" s="7" t="str"/>
      <x:c r="P30" s="6" t="str">
        <x:v>No</x:v>
      </x:c>
      <x:c r="Q30" s="7" t="str">
        <x:v>Identity review follows duplicate disposition where applicable.</x:v>
      </x:c>
    </x:row>
    <x:row r="31">
      <x:c r="A31" s="6" t="str">
        <x:v>SEQ-SID-0015</x:v>
      </x:c>
      <x:c r="B31" s="6" t="str">
        <x:v>Service Identity</x:v>
      </x:c>
      <x:c r="C31" s="6" t="str">
        <x:v>SIDX-0015</x:v>
      </x:c>
      <x:c r="D31" s="6" t="str">
        <x:v>SVC000015</x:v>
      </x:c>
      <x:c r="E31" s="6" t="str"/>
      <x:c r="F31" s="6" t="str">
        <x:v>Service identity review</x:v>
      </x:c>
      <x:c r="G31" s="6" t="n">
        <x:v>2</x:v>
      </x:c>
      <x:c r="H31" s="6" t="str"/>
      <x:c r="I31" s="6" t="str">
        <x:f>IF(H31="","No upstream dependency",IF(ISNUMBER(SEARCH(";",H31)),"Multiple dependencies - verify source queues",IFERROR(XLOOKUP(H31,C2:C1586,J2:J1586),"Dependency not found")))</x:f>
        <x:v>No upstream dependency</x:v>
      </x:c>
      <x:c r="J31" s="6" t="str">
        <x:v>Not Started</x:v>
      </x:c>
      <x:c r="K31" s="6" t="str">
        <x:v>Normal</x:v>
      </x:c>
      <x:c r="L31" s="6" t="str"/>
      <x:c r="M31" s="6" t="str"/>
      <x:c r="N31" s="6" t="str"/>
      <x:c r="O31" s="7" t="str"/>
      <x:c r="P31" s="6" t="str">
        <x:v>No</x:v>
      </x:c>
      <x:c r="Q31" s="7" t="str">
        <x:v>Identity review follows duplicate disposition where applicable.</x:v>
      </x:c>
    </x:row>
    <x:row r="32">
      <x:c r="A32" s="6" t="str">
        <x:v>SEQ-SID-0016</x:v>
      </x:c>
      <x:c r="B32" s="6" t="str">
        <x:v>Service Identity</x:v>
      </x:c>
      <x:c r="C32" s="6" t="str">
        <x:v>SIDX-0016</x:v>
      </x:c>
      <x:c r="D32" s="6" t="str">
        <x:v>SVC000016</x:v>
      </x:c>
      <x:c r="E32" s="6" t="str"/>
      <x:c r="F32" s="6" t="str">
        <x:v>Service identity review</x:v>
      </x:c>
      <x:c r="G32" s="6" t="n">
        <x:v>2</x:v>
      </x:c>
      <x:c r="H32" s="6" t="str"/>
      <x:c r="I32" s="6" t="str">
        <x:f>IF(H32="","No upstream dependency",IF(ISNUMBER(SEARCH(";",H32)),"Multiple dependencies - verify source queues",IFERROR(XLOOKUP(H32,C2:C1586,J2:J1586),"Dependency not found")))</x:f>
        <x:v>No upstream dependency</x:v>
      </x:c>
      <x:c r="J32" s="6" t="str">
        <x:v>Not Started</x:v>
      </x:c>
      <x:c r="K32" s="6" t="str">
        <x:v>Normal</x:v>
      </x:c>
      <x:c r="L32" s="6" t="str"/>
      <x:c r="M32" s="6" t="str"/>
      <x:c r="N32" s="6" t="str"/>
      <x:c r="O32" s="7" t="str"/>
      <x:c r="P32" s="6" t="str">
        <x:v>No</x:v>
      </x:c>
      <x:c r="Q32" s="7" t="str">
        <x:v>Identity review follows duplicate disposition where applicable.</x:v>
      </x:c>
    </x:row>
    <x:row r="33">
      <x:c r="A33" s="6" t="str">
        <x:v>SEQ-SID-0017</x:v>
      </x:c>
      <x:c r="B33" s="6" t="str">
        <x:v>Service Identity</x:v>
      </x:c>
      <x:c r="C33" s="6" t="str">
        <x:v>SIDX-0017</x:v>
      </x:c>
      <x:c r="D33" s="6" t="str">
        <x:v>SVC000017</x:v>
      </x:c>
      <x:c r="E33" s="6" t="str"/>
      <x:c r="F33" s="6" t="str">
        <x:v>Service identity review</x:v>
      </x:c>
      <x:c r="G33" s="6" t="n">
        <x:v>2</x:v>
      </x:c>
      <x:c r="H33" s="6" t="str"/>
      <x:c r="I33" s="6" t="str">
        <x:f>IF(H33="","No upstream dependency",IF(ISNUMBER(SEARCH(";",H33)),"Multiple dependencies - verify source queues",IFERROR(XLOOKUP(H33,C2:C1586,J2:J1586),"Dependency not found")))</x:f>
        <x:v>No upstream dependency</x:v>
      </x:c>
      <x:c r="J33" s="6" t="str">
        <x:v>Not Started</x:v>
      </x:c>
      <x:c r="K33" s="6" t="str">
        <x:v>Normal</x:v>
      </x:c>
      <x:c r="L33" s="6" t="str"/>
      <x:c r="M33" s="6" t="str"/>
      <x:c r="N33" s="6" t="str"/>
      <x:c r="O33" s="7" t="str"/>
      <x:c r="P33" s="6" t="str">
        <x:v>No</x:v>
      </x:c>
      <x:c r="Q33" s="7" t="str">
        <x:v>Identity review follows duplicate disposition where applicable.</x:v>
      </x:c>
    </x:row>
    <x:row r="34">
      <x:c r="A34" s="6" t="str">
        <x:v>SEQ-SID-0018</x:v>
      </x:c>
      <x:c r="B34" s="6" t="str">
        <x:v>Service Identity</x:v>
      </x:c>
      <x:c r="C34" s="6" t="str">
        <x:v>SIDX-0018</x:v>
      </x:c>
      <x:c r="D34" s="6" t="str">
        <x:v>SVC000018</x:v>
      </x:c>
      <x:c r="E34" s="6" t="str"/>
      <x:c r="F34" s="6" t="str">
        <x:v>Service identity review</x:v>
      </x:c>
      <x:c r="G34" s="6" t="n">
        <x:v>2</x:v>
      </x:c>
      <x:c r="H34" s="6" t="str"/>
      <x:c r="I34" s="6" t="str">
        <x:f>IF(H34="","No upstream dependency",IF(ISNUMBER(SEARCH(";",H34)),"Multiple dependencies - verify source queues",IFERROR(XLOOKUP(H34,C2:C1586,J2:J1586),"Dependency not found")))</x:f>
        <x:v>No upstream dependency</x:v>
      </x:c>
      <x:c r="J34" s="6" t="str">
        <x:v>Not Started</x:v>
      </x:c>
      <x:c r="K34" s="6" t="str">
        <x:v>Normal</x:v>
      </x:c>
      <x:c r="L34" s="6" t="str"/>
      <x:c r="M34" s="6" t="str"/>
      <x:c r="N34" s="6" t="str"/>
      <x:c r="O34" s="7" t="str"/>
      <x:c r="P34" s="6" t="str">
        <x:v>No</x:v>
      </x:c>
      <x:c r="Q34" s="7" t="str">
        <x:v>Identity review follows duplicate disposition where applicable.</x:v>
      </x:c>
    </x:row>
    <x:row r="35">
      <x:c r="A35" s="6" t="str">
        <x:v>SEQ-SID-0019</x:v>
      </x:c>
      <x:c r="B35" s="6" t="str">
        <x:v>Service Identity</x:v>
      </x:c>
      <x:c r="C35" s="6" t="str">
        <x:v>SIDX-0019</x:v>
      </x:c>
      <x:c r="D35" s="6" t="str">
        <x:v>SVC000019</x:v>
      </x:c>
      <x:c r="E35" s="6" t="str"/>
      <x:c r="F35" s="6" t="str">
        <x:v>Service identity review</x:v>
      </x:c>
      <x:c r="G35" s="6" t="n">
        <x:v>2</x:v>
      </x:c>
      <x:c r="H35" s="6" t="str"/>
      <x:c r="I35" s="6" t="str">
        <x:f>IF(H35="","No upstream dependency",IF(ISNUMBER(SEARCH(";",H35)),"Multiple dependencies - verify source queues",IFERROR(XLOOKUP(H35,C2:C1586,J2:J1586),"Dependency not found")))</x:f>
        <x:v>No upstream dependency</x:v>
      </x:c>
      <x:c r="J35" s="6" t="str">
        <x:v>Not Started</x:v>
      </x:c>
      <x:c r="K35" s="6" t="str">
        <x:v>Normal</x:v>
      </x:c>
      <x:c r="L35" s="6" t="str"/>
      <x:c r="M35" s="6" t="str"/>
      <x:c r="N35" s="6" t="str"/>
      <x:c r="O35" s="7" t="str"/>
      <x:c r="P35" s="6" t="str">
        <x:v>No</x:v>
      </x:c>
      <x:c r="Q35" s="7" t="str">
        <x:v>Identity review follows duplicate disposition where applicable.</x:v>
      </x:c>
    </x:row>
    <x:row r="36">
      <x:c r="A36" s="6" t="str">
        <x:v>SEQ-SID-0020</x:v>
      </x:c>
      <x:c r="B36" s="6" t="str">
        <x:v>Service Identity</x:v>
      </x:c>
      <x:c r="C36" s="6" t="str">
        <x:v>SIDX-0020</x:v>
      </x:c>
      <x:c r="D36" s="6" t="str">
        <x:v>SVC000020</x:v>
      </x:c>
      <x:c r="E36" s="6" t="str"/>
      <x:c r="F36" s="6" t="str">
        <x:v>Service identity review</x:v>
      </x:c>
      <x:c r="G36" s="6" t="n">
        <x:v>2</x:v>
      </x:c>
      <x:c r="H36" s="6" t="str"/>
      <x:c r="I36" s="6" t="str">
        <x:f>IF(H36="","No upstream dependency",IF(ISNUMBER(SEARCH(";",H36)),"Multiple dependencies - verify source queues",IFERROR(XLOOKUP(H36,C2:C1586,J2:J1586),"Dependency not found")))</x:f>
        <x:v>No upstream dependency</x:v>
      </x:c>
      <x:c r="J36" s="6" t="str">
        <x:v>Not Started</x:v>
      </x:c>
      <x:c r="K36" s="6" t="str">
        <x:v>Normal</x:v>
      </x:c>
      <x:c r="L36" s="6" t="str"/>
      <x:c r="M36" s="6" t="str"/>
      <x:c r="N36" s="6" t="str"/>
      <x:c r="O36" s="7" t="str"/>
      <x:c r="P36" s="6" t="str">
        <x:v>No</x:v>
      </x:c>
      <x:c r="Q36" s="7" t="str">
        <x:v>Identity review follows duplicate disposition where applicable.</x:v>
      </x:c>
    </x:row>
    <x:row r="37">
      <x:c r="A37" s="6" t="str">
        <x:v>SEQ-SID-0021</x:v>
      </x:c>
      <x:c r="B37" s="6" t="str">
        <x:v>Service Identity</x:v>
      </x:c>
      <x:c r="C37" s="6" t="str">
        <x:v>SIDX-0021</x:v>
      </x:c>
      <x:c r="D37" s="6" t="str">
        <x:v>SVC000021</x:v>
      </x:c>
      <x:c r="E37" s="6" t="str"/>
      <x:c r="F37" s="6" t="str">
        <x:v>Service identity review</x:v>
      </x:c>
      <x:c r="G37" s="6" t="n">
        <x:v>2</x:v>
      </x:c>
      <x:c r="H37" s="6" t="str"/>
      <x:c r="I37" s="6" t="str">
        <x:f>IF(H37="","No upstream dependency",IF(ISNUMBER(SEARCH(";",H37)),"Multiple dependencies - verify source queues",IFERROR(XLOOKUP(H37,C2:C1586,J2:J1586),"Dependency not found")))</x:f>
        <x:v>No upstream dependency</x:v>
      </x:c>
      <x:c r="J37" s="6" t="str">
        <x:v>Not Started</x:v>
      </x:c>
      <x:c r="K37" s="6" t="str">
        <x:v>Normal</x:v>
      </x:c>
      <x:c r="L37" s="6" t="str"/>
      <x:c r="M37" s="6" t="str"/>
      <x:c r="N37" s="6" t="str"/>
      <x:c r="O37" s="7" t="str"/>
      <x:c r="P37" s="6" t="str">
        <x:v>No</x:v>
      </x:c>
      <x:c r="Q37" s="7" t="str">
        <x:v>Identity review follows duplicate disposition where applicable.</x:v>
      </x:c>
    </x:row>
    <x:row r="38">
      <x:c r="A38" s="6" t="str">
        <x:v>SEQ-SID-0022</x:v>
      </x:c>
      <x:c r="B38" s="6" t="str">
        <x:v>Service Identity</x:v>
      </x:c>
      <x:c r="C38" s="6" t="str">
        <x:v>SIDX-0022</x:v>
      </x:c>
      <x:c r="D38" s="6" t="str">
        <x:v>SVC000022</x:v>
      </x:c>
      <x:c r="E38" s="6" t="str"/>
      <x:c r="F38" s="6" t="str">
        <x:v>Service identity review</x:v>
      </x:c>
      <x:c r="G38" s="6" t="n">
        <x:v>2</x:v>
      </x:c>
      <x:c r="H38" s="6" t="str"/>
      <x:c r="I38" s="6" t="str">
        <x:f>IF(H38="","No upstream dependency",IF(ISNUMBER(SEARCH(";",H38)),"Multiple dependencies - verify source queues",IFERROR(XLOOKUP(H38,C2:C1586,J2:J1586),"Dependency not found")))</x:f>
        <x:v>No upstream dependency</x:v>
      </x:c>
      <x:c r="J38" s="6" t="str">
        <x:v>Not Started</x:v>
      </x:c>
      <x:c r="K38" s="6" t="str">
        <x:v>Normal</x:v>
      </x:c>
      <x:c r="L38" s="6" t="str"/>
      <x:c r="M38" s="6" t="str"/>
      <x:c r="N38" s="6" t="str"/>
      <x:c r="O38" s="7" t="str"/>
      <x:c r="P38" s="6" t="str">
        <x:v>No</x:v>
      </x:c>
      <x:c r="Q38" s="7" t="str">
        <x:v>Identity review follows duplicate disposition where applicable.</x:v>
      </x:c>
    </x:row>
    <x:row r="39">
      <x:c r="A39" s="6" t="str">
        <x:v>SEQ-SID-0023</x:v>
      </x:c>
      <x:c r="B39" s="6" t="str">
        <x:v>Service Identity</x:v>
      </x:c>
      <x:c r="C39" s="6" t="str">
        <x:v>SIDX-0023</x:v>
      </x:c>
      <x:c r="D39" s="6" t="str">
        <x:v>SVC000023</x:v>
      </x:c>
      <x:c r="E39" s="6" t="str"/>
      <x:c r="F39" s="6" t="str">
        <x:v>Service identity review</x:v>
      </x:c>
      <x:c r="G39" s="6" t="n">
        <x:v>2</x:v>
      </x:c>
      <x:c r="H39" s="6" t="str"/>
      <x:c r="I39" s="6" t="str">
        <x:f>IF(H39="","No upstream dependency",IF(ISNUMBER(SEARCH(";",H39)),"Multiple dependencies - verify source queues",IFERROR(XLOOKUP(H39,C2:C1586,J2:J1586),"Dependency not found")))</x:f>
        <x:v>No upstream dependency</x:v>
      </x:c>
      <x:c r="J39" s="6" t="str">
        <x:v>Not Started</x:v>
      </x:c>
      <x:c r="K39" s="6" t="str">
        <x:v>Normal</x:v>
      </x:c>
      <x:c r="L39" s="6" t="str"/>
      <x:c r="M39" s="6" t="str"/>
      <x:c r="N39" s="6" t="str"/>
      <x:c r="O39" s="7" t="str"/>
      <x:c r="P39" s="6" t="str">
        <x:v>No</x:v>
      </x:c>
      <x:c r="Q39" s="7" t="str">
        <x:v>Identity review follows duplicate disposition where applicable.</x:v>
      </x:c>
    </x:row>
    <x:row r="40">
      <x:c r="A40" s="6" t="str">
        <x:v>SEQ-SID-0024</x:v>
      </x:c>
      <x:c r="B40" s="6" t="str">
        <x:v>Service Identity</x:v>
      </x:c>
      <x:c r="C40" s="6" t="str">
        <x:v>SIDX-0024</x:v>
      </x:c>
      <x:c r="D40" s="6" t="str">
        <x:v>SVC000024</x:v>
      </x:c>
      <x:c r="E40" s="6" t="str"/>
      <x:c r="F40" s="6" t="str">
        <x:v>Service identity review</x:v>
      </x:c>
      <x:c r="G40" s="6" t="n">
        <x:v>2</x:v>
      </x:c>
      <x:c r="H40" s="6" t="str"/>
      <x:c r="I40" s="6" t="str">
        <x:f>IF(H40="","No upstream dependency",IF(ISNUMBER(SEARCH(";",H40)),"Multiple dependencies - verify source queues",IFERROR(XLOOKUP(H40,C2:C1586,J2:J1586),"Dependency not found")))</x:f>
        <x:v>No upstream dependency</x:v>
      </x:c>
      <x:c r="J40" s="6" t="str">
        <x:v>Not Started</x:v>
      </x:c>
      <x:c r="K40" s="6" t="str">
        <x:v>Normal</x:v>
      </x:c>
      <x:c r="L40" s="6" t="str"/>
      <x:c r="M40" s="6" t="str"/>
      <x:c r="N40" s="6" t="str"/>
      <x:c r="O40" s="7" t="str"/>
      <x:c r="P40" s="6" t="str">
        <x:v>No</x:v>
      </x:c>
      <x:c r="Q40" s="7" t="str">
        <x:v>Identity review follows duplicate disposition where applicable.</x:v>
      </x:c>
    </x:row>
    <x:row r="41">
      <x:c r="A41" s="6" t="str">
        <x:v>SEQ-SID-0025</x:v>
      </x:c>
      <x:c r="B41" s="6" t="str">
        <x:v>Service Identity</x:v>
      </x:c>
      <x:c r="C41" s="6" t="str">
        <x:v>SIDX-0025</x:v>
      </x:c>
      <x:c r="D41" s="6" t="str">
        <x:v>SVC000025</x:v>
      </x:c>
      <x:c r="E41" s="6" t="str"/>
      <x:c r="F41" s="6" t="str">
        <x:v>Service identity review</x:v>
      </x:c>
      <x:c r="G41" s="6" t="n">
        <x:v>2</x:v>
      </x:c>
      <x:c r="H41" s="6" t="str"/>
      <x:c r="I41" s="6" t="str">
        <x:f>IF(H41="","No upstream dependency",IF(ISNUMBER(SEARCH(";",H41)),"Multiple dependencies - verify source queues",IFERROR(XLOOKUP(H41,C2:C1586,J2:J1586),"Dependency not found")))</x:f>
        <x:v>No upstream dependency</x:v>
      </x:c>
      <x:c r="J41" s="6" t="str">
        <x:v>Not Started</x:v>
      </x:c>
      <x:c r="K41" s="6" t="str">
        <x:v>Normal</x:v>
      </x:c>
      <x:c r="L41" s="6" t="str"/>
      <x:c r="M41" s="6" t="str"/>
      <x:c r="N41" s="6" t="str"/>
      <x:c r="O41" s="7" t="str"/>
      <x:c r="P41" s="6" t="str">
        <x:v>No</x:v>
      </x:c>
      <x:c r="Q41" s="7" t="str">
        <x:v>Identity review follows duplicate disposition where applicable.</x:v>
      </x:c>
    </x:row>
    <x:row r="42">
      <x:c r="A42" s="6" t="str">
        <x:v>SEQ-SID-0026</x:v>
      </x:c>
      <x:c r="B42" s="6" t="str">
        <x:v>Service Identity</x:v>
      </x:c>
      <x:c r="C42" s="6" t="str">
        <x:v>SIDX-0026</x:v>
      </x:c>
      <x:c r="D42" s="6" t="str">
        <x:v>SVC000026</x:v>
      </x:c>
      <x:c r="E42" s="6" t="str"/>
      <x:c r="F42" s="6" t="str">
        <x:v>Service identity review</x:v>
      </x:c>
      <x:c r="G42" s="6" t="n">
        <x:v>2</x:v>
      </x:c>
      <x:c r="H42" s="6" t="str"/>
      <x:c r="I42" s="6" t="str">
        <x:f>IF(H42="","No upstream dependency",IF(ISNUMBER(SEARCH(";",H42)),"Multiple dependencies - verify source queues",IFERROR(XLOOKUP(H42,C2:C1586,J2:J1586),"Dependency not found")))</x:f>
        <x:v>No upstream dependency</x:v>
      </x:c>
      <x:c r="J42" s="6" t="str">
        <x:v>Not Started</x:v>
      </x:c>
      <x:c r="K42" s="6" t="str">
        <x:v>Normal</x:v>
      </x:c>
      <x:c r="L42" s="6" t="str"/>
      <x:c r="M42" s="6" t="str"/>
      <x:c r="N42" s="6" t="str"/>
      <x:c r="O42" s="7" t="str"/>
      <x:c r="P42" s="6" t="str">
        <x:v>No</x:v>
      </x:c>
      <x:c r="Q42" s="7" t="str">
        <x:v>Identity review follows duplicate disposition where applicable.</x:v>
      </x:c>
    </x:row>
    <x:row r="43">
      <x:c r="A43" s="6" t="str">
        <x:v>SEQ-SID-0027</x:v>
      </x:c>
      <x:c r="B43" s="6" t="str">
        <x:v>Service Identity</x:v>
      </x:c>
      <x:c r="C43" s="6" t="str">
        <x:v>SIDX-0027</x:v>
      </x:c>
      <x:c r="D43" s="6" t="str">
        <x:v>SVC000027</x:v>
      </x:c>
      <x:c r="E43" s="6" t="str"/>
      <x:c r="F43" s="6" t="str">
        <x:v>Service identity review</x:v>
      </x:c>
      <x:c r="G43" s="6" t="n">
        <x:v>2</x:v>
      </x:c>
      <x:c r="H43" s="6" t="str"/>
      <x:c r="I43" s="6" t="str">
        <x:f>IF(H43="","No upstream dependency",IF(ISNUMBER(SEARCH(";",H43)),"Multiple dependencies - verify source queues",IFERROR(XLOOKUP(H43,C2:C1586,J2:J1586),"Dependency not found")))</x:f>
        <x:v>No upstream dependency</x:v>
      </x:c>
      <x:c r="J43" s="6" t="str">
        <x:v>Not Started</x:v>
      </x:c>
      <x:c r="K43" s="6" t="str">
        <x:v>Normal</x:v>
      </x:c>
      <x:c r="L43" s="6" t="str"/>
      <x:c r="M43" s="6" t="str"/>
      <x:c r="N43" s="6" t="str"/>
      <x:c r="O43" s="7" t="str"/>
      <x:c r="P43" s="6" t="str">
        <x:v>No</x:v>
      </x:c>
      <x:c r="Q43" s="7" t="str">
        <x:v>Identity review follows duplicate disposition where applicable.</x:v>
      </x:c>
    </x:row>
    <x:row r="44">
      <x:c r="A44" s="6" t="str">
        <x:v>SEQ-SID-0028</x:v>
      </x:c>
      <x:c r="B44" s="6" t="str">
        <x:v>Service Identity</x:v>
      </x:c>
      <x:c r="C44" s="6" t="str">
        <x:v>SIDX-0028</x:v>
      </x:c>
      <x:c r="D44" s="6" t="str">
        <x:v>SVC000028</x:v>
      </x:c>
      <x:c r="E44" s="6" t="str"/>
      <x:c r="F44" s="6" t="str">
        <x:v>Service identity review</x:v>
      </x:c>
      <x:c r="G44" s="6" t="n">
        <x:v>2</x:v>
      </x:c>
      <x:c r="H44" s="6" t="str"/>
      <x:c r="I44" s="6" t="str">
        <x:f>IF(H44="","No upstream dependency",IF(ISNUMBER(SEARCH(";",H44)),"Multiple dependencies - verify source queues",IFERROR(XLOOKUP(H44,C2:C1586,J2:J1586),"Dependency not found")))</x:f>
        <x:v>No upstream dependency</x:v>
      </x:c>
      <x:c r="J44" s="6" t="str">
        <x:v>Not Started</x:v>
      </x:c>
      <x:c r="K44" s="6" t="str">
        <x:v>Normal</x:v>
      </x:c>
      <x:c r="L44" s="6" t="str"/>
      <x:c r="M44" s="6" t="str"/>
      <x:c r="N44" s="6" t="str"/>
      <x:c r="O44" s="7" t="str"/>
      <x:c r="P44" s="6" t="str">
        <x:v>No</x:v>
      </x:c>
      <x:c r="Q44" s="7" t="str">
        <x:v>Identity review follows duplicate disposition where applicable.</x:v>
      </x:c>
    </x:row>
    <x:row r="45">
      <x:c r="A45" s="6" t="str">
        <x:v>SEQ-SID-0029</x:v>
      </x:c>
      <x:c r="B45" s="6" t="str">
        <x:v>Service Identity</x:v>
      </x:c>
      <x:c r="C45" s="6" t="str">
        <x:v>SIDX-0029</x:v>
      </x:c>
      <x:c r="D45" s="6" t="str">
        <x:v>SVC000029</x:v>
      </x:c>
      <x:c r="E45" s="6" t="str"/>
      <x:c r="F45" s="6" t="str">
        <x:v>Service identity review</x:v>
      </x:c>
      <x:c r="G45" s="6" t="n">
        <x:v>2</x:v>
      </x:c>
      <x:c r="H45" s="6" t="str"/>
      <x:c r="I45" s="6" t="str">
        <x:f>IF(H45="","No upstream dependency",IF(ISNUMBER(SEARCH(";",H45)),"Multiple dependencies - verify source queues",IFERROR(XLOOKUP(H45,C2:C1586,J2:J1586),"Dependency not found")))</x:f>
        <x:v>No upstream dependency</x:v>
      </x:c>
      <x:c r="J45" s="6" t="str">
        <x:v>Not Started</x:v>
      </x:c>
      <x:c r="K45" s="6" t="str">
        <x:v>Normal</x:v>
      </x:c>
      <x:c r="L45" s="6" t="str"/>
      <x:c r="M45" s="6" t="str"/>
      <x:c r="N45" s="6" t="str"/>
      <x:c r="O45" s="7" t="str"/>
      <x:c r="P45" s="6" t="str">
        <x:v>No</x:v>
      </x:c>
      <x:c r="Q45" s="7" t="str">
        <x:v>Identity review follows duplicate disposition where applicable.</x:v>
      </x:c>
    </x:row>
    <x:row r="46">
      <x:c r="A46" s="6" t="str">
        <x:v>SEQ-SID-0030</x:v>
      </x:c>
      <x:c r="B46" s="6" t="str">
        <x:v>Service Identity</x:v>
      </x:c>
      <x:c r="C46" s="6" t="str">
        <x:v>SIDX-0030</x:v>
      </x:c>
      <x:c r="D46" s="6" t="str">
        <x:v>SVC000030</x:v>
      </x:c>
      <x:c r="E46" s="6" t="str"/>
      <x:c r="F46" s="6" t="str">
        <x:v>Service identity review</x:v>
      </x:c>
      <x:c r="G46" s="6" t="n">
        <x:v>2</x:v>
      </x:c>
      <x:c r="H46" s="6" t="str"/>
      <x:c r="I46" s="6" t="str">
        <x:f>IF(H46="","No upstream dependency",IF(ISNUMBER(SEARCH(";",H46)),"Multiple dependencies - verify source queues",IFERROR(XLOOKUP(H46,C2:C1586,J2:J1586),"Dependency not found")))</x:f>
        <x:v>No upstream dependency</x:v>
      </x:c>
      <x:c r="J46" s="6" t="str">
        <x:v>Not Started</x:v>
      </x:c>
      <x:c r="K46" s="6" t="str">
        <x:v>Normal</x:v>
      </x:c>
      <x:c r="L46" s="6" t="str"/>
      <x:c r="M46" s="6" t="str"/>
      <x:c r="N46" s="6" t="str"/>
      <x:c r="O46" s="7" t="str"/>
      <x:c r="P46" s="6" t="str">
        <x:v>No</x:v>
      </x:c>
      <x:c r="Q46" s="7" t="str">
        <x:v>Identity review follows duplicate disposition where applicable.</x:v>
      </x:c>
    </x:row>
    <x:row r="47">
      <x:c r="A47" s="6" t="str">
        <x:v>SEQ-SID-0031</x:v>
      </x:c>
      <x:c r="B47" s="6" t="str">
        <x:v>Service Identity</x:v>
      </x:c>
      <x:c r="C47" s="6" t="str">
        <x:v>SIDX-0031</x:v>
      </x:c>
      <x:c r="D47" s="6" t="str">
        <x:v>SVC000031</x:v>
      </x:c>
      <x:c r="E47" s="6" t="str"/>
      <x:c r="F47" s="6" t="str">
        <x:v>Service identity review</x:v>
      </x:c>
      <x:c r="G47" s="6" t="n">
        <x:v>2</x:v>
      </x:c>
      <x:c r="H47" s="6" t="str"/>
      <x:c r="I47" s="6" t="str">
        <x:f>IF(H47="","No upstream dependency",IF(ISNUMBER(SEARCH(";",H47)),"Multiple dependencies - verify source queues",IFERROR(XLOOKUP(H47,C2:C1586,J2:J1586),"Dependency not found")))</x:f>
        <x:v>No upstream dependency</x:v>
      </x:c>
      <x:c r="J47" s="6" t="str">
        <x:v>Not Started</x:v>
      </x:c>
      <x:c r="K47" s="6" t="str">
        <x:v>Normal</x:v>
      </x:c>
      <x:c r="L47" s="6" t="str"/>
      <x:c r="M47" s="6" t="str"/>
      <x:c r="N47" s="6" t="str"/>
      <x:c r="O47" s="7" t="str"/>
      <x:c r="P47" s="6" t="str">
        <x:v>No</x:v>
      </x:c>
      <x:c r="Q47" s="7" t="str">
        <x:v>Identity review follows duplicate disposition where applicable.</x:v>
      </x:c>
    </x:row>
    <x:row r="48">
      <x:c r="A48" s="6" t="str">
        <x:v>SEQ-SID-0032</x:v>
      </x:c>
      <x:c r="B48" s="6" t="str">
        <x:v>Service Identity</x:v>
      </x:c>
      <x:c r="C48" s="6" t="str">
        <x:v>SIDX-0032</x:v>
      </x:c>
      <x:c r="D48" s="6" t="str">
        <x:v>SVC000032</x:v>
      </x:c>
      <x:c r="E48" s="6" t="str"/>
      <x:c r="F48" s="6" t="str">
        <x:v>Service identity review</x:v>
      </x:c>
      <x:c r="G48" s="6" t="n">
        <x:v>2</x:v>
      </x:c>
      <x:c r="H48" s="6" t="str"/>
      <x:c r="I48" s="6" t="str">
        <x:f>IF(H48="","No upstream dependency",IF(ISNUMBER(SEARCH(";",H48)),"Multiple dependencies - verify source queues",IFERROR(XLOOKUP(H48,C2:C1586,J2:J1586),"Dependency not found")))</x:f>
        <x:v>No upstream dependency</x:v>
      </x:c>
      <x:c r="J48" s="6" t="str">
        <x:v>Not Started</x:v>
      </x:c>
      <x:c r="K48" s="6" t="str">
        <x:v>Normal</x:v>
      </x:c>
      <x:c r="L48" s="6" t="str"/>
      <x:c r="M48" s="6" t="str"/>
      <x:c r="N48" s="6" t="str"/>
      <x:c r="O48" s="7" t="str"/>
      <x:c r="P48" s="6" t="str">
        <x:v>No</x:v>
      </x:c>
      <x:c r="Q48" s="7" t="str">
        <x:v>Identity review follows duplicate disposition where applicable.</x:v>
      </x:c>
    </x:row>
    <x:row r="49">
      <x:c r="A49" s="6" t="str">
        <x:v>SEQ-SID-0033</x:v>
      </x:c>
      <x:c r="B49" s="6" t="str">
        <x:v>Service Identity</x:v>
      </x:c>
      <x:c r="C49" s="6" t="str">
        <x:v>SIDX-0033</x:v>
      </x:c>
      <x:c r="D49" s="6" t="str">
        <x:v>SVC000033</x:v>
      </x:c>
      <x:c r="E49" s="6" t="str"/>
      <x:c r="F49" s="6" t="str">
        <x:v>Service identity review</x:v>
      </x:c>
      <x:c r="G49" s="6" t="n">
        <x:v>2</x:v>
      </x:c>
      <x:c r="H49" s="6" t="str"/>
      <x:c r="I49" s="6" t="str">
        <x:f>IF(H49="","No upstream dependency",IF(ISNUMBER(SEARCH(";",H49)),"Multiple dependencies - verify source queues",IFERROR(XLOOKUP(H49,C2:C1586,J2:J1586),"Dependency not found")))</x:f>
        <x:v>No upstream dependency</x:v>
      </x:c>
      <x:c r="J49" s="6" t="str">
        <x:v>Not Started</x:v>
      </x:c>
      <x:c r="K49" s="6" t="str">
        <x:v>Normal</x:v>
      </x:c>
      <x:c r="L49" s="6" t="str"/>
      <x:c r="M49" s="6" t="str"/>
      <x:c r="N49" s="6" t="str"/>
      <x:c r="O49" s="7" t="str"/>
      <x:c r="P49" s="6" t="str">
        <x:v>No</x:v>
      </x:c>
      <x:c r="Q49" s="7" t="str">
        <x:v>Identity review follows duplicate disposition where applicable.</x:v>
      </x:c>
    </x:row>
    <x:row r="50">
      <x:c r="A50" s="6" t="str">
        <x:v>SEQ-SID-0034</x:v>
      </x:c>
      <x:c r="B50" s="6" t="str">
        <x:v>Service Identity</x:v>
      </x:c>
      <x:c r="C50" s="6" t="str">
        <x:v>SIDX-0034</x:v>
      </x:c>
      <x:c r="D50" s="6" t="str">
        <x:v>SVC000034</x:v>
      </x:c>
      <x:c r="E50" s="6" t="str"/>
      <x:c r="F50" s="6" t="str">
        <x:v>Service identity review</x:v>
      </x:c>
      <x:c r="G50" s="6" t="n">
        <x:v>2</x:v>
      </x:c>
      <x:c r="H50" s="6" t="str"/>
      <x:c r="I50" s="6" t="str">
        <x:f>IF(H50="","No upstream dependency",IF(ISNUMBER(SEARCH(";",H50)),"Multiple dependencies - verify source queues",IFERROR(XLOOKUP(H50,C2:C1586,J2:J1586),"Dependency not found")))</x:f>
        <x:v>No upstream dependency</x:v>
      </x:c>
      <x:c r="J50" s="6" t="str">
        <x:v>Not Started</x:v>
      </x:c>
      <x:c r="K50" s="6" t="str">
        <x:v>Normal</x:v>
      </x:c>
      <x:c r="L50" s="6" t="str"/>
      <x:c r="M50" s="6" t="str"/>
      <x:c r="N50" s="6" t="str"/>
      <x:c r="O50" s="7" t="str"/>
      <x:c r="P50" s="6" t="str">
        <x:v>No</x:v>
      </x:c>
      <x:c r="Q50" s="7" t="str">
        <x:v>Identity review follows duplicate disposition where applicable.</x:v>
      </x:c>
    </x:row>
    <x:row r="51">
      <x:c r="A51" s="6" t="str">
        <x:v>SEQ-SID-0035</x:v>
      </x:c>
      <x:c r="B51" s="6" t="str">
        <x:v>Service Identity</x:v>
      </x:c>
      <x:c r="C51" s="6" t="str">
        <x:v>SIDX-0035</x:v>
      </x:c>
      <x:c r="D51" s="6" t="str">
        <x:v>SVC000035</x:v>
      </x:c>
      <x:c r="E51" s="6" t="str"/>
      <x:c r="F51" s="6" t="str">
        <x:v>Service identity review</x:v>
      </x:c>
      <x:c r="G51" s="6" t="n">
        <x:v>2</x:v>
      </x:c>
      <x:c r="H51" s="6" t="str"/>
      <x:c r="I51" s="6" t="str">
        <x:f>IF(H51="","No upstream dependency",IF(ISNUMBER(SEARCH(";",H51)),"Multiple dependencies - verify source queues",IFERROR(XLOOKUP(H51,C2:C1586,J2:J1586),"Dependency not found")))</x:f>
        <x:v>No upstream dependency</x:v>
      </x:c>
      <x:c r="J51" s="6" t="str">
        <x:v>Not Started</x:v>
      </x:c>
      <x:c r="K51" s="6" t="str">
        <x:v>Normal</x:v>
      </x:c>
      <x:c r="L51" s="6" t="str"/>
      <x:c r="M51" s="6" t="str"/>
      <x:c r="N51" s="6" t="str"/>
      <x:c r="O51" s="7" t="str"/>
      <x:c r="P51" s="6" t="str">
        <x:v>No</x:v>
      </x:c>
      <x:c r="Q51" s="7" t="str">
        <x:v>Identity review follows duplicate disposition where applicable.</x:v>
      </x:c>
    </x:row>
    <x:row r="52">
      <x:c r="A52" s="6" t="str">
        <x:v>SEQ-SID-0036</x:v>
      </x:c>
      <x:c r="B52" s="6" t="str">
        <x:v>Service Identity</x:v>
      </x:c>
      <x:c r="C52" s="6" t="str">
        <x:v>SIDX-0036</x:v>
      </x:c>
      <x:c r="D52" s="6" t="str">
        <x:v>SVC000036</x:v>
      </x:c>
      <x:c r="E52" s="6" t="str"/>
      <x:c r="F52" s="6" t="str">
        <x:v>Service identity review</x:v>
      </x:c>
      <x:c r="G52" s="6" t="n">
        <x:v>2</x:v>
      </x:c>
      <x:c r="H52" s="6" t="str"/>
      <x:c r="I52" s="6" t="str">
        <x:f>IF(H52="","No upstream dependency",IF(ISNUMBER(SEARCH(";",H52)),"Multiple dependencies - verify source queues",IFERROR(XLOOKUP(H52,C2:C1586,J2:J1586),"Dependency not found")))</x:f>
        <x:v>No upstream dependency</x:v>
      </x:c>
      <x:c r="J52" s="6" t="str">
        <x:v>Not Started</x:v>
      </x:c>
      <x:c r="K52" s="6" t="str">
        <x:v>Normal</x:v>
      </x:c>
      <x:c r="L52" s="6" t="str"/>
      <x:c r="M52" s="6" t="str"/>
      <x:c r="N52" s="6" t="str"/>
      <x:c r="O52" s="7" t="str"/>
      <x:c r="P52" s="6" t="str">
        <x:v>No</x:v>
      </x:c>
      <x:c r="Q52" s="7" t="str">
        <x:v>Identity review follows duplicate disposition where applicable.</x:v>
      </x:c>
    </x:row>
    <x:row r="53">
      <x:c r="A53" s="6" t="str">
        <x:v>SEQ-SID-0037</x:v>
      </x:c>
      <x:c r="B53" s="6" t="str">
        <x:v>Service Identity</x:v>
      </x:c>
      <x:c r="C53" s="6" t="str">
        <x:v>SIDX-0037</x:v>
      </x:c>
      <x:c r="D53" s="6" t="str">
        <x:v>SVC000037</x:v>
      </x:c>
      <x:c r="E53" s="6" t="str"/>
      <x:c r="F53" s="6" t="str">
        <x:v>Service identity review</x:v>
      </x:c>
      <x:c r="G53" s="6" t="n">
        <x:v>2</x:v>
      </x:c>
      <x:c r="H53" s="6" t="str"/>
      <x:c r="I53" s="6" t="str">
        <x:f>IF(H53="","No upstream dependency",IF(ISNUMBER(SEARCH(";",H53)),"Multiple dependencies - verify source queues",IFERROR(XLOOKUP(H53,C2:C1586,J2:J1586),"Dependency not found")))</x:f>
        <x:v>No upstream dependency</x:v>
      </x:c>
      <x:c r="J53" s="6" t="str">
        <x:v>Not Started</x:v>
      </x:c>
      <x:c r="K53" s="6" t="str">
        <x:v>Normal</x:v>
      </x:c>
      <x:c r="L53" s="6" t="str"/>
      <x:c r="M53" s="6" t="str"/>
      <x:c r="N53" s="6" t="str"/>
      <x:c r="O53" s="7" t="str"/>
      <x:c r="P53" s="6" t="str">
        <x:v>No</x:v>
      </x:c>
      <x:c r="Q53" s="7" t="str">
        <x:v>Identity review follows duplicate disposition where applicable.</x:v>
      </x:c>
    </x:row>
    <x:row r="54">
      <x:c r="A54" s="6" t="str">
        <x:v>SEQ-SID-0038</x:v>
      </x:c>
      <x:c r="B54" s="6" t="str">
        <x:v>Service Identity</x:v>
      </x:c>
      <x:c r="C54" s="6" t="str">
        <x:v>SIDX-0038</x:v>
      </x:c>
      <x:c r="D54" s="6" t="str">
        <x:v>SVC000038</x:v>
      </x:c>
      <x:c r="E54" s="6" t="str"/>
      <x:c r="F54" s="6" t="str">
        <x:v>Service identity review</x:v>
      </x:c>
      <x:c r="G54" s="6" t="n">
        <x:v>2</x:v>
      </x:c>
      <x:c r="H54" s="6" t="str"/>
      <x:c r="I54" s="6" t="str">
        <x:f>IF(H54="","No upstream dependency",IF(ISNUMBER(SEARCH(";",H54)),"Multiple dependencies - verify source queues",IFERROR(XLOOKUP(H54,C2:C1586,J2:J1586),"Dependency not found")))</x:f>
        <x:v>No upstream dependency</x:v>
      </x:c>
      <x:c r="J54" s="6" t="str">
        <x:v>Not Started</x:v>
      </x:c>
      <x:c r="K54" s="6" t="str">
        <x:v>Normal</x:v>
      </x:c>
      <x:c r="L54" s="6" t="str"/>
      <x:c r="M54" s="6" t="str"/>
      <x:c r="N54" s="6" t="str"/>
      <x:c r="O54" s="7" t="str"/>
      <x:c r="P54" s="6" t="str">
        <x:v>No</x:v>
      </x:c>
      <x:c r="Q54" s="7" t="str">
        <x:v>Identity review follows duplicate disposition where applicable.</x:v>
      </x:c>
    </x:row>
    <x:row r="55">
      <x:c r="A55" s="6" t="str">
        <x:v>SEQ-SID-0039</x:v>
      </x:c>
      <x:c r="B55" s="6" t="str">
        <x:v>Service Identity</x:v>
      </x:c>
      <x:c r="C55" s="6" t="str">
        <x:v>SIDX-0039</x:v>
      </x:c>
      <x:c r="D55" s="6" t="str">
        <x:v>SVC000039</x:v>
      </x:c>
      <x:c r="E55" s="6" t="str"/>
      <x:c r="F55" s="6" t="str">
        <x:v>Service identity review</x:v>
      </x:c>
      <x:c r="G55" s="6" t="n">
        <x:v>2</x:v>
      </x:c>
      <x:c r="H55" s="6" t="str"/>
      <x:c r="I55" s="6" t="str">
        <x:f>IF(H55="","No upstream dependency",IF(ISNUMBER(SEARCH(";",H55)),"Multiple dependencies - verify source queues",IFERROR(XLOOKUP(H55,C2:C1586,J2:J1586),"Dependency not found")))</x:f>
        <x:v>No upstream dependency</x:v>
      </x:c>
      <x:c r="J55" s="6" t="str">
        <x:v>Not Started</x:v>
      </x:c>
      <x:c r="K55" s="6" t="str">
        <x:v>Normal</x:v>
      </x:c>
      <x:c r="L55" s="6" t="str"/>
      <x:c r="M55" s="6" t="str"/>
      <x:c r="N55" s="6" t="str"/>
      <x:c r="O55" s="7" t="str"/>
      <x:c r="P55" s="6" t="str">
        <x:v>No</x:v>
      </x:c>
      <x:c r="Q55" s="7" t="str">
        <x:v>Identity review follows duplicate disposition where applicable.</x:v>
      </x:c>
    </x:row>
    <x:row r="56">
      <x:c r="A56" s="6" t="str">
        <x:v>SEQ-SID-0040</x:v>
      </x:c>
      <x:c r="B56" s="6" t="str">
        <x:v>Service Identity</x:v>
      </x:c>
      <x:c r="C56" s="6" t="str">
        <x:v>SIDX-0040</x:v>
      </x:c>
      <x:c r="D56" s="6" t="str">
        <x:v>SVC000040</x:v>
      </x:c>
      <x:c r="E56" s="6" t="str"/>
      <x:c r="F56" s="6" t="str">
        <x:v>Service identity review</x:v>
      </x:c>
      <x:c r="G56" s="6" t="n">
        <x:v>2</x:v>
      </x:c>
      <x:c r="H56" s="6" t="str"/>
      <x:c r="I56" s="6" t="str">
        <x:f>IF(H56="","No upstream dependency",IF(ISNUMBER(SEARCH(";",H56)),"Multiple dependencies - verify source queues",IFERROR(XLOOKUP(H56,C2:C1586,J2:J1586),"Dependency not found")))</x:f>
        <x:v>No upstream dependency</x:v>
      </x:c>
      <x:c r="J56" s="6" t="str">
        <x:v>Not Started</x:v>
      </x:c>
      <x:c r="K56" s="6" t="str">
        <x:v>Normal</x:v>
      </x:c>
      <x:c r="L56" s="6" t="str"/>
      <x:c r="M56" s="6" t="str"/>
      <x:c r="N56" s="6" t="str"/>
      <x:c r="O56" s="7" t="str"/>
      <x:c r="P56" s="6" t="str">
        <x:v>No</x:v>
      </x:c>
      <x:c r="Q56" s="7" t="str">
        <x:v>Identity review follows duplicate disposition where applicable.</x:v>
      </x:c>
    </x:row>
    <x:row r="57">
      <x:c r="A57" s="6" t="str">
        <x:v>SEQ-SID-0041</x:v>
      </x:c>
      <x:c r="B57" s="6" t="str">
        <x:v>Service Identity</x:v>
      </x:c>
      <x:c r="C57" s="6" t="str">
        <x:v>SIDX-0041</x:v>
      </x:c>
      <x:c r="D57" s="6" t="str">
        <x:v>SVC000041</x:v>
      </x:c>
      <x:c r="E57" s="6" t="str"/>
      <x:c r="F57" s="6" t="str">
        <x:v>Service identity review</x:v>
      </x:c>
      <x:c r="G57" s="6" t="n">
        <x:v>2</x:v>
      </x:c>
      <x:c r="H57" s="6" t="str"/>
      <x:c r="I57" s="6" t="str">
        <x:f>IF(H57="","No upstream dependency",IF(ISNUMBER(SEARCH(";",H57)),"Multiple dependencies - verify source queues",IFERROR(XLOOKUP(H57,C2:C1586,J2:J1586),"Dependency not found")))</x:f>
        <x:v>No upstream dependency</x:v>
      </x:c>
      <x:c r="J57" s="6" t="str">
        <x:v>Not Started</x:v>
      </x:c>
      <x:c r="K57" s="6" t="str">
        <x:v>Normal</x:v>
      </x:c>
      <x:c r="L57" s="6" t="str"/>
      <x:c r="M57" s="6" t="str"/>
      <x:c r="N57" s="6" t="str"/>
      <x:c r="O57" s="7" t="str"/>
      <x:c r="P57" s="6" t="str">
        <x:v>No</x:v>
      </x:c>
      <x:c r="Q57" s="7" t="str">
        <x:v>Identity review follows duplicate disposition where applicable.</x:v>
      </x:c>
    </x:row>
    <x:row r="58">
      <x:c r="A58" s="6" t="str">
        <x:v>SEQ-SID-0042</x:v>
      </x:c>
      <x:c r="B58" s="6" t="str">
        <x:v>Service Identity</x:v>
      </x:c>
      <x:c r="C58" s="6" t="str">
        <x:v>SIDX-0042</x:v>
      </x:c>
      <x:c r="D58" s="6" t="str">
        <x:v>SVC000042</x:v>
      </x:c>
      <x:c r="E58" s="6" t="str"/>
      <x:c r="F58" s="6" t="str">
        <x:v>Service identity review</x:v>
      </x:c>
      <x:c r="G58" s="6" t="n">
        <x:v>2</x:v>
      </x:c>
      <x:c r="H58" s="6" t="str"/>
      <x:c r="I58" s="6" t="str">
        <x:f>IF(H58="","No upstream dependency",IF(ISNUMBER(SEARCH(";",H58)),"Multiple dependencies - verify source queues",IFERROR(XLOOKUP(H58,C2:C1586,J2:J1586),"Dependency not found")))</x:f>
        <x:v>No upstream dependency</x:v>
      </x:c>
      <x:c r="J58" s="6" t="str">
        <x:v>Not Started</x:v>
      </x:c>
      <x:c r="K58" s="6" t="str">
        <x:v>Normal</x:v>
      </x:c>
      <x:c r="L58" s="6" t="str"/>
      <x:c r="M58" s="6" t="str"/>
      <x:c r="N58" s="6" t="str"/>
      <x:c r="O58" s="7" t="str"/>
      <x:c r="P58" s="6" t="str">
        <x:v>No</x:v>
      </x:c>
      <x:c r="Q58" s="7" t="str">
        <x:v>Identity review follows duplicate disposition where applicable.</x:v>
      </x:c>
    </x:row>
    <x:row r="59">
      <x:c r="A59" s="6" t="str">
        <x:v>SEQ-SID-0043</x:v>
      </x:c>
      <x:c r="B59" s="6" t="str">
        <x:v>Service Identity</x:v>
      </x:c>
      <x:c r="C59" s="6" t="str">
        <x:v>SIDX-0043</x:v>
      </x:c>
      <x:c r="D59" s="6" t="str">
        <x:v>SVC000043</x:v>
      </x:c>
      <x:c r="E59" s="6" t="str"/>
      <x:c r="F59" s="6" t="str">
        <x:v>Service identity review</x:v>
      </x:c>
      <x:c r="G59" s="6" t="n">
        <x:v>2</x:v>
      </x:c>
      <x:c r="H59" s="6" t="str"/>
      <x:c r="I59" s="6" t="str">
        <x:f>IF(H59="","No upstream dependency",IF(ISNUMBER(SEARCH(";",H59)),"Multiple dependencies - verify source queues",IFERROR(XLOOKUP(H59,C2:C1586,J2:J1586),"Dependency not found")))</x:f>
        <x:v>No upstream dependency</x:v>
      </x:c>
      <x:c r="J59" s="6" t="str">
        <x:v>Not Started</x:v>
      </x:c>
      <x:c r="K59" s="6" t="str">
        <x:v>Normal</x:v>
      </x:c>
      <x:c r="L59" s="6" t="str"/>
      <x:c r="M59" s="6" t="str"/>
      <x:c r="N59" s="6" t="str"/>
      <x:c r="O59" s="7" t="str"/>
      <x:c r="P59" s="6" t="str">
        <x:v>No</x:v>
      </x:c>
      <x:c r="Q59" s="7" t="str">
        <x:v>Identity review follows duplicate disposition where applicable.</x:v>
      </x:c>
    </x:row>
    <x:row r="60">
      <x:c r="A60" s="6" t="str">
        <x:v>SEQ-SID-0044</x:v>
      </x:c>
      <x:c r="B60" s="6" t="str">
        <x:v>Service Identity</x:v>
      </x:c>
      <x:c r="C60" s="6" t="str">
        <x:v>SIDX-0044</x:v>
      </x:c>
      <x:c r="D60" s="6" t="str">
        <x:v>SVC000044</x:v>
      </x:c>
      <x:c r="E60" s="6" t="str"/>
      <x:c r="F60" s="6" t="str">
        <x:v>Service identity review</x:v>
      </x:c>
      <x:c r="G60" s="6" t="n">
        <x:v>2</x:v>
      </x:c>
      <x:c r="H60" s="6" t="str"/>
      <x:c r="I60" s="6" t="str">
        <x:f>IF(H60="","No upstream dependency",IF(ISNUMBER(SEARCH(";",H60)),"Multiple dependencies - verify source queues",IFERROR(XLOOKUP(H60,C2:C1586,J2:J1586),"Dependency not found")))</x:f>
        <x:v>No upstream dependency</x:v>
      </x:c>
      <x:c r="J60" s="6" t="str">
        <x:v>Not Started</x:v>
      </x:c>
      <x:c r="K60" s="6" t="str">
        <x:v>Normal</x:v>
      </x:c>
      <x:c r="L60" s="6" t="str"/>
      <x:c r="M60" s="6" t="str"/>
      <x:c r="N60" s="6" t="str"/>
      <x:c r="O60" s="7" t="str"/>
      <x:c r="P60" s="6" t="str">
        <x:v>No</x:v>
      </x:c>
      <x:c r="Q60" s="7" t="str">
        <x:v>Identity review follows duplicate disposition where applicable.</x:v>
      </x:c>
    </x:row>
    <x:row r="61">
      <x:c r="A61" s="6" t="str">
        <x:v>SEQ-SID-0045</x:v>
      </x:c>
      <x:c r="B61" s="6" t="str">
        <x:v>Service Identity</x:v>
      </x:c>
      <x:c r="C61" s="6" t="str">
        <x:v>SIDX-0045</x:v>
      </x:c>
      <x:c r="D61" s="6" t="str">
        <x:v>SVC000045</x:v>
      </x:c>
      <x:c r="E61" s="6" t="str"/>
      <x:c r="F61" s="6" t="str">
        <x:v>Service identity review</x:v>
      </x:c>
      <x:c r="G61" s="6" t="n">
        <x:v>2</x:v>
      </x:c>
      <x:c r="H61" s="6" t="str"/>
      <x:c r="I61" s="6" t="str">
        <x:f>IF(H61="","No upstream dependency",IF(ISNUMBER(SEARCH(";",H61)),"Multiple dependencies - verify source queues",IFERROR(XLOOKUP(H61,C2:C1586,J2:J1586),"Dependency not found")))</x:f>
        <x:v>No upstream dependency</x:v>
      </x:c>
      <x:c r="J61" s="6" t="str">
        <x:v>Not Started</x:v>
      </x:c>
      <x:c r="K61" s="6" t="str">
        <x:v>Normal</x:v>
      </x:c>
      <x:c r="L61" s="6" t="str"/>
      <x:c r="M61" s="6" t="str"/>
      <x:c r="N61" s="6" t="str"/>
      <x:c r="O61" s="7" t="str"/>
      <x:c r="P61" s="6" t="str">
        <x:v>No</x:v>
      </x:c>
      <x:c r="Q61" s="7" t="str">
        <x:v>Identity review follows duplicate disposition where applicable.</x:v>
      </x:c>
    </x:row>
    <x:row r="62">
      <x:c r="A62" s="6" t="str">
        <x:v>SEQ-SID-0046</x:v>
      </x:c>
      <x:c r="B62" s="6" t="str">
        <x:v>Service Identity</x:v>
      </x:c>
      <x:c r="C62" s="6" t="str">
        <x:v>SIDX-0046</x:v>
      </x:c>
      <x:c r="D62" s="6" t="str">
        <x:v>SVC000046</x:v>
      </x:c>
      <x:c r="E62" s="6" t="str"/>
      <x:c r="F62" s="6" t="str">
        <x:v>Service identity review</x:v>
      </x:c>
      <x:c r="G62" s="6" t="n">
        <x:v>2</x:v>
      </x:c>
      <x:c r="H62" s="6" t="str"/>
      <x:c r="I62" s="6" t="str">
        <x:f>IF(H62="","No upstream dependency",IF(ISNUMBER(SEARCH(";",H62)),"Multiple dependencies - verify source queues",IFERROR(XLOOKUP(H62,C2:C1586,J2:J1586),"Dependency not found")))</x:f>
        <x:v>No upstream dependency</x:v>
      </x:c>
      <x:c r="J62" s="6" t="str">
        <x:v>Not Started</x:v>
      </x:c>
      <x:c r="K62" s="6" t="str">
        <x:v>Normal</x:v>
      </x:c>
      <x:c r="L62" s="6" t="str"/>
      <x:c r="M62" s="6" t="str"/>
      <x:c r="N62" s="6" t="str"/>
      <x:c r="O62" s="7" t="str"/>
      <x:c r="P62" s="6" t="str">
        <x:v>No</x:v>
      </x:c>
      <x:c r="Q62" s="7" t="str">
        <x:v>Identity review follows duplicate disposition where applicable.</x:v>
      </x:c>
    </x:row>
    <x:row r="63">
      <x:c r="A63" s="6" t="str">
        <x:v>SEQ-SID-0047</x:v>
      </x:c>
      <x:c r="B63" s="6" t="str">
        <x:v>Service Identity</x:v>
      </x:c>
      <x:c r="C63" s="6" t="str">
        <x:v>SIDX-0047</x:v>
      </x:c>
      <x:c r="D63" s="6" t="str">
        <x:v>SVC000047</x:v>
      </x:c>
      <x:c r="E63" s="6" t="str"/>
      <x:c r="F63" s="6" t="str">
        <x:v>Service identity review</x:v>
      </x:c>
      <x:c r="G63" s="6" t="n">
        <x:v>2</x:v>
      </x:c>
      <x:c r="H63" s="6" t="str"/>
      <x:c r="I63" s="6" t="str">
        <x:f>IF(H63="","No upstream dependency",IF(ISNUMBER(SEARCH(";",H63)),"Multiple dependencies - verify source queues",IFERROR(XLOOKUP(H63,C2:C1586,J2:J1586),"Dependency not found")))</x:f>
        <x:v>No upstream dependency</x:v>
      </x:c>
      <x:c r="J63" s="6" t="str">
        <x:v>Not Started</x:v>
      </x:c>
      <x:c r="K63" s="6" t="str">
        <x:v>Normal</x:v>
      </x:c>
      <x:c r="L63" s="6" t="str"/>
      <x:c r="M63" s="6" t="str"/>
      <x:c r="N63" s="6" t="str"/>
      <x:c r="O63" s="7" t="str"/>
      <x:c r="P63" s="6" t="str">
        <x:v>No</x:v>
      </x:c>
      <x:c r="Q63" s="7" t="str">
        <x:v>Identity review follows duplicate disposition where applicable.</x:v>
      </x:c>
    </x:row>
    <x:row r="64">
      <x:c r="A64" s="6" t="str">
        <x:v>SEQ-SID-0048</x:v>
      </x:c>
      <x:c r="B64" s="6" t="str">
        <x:v>Service Identity</x:v>
      </x:c>
      <x:c r="C64" s="6" t="str">
        <x:v>SIDX-0048</x:v>
      </x:c>
      <x:c r="D64" s="6" t="str">
        <x:v>SVC000048</x:v>
      </x:c>
      <x:c r="E64" s="6" t="str"/>
      <x:c r="F64" s="6" t="str">
        <x:v>Service identity review</x:v>
      </x:c>
      <x:c r="G64" s="6" t="n">
        <x:v>2</x:v>
      </x:c>
      <x:c r="H64" s="6" t="str"/>
      <x:c r="I64" s="6" t="str">
        <x:f>IF(H64="","No upstream dependency",IF(ISNUMBER(SEARCH(";",H64)),"Multiple dependencies - verify source queues",IFERROR(XLOOKUP(H64,C2:C1586,J2:J1586),"Dependency not found")))</x:f>
        <x:v>No upstream dependency</x:v>
      </x:c>
      <x:c r="J64" s="6" t="str">
        <x:v>Not Started</x:v>
      </x:c>
      <x:c r="K64" s="6" t="str">
        <x:v>Normal</x:v>
      </x:c>
      <x:c r="L64" s="6" t="str"/>
      <x:c r="M64" s="6" t="str"/>
      <x:c r="N64" s="6" t="str"/>
      <x:c r="O64" s="7" t="str"/>
      <x:c r="P64" s="6" t="str">
        <x:v>No</x:v>
      </x:c>
      <x:c r="Q64" s="7" t="str">
        <x:v>Identity review follows duplicate disposition where applicable.</x:v>
      </x:c>
    </x:row>
    <x:row r="65">
      <x:c r="A65" s="6" t="str">
        <x:v>SEQ-SID-0049</x:v>
      </x:c>
      <x:c r="B65" s="6" t="str">
        <x:v>Service Identity</x:v>
      </x:c>
      <x:c r="C65" s="6" t="str">
        <x:v>SIDX-0049</x:v>
      </x:c>
      <x:c r="D65" s="6" t="str">
        <x:v>SVC000049</x:v>
      </x:c>
      <x:c r="E65" s="6" t="str"/>
      <x:c r="F65" s="6" t="str">
        <x:v>Service identity review</x:v>
      </x:c>
      <x:c r="G65" s="6" t="n">
        <x:v>2</x:v>
      </x:c>
      <x:c r="H65" s="6" t="str"/>
      <x:c r="I65" s="6" t="str">
        <x:f>IF(H65="","No upstream dependency",IF(ISNUMBER(SEARCH(";",H65)),"Multiple dependencies - verify source queues",IFERROR(XLOOKUP(H65,C2:C1586,J2:J1586),"Dependency not found")))</x:f>
        <x:v>No upstream dependency</x:v>
      </x:c>
      <x:c r="J65" s="6" t="str">
        <x:v>Not Started</x:v>
      </x:c>
      <x:c r="K65" s="6" t="str">
        <x:v>Normal</x:v>
      </x:c>
      <x:c r="L65" s="6" t="str"/>
      <x:c r="M65" s="6" t="str"/>
      <x:c r="N65" s="6" t="str"/>
      <x:c r="O65" s="7" t="str"/>
      <x:c r="P65" s="6" t="str">
        <x:v>No</x:v>
      </x:c>
      <x:c r="Q65" s="7" t="str">
        <x:v>Identity review follows duplicate disposition where applicable.</x:v>
      </x:c>
    </x:row>
    <x:row r="66">
      <x:c r="A66" s="6" t="str">
        <x:v>SEQ-SID-0050</x:v>
      </x:c>
      <x:c r="B66" s="6" t="str">
        <x:v>Service Identity</x:v>
      </x:c>
      <x:c r="C66" s="6" t="str">
        <x:v>SIDX-0050</x:v>
      </x:c>
      <x:c r="D66" s="6" t="str">
        <x:v>SVC000050</x:v>
      </x:c>
      <x:c r="E66" s="6" t="str"/>
      <x:c r="F66" s="6" t="str">
        <x:v>Service identity review</x:v>
      </x:c>
      <x:c r="G66" s="6" t="n">
        <x:v>2</x:v>
      </x:c>
      <x:c r="H66" s="6" t="str"/>
      <x:c r="I66" s="6" t="str">
        <x:f>IF(H66="","No upstream dependency",IF(ISNUMBER(SEARCH(";",H66)),"Multiple dependencies - verify source queues",IFERROR(XLOOKUP(H66,C2:C1586,J2:J1586),"Dependency not found")))</x:f>
        <x:v>No upstream dependency</x:v>
      </x:c>
      <x:c r="J66" s="6" t="str">
        <x:v>Not Started</x:v>
      </x:c>
      <x:c r="K66" s="6" t="str">
        <x:v>Normal</x:v>
      </x:c>
      <x:c r="L66" s="6" t="str"/>
      <x:c r="M66" s="6" t="str"/>
      <x:c r="N66" s="6" t="str"/>
      <x:c r="O66" s="7" t="str"/>
      <x:c r="P66" s="6" t="str">
        <x:v>No</x:v>
      </x:c>
      <x:c r="Q66" s="7" t="str">
        <x:v>Identity review follows duplicate disposition where applicable.</x:v>
      </x:c>
    </x:row>
    <x:row r="67">
      <x:c r="A67" s="6" t="str">
        <x:v>SEQ-SID-0051</x:v>
      </x:c>
      <x:c r="B67" s="6" t="str">
        <x:v>Service Identity</x:v>
      </x:c>
      <x:c r="C67" s="6" t="str">
        <x:v>SIDX-0051</x:v>
      </x:c>
      <x:c r="D67" s="6" t="str">
        <x:v>SVC000051</x:v>
      </x:c>
      <x:c r="E67" s="6" t="str"/>
      <x:c r="F67" s="6" t="str">
        <x:v>Service identity review</x:v>
      </x:c>
      <x:c r="G67" s="6" t="n">
        <x:v>2</x:v>
      </x:c>
      <x:c r="H67" s="6" t="str"/>
      <x:c r="I67" s="6" t="str">
        <x:f>IF(H67="","No upstream dependency",IF(ISNUMBER(SEARCH(";",H67)),"Multiple dependencies - verify source queues",IFERROR(XLOOKUP(H67,C2:C1586,J2:J1586),"Dependency not found")))</x:f>
        <x:v>No upstream dependency</x:v>
      </x:c>
      <x:c r="J67" s="6" t="str">
        <x:v>Not Started</x:v>
      </x:c>
      <x:c r="K67" s="6" t="str">
        <x:v>Normal</x:v>
      </x:c>
      <x:c r="L67" s="6" t="str"/>
      <x:c r="M67" s="6" t="str"/>
      <x:c r="N67" s="6" t="str"/>
      <x:c r="O67" s="7" t="str"/>
      <x:c r="P67" s="6" t="str">
        <x:v>No</x:v>
      </x:c>
      <x:c r="Q67" s="7" t="str">
        <x:v>Identity review follows duplicate disposition where applicable.</x:v>
      </x:c>
    </x:row>
    <x:row r="68">
      <x:c r="A68" s="6" t="str">
        <x:v>SEQ-SID-0052</x:v>
      </x:c>
      <x:c r="B68" s="6" t="str">
        <x:v>Service Identity</x:v>
      </x:c>
      <x:c r="C68" s="6" t="str">
        <x:v>SIDX-0052</x:v>
      </x:c>
      <x:c r="D68" s="6" t="str">
        <x:v>SVC000052</x:v>
      </x:c>
      <x:c r="E68" s="6" t="str"/>
      <x:c r="F68" s="6" t="str">
        <x:v>Service identity review</x:v>
      </x:c>
      <x:c r="G68" s="6" t="n">
        <x:v>2</x:v>
      </x:c>
      <x:c r="H68" s="6" t="str"/>
      <x:c r="I68" s="6" t="str">
        <x:f>IF(H68="","No upstream dependency",IF(ISNUMBER(SEARCH(";",H68)),"Multiple dependencies - verify source queues",IFERROR(XLOOKUP(H68,C2:C1586,J2:J1586),"Dependency not found")))</x:f>
        <x:v>No upstream dependency</x:v>
      </x:c>
      <x:c r="J68" s="6" t="str">
        <x:v>Not Started</x:v>
      </x:c>
      <x:c r="K68" s="6" t="str">
        <x:v>Normal</x:v>
      </x:c>
      <x:c r="L68" s="6" t="str"/>
      <x:c r="M68" s="6" t="str"/>
      <x:c r="N68" s="6" t="str"/>
      <x:c r="O68" s="7" t="str"/>
      <x:c r="P68" s="6" t="str">
        <x:v>No</x:v>
      </x:c>
      <x:c r="Q68" s="7" t="str">
        <x:v>Identity review follows duplicate disposition where applicable.</x:v>
      </x:c>
    </x:row>
    <x:row r="69">
      <x:c r="A69" s="6" t="str">
        <x:v>SEQ-SID-0053</x:v>
      </x:c>
      <x:c r="B69" s="6" t="str">
        <x:v>Service Identity</x:v>
      </x:c>
      <x:c r="C69" s="6" t="str">
        <x:v>SIDX-0053</x:v>
      </x:c>
      <x:c r="D69" s="6" t="str">
        <x:v>SVC000053</x:v>
      </x:c>
      <x:c r="E69" s="6" t="str"/>
      <x:c r="F69" s="6" t="str">
        <x:v>Service identity review</x:v>
      </x:c>
      <x:c r="G69" s="6" t="n">
        <x:v>2</x:v>
      </x:c>
      <x:c r="H69" s="6" t="str"/>
      <x:c r="I69" s="6" t="str">
        <x:f>IF(H69="","No upstream dependency",IF(ISNUMBER(SEARCH(";",H69)),"Multiple dependencies - verify source queues",IFERROR(XLOOKUP(H69,C2:C1586,J2:J1586),"Dependency not found")))</x:f>
        <x:v>No upstream dependency</x:v>
      </x:c>
      <x:c r="J69" s="6" t="str">
        <x:v>Not Started</x:v>
      </x:c>
      <x:c r="K69" s="6" t="str">
        <x:v>Normal</x:v>
      </x:c>
      <x:c r="L69" s="6" t="str"/>
      <x:c r="M69" s="6" t="str"/>
      <x:c r="N69" s="6" t="str"/>
      <x:c r="O69" s="7" t="str"/>
      <x:c r="P69" s="6" t="str">
        <x:v>No</x:v>
      </x:c>
      <x:c r="Q69" s="7" t="str">
        <x:v>Identity review follows duplicate disposition where applicable.</x:v>
      </x:c>
    </x:row>
    <x:row r="70">
      <x:c r="A70" s="6" t="str">
        <x:v>SEQ-SID-0054</x:v>
      </x:c>
      <x:c r="B70" s="6" t="str">
        <x:v>Service Identity</x:v>
      </x:c>
      <x:c r="C70" s="6" t="str">
        <x:v>SIDX-0054</x:v>
      </x:c>
      <x:c r="D70" s="6" t="str">
        <x:v>SVC000054</x:v>
      </x:c>
      <x:c r="E70" s="6" t="str"/>
      <x:c r="F70" s="6" t="str">
        <x:v>Service identity review</x:v>
      </x:c>
      <x:c r="G70" s="6" t="n">
        <x:v>2</x:v>
      </x:c>
      <x:c r="H70" s="6" t="str"/>
      <x:c r="I70" s="6" t="str">
        <x:f>IF(H70="","No upstream dependency",IF(ISNUMBER(SEARCH(";",H70)),"Multiple dependencies - verify source queues",IFERROR(XLOOKUP(H70,C2:C1586,J2:J1586),"Dependency not found")))</x:f>
        <x:v>No upstream dependency</x:v>
      </x:c>
      <x:c r="J70" s="6" t="str">
        <x:v>Not Started</x:v>
      </x:c>
      <x:c r="K70" s="6" t="str">
        <x:v>Normal</x:v>
      </x:c>
      <x:c r="L70" s="6" t="str"/>
      <x:c r="M70" s="6" t="str"/>
      <x:c r="N70" s="6" t="str"/>
      <x:c r="O70" s="7" t="str"/>
      <x:c r="P70" s="6" t="str">
        <x:v>No</x:v>
      </x:c>
      <x:c r="Q70" s="7" t="str">
        <x:v>Identity review follows duplicate disposition where applicable.</x:v>
      </x:c>
    </x:row>
    <x:row r="71">
      <x:c r="A71" s="6" t="str">
        <x:v>SEQ-SID-0055</x:v>
      </x:c>
      <x:c r="B71" s="6" t="str">
        <x:v>Service Identity</x:v>
      </x:c>
      <x:c r="C71" s="6" t="str">
        <x:v>SIDX-0055</x:v>
      </x:c>
      <x:c r="D71" s="6" t="str">
        <x:v>SVC000055</x:v>
      </x:c>
      <x:c r="E71" s="6" t="str"/>
      <x:c r="F71" s="6" t="str">
        <x:v>Service identity review</x:v>
      </x:c>
      <x:c r="G71" s="6" t="n">
        <x:v>2</x:v>
      </x:c>
      <x:c r="H71" s="6" t="str"/>
      <x:c r="I71" s="6" t="str">
        <x:f>IF(H71="","No upstream dependency",IF(ISNUMBER(SEARCH(";",H71)),"Multiple dependencies - verify source queues",IFERROR(XLOOKUP(H71,C2:C1586,J2:J1586),"Dependency not found")))</x:f>
        <x:v>No upstream dependency</x:v>
      </x:c>
      <x:c r="J71" s="6" t="str">
        <x:v>Not Started</x:v>
      </x:c>
      <x:c r="K71" s="6" t="str">
        <x:v>Normal</x:v>
      </x:c>
      <x:c r="L71" s="6" t="str"/>
      <x:c r="M71" s="6" t="str"/>
      <x:c r="N71" s="6" t="str"/>
      <x:c r="O71" s="7" t="str"/>
      <x:c r="P71" s="6" t="str">
        <x:v>No</x:v>
      </x:c>
      <x:c r="Q71" s="7" t="str">
        <x:v>Identity review follows duplicate disposition where applicable.</x:v>
      </x:c>
    </x:row>
    <x:row r="72">
      <x:c r="A72" s="6" t="str">
        <x:v>SEQ-SID-0056</x:v>
      </x:c>
      <x:c r="B72" s="6" t="str">
        <x:v>Service Identity</x:v>
      </x:c>
      <x:c r="C72" s="6" t="str">
        <x:v>SIDX-0056</x:v>
      </x:c>
      <x:c r="D72" s="6" t="str">
        <x:v>SVC000056</x:v>
      </x:c>
      <x:c r="E72" s="6" t="str"/>
      <x:c r="F72" s="6" t="str">
        <x:v>Service identity review</x:v>
      </x:c>
      <x:c r="G72" s="6" t="n">
        <x:v>2</x:v>
      </x:c>
      <x:c r="H72" s="6" t="str"/>
      <x:c r="I72" s="6" t="str">
        <x:f>IF(H72="","No upstream dependency",IF(ISNUMBER(SEARCH(";",H72)),"Multiple dependencies - verify source queues",IFERROR(XLOOKUP(H72,C2:C1586,J2:J1586),"Dependency not found")))</x:f>
        <x:v>No upstream dependency</x:v>
      </x:c>
      <x:c r="J72" s="6" t="str">
        <x:v>Not Started</x:v>
      </x:c>
      <x:c r="K72" s="6" t="str">
        <x:v>Normal</x:v>
      </x:c>
      <x:c r="L72" s="6" t="str"/>
      <x:c r="M72" s="6" t="str"/>
      <x:c r="N72" s="6" t="str"/>
      <x:c r="O72" s="7" t="str"/>
      <x:c r="P72" s="6" t="str">
        <x:v>No</x:v>
      </x:c>
      <x:c r="Q72" s="7" t="str">
        <x:v>Identity review follows duplicate disposition where applicable.</x:v>
      </x:c>
    </x:row>
    <x:row r="73">
      <x:c r="A73" s="6" t="str">
        <x:v>SEQ-SID-0057</x:v>
      </x:c>
      <x:c r="B73" s="6" t="str">
        <x:v>Service Identity</x:v>
      </x:c>
      <x:c r="C73" s="6" t="str">
        <x:v>SIDX-0057</x:v>
      </x:c>
      <x:c r="D73" s="6" t="str">
        <x:v>SVC000057</x:v>
      </x:c>
      <x:c r="E73" s="6" t="str"/>
      <x:c r="F73" s="6" t="str">
        <x:v>Service identity review</x:v>
      </x:c>
      <x:c r="G73" s="6" t="n">
        <x:v>2</x:v>
      </x:c>
      <x:c r="H73" s="6" t="str"/>
      <x:c r="I73" s="6" t="str">
        <x:f>IF(H73="","No upstream dependency",IF(ISNUMBER(SEARCH(";",H73)),"Multiple dependencies - verify source queues",IFERROR(XLOOKUP(H73,C2:C1586,J2:J1586),"Dependency not found")))</x:f>
        <x:v>No upstream dependency</x:v>
      </x:c>
      <x:c r="J73" s="6" t="str">
        <x:v>Not Started</x:v>
      </x:c>
      <x:c r="K73" s="6" t="str">
        <x:v>Normal</x:v>
      </x:c>
      <x:c r="L73" s="6" t="str"/>
      <x:c r="M73" s="6" t="str"/>
      <x:c r="N73" s="6" t="str"/>
      <x:c r="O73" s="7" t="str"/>
      <x:c r="P73" s="6" t="str">
        <x:v>No</x:v>
      </x:c>
      <x:c r="Q73" s="7" t="str">
        <x:v>Identity review follows duplicate disposition where applicable.</x:v>
      </x:c>
    </x:row>
    <x:row r="74">
      <x:c r="A74" s="6" t="str">
        <x:v>SEQ-SID-0058</x:v>
      </x:c>
      <x:c r="B74" s="6" t="str">
        <x:v>Service Identity</x:v>
      </x:c>
      <x:c r="C74" s="6" t="str">
        <x:v>SIDX-0058</x:v>
      </x:c>
      <x:c r="D74" s="6" t="str">
        <x:v>SVC000058</x:v>
      </x:c>
      <x:c r="E74" s="6" t="str"/>
      <x:c r="F74" s="6" t="str">
        <x:v>Service identity review</x:v>
      </x:c>
      <x:c r="G74" s="6" t="n">
        <x:v>2</x:v>
      </x:c>
      <x:c r="H74" s="6" t="str"/>
      <x:c r="I74" s="6" t="str">
        <x:f>IF(H74="","No upstream dependency",IF(ISNUMBER(SEARCH(";",H74)),"Multiple dependencies - verify source queues",IFERROR(XLOOKUP(H74,C2:C1586,J2:J1586),"Dependency not found")))</x:f>
        <x:v>No upstream dependency</x:v>
      </x:c>
      <x:c r="J74" s="6" t="str">
        <x:v>Not Started</x:v>
      </x:c>
      <x:c r="K74" s="6" t="str">
        <x:v>Normal</x:v>
      </x:c>
      <x:c r="L74" s="6" t="str"/>
      <x:c r="M74" s="6" t="str"/>
      <x:c r="N74" s="6" t="str"/>
      <x:c r="O74" s="7" t="str"/>
      <x:c r="P74" s="6" t="str">
        <x:v>No</x:v>
      </x:c>
      <x:c r="Q74" s="7" t="str">
        <x:v>Identity review follows duplicate disposition where applicable.</x:v>
      </x:c>
    </x:row>
    <x:row r="75">
      <x:c r="A75" s="6" t="str">
        <x:v>SEQ-SID-0059</x:v>
      </x:c>
      <x:c r="B75" s="6" t="str">
        <x:v>Service Identity</x:v>
      </x:c>
      <x:c r="C75" s="6" t="str">
        <x:v>SIDX-0059</x:v>
      </x:c>
      <x:c r="D75" s="6" t="str">
        <x:v>SVC000059</x:v>
      </x:c>
      <x:c r="E75" s="6" t="str"/>
      <x:c r="F75" s="6" t="str">
        <x:v>Service identity review</x:v>
      </x:c>
      <x:c r="G75" s="6" t="n">
        <x:v>2</x:v>
      </x:c>
      <x:c r="H75" s="6" t="str"/>
      <x:c r="I75" s="6" t="str">
        <x:f>IF(H75="","No upstream dependency",IF(ISNUMBER(SEARCH(";",H75)),"Multiple dependencies - verify source queues",IFERROR(XLOOKUP(H75,C2:C1586,J2:J1586),"Dependency not found")))</x:f>
        <x:v>No upstream dependency</x:v>
      </x:c>
      <x:c r="J75" s="6" t="str">
        <x:v>Not Started</x:v>
      </x:c>
      <x:c r="K75" s="6" t="str">
        <x:v>Normal</x:v>
      </x:c>
      <x:c r="L75" s="6" t="str"/>
      <x:c r="M75" s="6" t="str"/>
      <x:c r="N75" s="6" t="str"/>
      <x:c r="O75" s="7" t="str"/>
      <x:c r="P75" s="6" t="str">
        <x:v>No</x:v>
      </x:c>
      <x:c r="Q75" s="7" t="str">
        <x:v>Identity review follows duplicate disposition where applicable.</x:v>
      </x:c>
    </x:row>
    <x:row r="76">
      <x:c r="A76" s="6" t="str">
        <x:v>SEQ-SID-0060</x:v>
      </x:c>
      <x:c r="B76" s="6" t="str">
        <x:v>Service Identity</x:v>
      </x:c>
      <x:c r="C76" s="6" t="str">
        <x:v>SIDX-0060</x:v>
      </x:c>
      <x:c r="D76" s="6" t="str">
        <x:v>SVC000060</x:v>
      </x:c>
      <x:c r="E76" s="6" t="str"/>
      <x:c r="F76" s="6" t="str">
        <x:v>Service identity review</x:v>
      </x:c>
      <x:c r="G76" s="6" t="n">
        <x:v>2</x:v>
      </x:c>
      <x:c r="H76" s="6" t="str"/>
      <x:c r="I76" s="6" t="str">
        <x:f>IF(H76="","No upstream dependency",IF(ISNUMBER(SEARCH(";",H76)),"Multiple dependencies - verify source queues",IFERROR(XLOOKUP(H76,C2:C1586,J2:J1586),"Dependency not found")))</x:f>
        <x:v>No upstream dependency</x:v>
      </x:c>
      <x:c r="J76" s="6" t="str">
        <x:v>Not Started</x:v>
      </x:c>
      <x:c r="K76" s="6" t="str">
        <x:v>Normal</x:v>
      </x:c>
      <x:c r="L76" s="6" t="str"/>
      <x:c r="M76" s="6" t="str"/>
      <x:c r="N76" s="6" t="str"/>
      <x:c r="O76" s="7" t="str"/>
      <x:c r="P76" s="6" t="str">
        <x:v>No</x:v>
      </x:c>
      <x:c r="Q76" s="7" t="str">
        <x:v>Identity review follows duplicate disposition where applicable.</x:v>
      </x:c>
    </x:row>
    <x:row r="77">
      <x:c r="A77" s="6" t="str">
        <x:v>SEQ-SID-0061</x:v>
      </x:c>
      <x:c r="B77" s="6" t="str">
        <x:v>Service Identity</x:v>
      </x:c>
      <x:c r="C77" s="6" t="str">
        <x:v>SIDX-0061</x:v>
      </x:c>
      <x:c r="D77" s="6" t="str">
        <x:v>SVC000061</x:v>
      </x:c>
      <x:c r="E77" s="6" t="str"/>
      <x:c r="F77" s="6" t="str">
        <x:v>Service identity review</x:v>
      </x:c>
      <x:c r="G77" s="6" t="n">
        <x:v>2</x:v>
      </x:c>
      <x:c r="H77" s="6" t="str"/>
      <x:c r="I77" s="6" t="str">
        <x:f>IF(H77="","No upstream dependency",IF(ISNUMBER(SEARCH(";",H77)),"Multiple dependencies - verify source queues",IFERROR(XLOOKUP(H77,C2:C1586,J2:J1586),"Dependency not found")))</x:f>
        <x:v>No upstream dependency</x:v>
      </x:c>
      <x:c r="J77" s="6" t="str">
        <x:v>Not Started</x:v>
      </x:c>
      <x:c r="K77" s="6" t="str">
        <x:v>Normal</x:v>
      </x:c>
      <x:c r="L77" s="6" t="str"/>
      <x:c r="M77" s="6" t="str"/>
      <x:c r="N77" s="6" t="str"/>
      <x:c r="O77" s="7" t="str"/>
      <x:c r="P77" s="6" t="str">
        <x:v>No</x:v>
      </x:c>
      <x:c r="Q77" s="7" t="str">
        <x:v>Identity review follows duplicate disposition where applicable.</x:v>
      </x:c>
    </x:row>
    <x:row r="78">
      <x:c r="A78" s="6" t="str">
        <x:v>SEQ-SID-0062</x:v>
      </x:c>
      <x:c r="B78" s="6" t="str">
        <x:v>Service Identity</x:v>
      </x:c>
      <x:c r="C78" s="6" t="str">
        <x:v>SIDX-0062</x:v>
      </x:c>
      <x:c r="D78" s="6" t="str">
        <x:v>SVC000062</x:v>
      </x:c>
      <x:c r="E78" s="6" t="str"/>
      <x:c r="F78" s="6" t="str">
        <x:v>Service identity review</x:v>
      </x:c>
      <x:c r="G78" s="6" t="n">
        <x:v>2</x:v>
      </x:c>
      <x:c r="H78" s="6" t="str"/>
      <x:c r="I78" s="6" t="str">
        <x:f>IF(H78="","No upstream dependency",IF(ISNUMBER(SEARCH(";",H78)),"Multiple dependencies - verify source queues",IFERROR(XLOOKUP(H78,C2:C1586,J2:J1586),"Dependency not found")))</x:f>
        <x:v>No upstream dependency</x:v>
      </x:c>
      <x:c r="J78" s="6" t="str">
        <x:v>Not Started</x:v>
      </x:c>
      <x:c r="K78" s="6" t="str">
        <x:v>Normal</x:v>
      </x:c>
      <x:c r="L78" s="6" t="str"/>
      <x:c r="M78" s="6" t="str"/>
      <x:c r="N78" s="6" t="str"/>
      <x:c r="O78" s="7" t="str"/>
      <x:c r="P78" s="6" t="str">
        <x:v>No</x:v>
      </x:c>
      <x:c r="Q78" s="7" t="str">
        <x:v>Identity review follows duplicate disposition where applicable.</x:v>
      </x:c>
    </x:row>
    <x:row r="79">
      <x:c r="A79" s="6" t="str">
        <x:v>SEQ-SID-0063</x:v>
      </x:c>
      <x:c r="B79" s="6" t="str">
        <x:v>Service Identity</x:v>
      </x:c>
      <x:c r="C79" s="6" t="str">
        <x:v>SIDX-0063</x:v>
      </x:c>
      <x:c r="D79" s="6" t="str">
        <x:v>SVC000063</x:v>
      </x:c>
      <x:c r="E79" s="6" t="str"/>
      <x:c r="F79" s="6" t="str">
        <x:v>Service identity review</x:v>
      </x:c>
      <x:c r="G79" s="6" t="n">
        <x:v>2</x:v>
      </x:c>
      <x:c r="H79" s="6" t="str"/>
      <x:c r="I79" s="6" t="str">
        <x:f>IF(H79="","No upstream dependency",IF(ISNUMBER(SEARCH(";",H79)),"Multiple dependencies - verify source queues",IFERROR(XLOOKUP(H79,C2:C1586,J2:J1586),"Dependency not found")))</x:f>
        <x:v>No upstream dependency</x:v>
      </x:c>
      <x:c r="J79" s="6" t="str">
        <x:v>Not Started</x:v>
      </x:c>
      <x:c r="K79" s="6" t="str">
        <x:v>Normal</x:v>
      </x:c>
      <x:c r="L79" s="6" t="str"/>
      <x:c r="M79" s="6" t="str"/>
      <x:c r="N79" s="6" t="str"/>
      <x:c r="O79" s="7" t="str"/>
      <x:c r="P79" s="6" t="str">
        <x:v>No</x:v>
      </x:c>
      <x:c r="Q79" s="7" t="str">
        <x:v>Identity review follows duplicate disposition where applicable.</x:v>
      </x:c>
    </x:row>
    <x:row r="80">
      <x:c r="A80" s="6" t="str">
        <x:v>SEQ-SID-0064</x:v>
      </x:c>
      <x:c r="B80" s="6" t="str">
        <x:v>Service Identity</x:v>
      </x:c>
      <x:c r="C80" s="6" t="str">
        <x:v>SIDX-0064</x:v>
      </x:c>
      <x:c r="D80" s="6" t="str">
        <x:v>SVC000064</x:v>
      </x:c>
      <x:c r="E80" s="6" t="str"/>
      <x:c r="F80" s="6" t="str">
        <x:v>Service identity review</x:v>
      </x:c>
      <x:c r="G80" s="6" t="n">
        <x:v>2</x:v>
      </x:c>
      <x:c r="H80" s="6" t="str"/>
      <x:c r="I80" s="6" t="str">
        <x:f>IF(H80="","No upstream dependency",IF(ISNUMBER(SEARCH(";",H80)),"Multiple dependencies - verify source queues",IFERROR(XLOOKUP(H80,C2:C1586,J2:J1586),"Dependency not found")))</x:f>
        <x:v>No upstream dependency</x:v>
      </x:c>
      <x:c r="J80" s="6" t="str">
        <x:v>Not Started</x:v>
      </x:c>
      <x:c r="K80" s="6" t="str">
        <x:v>Normal</x:v>
      </x:c>
      <x:c r="L80" s="6" t="str"/>
      <x:c r="M80" s="6" t="str"/>
      <x:c r="N80" s="6" t="str"/>
      <x:c r="O80" s="7" t="str"/>
      <x:c r="P80" s="6" t="str">
        <x:v>No</x:v>
      </x:c>
      <x:c r="Q80" s="7" t="str">
        <x:v>Identity review follows duplicate disposition where applicable.</x:v>
      </x:c>
    </x:row>
    <x:row r="81">
      <x:c r="A81" s="6" t="str">
        <x:v>SEQ-SID-0065</x:v>
      </x:c>
      <x:c r="B81" s="6" t="str">
        <x:v>Service Identity</x:v>
      </x:c>
      <x:c r="C81" s="6" t="str">
        <x:v>SIDX-0065</x:v>
      </x:c>
      <x:c r="D81" s="6" t="str">
        <x:v>SVC000065</x:v>
      </x:c>
      <x:c r="E81" s="6" t="str"/>
      <x:c r="F81" s="6" t="str">
        <x:v>Service identity review</x:v>
      </x:c>
      <x:c r="G81" s="6" t="n">
        <x:v>2</x:v>
      </x:c>
      <x:c r="H81" s="6" t="str"/>
      <x:c r="I81" s="6" t="str">
        <x:f>IF(H81="","No upstream dependency",IF(ISNUMBER(SEARCH(";",H81)),"Multiple dependencies - verify source queues",IFERROR(XLOOKUP(H81,C2:C1586,J2:J1586),"Dependency not found")))</x:f>
        <x:v>No upstream dependency</x:v>
      </x:c>
      <x:c r="J81" s="6" t="str">
        <x:v>Not Started</x:v>
      </x:c>
      <x:c r="K81" s="6" t="str">
        <x:v>Normal</x:v>
      </x:c>
      <x:c r="L81" s="6" t="str"/>
      <x:c r="M81" s="6" t="str"/>
      <x:c r="N81" s="6" t="str"/>
      <x:c r="O81" s="7" t="str"/>
      <x:c r="P81" s="6" t="str">
        <x:v>No</x:v>
      </x:c>
      <x:c r="Q81" s="7" t="str">
        <x:v>Identity review follows duplicate disposition where applicable.</x:v>
      </x:c>
    </x:row>
    <x:row r="82">
      <x:c r="A82" s="6" t="str">
        <x:v>SEQ-SID-0066</x:v>
      </x:c>
      <x:c r="B82" s="6" t="str">
        <x:v>Service Identity</x:v>
      </x:c>
      <x:c r="C82" s="6" t="str">
        <x:v>SIDX-0066</x:v>
      </x:c>
      <x:c r="D82" s="6" t="str">
        <x:v>SVC000066</x:v>
      </x:c>
      <x:c r="E82" s="6" t="str"/>
      <x:c r="F82" s="6" t="str">
        <x:v>Service identity review</x:v>
      </x:c>
      <x:c r="G82" s="6" t="n">
        <x:v>2</x:v>
      </x:c>
      <x:c r="H82" s="6" t="str"/>
      <x:c r="I82" s="6" t="str">
        <x:f>IF(H82="","No upstream dependency",IF(ISNUMBER(SEARCH(";",H82)),"Multiple dependencies - verify source queues",IFERROR(XLOOKUP(H82,C2:C1586,J2:J1586),"Dependency not found")))</x:f>
        <x:v>No upstream dependency</x:v>
      </x:c>
      <x:c r="J82" s="6" t="str">
        <x:v>Not Started</x:v>
      </x:c>
      <x:c r="K82" s="6" t="str">
        <x:v>Normal</x:v>
      </x:c>
      <x:c r="L82" s="6" t="str"/>
      <x:c r="M82" s="6" t="str"/>
      <x:c r="N82" s="6" t="str"/>
      <x:c r="O82" s="7" t="str"/>
      <x:c r="P82" s="6" t="str">
        <x:v>No</x:v>
      </x:c>
      <x:c r="Q82" s="7" t="str">
        <x:v>Identity review follows duplicate disposition where applicable.</x:v>
      </x:c>
    </x:row>
    <x:row r="83">
      <x:c r="A83" s="6" t="str">
        <x:v>SEQ-SID-0067</x:v>
      </x:c>
      <x:c r="B83" s="6" t="str">
        <x:v>Service Identity</x:v>
      </x:c>
      <x:c r="C83" s="6" t="str">
        <x:v>SIDX-0067</x:v>
      </x:c>
      <x:c r="D83" s="6" t="str">
        <x:v>SVC000067</x:v>
      </x:c>
      <x:c r="E83" s="6" t="str"/>
      <x:c r="F83" s="6" t="str">
        <x:v>Service identity review</x:v>
      </x:c>
      <x:c r="G83" s="6" t="n">
        <x:v>2</x:v>
      </x:c>
      <x:c r="H83" s="6" t="str"/>
      <x:c r="I83" s="6" t="str">
        <x:f>IF(H83="","No upstream dependency",IF(ISNUMBER(SEARCH(";",H83)),"Multiple dependencies - verify source queues",IFERROR(XLOOKUP(H83,C2:C1586,J2:J1586),"Dependency not found")))</x:f>
        <x:v>No upstream dependency</x:v>
      </x:c>
      <x:c r="J83" s="6" t="str">
        <x:v>Not Started</x:v>
      </x:c>
      <x:c r="K83" s="6" t="str">
        <x:v>Normal</x:v>
      </x:c>
      <x:c r="L83" s="6" t="str"/>
      <x:c r="M83" s="6" t="str"/>
      <x:c r="N83" s="6" t="str"/>
      <x:c r="O83" s="7" t="str"/>
      <x:c r="P83" s="6" t="str">
        <x:v>No</x:v>
      </x:c>
      <x:c r="Q83" s="7" t="str">
        <x:v>Identity review follows duplicate disposition where applicable.</x:v>
      </x:c>
    </x:row>
    <x:row r="84">
      <x:c r="A84" s="6" t="str">
        <x:v>SEQ-SID-0068</x:v>
      </x:c>
      <x:c r="B84" s="6" t="str">
        <x:v>Service Identity</x:v>
      </x:c>
      <x:c r="C84" s="6" t="str">
        <x:v>SIDX-0068</x:v>
      </x:c>
      <x:c r="D84" s="6" t="str">
        <x:v>SVC000068</x:v>
      </x:c>
      <x:c r="E84" s="6" t="str"/>
      <x:c r="F84" s="6" t="str">
        <x:v>Service identity review</x:v>
      </x:c>
      <x:c r="G84" s="6" t="n">
        <x:v>2</x:v>
      </x:c>
      <x:c r="H84" s="6" t="str"/>
      <x:c r="I84" s="6" t="str">
        <x:f>IF(H84="","No upstream dependency",IF(ISNUMBER(SEARCH(";",H84)),"Multiple dependencies - verify source queues",IFERROR(XLOOKUP(H84,C2:C1586,J2:J1586),"Dependency not found")))</x:f>
        <x:v>No upstream dependency</x:v>
      </x:c>
      <x:c r="J84" s="6" t="str">
        <x:v>Not Started</x:v>
      </x:c>
      <x:c r="K84" s="6" t="str">
        <x:v>Normal</x:v>
      </x:c>
      <x:c r="L84" s="6" t="str"/>
      <x:c r="M84" s="6" t="str"/>
      <x:c r="N84" s="6" t="str"/>
      <x:c r="O84" s="7" t="str"/>
      <x:c r="P84" s="6" t="str">
        <x:v>No</x:v>
      </x:c>
      <x:c r="Q84" s="7" t="str">
        <x:v>Identity review follows duplicate disposition where applicable.</x:v>
      </x:c>
    </x:row>
    <x:row r="85">
      <x:c r="A85" s="6" t="str">
        <x:v>SEQ-SID-0069</x:v>
      </x:c>
      <x:c r="B85" s="6" t="str">
        <x:v>Service Identity</x:v>
      </x:c>
      <x:c r="C85" s="6" t="str">
        <x:v>SIDX-0069</x:v>
      </x:c>
      <x:c r="D85" s="6" t="str">
        <x:v>SVC000069</x:v>
      </x:c>
      <x:c r="E85" s="6" t="str"/>
      <x:c r="F85" s="6" t="str">
        <x:v>Service identity review</x:v>
      </x:c>
      <x:c r="G85" s="6" t="n">
        <x:v>2</x:v>
      </x:c>
      <x:c r="H85" s="6" t="str"/>
      <x:c r="I85" s="6" t="str">
        <x:f>IF(H85="","No upstream dependency",IF(ISNUMBER(SEARCH(";",H85)),"Multiple dependencies - verify source queues",IFERROR(XLOOKUP(H85,C2:C1586,J2:J1586),"Dependency not found")))</x:f>
        <x:v>No upstream dependency</x:v>
      </x:c>
      <x:c r="J85" s="6" t="str">
        <x:v>Not Started</x:v>
      </x:c>
      <x:c r="K85" s="6" t="str">
        <x:v>Normal</x:v>
      </x:c>
      <x:c r="L85" s="6" t="str"/>
      <x:c r="M85" s="6" t="str"/>
      <x:c r="N85" s="6" t="str"/>
      <x:c r="O85" s="7" t="str"/>
      <x:c r="P85" s="6" t="str">
        <x:v>No</x:v>
      </x:c>
      <x:c r="Q85" s="7" t="str">
        <x:v>Identity review follows duplicate disposition where applicable.</x:v>
      </x:c>
    </x:row>
    <x:row r="86">
      <x:c r="A86" s="6" t="str">
        <x:v>SEQ-SID-0070</x:v>
      </x:c>
      <x:c r="B86" s="6" t="str">
        <x:v>Service Identity</x:v>
      </x:c>
      <x:c r="C86" s="6" t="str">
        <x:v>SIDX-0070</x:v>
      </x:c>
      <x:c r="D86" s="6" t="str">
        <x:v>SVC000070</x:v>
      </x:c>
      <x:c r="E86" s="6" t="str"/>
      <x:c r="F86" s="6" t="str">
        <x:v>Service identity review</x:v>
      </x:c>
      <x:c r="G86" s="6" t="n">
        <x:v>2</x:v>
      </x:c>
      <x:c r="H86" s="6" t="str"/>
      <x:c r="I86" s="6" t="str">
        <x:f>IF(H86="","No upstream dependency",IF(ISNUMBER(SEARCH(";",H86)),"Multiple dependencies - verify source queues",IFERROR(XLOOKUP(H86,C2:C1586,J2:J1586),"Dependency not found")))</x:f>
        <x:v>No upstream dependency</x:v>
      </x:c>
      <x:c r="J86" s="6" t="str">
        <x:v>Not Started</x:v>
      </x:c>
      <x:c r="K86" s="6" t="str">
        <x:v>Normal</x:v>
      </x:c>
      <x:c r="L86" s="6" t="str"/>
      <x:c r="M86" s="6" t="str"/>
      <x:c r="N86" s="6" t="str"/>
      <x:c r="O86" s="7" t="str"/>
      <x:c r="P86" s="6" t="str">
        <x:v>No</x:v>
      </x:c>
      <x:c r="Q86" s="7" t="str">
        <x:v>Identity review follows duplicate disposition where applicable.</x:v>
      </x:c>
    </x:row>
    <x:row r="87">
      <x:c r="A87" s="6" t="str">
        <x:v>SEQ-SID-0071</x:v>
      </x:c>
      <x:c r="B87" s="6" t="str">
        <x:v>Service Identity</x:v>
      </x:c>
      <x:c r="C87" s="6" t="str">
        <x:v>SIDX-0071</x:v>
      </x:c>
      <x:c r="D87" s="6" t="str">
        <x:v>SVC000071</x:v>
      </x:c>
      <x:c r="E87" s="6" t="str"/>
      <x:c r="F87" s="6" t="str">
        <x:v>Service identity review</x:v>
      </x:c>
      <x:c r="G87" s="6" t="n">
        <x:v>2</x:v>
      </x:c>
      <x:c r="H87" s="6" t="str"/>
      <x:c r="I87" s="6" t="str">
        <x:f>IF(H87="","No upstream dependency",IF(ISNUMBER(SEARCH(";",H87)),"Multiple dependencies - verify source queues",IFERROR(XLOOKUP(H87,C2:C1586,J2:J1586),"Dependency not found")))</x:f>
        <x:v>No upstream dependency</x:v>
      </x:c>
      <x:c r="J87" s="6" t="str">
        <x:v>Not Started</x:v>
      </x:c>
      <x:c r="K87" s="6" t="str">
        <x:v>Normal</x:v>
      </x:c>
      <x:c r="L87" s="6" t="str"/>
      <x:c r="M87" s="6" t="str"/>
      <x:c r="N87" s="6" t="str"/>
      <x:c r="O87" s="7" t="str"/>
      <x:c r="P87" s="6" t="str">
        <x:v>No</x:v>
      </x:c>
      <x:c r="Q87" s="7" t="str">
        <x:v>Identity review follows duplicate disposition where applicable.</x:v>
      </x:c>
    </x:row>
    <x:row r="88">
      <x:c r="A88" s="6" t="str">
        <x:v>SEQ-SID-0072</x:v>
      </x:c>
      <x:c r="B88" s="6" t="str">
        <x:v>Service Identity</x:v>
      </x:c>
      <x:c r="C88" s="6" t="str">
        <x:v>SIDX-0072</x:v>
      </x:c>
      <x:c r="D88" s="6" t="str">
        <x:v>SVC000072</x:v>
      </x:c>
      <x:c r="E88" s="6" t="str"/>
      <x:c r="F88" s="6" t="str">
        <x:v>Service identity review</x:v>
      </x:c>
      <x:c r="G88" s="6" t="n">
        <x:v>2</x:v>
      </x:c>
      <x:c r="H88" s="6" t="str"/>
      <x:c r="I88" s="6" t="str">
        <x:f>IF(H88="","No upstream dependency",IF(ISNUMBER(SEARCH(";",H88)),"Multiple dependencies - verify source queues",IFERROR(XLOOKUP(H88,C2:C1586,J2:J1586),"Dependency not found")))</x:f>
        <x:v>No upstream dependency</x:v>
      </x:c>
      <x:c r="J88" s="6" t="str">
        <x:v>Not Started</x:v>
      </x:c>
      <x:c r="K88" s="6" t="str">
        <x:v>Normal</x:v>
      </x:c>
      <x:c r="L88" s="6" t="str"/>
      <x:c r="M88" s="6" t="str"/>
      <x:c r="N88" s="6" t="str"/>
      <x:c r="O88" s="7" t="str"/>
      <x:c r="P88" s="6" t="str">
        <x:v>No</x:v>
      </x:c>
      <x:c r="Q88" s="7" t="str">
        <x:v>Identity review follows duplicate disposition where applicable.</x:v>
      </x:c>
    </x:row>
    <x:row r="89">
      <x:c r="A89" s="6" t="str">
        <x:v>SEQ-SID-0073</x:v>
      </x:c>
      <x:c r="B89" s="6" t="str">
        <x:v>Service Identity</x:v>
      </x:c>
      <x:c r="C89" s="6" t="str">
        <x:v>SIDX-0073</x:v>
      </x:c>
      <x:c r="D89" s="6" t="str">
        <x:v>SVC000073</x:v>
      </x:c>
      <x:c r="E89" s="6" t="str"/>
      <x:c r="F89" s="6" t="str">
        <x:v>Service identity review</x:v>
      </x:c>
      <x:c r="G89" s="6" t="n">
        <x:v>2</x:v>
      </x:c>
      <x:c r="H89" s="6" t="str"/>
      <x:c r="I89" s="6" t="str">
        <x:f>IF(H89="","No upstream dependency",IF(ISNUMBER(SEARCH(";",H89)),"Multiple dependencies - verify source queues",IFERROR(XLOOKUP(H89,C2:C1586,J2:J1586),"Dependency not found")))</x:f>
        <x:v>No upstream dependency</x:v>
      </x:c>
      <x:c r="J89" s="6" t="str">
        <x:v>Not Started</x:v>
      </x:c>
      <x:c r="K89" s="6" t="str">
        <x:v>Normal</x:v>
      </x:c>
      <x:c r="L89" s="6" t="str"/>
      <x:c r="M89" s="6" t="str"/>
      <x:c r="N89" s="6" t="str"/>
      <x:c r="O89" s="7" t="str"/>
      <x:c r="P89" s="6" t="str">
        <x:v>No</x:v>
      </x:c>
      <x:c r="Q89" s="7" t="str">
        <x:v>Identity review follows duplicate disposition where applicable.</x:v>
      </x:c>
    </x:row>
    <x:row r="90">
      <x:c r="A90" s="6" t="str">
        <x:v>SEQ-SID-0074</x:v>
      </x:c>
      <x:c r="B90" s="6" t="str">
        <x:v>Service Identity</x:v>
      </x:c>
      <x:c r="C90" s="6" t="str">
        <x:v>SIDX-0074</x:v>
      </x:c>
      <x:c r="D90" s="6" t="str">
        <x:v>SVC000074</x:v>
      </x:c>
      <x:c r="E90" s="6" t="str"/>
      <x:c r="F90" s="6" t="str">
        <x:v>Service identity review</x:v>
      </x:c>
      <x:c r="G90" s="6" t="n">
        <x:v>2</x:v>
      </x:c>
      <x:c r="H90" s="6" t="str"/>
      <x:c r="I90" s="6" t="str">
        <x:f>IF(H90="","No upstream dependency",IF(ISNUMBER(SEARCH(";",H90)),"Multiple dependencies - verify source queues",IFERROR(XLOOKUP(H90,C2:C1586,J2:J1586),"Dependency not found")))</x:f>
        <x:v>No upstream dependency</x:v>
      </x:c>
      <x:c r="J90" s="6" t="str">
        <x:v>Not Started</x:v>
      </x:c>
      <x:c r="K90" s="6" t="str">
        <x:v>Normal</x:v>
      </x:c>
      <x:c r="L90" s="6" t="str"/>
      <x:c r="M90" s="6" t="str"/>
      <x:c r="N90" s="6" t="str"/>
      <x:c r="O90" s="7" t="str"/>
      <x:c r="P90" s="6" t="str">
        <x:v>No</x:v>
      </x:c>
      <x:c r="Q90" s="7" t="str">
        <x:v>Identity review follows duplicate disposition where applicable.</x:v>
      </x:c>
    </x:row>
    <x:row r="91">
      <x:c r="A91" s="6" t="str">
        <x:v>SEQ-SID-0075</x:v>
      </x:c>
      <x:c r="B91" s="6" t="str">
        <x:v>Service Identity</x:v>
      </x:c>
      <x:c r="C91" s="6" t="str">
        <x:v>SIDX-0075</x:v>
      </x:c>
      <x:c r="D91" s="6" t="str">
        <x:v>SVC000075</x:v>
      </x:c>
      <x:c r="E91" s="6" t="str"/>
      <x:c r="F91" s="6" t="str">
        <x:v>Service identity review</x:v>
      </x:c>
      <x:c r="G91" s="6" t="n">
        <x:v>2</x:v>
      </x:c>
      <x:c r="H91" s="6" t="str"/>
      <x:c r="I91" s="6" t="str">
        <x:f>IF(H91="","No upstream dependency",IF(ISNUMBER(SEARCH(";",H91)),"Multiple dependencies - verify source queues",IFERROR(XLOOKUP(H91,C2:C1586,J2:J1586),"Dependency not found")))</x:f>
        <x:v>No upstream dependency</x:v>
      </x:c>
      <x:c r="J91" s="6" t="str">
        <x:v>Not Started</x:v>
      </x:c>
      <x:c r="K91" s="6" t="str">
        <x:v>Normal</x:v>
      </x:c>
      <x:c r="L91" s="6" t="str"/>
      <x:c r="M91" s="6" t="str"/>
      <x:c r="N91" s="6" t="str"/>
      <x:c r="O91" s="7" t="str"/>
      <x:c r="P91" s="6" t="str">
        <x:v>No</x:v>
      </x:c>
      <x:c r="Q91" s="7" t="str">
        <x:v>Identity review follows duplicate disposition where applicable.</x:v>
      </x:c>
    </x:row>
    <x:row r="92">
      <x:c r="A92" s="6" t="str">
        <x:v>SEQ-SID-0076</x:v>
      </x:c>
      <x:c r="B92" s="6" t="str">
        <x:v>Service Identity</x:v>
      </x:c>
      <x:c r="C92" s="6" t="str">
        <x:v>SIDX-0076</x:v>
      </x:c>
      <x:c r="D92" s="6" t="str">
        <x:v>SVC000076</x:v>
      </x:c>
      <x:c r="E92" s="6" t="str"/>
      <x:c r="F92" s="6" t="str">
        <x:v>Service identity review</x:v>
      </x:c>
      <x:c r="G92" s="6" t="n">
        <x:v>2</x:v>
      </x:c>
      <x:c r="H92" s="6" t="str"/>
      <x:c r="I92" s="6" t="str">
        <x:f>IF(H92="","No upstream dependency",IF(ISNUMBER(SEARCH(";",H92)),"Multiple dependencies - verify source queues",IFERROR(XLOOKUP(H92,C2:C1586,J2:J1586),"Dependency not found")))</x:f>
        <x:v>No upstream dependency</x:v>
      </x:c>
      <x:c r="J92" s="6" t="str">
        <x:v>Not Started</x:v>
      </x:c>
      <x:c r="K92" s="6" t="str">
        <x:v>Normal</x:v>
      </x:c>
      <x:c r="L92" s="6" t="str"/>
      <x:c r="M92" s="6" t="str"/>
      <x:c r="N92" s="6" t="str"/>
      <x:c r="O92" s="7" t="str"/>
      <x:c r="P92" s="6" t="str">
        <x:v>No</x:v>
      </x:c>
      <x:c r="Q92" s="7" t="str">
        <x:v>Identity review follows duplicate disposition where applicable.</x:v>
      </x:c>
    </x:row>
    <x:row r="93">
      <x:c r="A93" s="6" t="str">
        <x:v>SEQ-SID-0077</x:v>
      </x:c>
      <x:c r="B93" s="6" t="str">
        <x:v>Service Identity</x:v>
      </x:c>
      <x:c r="C93" s="6" t="str">
        <x:v>SIDX-0077</x:v>
      </x:c>
      <x:c r="D93" s="6" t="str">
        <x:v>SVC000077</x:v>
      </x:c>
      <x:c r="E93" s="6" t="str"/>
      <x:c r="F93" s="6" t="str">
        <x:v>Service identity review</x:v>
      </x:c>
      <x:c r="G93" s="6" t="n">
        <x:v>2</x:v>
      </x:c>
      <x:c r="H93" s="6" t="str"/>
      <x:c r="I93" s="6" t="str">
        <x:f>IF(H93="","No upstream dependency",IF(ISNUMBER(SEARCH(";",H93)),"Multiple dependencies - verify source queues",IFERROR(XLOOKUP(H93,C2:C1586,J2:J1586),"Dependency not found")))</x:f>
        <x:v>No upstream dependency</x:v>
      </x:c>
      <x:c r="J93" s="6" t="str">
        <x:v>Not Started</x:v>
      </x:c>
      <x:c r="K93" s="6" t="str">
        <x:v>Normal</x:v>
      </x:c>
      <x:c r="L93" s="6" t="str"/>
      <x:c r="M93" s="6" t="str"/>
      <x:c r="N93" s="6" t="str"/>
      <x:c r="O93" s="7" t="str"/>
      <x:c r="P93" s="6" t="str">
        <x:v>No</x:v>
      </x:c>
      <x:c r="Q93" s="7" t="str">
        <x:v>Identity review follows duplicate disposition where applicable.</x:v>
      </x:c>
    </x:row>
    <x:row r="94">
      <x:c r="A94" s="6" t="str">
        <x:v>SEQ-SID-0078</x:v>
      </x:c>
      <x:c r="B94" s="6" t="str">
        <x:v>Service Identity</x:v>
      </x:c>
      <x:c r="C94" s="6" t="str">
        <x:v>SIDX-0078</x:v>
      </x:c>
      <x:c r="D94" s="6" t="str">
        <x:v>SVC000078</x:v>
      </x:c>
      <x:c r="E94" s="6" t="str"/>
      <x:c r="F94" s="6" t="str">
        <x:v>Service identity review</x:v>
      </x:c>
      <x:c r="G94" s="6" t="n">
        <x:v>2</x:v>
      </x:c>
      <x:c r="H94" s="6" t="str"/>
      <x:c r="I94" s="6" t="str">
        <x:f>IF(H94="","No upstream dependency",IF(ISNUMBER(SEARCH(";",H94)),"Multiple dependencies - verify source queues",IFERROR(XLOOKUP(H94,C2:C1586,J2:J1586),"Dependency not found")))</x:f>
        <x:v>No upstream dependency</x:v>
      </x:c>
      <x:c r="J94" s="6" t="str">
        <x:v>Not Started</x:v>
      </x:c>
      <x:c r="K94" s="6" t="str">
        <x:v>Normal</x:v>
      </x:c>
      <x:c r="L94" s="6" t="str"/>
      <x:c r="M94" s="6" t="str"/>
      <x:c r="N94" s="6" t="str"/>
      <x:c r="O94" s="7" t="str"/>
      <x:c r="P94" s="6" t="str">
        <x:v>No</x:v>
      </x:c>
      <x:c r="Q94" s="7" t="str">
        <x:v>Identity review follows duplicate disposition where applicable.</x:v>
      </x:c>
    </x:row>
    <x:row r="95">
      <x:c r="A95" s="6" t="str">
        <x:v>SEQ-SID-0079</x:v>
      </x:c>
      <x:c r="B95" s="6" t="str">
        <x:v>Service Identity</x:v>
      </x:c>
      <x:c r="C95" s="6" t="str">
        <x:v>SIDX-0079</x:v>
      </x:c>
      <x:c r="D95" s="6" t="str">
        <x:v>SVC000079</x:v>
      </x:c>
      <x:c r="E95" s="6" t="str"/>
      <x:c r="F95" s="6" t="str">
        <x:v>Service identity review</x:v>
      </x:c>
      <x:c r="G95" s="6" t="n">
        <x:v>2</x:v>
      </x:c>
      <x:c r="H95" s="6" t="str"/>
      <x:c r="I95" s="6" t="str">
        <x:f>IF(H95="","No upstream dependency",IF(ISNUMBER(SEARCH(";",H95)),"Multiple dependencies - verify source queues",IFERROR(XLOOKUP(H95,C2:C1586,J2:J1586),"Dependency not found")))</x:f>
        <x:v>No upstream dependency</x:v>
      </x:c>
      <x:c r="J95" s="6" t="str">
        <x:v>Not Started</x:v>
      </x:c>
      <x:c r="K95" s="6" t="str">
        <x:v>Normal</x:v>
      </x:c>
      <x:c r="L95" s="6" t="str"/>
      <x:c r="M95" s="6" t="str"/>
      <x:c r="N95" s="6" t="str"/>
      <x:c r="O95" s="7" t="str"/>
      <x:c r="P95" s="6" t="str">
        <x:v>No</x:v>
      </x:c>
      <x:c r="Q95" s="7" t="str">
        <x:v>Identity review follows duplicate disposition where applicable.</x:v>
      </x:c>
    </x:row>
    <x:row r="96">
      <x:c r="A96" s="6" t="str">
        <x:v>SEQ-SID-0080</x:v>
      </x:c>
      <x:c r="B96" s="6" t="str">
        <x:v>Service Identity</x:v>
      </x:c>
      <x:c r="C96" s="6" t="str">
        <x:v>SIDX-0080</x:v>
      </x:c>
      <x:c r="D96" s="6" t="str">
        <x:v>SVC000080</x:v>
      </x:c>
      <x:c r="E96" s="6" t="str"/>
      <x:c r="F96" s="6" t="str">
        <x:v>Service identity review</x:v>
      </x:c>
      <x:c r="G96" s="6" t="n">
        <x:v>2</x:v>
      </x:c>
      <x:c r="H96" s="6" t="str"/>
      <x:c r="I96" s="6" t="str">
        <x:f>IF(H96="","No upstream dependency",IF(ISNUMBER(SEARCH(";",H96)),"Multiple dependencies - verify source queues",IFERROR(XLOOKUP(H96,C2:C1586,J2:J1586),"Dependency not found")))</x:f>
        <x:v>No upstream dependency</x:v>
      </x:c>
      <x:c r="J96" s="6" t="str">
        <x:v>Not Started</x:v>
      </x:c>
      <x:c r="K96" s="6" t="str">
        <x:v>Normal</x:v>
      </x:c>
      <x:c r="L96" s="6" t="str"/>
      <x:c r="M96" s="6" t="str"/>
      <x:c r="N96" s="6" t="str"/>
      <x:c r="O96" s="7" t="str"/>
      <x:c r="P96" s="6" t="str">
        <x:v>No</x:v>
      </x:c>
      <x:c r="Q96" s="7" t="str">
        <x:v>Identity review follows duplicate disposition where applicable.</x:v>
      </x:c>
    </x:row>
    <x:row r="97">
      <x:c r="A97" s="6" t="str">
        <x:v>SEQ-SID-0081</x:v>
      </x:c>
      <x:c r="B97" s="6" t="str">
        <x:v>Service Identity</x:v>
      </x:c>
      <x:c r="C97" s="6" t="str">
        <x:v>SIDX-0081</x:v>
      </x:c>
      <x:c r="D97" s="6" t="str">
        <x:v>SVC000081</x:v>
      </x:c>
      <x:c r="E97" s="6" t="str"/>
      <x:c r="F97" s="6" t="str">
        <x:v>Service identity review</x:v>
      </x:c>
      <x:c r="G97" s="6" t="n">
        <x:v>2</x:v>
      </x:c>
      <x:c r="H97" s="6" t="str"/>
      <x:c r="I97" s="6" t="str">
        <x:f>IF(H97="","No upstream dependency",IF(ISNUMBER(SEARCH(";",H97)),"Multiple dependencies - verify source queues",IFERROR(XLOOKUP(H97,C2:C1586,J2:J1586),"Dependency not found")))</x:f>
        <x:v>No upstream dependency</x:v>
      </x:c>
      <x:c r="J97" s="6" t="str">
        <x:v>Not Started</x:v>
      </x:c>
      <x:c r="K97" s="6" t="str">
        <x:v>Normal</x:v>
      </x:c>
      <x:c r="L97" s="6" t="str"/>
      <x:c r="M97" s="6" t="str"/>
      <x:c r="N97" s="6" t="str"/>
      <x:c r="O97" s="7" t="str"/>
      <x:c r="P97" s="6" t="str">
        <x:v>No</x:v>
      </x:c>
      <x:c r="Q97" s="7" t="str">
        <x:v>Identity review follows duplicate disposition where applicable.</x:v>
      </x:c>
    </x:row>
    <x:row r="98">
      <x:c r="A98" s="6" t="str">
        <x:v>SEQ-SID-0082</x:v>
      </x:c>
      <x:c r="B98" s="6" t="str">
        <x:v>Service Identity</x:v>
      </x:c>
      <x:c r="C98" s="6" t="str">
        <x:v>SIDX-0082</x:v>
      </x:c>
      <x:c r="D98" s="6" t="str">
        <x:v>SVC000082</x:v>
      </x:c>
      <x:c r="E98" s="6" t="str"/>
      <x:c r="F98" s="6" t="str">
        <x:v>Service identity review</x:v>
      </x:c>
      <x:c r="G98" s="6" t="n">
        <x:v>2</x:v>
      </x:c>
      <x:c r="H98" s="6" t="str"/>
      <x:c r="I98" s="6" t="str">
        <x:f>IF(H98="","No upstream dependency",IF(ISNUMBER(SEARCH(";",H98)),"Multiple dependencies - verify source queues",IFERROR(XLOOKUP(H98,C2:C1586,J2:J1586),"Dependency not found")))</x:f>
        <x:v>No upstream dependency</x:v>
      </x:c>
      <x:c r="J98" s="6" t="str">
        <x:v>Not Started</x:v>
      </x:c>
      <x:c r="K98" s="6" t="str">
        <x:v>Normal</x:v>
      </x:c>
      <x:c r="L98" s="6" t="str"/>
      <x:c r="M98" s="6" t="str"/>
      <x:c r="N98" s="6" t="str"/>
      <x:c r="O98" s="7" t="str"/>
      <x:c r="P98" s="6" t="str">
        <x:v>No</x:v>
      </x:c>
      <x:c r="Q98" s="7" t="str">
        <x:v>Identity review follows duplicate disposition where applicable.</x:v>
      </x:c>
    </x:row>
    <x:row r="99">
      <x:c r="A99" s="6" t="str">
        <x:v>SEQ-SID-0083</x:v>
      </x:c>
      <x:c r="B99" s="6" t="str">
        <x:v>Service Identity</x:v>
      </x:c>
      <x:c r="C99" s="6" t="str">
        <x:v>SIDX-0083</x:v>
      </x:c>
      <x:c r="D99" s="6" t="str">
        <x:v>SVC000083</x:v>
      </x:c>
      <x:c r="E99" s="6" t="str"/>
      <x:c r="F99" s="6" t="str">
        <x:v>Service identity review</x:v>
      </x:c>
      <x:c r="G99" s="6" t="n">
        <x:v>2</x:v>
      </x:c>
      <x:c r="H99" s="6" t="str"/>
      <x:c r="I99" s="6" t="str">
        <x:f>IF(H99="","No upstream dependency",IF(ISNUMBER(SEARCH(";",H99)),"Multiple dependencies - verify source queues",IFERROR(XLOOKUP(H99,C2:C1586,J2:J1586),"Dependency not found")))</x:f>
        <x:v>No upstream dependency</x:v>
      </x:c>
      <x:c r="J99" s="6" t="str">
        <x:v>Not Started</x:v>
      </x:c>
      <x:c r="K99" s="6" t="str">
        <x:v>Normal</x:v>
      </x:c>
      <x:c r="L99" s="6" t="str"/>
      <x:c r="M99" s="6" t="str"/>
      <x:c r="N99" s="6" t="str"/>
      <x:c r="O99" s="7" t="str"/>
      <x:c r="P99" s="6" t="str">
        <x:v>No</x:v>
      </x:c>
      <x:c r="Q99" s="7" t="str">
        <x:v>Identity review follows duplicate disposition where applicable.</x:v>
      </x:c>
    </x:row>
    <x:row r="100">
      <x:c r="A100" s="6" t="str">
        <x:v>SEQ-SID-0084</x:v>
      </x:c>
      <x:c r="B100" s="6" t="str">
        <x:v>Service Identity</x:v>
      </x:c>
      <x:c r="C100" s="6" t="str">
        <x:v>SIDX-0084</x:v>
      </x:c>
      <x:c r="D100" s="6" t="str">
        <x:v>SVC000084</x:v>
      </x:c>
      <x:c r="E100" s="6" t="str"/>
      <x:c r="F100" s="6" t="str">
        <x:v>Service identity review</x:v>
      </x:c>
      <x:c r="G100" s="6" t="n">
        <x:v>2</x:v>
      </x:c>
      <x:c r="H100" s="6" t="str"/>
      <x:c r="I100" s="6" t="str">
        <x:f>IF(H100="","No upstream dependency",IF(ISNUMBER(SEARCH(";",H100)),"Multiple dependencies - verify source queues",IFERROR(XLOOKUP(H100,C2:C1586,J2:J1586),"Dependency not found")))</x:f>
        <x:v>No upstream dependency</x:v>
      </x:c>
      <x:c r="J100" s="6" t="str">
        <x:v>Not Started</x:v>
      </x:c>
      <x:c r="K100" s="6" t="str">
        <x:v>Normal</x:v>
      </x:c>
      <x:c r="L100" s="6" t="str"/>
      <x:c r="M100" s="6" t="str"/>
      <x:c r="N100" s="6" t="str"/>
      <x:c r="O100" s="7" t="str"/>
      <x:c r="P100" s="6" t="str">
        <x:v>No</x:v>
      </x:c>
      <x:c r="Q100" s="7" t="str">
        <x:v>Identity review follows duplicate disposition where applicable.</x:v>
      </x:c>
    </x:row>
    <x:row r="101">
      <x:c r="A101" s="6" t="str">
        <x:v>SEQ-SID-0085</x:v>
      </x:c>
      <x:c r="B101" s="6" t="str">
        <x:v>Service Identity</x:v>
      </x:c>
      <x:c r="C101" s="6" t="str">
        <x:v>SIDX-0085</x:v>
      </x:c>
      <x:c r="D101" s="6" t="str">
        <x:v>SVC000085</x:v>
      </x:c>
      <x:c r="E101" s="6" t="str"/>
      <x:c r="F101" s="6" t="str">
        <x:v>Service identity review</x:v>
      </x:c>
      <x:c r="G101" s="6" t="n">
        <x:v>2</x:v>
      </x:c>
      <x:c r="H101" s="6" t="str"/>
      <x:c r="I101" s="6" t="str">
        <x:f>IF(H101="","No upstream dependency",IF(ISNUMBER(SEARCH(";",H101)),"Multiple dependencies - verify source queues",IFERROR(XLOOKUP(H101,C2:C1586,J2:J1586),"Dependency not found")))</x:f>
        <x:v>No upstream dependency</x:v>
      </x:c>
      <x:c r="J101" s="6" t="str">
        <x:v>Not Started</x:v>
      </x:c>
      <x:c r="K101" s="6" t="str">
        <x:v>Normal</x:v>
      </x:c>
      <x:c r="L101" s="6" t="str"/>
      <x:c r="M101" s="6" t="str"/>
      <x:c r="N101" s="6" t="str"/>
      <x:c r="O101" s="7" t="str"/>
      <x:c r="P101" s="6" t="str">
        <x:v>No</x:v>
      </x:c>
      <x:c r="Q101" s="7" t="str">
        <x:v>Identity review follows duplicate disposition where applicable.</x:v>
      </x:c>
    </x:row>
    <x:row r="102">
      <x:c r="A102" s="6" t="str">
        <x:v>SEQ-SID-0086</x:v>
      </x:c>
      <x:c r="B102" s="6" t="str">
        <x:v>Service Identity</x:v>
      </x:c>
      <x:c r="C102" s="6" t="str">
        <x:v>SIDX-0086</x:v>
      </x:c>
      <x:c r="D102" s="6" t="str">
        <x:v>SVC000086</x:v>
      </x:c>
      <x:c r="E102" s="6" t="str">
        <x:v>DUP000001</x:v>
      </x:c>
      <x:c r="F102" s="6" t="str">
        <x:v>Service identity review</x:v>
      </x:c>
      <x:c r="G102" s="6" t="n">
        <x:v>2</x:v>
      </x:c>
      <x:c r="H102" s="6" t="str">
        <x:v>DUPX-0001</x:v>
      </x:c>
      <x:c r="I102" s="6" t="str">
        <x:f>IF(H102="","No upstream dependency",IF(ISNUMBER(SEARCH(";",H102)),"Multiple dependencies - verify source queues",IFERROR(XLOOKUP(H102,C2:C1586,J2:J1586),"Dependency not found")))</x:f>
        <x:v>Not Started</x:v>
      </x:c>
      <x:c r="J102" s="6" t="str">
        <x:v>Not Started</x:v>
      </x:c>
      <x:c r="K102" s="6" t="str">
        <x:v>Normal</x:v>
      </x:c>
      <x:c r="L102" s="6" t="str"/>
      <x:c r="M102" s="6" t="str"/>
      <x:c r="N102" s="6" t="str"/>
      <x:c r="O102" s="7" t="str"/>
      <x:c r="P102" s="6" t="str">
        <x:v>Yes</x:v>
      </x:c>
      <x:c r="Q102" s="7" t="str">
        <x:v>Identity review follows duplicate disposition where applicable.</x:v>
      </x:c>
    </x:row>
    <x:row r="103">
      <x:c r="A103" s="6" t="str">
        <x:v>SEQ-SID-0087</x:v>
      </x:c>
      <x:c r="B103" s="6" t="str">
        <x:v>Service Identity</x:v>
      </x:c>
      <x:c r="C103" s="6" t="str">
        <x:v>SIDX-0087</x:v>
      </x:c>
      <x:c r="D103" s="6" t="str">
        <x:v>SVC000087</x:v>
      </x:c>
      <x:c r="E103" s="6" t="str">
        <x:v>DUP000001</x:v>
      </x:c>
      <x:c r="F103" s="6" t="str">
        <x:v>Service identity review</x:v>
      </x:c>
      <x:c r="G103" s="6" t="n">
        <x:v>2</x:v>
      </x:c>
      <x:c r="H103" s="6" t="str">
        <x:v>DUPX-0001</x:v>
      </x:c>
      <x:c r="I103" s="6" t="str">
        <x:f>IF(H103="","No upstream dependency",IF(ISNUMBER(SEARCH(";",H103)),"Multiple dependencies - verify source queues",IFERROR(XLOOKUP(H103,C2:C1586,J2:J1586),"Dependency not found")))</x:f>
        <x:v>Not Started</x:v>
      </x:c>
      <x:c r="J103" s="6" t="str">
        <x:v>Not Started</x:v>
      </x:c>
      <x:c r="K103" s="6" t="str">
        <x:v>Normal</x:v>
      </x:c>
      <x:c r="L103" s="6" t="str"/>
      <x:c r="M103" s="6" t="str"/>
      <x:c r="N103" s="6" t="str"/>
      <x:c r="O103" s="7" t="str"/>
      <x:c r="P103" s="6" t="str">
        <x:v>Yes</x:v>
      </x:c>
      <x:c r="Q103" s="7" t="str">
        <x:v>Identity review follows duplicate disposition where applicable.</x:v>
      </x:c>
    </x:row>
    <x:row r="104">
      <x:c r="A104" s="6" t="str">
        <x:v>SEQ-SID-0088</x:v>
      </x:c>
      <x:c r="B104" s="6" t="str">
        <x:v>Service Identity</x:v>
      </x:c>
      <x:c r="C104" s="6" t="str">
        <x:v>SIDX-0088</x:v>
      </x:c>
      <x:c r="D104" s="6" t="str">
        <x:v>SVC000088</x:v>
      </x:c>
      <x:c r="E104" s="6" t="str">
        <x:v>DUP000002</x:v>
      </x:c>
      <x:c r="F104" s="6" t="str">
        <x:v>Service identity review</x:v>
      </x:c>
      <x:c r="G104" s="6" t="n">
        <x:v>2</x:v>
      </x:c>
      <x:c r="H104" s="6" t="str">
        <x:v>DUPX-0002</x:v>
      </x:c>
      <x:c r="I104" s="6" t="str">
        <x:f>IF(H104="","No upstream dependency",IF(ISNUMBER(SEARCH(";",H104)),"Multiple dependencies - verify source queues",IFERROR(XLOOKUP(H104,C2:C1586,J2:J1586),"Dependency not found")))</x:f>
        <x:v>Not Started</x:v>
      </x:c>
      <x:c r="J104" s="6" t="str">
        <x:v>Not Started</x:v>
      </x:c>
      <x:c r="K104" s="6" t="str">
        <x:v>Normal</x:v>
      </x:c>
      <x:c r="L104" s="6" t="str"/>
      <x:c r="M104" s="6" t="str"/>
      <x:c r="N104" s="6" t="str"/>
      <x:c r="O104" s="7" t="str"/>
      <x:c r="P104" s="6" t="str">
        <x:v>Yes</x:v>
      </x:c>
      <x:c r="Q104" s="7" t="str">
        <x:v>Identity review follows duplicate disposition where applicable.</x:v>
      </x:c>
    </x:row>
    <x:row r="105">
      <x:c r="A105" s="6" t="str">
        <x:v>SEQ-SID-0089</x:v>
      </x:c>
      <x:c r="B105" s="6" t="str">
        <x:v>Service Identity</x:v>
      </x:c>
      <x:c r="C105" s="6" t="str">
        <x:v>SIDX-0089</x:v>
      </x:c>
      <x:c r="D105" s="6" t="str">
        <x:v>SVC000089</x:v>
      </x:c>
      <x:c r="E105" s="6" t="str">
        <x:v>DUP000002</x:v>
      </x:c>
      <x:c r="F105" s="6" t="str">
        <x:v>Service identity review</x:v>
      </x:c>
      <x:c r="G105" s="6" t="n">
        <x:v>2</x:v>
      </x:c>
      <x:c r="H105" s="6" t="str">
        <x:v>DUPX-0002</x:v>
      </x:c>
      <x:c r="I105" s="6" t="str">
        <x:f>IF(H105="","No upstream dependency",IF(ISNUMBER(SEARCH(";",H105)),"Multiple dependencies - verify source queues",IFERROR(XLOOKUP(H105,C2:C1586,J2:J1586),"Dependency not found")))</x:f>
        <x:v>Not Started</x:v>
      </x:c>
      <x:c r="J105" s="6" t="str">
        <x:v>Not Started</x:v>
      </x:c>
      <x:c r="K105" s="6" t="str">
        <x:v>Normal</x:v>
      </x:c>
      <x:c r="L105" s="6" t="str"/>
      <x:c r="M105" s="6" t="str"/>
      <x:c r="N105" s="6" t="str"/>
      <x:c r="O105" s="7" t="str"/>
      <x:c r="P105" s="6" t="str">
        <x:v>Yes</x:v>
      </x:c>
      <x:c r="Q105" s="7" t="str">
        <x:v>Identity review follows duplicate disposition where applicable.</x:v>
      </x:c>
    </x:row>
    <x:row r="106">
      <x:c r="A106" s="6" t="str">
        <x:v>SEQ-SID-0090</x:v>
      </x:c>
      <x:c r="B106" s="6" t="str">
        <x:v>Service Identity</x:v>
      </x:c>
      <x:c r="C106" s="6" t="str">
        <x:v>SIDX-0090</x:v>
      </x:c>
      <x:c r="D106" s="6" t="str">
        <x:v>SVC000090</x:v>
      </x:c>
      <x:c r="E106" s="6" t="str">
        <x:v>DUP000003</x:v>
      </x:c>
      <x:c r="F106" s="6" t="str">
        <x:v>Service identity review</x:v>
      </x:c>
      <x:c r="G106" s="6" t="n">
        <x:v>2</x:v>
      </x:c>
      <x:c r="H106" s="6" t="str">
        <x:v>DUPX-0003</x:v>
      </x:c>
      <x:c r="I106" s="6" t="str">
        <x:f>IF(H106="","No upstream dependency",IF(ISNUMBER(SEARCH(";",H106)),"Multiple dependencies - verify source queues",IFERROR(XLOOKUP(H106,C2:C1586,J2:J1586),"Dependency not found")))</x:f>
        <x:v>Not Started</x:v>
      </x:c>
      <x:c r="J106" s="6" t="str">
        <x:v>Not Started</x:v>
      </x:c>
      <x:c r="K106" s="6" t="str">
        <x:v>Normal</x:v>
      </x:c>
      <x:c r="L106" s="6" t="str"/>
      <x:c r="M106" s="6" t="str"/>
      <x:c r="N106" s="6" t="str"/>
      <x:c r="O106" s="7" t="str"/>
      <x:c r="P106" s="6" t="str">
        <x:v>Yes</x:v>
      </x:c>
      <x:c r="Q106" s="7" t="str">
        <x:v>Identity review follows duplicate disposition where applicable.</x:v>
      </x:c>
    </x:row>
    <x:row r="107">
      <x:c r="A107" s="6" t="str">
        <x:v>SEQ-SID-0091</x:v>
      </x:c>
      <x:c r="B107" s="6" t="str">
        <x:v>Service Identity</x:v>
      </x:c>
      <x:c r="C107" s="6" t="str">
        <x:v>SIDX-0091</x:v>
      </x:c>
      <x:c r="D107" s="6" t="str">
        <x:v>SVC000091</x:v>
      </x:c>
      <x:c r="E107" s="6" t="str">
        <x:v>DUP000003</x:v>
      </x:c>
      <x:c r="F107" s="6" t="str">
        <x:v>Service identity review</x:v>
      </x:c>
      <x:c r="G107" s="6" t="n">
        <x:v>2</x:v>
      </x:c>
      <x:c r="H107" s="6" t="str">
        <x:v>DUPX-0003</x:v>
      </x:c>
      <x:c r="I107" s="6" t="str">
        <x:f>IF(H107="","No upstream dependency",IF(ISNUMBER(SEARCH(";",H107)),"Multiple dependencies - verify source queues",IFERROR(XLOOKUP(H107,C2:C1586,J2:J1586),"Dependency not found")))</x:f>
        <x:v>Not Started</x:v>
      </x:c>
      <x:c r="J107" s="6" t="str">
        <x:v>Not Started</x:v>
      </x:c>
      <x:c r="K107" s="6" t="str">
        <x:v>Normal</x:v>
      </x:c>
      <x:c r="L107" s="6" t="str"/>
      <x:c r="M107" s="6" t="str"/>
      <x:c r="N107" s="6" t="str"/>
      <x:c r="O107" s="7" t="str"/>
      <x:c r="P107" s="6" t="str">
        <x:v>Yes</x:v>
      </x:c>
      <x:c r="Q107" s="7" t="str">
        <x:v>Identity review follows duplicate disposition where applicable.</x:v>
      </x:c>
    </x:row>
    <x:row r="108">
      <x:c r="A108" s="6" t="str">
        <x:v>SEQ-SID-0092</x:v>
      </x:c>
      <x:c r="B108" s="6" t="str">
        <x:v>Service Identity</x:v>
      </x:c>
      <x:c r="C108" s="6" t="str">
        <x:v>SIDX-0092</x:v>
      </x:c>
      <x:c r="D108" s="6" t="str">
        <x:v>SVC000092</x:v>
      </x:c>
      <x:c r="E108" s="6" t="str">
        <x:v>DUP000004</x:v>
      </x:c>
      <x:c r="F108" s="6" t="str">
        <x:v>Service identity review</x:v>
      </x:c>
      <x:c r="G108" s="6" t="n">
        <x:v>2</x:v>
      </x:c>
      <x:c r="H108" s="6" t="str">
        <x:v>DUPX-0004</x:v>
      </x:c>
      <x:c r="I108" s="6" t="str">
        <x:f>IF(H108="","No upstream dependency",IF(ISNUMBER(SEARCH(";",H108)),"Multiple dependencies - verify source queues",IFERROR(XLOOKUP(H108,C2:C1586,J2:J1586),"Dependency not found")))</x:f>
        <x:v>Not Started</x:v>
      </x:c>
      <x:c r="J108" s="6" t="str">
        <x:v>Not Started</x:v>
      </x:c>
      <x:c r="K108" s="6" t="str">
        <x:v>Normal</x:v>
      </x:c>
      <x:c r="L108" s="6" t="str"/>
      <x:c r="M108" s="6" t="str"/>
      <x:c r="N108" s="6" t="str"/>
      <x:c r="O108" s="7" t="str"/>
      <x:c r="P108" s="6" t="str">
        <x:v>Yes</x:v>
      </x:c>
      <x:c r="Q108" s="7" t="str">
        <x:v>Identity review follows duplicate disposition where applicable.</x:v>
      </x:c>
    </x:row>
    <x:row r="109">
      <x:c r="A109" s="6" t="str">
        <x:v>SEQ-SID-0093</x:v>
      </x:c>
      <x:c r="B109" s="6" t="str">
        <x:v>Service Identity</x:v>
      </x:c>
      <x:c r="C109" s="6" t="str">
        <x:v>SIDX-0093</x:v>
      </x:c>
      <x:c r="D109" s="6" t="str">
        <x:v>SVC000093</x:v>
      </x:c>
      <x:c r="E109" s="6" t="str">
        <x:v>DUP000004</x:v>
      </x:c>
      <x:c r="F109" s="6" t="str">
        <x:v>Service identity review</x:v>
      </x:c>
      <x:c r="G109" s="6" t="n">
        <x:v>2</x:v>
      </x:c>
      <x:c r="H109" s="6" t="str">
        <x:v>DUPX-0004</x:v>
      </x:c>
      <x:c r="I109" s="6" t="str">
        <x:f>IF(H109="","No upstream dependency",IF(ISNUMBER(SEARCH(";",H109)),"Multiple dependencies - verify source queues",IFERROR(XLOOKUP(H109,C2:C1586,J2:J1586),"Dependency not found")))</x:f>
        <x:v>Not Started</x:v>
      </x:c>
      <x:c r="J109" s="6" t="str">
        <x:v>Not Started</x:v>
      </x:c>
      <x:c r="K109" s="6" t="str">
        <x:v>Normal</x:v>
      </x:c>
      <x:c r="L109" s="6" t="str"/>
      <x:c r="M109" s="6" t="str"/>
      <x:c r="N109" s="6" t="str"/>
      <x:c r="O109" s="7" t="str"/>
      <x:c r="P109" s="6" t="str">
        <x:v>Yes</x:v>
      </x:c>
      <x:c r="Q109" s="7" t="str">
        <x:v>Identity review follows duplicate disposition where applicable.</x:v>
      </x:c>
    </x:row>
    <x:row r="110">
      <x:c r="A110" s="6" t="str">
        <x:v>SEQ-SID-0094</x:v>
      </x:c>
      <x:c r="B110" s="6" t="str">
        <x:v>Service Identity</x:v>
      </x:c>
      <x:c r="C110" s="6" t="str">
        <x:v>SIDX-0094</x:v>
      </x:c>
      <x:c r="D110" s="6" t="str">
        <x:v>SVC000094</x:v>
      </x:c>
      <x:c r="E110" s="6" t="str"/>
      <x:c r="F110" s="6" t="str">
        <x:v>Service identity review</x:v>
      </x:c>
      <x:c r="G110" s="6" t="n">
        <x:v>2</x:v>
      </x:c>
      <x:c r="H110" s="6" t="str"/>
      <x:c r="I110" s="6" t="str">
        <x:f>IF(H110="","No upstream dependency",IF(ISNUMBER(SEARCH(";",H110)),"Multiple dependencies - verify source queues",IFERROR(XLOOKUP(H110,C2:C1586,J2:J1586),"Dependency not found")))</x:f>
        <x:v>No upstream dependency</x:v>
      </x:c>
      <x:c r="J110" s="6" t="str">
        <x:v>Not Started</x:v>
      </x:c>
      <x:c r="K110" s="6" t="str">
        <x:v>Normal</x:v>
      </x:c>
      <x:c r="L110" s="6" t="str"/>
      <x:c r="M110" s="6" t="str"/>
      <x:c r="N110" s="6" t="str"/>
      <x:c r="O110" s="7" t="str"/>
      <x:c r="P110" s="6" t="str">
        <x:v>No</x:v>
      </x:c>
      <x:c r="Q110" s="7" t="str">
        <x:v>Identity review follows duplicate disposition where applicable.</x:v>
      </x:c>
    </x:row>
    <x:row r="111">
      <x:c r="A111" s="6" t="str">
        <x:v>SEQ-SID-0095</x:v>
      </x:c>
      <x:c r="B111" s="6" t="str">
        <x:v>Service Identity</x:v>
      </x:c>
      <x:c r="C111" s="6" t="str">
        <x:v>SIDX-0095</x:v>
      </x:c>
      <x:c r="D111" s="6" t="str">
        <x:v>SVC000095</x:v>
      </x:c>
      <x:c r="E111" s="6" t="str"/>
      <x:c r="F111" s="6" t="str">
        <x:v>Service identity review</x:v>
      </x:c>
      <x:c r="G111" s="6" t="n">
        <x:v>2</x:v>
      </x:c>
      <x:c r="H111" s="6" t="str"/>
      <x:c r="I111" s="6" t="str">
        <x:f>IF(H111="","No upstream dependency",IF(ISNUMBER(SEARCH(";",H111)),"Multiple dependencies - verify source queues",IFERROR(XLOOKUP(H111,C2:C1586,J2:J1586),"Dependency not found")))</x:f>
        <x:v>No upstream dependency</x:v>
      </x:c>
      <x:c r="J111" s="6" t="str">
        <x:v>Not Started</x:v>
      </x:c>
      <x:c r="K111" s="6" t="str">
        <x:v>Normal</x:v>
      </x:c>
      <x:c r="L111" s="6" t="str"/>
      <x:c r="M111" s="6" t="str"/>
      <x:c r="N111" s="6" t="str"/>
      <x:c r="O111" s="7" t="str"/>
      <x:c r="P111" s="6" t="str">
        <x:v>No</x:v>
      </x:c>
      <x:c r="Q111" s="7" t="str">
        <x:v>Identity review follows duplicate disposition where applicable.</x:v>
      </x:c>
    </x:row>
    <x:row r="112">
      <x:c r="A112" s="6" t="str">
        <x:v>SEQ-SID-0096</x:v>
      </x:c>
      <x:c r="B112" s="6" t="str">
        <x:v>Service Identity</x:v>
      </x:c>
      <x:c r="C112" s="6" t="str">
        <x:v>SIDX-0096</x:v>
      </x:c>
      <x:c r="D112" s="6" t="str">
        <x:v>SVC000096</x:v>
      </x:c>
      <x:c r="E112" s="6" t="str"/>
      <x:c r="F112" s="6" t="str">
        <x:v>Service identity review</x:v>
      </x:c>
      <x:c r="G112" s="6" t="n">
        <x:v>2</x:v>
      </x:c>
      <x:c r="H112" s="6" t="str"/>
      <x:c r="I112" s="6" t="str">
        <x:f>IF(H112="","No upstream dependency",IF(ISNUMBER(SEARCH(";",H112)),"Multiple dependencies - verify source queues",IFERROR(XLOOKUP(H112,C2:C1586,J2:J1586),"Dependency not found")))</x:f>
        <x:v>No upstream dependency</x:v>
      </x:c>
      <x:c r="J112" s="6" t="str">
        <x:v>Not Started</x:v>
      </x:c>
      <x:c r="K112" s="6" t="str">
        <x:v>Normal</x:v>
      </x:c>
      <x:c r="L112" s="6" t="str"/>
      <x:c r="M112" s="6" t="str"/>
      <x:c r="N112" s="6" t="str"/>
      <x:c r="O112" s="7" t="str"/>
      <x:c r="P112" s="6" t="str">
        <x:v>No</x:v>
      </x:c>
      <x:c r="Q112" s="7" t="str">
        <x:v>Identity review follows duplicate disposition where applicable.</x:v>
      </x:c>
    </x:row>
    <x:row r="113">
      <x:c r="A113" s="6" t="str">
        <x:v>SEQ-SID-0097</x:v>
      </x:c>
      <x:c r="B113" s="6" t="str">
        <x:v>Service Identity</x:v>
      </x:c>
      <x:c r="C113" s="6" t="str">
        <x:v>SIDX-0097</x:v>
      </x:c>
      <x:c r="D113" s="6" t="str">
        <x:v>SVC000097</x:v>
      </x:c>
      <x:c r="E113" s="6" t="str"/>
      <x:c r="F113" s="6" t="str">
        <x:v>Service identity review</x:v>
      </x:c>
      <x:c r="G113" s="6" t="n">
        <x:v>2</x:v>
      </x:c>
      <x:c r="H113" s="6" t="str"/>
      <x:c r="I113" s="6" t="str">
        <x:f>IF(H113="","No upstream dependency",IF(ISNUMBER(SEARCH(";",H113)),"Multiple dependencies - verify source queues",IFERROR(XLOOKUP(H113,C2:C1586,J2:J1586),"Dependency not found")))</x:f>
        <x:v>No upstream dependency</x:v>
      </x:c>
      <x:c r="J113" s="6" t="str">
        <x:v>Not Started</x:v>
      </x:c>
      <x:c r="K113" s="6" t="str">
        <x:v>Normal</x:v>
      </x:c>
      <x:c r="L113" s="6" t="str"/>
      <x:c r="M113" s="6" t="str"/>
      <x:c r="N113" s="6" t="str"/>
      <x:c r="O113" s="7" t="str"/>
      <x:c r="P113" s="6" t="str">
        <x:v>No</x:v>
      </x:c>
      <x:c r="Q113" s="7" t="str">
        <x:v>Identity review follows duplicate disposition where applicable.</x:v>
      </x:c>
    </x:row>
    <x:row r="114">
      <x:c r="A114" s="6" t="str">
        <x:v>SEQ-SID-0098</x:v>
      </x:c>
      <x:c r="B114" s="6" t="str">
        <x:v>Service Identity</x:v>
      </x:c>
      <x:c r="C114" s="6" t="str">
        <x:v>SIDX-0098</x:v>
      </x:c>
      <x:c r="D114" s="6" t="str">
        <x:v>SVC000098</x:v>
      </x:c>
      <x:c r="E114" s="6" t="str"/>
      <x:c r="F114" s="6" t="str">
        <x:v>Service identity review</x:v>
      </x:c>
      <x:c r="G114" s="6" t="n">
        <x:v>2</x:v>
      </x:c>
      <x:c r="H114" s="6" t="str"/>
      <x:c r="I114" s="6" t="str">
        <x:f>IF(H114="","No upstream dependency",IF(ISNUMBER(SEARCH(";",H114)),"Multiple dependencies - verify source queues",IFERROR(XLOOKUP(H114,C2:C1586,J2:J1586),"Dependency not found")))</x:f>
        <x:v>No upstream dependency</x:v>
      </x:c>
      <x:c r="J114" s="6" t="str">
        <x:v>Not Started</x:v>
      </x:c>
      <x:c r="K114" s="6" t="str">
        <x:v>Normal</x:v>
      </x:c>
      <x:c r="L114" s="6" t="str"/>
      <x:c r="M114" s="6" t="str"/>
      <x:c r="N114" s="6" t="str"/>
      <x:c r="O114" s="7" t="str"/>
      <x:c r="P114" s="6" t="str">
        <x:v>No</x:v>
      </x:c>
      <x:c r="Q114" s="7" t="str">
        <x:v>Identity review follows duplicate disposition where applicable.</x:v>
      </x:c>
    </x:row>
    <x:row r="115">
      <x:c r="A115" s="6" t="str">
        <x:v>SEQ-SID-0099</x:v>
      </x:c>
      <x:c r="B115" s="6" t="str">
        <x:v>Service Identity</x:v>
      </x:c>
      <x:c r="C115" s="6" t="str">
        <x:v>SIDX-0099</x:v>
      </x:c>
      <x:c r="D115" s="6" t="str">
        <x:v>SVC000099</x:v>
      </x:c>
      <x:c r="E115" s="6" t="str"/>
      <x:c r="F115" s="6" t="str">
        <x:v>Service identity review</x:v>
      </x:c>
      <x:c r="G115" s="6" t="n">
        <x:v>2</x:v>
      </x:c>
      <x:c r="H115" s="6" t="str"/>
      <x:c r="I115" s="6" t="str">
        <x:f>IF(H115="","No upstream dependency",IF(ISNUMBER(SEARCH(";",H115)),"Multiple dependencies - verify source queues",IFERROR(XLOOKUP(H115,C2:C1586,J2:J1586),"Dependency not found")))</x:f>
        <x:v>No upstream dependency</x:v>
      </x:c>
      <x:c r="J115" s="6" t="str">
        <x:v>Not Started</x:v>
      </x:c>
      <x:c r="K115" s="6" t="str">
        <x:v>Normal</x:v>
      </x:c>
      <x:c r="L115" s="6" t="str"/>
      <x:c r="M115" s="6" t="str"/>
      <x:c r="N115" s="6" t="str"/>
      <x:c r="O115" s="7" t="str"/>
      <x:c r="P115" s="6" t="str">
        <x:v>No</x:v>
      </x:c>
      <x:c r="Q115" s="7" t="str">
        <x:v>Identity review follows duplicate disposition where applicable.</x:v>
      </x:c>
    </x:row>
    <x:row r="116">
      <x:c r="A116" s="6" t="str">
        <x:v>SEQ-SID-0100</x:v>
      </x:c>
      <x:c r="B116" s="6" t="str">
        <x:v>Service Identity</x:v>
      </x:c>
      <x:c r="C116" s="6" t="str">
        <x:v>SIDX-0100</x:v>
      </x:c>
      <x:c r="D116" s="6" t="str">
        <x:v>SVC000100</x:v>
      </x:c>
      <x:c r="E116" s="6" t="str"/>
      <x:c r="F116" s="6" t="str">
        <x:v>Service identity review</x:v>
      </x:c>
      <x:c r="G116" s="6" t="n">
        <x:v>2</x:v>
      </x:c>
      <x:c r="H116" s="6" t="str"/>
      <x:c r="I116" s="6" t="str">
        <x:f>IF(H116="","No upstream dependency",IF(ISNUMBER(SEARCH(";",H116)),"Multiple dependencies - verify source queues",IFERROR(XLOOKUP(H116,C2:C1586,J2:J1586),"Dependency not found")))</x:f>
        <x:v>No upstream dependency</x:v>
      </x:c>
      <x:c r="J116" s="6" t="str">
        <x:v>Not Started</x:v>
      </x:c>
      <x:c r="K116" s="6" t="str">
        <x:v>Normal</x:v>
      </x:c>
      <x:c r="L116" s="6" t="str"/>
      <x:c r="M116" s="6" t="str"/>
      <x:c r="N116" s="6" t="str"/>
      <x:c r="O116" s="7" t="str"/>
      <x:c r="P116" s="6" t="str">
        <x:v>No</x:v>
      </x:c>
      <x:c r="Q116" s="7" t="str">
        <x:v>Identity review follows duplicate disposition where applicable.</x:v>
      </x:c>
    </x:row>
    <x:row r="117">
      <x:c r="A117" s="6" t="str">
        <x:v>SEQ-SID-0101</x:v>
      </x:c>
      <x:c r="B117" s="6" t="str">
        <x:v>Service Identity</x:v>
      </x:c>
      <x:c r="C117" s="6" t="str">
        <x:v>SIDX-0101</x:v>
      </x:c>
      <x:c r="D117" s="6" t="str">
        <x:v>SVC000101</x:v>
      </x:c>
      <x:c r="E117" s="6" t="str">
        <x:v>DUP000005</x:v>
      </x:c>
      <x:c r="F117" s="6" t="str">
        <x:v>Service identity review</x:v>
      </x:c>
      <x:c r="G117" s="6" t="n">
        <x:v>2</x:v>
      </x:c>
      <x:c r="H117" s="6" t="str">
        <x:v>DUPX-0005</x:v>
      </x:c>
      <x:c r="I117" s="6" t="str">
        <x:f>IF(H117="","No upstream dependency",IF(ISNUMBER(SEARCH(";",H117)),"Multiple dependencies - verify source queues",IFERROR(XLOOKUP(H117,C2:C1586,J2:J1586),"Dependency not found")))</x:f>
        <x:v>Not Started</x:v>
      </x:c>
      <x:c r="J117" s="6" t="str">
        <x:v>Not Started</x:v>
      </x:c>
      <x:c r="K117" s="6" t="str">
        <x:v>Normal</x:v>
      </x:c>
      <x:c r="L117" s="6" t="str"/>
      <x:c r="M117" s="6" t="str"/>
      <x:c r="N117" s="6" t="str"/>
      <x:c r="O117" s="7" t="str"/>
      <x:c r="P117" s="6" t="str">
        <x:v>Yes</x:v>
      </x:c>
      <x:c r="Q117" s="7" t="str">
        <x:v>Identity review follows duplicate disposition where applicable.</x:v>
      </x:c>
    </x:row>
    <x:row r="118">
      <x:c r="A118" s="6" t="str">
        <x:v>SEQ-SID-0102</x:v>
      </x:c>
      <x:c r="B118" s="6" t="str">
        <x:v>Service Identity</x:v>
      </x:c>
      <x:c r="C118" s="6" t="str">
        <x:v>SIDX-0102</x:v>
      </x:c>
      <x:c r="D118" s="6" t="str">
        <x:v>SVC000102</x:v>
      </x:c>
      <x:c r="E118" s="6" t="str">
        <x:v>DUP000005</x:v>
      </x:c>
      <x:c r="F118" s="6" t="str">
        <x:v>Service identity review</x:v>
      </x:c>
      <x:c r="G118" s="6" t="n">
        <x:v>2</x:v>
      </x:c>
      <x:c r="H118" s="6" t="str">
        <x:v>DUPX-0005</x:v>
      </x:c>
      <x:c r="I118" s="6" t="str">
        <x:f>IF(H118="","No upstream dependency",IF(ISNUMBER(SEARCH(";",H118)),"Multiple dependencies - verify source queues",IFERROR(XLOOKUP(H118,C2:C1586,J2:J1586),"Dependency not found")))</x:f>
        <x:v>Not Started</x:v>
      </x:c>
      <x:c r="J118" s="6" t="str">
        <x:v>Not Started</x:v>
      </x:c>
      <x:c r="K118" s="6" t="str">
        <x:v>Normal</x:v>
      </x:c>
      <x:c r="L118" s="6" t="str"/>
      <x:c r="M118" s="6" t="str"/>
      <x:c r="N118" s="6" t="str"/>
      <x:c r="O118" s="7" t="str"/>
      <x:c r="P118" s="6" t="str">
        <x:v>Yes</x:v>
      </x:c>
      <x:c r="Q118" s="7" t="str">
        <x:v>Identity review follows duplicate disposition where applicable.</x:v>
      </x:c>
    </x:row>
    <x:row r="119">
      <x:c r="A119" s="6" t="str">
        <x:v>SEQ-SID-0103</x:v>
      </x:c>
      <x:c r="B119" s="6" t="str">
        <x:v>Service Identity</x:v>
      </x:c>
      <x:c r="C119" s="6" t="str">
        <x:v>SIDX-0103</x:v>
      </x:c>
      <x:c r="D119" s="6" t="str">
        <x:v>SVC000103</x:v>
      </x:c>
      <x:c r="E119" s="6" t="str">
        <x:v>DUP000005</x:v>
      </x:c>
      <x:c r="F119" s="6" t="str">
        <x:v>Service identity review</x:v>
      </x:c>
      <x:c r="G119" s="6" t="n">
        <x:v>2</x:v>
      </x:c>
      <x:c r="H119" s="6" t="str">
        <x:v>DUPX-0005</x:v>
      </x:c>
      <x:c r="I119" s="6" t="str">
        <x:f>IF(H119="","No upstream dependency",IF(ISNUMBER(SEARCH(";",H119)),"Multiple dependencies - verify source queues",IFERROR(XLOOKUP(H119,C2:C1586,J2:J1586),"Dependency not found")))</x:f>
        <x:v>Not Started</x:v>
      </x:c>
      <x:c r="J119" s="6" t="str">
        <x:v>Not Started</x:v>
      </x:c>
      <x:c r="K119" s="6" t="str">
        <x:v>Normal</x:v>
      </x:c>
      <x:c r="L119" s="6" t="str"/>
      <x:c r="M119" s="6" t="str"/>
      <x:c r="N119" s="6" t="str"/>
      <x:c r="O119" s="7" t="str"/>
      <x:c r="P119" s="6" t="str">
        <x:v>Yes</x:v>
      </x:c>
      <x:c r="Q119" s="7" t="str">
        <x:v>Identity review follows duplicate disposition where applicable.</x:v>
      </x:c>
    </x:row>
    <x:row r="120">
      <x:c r="A120" s="6" t="str">
        <x:v>SEQ-SID-0104</x:v>
      </x:c>
      <x:c r="B120" s="6" t="str">
        <x:v>Service Identity</x:v>
      </x:c>
      <x:c r="C120" s="6" t="str">
        <x:v>SIDX-0104</x:v>
      </x:c>
      <x:c r="D120" s="6" t="str">
        <x:v>SVC000104</x:v>
      </x:c>
      <x:c r="E120" s="6" t="str"/>
      <x:c r="F120" s="6" t="str">
        <x:v>Service identity review</x:v>
      </x:c>
      <x:c r="G120" s="6" t="n">
        <x:v>2</x:v>
      </x:c>
      <x:c r="H120" s="6" t="str"/>
      <x:c r="I120" s="6" t="str">
        <x:f>IF(H120="","No upstream dependency",IF(ISNUMBER(SEARCH(";",H120)),"Multiple dependencies - verify source queues",IFERROR(XLOOKUP(H120,C2:C1586,J2:J1586),"Dependency not found")))</x:f>
        <x:v>No upstream dependency</x:v>
      </x:c>
      <x:c r="J120" s="6" t="str">
        <x:v>Not Started</x:v>
      </x:c>
      <x:c r="K120" s="6" t="str">
        <x:v>Normal</x:v>
      </x:c>
      <x:c r="L120" s="6" t="str"/>
      <x:c r="M120" s="6" t="str"/>
      <x:c r="N120" s="6" t="str"/>
      <x:c r="O120" s="7" t="str"/>
      <x:c r="P120" s="6" t="str">
        <x:v>No</x:v>
      </x:c>
      <x:c r="Q120" s="7" t="str">
        <x:v>Identity review follows duplicate disposition where applicable.</x:v>
      </x:c>
    </x:row>
    <x:row r="121">
      <x:c r="A121" s="6" t="str">
        <x:v>SEQ-SID-0105</x:v>
      </x:c>
      <x:c r="B121" s="6" t="str">
        <x:v>Service Identity</x:v>
      </x:c>
      <x:c r="C121" s="6" t="str">
        <x:v>SIDX-0105</x:v>
      </x:c>
      <x:c r="D121" s="6" t="str">
        <x:v>SVC000105</x:v>
      </x:c>
      <x:c r="E121" s="6" t="str"/>
      <x:c r="F121" s="6" t="str">
        <x:v>Service identity review</x:v>
      </x:c>
      <x:c r="G121" s="6" t="n">
        <x:v>2</x:v>
      </x:c>
      <x:c r="H121" s="6" t="str"/>
      <x:c r="I121" s="6" t="str">
        <x:f>IF(H121="","No upstream dependency",IF(ISNUMBER(SEARCH(";",H121)),"Multiple dependencies - verify source queues",IFERROR(XLOOKUP(H121,C2:C1586,J2:J1586),"Dependency not found")))</x:f>
        <x:v>No upstream dependency</x:v>
      </x:c>
      <x:c r="J121" s="6" t="str">
        <x:v>Not Started</x:v>
      </x:c>
      <x:c r="K121" s="6" t="str">
        <x:v>Normal</x:v>
      </x:c>
      <x:c r="L121" s="6" t="str"/>
      <x:c r="M121" s="6" t="str"/>
      <x:c r="N121" s="6" t="str"/>
      <x:c r="O121" s="7" t="str"/>
      <x:c r="P121" s="6" t="str">
        <x:v>No</x:v>
      </x:c>
      <x:c r="Q121" s="7" t="str">
        <x:v>Identity review follows duplicate disposition where applicable.</x:v>
      </x:c>
    </x:row>
    <x:row r="122">
      <x:c r="A122" s="6" t="str">
        <x:v>SEQ-SID-0106</x:v>
      </x:c>
      <x:c r="B122" s="6" t="str">
        <x:v>Service Identity</x:v>
      </x:c>
      <x:c r="C122" s="6" t="str">
        <x:v>SIDX-0106</x:v>
      </x:c>
      <x:c r="D122" s="6" t="str">
        <x:v>SVC000106</x:v>
      </x:c>
      <x:c r="E122" s="6" t="str"/>
      <x:c r="F122" s="6" t="str">
        <x:v>Service identity review</x:v>
      </x:c>
      <x:c r="G122" s="6" t="n">
        <x:v>2</x:v>
      </x:c>
      <x:c r="H122" s="6" t="str"/>
      <x:c r="I122" s="6" t="str">
        <x:f>IF(H122="","No upstream dependency",IF(ISNUMBER(SEARCH(";",H122)),"Multiple dependencies - verify source queues",IFERROR(XLOOKUP(H122,C2:C1586,J2:J1586),"Dependency not found")))</x:f>
        <x:v>No upstream dependency</x:v>
      </x:c>
      <x:c r="J122" s="6" t="str">
        <x:v>Not Started</x:v>
      </x:c>
      <x:c r="K122" s="6" t="str">
        <x:v>Normal</x:v>
      </x:c>
      <x:c r="L122" s="6" t="str"/>
      <x:c r="M122" s="6" t="str"/>
      <x:c r="N122" s="6" t="str"/>
      <x:c r="O122" s="7" t="str"/>
      <x:c r="P122" s="6" t="str">
        <x:v>No</x:v>
      </x:c>
      <x:c r="Q122" s="7" t="str">
        <x:v>Identity review follows duplicate disposition where applicable.</x:v>
      </x:c>
    </x:row>
    <x:row r="123">
      <x:c r="A123" s="6" t="str">
        <x:v>SEQ-SID-0107</x:v>
      </x:c>
      <x:c r="B123" s="6" t="str">
        <x:v>Service Identity</x:v>
      </x:c>
      <x:c r="C123" s="6" t="str">
        <x:v>SIDX-0107</x:v>
      </x:c>
      <x:c r="D123" s="6" t="str">
        <x:v>SVC000107</x:v>
      </x:c>
      <x:c r="E123" s="6" t="str"/>
      <x:c r="F123" s="6" t="str">
        <x:v>Service identity review</x:v>
      </x:c>
      <x:c r="G123" s="6" t="n">
        <x:v>2</x:v>
      </x:c>
      <x:c r="H123" s="6" t="str"/>
      <x:c r="I123" s="6" t="str">
        <x:f>IF(H123="","No upstream dependency",IF(ISNUMBER(SEARCH(";",H123)),"Multiple dependencies - verify source queues",IFERROR(XLOOKUP(H123,C2:C1586,J2:J1586),"Dependency not found")))</x:f>
        <x:v>No upstream dependency</x:v>
      </x:c>
      <x:c r="J123" s="6" t="str">
        <x:v>Not Started</x:v>
      </x:c>
      <x:c r="K123" s="6" t="str">
        <x:v>Normal</x:v>
      </x:c>
      <x:c r="L123" s="6" t="str"/>
      <x:c r="M123" s="6" t="str"/>
      <x:c r="N123" s="6" t="str"/>
      <x:c r="O123" s="7" t="str"/>
      <x:c r="P123" s="6" t="str">
        <x:v>No</x:v>
      </x:c>
      <x:c r="Q123" s="7" t="str">
        <x:v>Identity review follows duplicate disposition where applicable.</x:v>
      </x:c>
    </x:row>
    <x:row r="124">
      <x:c r="A124" s="6" t="str">
        <x:v>SEQ-SID-0108</x:v>
      </x:c>
      <x:c r="B124" s="6" t="str">
        <x:v>Service Identity</x:v>
      </x:c>
      <x:c r="C124" s="6" t="str">
        <x:v>SIDX-0108</x:v>
      </x:c>
      <x:c r="D124" s="6" t="str">
        <x:v>SVC000108</x:v>
      </x:c>
      <x:c r="E124" s="6" t="str"/>
      <x:c r="F124" s="6" t="str">
        <x:v>Service identity review</x:v>
      </x:c>
      <x:c r="G124" s="6" t="n">
        <x:v>2</x:v>
      </x:c>
      <x:c r="H124" s="6" t="str"/>
      <x:c r="I124" s="6" t="str">
        <x:f>IF(H124="","No upstream dependency",IF(ISNUMBER(SEARCH(";",H124)),"Multiple dependencies - verify source queues",IFERROR(XLOOKUP(H124,C2:C1586,J2:J1586),"Dependency not found")))</x:f>
        <x:v>No upstream dependency</x:v>
      </x:c>
      <x:c r="J124" s="6" t="str">
        <x:v>Not Started</x:v>
      </x:c>
      <x:c r="K124" s="6" t="str">
        <x:v>Normal</x:v>
      </x:c>
      <x:c r="L124" s="6" t="str"/>
      <x:c r="M124" s="6" t="str"/>
      <x:c r="N124" s="6" t="str"/>
      <x:c r="O124" s="7" t="str"/>
      <x:c r="P124" s="6" t="str">
        <x:v>No</x:v>
      </x:c>
      <x:c r="Q124" s="7" t="str">
        <x:v>Identity review follows duplicate disposition where applicable.</x:v>
      </x:c>
    </x:row>
    <x:row r="125">
      <x:c r="A125" s="6" t="str">
        <x:v>SEQ-SID-0109</x:v>
      </x:c>
      <x:c r="B125" s="6" t="str">
        <x:v>Service Identity</x:v>
      </x:c>
      <x:c r="C125" s="6" t="str">
        <x:v>SIDX-0109</x:v>
      </x:c>
      <x:c r="D125" s="6" t="str">
        <x:v>SVC000109</x:v>
      </x:c>
      <x:c r="E125" s="6" t="str"/>
      <x:c r="F125" s="6" t="str">
        <x:v>Service identity review</x:v>
      </x:c>
      <x:c r="G125" s="6" t="n">
        <x:v>2</x:v>
      </x:c>
      <x:c r="H125" s="6" t="str"/>
      <x:c r="I125" s="6" t="str">
        <x:f>IF(H125="","No upstream dependency",IF(ISNUMBER(SEARCH(";",H125)),"Multiple dependencies - verify source queues",IFERROR(XLOOKUP(H125,C2:C1586,J2:J1586),"Dependency not found")))</x:f>
        <x:v>No upstream dependency</x:v>
      </x:c>
      <x:c r="J125" s="6" t="str">
        <x:v>Not Started</x:v>
      </x:c>
      <x:c r="K125" s="6" t="str">
        <x:v>Normal</x:v>
      </x:c>
      <x:c r="L125" s="6" t="str"/>
      <x:c r="M125" s="6" t="str"/>
      <x:c r="N125" s="6" t="str"/>
      <x:c r="O125" s="7" t="str"/>
      <x:c r="P125" s="6" t="str">
        <x:v>No</x:v>
      </x:c>
      <x:c r="Q125" s="7" t="str">
        <x:v>Identity review follows duplicate disposition where applicable.</x:v>
      </x:c>
    </x:row>
    <x:row r="126">
      <x:c r="A126" s="6" t="str">
        <x:v>SEQ-SID-0110</x:v>
      </x:c>
      <x:c r="B126" s="6" t="str">
        <x:v>Service Identity</x:v>
      </x:c>
      <x:c r="C126" s="6" t="str">
        <x:v>SIDX-0110</x:v>
      </x:c>
      <x:c r="D126" s="6" t="str">
        <x:v>SVC000110</x:v>
      </x:c>
      <x:c r="E126" s="6" t="str"/>
      <x:c r="F126" s="6" t="str">
        <x:v>Service identity review</x:v>
      </x:c>
      <x:c r="G126" s="6" t="n">
        <x:v>2</x:v>
      </x:c>
      <x:c r="H126" s="6" t="str"/>
      <x:c r="I126" s="6" t="str">
        <x:f>IF(H126="","No upstream dependency",IF(ISNUMBER(SEARCH(";",H126)),"Multiple dependencies - verify source queues",IFERROR(XLOOKUP(H126,C2:C1586,J2:J1586),"Dependency not found")))</x:f>
        <x:v>No upstream dependency</x:v>
      </x:c>
      <x:c r="J126" s="6" t="str">
        <x:v>Not Started</x:v>
      </x:c>
      <x:c r="K126" s="6" t="str">
        <x:v>Normal</x:v>
      </x:c>
      <x:c r="L126" s="6" t="str"/>
      <x:c r="M126" s="6" t="str"/>
      <x:c r="N126" s="6" t="str"/>
      <x:c r="O126" s="7" t="str"/>
      <x:c r="P126" s="6" t="str">
        <x:v>No</x:v>
      </x:c>
      <x:c r="Q126" s="7" t="str">
        <x:v>Identity review follows duplicate disposition where applicable.</x:v>
      </x:c>
    </x:row>
    <x:row r="127">
      <x:c r="A127" s="6" t="str">
        <x:v>SEQ-SID-0111</x:v>
      </x:c>
      <x:c r="B127" s="6" t="str">
        <x:v>Service Identity</x:v>
      </x:c>
      <x:c r="C127" s="6" t="str">
        <x:v>SIDX-0111</x:v>
      </x:c>
      <x:c r="D127" s="6" t="str">
        <x:v>SVC000111</x:v>
      </x:c>
      <x:c r="E127" s="6" t="str"/>
      <x:c r="F127" s="6" t="str">
        <x:v>Service identity review</x:v>
      </x:c>
      <x:c r="G127" s="6" t="n">
        <x:v>2</x:v>
      </x:c>
      <x:c r="H127" s="6" t="str"/>
      <x:c r="I127" s="6" t="str">
        <x:f>IF(H127="","No upstream dependency",IF(ISNUMBER(SEARCH(";",H127)),"Multiple dependencies - verify source queues",IFERROR(XLOOKUP(H127,C2:C1586,J2:J1586),"Dependency not found")))</x:f>
        <x:v>No upstream dependency</x:v>
      </x:c>
      <x:c r="J127" s="6" t="str">
        <x:v>Not Started</x:v>
      </x:c>
      <x:c r="K127" s="6" t="str">
        <x:v>Normal</x:v>
      </x:c>
      <x:c r="L127" s="6" t="str"/>
      <x:c r="M127" s="6" t="str"/>
      <x:c r="N127" s="6" t="str"/>
      <x:c r="O127" s="7" t="str"/>
      <x:c r="P127" s="6" t="str">
        <x:v>No</x:v>
      </x:c>
      <x:c r="Q127" s="7" t="str">
        <x:v>Identity review follows duplicate disposition where applicable.</x:v>
      </x:c>
    </x:row>
    <x:row r="128">
      <x:c r="A128" s="6" t="str">
        <x:v>SEQ-SID-0112</x:v>
      </x:c>
      <x:c r="B128" s="6" t="str">
        <x:v>Service Identity</x:v>
      </x:c>
      <x:c r="C128" s="6" t="str">
        <x:v>SIDX-0112</x:v>
      </x:c>
      <x:c r="D128" s="6" t="str">
        <x:v>SVC000112</x:v>
      </x:c>
      <x:c r="E128" s="6" t="str"/>
      <x:c r="F128" s="6" t="str">
        <x:v>Service identity review</x:v>
      </x:c>
      <x:c r="G128" s="6" t="n">
        <x:v>2</x:v>
      </x:c>
      <x:c r="H128" s="6" t="str"/>
      <x:c r="I128" s="6" t="str">
        <x:f>IF(H128="","No upstream dependency",IF(ISNUMBER(SEARCH(";",H128)),"Multiple dependencies - verify source queues",IFERROR(XLOOKUP(H128,C2:C1586,J2:J1586),"Dependency not found")))</x:f>
        <x:v>No upstream dependency</x:v>
      </x:c>
      <x:c r="J128" s="6" t="str">
        <x:v>Not Started</x:v>
      </x:c>
      <x:c r="K128" s="6" t="str">
        <x:v>Normal</x:v>
      </x:c>
      <x:c r="L128" s="6" t="str"/>
      <x:c r="M128" s="6" t="str"/>
      <x:c r="N128" s="6" t="str"/>
      <x:c r="O128" s="7" t="str"/>
      <x:c r="P128" s="6" t="str">
        <x:v>No</x:v>
      </x:c>
      <x:c r="Q128" s="7" t="str">
        <x:v>Identity review follows duplicate disposition where applicable.</x:v>
      </x:c>
    </x:row>
    <x:row r="129">
      <x:c r="A129" s="6" t="str">
        <x:v>SEQ-SID-0113</x:v>
      </x:c>
      <x:c r="B129" s="6" t="str">
        <x:v>Service Identity</x:v>
      </x:c>
      <x:c r="C129" s="6" t="str">
        <x:v>SIDX-0113</x:v>
      </x:c>
      <x:c r="D129" s="6" t="str">
        <x:v>SVC000113</x:v>
      </x:c>
      <x:c r="E129" s="6" t="str"/>
      <x:c r="F129" s="6" t="str">
        <x:v>Service identity review</x:v>
      </x:c>
      <x:c r="G129" s="6" t="n">
        <x:v>2</x:v>
      </x:c>
      <x:c r="H129" s="6" t="str"/>
      <x:c r="I129" s="6" t="str">
        <x:f>IF(H129="","No upstream dependency",IF(ISNUMBER(SEARCH(";",H129)),"Multiple dependencies - verify source queues",IFERROR(XLOOKUP(H129,C2:C1586,J2:J1586),"Dependency not found")))</x:f>
        <x:v>No upstream dependency</x:v>
      </x:c>
      <x:c r="J129" s="6" t="str">
        <x:v>Not Started</x:v>
      </x:c>
      <x:c r="K129" s="6" t="str">
        <x:v>Normal</x:v>
      </x:c>
      <x:c r="L129" s="6" t="str"/>
      <x:c r="M129" s="6" t="str"/>
      <x:c r="N129" s="6" t="str"/>
      <x:c r="O129" s="7" t="str"/>
      <x:c r="P129" s="6" t="str">
        <x:v>No</x:v>
      </x:c>
      <x:c r="Q129" s="7" t="str">
        <x:v>Identity review follows duplicate disposition where applicable.</x:v>
      </x:c>
    </x:row>
    <x:row r="130">
      <x:c r="A130" s="6" t="str">
        <x:v>SEQ-SID-0114</x:v>
      </x:c>
      <x:c r="B130" s="6" t="str">
        <x:v>Service Identity</x:v>
      </x:c>
      <x:c r="C130" s="6" t="str">
        <x:v>SIDX-0114</x:v>
      </x:c>
      <x:c r="D130" s="6" t="str">
        <x:v>SVC000114</x:v>
      </x:c>
      <x:c r="E130" s="6" t="str"/>
      <x:c r="F130" s="6" t="str">
        <x:v>Service identity review</x:v>
      </x:c>
      <x:c r="G130" s="6" t="n">
        <x:v>2</x:v>
      </x:c>
      <x:c r="H130" s="6" t="str"/>
      <x:c r="I130" s="6" t="str">
        <x:f>IF(H130="","No upstream dependency",IF(ISNUMBER(SEARCH(";",H130)),"Multiple dependencies - verify source queues",IFERROR(XLOOKUP(H130,C2:C1586,J2:J1586),"Dependency not found")))</x:f>
        <x:v>No upstream dependency</x:v>
      </x:c>
      <x:c r="J130" s="6" t="str">
        <x:v>Not Started</x:v>
      </x:c>
      <x:c r="K130" s="6" t="str">
        <x:v>Normal</x:v>
      </x:c>
      <x:c r="L130" s="6" t="str"/>
      <x:c r="M130" s="6" t="str"/>
      <x:c r="N130" s="6" t="str"/>
      <x:c r="O130" s="7" t="str"/>
      <x:c r="P130" s="6" t="str">
        <x:v>No</x:v>
      </x:c>
      <x:c r="Q130" s="7" t="str">
        <x:v>Identity review follows duplicate disposition where applicable.</x:v>
      </x:c>
    </x:row>
    <x:row r="131">
      <x:c r="A131" s="6" t="str">
        <x:v>SEQ-SID-0115</x:v>
      </x:c>
      <x:c r="B131" s="6" t="str">
        <x:v>Service Identity</x:v>
      </x:c>
      <x:c r="C131" s="6" t="str">
        <x:v>SIDX-0115</x:v>
      </x:c>
      <x:c r="D131" s="6" t="str">
        <x:v>SVC000115</x:v>
      </x:c>
      <x:c r="E131" s="6" t="str"/>
      <x:c r="F131" s="6" t="str">
        <x:v>Service identity review</x:v>
      </x:c>
      <x:c r="G131" s="6" t="n">
        <x:v>2</x:v>
      </x:c>
      <x:c r="H131" s="6" t="str"/>
      <x:c r="I131" s="6" t="str">
        <x:f>IF(H131="","No upstream dependency",IF(ISNUMBER(SEARCH(";",H131)),"Multiple dependencies - verify source queues",IFERROR(XLOOKUP(H131,C2:C1586,J2:J1586),"Dependency not found")))</x:f>
        <x:v>No upstream dependency</x:v>
      </x:c>
      <x:c r="J131" s="6" t="str">
        <x:v>Not Started</x:v>
      </x:c>
      <x:c r="K131" s="6" t="str">
        <x:v>Normal</x:v>
      </x:c>
      <x:c r="L131" s="6" t="str"/>
      <x:c r="M131" s="6" t="str"/>
      <x:c r="N131" s="6" t="str"/>
      <x:c r="O131" s="7" t="str"/>
      <x:c r="P131" s="6" t="str">
        <x:v>No</x:v>
      </x:c>
      <x:c r="Q131" s="7" t="str">
        <x:v>Identity review follows duplicate disposition where applicable.</x:v>
      </x:c>
    </x:row>
    <x:row r="132">
      <x:c r="A132" s="6" t="str">
        <x:v>SEQ-SID-0116</x:v>
      </x:c>
      <x:c r="B132" s="6" t="str">
        <x:v>Service Identity</x:v>
      </x:c>
      <x:c r="C132" s="6" t="str">
        <x:v>SIDX-0116</x:v>
      </x:c>
      <x:c r="D132" s="6" t="str">
        <x:v>SVC000116</x:v>
      </x:c>
      <x:c r="E132" s="6" t="str"/>
      <x:c r="F132" s="6" t="str">
        <x:v>Service identity review</x:v>
      </x:c>
      <x:c r="G132" s="6" t="n">
        <x:v>2</x:v>
      </x:c>
      <x:c r="H132" s="6" t="str"/>
      <x:c r="I132" s="6" t="str">
        <x:f>IF(H132="","No upstream dependency",IF(ISNUMBER(SEARCH(";",H132)),"Multiple dependencies - verify source queues",IFERROR(XLOOKUP(H132,C2:C1586,J2:J1586),"Dependency not found")))</x:f>
        <x:v>No upstream dependency</x:v>
      </x:c>
      <x:c r="J132" s="6" t="str">
        <x:v>Not Started</x:v>
      </x:c>
      <x:c r="K132" s="6" t="str">
        <x:v>Normal</x:v>
      </x:c>
      <x:c r="L132" s="6" t="str"/>
      <x:c r="M132" s="6" t="str"/>
      <x:c r="N132" s="6" t="str"/>
      <x:c r="O132" s="7" t="str"/>
      <x:c r="P132" s="6" t="str">
        <x:v>No</x:v>
      </x:c>
      <x:c r="Q132" s="7" t="str">
        <x:v>Identity review follows duplicate disposition where applicable.</x:v>
      </x:c>
    </x:row>
    <x:row r="133">
      <x:c r="A133" s="6" t="str">
        <x:v>SEQ-SID-0117</x:v>
      </x:c>
      <x:c r="B133" s="6" t="str">
        <x:v>Service Identity</x:v>
      </x:c>
      <x:c r="C133" s="6" t="str">
        <x:v>SIDX-0117</x:v>
      </x:c>
      <x:c r="D133" s="6" t="str">
        <x:v>SVC000117</x:v>
      </x:c>
      <x:c r="E133" s="6" t="str"/>
      <x:c r="F133" s="6" t="str">
        <x:v>Service identity review</x:v>
      </x:c>
      <x:c r="G133" s="6" t="n">
        <x:v>2</x:v>
      </x:c>
      <x:c r="H133" s="6" t="str"/>
      <x:c r="I133" s="6" t="str">
        <x:f>IF(H133="","No upstream dependency",IF(ISNUMBER(SEARCH(";",H133)),"Multiple dependencies - verify source queues",IFERROR(XLOOKUP(H133,C2:C1586,J2:J1586),"Dependency not found")))</x:f>
        <x:v>No upstream dependency</x:v>
      </x:c>
      <x:c r="J133" s="6" t="str">
        <x:v>Not Started</x:v>
      </x:c>
      <x:c r="K133" s="6" t="str">
        <x:v>Normal</x:v>
      </x:c>
      <x:c r="L133" s="6" t="str"/>
      <x:c r="M133" s="6" t="str"/>
      <x:c r="N133" s="6" t="str"/>
      <x:c r="O133" s="7" t="str"/>
      <x:c r="P133" s="6" t="str">
        <x:v>No</x:v>
      </x:c>
      <x:c r="Q133" s="7" t="str">
        <x:v>Identity review follows duplicate disposition where applicable.</x:v>
      </x:c>
    </x:row>
    <x:row r="134">
      <x:c r="A134" s="6" t="str">
        <x:v>SEQ-SID-0118</x:v>
      </x:c>
      <x:c r="B134" s="6" t="str">
        <x:v>Service Identity</x:v>
      </x:c>
      <x:c r="C134" s="6" t="str">
        <x:v>SIDX-0118</x:v>
      </x:c>
      <x:c r="D134" s="6" t="str">
        <x:v>SVC000118</x:v>
      </x:c>
      <x:c r="E134" s="6" t="str"/>
      <x:c r="F134" s="6" t="str">
        <x:v>Service identity review</x:v>
      </x:c>
      <x:c r="G134" s="6" t="n">
        <x:v>2</x:v>
      </x:c>
      <x:c r="H134" s="6" t="str"/>
      <x:c r="I134" s="6" t="str">
        <x:f>IF(H134="","No upstream dependency",IF(ISNUMBER(SEARCH(";",H134)),"Multiple dependencies - verify source queues",IFERROR(XLOOKUP(H134,C2:C1586,J2:J1586),"Dependency not found")))</x:f>
        <x:v>No upstream dependency</x:v>
      </x:c>
      <x:c r="J134" s="6" t="str">
        <x:v>Not Started</x:v>
      </x:c>
      <x:c r="K134" s="6" t="str">
        <x:v>Normal</x:v>
      </x:c>
      <x:c r="L134" s="6" t="str"/>
      <x:c r="M134" s="6" t="str"/>
      <x:c r="N134" s="6" t="str"/>
      <x:c r="O134" s="7" t="str"/>
      <x:c r="P134" s="6" t="str">
        <x:v>No</x:v>
      </x:c>
      <x:c r="Q134" s="7" t="str">
        <x:v>Identity review follows duplicate disposition where applicable.</x:v>
      </x:c>
    </x:row>
    <x:row r="135">
      <x:c r="A135" s="6" t="str">
        <x:v>SEQ-SID-0119</x:v>
      </x:c>
      <x:c r="B135" s="6" t="str">
        <x:v>Service Identity</x:v>
      </x:c>
      <x:c r="C135" s="6" t="str">
        <x:v>SIDX-0119</x:v>
      </x:c>
      <x:c r="D135" s="6" t="str">
        <x:v>SVC000119</x:v>
      </x:c>
      <x:c r="E135" s="6" t="str"/>
      <x:c r="F135" s="6" t="str">
        <x:v>Service identity review</x:v>
      </x:c>
      <x:c r="G135" s="6" t="n">
        <x:v>2</x:v>
      </x:c>
      <x:c r="H135" s="6" t="str"/>
      <x:c r="I135" s="6" t="str">
        <x:f>IF(H135="","No upstream dependency",IF(ISNUMBER(SEARCH(";",H135)),"Multiple dependencies - verify source queues",IFERROR(XLOOKUP(H135,C2:C1586,J2:J1586),"Dependency not found")))</x:f>
        <x:v>No upstream dependency</x:v>
      </x:c>
      <x:c r="J135" s="6" t="str">
        <x:v>Not Started</x:v>
      </x:c>
      <x:c r="K135" s="6" t="str">
        <x:v>Normal</x:v>
      </x:c>
      <x:c r="L135" s="6" t="str"/>
      <x:c r="M135" s="6" t="str"/>
      <x:c r="N135" s="6" t="str"/>
      <x:c r="O135" s="7" t="str"/>
      <x:c r="P135" s="6" t="str">
        <x:v>No</x:v>
      </x:c>
      <x:c r="Q135" s="7" t="str">
        <x:v>Identity review follows duplicate disposition where applicable.</x:v>
      </x:c>
    </x:row>
    <x:row r="136">
      <x:c r="A136" s="6" t="str">
        <x:v>SEQ-SID-0120</x:v>
      </x:c>
      <x:c r="B136" s="6" t="str">
        <x:v>Service Identity</x:v>
      </x:c>
      <x:c r="C136" s="6" t="str">
        <x:v>SIDX-0120</x:v>
      </x:c>
      <x:c r="D136" s="6" t="str">
        <x:v>SVC000120</x:v>
      </x:c>
      <x:c r="E136" s="6" t="str"/>
      <x:c r="F136" s="6" t="str">
        <x:v>Service identity review</x:v>
      </x:c>
      <x:c r="G136" s="6" t="n">
        <x:v>2</x:v>
      </x:c>
      <x:c r="H136" s="6" t="str"/>
      <x:c r="I136" s="6" t="str">
        <x:f>IF(H136="","No upstream dependency",IF(ISNUMBER(SEARCH(";",H136)),"Multiple dependencies - verify source queues",IFERROR(XLOOKUP(H136,C2:C1586,J2:J1586),"Dependency not found")))</x:f>
        <x:v>No upstream dependency</x:v>
      </x:c>
      <x:c r="J136" s="6" t="str">
        <x:v>Not Started</x:v>
      </x:c>
      <x:c r="K136" s="6" t="str">
        <x:v>Normal</x:v>
      </x:c>
      <x:c r="L136" s="6" t="str"/>
      <x:c r="M136" s="6" t="str"/>
      <x:c r="N136" s="6" t="str"/>
      <x:c r="O136" s="7" t="str"/>
      <x:c r="P136" s="6" t="str">
        <x:v>No</x:v>
      </x:c>
      <x:c r="Q136" s="7" t="str">
        <x:v>Identity review follows duplicate disposition where applicable.</x:v>
      </x:c>
    </x:row>
    <x:row r="137">
      <x:c r="A137" s="6" t="str">
        <x:v>SEQ-SID-0121</x:v>
      </x:c>
      <x:c r="B137" s="6" t="str">
        <x:v>Service Identity</x:v>
      </x:c>
      <x:c r="C137" s="6" t="str">
        <x:v>SIDX-0121</x:v>
      </x:c>
      <x:c r="D137" s="6" t="str">
        <x:v>SVC000121</x:v>
      </x:c>
      <x:c r="E137" s="6" t="str"/>
      <x:c r="F137" s="6" t="str">
        <x:v>Service identity review</x:v>
      </x:c>
      <x:c r="G137" s="6" t="n">
        <x:v>2</x:v>
      </x:c>
      <x:c r="H137" s="6" t="str"/>
      <x:c r="I137" s="6" t="str">
        <x:f>IF(H137="","No upstream dependency",IF(ISNUMBER(SEARCH(";",H137)),"Multiple dependencies - verify source queues",IFERROR(XLOOKUP(H137,C2:C1586,J2:J1586),"Dependency not found")))</x:f>
        <x:v>No upstream dependency</x:v>
      </x:c>
      <x:c r="J137" s="6" t="str">
        <x:v>Not Started</x:v>
      </x:c>
      <x:c r="K137" s="6" t="str">
        <x:v>Normal</x:v>
      </x:c>
      <x:c r="L137" s="6" t="str"/>
      <x:c r="M137" s="6" t="str"/>
      <x:c r="N137" s="6" t="str"/>
      <x:c r="O137" s="7" t="str"/>
      <x:c r="P137" s="6" t="str">
        <x:v>No</x:v>
      </x:c>
      <x:c r="Q137" s="7" t="str">
        <x:v>Identity review follows duplicate disposition where applicable.</x:v>
      </x:c>
    </x:row>
    <x:row r="138">
      <x:c r="A138" s="6" t="str">
        <x:v>SEQ-SID-0122</x:v>
      </x:c>
      <x:c r="B138" s="6" t="str">
        <x:v>Service Identity</x:v>
      </x:c>
      <x:c r="C138" s="6" t="str">
        <x:v>SIDX-0122</x:v>
      </x:c>
      <x:c r="D138" s="6" t="str">
        <x:v>SVC000122</x:v>
      </x:c>
      <x:c r="E138" s="6" t="str"/>
      <x:c r="F138" s="6" t="str">
        <x:v>Service identity review</x:v>
      </x:c>
      <x:c r="G138" s="6" t="n">
        <x:v>2</x:v>
      </x:c>
      <x:c r="H138" s="6" t="str"/>
      <x:c r="I138" s="6" t="str">
        <x:f>IF(H138="","No upstream dependency",IF(ISNUMBER(SEARCH(";",H138)),"Multiple dependencies - verify source queues",IFERROR(XLOOKUP(H138,C2:C1586,J2:J1586),"Dependency not found")))</x:f>
        <x:v>No upstream dependency</x:v>
      </x:c>
      <x:c r="J138" s="6" t="str">
        <x:v>Not Started</x:v>
      </x:c>
      <x:c r="K138" s="6" t="str">
        <x:v>Normal</x:v>
      </x:c>
      <x:c r="L138" s="6" t="str"/>
      <x:c r="M138" s="6" t="str"/>
      <x:c r="N138" s="6" t="str"/>
      <x:c r="O138" s="7" t="str"/>
      <x:c r="P138" s="6" t="str">
        <x:v>No</x:v>
      </x:c>
      <x:c r="Q138" s="7" t="str">
        <x:v>Identity review follows duplicate disposition where applicable.</x:v>
      </x:c>
    </x:row>
    <x:row r="139">
      <x:c r="A139" s="6" t="str">
        <x:v>SEQ-SID-0123</x:v>
      </x:c>
      <x:c r="B139" s="6" t="str">
        <x:v>Service Identity</x:v>
      </x:c>
      <x:c r="C139" s="6" t="str">
        <x:v>SIDX-0123</x:v>
      </x:c>
      <x:c r="D139" s="6" t="str">
        <x:v>SVC000123</x:v>
      </x:c>
      <x:c r="E139" s="6" t="str"/>
      <x:c r="F139" s="6" t="str">
        <x:v>Service identity review</x:v>
      </x:c>
      <x:c r="G139" s="6" t="n">
        <x:v>2</x:v>
      </x:c>
      <x:c r="H139" s="6" t="str"/>
      <x:c r="I139" s="6" t="str">
        <x:f>IF(H139="","No upstream dependency",IF(ISNUMBER(SEARCH(";",H139)),"Multiple dependencies - verify source queues",IFERROR(XLOOKUP(H139,C2:C1586,J2:J1586),"Dependency not found")))</x:f>
        <x:v>No upstream dependency</x:v>
      </x:c>
      <x:c r="J139" s="6" t="str">
        <x:v>Not Started</x:v>
      </x:c>
      <x:c r="K139" s="6" t="str">
        <x:v>Normal</x:v>
      </x:c>
      <x:c r="L139" s="6" t="str"/>
      <x:c r="M139" s="6" t="str"/>
      <x:c r="N139" s="6" t="str"/>
      <x:c r="O139" s="7" t="str"/>
      <x:c r="P139" s="6" t="str">
        <x:v>No</x:v>
      </x:c>
      <x:c r="Q139" s="7" t="str">
        <x:v>Identity review follows duplicate disposition where applicable.</x:v>
      </x:c>
    </x:row>
    <x:row r="140">
      <x:c r="A140" s="6" t="str">
        <x:v>SEQ-SID-0124</x:v>
      </x:c>
      <x:c r="B140" s="6" t="str">
        <x:v>Service Identity</x:v>
      </x:c>
      <x:c r="C140" s="6" t="str">
        <x:v>SIDX-0124</x:v>
      </x:c>
      <x:c r="D140" s="6" t="str">
        <x:v>SVC000124</x:v>
      </x:c>
      <x:c r="E140" s="6" t="str"/>
      <x:c r="F140" s="6" t="str">
        <x:v>Service identity review</x:v>
      </x:c>
      <x:c r="G140" s="6" t="n">
        <x:v>2</x:v>
      </x:c>
      <x:c r="H140" s="6" t="str"/>
      <x:c r="I140" s="6" t="str">
        <x:f>IF(H140="","No upstream dependency",IF(ISNUMBER(SEARCH(";",H140)),"Multiple dependencies - verify source queues",IFERROR(XLOOKUP(H140,C2:C1586,J2:J1586),"Dependency not found")))</x:f>
        <x:v>No upstream dependency</x:v>
      </x:c>
      <x:c r="J140" s="6" t="str">
        <x:v>Not Started</x:v>
      </x:c>
      <x:c r="K140" s="6" t="str">
        <x:v>Normal</x:v>
      </x:c>
      <x:c r="L140" s="6" t="str"/>
      <x:c r="M140" s="6" t="str"/>
      <x:c r="N140" s="6" t="str"/>
      <x:c r="O140" s="7" t="str"/>
      <x:c r="P140" s="6" t="str">
        <x:v>No</x:v>
      </x:c>
      <x:c r="Q140" s="7" t="str">
        <x:v>Identity review follows duplicate disposition where applicable.</x:v>
      </x:c>
    </x:row>
    <x:row r="141">
      <x:c r="A141" s="6" t="str">
        <x:v>SEQ-SID-0125</x:v>
      </x:c>
      <x:c r="B141" s="6" t="str">
        <x:v>Service Identity</x:v>
      </x:c>
      <x:c r="C141" s="6" t="str">
        <x:v>SIDX-0125</x:v>
      </x:c>
      <x:c r="D141" s="6" t="str">
        <x:v>SVC000125</x:v>
      </x:c>
      <x:c r="E141" s="6" t="str"/>
      <x:c r="F141" s="6" t="str">
        <x:v>Service identity review</x:v>
      </x:c>
      <x:c r="G141" s="6" t="n">
        <x:v>2</x:v>
      </x:c>
      <x:c r="H141" s="6" t="str"/>
      <x:c r="I141" s="6" t="str">
        <x:f>IF(H141="","No upstream dependency",IF(ISNUMBER(SEARCH(";",H141)),"Multiple dependencies - verify source queues",IFERROR(XLOOKUP(H141,C2:C1586,J2:J1586),"Dependency not found")))</x:f>
        <x:v>No upstream dependency</x:v>
      </x:c>
      <x:c r="J141" s="6" t="str">
        <x:v>Not Started</x:v>
      </x:c>
      <x:c r="K141" s="6" t="str">
        <x:v>Normal</x:v>
      </x:c>
      <x:c r="L141" s="6" t="str"/>
      <x:c r="M141" s="6" t="str"/>
      <x:c r="N141" s="6" t="str"/>
      <x:c r="O141" s="7" t="str"/>
      <x:c r="P141" s="6" t="str">
        <x:v>No</x:v>
      </x:c>
      <x:c r="Q141" s="7" t="str">
        <x:v>Identity review follows duplicate disposition where applicable.</x:v>
      </x:c>
    </x:row>
    <x:row r="142">
      <x:c r="A142" s="6" t="str">
        <x:v>SEQ-SID-0126</x:v>
      </x:c>
      <x:c r="B142" s="6" t="str">
        <x:v>Service Identity</x:v>
      </x:c>
      <x:c r="C142" s="6" t="str">
        <x:v>SIDX-0126</x:v>
      </x:c>
      <x:c r="D142" s="6" t="str">
        <x:v>SVC000126</x:v>
      </x:c>
      <x:c r="E142" s="6" t="str"/>
      <x:c r="F142" s="6" t="str">
        <x:v>Service identity review</x:v>
      </x:c>
      <x:c r="G142" s="6" t="n">
        <x:v>2</x:v>
      </x:c>
      <x:c r="H142" s="6" t="str"/>
      <x:c r="I142" s="6" t="str">
        <x:f>IF(H142="","No upstream dependency",IF(ISNUMBER(SEARCH(";",H142)),"Multiple dependencies - verify source queues",IFERROR(XLOOKUP(H142,C2:C1586,J2:J1586),"Dependency not found")))</x:f>
        <x:v>No upstream dependency</x:v>
      </x:c>
      <x:c r="J142" s="6" t="str">
        <x:v>Not Started</x:v>
      </x:c>
      <x:c r="K142" s="6" t="str">
        <x:v>Normal</x:v>
      </x:c>
      <x:c r="L142" s="6" t="str"/>
      <x:c r="M142" s="6" t="str"/>
      <x:c r="N142" s="6" t="str"/>
      <x:c r="O142" s="7" t="str"/>
      <x:c r="P142" s="6" t="str">
        <x:v>No</x:v>
      </x:c>
      <x:c r="Q142" s="7" t="str">
        <x:v>Identity review follows duplicate disposition where applicable.</x:v>
      </x:c>
    </x:row>
    <x:row r="143">
      <x:c r="A143" s="6" t="str">
        <x:v>SEQ-SID-0127</x:v>
      </x:c>
      <x:c r="B143" s="6" t="str">
        <x:v>Service Identity</x:v>
      </x:c>
      <x:c r="C143" s="6" t="str">
        <x:v>SIDX-0127</x:v>
      </x:c>
      <x:c r="D143" s="6" t="str">
        <x:v>SVC000127</x:v>
      </x:c>
      <x:c r="E143" s="6" t="str"/>
      <x:c r="F143" s="6" t="str">
        <x:v>Service identity review</x:v>
      </x:c>
      <x:c r="G143" s="6" t="n">
        <x:v>2</x:v>
      </x:c>
      <x:c r="H143" s="6" t="str"/>
      <x:c r="I143" s="6" t="str">
        <x:f>IF(H143="","No upstream dependency",IF(ISNUMBER(SEARCH(";",H143)),"Multiple dependencies - verify source queues",IFERROR(XLOOKUP(H143,C2:C1586,J2:J1586),"Dependency not found")))</x:f>
        <x:v>No upstream dependency</x:v>
      </x:c>
      <x:c r="J143" s="6" t="str">
        <x:v>Not Started</x:v>
      </x:c>
      <x:c r="K143" s="6" t="str">
        <x:v>Normal</x:v>
      </x:c>
      <x:c r="L143" s="6" t="str"/>
      <x:c r="M143" s="6" t="str"/>
      <x:c r="N143" s="6" t="str"/>
      <x:c r="O143" s="7" t="str"/>
      <x:c r="P143" s="6" t="str">
        <x:v>No</x:v>
      </x:c>
      <x:c r="Q143" s="7" t="str">
        <x:v>Identity review follows duplicate disposition where applicable.</x:v>
      </x:c>
    </x:row>
    <x:row r="144">
      <x:c r="A144" s="6" t="str">
        <x:v>SEQ-SID-0128</x:v>
      </x:c>
      <x:c r="B144" s="6" t="str">
        <x:v>Service Identity</x:v>
      </x:c>
      <x:c r="C144" s="6" t="str">
        <x:v>SIDX-0128</x:v>
      </x:c>
      <x:c r="D144" s="6" t="str">
        <x:v>SVC000128</x:v>
      </x:c>
      <x:c r="E144" s="6" t="str"/>
      <x:c r="F144" s="6" t="str">
        <x:v>Service identity review</x:v>
      </x:c>
      <x:c r="G144" s="6" t="n">
        <x:v>2</x:v>
      </x:c>
      <x:c r="H144" s="6" t="str"/>
      <x:c r="I144" s="6" t="str">
        <x:f>IF(H144="","No upstream dependency",IF(ISNUMBER(SEARCH(";",H144)),"Multiple dependencies - verify source queues",IFERROR(XLOOKUP(H144,C2:C1586,J2:J1586),"Dependency not found")))</x:f>
        <x:v>No upstream dependency</x:v>
      </x:c>
      <x:c r="J144" s="6" t="str">
        <x:v>Not Started</x:v>
      </x:c>
      <x:c r="K144" s="6" t="str">
        <x:v>Normal</x:v>
      </x:c>
      <x:c r="L144" s="6" t="str"/>
      <x:c r="M144" s="6" t="str"/>
      <x:c r="N144" s="6" t="str"/>
      <x:c r="O144" s="7" t="str"/>
      <x:c r="P144" s="6" t="str">
        <x:v>No</x:v>
      </x:c>
      <x:c r="Q144" s="7" t="str">
        <x:v>Identity review follows duplicate disposition where applicable.</x:v>
      </x:c>
    </x:row>
    <x:row r="145">
      <x:c r="A145" s="6" t="str">
        <x:v>SEQ-SID-0129</x:v>
      </x:c>
      <x:c r="B145" s="6" t="str">
        <x:v>Service Identity</x:v>
      </x:c>
      <x:c r="C145" s="6" t="str">
        <x:v>SIDX-0129</x:v>
      </x:c>
      <x:c r="D145" s="6" t="str">
        <x:v>SVC000129</x:v>
      </x:c>
      <x:c r="E145" s="6" t="str"/>
      <x:c r="F145" s="6" t="str">
        <x:v>Service identity review</x:v>
      </x:c>
      <x:c r="G145" s="6" t="n">
        <x:v>2</x:v>
      </x:c>
      <x:c r="H145" s="6" t="str"/>
      <x:c r="I145" s="6" t="str">
        <x:f>IF(H145="","No upstream dependency",IF(ISNUMBER(SEARCH(";",H145)),"Multiple dependencies - verify source queues",IFERROR(XLOOKUP(H145,C2:C1586,J2:J1586),"Dependency not found")))</x:f>
        <x:v>No upstream dependency</x:v>
      </x:c>
      <x:c r="J145" s="6" t="str">
        <x:v>Not Started</x:v>
      </x:c>
      <x:c r="K145" s="6" t="str">
        <x:v>Normal</x:v>
      </x:c>
      <x:c r="L145" s="6" t="str"/>
      <x:c r="M145" s="6" t="str"/>
      <x:c r="N145" s="6" t="str"/>
      <x:c r="O145" s="7" t="str"/>
      <x:c r="P145" s="6" t="str">
        <x:v>No</x:v>
      </x:c>
      <x:c r="Q145" s="7" t="str">
        <x:v>Identity review follows duplicate disposition where applicable.</x:v>
      </x:c>
    </x:row>
    <x:row r="146">
      <x:c r="A146" s="6" t="str">
        <x:v>SEQ-SID-0130</x:v>
      </x:c>
      <x:c r="B146" s="6" t="str">
        <x:v>Service Identity</x:v>
      </x:c>
      <x:c r="C146" s="6" t="str">
        <x:v>SIDX-0130</x:v>
      </x:c>
      <x:c r="D146" s="6" t="str">
        <x:v>SVC000130</x:v>
      </x:c>
      <x:c r="E146" s="6" t="str"/>
      <x:c r="F146" s="6" t="str">
        <x:v>Service identity review</x:v>
      </x:c>
      <x:c r="G146" s="6" t="n">
        <x:v>2</x:v>
      </x:c>
      <x:c r="H146" s="6" t="str"/>
      <x:c r="I146" s="6" t="str">
        <x:f>IF(H146="","No upstream dependency",IF(ISNUMBER(SEARCH(";",H146)),"Multiple dependencies - verify source queues",IFERROR(XLOOKUP(H146,C2:C1586,J2:J1586),"Dependency not found")))</x:f>
        <x:v>No upstream dependency</x:v>
      </x:c>
      <x:c r="J146" s="6" t="str">
        <x:v>Not Started</x:v>
      </x:c>
      <x:c r="K146" s="6" t="str">
        <x:v>Normal</x:v>
      </x:c>
      <x:c r="L146" s="6" t="str"/>
      <x:c r="M146" s="6" t="str"/>
      <x:c r="N146" s="6" t="str"/>
      <x:c r="O146" s="7" t="str"/>
      <x:c r="P146" s="6" t="str">
        <x:v>No</x:v>
      </x:c>
      <x:c r="Q146" s="7" t="str">
        <x:v>Identity review follows duplicate disposition where applicable.</x:v>
      </x:c>
    </x:row>
    <x:row r="147">
      <x:c r="A147" s="6" t="str">
        <x:v>SEQ-SID-0131</x:v>
      </x:c>
      <x:c r="B147" s="6" t="str">
        <x:v>Service Identity</x:v>
      </x:c>
      <x:c r="C147" s="6" t="str">
        <x:v>SIDX-0131</x:v>
      </x:c>
      <x:c r="D147" s="6" t="str">
        <x:v>SVC000131</x:v>
      </x:c>
      <x:c r="E147" s="6" t="str"/>
      <x:c r="F147" s="6" t="str">
        <x:v>Service identity review</x:v>
      </x:c>
      <x:c r="G147" s="6" t="n">
        <x:v>2</x:v>
      </x:c>
      <x:c r="H147" s="6" t="str"/>
      <x:c r="I147" s="6" t="str">
        <x:f>IF(H147="","No upstream dependency",IF(ISNUMBER(SEARCH(";",H147)),"Multiple dependencies - verify source queues",IFERROR(XLOOKUP(H147,C2:C1586,J2:J1586),"Dependency not found")))</x:f>
        <x:v>No upstream dependency</x:v>
      </x:c>
      <x:c r="J147" s="6" t="str">
        <x:v>Not Started</x:v>
      </x:c>
      <x:c r="K147" s="6" t="str">
        <x:v>Normal</x:v>
      </x:c>
      <x:c r="L147" s="6" t="str"/>
      <x:c r="M147" s="6" t="str"/>
      <x:c r="N147" s="6" t="str"/>
      <x:c r="O147" s="7" t="str"/>
      <x:c r="P147" s="6" t="str">
        <x:v>No</x:v>
      </x:c>
      <x:c r="Q147" s="7" t="str">
        <x:v>Identity review follows duplicate disposition where applicable.</x:v>
      </x:c>
    </x:row>
    <x:row r="148">
      <x:c r="A148" s="6" t="str">
        <x:v>SEQ-SID-0132</x:v>
      </x:c>
      <x:c r="B148" s="6" t="str">
        <x:v>Service Identity</x:v>
      </x:c>
      <x:c r="C148" s="6" t="str">
        <x:v>SIDX-0132</x:v>
      </x:c>
      <x:c r="D148" s="6" t="str">
        <x:v>SVC000132</x:v>
      </x:c>
      <x:c r="E148" s="6" t="str"/>
      <x:c r="F148" s="6" t="str">
        <x:v>Service identity review</x:v>
      </x:c>
      <x:c r="G148" s="6" t="n">
        <x:v>2</x:v>
      </x:c>
      <x:c r="H148" s="6" t="str"/>
      <x:c r="I148" s="6" t="str">
        <x:f>IF(H148="","No upstream dependency",IF(ISNUMBER(SEARCH(";",H148)),"Multiple dependencies - verify source queues",IFERROR(XLOOKUP(H148,C2:C1586,J2:J1586),"Dependency not found")))</x:f>
        <x:v>No upstream dependency</x:v>
      </x:c>
      <x:c r="J148" s="6" t="str">
        <x:v>Not Started</x:v>
      </x:c>
      <x:c r="K148" s="6" t="str">
        <x:v>Normal</x:v>
      </x:c>
      <x:c r="L148" s="6" t="str"/>
      <x:c r="M148" s="6" t="str"/>
      <x:c r="N148" s="6" t="str"/>
      <x:c r="O148" s="7" t="str"/>
      <x:c r="P148" s="6" t="str">
        <x:v>No</x:v>
      </x:c>
      <x:c r="Q148" s="7" t="str">
        <x:v>Identity review follows duplicate disposition where applicable.</x:v>
      </x:c>
    </x:row>
    <x:row r="149">
      <x:c r="A149" s="6" t="str">
        <x:v>SEQ-SID-0133</x:v>
      </x:c>
      <x:c r="B149" s="6" t="str">
        <x:v>Service Identity</x:v>
      </x:c>
      <x:c r="C149" s="6" t="str">
        <x:v>SIDX-0133</x:v>
      </x:c>
      <x:c r="D149" s="6" t="str">
        <x:v>SVC000133</x:v>
      </x:c>
      <x:c r="E149" s="6" t="str"/>
      <x:c r="F149" s="6" t="str">
        <x:v>Service identity review</x:v>
      </x:c>
      <x:c r="G149" s="6" t="n">
        <x:v>2</x:v>
      </x:c>
      <x:c r="H149" s="6" t="str"/>
      <x:c r="I149" s="6" t="str">
        <x:f>IF(H149="","No upstream dependency",IF(ISNUMBER(SEARCH(";",H149)),"Multiple dependencies - verify source queues",IFERROR(XLOOKUP(H149,C2:C1586,J2:J1586),"Dependency not found")))</x:f>
        <x:v>No upstream dependency</x:v>
      </x:c>
      <x:c r="J149" s="6" t="str">
        <x:v>Not Started</x:v>
      </x:c>
      <x:c r="K149" s="6" t="str">
        <x:v>Normal</x:v>
      </x:c>
      <x:c r="L149" s="6" t="str"/>
      <x:c r="M149" s="6" t="str"/>
      <x:c r="N149" s="6" t="str"/>
      <x:c r="O149" s="7" t="str"/>
      <x:c r="P149" s="6" t="str">
        <x:v>No</x:v>
      </x:c>
      <x:c r="Q149" s="7" t="str">
        <x:v>Identity review follows duplicate disposition where applicable.</x:v>
      </x:c>
    </x:row>
    <x:row r="150">
      <x:c r="A150" s="6" t="str">
        <x:v>SEQ-SID-0134</x:v>
      </x:c>
      <x:c r="B150" s="6" t="str">
        <x:v>Service Identity</x:v>
      </x:c>
      <x:c r="C150" s="6" t="str">
        <x:v>SIDX-0134</x:v>
      </x:c>
      <x:c r="D150" s="6" t="str">
        <x:v>SVC000134</x:v>
      </x:c>
      <x:c r="E150" s="6" t="str"/>
      <x:c r="F150" s="6" t="str">
        <x:v>Service identity review</x:v>
      </x:c>
      <x:c r="G150" s="6" t="n">
        <x:v>2</x:v>
      </x:c>
      <x:c r="H150" s="6" t="str"/>
      <x:c r="I150" s="6" t="str">
        <x:f>IF(H150="","No upstream dependency",IF(ISNUMBER(SEARCH(";",H150)),"Multiple dependencies - verify source queues",IFERROR(XLOOKUP(H150,C2:C1586,J2:J1586),"Dependency not found")))</x:f>
        <x:v>No upstream dependency</x:v>
      </x:c>
      <x:c r="J150" s="6" t="str">
        <x:v>Not Started</x:v>
      </x:c>
      <x:c r="K150" s="6" t="str">
        <x:v>Normal</x:v>
      </x:c>
      <x:c r="L150" s="6" t="str"/>
      <x:c r="M150" s="6" t="str"/>
      <x:c r="N150" s="6" t="str"/>
      <x:c r="O150" s="7" t="str"/>
      <x:c r="P150" s="6" t="str">
        <x:v>No</x:v>
      </x:c>
      <x:c r="Q150" s="7" t="str">
        <x:v>Identity review follows duplicate disposition where applicable.</x:v>
      </x:c>
    </x:row>
    <x:row r="151">
      <x:c r="A151" s="6" t="str">
        <x:v>SEQ-SID-0135</x:v>
      </x:c>
      <x:c r="B151" s="6" t="str">
        <x:v>Service Identity</x:v>
      </x:c>
      <x:c r="C151" s="6" t="str">
        <x:v>SIDX-0135</x:v>
      </x:c>
      <x:c r="D151" s="6" t="str">
        <x:v>SVC000135</x:v>
      </x:c>
      <x:c r="E151" s="6" t="str"/>
      <x:c r="F151" s="6" t="str">
        <x:v>Service identity review</x:v>
      </x:c>
      <x:c r="G151" s="6" t="n">
        <x:v>2</x:v>
      </x:c>
      <x:c r="H151" s="6" t="str"/>
      <x:c r="I151" s="6" t="str">
        <x:f>IF(H151="","No upstream dependency",IF(ISNUMBER(SEARCH(";",H151)),"Multiple dependencies - verify source queues",IFERROR(XLOOKUP(H151,C2:C1586,J2:J1586),"Dependency not found")))</x:f>
        <x:v>No upstream dependency</x:v>
      </x:c>
      <x:c r="J151" s="6" t="str">
        <x:v>Not Started</x:v>
      </x:c>
      <x:c r="K151" s="6" t="str">
        <x:v>Normal</x:v>
      </x:c>
      <x:c r="L151" s="6" t="str"/>
      <x:c r="M151" s="6" t="str"/>
      <x:c r="N151" s="6" t="str"/>
      <x:c r="O151" s="7" t="str"/>
      <x:c r="P151" s="6" t="str">
        <x:v>No</x:v>
      </x:c>
      <x:c r="Q151" s="7" t="str">
        <x:v>Identity review follows duplicate disposition where applicable.</x:v>
      </x:c>
    </x:row>
    <x:row r="152">
      <x:c r="A152" s="6" t="str">
        <x:v>SEQ-SID-0136</x:v>
      </x:c>
      <x:c r="B152" s="6" t="str">
        <x:v>Service Identity</x:v>
      </x:c>
      <x:c r="C152" s="6" t="str">
        <x:v>SIDX-0136</x:v>
      </x:c>
      <x:c r="D152" s="6" t="str">
        <x:v>SVC000136</x:v>
      </x:c>
      <x:c r="E152" s="6" t="str"/>
      <x:c r="F152" s="6" t="str">
        <x:v>Service identity review</x:v>
      </x:c>
      <x:c r="G152" s="6" t="n">
        <x:v>2</x:v>
      </x:c>
      <x:c r="H152" s="6" t="str"/>
      <x:c r="I152" s="6" t="str">
        <x:f>IF(H152="","No upstream dependency",IF(ISNUMBER(SEARCH(";",H152)),"Multiple dependencies - verify source queues",IFERROR(XLOOKUP(H152,C2:C1586,J2:J1586),"Dependency not found")))</x:f>
        <x:v>No upstream dependency</x:v>
      </x:c>
      <x:c r="J152" s="6" t="str">
        <x:v>Not Started</x:v>
      </x:c>
      <x:c r="K152" s="6" t="str">
        <x:v>Normal</x:v>
      </x:c>
      <x:c r="L152" s="6" t="str"/>
      <x:c r="M152" s="6" t="str"/>
      <x:c r="N152" s="6" t="str"/>
      <x:c r="O152" s="7" t="str"/>
      <x:c r="P152" s="6" t="str">
        <x:v>No</x:v>
      </x:c>
      <x:c r="Q152" s="7" t="str">
        <x:v>Identity review follows duplicate disposition where applicable.</x:v>
      </x:c>
    </x:row>
    <x:row r="153">
      <x:c r="A153" s="6" t="str">
        <x:v>SEQ-SID-0137</x:v>
      </x:c>
      <x:c r="B153" s="6" t="str">
        <x:v>Service Identity</x:v>
      </x:c>
      <x:c r="C153" s="6" t="str">
        <x:v>SIDX-0137</x:v>
      </x:c>
      <x:c r="D153" s="6" t="str">
        <x:v>SVC000137</x:v>
      </x:c>
      <x:c r="E153" s="6" t="str"/>
      <x:c r="F153" s="6" t="str">
        <x:v>Service identity review</x:v>
      </x:c>
      <x:c r="G153" s="6" t="n">
        <x:v>2</x:v>
      </x:c>
      <x:c r="H153" s="6" t="str"/>
      <x:c r="I153" s="6" t="str">
        <x:f>IF(H153="","No upstream dependency",IF(ISNUMBER(SEARCH(";",H153)),"Multiple dependencies - verify source queues",IFERROR(XLOOKUP(H153,C2:C1586,J2:J1586),"Dependency not found")))</x:f>
        <x:v>No upstream dependency</x:v>
      </x:c>
      <x:c r="J153" s="6" t="str">
        <x:v>Not Started</x:v>
      </x:c>
      <x:c r="K153" s="6" t="str">
        <x:v>Normal</x:v>
      </x:c>
      <x:c r="L153" s="6" t="str"/>
      <x:c r="M153" s="6" t="str"/>
      <x:c r="N153" s="6" t="str"/>
      <x:c r="O153" s="7" t="str"/>
      <x:c r="P153" s="6" t="str">
        <x:v>No</x:v>
      </x:c>
      <x:c r="Q153" s="7" t="str">
        <x:v>Identity review follows duplicate disposition where applicable.</x:v>
      </x:c>
    </x:row>
    <x:row r="154">
      <x:c r="A154" s="6" t="str">
        <x:v>SEQ-SID-0138</x:v>
      </x:c>
      <x:c r="B154" s="6" t="str">
        <x:v>Service Identity</x:v>
      </x:c>
      <x:c r="C154" s="6" t="str">
        <x:v>SIDX-0138</x:v>
      </x:c>
      <x:c r="D154" s="6" t="str">
        <x:v>SVC000138</x:v>
      </x:c>
      <x:c r="E154" s="6" t="str"/>
      <x:c r="F154" s="6" t="str">
        <x:v>Service identity review</x:v>
      </x:c>
      <x:c r="G154" s="6" t="n">
        <x:v>2</x:v>
      </x:c>
      <x:c r="H154" s="6" t="str"/>
      <x:c r="I154" s="6" t="str">
        <x:f>IF(H154="","No upstream dependency",IF(ISNUMBER(SEARCH(";",H154)),"Multiple dependencies - verify source queues",IFERROR(XLOOKUP(H154,C2:C1586,J2:J1586),"Dependency not found")))</x:f>
        <x:v>No upstream dependency</x:v>
      </x:c>
      <x:c r="J154" s="6" t="str">
        <x:v>Not Started</x:v>
      </x:c>
      <x:c r="K154" s="6" t="str">
        <x:v>Normal</x:v>
      </x:c>
      <x:c r="L154" s="6" t="str"/>
      <x:c r="M154" s="6" t="str"/>
      <x:c r="N154" s="6" t="str"/>
      <x:c r="O154" s="7" t="str"/>
      <x:c r="P154" s="6" t="str">
        <x:v>No</x:v>
      </x:c>
      <x:c r="Q154" s="7" t="str">
        <x:v>Identity review follows duplicate disposition where applicable.</x:v>
      </x:c>
    </x:row>
    <x:row r="155">
      <x:c r="A155" s="6" t="str">
        <x:v>SEQ-SID-0139</x:v>
      </x:c>
      <x:c r="B155" s="6" t="str">
        <x:v>Service Identity</x:v>
      </x:c>
      <x:c r="C155" s="6" t="str">
        <x:v>SIDX-0139</x:v>
      </x:c>
      <x:c r="D155" s="6" t="str">
        <x:v>SVC000139</x:v>
      </x:c>
      <x:c r="E155" s="6" t="str"/>
      <x:c r="F155" s="6" t="str">
        <x:v>Service identity review</x:v>
      </x:c>
      <x:c r="G155" s="6" t="n">
        <x:v>2</x:v>
      </x:c>
      <x:c r="H155" s="6" t="str"/>
      <x:c r="I155" s="6" t="str">
        <x:f>IF(H155="","No upstream dependency",IF(ISNUMBER(SEARCH(";",H155)),"Multiple dependencies - verify source queues",IFERROR(XLOOKUP(H155,C2:C1586,J2:J1586),"Dependency not found")))</x:f>
        <x:v>No upstream dependency</x:v>
      </x:c>
      <x:c r="J155" s="6" t="str">
        <x:v>Not Started</x:v>
      </x:c>
      <x:c r="K155" s="6" t="str">
        <x:v>Normal</x:v>
      </x:c>
      <x:c r="L155" s="6" t="str"/>
      <x:c r="M155" s="6" t="str"/>
      <x:c r="N155" s="6" t="str"/>
      <x:c r="O155" s="7" t="str"/>
      <x:c r="P155" s="6" t="str">
        <x:v>No</x:v>
      </x:c>
      <x:c r="Q155" s="7" t="str">
        <x:v>Identity review follows duplicate disposition where applicable.</x:v>
      </x:c>
    </x:row>
    <x:row r="156">
      <x:c r="A156" s="6" t="str">
        <x:v>SEQ-SID-0140</x:v>
      </x:c>
      <x:c r="B156" s="6" t="str">
        <x:v>Service Identity</x:v>
      </x:c>
      <x:c r="C156" s="6" t="str">
        <x:v>SIDX-0140</x:v>
      </x:c>
      <x:c r="D156" s="6" t="str">
        <x:v>SVC000140</x:v>
      </x:c>
      <x:c r="E156" s="6" t="str"/>
      <x:c r="F156" s="6" t="str">
        <x:v>Service identity review</x:v>
      </x:c>
      <x:c r="G156" s="6" t="n">
        <x:v>2</x:v>
      </x:c>
      <x:c r="H156" s="6" t="str"/>
      <x:c r="I156" s="6" t="str">
        <x:f>IF(H156="","No upstream dependency",IF(ISNUMBER(SEARCH(";",H156)),"Multiple dependencies - verify source queues",IFERROR(XLOOKUP(H156,C2:C1586,J2:J1586),"Dependency not found")))</x:f>
        <x:v>No upstream dependency</x:v>
      </x:c>
      <x:c r="J156" s="6" t="str">
        <x:v>Not Started</x:v>
      </x:c>
      <x:c r="K156" s="6" t="str">
        <x:v>Normal</x:v>
      </x:c>
      <x:c r="L156" s="6" t="str"/>
      <x:c r="M156" s="6" t="str"/>
      <x:c r="N156" s="6" t="str"/>
      <x:c r="O156" s="7" t="str"/>
      <x:c r="P156" s="6" t="str">
        <x:v>No</x:v>
      </x:c>
      <x:c r="Q156" s="7" t="str">
        <x:v>Identity review follows duplicate disposition where applicable.</x:v>
      </x:c>
    </x:row>
    <x:row r="157">
      <x:c r="A157" s="6" t="str">
        <x:v>SEQ-SID-0141</x:v>
      </x:c>
      <x:c r="B157" s="6" t="str">
        <x:v>Service Identity</x:v>
      </x:c>
      <x:c r="C157" s="6" t="str">
        <x:v>SIDX-0141</x:v>
      </x:c>
      <x:c r="D157" s="6" t="str">
        <x:v>SVC000141</x:v>
      </x:c>
      <x:c r="E157" s="6" t="str"/>
      <x:c r="F157" s="6" t="str">
        <x:v>Service identity review</x:v>
      </x:c>
      <x:c r="G157" s="6" t="n">
        <x:v>2</x:v>
      </x:c>
      <x:c r="H157" s="6" t="str"/>
      <x:c r="I157" s="6" t="str">
        <x:f>IF(H157="","No upstream dependency",IF(ISNUMBER(SEARCH(";",H157)),"Multiple dependencies - verify source queues",IFERROR(XLOOKUP(H157,C2:C1586,J2:J1586),"Dependency not found")))</x:f>
        <x:v>No upstream dependency</x:v>
      </x:c>
      <x:c r="J157" s="6" t="str">
        <x:v>Not Started</x:v>
      </x:c>
      <x:c r="K157" s="6" t="str">
        <x:v>Normal</x:v>
      </x:c>
      <x:c r="L157" s="6" t="str"/>
      <x:c r="M157" s="6" t="str"/>
      <x:c r="N157" s="6" t="str"/>
      <x:c r="O157" s="7" t="str"/>
      <x:c r="P157" s="6" t="str">
        <x:v>No</x:v>
      </x:c>
      <x:c r="Q157" s="7" t="str">
        <x:v>Identity review follows duplicate disposition where applicable.</x:v>
      </x:c>
    </x:row>
    <x:row r="158">
      <x:c r="A158" s="6" t="str">
        <x:v>SEQ-SID-0142</x:v>
      </x:c>
      <x:c r="B158" s="6" t="str">
        <x:v>Service Identity</x:v>
      </x:c>
      <x:c r="C158" s="6" t="str">
        <x:v>SIDX-0142</x:v>
      </x:c>
      <x:c r="D158" s="6" t="str">
        <x:v>SVC000142</x:v>
      </x:c>
      <x:c r="E158" s="6" t="str"/>
      <x:c r="F158" s="6" t="str">
        <x:v>Service identity review</x:v>
      </x:c>
      <x:c r="G158" s="6" t="n">
        <x:v>2</x:v>
      </x:c>
      <x:c r="H158" s="6" t="str"/>
      <x:c r="I158" s="6" t="str">
        <x:f>IF(H158="","No upstream dependency",IF(ISNUMBER(SEARCH(";",H158)),"Multiple dependencies - verify source queues",IFERROR(XLOOKUP(H158,C2:C1586,J2:J1586),"Dependency not found")))</x:f>
        <x:v>No upstream dependency</x:v>
      </x:c>
      <x:c r="J158" s="6" t="str">
        <x:v>Not Started</x:v>
      </x:c>
      <x:c r="K158" s="6" t="str">
        <x:v>Normal</x:v>
      </x:c>
      <x:c r="L158" s="6" t="str"/>
      <x:c r="M158" s="6" t="str"/>
      <x:c r="N158" s="6" t="str"/>
      <x:c r="O158" s="7" t="str"/>
      <x:c r="P158" s="6" t="str">
        <x:v>No</x:v>
      </x:c>
      <x:c r="Q158" s="7" t="str">
        <x:v>Identity review follows duplicate disposition where applicable.</x:v>
      </x:c>
    </x:row>
    <x:row r="159">
      <x:c r="A159" s="6" t="str">
        <x:v>SEQ-SID-0143</x:v>
      </x:c>
      <x:c r="B159" s="6" t="str">
        <x:v>Service Identity</x:v>
      </x:c>
      <x:c r="C159" s="6" t="str">
        <x:v>SIDX-0143</x:v>
      </x:c>
      <x:c r="D159" s="6" t="str">
        <x:v>SVC000143</x:v>
      </x:c>
      <x:c r="E159" s="6" t="str"/>
      <x:c r="F159" s="6" t="str">
        <x:v>Service identity review</x:v>
      </x:c>
      <x:c r="G159" s="6" t="n">
        <x:v>2</x:v>
      </x:c>
      <x:c r="H159" s="6" t="str"/>
      <x:c r="I159" s="6" t="str">
        <x:f>IF(H159="","No upstream dependency",IF(ISNUMBER(SEARCH(";",H159)),"Multiple dependencies - verify source queues",IFERROR(XLOOKUP(H159,C2:C1586,J2:J1586),"Dependency not found")))</x:f>
        <x:v>No upstream dependency</x:v>
      </x:c>
      <x:c r="J159" s="6" t="str">
        <x:v>Not Started</x:v>
      </x:c>
      <x:c r="K159" s="6" t="str">
        <x:v>Normal</x:v>
      </x:c>
      <x:c r="L159" s="6" t="str"/>
      <x:c r="M159" s="6" t="str"/>
      <x:c r="N159" s="6" t="str"/>
      <x:c r="O159" s="7" t="str"/>
      <x:c r="P159" s="6" t="str">
        <x:v>No</x:v>
      </x:c>
      <x:c r="Q159" s="7" t="str">
        <x:v>Identity review follows duplicate disposition where applicable.</x:v>
      </x:c>
    </x:row>
    <x:row r="160">
      <x:c r="A160" s="6" t="str">
        <x:v>SEQ-SID-0144</x:v>
      </x:c>
      <x:c r="B160" s="6" t="str">
        <x:v>Service Identity</x:v>
      </x:c>
      <x:c r="C160" s="6" t="str">
        <x:v>SIDX-0144</x:v>
      </x:c>
      <x:c r="D160" s="6" t="str">
        <x:v>SVC000144</x:v>
      </x:c>
      <x:c r="E160" s="6" t="str"/>
      <x:c r="F160" s="6" t="str">
        <x:v>Service identity review</x:v>
      </x:c>
      <x:c r="G160" s="6" t="n">
        <x:v>2</x:v>
      </x:c>
      <x:c r="H160" s="6" t="str"/>
      <x:c r="I160" s="6" t="str">
        <x:f>IF(H160="","No upstream dependency",IF(ISNUMBER(SEARCH(";",H160)),"Multiple dependencies - verify source queues",IFERROR(XLOOKUP(H160,C2:C1586,J2:J1586),"Dependency not found")))</x:f>
        <x:v>No upstream dependency</x:v>
      </x:c>
      <x:c r="J160" s="6" t="str">
        <x:v>Not Started</x:v>
      </x:c>
      <x:c r="K160" s="6" t="str">
        <x:v>Normal</x:v>
      </x:c>
      <x:c r="L160" s="6" t="str"/>
      <x:c r="M160" s="6" t="str"/>
      <x:c r="N160" s="6" t="str"/>
      <x:c r="O160" s="7" t="str"/>
      <x:c r="P160" s="6" t="str">
        <x:v>No</x:v>
      </x:c>
      <x:c r="Q160" s="7" t="str">
        <x:v>Identity review follows duplicate disposition where applicable.</x:v>
      </x:c>
    </x:row>
    <x:row r="161">
      <x:c r="A161" s="6" t="str">
        <x:v>SEQ-SID-0145</x:v>
      </x:c>
      <x:c r="B161" s="6" t="str">
        <x:v>Service Identity</x:v>
      </x:c>
      <x:c r="C161" s="6" t="str">
        <x:v>SIDX-0145</x:v>
      </x:c>
      <x:c r="D161" s="6" t="str">
        <x:v>SVC000145</x:v>
      </x:c>
      <x:c r="E161" s="6" t="str"/>
      <x:c r="F161" s="6" t="str">
        <x:v>Service identity review</x:v>
      </x:c>
      <x:c r="G161" s="6" t="n">
        <x:v>2</x:v>
      </x:c>
      <x:c r="H161" s="6" t="str"/>
      <x:c r="I161" s="6" t="str">
        <x:f>IF(H161="","No upstream dependency",IF(ISNUMBER(SEARCH(";",H161)),"Multiple dependencies - verify source queues",IFERROR(XLOOKUP(H161,C2:C1586,J2:J1586),"Dependency not found")))</x:f>
        <x:v>No upstream dependency</x:v>
      </x:c>
      <x:c r="J161" s="6" t="str">
        <x:v>Not Started</x:v>
      </x:c>
      <x:c r="K161" s="6" t="str">
        <x:v>Normal</x:v>
      </x:c>
      <x:c r="L161" s="6" t="str"/>
      <x:c r="M161" s="6" t="str"/>
      <x:c r="N161" s="6" t="str"/>
      <x:c r="O161" s="7" t="str"/>
      <x:c r="P161" s="6" t="str">
        <x:v>No</x:v>
      </x:c>
      <x:c r="Q161" s="7" t="str">
        <x:v>Identity review follows duplicate disposition where applicable.</x:v>
      </x:c>
    </x:row>
    <x:row r="162">
      <x:c r="A162" s="6" t="str">
        <x:v>SEQ-SID-0146</x:v>
      </x:c>
      <x:c r="B162" s="6" t="str">
        <x:v>Service Identity</x:v>
      </x:c>
      <x:c r="C162" s="6" t="str">
        <x:v>SIDX-0146</x:v>
      </x:c>
      <x:c r="D162" s="6" t="str">
        <x:v>SVC000146</x:v>
      </x:c>
      <x:c r="E162" s="6" t="str"/>
      <x:c r="F162" s="6" t="str">
        <x:v>Service identity review</x:v>
      </x:c>
      <x:c r="G162" s="6" t="n">
        <x:v>2</x:v>
      </x:c>
      <x:c r="H162" s="6" t="str"/>
      <x:c r="I162" s="6" t="str">
        <x:f>IF(H162="","No upstream dependency",IF(ISNUMBER(SEARCH(";",H162)),"Multiple dependencies - verify source queues",IFERROR(XLOOKUP(H162,C2:C1586,J2:J1586),"Dependency not found")))</x:f>
        <x:v>No upstream dependency</x:v>
      </x:c>
      <x:c r="J162" s="6" t="str">
        <x:v>Not Started</x:v>
      </x:c>
      <x:c r="K162" s="6" t="str">
        <x:v>Normal</x:v>
      </x:c>
      <x:c r="L162" s="6" t="str"/>
      <x:c r="M162" s="6" t="str"/>
      <x:c r="N162" s="6" t="str"/>
      <x:c r="O162" s="7" t="str"/>
      <x:c r="P162" s="6" t="str">
        <x:v>No</x:v>
      </x:c>
      <x:c r="Q162" s="7" t="str">
        <x:v>Identity review follows duplicate disposition where applicable.</x:v>
      </x:c>
    </x:row>
    <x:row r="163">
      <x:c r="A163" s="6" t="str">
        <x:v>SEQ-SID-0147</x:v>
      </x:c>
      <x:c r="B163" s="6" t="str">
        <x:v>Service Identity</x:v>
      </x:c>
      <x:c r="C163" s="6" t="str">
        <x:v>SIDX-0147</x:v>
      </x:c>
      <x:c r="D163" s="6" t="str">
        <x:v>SVC000147</x:v>
      </x:c>
      <x:c r="E163" s="6" t="str"/>
      <x:c r="F163" s="6" t="str">
        <x:v>Service identity review</x:v>
      </x:c>
      <x:c r="G163" s="6" t="n">
        <x:v>2</x:v>
      </x:c>
      <x:c r="H163" s="6" t="str"/>
      <x:c r="I163" s="6" t="str">
        <x:f>IF(H163="","No upstream dependency",IF(ISNUMBER(SEARCH(";",H163)),"Multiple dependencies - verify source queues",IFERROR(XLOOKUP(H163,C2:C1586,J2:J1586),"Dependency not found")))</x:f>
        <x:v>No upstream dependency</x:v>
      </x:c>
      <x:c r="J163" s="6" t="str">
        <x:v>Not Started</x:v>
      </x:c>
      <x:c r="K163" s="6" t="str">
        <x:v>Normal</x:v>
      </x:c>
      <x:c r="L163" s="6" t="str"/>
      <x:c r="M163" s="6" t="str"/>
      <x:c r="N163" s="6" t="str"/>
      <x:c r="O163" s="7" t="str"/>
      <x:c r="P163" s="6" t="str">
        <x:v>No</x:v>
      </x:c>
      <x:c r="Q163" s="7" t="str">
        <x:v>Identity review follows duplicate disposition where applicable.</x:v>
      </x:c>
    </x:row>
    <x:row r="164">
      <x:c r="A164" s="6" t="str">
        <x:v>SEQ-SID-0148</x:v>
      </x:c>
      <x:c r="B164" s="6" t="str">
        <x:v>Service Identity</x:v>
      </x:c>
      <x:c r="C164" s="6" t="str">
        <x:v>SIDX-0148</x:v>
      </x:c>
      <x:c r="D164" s="6" t="str">
        <x:v>SVC000148</x:v>
      </x:c>
      <x:c r="E164" s="6" t="str"/>
      <x:c r="F164" s="6" t="str">
        <x:v>Service identity review</x:v>
      </x:c>
      <x:c r="G164" s="6" t="n">
        <x:v>2</x:v>
      </x:c>
      <x:c r="H164" s="6" t="str"/>
      <x:c r="I164" s="6" t="str">
        <x:f>IF(H164="","No upstream dependency",IF(ISNUMBER(SEARCH(";",H164)),"Multiple dependencies - verify source queues",IFERROR(XLOOKUP(H164,C2:C1586,J2:J1586),"Dependency not found")))</x:f>
        <x:v>No upstream dependency</x:v>
      </x:c>
      <x:c r="J164" s="6" t="str">
        <x:v>Not Started</x:v>
      </x:c>
      <x:c r="K164" s="6" t="str">
        <x:v>Normal</x:v>
      </x:c>
      <x:c r="L164" s="6" t="str"/>
      <x:c r="M164" s="6" t="str"/>
      <x:c r="N164" s="6" t="str"/>
      <x:c r="O164" s="7" t="str"/>
      <x:c r="P164" s="6" t="str">
        <x:v>No</x:v>
      </x:c>
      <x:c r="Q164" s="7" t="str">
        <x:v>Identity review follows duplicate disposition where applicable.</x:v>
      </x:c>
    </x:row>
    <x:row r="165">
      <x:c r="A165" s="6" t="str">
        <x:v>SEQ-SID-0149</x:v>
      </x:c>
      <x:c r="B165" s="6" t="str">
        <x:v>Service Identity</x:v>
      </x:c>
      <x:c r="C165" s="6" t="str">
        <x:v>SIDX-0149</x:v>
      </x:c>
      <x:c r="D165" s="6" t="str">
        <x:v>SVC000149</x:v>
      </x:c>
      <x:c r="E165" s="6" t="str"/>
      <x:c r="F165" s="6" t="str">
        <x:v>Service identity review</x:v>
      </x:c>
      <x:c r="G165" s="6" t="n">
        <x:v>2</x:v>
      </x:c>
      <x:c r="H165" s="6" t="str"/>
      <x:c r="I165" s="6" t="str">
        <x:f>IF(H165="","No upstream dependency",IF(ISNUMBER(SEARCH(";",H165)),"Multiple dependencies - verify source queues",IFERROR(XLOOKUP(H165,C2:C1586,J2:J1586),"Dependency not found")))</x:f>
        <x:v>No upstream dependency</x:v>
      </x:c>
      <x:c r="J165" s="6" t="str">
        <x:v>Not Started</x:v>
      </x:c>
      <x:c r="K165" s="6" t="str">
        <x:v>Normal</x:v>
      </x:c>
      <x:c r="L165" s="6" t="str"/>
      <x:c r="M165" s="6" t="str"/>
      <x:c r="N165" s="6" t="str"/>
      <x:c r="O165" s="7" t="str"/>
      <x:c r="P165" s="6" t="str">
        <x:v>No</x:v>
      </x:c>
      <x:c r="Q165" s="7" t="str">
        <x:v>Identity review follows duplicate disposition where applicable.</x:v>
      </x:c>
    </x:row>
    <x:row r="166">
      <x:c r="A166" s="6" t="str">
        <x:v>SEQ-SID-0150</x:v>
      </x:c>
      <x:c r="B166" s="6" t="str">
        <x:v>Service Identity</x:v>
      </x:c>
      <x:c r="C166" s="6" t="str">
        <x:v>SIDX-0150</x:v>
      </x:c>
      <x:c r="D166" s="6" t="str">
        <x:v>SVC000150</x:v>
      </x:c>
      <x:c r="E166" s="6" t="str"/>
      <x:c r="F166" s="6" t="str">
        <x:v>Service identity review</x:v>
      </x:c>
      <x:c r="G166" s="6" t="n">
        <x:v>2</x:v>
      </x:c>
      <x:c r="H166" s="6" t="str"/>
      <x:c r="I166" s="6" t="str">
        <x:f>IF(H166="","No upstream dependency",IF(ISNUMBER(SEARCH(";",H166)),"Multiple dependencies - verify source queues",IFERROR(XLOOKUP(H166,C2:C1586,J2:J1586),"Dependency not found")))</x:f>
        <x:v>No upstream dependency</x:v>
      </x:c>
      <x:c r="J166" s="6" t="str">
        <x:v>Not Started</x:v>
      </x:c>
      <x:c r="K166" s="6" t="str">
        <x:v>Normal</x:v>
      </x:c>
      <x:c r="L166" s="6" t="str"/>
      <x:c r="M166" s="6" t="str"/>
      <x:c r="N166" s="6" t="str"/>
      <x:c r="O166" s="7" t="str"/>
      <x:c r="P166" s="6" t="str">
        <x:v>No</x:v>
      </x:c>
      <x:c r="Q166" s="7" t="str">
        <x:v>Identity review follows duplicate disposition where applicable.</x:v>
      </x:c>
    </x:row>
    <x:row r="167">
      <x:c r="A167" s="6" t="str">
        <x:v>SEQ-SID-0151</x:v>
      </x:c>
      <x:c r="B167" s="6" t="str">
        <x:v>Service Identity</x:v>
      </x:c>
      <x:c r="C167" s="6" t="str">
        <x:v>SIDX-0151</x:v>
      </x:c>
      <x:c r="D167" s="6" t="str">
        <x:v>SVC000151</x:v>
      </x:c>
      <x:c r="E167" s="6" t="str"/>
      <x:c r="F167" s="6" t="str">
        <x:v>Service identity review</x:v>
      </x:c>
      <x:c r="G167" s="6" t="n">
        <x:v>2</x:v>
      </x:c>
      <x:c r="H167" s="6" t="str"/>
      <x:c r="I167" s="6" t="str">
        <x:f>IF(H167="","No upstream dependency",IF(ISNUMBER(SEARCH(";",H167)),"Multiple dependencies - verify source queues",IFERROR(XLOOKUP(H167,C2:C1586,J2:J1586),"Dependency not found")))</x:f>
        <x:v>No upstream dependency</x:v>
      </x:c>
      <x:c r="J167" s="6" t="str">
        <x:v>Not Started</x:v>
      </x:c>
      <x:c r="K167" s="6" t="str">
        <x:v>Normal</x:v>
      </x:c>
      <x:c r="L167" s="6" t="str"/>
      <x:c r="M167" s="6" t="str"/>
      <x:c r="N167" s="6" t="str"/>
      <x:c r="O167" s="7" t="str"/>
      <x:c r="P167" s="6" t="str">
        <x:v>No</x:v>
      </x:c>
      <x:c r="Q167" s="7" t="str">
        <x:v>Identity review follows duplicate disposition where applicable.</x:v>
      </x:c>
    </x:row>
    <x:row r="168">
      <x:c r="A168" s="6" t="str">
        <x:v>SEQ-SID-0152</x:v>
      </x:c>
      <x:c r="B168" s="6" t="str">
        <x:v>Service Identity</x:v>
      </x:c>
      <x:c r="C168" s="6" t="str">
        <x:v>SIDX-0152</x:v>
      </x:c>
      <x:c r="D168" s="6" t="str">
        <x:v>SVC000152</x:v>
      </x:c>
      <x:c r="E168" s="6" t="str"/>
      <x:c r="F168" s="6" t="str">
        <x:v>Service identity review</x:v>
      </x:c>
      <x:c r="G168" s="6" t="n">
        <x:v>2</x:v>
      </x:c>
      <x:c r="H168" s="6" t="str"/>
      <x:c r="I168" s="6" t="str">
        <x:f>IF(H168="","No upstream dependency",IF(ISNUMBER(SEARCH(";",H168)),"Multiple dependencies - verify source queues",IFERROR(XLOOKUP(H168,C2:C1586,J2:J1586),"Dependency not found")))</x:f>
        <x:v>No upstream dependency</x:v>
      </x:c>
      <x:c r="J168" s="6" t="str">
        <x:v>Not Started</x:v>
      </x:c>
      <x:c r="K168" s="6" t="str">
        <x:v>Normal</x:v>
      </x:c>
      <x:c r="L168" s="6" t="str"/>
      <x:c r="M168" s="6" t="str"/>
      <x:c r="N168" s="6" t="str"/>
      <x:c r="O168" s="7" t="str"/>
      <x:c r="P168" s="6" t="str">
        <x:v>No</x:v>
      </x:c>
      <x:c r="Q168" s="7" t="str">
        <x:v>Identity review follows duplicate disposition where applicable.</x:v>
      </x:c>
    </x:row>
    <x:row r="169">
      <x:c r="A169" s="6" t="str">
        <x:v>SEQ-SID-0153</x:v>
      </x:c>
      <x:c r="B169" s="6" t="str">
        <x:v>Service Identity</x:v>
      </x:c>
      <x:c r="C169" s="6" t="str">
        <x:v>SIDX-0153</x:v>
      </x:c>
      <x:c r="D169" s="6" t="str">
        <x:v>SVC000153</x:v>
      </x:c>
      <x:c r="E169" s="6" t="str"/>
      <x:c r="F169" s="6" t="str">
        <x:v>Service identity review</x:v>
      </x:c>
      <x:c r="G169" s="6" t="n">
        <x:v>2</x:v>
      </x:c>
      <x:c r="H169" s="6" t="str"/>
      <x:c r="I169" s="6" t="str">
        <x:f>IF(H169="","No upstream dependency",IF(ISNUMBER(SEARCH(";",H169)),"Multiple dependencies - verify source queues",IFERROR(XLOOKUP(H169,C2:C1586,J2:J1586),"Dependency not found")))</x:f>
        <x:v>No upstream dependency</x:v>
      </x:c>
      <x:c r="J169" s="6" t="str">
        <x:v>Not Started</x:v>
      </x:c>
      <x:c r="K169" s="6" t="str">
        <x:v>Normal</x:v>
      </x:c>
      <x:c r="L169" s="6" t="str"/>
      <x:c r="M169" s="6" t="str"/>
      <x:c r="N169" s="6" t="str"/>
      <x:c r="O169" s="7" t="str"/>
      <x:c r="P169" s="6" t="str">
        <x:v>No</x:v>
      </x:c>
      <x:c r="Q169" s="7" t="str">
        <x:v>Identity review follows duplicate disposition where applicable.</x:v>
      </x:c>
    </x:row>
    <x:row r="170">
      <x:c r="A170" s="6" t="str">
        <x:v>SEQ-SID-0154</x:v>
      </x:c>
      <x:c r="B170" s="6" t="str">
        <x:v>Service Identity</x:v>
      </x:c>
      <x:c r="C170" s="6" t="str">
        <x:v>SIDX-0154</x:v>
      </x:c>
      <x:c r="D170" s="6" t="str">
        <x:v>SVC000154</x:v>
      </x:c>
      <x:c r="E170" s="6" t="str"/>
      <x:c r="F170" s="6" t="str">
        <x:v>Service identity review</x:v>
      </x:c>
      <x:c r="G170" s="6" t="n">
        <x:v>2</x:v>
      </x:c>
      <x:c r="H170" s="6" t="str"/>
      <x:c r="I170" s="6" t="str">
        <x:f>IF(H170="","No upstream dependency",IF(ISNUMBER(SEARCH(";",H170)),"Multiple dependencies - verify source queues",IFERROR(XLOOKUP(H170,C2:C1586,J2:J1586),"Dependency not found")))</x:f>
        <x:v>No upstream dependency</x:v>
      </x:c>
      <x:c r="J170" s="6" t="str">
        <x:v>Not Started</x:v>
      </x:c>
      <x:c r="K170" s="6" t="str">
        <x:v>Normal</x:v>
      </x:c>
      <x:c r="L170" s="6" t="str"/>
      <x:c r="M170" s="6" t="str"/>
      <x:c r="N170" s="6" t="str"/>
      <x:c r="O170" s="7" t="str"/>
      <x:c r="P170" s="6" t="str">
        <x:v>No</x:v>
      </x:c>
      <x:c r="Q170" s="7" t="str">
        <x:v>Identity review follows duplicate disposition where applicable.</x:v>
      </x:c>
    </x:row>
    <x:row r="171">
      <x:c r="A171" s="6" t="str">
        <x:v>SEQ-SID-0155</x:v>
      </x:c>
      <x:c r="B171" s="6" t="str">
        <x:v>Service Identity</x:v>
      </x:c>
      <x:c r="C171" s="6" t="str">
        <x:v>SIDX-0155</x:v>
      </x:c>
      <x:c r="D171" s="6" t="str">
        <x:v>SVC000155</x:v>
      </x:c>
      <x:c r="E171" s="6" t="str"/>
      <x:c r="F171" s="6" t="str">
        <x:v>Service identity review</x:v>
      </x:c>
      <x:c r="G171" s="6" t="n">
        <x:v>2</x:v>
      </x:c>
      <x:c r="H171" s="6" t="str"/>
      <x:c r="I171" s="6" t="str">
        <x:f>IF(H171="","No upstream dependency",IF(ISNUMBER(SEARCH(";",H171)),"Multiple dependencies - verify source queues",IFERROR(XLOOKUP(H171,C2:C1586,J2:J1586),"Dependency not found")))</x:f>
        <x:v>No upstream dependency</x:v>
      </x:c>
      <x:c r="J171" s="6" t="str">
        <x:v>Not Started</x:v>
      </x:c>
      <x:c r="K171" s="6" t="str">
        <x:v>Normal</x:v>
      </x:c>
      <x:c r="L171" s="6" t="str"/>
      <x:c r="M171" s="6" t="str"/>
      <x:c r="N171" s="6" t="str"/>
      <x:c r="O171" s="7" t="str"/>
      <x:c r="P171" s="6" t="str">
        <x:v>No</x:v>
      </x:c>
      <x:c r="Q171" s="7" t="str">
        <x:v>Identity review follows duplicate disposition where applicable.</x:v>
      </x:c>
    </x:row>
    <x:row r="172">
      <x:c r="A172" s="6" t="str">
        <x:v>SEQ-SID-0156</x:v>
      </x:c>
      <x:c r="B172" s="6" t="str">
        <x:v>Service Identity</x:v>
      </x:c>
      <x:c r="C172" s="6" t="str">
        <x:v>SIDX-0156</x:v>
      </x:c>
      <x:c r="D172" s="6" t="str">
        <x:v>SVC000156</x:v>
      </x:c>
      <x:c r="E172" s="6" t="str"/>
      <x:c r="F172" s="6" t="str">
        <x:v>Service identity review</x:v>
      </x:c>
      <x:c r="G172" s="6" t="n">
        <x:v>2</x:v>
      </x:c>
      <x:c r="H172" s="6" t="str"/>
      <x:c r="I172" s="6" t="str">
        <x:f>IF(H172="","No upstream dependency",IF(ISNUMBER(SEARCH(";",H172)),"Multiple dependencies - verify source queues",IFERROR(XLOOKUP(H172,C2:C1586,J2:J1586),"Dependency not found")))</x:f>
        <x:v>No upstream dependency</x:v>
      </x:c>
      <x:c r="J172" s="6" t="str">
        <x:v>Not Started</x:v>
      </x:c>
      <x:c r="K172" s="6" t="str">
        <x:v>Normal</x:v>
      </x:c>
      <x:c r="L172" s="6" t="str"/>
      <x:c r="M172" s="6" t="str"/>
      <x:c r="N172" s="6" t="str"/>
      <x:c r="O172" s="7" t="str"/>
      <x:c r="P172" s="6" t="str">
        <x:v>No</x:v>
      </x:c>
      <x:c r="Q172" s="7" t="str">
        <x:v>Identity review follows duplicate disposition where applicable.</x:v>
      </x:c>
    </x:row>
    <x:row r="173">
      <x:c r="A173" s="6" t="str">
        <x:v>SEQ-SID-0157</x:v>
      </x:c>
      <x:c r="B173" s="6" t="str">
        <x:v>Service Identity</x:v>
      </x:c>
      <x:c r="C173" s="6" t="str">
        <x:v>SIDX-0157</x:v>
      </x:c>
      <x:c r="D173" s="6" t="str">
        <x:v>SVC000157</x:v>
      </x:c>
      <x:c r="E173" s="6" t="str"/>
      <x:c r="F173" s="6" t="str">
        <x:v>Service identity review</x:v>
      </x:c>
      <x:c r="G173" s="6" t="n">
        <x:v>2</x:v>
      </x:c>
      <x:c r="H173" s="6" t="str"/>
      <x:c r="I173" s="6" t="str">
        <x:f>IF(H173="","No upstream dependency",IF(ISNUMBER(SEARCH(";",H173)),"Multiple dependencies - verify source queues",IFERROR(XLOOKUP(H173,C2:C1586,J2:J1586),"Dependency not found")))</x:f>
        <x:v>No upstream dependency</x:v>
      </x:c>
      <x:c r="J173" s="6" t="str">
        <x:v>Not Started</x:v>
      </x:c>
      <x:c r="K173" s="6" t="str">
        <x:v>Normal</x:v>
      </x:c>
      <x:c r="L173" s="6" t="str"/>
      <x:c r="M173" s="6" t="str"/>
      <x:c r="N173" s="6" t="str"/>
      <x:c r="O173" s="7" t="str"/>
      <x:c r="P173" s="6" t="str">
        <x:v>No</x:v>
      </x:c>
      <x:c r="Q173" s="7" t="str">
        <x:v>Identity review follows duplicate disposition where applicable.</x:v>
      </x:c>
    </x:row>
    <x:row r="174">
      <x:c r="A174" s="6" t="str">
        <x:v>SEQ-SID-0158</x:v>
      </x:c>
      <x:c r="B174" s="6" t="str">
        <x:v>Service Identity</x:v>
      </x:c>
      <x:c r="C174" s="6" t="str">
        <x:v>SIDX-0158</x:v>
      </x:c>
      <x:c r="D174" s="6" t="str">
        <x:v>SVC000158</x:v>
      </x:c>
      <x:c r="E174" s="6" t="str"/>
      <x:c r="F174" s="6" t="str">
        <x:v>Service identity review</x:v>
      </x:c>
      <x:c r="G174" s="6" t="n">
        <x:v>2</x:v>
      </x:c>
      <x:c r="H174" s="6" t="str"/>
      <x:c r="I174" s="6" t="str">
        <x:f>IF(H174="","No upstream dependency",IF(ISNUMBER(SEARCH(";",H174)),"Multiple dependencies - verify source queues",IFERROR(XLOOKUP(H174,C2:C1586,J2:J1586),"Dependency not found")))</x:f>
        <x:v>No upstream dependency</x:v>
      </x:c>
      <x:c r="J174" s="6" t="str">
        <x:v>Not Started</x:v>
      </x:c>
      <x:c r="K174" s="6" t="str">
        <x:v>Normal</x:v>
      </x:c>
      <x:c r="L174" s="6" t="str"/>
      <x:c r="M174" s="6" t="str"/>
      <x:c r="N174" s="6" t="str"/>
      <x:c r="O174" s="7" t="str"/>
      <x:c r="P174" s="6" t="str">
        <x:v>No</x:v>
      </x:c>
      <x:c r="Q174" s="7" t="str">
        <x:v>Identity review follows duplicate disposition where applicable.</x:v>
      </x:c>
    </x:row>
    <x:row r="175">
      <x:c r="A175" s="6" t="str">
        <x:v>SEQ-SID-0159</x:v>
      </x:c>
      <x:c r="B175" s="6" t="str">
        <x:v>Service Identity</x:v>
      </x:c>
      <x:c r="C175" s="6" t="str">
        <x:v>SIDX-0159</x:v>
      </x:c>
      <x:c r="D175" s="6" t="str">
        <x:v>SVC000159</x:v>
      </x:c>
      <x:c r="E175" s="6" t="str"/>
      <x:c r="F175" s="6" t="str">
        <x:v>Service identity review</x:v>
      </x:c>
      <x:c r="G175" s="6" t="n">
        <x:v>2</x:v>
      </x:c>
      <x:c r="H175" s="6" t="str"/>
      <x:c r="I175" s="6" t="str">
        <x:f>IF(H175="","No upstream dependency",IF(ISNUMBER(SEARCH(";",H175)),"Multiple dependencies - verify source queues",IFERROR(XLOOKUP(H175,C2:C1586,J2:J1586),"Dependency not found")))</x:f>
        <x:v>No upstream dependency</x:v>
      </x:c>
      <x:c r="J175" s="6" t="str">
        <x:v>Not Started</x:v>
      </x:c>
      <x:c r="K175" s="6" t="str">
        <x:v>Normal</x:v>
      </x:c>
      <x:c r="L175" s="6" t="str"/>
      <x:c r="M175" s="6" t="str"/>
      <x:c r="N175" s="6" t="str"/>
      <x:c r="O175" s="7" t="str"/>
      <x:c r="P175" s="6" t="str">
        <x:v>No</x:v>
      </x:c>
      <x:c r="Q175" s="7" t="str">
        <x:v>Identity review follows duplicate disposition where applicable.</x:v>
      </x:c>
    </x:row>
    <x:row r="176">
      <x:c r="A176" s="6" t="str">
        <x:v>SEQ-SID-0160</x:v>
      </x:c>
      <x:c r="B176" s="6" t="str">
        <x:v>Service Identity</x:v>
      </x:c>
      <x:c r="C176" s="6" t="str">
        <x:v>SIDX-0160</x:v>
      </x:c>
      <x:c r="D176" s="6" t="str">
        <x:v>SVC000160</x:v>
      </x:c>
      <x:c r="E176" s="6" t="str"/>
      <x:c r="F176" s="6" t="str">
        <x:v>Service identity review</x:v>
      </x:c>
      <x:c r="G176" s="6" t="n">
        <x:v>2</x:v>
      </x:c>
      <x:c r="H176" s="6" t="str"/>
      <x:c r="I176" s="6" t="str">
        <x:f>IF(H176="","No upstream dependency",IF(ISNUMBER(SEARCH(";",H176)),"Multiple dependencies - verify source queues",IFERROR(XLOOKUP(H176,C2:C1586,J2:J1586),"Dependency not found")))</x:f>
        <x:v>No upstream dependency</x:v>
      </x:c>
      <x:c r="J176" s="6" t="str">
        <x:v>Not Started</x:v>
      </x:c>
      <x:c r="K176" s="6" t="str">
        <x:v>Normal</x:v>
      </x:c>
      <x:c r="L176" s="6" t="str"/>
      <x:c r="M176" s="6" t="str"/>
      <x:c r="N176" s="6" t="str"/>
      <x:c r="O176" s="7" t="str"/>
      <x:c r="P176" s="6" t="str">
        <x:v>No</x:v>
      </x:c>
      <x:c r="Q176" s="7" t="str">
        <x:v>Identity review follows duplicate disposition where applicable.</x:v>
      </x:c>
    </x:row>
    <x:row r="177">
      <x:c r="A177" s="6" t="str">
        <x:v>SEQ-SID-0161</x:v>
      </x:c>
      <x:c r="B177" s="6" t="str">
        <x:v>Service Identity</x:v>
      </x:c>
      <x:c r="C177" s="6" t="str">
        <x:v>SIDX-0161</x:v>
      </x:c>
      <x:c r="D177" s="6" t="str">
        <x:v>SVC000161</x:v>
      </x:c>
      <x:c r="E177" s="6" t="str"/>
      <x:c r="F177" s="6" t="str">
        <x:v>Service identity review</x:v>
      </x:c>
      <x:c r="G177" s="6" t="n">
        <x:v>2</x:v>
      </x:c>
      <x:c r="H177" s="6" t="str"/>
      <x:c r="I177" s="6" t="str">
        <x:f>IF(H177="","No upstream dependency",IF(ISNUMBER(SEARCH(";",H177)),"Multiple dependencies - verify source queues",IFERROR(XLOOKUP(H177,C2:C1586,J2:J1586),"Dependency not found")))</x:f>
        <x:v>No upstream dependency</x:v>
      </x:c>
      <x:c r="J177" s="6" t="str">
        <x:v>Not Started</x:v>
      </x:c>
      <x:c r="K177" s="6" t="str">
        <x:v>Normal</x:v>
      </x:c>
      <x:c r="L177" s="6" t="str"/>
      <x:c r="M177" s="6" t="str"/>
      <x:c r="N177" s="6" t="str"/>
      <x:c r="O177" s="7" t="str"/>
      <x:c r="P177" s="6" t="str">
        <x:v>No</x:v>
      </x:c>
      <x:c r="Q177" s="7" t="str">
        <x:v>Identity review follows duplicate disposition where applicable.</x:v>
      </x:c>
    </x:row>
    <x:row r="178">
      <x:c r="A178" s="6" t="str">
        <x:v>SEQ-SID-0162</x:v>
      </x:c>
      <x:c r="B178" s="6" t="str">
        <x:v>Service Identity</x:v>
      </x:c>
      <x:c r="C178" s="6" t="str">
        <x:v>SIDX-0162</x:v>
      </x:c>
      <x:c r="D178" s="6" t="str">
        <x:v>SVC000162</x:v>
      </x:c>
      <x:c r="E178" s="6" t="str"/>
      <x:c r="F178" s="6" t="str">
        <x:v>Service identity review</x:v>
      </x:c>
      <x:c r="G178" s="6" t="n">
        <x:v>2</x:v>
      </x:c>
      <x:c r="H178" s="6" t="str"/>
      <x:c r="I178" s="6" t="str">
        <x:f>IF(H178="","No upstream dependency",IF(ISNUMBER(SEARCH(";",H178)),"Multiple dependencies - verify source queues",IFERROR(XLOOKUP(H178,C2:C1586,J2:J1586),"Dependency not found")))</x:f>
        <x:v>No upstream dependency</x:v>
      </x:c>
      <x:c r="J178" s="6" t="str">
        <x:v>Not Started</x:v>
      </x:c>
      <x:c r="K178" s="6" t="str">
        <x:v>Normal</x:v>
      </x:c>
      <x:c r="L178" s="6" t="str"/>
      <x:c r="M178" s="6" t="str"/>
      <x:c r="N178" s="6" t="str"/>
      <x:c r="O178" s="7" t="str"/>
      <x:c r="P178" s="6" t="str">
        <x:v>No</x:v>
      </x:c>
      <x:c r="Q178" s="7" t="str">
        <x:v>Identity review follows duplicate disposition where applicable.</x:v>
      </x:c>
    </x:row>
    <x:row r="179">
      <x:c r="A179" s="6" t="str">
        <x:v>SEQ-SID-0163</x:v>
      </x:c>
      <x:c r="B179" s="6" t="str">
        <x:v>Service Identity</x:v>
      </x:c>
      <x:c r="C179" s="6" t="str">
        <x:v>SIDX-0163</x:v>
      </x:c>
      <x:c r="D179" s="6" t="str">
        <x:v>SVC000163</x:v>
      </x:c>
      <x:c r="E179" s="6" t="str"/>
      <x:c r="F179" s="6" t="str">
        <x:v>Service identity review</x:v>
      </x:c>
      <x:c r="G179" s="6" t="n">
        <x:v>2</x:v>
      </x:c>
      <x:c r="H179" s="6" t="str"/>
      <x:c r="I179" s="6" t="str">
        <x:f>IF(H179="","No upstream dependency",IF(ISNUMBER(SEARCH(";",H179)),"Multiple dependencies - verify source queues",IFERROR(XLOOKUP(H179,C2:C1586,J2:J1586),"Dependency not found")))</x:f>
        <x:v>No upstream dependency</x:v>
      </x:c>
      <x:c r="J179" s="6" t="str">
        <x:v>Not Started</x:v>
      </x:c>
      <x:c r="K179" s="6" t="str">
        <x:v>Normal</x:v>
      </x:c>
      <x:c r="L179" s="6" t="str"/>
      <x:c r="M179" s="6" t="str"/>
      <x:c r="N179" s="6" t="str"/>
      <x:c r="O179" s="7" t="str"/>
      <x:c r="P179" s="6" t="str">
        <x:v>No</x:v>
      </x:c>
      <x:c r="Q179" s="7" t="str">
        <x:v>Identity review follows duplicate disposition where applicable.</x:v>
      </x:c>
    </x:row>
    <x:row r="180">
      <x:c r="A180" s="6" t="str">
        <x:v>SEQ-SID-0164</x:v>
      </x:c>
      <x:c r="B180" s="6" t="str">
        <x:v>Service Identity</x:v>
      </x:c>
      <x:c r="C180" s="6" t="str">
        <x:v>SIDX-0164</x:v>
      </x:c>
      <x:c r="D180" s="6" t="str">
        <x:v>SVC000164</x:v>
      </x:c>
      <x:c r="E180" s="6" t="str"/>
      <x:c r="F180" s="6" t="str">
        <x:v>Service identity review</x:v>
      </x:c>
      <x:c r="G180" s="6" t="n">
        <x:v>2</x:v>
      </x:c>
      <x:c r="H180" s="6" t="str"/>
      <x:c r="I180" s="6" t="str">
        <x:f>IF(H180="","No upstream dependency",IF(ISNUMBER(SEARCH(";",H180)),"Multiple dependencies - verify source queues",IFERROR(XLOOKUP(H180,C2:C1586,J2:J1586),"Dependency not found")))</x:f>
        <x:v>No upstream dependency</x:v>
      </x:c>
      <x:c r="J180" s="6" t="str">
        <x:v>Not Started</x:v>
      </x:c>
      <x:c r="K180" s="6" t="str">
        <x:v>Normal</x:v>
      </x:c>
      <x:c r="L180" s="6" t="str"/>
      <x:c r="M180" s="6" t="str"/>
      <x:c r="N180" s="6" t="str"/>
      <x:c r="O180" s="7" t="str"/>
      <x:c r="P180" s="6" t="str">
        <x:v>No</x:v>
      </x:c>
      <x:c r="Q180" s="7" t="str">
        <x:v>Identity review follows duplicate disposition where applicable.</x:v>
      </x:c>
    </x:row>
    <x:row r="181">
      <x:c r="A181" s="6" t="str">
        <x:v>SEQ-SID-0165</x:v>
      </x:c>
      <x:c r="B181" s="6" t="str">
        <x:v>Service Identity</x:v>
      </x:c>
      <x:c r="C181" s="6" t="str">
        <x:v>SIDX-0165</x:v>
      </x:c>
      <x:c r="D181" s="6" t="str">
        <x:v>SVC000165</x:v>
      </x:c>
      <x:c r="E181" s="6" t="str"/>
      <x:c r="F181" s="6" t="str">
        <x:v>Service identity review</x:v>
      </x:c>
      <x:c r="G181" s="6" t="n">
        <x:v>2</x:v>
      </x:c>
      <x:c r="H181" s="6" t="str"/>
      <x:c r="I181" s="6" t="str">
        <x:f>IF(H181="","No upstream dependency",IF(ISNUMBER(SEARCH(";",H181)),"Multiple dependencies - verify source queues",IFERROR(XLOOKUP(H181,C2:C1586,J2:J1586),"Dependency not found")))</x:f>
        <x:v>No upstream dependency</x:v>
      </x:c>
      <x:c r="J181" s="6" t="str">
        <x:v>Not Started</x:v>
      </x:c>
      <x:c r="K181" s="6" t="str">
        <x:v>Normal</x:v>
      </x:c>
      <x:c r="L181" s="6" t="str"/>
      <x:c r="M181" s="6" t="str"/>
      <x:c r="N181" s="6" t="str"/>
      <x:c r="O181" s="7" t="str"/>
      <x:c r="P181" s="6" t="str">
        <x:v>No</x:v>
      </x:c>
      <x:c r="Q181" s="7" t="str">
        <x:v>Identity review follows duplicate disposition where applicable.</x:v>
      </x:c>
    </x:row>
    <x:row r="182">
      <x:c r="A182" s="6" t="str">
        <x:v>SEQ-SID-0166</x:v>
      </x:c>
      <x:c r="B182" s="6" t="str">
        <x:v>Service Identity</x:v>
      </x:c>
      <x:c r="C182" s="6" t="str">
        <x:v>SIDX-0166</x:v>
      </x:c>
      <x:c r="D182" s="6" t="str">
        <x:v>SVC000166</x:v>
      </x:c>
      <x:c r="E182" s="6" t="str"/>
      <x:c r="F182" s="6" t="str">
        <x:v>Service identity review</x:v>
      </x:c>
      <x:c r="G182" s="6" t="n">
        <x:v>2</x:v>
      </x:c>
      <x:c r="H182" s="6" t="str"/>
      <x:c r="I182" s="6" t="str">
        <x:f>IF(H182="","No upstream dependency",IF(ISNUMBER(SEARCH(";",H182)),"Multiple dependencies - verify source queues",IFERROR(XLOOKUP(H182,C2:C1586,J2:J1586),"Dependency not found")))</x:f>
        <x:v>No upstream dependency</x:v>
      </x:c>
      <x:c r="J182" s="6" t="str">
        <x:v>Not Started</x:v>
      </x:c>
      <x:c r="K182" s="6" t="str">
        <x:v>Normal</x:v>
      </x:c>
      <x:c r="L182" s="6" t="str"/>
      <x:c r="M182" s="6" t="str"/>
      <x:c r="N182" s="6" t="str"/>
      <x:c r="O182" s="7" t="str"/>
      <x:c r="P182" s="6" t="str">
        <x:v>No</x:v>
      </x:c>
      <x:c r="Q182" s="7" t="str">
        <x:v>Identity review follows duplicate disposition where applicable.</x:v>
      </x:c>
    </x:row>
    <x:row r="183">
      <x:c r="A183" s="6" t="str">
        <x:v>SEQ-SID-0167</x:v>
      </x:c>
      <x:c r="B183" s="6" t="str">
        <x:v>Service Identity</x:v>
      </x:c>
      <x:c r="C183" s="6" t="str">
        <x:v>SIDX-0167</x:v>
      </x:c>
      <x:c r="D183" s="6" t="str">
        <x:v>SVC000167</x:v>
      </x:c>
      <x:c r="E183" s="6" t="str">
        <x:v>DUP000006</x:v>
      </x:c>
      <x:c r="F183" s="6" t="str">
        <x:v>Service identity review</x:v>
      </x:c>
      <x:c r="G183" s="6" t="n">
        <x:v>2</x:v>
      </x:c>
      <x:c r="H183" s="6" t="str">
        <x:v>DUPX-0006</x:v>
      </x:c>
      <x:c r="I183" s="6" t="str">
        <x:f>IF(H183="","No upstream dependency",IF(ISNUMBER(SEARCH(";",H183)),"Multiple dependencies - verify source queues",IFERROR(XLOOKUP(H183,C2:C1586,J2:J1586),"Dependency not found")))</x:f>
        <x:v>Not Started</x:v>
      </x:c>
      <x:c r="J183" s="6" t="str">
        <x:v>Not Started</x:v>
      </x:c>
      <x:c r="K183" s="6" t="str">
        <x:v>Normal</x:v>
      </x:c>
      <x:c r="L183" s="6" t="str"/>
      <x:c r="M183" s="6" t="str"/>
      <x:c r="N183" s="6" t="str"/>
      <x:c r="O183" s="7" t="str"/>
      <x:c r="P183" s="6" t="str">
        <x:v>Yes</x:v>
      </x:c>
      <x:c r="Q183" s="7" t="str">
        <x:v>Identity review follows duplicate disposition where applicable.</x:v>
      </x:c>
    </x:row>
    <x:row r="184">
      <x:c r="A184" s="6" t="str">
        <x:v>SEQ-SID-0168</x:v>
      </x:c>
      <x:c r="B184" s="6" t="str">
        <x:v>Service Identity</x:v>
      </x:c>
      <x:c r="C184" s="6" t="str">
        <x:v>SIDX-0168</x:v>
      </x:c>
      <x:c r="D184" s="6" t="str">
        <x:v>SVC000168</x:v>
      </x:c>
      <x:c r="E184" s="6" t="str"/>
      <x:c r="F184" s="6" t="str">
        <x:v>Service identity review</x:v>
      </x:c>
      <x:c r="G184" s="6" t="n">
        <x:v>2</x:v>
      </x:c>
      <x:c r="H184" s="6" t="str"/>
      <x:c r="I184" s="6" t="str">
        <x:f>IF(H184="","No upstream dependency",IF(ISNUMBER(SEARCH(";",H184)),"Multiple dependencies - verify source queues",IFERROR(XLOOKUP(H184,C2:C1586,J2:J1586),"Dependency not found")))</x:f>
        <x:v>No upstream dependency</x:v>
      </x:c>
      <x:c r="J184" s="6" t="str">
        <x:v>Not Started</x:v>
      </x:c>
      <x:c r="K184" s="6" t="str">
        <x:v>Normal</x:v>
      </x:c>
      <x:c r="L184" s="6" t="str"/>
      <x:c r="M184" s="6" t="str"/>
      <x:c r="N184" s="6" t="str"/>
      <x:c r="O184" s="7" t="str"/>
      <x:c r="P184" s="6" t="str">
        <x:v>No</x:v>
      </x:c>
      <x:c r="Q184" s="7" t="str">
        <x:v>Identity review follows duplicate disposition where applicable.</x:v>
      </x:c>
    </x:row>
    <x:row r="185">
      <x:c r="A185" s="6" t="str">
        <x:v>SEQ-SID-0169</x:v>
      </x:c>
      <x:c r="B185" s="6" t="str">
        <x:v>Service Identity</x:v>
      </x:c>
      <x:c r="C185" s="6" t="str">
        <x:v>SIDX-0169</x:v>
      </x:c>
      <x:c r="D185" s="6" t="str">
        <x:v>SVC000169</x:v>
      </x:c>
      <x:c r="E185" s="6" t="str"/>
      <x:c r="F185" s="6" t="str">
        <x:v>Service identity review</x:v>
      </x:c>
      <x:c r="G185" s="6" t="n">
        <x:v>2</x:v>
      </x:c>
      <x:c r="H185" s="6" t="str"/>
      <x:c r="I185" s="6" t="str">
        <x:f>IF(H185="","No upstream dependency",IF(ISNUMBER(SEARCH(";",H185)),"Multiple dependencies - verify source queues",IFERROR(XLOOKUP(H185,C2:C1586,J2:J1586),"Dependency not found")))</x:f>
        <x:v>No upstream dependency</x:v>
      </x:c>
      <x:c r="J185" s="6" t="str">
        <x:v>Not Started</x:v>
      </x:c>
      <x:c r="K185" s="6" t="str">
        <x:v>Normal</x:v>
      </x:c>
      <x:c r="L185" s="6" t="str"/>
      <x:c r="M185" s="6" t="str"/>
      <x:c r="N185" s="6" t="str"/>
      <x:c r="O185" s="7" t="str"/>
      <x:c r="P185" s="6" t="str">
        <x:v>No</x:v>
      </x:c>
      <x:c r="Q185" s="7" t="str">
        <x:v>Identity review follows duplicate disposition where applicable.</x:v>
      </x:c>
    </x:row>
    <x:row r="186">
      <x:c r="A186" s="6" t="str">
        <x:v>SEQ-SID-0170</x:v>
      </x:c>
      <x:c r="B186" s="6" t="str">
        <x:v>Service Identity</x:v>
      </x:c>
      <x:c r="C186" s="6" t="str">
        <x:v>SIDX-0170</x:v>
      </x:c>
      <x:c r="D186" s="6" t="str">
        <x:v>SVC000170</x:v>
      </x:c>
      <x:c r="E186" s="6" t="str">
        <x:v>DUP000007</x:v>
      </x:c>
      <x:c r="F186" s="6" t="str">
        <x:v>Service identity review</x:v>
      </x:c>
      <x:c r="G186" s="6" t="n">
        <x:v>2</x:v>
      </x:c>
      <x:c r="H186" s="6" t="str">
        <x:v>DUPX-0007</x:v>
      </x:c>
      <x:c r="I186" s="6" t="str">
        <x:f>IF(H186="","No upstream dependency",IF(ISNUMBER(SEARCH(";",H186)),"Multiple dependencies - verify source queues",IFERROR(XLOOKUP(H186,C2:C1586,J2:J1586),"Dependency not found")))</x:f>
        <x:v>Not Started</x:v>
      </x:c>
      <x:c r="J186" s="6" t="str">
        <x:v>Not Started</x:v>
      </x:c>
      <x:c r="K186" s="6" t="str">
        <x:v>Normal</x:v>
      </x:c>
      <x:c r="L186" s="6" t="str"/>
      <x:c r="M186" s="6" t="str"/>
      <x:c r="N186" s="6" t="str"/>
      <x:c r="O186" s="7" t="str"/>
      <x:c r="P186" s="6" t="str">
        <x:v>Yes</x:v>
      </x:c>
      <x:c r="Q186" s="7" t="str">
        <x:v>Identity review follows duplicate disposition where applicable.</x:v>
      </x:c>
    </x:row>
    <x:row r="187">
      <x:c r="A187" s="6" t="str">
        <x:v>SEQ-SID-0171</x:v>
      </x:c>
      <x:c r="B187" s="6" t="str">
        <x:v>Service Identity</x:v>
      </x:c>
      <x:c r="C187" s="6" t="str">
        <x:v>SIDX-0171</x:v>
      </x:c>
      <x:c r="D187" s="6" t="str">
        <x:v>SVC000171</x:v>
      </x:c>
      <x:c r="E187" s="6" t="str"/>
      <x:c r="F187" s="6" t="str">
        <x:v>Service identity review</x:v>
      </x:c>
      <x:c r="G187" s="6" t="n">
        <x:v>2</x:v>
      </x:c>
      <x:c r="H187" s="6" t="str"/>
      <x:c r="I187" s="6" t="str">
        <x:f>IF(H187="","No upstream dependency",IF(ISNUMBER(SEARCH(";",H187)),"Multiple dependencies - verify source queues",IFERROR(XLOOKUP(H187,C2:C1586,J2:J1586),"Dependency not found")))</x:f>
        <x:v>No upstream dependency</x:v>
      </x:c>
      <x:c r="J187" s="6" t="str">
        <x:v>Not Started</x:v>
      </x:c>
      <x:c r="K187" s="6" t="str">
        <x:v>Normal</x:v>
      </x:c>
      <x:c r="L187" s="6" t="str"/>
      <x:c r="M187" s="6" t="str"/>
      <x:c r="N187" s="6" t="str"/>
      <x:c r="O187" s="7" t="str"/>
      <x:c r="P187" s="6" t="str">
        <x:v>No</x:v>
      </x:c>
      <x:c r="Q187" s="7" t="str">
        <x:v>Identity review follows duplicate disposition where applicable.</x:v>
      </x:c>
    </x:row>
    <x:row r="188">
      <x:c r="A188" s="6" t="str">
        <x:v>SEQ-SID-0172</x:v>
      </x:c>
      <x:c r="B188" s="6" t="str">
        <x:v>Service Identity</x:v>
      </x:c>
      <x:c r="C188" s="6" t="str">
        <x:v>SIDX-0172</x:v>
      </x:c>
      <x:c r="D188" s="6" t="str">
        <x:v>SVC000172</x:v>
      </x:c>
      <x:c r="E188" s="6" t="str"/>
      <x:c r="F188" s="6" t="str">
        <x:v>Service identity review</x:v>
      </x:c>
      <x:c r="G188" s="6" t="n">
        <x:v>2</x:v>
      </x:c>
      <x:c r="H188" s="6" t="str"/>
      <x:c r="I188" s="6" t="str">
        <x:f>IF(H188="","No upstream dependency",IF(ISNUMBER(SEARCH(";",H188)),"Multiple dependencies - verify source queues",IFERROR(XLOOKUP(H188,C2:C1586,J2:J1586),"Dependency not found")))</x:f>
        <x:v>No upstream dependency</x:v>
      </x:c>
      <x:c r="J188" s="6" t="str">
        <x:v>Not Started</x:v>
      </x:c>
      <x:c r="K188" s="6" t="str">
        <x:v>Normal</x:v>
      </x:c>
      <x:c r="L188" s="6" t="str"/>
      <x:c r="M188" s="6" t="str"/>
      <x:c r="N188" s="6" t="str"/>
      <x:c r="O188" s="7" t="str"/>
      <x:c r="P188" s="6" t="str">
        <x:v>No</x:v>
      </x:c>
      <x:c r="Q188" s="7" t="str">
        <x:v>Identity review follows duplicate disposition where applicable.</x:v>
      </x:c>
    </x:row>
    <x:row r="189">
      <x:c r="A189" s="6" t="str">
        <x:v>SEQ-SID-0173</x:v>
      </x:c>
      <x:c r="B189" s="6" t="str">
        <x:v>Service Identity</x:v>
      </x:c>
      <x:c r="C189" s="6" t="str">
        <x:v>SIDX-0173</x:v>
      </x:c>
      <x:c r="D189" s="6" t="str">
        <x:v>SVC000173</x:v>
      </x:c>
      <x:c r="E189" s="6" t="str">
        <x:v>DUP000008</x:v>
      </x:c>
      <x:c r="F189" s="6" t="str">
        <x:v>Service identity review</x:v>
      </x:c>
      <x:c r="G189" s="6" t="n">
        <x:v>2</x:v>
      </x:c>
      <x:c r="H189" s="6" t="str">
        <x:v>DUPX-0008</x:v>
      </x:c>
      <x:c r="I189" s="6" t="str">
        <x:f>IF(H189="","No upstream dependency",IF(ISNUMBER(SEARCH(";",H189)),"Multiple dependencies - verify source queues",IFERROR(XLOOKUP(H189,C2:C1586,J2:J1586),"Dependency not found")))</x:f>
        <x:v>Not Started</x:v>
      </x:c>
      <x:c r="J189" s="6" t="str">
        <x:v>Not Started</x:v>
      </x:c>
      <x:c r="K189" s="6" t="str">
        <x:v>Normal</x:v>
      </x:c>
      <x:c r="L189" s="6" t="str"/>
      <x:c r="M189" s="6" t="str"/>
      <x:c r="N189" s="6" t="str"/>
      <x:c r="O189" s="7" t="str"/>
      <x:c r="P189" s="6" t="str">
        <x:v>Yes</x:v>
      </x:c>
      <x:c r="Q189" s="7" t="str">
        <x:v>Identity review follows duplicate disposition where applicable.</x:v>
      </x:c>
    </x:row>
    <x:row r="190">
      <x:c r="A190" s="6" t="str">
        <x:v>SEQ-SID-0174</x:v>
      </x:c>
      <x:c r="B190" s="6" t="str">
        <x:v>Service Identity</x:v>
      </x:c>
      <x:c r="C190" s="6" t="str">
        <x:v>SIDX-0174</x:v>
      </x:c>
      <x:c r="D190" s="6" t="str">
        <x:v>SVC000174</x:v>
      </x:c>
      <x:c r="E190" s="6" t="str">
        <x:v>DUP000009</x:v>
      </x:c>
      <x:c r="F190" s="6" t="str">
        <x:v>Service identity review</x:v>
      </x:c>
      <x:c r="G190" s="6" t="n">
        <x:v>2</x:v>
      </x:c>
      <x:c r="H190" s="6" t="str">
        <x:v>DUPX-0009</x:v>
      </x:c>
      <x:c r="I190" s="6" t="str">
        <x:f>IF(H190="","No upstream dependency",IF(ISNUMBER(SEARCH(";",H190)),"Multiple dependencies - verify source queues",IFERROR(XLOOKUP(H190,C2:C1586,J2:J1586),"Dependency not found")))</x:f>
        <x:v>Not Started</x:v>
      </x:c>
      <x:c r="J190" s="6" t="str">
        <x:v>Not Started</x:v>
      </x:c>
      <x:c r="K190" s="6" t="str">
        <x:v>Normal</x:v>
      </x:c>
      <x:c r="L190" s="6" t="str"/>
      <x:c r="M190" s="6" t="str"/>
      <x:c r="N190" s="6" t="str"/>
      <x:c r="O190" s="7" t="str"/>
      <x:c r="P190" s="6" t="str">
        <x:v>Yes</x:v>
      </x:c>
      <x:c r="Q190" s="7" t="str">
        <x:v>Identity review follows duplicate disposition where applicable.</x:v>
      </x:c>
    </x:row>
    <x:row r="191">
      <x:c r="A191" s="6" t="str">
        <x:v>SEQ-SID-0175</x:v>
      </x:c>
      <x:c r="B191" s="6" t="str">
        <x:v>Service Identity</x:v>
      </x:c>
      <x:c r="C191" s="6" t="str">
        <x:v>SIDX-0175</x:v>
      </x:c>
      <x:c r="D191" s="6" t="str">
        <x:v>SVC000175</x:v>
      </x:c>
      <x:c r="E191" s="6" t="str">
        <x:v>DUP000008</x:v>
      </x:c>
      <x:c r="F191" s="6" t="str">
        <x:v>Service identity review</x:v>
      </x:c>
      <x:c r="G191" s="6" t="n">
        <x:v>2</x:v>
      </x:c>
      <x:c r="H191" s="6" t="str">
        <x:v>DUPX-0008</x:v>
      </x:c>
      <x:c r="I191" s="6" t="str">
        <x:f>IF(H191="","No upstream dependency",IF(ISNUMBER(SEARCH(";",H191)),"Multiple dependencies - verify source queues",IFERROR(XLOOKUP(H191,C2:C1586,J2:J1586),"Dependency not found")))</x:f>
        <x:v>Not Started</x:v>
      </x:c>
      <x:c r="J191" s="6" t="str">
        <x:v>Not Started</x:v>
      </x:c>
      <x:c r="K191" s="6" t="str">
        <x:v>Normal</x:v>
      </x:c>
      <x:c r="L191" s="6" t="str"/>
      <x:c r="M191" s="6" t="str"/>
      <x:c r="N191" s="6" t="str"/>
      <x:c r="O191" s="7" t="str"/>
      <x:c r="P191" s="6" t="str">
        <x:v>Yes</x:v>
      </x:c>
      <x:c r="Q191" s="7" t="str">
        <x:v>Identity review follows duplicate disposition where applicable.</x:v>
      </x:c>
    </x:row>
    <x:row r="192">
      <x:c r="A192" s="6" t="str">
        <x:v>SEQ-SID-0176</x:v>
      </x:c>
      <x:c r="B192" s="6" t="str">
        <x:v>Service Identity</x:v>
      </x:c>
      <x:c r="C192" s="6" t="str">
        <x:v>SIDX-0176</x:v>
      </x:c>
      <x:c r="D192" s="6" t="str">
        <x:v>SVC000176</x:v>
      </x:c>
      <x:c r="E192" s="6" t="str">
        <x:v>DUP000009</x:v>
      </x:c>
      <x:c r="F192" s="6" t="str">
        <x:v>Service identity review</x:v>
      </x:c>
      <x:c r="G192" s="6" t="n">
        <x:v>2</x:v>
      </x:c>
      <x:c r="H192" s="6" t="str">
        <x:v>DUPX-0009</x:v>
      </x:c>
      <x:c r="I192" s="6" t="str">
        <x:f>IF(H192="","No upstream dependency",IF(ISNUMBER(SEARCH(";",H192)),"Multiple dependencies - verify source queues",IFERROR(XLOOKUP(H192,C2:C1586,J2:J1586),"Dependency not found")))</x:f>
        <x:v>Not Started</x:v>
      </x:c>
      <x:c r="J192" s="6" t="str">
        <x:v>Not Started</x:v>
      </x:c>
      <x:c r="K192" s="6" t="str">
        <x:v>Normal</x:v>
      </x:c>
      <x:c r="L192" s="6" t="str"/>
      <x:c r="M192" s="6" t="str"/>
      <x:c r="N192" s="6" t="str"/>
      <x:c r="O192" s="7" t="str"/>
      <x:c r="P192" s="6" t="str">
        <x:v>Yes</x:v>
      </x:c>
      <x:c r="Q192" s="7" t="str">
        <x:v>Identity review follows duplicate disposition where applicable.</x:v>
      </x:c>
    </x:row>
    <x:row r="193">
      <x:c r="A193" s="6" t="str">
        <x:v>SEQ-SID-0177</x:v>
      </x:c>
      <x:c r="B193" s="6" t="str">
        <x:v>Service Identity</x:v>
      </x:c>
      <x:c r="C193" s="6" t="str">
        <x:v>SIDX-0177</x:v>
      </x:c>
      <x:c r="D193" s="6" t="str">
        <x:v>SVC000177</x:v>
      </x:c>
      <x:c r="E193" s="6" t="str">
        <x:v>DUP000009</x:v>
      </x:c>
      <x:c r="F193" s="6" t="str">
        <x:v>Service identity review</x:v>
      </x:c>
      <x:c r="G193" s="6" t="n">
        <x:v>2</x:v>
      </x:c>
      <x:c r="H193" s="6" t="str">
        <x:v>DUPX-0009</x:v>
      </x:c>
      <x:c r="I193" s="6" t="str">
        <x:f>IF(H193="","No upstream dependency",IF(ISNUMBER(SEARCH(";",H193)),"Multiple dependencies - verify source queues",IFERROR(XLOOKUP(H193,C2:C1586,J2:J1586),"Dependency not found")))</x:f>
        <x:v>Not Started</x:v>
      </x:c>
      <x:c r="J193" s="6" t="str">
        <x:v>Not Started</x:v>
      </x:c>
      <x:c r="K193" s="6" t="str">
        <x:v>Normal</x:v>
      </x:c>
      <x:c r="L193" s="6" t="str"/>
      <x:c r="M193" s="6" t="str"/>
      <x:c r="N193" s="6" t="str"/>
      <x:c r="O193" s="7" t="str"/>
      <x:c r="P193" s="6" t="str">
        <x:v>Yes</x:v>
      </x:c>
      <x:c r="Q193" s="7" t="str">
        <x:v>Identity review follows duplicate disposition where applicable.</x:v>
      </x:c>
    </x:row>
    <x:row r="194">
      <x:c r="A194" s="6" t="str">
        <x:v>SEQ-SID-0178</x:v>
      </x:c>
      <x:c r="B194" s="6" t="str">
        <x:v>Service Identity</x:v>
      </x:c>
      <x:c r="C194" s="6" t="str">
        <x:v>SIDX-0178</x:v>
      </x:c>
      <x:c r="D194" s="6" t="str">
        <x:v>SVC000178</x:v>
      </x:c>
      <x:c r="E194" s="6" t="str"/>
      <x:c r="F194" s="6" t="str">
        <x:v>Service identity review</x:v>
      </x:c>
      <x:c r="G194" s="6" t="n">
        <x:v>2</x:v>
      </x:c>
      <x:c r="H194" s="6" t="str"/>
      <x:c r="I194" s="6" t="str">
        <x:f>IF(H194="","No upstream dependency",IF(ISNUMBER(SEARCH(";",H194)),"Multiple dependencies - verify source queues",IFERROR(XLOOKUP(H194,C2:C1586,J2:J1586),"Dependency not found")))</x:f>
        <x:v>No upstream dependency</x:v>
      </x:c>
      <x:c r="J194" s="6" t="str">
        <x:v>Not Started</x:v>
      </x:c>
      <x:c r="K194" s="6" t="str">
        <x:v>Normal</x:v>
      </x:c>
      <x:c r="L194" s="6" t="str"/>
      <x:c r="M194" s="6" t="str"/>
      <x:c r="N194" s="6" t="str"/>
      <x:c r="O194" s="7" t="str"/>
      <x:c r="P194" s="6" t="str">
        <x:v>No</x:v>
      </x:c>
      <x:c r="Q194" s="7" t="str">
        <x:v>Identity review follows duplicate disposition where applicable.</x:v>
      </x:c>
    </x:row>
    <x:row r="195">
      <x:c r="A195" s="6" t="str">
        <x:v>SEQ-SID-0179</x:v>
      </x:c>
      <x:c r="B195" s="6" t="str">
        <x:v>Service Identity</x:v>
      </x:c>
      <x:c r="C195" s="6" t="str">
        <x:v>SIDX-0179</x:v>
      </x:c>
      <x:c r="D195" s="6" t="str">
        <x:v>SVC000179</x:v>
      </x:c>
      <x:c r="E195" s="6" t="str"/>
      <x:c r="F195" s="6" t="str">
        <x:v>Service identity review</x:v>
      </x:c>
      <x:c r="G195" s="6" t="n">
        <x:v>2</x:v>
      </x:c>
      <x:c r="H195" s="6" t="str"/>
      <x:c r="I195" s="6" t="str">
        <x:f>IF(H195="","No upstream dependency",IF(ISNUMBER(SEARCH(";",H195)),"Multiple dependencies - verify source queues",IFERROR(XLOOKUP(H195,C2:C1586,J2:J1586),"Dependency not found")))</x:f>
        <x:v>No upstream dependency</x:v>
      </x:c>
      <x:c r="J195" s="6" t="str">
        <x:v>Not Started</x:v>
      </x:c>
      <x:c r="K195" s="6" t="str">
        <x:v>Normal</x:v>
      </x:c>
      <x:c r="L195" s="6" t="str"/>
      <x:c r="M195" s="6" t="str"/>
      <x:c r="N195" s="6" t="str"/>
      <x:c r="O195" s="7" t="str"/>
      <x:c r="P195" s="6" t="str">
        <x:v>No</x:v>
      </x:c>
      <x:c r="Q195" s="7" t="str">
        <x:v>Identity review follows duplicate disposition where applicable.</x:v>
      </x:c>
    </x:row>
    <x:row r="196">
      <x:c r="A196" s="6" t="str">
        <x:v>SEQ-SID-0180</x:v>
      </x:c>
      <x:c r="B196" s="6" t="str">
        <x:v>Service Identity</x:v>
      </x:c>
      <x:c r="C196" s="6" t="str">
        <x:v>SIDX-0180</x:v>
      </x:c>
      <x:c r="D196" s="6" t="str">
        <x:v>SVC000180</x:v>
      </x:c>
      <x:c r="E196" s="6" t="str">
        <x:v>DUP000010</x:v>
      </x:c>
      <x:c r="F196" s="6" t="str">
        <x:v>Service identity review</x:v>
      </x:c>
      <x:c r="G196" s="6" t="n">
        <x:v>2</x:v>
      </x:c>
      <x:c r="H196" s="6" t="str">
        <x:v>DUPX-0010</x:v>
      </x:c>
      <x:c r="I196" s="6" t="str">
        <x:f>IF(H196="","No upstream dependency",IF(ISNUMBER(SEARCH(";",H196)),"Multiple dependencies - verify source queues",IFERROR(XLOOKUP(H196,C2:C1586,J2:J1586),"Dependency not found")))</x:f>
        <x:v>Not Started</x:v>
      </x:c>
      <x:c r="J196" s="6" t="str">
        <x:v>Not Started</x:v>
      </x:c>
      <x:c r="K196" s="6" t="str">
        <x:v>Normal</x:v>
      </x:c>
      <x:c r="L196" s="6" t="str"/>
      <x:c r="M196" s="6" t="str"/>
      <x:c r="N196" s="6" t="str"/>
      <x:c r="O196" s="7" t="str"/>
      <x:c r="P196" s="6" t="str">
        <x:v>Yes</x:v>
      </x:c>
      <x:c r="Q196" s="7" t="str">
        <x:v>Identity review follows duplicate disposition where applicable.</x:v>
      </x:c>
    </x:row>
    <x:row r="197">
      <x:c r="A197" s="6" t="str">
        <x:v>SEQ-SID-0181</x:v>
      </x:c>
      <x:c r="B197" s="6" t="str">
        <x:v>Service Identity</x:v>
      </x:c>
      <x:c r="C197" s="6" t="str">
        <x:v>SIDX-0181</x:v>
      </x:c>
      <x:c r="D197" s="6" t="str">
        <x:v>SVC000181</x:v>
      </x:c>
      <x:c r="E197" s="6" t="str"/>
      <x:c r="F197" s="6" t="str">
        <x:v>Service identity review</x:v>
      </x:c>
      <x:c r="G197" s="6" t="n">
        <x:v>2</x:v>
      </x:c>
      <x:c r="H197" s="6" t="str"/>
      <x:c r="I197" s="6" t="str">
        <x:f>IF(H197="","No upstream dependency",IF(ISNUMBER(SEARCH(";",H197)),"Multiple dependencies - verify source queues",IFERROR(XLOOKUP(H197,C2:C1586,J2:J1586),"Dependency not found")))</x:f>
        <x:v>No upstream dependency</x:v>
      </x:c>
      <x:c r="J197" s="6" t="str">
        <x:v>Not Started</x:v>
      </x:c>
      <x:c r="K197" s="6" t="str">
        <x:v>Normal</x:v>
      </x:c>
      <x:c r="L197" s="6" t="str"/>
      <x:c r="M197" s="6" t="str"/>
      <x:c r="N197" s="6" t="str"/>
      <x:c r="O197" s="7" t="str"/>
      <x:c r="P197" s="6" t="str">
        <x:v>No</x:v>
      </x:c>
      <x:c r="Q197" s="7" t="str">
        <x:v>Identity review follows duplicate disposition where applicable.</x:v>
      </x:c>
    </x:row>
    <x:row r="198">
      <x:c r="A198" s="6" t="str">
        <x:v>SEQ-SID-0182</x:v>
      </x:c>
      <x:c r="B198" s="6" t="str">
        <x:v>Service Identity</x:v>
      </x:c>
      <x:c r="C198" s="6" t="str">
        <x:v>SIDX-0182</x:v>
      </x:c>
      <x:c r="D198" s="6" t="str">
        <x:v>SVC000182</x:v>
      </x:c>
      <x:c r="E198" s="6" t="str"/>
      <x:c r="F198" s="6" t="str">
        <x:v>Service identity review</x:v>
      </x:c>
      <x:c r="G198" s="6" t="n">
        <x:v>2</x:v>
      </x:c>
      <x:c r="H198" s="6" t="str"/>
      <x:c r="I198" s="6" t="str">
        <x:f>IF(H198="","No upstream dependency",IF(ISNUMBER(SEARCH(";",H198)),"Multiple dependencies - verify source queues",IFERROR(XLOOKUP(H198,C2:C1586,J2:J1586),"Dependency not found")))</x:f>
        <x:v>No upstream dependency</x:v>
      </x:c>
      <x:c r="J198" s="6" t="str">
        <x:v>Not Started</x:v>
      </x:c>
      <x:c r="K198" s="6" t="str">
        <x:v>Normal</x:v>
      </x:c>
      <x:c r="L198" s="6" t="str"/>
      <x:c r="M198" s="6" t="str"/>
      <x:c r="N198" s="6" t="str"/>
      <x:c r="O198" s="7" t="str"/>
      <x:c r="P198" s="6" t="str">
        <x:v>No</x:v>
      </x:c>
      <x:c r="Q198" s="7" t="str">
        <x:v>Identity review follows duplicate disposition where applicable.</x:v>
      </x:c>
    </x:row>
    <x:row r="199">
      <x:c r="A199" s="6" t="str">
        <x:v>SEQ-SID-0183</x:v>
      </x:c>
      <x:c r="B199" s="6" t="str">
        <x:v>Service Identity</x:v>
      </x:c>
      <x:c r="C199" s="6" t="str">
        <x:v>SIDX-0183</x:v>
      </x:c>
      <x:c r="D199" s="6" t="str">
        <x:v>SVC000183</x:v>
      </x:c>
      <x:c r="E199" s="6" t="str"/>
      <x:c r="F199" s="6" t="str">
        <x:v>Service identity review</x:v>
      </x:c>
      <x:c r="G199" s="6" t="n">
        <x:v>2</x:v>
      </x:c>
      <x:c r="H199" s="6" t="str"/>
      <x:c r="I199" s="6" t="str">
        <x:f>IF(H199="","No upstream dependency",IF(ISNUMBER(SEARCH(";",H199)),"Multiple dependencies - verify source queues",IFERROR(XLOOKUP(H199,C2:C1586,J2:J1586),"Dependency not found")))</x:f>
        <x:v>No upstream dependency</x:v>
      </x:c>
      <x:c r="J199" s="6" t="str">
        <x:v>Not Started</x:v>
      </x:c>
      <x:c r="K199" s="6" t="str">
        <x:v>Normal</x:v>
      </x:c>
      <x:c r="L199" s="6" t="str"/>
      <x:c r="M199" s="6" t="str"/>
      <x:c r="N199" s="6" t="str"/>
      <x:c r="O199" s="7" t="str"/>
      <x:c r="P199" s="6" t="str">
        <x:v>No</x:v>
      </x:c>
      <x:c r="Q199" s="7" t="str">
        <x:v>Identity review follows duplicate disposition where applicable.</x:v>
      </x:c>
    </x:row>
    <x:row r="200">
      <x:c r="A200" s="6" t="str">
        <x:v>SEQ-SID-0184</x:v>
      </x:c>
      <x:c r="B200" s="6" t="str">
        <x:v>Service Identity</x:v>
      </x:c>
      <x:c r="C200" s="6" t="str">
        <x:v>SIDX-0184</x:v>
      </x:c>
      <x:c r="D200" s="6" t="str">
        <x:v>SVC000184</x:v>
      </x:c>
      <x:c r="E200" s="6" t="str"/>
      <x:c r="F200" s="6" t="str">
        <x:v>Service identity review</x:v>
      </x:c>
      <x:c r="G200" s="6" t="n">
        <x:v>2</x:v>
      </x:c>
      <x:c r="H200" s="6" t="str"/>
      <x:c r="I200" s="6" t="str">
        <x:f>IF(H200="","No upstream dependency",IF(ISNUMBER(SEARCH(";",H200)),"Multiple dependencies - verify source queues",IFERROR(XLOOKUP(H200,C2:C1586,J2:J1586),"Dependency not found")))</x:f>
        <x:v>No upstream dependency</x:v>
      </x:c>
      <x:c r="J200" s="6" t="str">
        <x:v>Not Started</x:v>
      </x:c>
      <x:c r="K200" s="6" t="str">
        <x:v>Normal</x:v>
      </x:c>
      <x:c r="L200" s="6" t="str"/>
      <x:c r="M200" s="6" t="str"/>
      <x:c r="N200" s="6" t="str"/>
      <x:c r="O200" s="7" t="str"/>
      <x:c r="P200" s="6" t="str">
        <x:v>No</x:v>
      </x:c>
      <x:c r="Q200" s="7" t="str">
        <x:v>Identity review follows duplicate disposition where applicable.</x:v>
      </x:c>
    </x:row>
    <x:row r="201">
      <x:c r="A201" s="6" t="str">
        <x:v>SEQ-SID-0185</x:v>
      </x:c>
      <x:c r="B201" s="6" t="str">
        <x:v>Service Identity</x:v>
      </x:c>
      <x:c r="C201" s="6" t="str">
        <x:v>SIDX-0185</x:v>
      </x:c>
      <x:c r="D201" s="6" t="str">
        <x:v>SVC000185</x:v>
      </x:c>
      <x:c r="E201" s="6" t="str"/>
      <x:c r="F201" s="6" t="str">
        <x:v>Service identity review</x:v>
      </x:c>
      <x:c r="G201" s="6" t="n">
        <x:v>2</x:v>
      </x:c>
      <x:c r="H201" s="6" t="str"/>
      <x:c r="I201" s="6" t="str">
        <x:f>IF(H201="","No upstream dependency",IF(ISNUMBER(SEARCH(";",H201)),"Multiple dependencies - verify source queues",IFERROR(XLOOKUP(H201,C2:C1586,J2:J1586),"Dependency not found")))</x:f>
        <x:v>No upstream dependency</x:v>
      </x:c>
      <x:c r="J201" s="6" t="str">
        <x:v>Not Started</x:v>
      </x:c>
      <x:c r="K201" s="6" t="str">
        <x:v>Normal</x:v>
      </x:c>
      <x:c r="L201" s="6" t="str"/>
      <x:c r="M201" s="6" t="str"/>
      <x:c r="N201" s="6" t="str"/>
      <x:c r="O201" s="7" t="str"/>
      <x:c r="P201" s="6" t="str">
        <x:v>No</x:v>
      </x:c>
      <x:c r="Q201" s="7" t="str">
        <x:v>Identity review follows duplicate disposition where applicable.</x:v>
      </x:c>
    </x:row>
    <x:row r="202">
      <x:c r="A202" s="6" t="str">
        <x:v>SEQ-SID-0186</x:v>
      </x:c>
      <x:c r="B202" s="6" t="str">
        <x:v>Service Identity</x:v>
      </x:c>
      <x:c r="C202" s="6" t="str">
        <x:v>SIDX-0186</x:v>
      </x:c>
      <x:c r="D202" s="6" t="str">
        <x:v>SVC000186</x:v>
      </x:c>
      <x:c r="E202" s="6" t="str"/>
      <x:c r="F202" s="6" t="str">
        <x:v>Service identity review</x:v>
      </x:c>
      <x:c r="G202" s="6" t="n">
        <x:v>2</x:v>
      </x:c>
      <x:c r="H202" s="6" t="str"/>
      <x:c r="I202" s="6" t="str">
        <x:f>IF(H202="","No upstream dependency",IF(ISNUMBER(SEARCH(";",H202)),"Multiple dependencies - verify source queues",IFERROR(XLOOKUP(H202,C2:C1586,J2:J1586),"Dependency not found")))</x:f>
        <x:v>No upstream dependency</x:v>
      </x:c>
      <x:c r="J202" s="6" t="str">
        <x:v>Not Started</x:v>
      </x:c>
      <x:c r="K202" s="6" t="str">
        <x:v>Normal</x:v>
      </x:c>
      <x:c r="L202" s="6" t="str"/>
      <x:c r="M202" s="6" t="str"/>
      <x:c r="N202" s="6" t="str"/>
      <x:c r="O202" s="7" t="str"/>
      <x:c r="P202" s="6" t="str">
        <x:v>No</x:v>
      </x:c>
      <x:c r="Q202" s="7" t="str">
        <x:v>Identity review follows duplicate disposition where applicable.</x:v>
      </x:c>
    </x:row>
    <x:row r="203">
      <x:c r="A203" s="6" t="str">
        <x:v>SEQ-SID-0187</x:v>
      </x:c>
      <x:c r="B203" s="6" t="str">
        <x:v>Service Identity</x:v>
      </x:c>
      <x:c r="C203" s="6" t="str">
        <x:v>SIDX-0187</x:v>
      </x:c>
      <x:c r="D203" s="6" t="str">
        <x:v>SVC000187</x:v>
      </x:c>
      <x:c r="E203" s="6" t="str"/>
      <x:c r="F203" s="6" t="str">
        <x:v>Service identity review</x:v>
      </x:c>
      <x:c r="G203" s="6" t="n">
        <x:v>2</x:v>
      </x:c>
      <x:c r="H203" s="6" t="str"/>
      <x:c r="I203" s="6" t="str">
        <x:f>IF(H203="","No upstream dependency",IF(ISNUMBER(SEARCH(";",H203)),"Multiple dependencies - verify source queues",IFERROR(XLOOKUP(H203,C2:C1586,J2:J1586),"Dependency not found")))</x:f>
        <x:v>No upstream dependency</x:v>
      </x:c>
      <x:c r="J203" s="6" t="str">
        <x:v>Not Started</x:v>
      </x:c>
      <x:c r="K203" s="6" t="str">
        <x:v>Normal</x:v>
      </x:c>
      <x:c r="L203" s="6" t="str"/>
      <x:c r="M203" s="6" t="str"/>
      <x:c r="N203" s="6" t="str"/>
      <x:c r="O203" s="7" t="str"/>
      <x:c r="P203" s="6" t="str">
        <x:v>No</x:v>
      </x:c>
      <x:c r="Q203" s="7" t="str">
        <x:v>Identity review follows duplicate disposition where applicable.</x:v>
      </x:c>
    </x:row>
    <x:row r="204">
      <x:c r="A204" s="6" t="str">
        <x:v>SEQ-SID-0188</x:v>
      </x:c>
      <x:c r="B204" s="6" t="str">
        <x:v>Service Identity</x:v>
      </x:c>
      <x:c r="C204" s="6" t="str">
        <x:v>SIDX-0188</x:v>
      </x:c>
      <x:c r="D204" s="6" t="str">
        <x:v>SVC000188</x:v>
      </x:c>
      <x:c r="E204" s="6" t="str"/>
      <x:c r="F204" s="6" t="str">
        <x:v>Service identity review</x:v>
      </x:c>
      <x:c r="G204" s="6" t="n">
        <x:v>2</x:v>
      </x:c>
      <x:c r="H204" s="6" t="str"/>
      <x:c r="I204" s="6" t="str">
        <x:f>IF(H204="","No upstream dependency",IF(ISNUMBER(SEARCH(";",H204)),"Multiple dependencies - verify source queues",IFERROR(XLOOKUP(H204,C2:C1586,J2:J1586),"Dependency not found")))</x:f>
        <x:v>No upstream dependency</x:v>
      </x:c>
      <x:c r="J204" s="6" t="str">
        <x:v>Not Started</x:v>
      </x:c>
      <x:c r="K204" s="6" t="str">
        <x:v>Normal</x:v>
      </x:c>
      <x:c r="L204" s="6" t="str"/>
      <x:c r="M204" s="6" t="str"/>
      <x:c r="N204" s="6" t="str"/>
      <x:c r="O204" s="7" t="str"/>
      <x:c r="P204" s="6" t="str">
        <x:v>No</x:v>
      </x:c>
      <x:c r="Q204" s="7" t="str">
        <x:v>Identity review follows duplicate disposition where applicable.</x:v>
      </x:c>
    </x:row>
    <x:row r="205">
      <x:c r="A205" s="6" t="str">
        <x:v>SEQ-SID-0189</x:v>
      </x:c>
      <x:c r="B205" s="6" t="str">
        <x:v>Service Identity</x:v>
      </x:c>
      <x:c r="C205" s="6" t="str">
        <x:v>SIDX-0189</x:v>
      </x:c>
      <x:c r="D205" s="6" t="str">
        <x:v>SVC000189</x:v>
      </x:c>
      <x:c r="E205" s="6" t="str"/>
      <x:c r="F205" s="6" t="str">
        <x:v>Service identity review</x:v>
      </x:c>
      <x:c r="G205" s="6" t="n">
        <x:v>2</x:v>
      </x:c>
      <x:c r="H205" s="6" t="str"/>
      <x:c r="I205" s="6" t="str">
        <x:f>IF(H205="","No upstream dependency",IF(ISNUMBER(SEARCH(";",H205)),"Multiple dependencies - verify source queues",IFERROR(XLOOKUP(H205,C2:C1586,J2:J1586),"Dependency not found")))</x:f>
        <x:v>No upstream dependency</x:v>
      </x:c>
      <x:c r="J205" s="6" t="str">
        <x:v>Not Started</x:v>
      </x:c>
      <x:c r="K205" s="6" t="str">
        <x:v>Normal</x:v>
      </x:c>
      <x:c r="L205" s="6" t="str"/>
      <x:c r="M205" s="6" t="str"/>
      <x:c r="N205" s="6" t="str"/>
      <x:c r="O205" s="7" t="str"/>
      <x:c r="P205" s="6" t="str">
        <x:v>No</x:v>
      </x:c>
      <x:c r="Q205" s="7" t="str">
        <x:v>Identity review follows duplicate disposition where applicable.</x:v>
      </x:c>
    </x:row>
    <x:row r="206">
      <x:c r="A206" s="6" t="str">
        <x:v>SEQ-SID-0190</x:v>
      </x:c>
      <x:c r="B206" s="6" t="str">
        <x:v>Service Identity</x:v>
      </x:c>
      <x:c r="C206" s="6" t="str">
        <x:v>SIDX-0190</x:v>
      </x:c>
      <x:c r="D206" s="6" t="str">
        <x:v>SVC000190</x:v>
      </x:c>
      <x:c r="E206" s="6" t="str"/>
      <x:c r="F206" s="6" t="str">
        <x:v>Service identity review</x:v>
      </x:c>
      <x:c r="G206" s="6" t="n">
        <x:v>2</x:v>
      </x:c>
      <x:c r="H206" s="6" t="str"/>
      <x:c r="I206" s="6" t="str">
        <x:f>IF(H206="","No upstream dependency",IF(ISNUMBER(SEARCH(";",H206)),"Multiple dependencies - verify source queues",IFERROR(XLOOKUP(H206,C2:C1586,J2:J1586),"Dependency not found")))</x:f>
        <x:v>No upstream dependency</x:v>
      </x:c>
      <x:c r="J206" s="6" t="str">
        <x:v>Not Started</x:v>
      </x:c>
      <x:c r="K206" s="6" t="str">
        <x:v>Normal</x:v>
      </x:c>
      <x:c r="L206" s="6" t="str"/>
      <x:c r="M206" s="6" t="str"/>
      <x:c r="N206" s="6" t="str"/>
      <x:c r="O206" s="7" t="str"/>
      <x:c r="P206" s="6" t="str">
        <x:v>No</x:v>
      </x:c>
      <x:c r="Q206" s="7" t="str">
        <x:v>Identity review follows duplicate disposition where applicable.</x:v>
      </x:c>
    </x:row>
    <x:row r="207">
      <x:c r="A207" s="6" t="str">
        <x:v>SEQ-SID-0191</x:v>
      </x:c>
      <x:c r="B207" s="6" t="str">
        <x:v>Service Identity</x:v>
      </x:c>
      <x:c r="C207" s="6" t="str">
        <x:v>SIDX-0191</x:v>
      </x:c>
      <x:c r="D207" s="6" t="str">
        <x:v>SVC000191</x:v>
      </x:c>
      <x:c r="E207" s="6" t="str"/>
      <x:c r="F207" s="6" t="str">
        <x:v>Service identity review</x:v>
      </x:c>
      <x:c r="G207" s="6" t="n">
        <x:v>2</x:v>
      </x:c>
      <x:c r="H207" s="6" t="str"/>
      <x:c r="I207" s="6" t="str">
        <x:f>IF(H207="","No upstream dependency",IF(ISNUMBER(SEARCH(";",H207)),"Multiple dependencies - verify source queues",IFERROR(XLOOKUP(H207,C2:C1586,J2:J1586),"Dependency not found")))</x:f>
        <x:v>No upstream dependency</x:v>
      </x:c>
      <x:c r="J207" s="6" t="str">
        <x:v>Not Started</x:v>
      </x:c>
      <x:c r="K207" s="6" t="str">
        <x:v>Normal</x:v>
      </x:c>
      <x:c r="L207" s="6" t="str"/>
      <x:c r="M207" s="6" t="str"/>
      <x:c r="N207" s="6" t="str"/>
      <x:c r="O207" s="7" t="str"/>
      <x:c r="P207" s="6" t="str">
        <x:v>No</x:v>
      </x:c>
      <x:c r="Q207" s="7" t="str">
        <x:v>Identity review follows duplicate disposition where applicable.</x:v>
      </x:c>
    </x:row>
    <x:row r="208">
      <x:c r="A208" s="6" t="str">
        <x:v>SEQ-SID-0192</x:v>
      </x:c>
      <x:c r="B208" s="6" t="str">
        <x:v>Service Identity</x:v>
      </x:c>
      <x:c r="C208" s="6" t="str">
        <x:v>SIDX-0192</x:v>
      </x:c>
      <x:c r="D208" s="6" t="str">
        <x:v>SVC000192</x:v>
      </x:c>
      <x:c r="E208" s="6" t="str"/>
      <x:c r="F208" s="6" t="str">
        <x:v>Service identity review</x:v>
      </x:c>
      <x:c r="G208" s="6" t="n">
        <x:v>2</x:v>
      </x:c>
      <x:c r="H208" s="6" t="str"/>
      <x:c r="I208" s="6" t="str">
        <x:f>IF(H208="","No upstream dependency",IF(ISNUMBER(SEARCH(";",H208)),"Multiple dependencies - verify source queues",IFERROR(XLOOKUP(H208,C2:C1586,J2:J1586),"Dependency not found")))</x:f>
        <x:v>No upstream dependency</x:v>
      </x:c>
      <x:c r="J208" s="6" t="str">
        <x:v>Not Started</x:v>
      </x:c>
      <x:c r="K208" s="6" t="str">
        <x:v>Normal</x:v>
      </x:c>
      <x:c r="L208" s="6" t="str"/>
      <x:c r="M208" s="6" t="str"/>
      <x:c r="N208" s="6" t="str"/>
      <x:c r="O208" s="7" t="str"/>
      <x:c r="P208" s="6" t="str">
        <x:v>No</x:v>
      </x:c>
      <x:c r="Q208" s="7" t="str">
        <x:v>Identity review follows duplicate disposition where applicable.</x:v>
      </x:c>
    </x:row>
    <x:row r="209">
      <x:c r="A209" s="6" t="str">
        <x:v>SEQ-SID-0193</x:v>
      </x:c>
      <x:c r="B209" s="6" t="str">
        <x:v>Service Identity</x:v>
      </x:c>
      <x:c r="C209" s="6" t="str">
        <x:v>SIDX-0193</x:v>
      </x:c>
      <x:c r="D209" s="6" t="str">
        <x:v>SVC000193</x:v>
      </x:c>
      <x:c r="E209" s="6" t="str"/>
      <x:c r="F209" s="6" t="str">
        <x:v>Service identity review</x:v>
      </x:c>
      <x:c r="G209" s="6" t="n">
        <x:v>2</x:v>
      </x:c>
      <x:c r="H209" s="6" t="str"/>
      <x:c r="I209" s="6" t="str">
        <x:f>IF(H209="","No upstream dependency",IF(ISNUMBER(SEARCH(";",H209)),"Multiple dependencies - verify source queues",IFERROR(XLOOKUP(H209,C2:C1586,J2:J1586),"Dependency not found")))</x:f>
        <x:v>No upstream dependency</x:v>
      </x:c>
      <x:c r="J209" s="6" t="str">
        <x:v>Not Started</x:v>
      </x:c>
      <x:c r="K209" s="6" t="str">
        <x:v>Normal</x:v>
      </x:c>
      <x:c r="L209" s="6" t="str"/>
      <x:c r="M209" s="6" t="str"/>
      <x:c r="N209" s="6" t="str"/>
      <x:c r="O209" s="7" t="str"/>
      <x:c r="P209" s="6" t="str">
        <x:v>No</x:v>
      </x:c>
      <x:c r="Q209" s="7" t="str">
        <x:v>Identity review follows duplicate disposition where applicable.</x:v>
      </x:c>
    </x:row>
    <x:row r="210">
      <x:c r="A210" s="6" t="str">
        <x:v>SEQ-SID-0194</x:v>
      </x:c>
      <x:c r="B210" s="6" t="str">
        <x:v>Service Identity</x:v>
      </x:c>
      <x:c r="C210" s="6" t="str">
        <x:v>SIDX-0194</x:v>
      </x:c>
      <x:c r="D210" s="6" t="str">
        <x:v>SVC000194</x:v>
      </x:c>
      <x:c r="E210" s="6" t="str"/>
      <x:c r="F210" s="6" t="str">
        <x:v>Service identity review</x:v>
      </x:c>
      <x:c r="G210" s="6" t="n">
        <x:v>2</x:v>
      </x:c>
      <x:c r="H210" s="6" t="str"/>
      <x:c r="I210" s="6" t="str">
        <x:f>IF(H210="","No upstream dependency",IF(ISNUMBER(SEARCH(";",H210)),"Multiple dependencies - verify source queues",IFERROR(XLOOKUP(H210,C2:C1586,J2:J1586),"Dependency not found")))</x:f>
        <x:v>No upstream dependency</x:v>
      </x:c>
      <x:c r="J210" s="6" t="str">
        <x:v>Not Started</x:v>
      </x:c>
      <x:c r="K210" s="6" t="str">
        <x:v>Normal</x:v>
      </x:c>
      <x:c r="L210" s="6" t="str"/>
      <x:c r="M210" s="6" t="str"/>
      <x:c r="N210" s="6" t="str"/>
      <x:c r="O210" s="7" t="str"/>
      <x:c r="P210" s="6" t="str">
        <x:v>No</x:v>
      </x:c>
      <x:c r="Q210" s="7" t="str">
        <x:v>Identity review follows duplicate disposition where applicable.</x:v>
      </x:c>
    </x:row>
    <x:row r="211">
      <x:c r="A211" s="6" t="str">
        <x:v>SEQ-SID-0195</x:v>
      </x:c>
      <x:c r="B211" s="6" t="str">
        <x:v>Service Identity</x:v>
      </x:c>
      <x:c r="C211" s="6" t="str">
        <x:v>SIDX-0195</x:v>
      </x:c>
      <x:c r="D211" s="6" t="str">
        <x:v>SVC000195</x:v>
      </x:c>
      <x:c r="E211" s="6" t="str"/>
      <x:c r="F211" s="6" t="str">
        <x:v>Service identity review</x:v>
      </x:c>
      <x:c r="G211" s="6" t="n">
        <x:v>2</x:v>
      </x:c>
      <x:c r="H211" s="6" t="str"/>
      <x:c r="I211" s="6" t="str">
        <x:f>IF(H211="","No upstream dependency",IF(ISNUMBER(SEARCH(";",H211)),"Multiple dependencies - verify source queues",IFERROR(XLOOKUP(H211,C2:C1586,J2:J1586),"Dependency not found")))</x:f>
        <x:v>No upstream dependency</x:v>
      </x:c>
      <x:c r="J211" s="6" t="str">
        <x:v>Not Started</x:v>
      </x:c>
      <x:c r="K211" s="6" t="str">
        <x:v>Normal</x:v>
      </x:c>
      <x:c r="L211" s="6" t="str"/>
      <x:c r="M211" s="6" t="str"/>
      <x:c r="N211" s="6" t="str"/>
      <x:c r="O211" s="7" t="str"/>
      <x:c r="P211" s="6" t="str">
        <x:v>No</x:v>
      </x:c>
      <x:c r="Q211" s="7" t="str">
        <x:v>Identity review follows duplicate disposition where applicable.</x:v>
      </x:c>
    </x:row>
    <x:row r="212">
      <x:c r="A212" s="6" t="str">
        <x:v>SEQ-SID-0196</x:v>
      </x:c>
      <x:c r="B212" s="6" t="str">
        <x:v>Service Identity</x:v>
      </x:c>
      <x:c r="C212" s="6" t="str">
        <x:v>SIDX-0196</x:v>
      </x:c>
      <x:c r="D212" s="6" t="str">
        <x:v>SVC000196</x:v>
      </x:c>
      <x:c r="E212" s="6" t="str"/>
      <x:c r="F212" s="6" t="str">
        <x:v>Service identity review</x:v>
      </x:c>
      <x:c r="G212" s="6" t="n">
        <x:v>2</x:v>
      </x:c>
      <x:c r="H212" s="6" t="str"/>
      <x:c r="I212" s="6" t="str">
        <x:f>IF(H212="","No upstream dependency",IF(ISNUMBER(SEARCH(";",H212)),"Multiple dependencies - verify source queues",IFERROR(XLOOKUP(H212,C2:C1586,J2:J1586),"Dependency not found")))</x:f>
        <x:v>No upstream dependency</x:v>
      </x:c>
      <x:c r="J212" s="6" t="str">
        <x:v>Not Started</x:v>
      </x:c>
      <x:c r="K212" s="6" t="str">
        <x:v>Normal</x:v>
      </x:c>
      <x:c r="L212" s="6" t="str"/>
      <x:c r="M212" s="6" t="str"/>
      <x:c r="N212" s="6" t="str"/>
      <x:c r="O212" s="7" t="str"/>
      <x:c r="P212" s="6" t="str">
        <x:v>No</x:v>
      </x:c>
      <x:c r="Q212" s="7" t="str">
        <x:v>Identity review follows duplicate disposition where applicable.</x:v>
      </x:c>
    </x:row>
    <x:row r="213">
      <x:c r="A213" s="6" t="str">
        <x:v>SEQ-SID-0197</x:v>
      </x:c>
      <x:c r="B213" s="6" t="str">
        <x:v>Service Identity</x:v>
      </x:c>
      <x:c r="C213" s="6" t="str">
        <x:v>SIDX-0197</x:v>
      </x:c>
      <x:c r="D213" s="6" t="str">
        <x:v>SVC000197</x:v>
      </x:c>
      <x:c r="E213" s="6" t="str"/>
      <x:c r="F213" s="6" t="str">
        <x:v>Service identity review</x:v>
      </x:c>
      <x:c r="G213" s="6" t="n">
        <x:v>2</x:v>
      </x:c>
      <x:c r="H213" s="6" t="str"/>
      <x:c r="I213" s="6" t="str">
        <x:f>IF(H213="","No upstream dependency",IF(ISNUMBER(SEARCH(";",H213)),"Multiple dependencies - verify source queues",IFERROR(XLOOKUP(H213,C2:C1586,J2:J1586),"Dependency not found")))</x:f>
        <x:v>No upstream dependency</x:v>
      </x:c>
      <x:c r="J213" s="6" t="str">
        <x:v>Not Started</x:v>
      </x:c>
      <x:c r="K213" s="6" t="str">
        <x:v>Normal</x:v>
      </x:c>
      <x:c r="L213" s="6" t="str"/>
      <x:c r="M213" s="6" t="str"/>
      <x:c r="N213" s="6" t="str"/>
      <x:c r="O213" s="7" t="str"/>
      <x:c r="P213" s="6" t="str">
        <x:v>No</x:v>
      </x:c>
      <x:c r="Q213" s="7" t="str">
        <x:v>Identity review follows duplicate disposition where applicable.</x:v>
      </x:c>
    </x:row>
    <x:row r="214">
      <x:c r="A214" s="6" t="str">
        <x:v>SEQ-SID-0198</x:v>
      </x:c>
      <x:c r="B214" s="6" t="str">
        <x:v>Service Identity</x:v>
      </x:c>
      <x:c r="C214" s="6" t="str">
        <x:v>SIDX-0198</x:v>
      </x:c>
      <x:c r="D214" s="6" t="str">
        <x:v>SVC000198</x:v>
      </x:c>
      <x:c r="E214" s="6" t="str"/>
      <x:c r="F214" s="6" t="str">
        <x:v>Service identity review</x:v>
      </x:c>
      <x:c r="G214" s="6" t="n">
        <x:v>2</x:v>
      </x:c>
      <x:c r="H214" s="6" t="str"/>
      <x:c r="I214" s="6" t="str">
        <x:f>IF(H214="","No upstream dependency",IF(ISNUMBER(SEARCH(";",H214)),"Multiple dependencies - verify source queues",IFERROR(XLOOKUP(H214,C2:C1586,J2:J1586),"Dependency not found")))</x:f>
        <x:v>No upstream dependency</x:v>
      </x:c>
      <x:c r="J214" s="6" t="str">
        <x:v>Not Started</x:v>
      </x:c>
      <x:c r="K214" s="6" t="str">
        <x:v>Normal</x:v>
      </x:c>
      <x:c r="L214" s="6" t="str"/>
      <x:c r="M214" s="6" t="str"/>
      <x:c r="N214" s="6" t="str"/>
      <x:c r="O214" s="7" t="str"/>
      <x:c r="P214" s="6" t="str">
        <x:v>No</x:v>
      </x:c>
      <x:c r="Q214" s="7" t="str">
        <x:v>Identity review follows duplicate disposition where applicable.</x:v>
      </x:c>
    </x:row>
    <x:row r="215">
      <x:c r="A215" s="6" t="str">
        <x:v>SEQ-SID-0199</x:v>
      </x:c>
      <x:c r="B215" s="6" t="str">
        <x:v>Service Identity</x:v>
      </x:c>
      <x:c r="C215" s="6" t="str">
        <x:v>SIDX-0199</x:v>
      </x:c>
      <x:c r="D215" s="6" t="str">
        <x:v>SVC000199</x:v>
      </x:c>
      <x:c r="E215" s="6" t="str"/>
      <x:c r="F215" s="6" t="str">
        <x:v>Service identity review</x:v>
      </x:c>
      <x:c r="G215" s="6" t="n">
        <x:v>2</x:v>
      </x:c>
      <x:c r="H215" s="6" t="str"/>
      <x:c r="I215" s="6" t="str">
        <x:f>IF(H215="","No upstream dependency",IF(ISNUMBER(SEARCH(";",H215)),"Multiple dependencies - verify source queues",IFERROR(XLOOKUP(H215,C2:C1586,J2:J1586),"Dependency not found")))</x:f>
        <x:v>No upstream dependency</x:v>
      </x:c>
      <x:c r="J215" s="6" t="str">
        <x:v>Not Started</x:v>
      </x:c>
      <x:c r="K215" s="6" t="str">
        <x:v>Normal</x:v>
      </x:c>
      <x:c r="L215" s="6" t="str"/>
      <x:c r="M215" s="6" t="str"/>
      <x:c r="N215" s="6" t="str"/>
      <x:c r="O215" s="7" t="str"/>
      <x:c r="P215" s="6" t="str">
        <x:v>No</x:v>
      </x:c>
      <x:c r="Q215" s="7" t="str">
        <x:v>Identity review follows duplicate disposition where applicable.</x:v>
      </x:c>
    </x:row>
    <x:row r="216">
      <x:c r="A216" s="6" t="str">
        <x:v>SEQ-SID-0200</x:v>
      </x:c>
      <x:c r="B216" s="6" t="str">
        <x:v>Service Identity</x:v>
      </x:c>
      <x:c r="C216" s="6" t="str">
        <x:v>SIDX-0200</x:v>
      </x:c>
      <x:c r="D216" s="6" t="str">
        <x:v>SVC000200</x:v>
      </x:c>
      <x:c r="E216" s="6" t="str"/>
      <x:c r="F216" s="6" t="str">
        <x:v>Service identity review</x:v>
      </x:c>
      <x:c r="G216" s="6" t="n">
        <x:v>2</x:v>
      </x:c>
      <x:c r="H216" s="6" t="str"/>
      <x:c r="I216" s="6" t="str">
        <x:f>IF(H216="","No upstream dependency",IF(ISNUMBER(SEARCH(";",H216)),"Multiple dependencies - verify source queues",IFERROR(XLOOKUP(H216,C2:C1586,J2:J1586),"Dependency not found")))</x:f>
        <x:v>No upstream dependency</x:v>
      </x:c>
      <x:c r="J216" s="6" t="str">
        <x:v>Not Started</x:v>
      </x:c>
      <x:c r="K216" s="6" t="str">
        <x:v>Normal</x:v>
      </x:c>
      <x:c r="L216" s="6" t="str"/>
      <x:c r="M216" s="6" t="str"/>
      <x:c r="N216" s="6" t="str"/>
      <x:c r="O216" s="7" t="str"/>
      <x:c r="P216" s="6" t="str">
        <x:v>No</x:v>
      </x:c>
      <x:c r="Q216" s="7" t="str">
        <x:v>Identity review follows duplicate disposition where applicable.</x:v>
      </x:c>
    </x:row>
    <x:row r="217">
      <x:c r="A217" s="6" t="str">
        <x:v>SEQ-SID-0201</x:v>
      </x:c>
      <x:c r="B217" s="6" t="str">
        <x:v>Service Identity</x:v>
      </x:c>
      <x:c r="C217" s="6" t="str">
        <x:v>SIDX-0201</x:v>
      </x:c>
      <x:c r="D217" s="6" t="str">
        <x:v>SVC000201</x:v>
      </x:c>
      <x:c r="E217" s="6" t="str"/>
      <x:c r="F217" s="6" t="str">
        <x:v>Service identity review</x:v>
      </x:c>
      <x:c r="G217" s="6" t="n">
        <x:v>2</x:v>
      </x:c>
      <x:c r="H217" s="6" t="str"/>
      <x:c r="I217" s="6" t="str">
        <x:f>IF(H217="","No upstream dependency",IF(ISNUMBER(SEARCH(";",H217)),"Multiple dependencies - verify source queues",IFERROR(XLOOKUP(H217,C2:C1586,J2:J1586),"Dependency not found")))</x:f>
        <x:v>No upstream dependency</x:v>
      </x:c>
      <x:c r="J217" s="6" t="str">
        <x:v>Not Started</x:v>
      </x:c>
      <x:c r="K217" s="6" t="str">
        <x:v>Normal</x:v>
      </x:c>
      <x:c r="L217" s="6" t="str"/>
      <x:c r="M217" s="6" t="str"/>
      <x:c r="N217" s="6" t="str"/>
      <x:c r="O217" s="7" t="str"/>
      <x:c r="P217" s="6" t="str">
        <x:v>No</x:v>
      </x:c>
      <x:c r="Q217" s="7" t="str">
        <x:v>Identity review follows duplicate disposition where applicable.</x:v>
      </x:c>
    </x:row>
    <x:row r="218">
      <x:c r="A218" s="6" t="str">
        <x:v>SEQ-SID-0202</x:v>
      </x:c>
      <x:c r="B218" s="6" t="str">
        <x:v>Service Identity</x:v>
      </x:c>
      <x:c r="C218" s="6" t="str">
        <x:v>SIDX-0202</x:v>
      </x:c>
      <x:c r="D218" s="6" t="str">
        <x:v>SVC000202</x:v>
      </x:c>
      <x:c r="E218" s="6" t="str">
        <x:v>DUP000006</x:v>
      </x:c>
      <x:c r="F218" s="6" t="str">
        <x:v>Service identity review</x:v>
      </x:c>
      <x:c r="G218" s="6" t="n">
        <x:v>2</x:v>
      </x:c>
      <x:c r="H218" s="6" t="str">
        <x:v>DUPX-0006</x:v>
      </x:c>
      <x:c r="I218" s="6" t="str">
        <x:f>IF(H218="","No upstream dependency",IF(ISNUMBER(SEARCH(";",H218)),"Multiple dependencies - verify source queues",IFERROR(XLOOKUP(H218,C2:C1586,J2:J1586),"Dependency not found")))</x:f>
        <x:v>Not Started</x:v>
      </x:c>
      <x:c r="J218" s="6" t="str">
        <x:v>Not Started</x:v>
      </x:c>
      <x:c r="K218" s="6" t="str">
        <x:v>Normal</x:v>
      </x:c>
      <x:c r="L218" s="6" t="str"/>
      <x:c r="M218" s="6" t="str"/>
      <x:c r="N218" s="6" t="str"/>
      <x:c r="O218" s="7" t="str"/>
      <x:c r="P218" s="6" t="str">
        <x:v>Yes</x:v>
      </x:c>
      <x:c r="Q218" s="7" t="str">
        <x:v>Identity review follows duplicate disposition where applicable.</x:v>
      </x:c>
    </x:row>
    <x:row r="219">
      <x:c r="A219" s="6" t="str">
        <x:v>SEQ-SID-0203</x:v>
      </x:c>
      <x:c r="B219" s="6" t="str">
        <x:v>Service Identity</x:v>
      </x:c>
      <x:c r="C219" s="6" t="str">
        <x:v>SIDX-0203</x:v>
      </x:c>
      <x:c r="D219" s="6" t="str">
        <x:v>SVC000203</x:v>
      </x:c>
      <x:c r="E219" s="6" t="str">
        <x:v>DUP000007</x:v>
      </x:c>
      <x:c r="F219" s="6" t="str">
        <x:v>Service identity review</x:v>
      </x:c>
      <x:c r="G219" s="6" t="n">
        <x:v>2</x:v>
      </x:c>
      <x:c r="H219" s="6" t="str">
        <x:v>DUPX-0007</x:v>
      </x:c>
      <x:c r="I219" s="6" t="str">
        <x:f>IF(H219="","No upstream dependency",IF(ISNUMBER(SEARCH(";",H219)),"Multiple dependencies - verify source queues",IFERROR(XLOOKUP(H219,C2:C1586,J2:J1586),"Dependency not found")))</x:f>
        <x:v>Not Started</x:v>
      </x:c>
      <x:c r="J219" s="6" t="str">
        <x:v>Not Started</x:v>
      </x:c>
      <x:c r="K219" s="6" t="str">
        <x:v>Normal</x:v>
      </x:c>
      <x:c r="L219" s="6" t="str"/>
      <x:c r="M219" s="6" t="str"/>
      <x:c r="N219" s="6" t="str"/>
      <x:c r="O219" s="7" t="str"/>
      <x:c r="P219" s="6" t="str">
        <x:v>Yes</x:v>
      </x:c>
      <x:c r="Q219" s="7" t="str">
        <x:v>Identity review follows duplicate disposition where applicable.</x:v>
      </x:c>
    </x:row>
    <x:row r="220">
      <x:c r="A220" s="6" t="str">
        <x:v>SEQ-SID-0204</x:v>
      </x:c>
      <x:c r="B220" s="6" t="str">
        <x:v>Service Identity</x:v>
      </x:c>
      <x:c r="C220" s="6" t="str">
        <x:v>SIDX-0204</x:v>
      </x:c>
      <x:c r="D220" s="6" t="str">
        <x:v>SVC000204</x:v>
      </x:c>
      <x:c r="E220" s="6" t="str">
        <x:v>DUP000007</x:v>
      </x:c>
      <x:c r="F220" s="6" t="str">
        <x:v>Service identity review</x:v>
      </x:c>
      <x:c r="G220" s="6" t="n">
        <x:v>2</x:v>
      </x:c>
      <x:c r="H220" s="6" t="str">
        <x:v>DUPX-0007</x:v>
      </x:c>
      <x:c r="I220" s="6" t="str">
        <x:f>IF(H220="","No upstream dependency",IF(ISNUMBER(SEARCH(";",H220)),"Multiple dependencies - verify source queues",IFERROR(XLOOKUP(H220,C2:C1586,J2:J1586),"Dependency not found")))</x:f>
        <x:v>Not Started</x:v>
      </x:c>
      <x:c r="J220" s="6" t="str">
        <x:v>Not Started</x:v>
      </x:c>
      <x:c r="K220" s="6" t="str">
        <x:v>Normal</x:v>
      </x:c>
      <x:c r="L220" s="6" t="str"/>
      <x:c r="M220" s="6" t="str"/>
      <x:c r="N220" s="6" t="str"/>
      <x:c r="O220" s="7" t="str"/>
      <x:c r="P220" s="6" t="str">
        <x:v>Yes</x:v>
      </x:c>
      <x:c r="Q220" s="7" t="str">
        <x:v>Identity review follows duplicate disposition where applicable.</x:v>
      </x:c>
    </x:row>
    <x:row r="221">
      <x:c r="A221" s="6" t="str">
        <x:v>SEQ-SID-0205</x:v>
      </x:c>
      <x:c r="B221" s="6" t="str">
        <x:v>Service Identity</x:v>
      </x:c>
      <x:c r="C221" s="6" t="str">
        <x:v>SIDX-0205</x:v>
      </x:c>
      <x:c r="D221" s="6" t="str">
        <x:v>SVC000205</x:v>
      </x:c>
      <x:c r="E221" s="6" t="str"/>
      <x:c r="F221" s="6" t="str">
        <x:v>Service identity review</x:v>
      </x:c>
      <x:c r="G221" s="6" t="n">
        <x:v>2</x:v>
      </x:c>
      <x:c r="H221" s="6" t="str"/>
      <x:c r="I221" s="6" t="str">
        <x:f>IF(H221="","No upstream dependency",IF(ISNUMBER(SEARCH(";",H221)),"Multiple dependencies - verify source queues",IFERROR(XLOOKUP(H221,C2:C1586,J2:J1586),"Dependency not found")))</x:f>
        <x:v>No upstream dependency</x:v>
      </x:c>
      <x:c r="J221" s="6" t="str">
        <x:v>Not Started</x:v>
      </x:c>
      <x:c r="K221" s="6" t="str">
        <x:v>Normal</x:v>
      </x:c>
      <x:c r="L221" s="6" t="str"/>
      <x:c r="M221" s="6" t="str"/>
      <x:c r="N221" s="6" t="str"/>
      <x:c r="O221" s="7" t="str"/>
      <x:c r="P221" s="6" t="str">
        <x:v>No</x:v>
      </x:c>
      <x:c r="Q221" s="7" t="str">
        <x:v>Identity review follows duplicate disposition where applicable.</x:v>
      </x:c>
    </x:row>
    <x:row r="222">
      <x:c r="A222" s="6" t="str">
        <x:v>SEQ-SID-0206</x:v>
      </x:c>
      <x:c r="B222" s="6" t="str">
        <x:v>Service Identity</x:v>
      </x:c>
      <x:c r="C222" s="6" t="str">
        <x:v>SIDX-0206</x:v>
      </x:c>
      <x:c r="D222" s="6" t="str">
        <x:v>SVC000206</x:v>
      </x:c>
      <x:c r="E222" s="6" t="str">
        <x:v>DUP000010</x:v>
      </x:c>
      <x:c r="F222" s="6" t="str">
        <x:v>Service identity review</x:v>
      </x:c>
      <x:c r="G222" s="6" t="n">
        <x:v>2</x:v>
      </x:c>
      <x:c r="H222" s="6" t="str">
        <x:v>DUPX-0010</x:v>
      </x:c>
      <x:c r="I222" s="6" t="str">
        <x:f>IF(H222="","No upstream dependency",IF(ISNUMBER(SEARCH(";",H222)),"Multiple dependencies - verify source queues",IFERROR(XLOOKUP(H222,C2:C1586,J2:J1586),"Dependency not found")))</x:f>
        <x:v>Not Started</x:v>
      </x:c>
      <x:c r="J222" s="6" t="str">
        <x:v>Not Started</x:v>
      </x:c>
      <x:c r="K222" s="6" t="str">
        <x:v>Normal</x:v>
      </x:c>
      <x:c r="L222" s="6" t="str"/>
      <x:c r="M222" s="6" t="str"/>
      <x:c r="N222" s="6" t="str"/>
      <x:c r="O222" s="7" t="str"/>
      <x:c r="P222" s="6" t="str">
        <x:v>Yes</x:v>
      </x:c>
      <x:c r="Q222" s="7" t="str">
        <x:v>Identity review follows duplicate disposition where applicable.</x:v>
      </x:c>
    </x:row>
    <x:row r="223">
      <x:c r="A223" s="6" t="str">
        <x:v>SEQ-SID-0207</x:v>
      </x:c>
      <x:c r="B223" s="6" t="str">
        <x:v>Service Identity</x:v>
      </x:c>
      <x:c r="C223" s="6" t="str">
        <x:v>SIDX-0207</x:v>
      </x:c>
      <x:c r="D223" s="6" t="str">
        <x:v>SVC000207</x:v>
      </x:c>
      <x:c r="E223" s="6" t="str">
        <x:v>DUP000010</x:v>
      </x:c>
      <x:c r="F223" s="6" t="str">
        <x:v>Service identity review</x:v>
      </x:c>
      <x:c r="G223" s="6" t="n">
        <x:v>2</x:v>
      </x:c>
      <x:c r="H223" s="6" t="str">
        <x:v>DUPX-0010</x:v>
      </x:c>
      <x:c r="I223" s="6" t="str">
        <x:f>IF(H223="","No upstream dependency",IF(ISNUMBER(SEARCH(";",H223)),"Multiple dependencies - verify source queues",IFERROR(XLOOKUP(H223,C2:C1586,J2:J1586),"Dependency not found")))</x:f>
        <x:v>Not Started</x:v>
      </x:c>
      <x:c r="J223" s="6" t="str">
        <x:v>Not Started</x:v>
      </x:c>
      <x:c r="K223" s="6" t="str">
        <x:v>Normal</x:v>
      </x:c>
      <x:c r="L223" s="6" t="str"/>
      <x:c r="M223" s="6" t="str"/>
      <x:c r="N223" s="6" t="str"/>
      <x:c r="O223" s="7" t="str"/>
      <x:c r="P223" s="6" t="str">
        <x:v>Yes</x:v>
      </x:c>
      <x:c r="Q223" s="7" t="str">
        <x:v>Identity review follows duplicate disposition where applicable.</x:v>
      </x:c>
    </x:row>
    <x:row r="224">
      <x:c r="A224" s="6" t="str">
        <x:v>SEQ-SID-0208</x:v>
      </x:c>
      <x:c r="B224" s="6" t="str">
        <x:v>Service Identity</x:v>
      </x:c>
      <x:c r="C224" s="6" t="str">
        <x:v>SIDX-0208</x:v>
      </x:c>
      <x:c r="D224" s="6" t="str">
        <x:v>SVC000208</x:v>
      </x:c>
      <x:c r="E224" s="6" t="str"/>
      <x:c r="F224" s="6" t="str">
        <x:v>Service identity review</x:v>
      </x:c>
      <x:c r="G224" s="6" t="n">
        <x:v>2</x:v>
      </x:c>
      <x:c r="H224" s="6" t="str"/>
      <x:c r="I224" s="6" t="str">
        <x:f>IF(H224="","No upstream dependency",IF(ISNUMBER(SEARCH(";",H224)),"Multiple dependencies - verify source queues",IFERROR(XLOOKUP(H224,C2:C1586,J2:J1586),"Dependency not found")))</x:f>
        <x:v>No upstream dependency</x:v>
      </x:c>
      <x:c r="J224" s="6" t="str">
        <x:v>Not Started</x:v>
      </x:c>
      <x:c r="K224" s="6" t="str">
        <x:v>Normal</x:v>
      </x:c>
      <x:c r="L224" s="6" t="str"/>
      <x:c r="M224" s="6" t="str"/>
      <x:c r="N224" s="6" t="str"/>
      <x:c r="O224" s="7" t="str"/>
      <x:c r="P224" s="6" t="str">
        <x:v>No</x:v>
      </x:c>
      <x:c r="Q224" s="7" t="str">
        <x:v>Identity review follows duplicate disposition where applicable.</x:v>
      </x:c>
    </x:row>
    <x:row r="225">
      <x:c r="A225" s="6" t="str">
        <x:v>SEQ-SID-0209</x:v>
      </x:c>
      <x:c r="B225" s="6" t="str">
        <x:v>Service Identity</x:v>
      </x:c>
      <x:c r="C225" s="6" t="str">
        <x:v>SIDX-0209</x:v>
      </x:c>
      <x:c r="D225" s="6" t="str">
        <x:v>SVC000209</x:v>
      </x:c>
      <x:c r="E225" s="6" t="str"/>
      <x:c r="F225" s="6" t="str">
        <x:v>Service identity review</x:v>
      </x:c>
      <x:c r="G225" s="6" t="n">
        <x:v>2</x:v>
      </x:c>
      <x:c r="H225" s="6" t="str"/>
      <x:c r="I225" s="6" t="str">
        <x:f>IF(H225="","No upstream dependency",IF(ISNUMBER(SEARCH(";",H225)),"Multiple dependencies - verify source queues",IFERROR(XLOOKUP(H225,C2:C1586,J2:J1586),"Dependency not found")))</x:f>
        <x:v>No upstream dependency</x:v>
      </x:c>
      <x:c r="J225" s="6" t="str">
        <x:v>Not Started</x:v>
      </x:c>
      <x:c r="K225" s="6" t="str">
        <x:v>Normal</x:v>
      </x:c>
      <x:c r="L225" s="6" t="str"/>
      <x:c r="M225" s="6" t="str"/>
      <x:c r="N225" s="6" t="str"/>
      <x:c r="O225" s="7" t="str"/>
      <x:c r="P225" s="6" t="str">
        <x:v>No</x:v>
      </x:c>
      <x:c r="Q225" s="7" t="str">
        <x:v>Identity review follows duplicate disposition where applicable.</x:v>
      </x:c>
    </x:row>
    <x:row r="226">
      <x:c r="A226" s="6" t="str">
        <x:v>SEQ-SID-0210</x:v>
      </x:c>
      <x:c r="B226" s="6" t="str">
        <x:v>Service Identity</x:v>
      </x:c>
      <x:c r="C226" s="6" t="str">
        <x:v>SIDX-0210</x:v>
      </x:c>
      <x:c r="D226" s="6" t="str">
        <x:v>SVC000210</x:v>
      </x:c>
      <x:c r="E226" s="6" t="str"/>
      <x:c r="F226" s="6" t="str">
        <x:v>Service identity review</x:v>
      </x:c>
      <x:c r="G226" s="6" t="n">
        <x:v>2</x:v>
      </x:c>
      <x:c r="H226" s="6" t="str"/>
      <x:c r="I226" s="6" t="str">
        <x:f>IF(H226="","No upstream dependency",IF(ISNUMBER(SEARCH(";",H226)),"Multiple dependencies - verify source queues",IFERROR(XLOOKUP(H226,C2:C1586,J2:J1586),"Dependency not found")))</x:f>
        <x:v>No upstream dependency</x:v>
      </x:c>
      <x:c r="J226" s="6" t="str">
        <x:v>Not Started</x:v>
      </x:c>
      <x:c r="K226" s="6" t="str">
        <x:v>Normal</x:v>
      </x:c>
      <x:c r="L226" s="6" t="str"/>
      <x:c r="M226" s="6" t="str"/>
      <x:c r="N226" s="6" t="str"/>
      <x:c r="O226" s="7" t="str"/>
      <x:c r="P226" s="6" t="str">
        <x:v>No</x:v>
      </x:c>
      <x:c r="Q226" s="7" t="str">
        <x:v>Identity review follows duplicate disposition where applicable.</x:v>
      </x:c>
    </x:row>
    <x:row r="227">
      <x:c r="A227" s="6" t="str">
        <x:v>SEQ-SID-0211</x:v>
      </x:c>
      <x:c r="B227" s="6" t="str">
        <x:v>Service Identity</x:v>
      </x:c>
      <x:c r="C227" s="6" t="str">
        <x:v>SIDX-0211</x:v>
      </x:c>
      <x:c r="D227" s="6" t="str">
        <x:v>SVC000211</x:v>
      </x:c>
      <x:c r="E227" s="6" t="str"/>
      <x:c r="F227" s="6" t="str">
        <x:v>Service identity review</x:v>
      </x:c>
      <x:c r="G227" s="6" t="n">
        <x:v>2</x:v>
      </x:c>
      <x:c r="H227" s="6" t="str"/>
      <x:c r="I227" s="6" t="str">
        <x:f>IF(H227="","No upstream dependency",IF(ISNUMBER(SEARCH(";",H227)),"Multiple dependencies - verify source queues",IFERROR(XLOOKUP(H227,C2:C1586,J2:J1586),"Dependency not found")))</x:f>
        <x:v>No upstream dependency</x:v>
      </x:c>
      <x:c r="J227" s="6" t="str">
        <x:v>Not Started</x:v>
      </x:c>
      <x:c r="K227" s="6" t="str">
        <x:v>Normal</x:v>
      </x:c>
      <x:c r="L227" s="6" t="str"/>
      <x:c r="M227" s="6" t="str"/>
      <x:c r="N227" s="6" t="str"/>
      <x:c r="O227" s="7" t="str"/>
      <x:c r="P227" s="6" t="str">
        <x:v>No</x:v>
      </x:c>
      <x:c r="Q227" s="7" t="str">
        <x:v>Identity review follows duplicate disposition where applicable.</x:v>
      </x:c>
    </x:row>
    <x:row r="228">
      <x:c r="A228" s="6" t="str">
        <x:v>SEQ-SID-0212</x:v>
      </x:c>
      <x:c r="B228" s="6" t="str">
        <x:v>Service Identity</x:v>
      </x:c>
      <x:c r="C228" s="6" t="str">
        <x:v>SIDX-0212</x:v>
      </x:c>
      <x:c r="D228" s="6" t="str">
        <x:v>SVC000212</x:v>
      </x:c>
      <x:c r="E228" s="6" t="str"/>
      <x:c r="F228" s="6" t="str">
        <x:v>Service identity review</x:v>
      </x:c>
      <x:c r="G228" s="6" t="n">
        <x:v>2</x:v>
      </x:c>
      <x:c r="H228" s="6" t="str"/>
      <x:c r="I228" s="6" t="str">
        <x:f>IF(H228="","No upstream dependency",IF(ISNUMBER(SEARCH(";",H228)),"Multiple dependencies - verify source queues",IFERROR(XLOOKUP(H228,C2:C1586,J2:J1586),"Dependency not found")))</x:f>
        <x:v>No upstream dependency</x:v>
      </x:c>
      <x:c r="J228" s="6" t="str">
        <x:v>Not Started</x:v>
      </x:c>
      <x:c r="K228" s="6" t="str">
        <x:v>Normal</x:v>
      </x:c>
      <x:c r="L228" s="6" t="str"/>
      <x:c r="M228" s="6" t="str"/>
      <x:c r="N228" s="6" t="str"/>
      <x:c r="O228" s="7" t="str"/>
      <x:c r="P228" s="6" t="str">
        <x:v>No</x:v>
      </x:c>
      <x:c r="Q228" s="7" t="str">
        <x:v>Identity review follows duplicate disposition where applicable.</x:v>
      </x:c>
    </x:row>
    <x:row r="229">
      <x:c r="A229" s="6" t="str">
        <x:v>SEQ-SID-0213</x:v>
      </x:c>
      <x:c r="B229" s="6" t="str">
        <x:v>Service Identity</x:v>
      </x:c>
      <x:c r="C229" s="6" t="str">
        <x:v>SIDX-0213</x:v>
      </x:c>
      <x:c r="D229" s="6" t="str">
        <x:v>SVC000213</x:v>
      </x:c>
      <x:c r="E229" s="6" t="str"/>
      <x:c r="F229" s="6" t="str">
        <x:v>Service identity review</x:v>
      </x:c>
      <x:c r="G229" s="6" t="n">
        <x:v>2</x:v>
      </x:c>
      <x:c r="H229" s="6" t="str"/>
      <x:c r="I229" s="6" t="str">
        <x:f>IF(H229="","No upstream dependency",IF(ISNUMBER(SEARCH(";",H229)),"Multiple dependencies - verify source queues",IFERROR(XLOOKUP(H229,C2:C1586,J2:J1586),"Dependency not found")))</x:f>
        <x:v>No upstream dependency</x:v>
      </x:c>
      <x:c r="J229" s="6" t="str">
        <x:v>Not Started</x:v>
      </x:c>
      <x:c r="K229" s="6" t="str">
        <x:v>Normal</x:v>
      </x:c>
      <x:c r="L229" s="6" t="str"/>
      <x:c r="M229" s="6" t="str"/>
      <x:c r="N229" s="6" t="str"/>
      <x:c r="O229" s="7" t="str"/>
      <x:c r="P229" s="6" t="str">
        <x:v>No</x:v>
      </x:c>
      <x:c r="Q229" s="7" t="str">
        <x:v>Identity review follows duplicate disposition where applicable.</x:v>
      </x:c>
    </x:row>
    <x:row r="230">
      <x:c r="A230" s="6" t="str">
        <x:v>SEQ-SID-0214</x:v>
      </x:c>
      <x:c r="B230" s="6" t="str">
        <x:v>Service Identity</x:v>
      </x:c>
      <x:c r="C230" s="6" t="str">
        <x:v>SIDX-0214</x:v>
      </x:c>
      <x:c r="D230" s="6" t="str">
        <x:v>SVC000214</x:v>
      </x:c>
      <x:c r="E230" s="6" t="str"/>
      <x:c r="F230" s="6" t="str">
        <x:v>Service identity review</x:v>
      </x:c>
      <x:c r="G230" s="6" t="n">
        <x:v>2</x:v>
      </x:c>
      <x:c r="H230" s="6" t="str"/>
      <x:c r="I230" s="6" t="str">
        <x:f>IF(H230="","No upstream dependency",IF(ISNUMBER(SEARCH(";",H230)),"Multiple dependencies - verify source queues",IFERROR(XLOOKUP(H230,C2:C1586,J2:J1586),"Dependency not found")))</x:f>
        <x:v>No upstream dependency</x:v>
      </x:c>
      <x:c r="J230" s="6" t="str">
        <x:v>Not Started</x:v>
      </x:c>
      <x:c r="K230" s="6" t="str">
        <x:v>Normal</x:v>
      </x:c>
      <x:c r="L230" s="6" t="str"/>
      <x:c r="M230" s="6" t="str"/>
      <x:c r="N230" s="6" t="str"/>
      <x:c r="O230" s="7" t="str"/>
      <x:c r="P230" s="6" t="str">
        <x:v>No</x:v>
      </x:c>
      <x:c r="Q230" s="7" t="str">
        <x:v>Identity review follows duplicate disposition where applicable.</x:v>
      </x:c>
    </x:row>
    <x:row r="231">
      <x:c r="A231" s="6" t="str">
        <x:v>SEQ-SID-0215</x:v>
      </x:c>
      <x:c r="B231" s="6" t="str">
        <x:v>Service Identity</x:v>
      </x:c>
      <x:c r="C231" s="6" t="str">
        <x:v>SIDX-0215</x:v>
      </x:c>
      <x:c r="D231" s="6" t="str">
        <x:v>SVC000215</x:v>
      </x:c>
      <x:c r="E231" s="6" t="str"/>
      <x:c r="F231" s="6" t="str">
        <x:v>Service identity review</x:v>
      </x:c>
      <x:c r="G231" s="6" t="n">
        <x:v>2</x:v>
      </x:c>
      <x:c r="H231" s="6" t="str"/>
      <x:c r="I231" s="6" t="str">
        <x:f>IF(H231="","No upstream dependency",IF(ISNUMBER(SEARCH(";",H231)),"Multiple dependencies - verify source queues",IFERROR(XLOOKUP(H231,C2:C1586,J2:J1586),"Dependency not found")))</x:f>
        <x:v>No upstream dependency</x:v>
      </x:c>
      <x:c r="J231" s="6" t="str">
        <x:v>Not Started</x:v>
      </x:c>
      <x:c r="K231" s="6" t="str">
        <x:v>Normal</x:v>
      </x:c>
      <x:c r="L231" s="6" t="str"/>
      <x:c r="M231" s="6" t="str"/>
      <x:c r="N231" s="6" t="str"/>
      <x:c r="O231" s="7" t="str"/>
      <x:c r="P231" s="6" t="str">
        <x:v>No</x:v>
      </x:c>
      <x:c r="Q231" s="7" t="str">
        <x:v>Identity review follows duplicate disposition where applicable.</x:v>
      </x:c>
    </x:row>
    <x:row r="232">
      <x:c r="A232" s="6" t="str">
        <x:v>SEQ-SID-0216</x:v>
      </x:c>
      <x:c r="B232" s="6" t="str">
        <x:v>Service Identity</x:v>
      </x:c>
      <x:c r="C232" s="6" t="str">
        <x:v>SIDX-0216</x:v>
      </x:c>
      <x:c r="D232" s="6" t="str">
        <x:v>SVC000216</x:v>
      </x:c>
      <x:c r="E232" s="6" t="str"/>
      <x:c r="F232" s="6" t="str">
        <x:v>Service identity review</x:v>
      </x:c>
      <x:c r="G232" s="6" t="n">
        <x:v>2</x:v>
      </x:c>
      <x:c r="H232" s="6" t="str"/>
      <x:c r="I232" s="6" t="str">
        <x:f>IF(H232="","No upstream dependency",IF(ISNUMBER(SEARCH(";",H232)),"Multiple dependencies - verify source queues",IFERROR(XLOOKUP(H232,C2:C1586,J2:J1586),"Dependency not found")))</x:f>
        <x:v>No upstream dependency</x:v>
      </x:c>
      <x:c r="J232" s="6" t="str">
        <x:v>Not Started</x:v>
      </x:c>
      <x:c r="K232" s="6" t="str">
        <x:v>Normal</x:v>
      </x:c>
      <x:c r="L232" s="6" t="str"/>
      <x:c r="M232" s="6" t="str"/>
      <x:c r="N232" s="6" t="str"/>
      <x:c r="O232" s="7" t="str"/>
      <x:c r="P232" s="6" t="str">
        <x:v>No</x:v>
      </x:c>
      <x:c r="Q232" s="7" t="str">
        <x:v>Identity review follows duplicate disposition where applicable.</x:v>
      </x:c>
    </x:row>
    <x:row r="233">
      <x:c r="A233" s="6" t="str">
        <x:v>SEQ-SID-0217</x:v>
      </x:c>
      <x:c r="B233" s="6" t="str">
        <x:v>Service Identity</x:v>
      </x:c>
      <x:c r="C233" s="6" t="str">
        <x:v>SIDX-0217</x:v>
      </x:c>
      <x:c r="D233" s="6" t="str">
        <x:v>SVC000217</x:v>
      </x:c>
      <x:c r="E233" s="6" t="str">
        <x:v>DUP000011</x:v>
      </x:c>
      <x:c r="F233" s="6" t="str">
        <x:v>Service identity review</x:v>
      </x:c>
      <x:c r="G233" s="6" t="n">
        <x:v>2</x:v>
      </x:c>
      <x:c r="H233" s="6" t="str">
        <x:v>DUPX-0011</x:v>
      </x:c>
      <x:c r="I233" s="6" t="str">
        <x:f>IF(H233="","No upstream dependency",IF(ISNUMBER(SEARCH(";",H233)),"Multiple dependencies - verify source queues",IFERROR(XLOOKUP(H233,C2:C1586,J2:J1586),"Dependency not found")))</x:f>
        <x:v>Not Started</x:v>
      </x:c>
      <x:c r="J233" s="6" t="str">
        <x:v>Not Started</x:v>
      </x:c>
      <x:c r="K233" s="6" t="str">
        <x:v>Normal</x:v>
      </x:c>
      <x:c r="L233" s="6" t="str"/>
      <x:c r="M233" s="6" t="str"/>
      <x:c r="N233" s="6" t="str"/>
      <x:c r="O233" s="7" t="str"/>
      <x:c r="P233" s="6" t="str">
        <x:v>Yes</x:v>
      </x:c>
      <x:c r="Q233" s="7" t="str">
        <x:v>Identity review follows duplicate disposition where applicable.</x:v>
      </x:c>
    </x:row>
    <x:row r="234">
      <x:c r="A234" s="6" t="str">
        <x:v>SEQ-SID-0218</x:v>
      </x:c>
      <x:c r="B234" s="6" t="str">
        <x:v>Service Identity</x:v>
      </x:c>
      <x:c r="C234" s="6" t="str">
        <x:v>SIDX-0218</x:v>
      </x:c>
      <x:c r="D234" s="6" t="str">
        <x:v>SVC000218</x:v>
      </x:c>
      <x:c r="E234" s="6" t="str">
        <x:v>DUP000011</x:v>
      </x:c>
      <x:c r="F234" s="6" t="str">
        <x:v>Service identity review</x:v>
      </x:c>
      <x:c r="G234" s="6" t="n">
        <x:v>2</x:v>
      </x:c>
      <x:c r="H234" s="6" t="str">
        <x:v>DUPX-0011</x:v>
      </x:c>
      <x:c r="I234" s="6" t="str">
        <x:f>IF(H234="","No upstream dependency",IF(ISNUMBER(SEARCH(";",H234)),"Multiple dependencies - verify source queues",IFERROR(XLOOKUP(H234,C2:C1586,J2:J1586),"Dependency not found")))</x:f>
        <x:v>Not Started</x:v>
      </x:c>
      <x:c r="J234" s="6" t="str">
        <x:v>Not Started</x:v>
      </x:c>
      <x:c r="K234" s="6" t="str">
        <x:v>Normal</x:v>
      </x:c>
      <x:c r="L234" s="6" t="str"/>
      <x:c r="M234" s="6" t="str"/>
      <x:c r="N234" s="6" t="str"/>
      <x:c r="O234" s="7" t="str"/>
      <x:c r="P234" s="6" t="str">
        <x:v>Yes</x:v>
      </x:c>
      <x:c r="Q234" s="7" t="str">
        <x:v>Identity review follows duplicate disposition where applicable.</x:v>
      </x:c>
    </x:row>
    <x:row r="235">
      <x:c r="A235" s="6" t="str">
        <x:v>SEQ-SID-0219</x:v>
      </x:c>
      <x:c r="B235" s="6" t="str">
        <x:v>Service Identity</x:v>
      </x:c>
      <x:c r="C235" s="6" t="str">
        <x:v>SIDX-0219</x:v>
      </x:c>
      <x:c r="D235" s="6" t="str">
        <x:v>SVC000219</x:v>
      </x:c>
      <x:c r="E235" s="6" t="str">
        <x:v>DUP000011</x:v>
      </x:c>
      <x:c r="F235" s="6" t="str">
        <x:v>Service identity review</x:v>
      </x:c>
      <x:c r="G235" s="6" t="n">
        <x:v>2</x:v>
      </x:c>
      <x:c r="H235" s="6" t="str">
        <x:v>DUPX-0011</x:v>
      </x:c>
      <x:c r="I235" s="6" t="str">
        <x:f>IF(H235="","No upstream dependency",IF(ISNUMBER(SEARCH(";",H235)),"Multiple dependencies - verify source queues",IFERROR(XLOOKUP(H235,C2:C1586,J2:J1586),"Dependency not found")))</x:f>
        <x:v>Not Started</x:v>
      </x:c>
      <x:c r="J235" s="6" t="str">
        <x:v>Not Started</x:v>
      </x:c>
      <x:c r="K235" s="6" t="str">
        <x:v>Normal</x:v>
      </x:c>
      <x:c r="L235" s="6" t="str"/>
      <x:c r="M235" s="6" t="str"/>
      <x:c r="N235" s="6" t="str"/>
      <x:c r="O235" s="7" t="str"/>
      <x:c r="P235" s="6" t="str">
        <x:v>Yes</x:v>
      </x:c>
      <x:c r="Q235" s="7" t="str">
        <x:v>Identity review follows duplicate disposition where applicable.</x:v>
      </x:c>
    </x:row>
    <x:row r="236">
      <x:c r="A236" s="6" t="str">
        <x:v>SEQ-SID-0220</x:v>
      </x:c>
      <x:c r="B236" s="6" t="str">
        <x:v>Service Identity</x:v>
      </x:c>
      <x:c r="C236" s="6" t="str">
        <x:v>SIDX-0220</x:v>
      </x:c>
      <x:c r="D236" s="6" t="str">
        <x:v>SVC000220</x:v>
      </x:c>
      <x:c r="E236" s="6" t="str"/>
      <x:c r="F236" s="6" t="str">
        <x:v>Service identity review</x:v>
      </x:c>
      <x:c r="G236" s="6" t="n">
        <x:v>2</x:v>
      </x:c>
      <x:c r="H236" s="6" t="str"/>
      <x:c r="I236" s="6" t="str">
        <x:f>IF(H236="","No upstream dependency",IF(ISNUMBER(SEARCH(";",H236)),"Multiple dependencies - verify source queues",IFERROR(XLOOKUP(H236,C2:C1586,J2:J1586),"Dependency not found")))</x:f>
        <x:v>No upstream dependency</x:v>
      </x:c>
      <x:c r="J236" s="6" t="str">
        <x:v>Not Started</x:v>
      </x:c>
      <x:c r="K236" s="6" t="str">
        <x:v>Normal</x:v>
      </x:c>
      <x:c r="L236" s="6" t="str"/>
      <x:c r="M236" s="6" t="str"/>
      <x:c r="N236" s="6" t="str"/>
      <x:c r="O236" s="7" t="str"/>
      <x:c r="P236" s="6" t="str">
        <x:v>No</x:v>
      </x:c>
      <x:c r="Q236" s="7" t="str">
        <x:v>Identity review follows duplicate disposition where applicable.</x:v>
      </x:c>
    </x:row>
    <x:row r="237">
      <x:c r="A237" s="6" t="str">
        <x:v>SEQ-SID-0221</x:v>
      </x:c>
      <x:c r="B237" s="6" t="str">
        <x:v>Service Identity</x:v>
      </x:c>
      <x:c r="C237" s="6" t="str">
        <x:v>SIDX-0221</x:v>
      </x:c>
      <x:c r="D237" s="6" t="str">
        <x:v>SVC000221</x:v>
      </x:c>
      <x:c r="E237" s="6" t="str"/>
      <x:c r="F237" s="6" t="str">
        <x:v>Service identity review</x:v>
      </x:c>
      <x:c r="G237" s="6" t="n">
        <x:v>2</x:v>
      </x:c>
      <x:c r="H237" s="6" t="str"/>
      <x:c r="I237" s="6" t="str">
        <x:f>IF(H237="","No upstream dependency",IF(ISNUMBER(SEARCH(";",H237)),"Multiple dependencies - verify source queues",IFERROR(XLOOKUP(H237,C2:C1586,J2:J1586),"Dependency not found")))</x:f>
        <x:v>No upstream dependency</x:v>
      </x:c>
      <x:c r="J237" s="6" t="str">
        <x:v>Not Started</x:v>
      </x:c>
      <x:c r="K237" s="6" t="str">
        <x:v>Normal</x:v>
      </x:c>
      <x:c r="L237" s="6" t="str"/>
      <x:c r="M237" s="6" t="str"/>
      <x:c r="N237" s="6" t="str"/>
      <x:c r="O237" s="7" t="str"/>
      <x:c r="P237" s="6" t="str">
        <x:v>No</x:v>
      </x:c>
      <x:c r="Q237" s="7" t="str">
        <x:v>Identity review follows duplicate disposition where applicable.</x:v>
      </x:c>
    </x:row>
    <x:row r="238">
      <x:c r="A238" s="6" t="str">
        <x:v>SEQ-SID-0222</x:v>
      </x:c>
      <x:c r="B238" s="6" t="str">
        <x:v>Service Identity</x:v>
      </x:c>
      <x:c r="C238" s="6" t="str">
        <x:v>SIDX-0222</x:v>
      </x:c>
      <x:c r="D238" s="6" t="str">
        <x:v>SVC000222</x:v>
      </x:c>
      <x:c r="E238" s="6" t="str"/>
      <x:c r="F238" s="6" t="str">
        <x:v>Service identity review</x:v>
      </x:c>
      <x:c r="G238" s="6" t="n">
        <x:v>2</x:v>
      </x:c>
      <x:c r="H238" s="6" t="str"/>
      <x:c r="I238" s="6" t="str">
        <x:f>IF(H238="","No upstream dependency",IF(ISNUMBER(SEARCH(";",H238)),"Multiple dependencies - verify source queues",IFERROR(XLOOKUP(H238,C2:C1586,J2:J1586),"Dependency not found")))</x:f>
        <x:v>No upstream dependency</x:v>
      </x:c>
      <x:c r="J238" s="6" t="str">
        <x:v>Not Started</x:v>
      </x:c>
      <x:c r="K238" s="6" t="str">
        <x:v>Normal</x:v>
      </x:c>
      <x:c r="L238" s="6" t="str"/>
      <x:c r="M238" s="6" t="str"/>
      <x:c r="N238" s="6" t="str"/>
      <x:c r="O238" s="7" t="str"/>
      <x:c r="P238" s="6" t="str">
        <x:v>No</x:v>
      </x:c>
      <x:c r="Q238" s="7" t="str">
        <x:v>Identity review follows duplicate disposition where applicable.</x:v>
      </x:c>
    </x:row>
    <x:row r="239">
      <x:c r="A239" s="6" t="str">
        <x:v>SEQ-SID-0223</x:v>
      </x:c>
      <x:c r="B239" s="6" t="str">
        <x:v>Service Identity</x:v>
      </x:c>
      <x:c r="C239" s="6" t="str">
        <x:v>SIDX-0223</x:v>
      </x:c>
      <x:c r="D239" s="6" t="str">
        <x:v>SVC000223</x:v>
      </x:c>
      <x:c r="E239" s="6" t="str">
        <x:v>DUP000012</x:v>
      </x:c>
      <x:c r="F239" s="6" t="str">
        <x:v>Service identity review</x:v>
      </x:c>
      <x:c r="G239" s="6" t="n">
        <x:v>2</x:v>
      </x:c>
      <x:c r="H239" s="6" t="str">
        <x:v>DUPX-0012</x:v>
      </x:c>
      <x:c r="I239" s="6" t="str">
        <x:f>IF(H239="","No upstream dependency",IF(ISNUMBER(SEARCH(";",H239)),"Multiple dependencies - verify source queues",IFERROR(XLOOKUP(H239,C2:C1586,J2:J1586),"Dependency not found")))</x:f>
        <x:v>Not Started</x:v>
      </x:c>
      <x:c r="J239" s="6" t="str">
        <x:v>Not Started</x:v>
      </x:c>
      <x:c r="K239" s="6" t="str">
        <x:v>Normal</x:v>
      </x:c>
      <x:c r="L239" s="6" t="str"/>
      <x:c r="M239" s="6" t="str"/>
      <x:c r="N239" s="6" t="str"/>
      <x:c r="O239" s="7" t="str"/>
      <x:c r="P239" s="6" t="str">
        <x:v>Yes</x:v>
      </x:c>
      <x:c r="Q239" s="7" t="str">
        <x:v>Identity review follows duplicate disposition where applicable.</x:v>
      </x:c>
    </x:row>
    <x:row r="240">
      <x:c r="A240" s="6" t="str">
        <x:v>SEQ-SID-0224</x:v>
      </x:c>
      <x:c r="B240" s="6" t="str">
        <x:v>Service Identity</x:v>
      </x:c>
      <x:c r="C240" s="6" t="str">
        <x:v>SIDX-0224</x:v>
      </x:c>
      <x:c r="D240" s="6" t="str">
        <x:v>SVC000224</x:v>
      </x:c>
      <x:c r="E240" s="6" t="str">
        <x:v>DUP000012</x:v>
      </x:c>
      <x:c r="F240" s="6" t="str">
        <x:v>Service identity review</x:v>
      </x:c>
      <x:c r="G240" s="6" t="n">
        <x:v>2</x:v>
      </x:c>
      <x:c r="H240" s="6" t="str">
        <x:v>DUPX-0012</x:v>
      </x:c>
      <x:c r="I240" s="6" t="str">
        <x:f>IF(H240="","No upstream dependency",IF(ISNUMBER(SEARCH(";",H240)),"Multiple dependencies - verify source queues",IFERROR(XLOOKUP(H240,C2:C1586,J2:J1586),"Dependency not found")))</x:f>
        <x:v>Not Started</x:v>
      </x:c>
      <x:c r="J240" s="6" t="str">
        <x:v>Not Started</x:v>
      </x:c>
      <x:c r="K240" s="6" t="str">
        <x:v>Normal</x:v>
      </x:c>
      <x:c r="L240" s="6" t="str"/>
      <x:c r="M240" s="6" t="str"/>
      <x:c r="N240" s="6" t="str"/>
      <x:c r="O240" s="7" t="str"/>
      <x:c r="P240" s="6" t="str">
        <x:v>Yes</x:v>
      </x:c>
      <x:c r="Q240" s="7" t="str">
        <x:v>Identity review follows duplicate disposition where applicable.</x:v>
      </x:c>
    </x:row>
    <x:row r="241">
      <x:c r="A241" s="6" t="str">
        <x:v>SEQ-SID-0225</x:v>
      </x:c>
      <x:c r="B241" s="6" t="str">
        <x:v>Service Identity</x:v>
      </x:c>
      <x:c r="C241" s="6" t="str">
        <x:v>SIDX-0225</x:v>
      </x:c>
      <x:c r="D241" s="6" t="str">
        <x:v>SVC000225</x:v>
      </x:c>
      <x:c r="E241" s="6" t="str">
        <x:v>DUP000013</x:v>
      </x:c>
      <x:c r="F241" s="6" t="str">
        <x:v>Service identity review</x:v>
      </x:c>
      <x:c r="G241" s="6" t="n">
        <x:v>2</x:v>
      </x:c>
      <x:c r="H241" s="6" t="str">
        <x:v>DUPX-0013</x:v>
      </x:c>
      <x:c r="I241" s="6" t="str">
        <x:f>IF(H241="","No upstream dependency",IF(ISNUMBER(SEARCH(";",H241)),"Multiple dependencies - verify source queues",IFERROR(XLOOKUP(H241,C2:C1586,J2:J1586),"Dependency not found")))</x:f>
        <x:v>Not Started</x:v>
      </x:c>
      <x:c r="J241" s="6" t="str">
        <x:v>Not Started</x:v>
      </x:c>
      <x:c r="K241" s="6" t="str">
        <x:v>Normal</x:v>
      </x:c>
      <x:c r="L241" s="6" t="str"/>
      <x:c r="M241" s="6" t="str"/>
      <x:c r="N241" s="6" t="str"/>
      <x:c r="O241" s="7" t="str"/>
      <x:c r="P241" s="6" t="str">
        <x:v>Yes</x:v>
      </x:c>
      <x:c r="Q241" s="7" t="str">
        <x:v>Identity review follows duplicate disposition where applicable.</x:v>
      </x:c>
    </x:row>
    <x:row r="242">
      <x:c r="A242" s="6" t="str">
        <x:v>SEQ-SID-0226</x:v>
      </x:c>
      <x:c r="B242" s="6" t="str">
        <x:v>Service Identity</x:v>
      </x:c>
      <x:c r="C242" s="6" t="str">
        <x:v>SIDX-0226</x:v>
      </x:c>
      <x:c r="D242" s="6" t="str">
        <x:v>SVC000226</x:v>
      </x:c>
      <x:c r="E242" s="6" t="str">
        <x:v>DUP000013</x:v>
      </x:c>
      <x:c r="F242" s="6" t="str">
        <x:v>Service identity review</x:v>
      </x:c>
      <x:c r="G242" s="6" t="n">
        <x:v>2</x:v>
      </x:c>
      <x:c r="H242" s="6" t="str">
        <x:v>DUPX-0013</x:v>
      </x:c>
      <x:c r="I242" s="6" t="str">
        <x:f>IF(H242="","No upstream dependency",IF(ISNUMBER(SEARCH(";",H242)),"Multiple dependencies - verify source queues",IFERROR(XLOOKUP(H242,C2:C1586,J2:J1586),"Dependency not found")))</x:f>
        <x:v>Not Started</x:v>
      </x:c>
      <x:c r="J242" s="6" t="str">
        <x:v>Not Started</x:v>
      </x:c>
      <x:c r="K242" s="6" t="str">
        <x:v>Normal</x:v>
      </x:c>
      <x:c r="L242" s="6" t="str"/>
      <x:c r="M242" s="6" t="str"/>
      <x:c r="N242" s="6" t="str"/>
      <x:c r="O242" s="7" t="str"/>
      <x:c r="P242" s="6" t="str">
        <x:v>Yes</x:v>
      </x:c>
      <x:c r="Q242" s="7" t="str">
        <x:v>Identity review follows duplicate disposition where applicable.</x:v>
      </x:c>
    </x:row>
    <x:row r="243">
      <x:c r="A243" s="6" t="str">
        <x:v>SEQ-SID-0227</x:v>
      </x:c>
      <x:c r="B243" s="6" t="str">
        <x:v>Service Identity</x:v>
      </x:c>
      <x:c r="C243" s="6" t="str">
        <x:v>SIDX-0227</x:v>
      </x:c>
      <x:c r="D243" s="6" t="str">
        <x:v>SVC000227</x:v>
      </x:c>
      <x:c r="E243" s="6" t="str">
        <x:v>DUP000013</x:v>
      </x:c>
      <x:c r="F243" s="6" t="str">
        <x:v>Service identity review</x:v>
      </x:c>
      <x:c r="G243" s="6" t="n">
        <x:v>2</x:v>
      </x:c>
      <x:c r="H243" s="6" t="str">
        <x:v>DUPX-0013</x:v>
      </x:c>
      <x:c r="I243" s="6" t="str">
        <x:f>IF(H243="","No upstream dependency",IF(ISNUMBER(SEARCH(";",H243)),"Multiple dependencies - verify source queues",IFERROR(XLOOKUP(H243,C2:C1586,J2:J1586),"Dependency not found")))</x:f>
        <x:v>Not Started</x:v>
      </x:c>
      <x:c r="J243" s="6" t="str">
        <x:v>Not Started</x:v>
      </x:c>
      <x:c r="K243" s="6" t="str">
        <x:v>Normal</x:v>
      </x:c>
      <x:c r="L243" s="6" t="str"/>
      <x:c r="M243" s="6" t="str"/>
      <x:c r="N243" s="6" t="str"/>
      <x:c r="O243" s="7" t="str"/>
      <x:c r="P243" s="6" t="str">
        <x:v>Yes</x:v>
      </x:c>
      <x:c r="Q243" s="7" t="str">
        <x:v>Identity review follows duplicate disposition where applicable.</x:v>
      </x:c>
    </x:row>
    <x:row r="244">
      <x:c r="A244" s="6" t="str">
        <x:v>SEQ-SID-0228</x:v>
      </x:c>
      <x:c r="B244" s="6" t="str">
        <x:v>Service Identity</x:v>
      </x:c>
      <x:c r="C244" s="6" t="str">
        <x:v>SIDX-0228</x:v>
      </x:c>
      <x:c r="D244" s="6" t="str">
        <x:v>SVC000228</x:v>
      </x:c>
      <x:c r="E244" s="6" t="str"/>
      <x:c r="F244" s="6" t="str">
        <x:v>Service identity review</x:v>
      </x:c>
      <x:c r="G244" s="6" t="n">
        <x:v>2</x:v>
      </x:c>
      <x:c r="H244" s="6" t="str"/>
      <x:c r="I244" s="6" t="str">
        <x:f>IF(H244="","No upstream dependency",IF(ISNUMBER(SEARCH(";",H244)),"Multiple dependencies - verify source queues",IFERROR(XLOOKUP(H244,C2:C1586,J2:J1586),"Dependency not found")))</x:f>
        <x:v>No upstream dependency</x:v>
      </x:c>
      <x:c r="J244" s="6" t="str">
        <x:v>Not Started</x:v>
      </x:c>
      <x:c r="K244" s="6" t="str">
        <x:v>Normal</x:v>
      </x:c>
      <x:c r="L244" s="6" t="str"/>
      <x:c r="M244" s="6" t="str"/>
      <x:c r="N244" s="6" t="str"/>
      <x:c r="O244" s="7" t="str"/>
      <x:c r="P244" s="6" t="str">
        <x:v>No</x:v>
      </x:c>
      <x:c r="Q244" s="7" t="str">
        <x:v>Identity review follows duplicate disposition where applicable.</x:v>
      </x:c>
    </x:row>
    <x:row r="245">
      <x:c r="A245" s="6" t="str">
        <x:v>SEQ-SID-0229</x:v>
      </x:c>
      <x:c r="B245" s="6" t="str">
        <x:v>Service Identity</x:v>
      </x:c>
      <x:c r="C245" s="6" t="str">
        <x:v>SIDX-0229</x:v>
      </x:c>
      <x:c r="D245" s="6" t="str">
        <x:v>SVC000229</x:v>
      </x:c>
      <x:c r="E245" s="6" t="str">
        <x:v>DUP000014</x:v>
      </x:c>
      <x:c r="F245" s="6" t="str">
        <x:v>Service identity review</x:v>
      </x:c>
      <x:c r="G245" s="6" t="n">
        <x:v>2</x:v>
      </x:c>
      <x:c r="H245" s="6" t="str">
        <x:v>DUPX-0014</x:v>
      </x:c>
      <x:c r="I245" s="6" t="str">
        <x:f>IF(H245="","No upstream dependency",IF(ISNUMBER(SEARCH(";",H245)),"Multiple dependencies - verify source queues",IFERROR(XLOOKUP(H245,C2:C1586,J2:J1586),"Dependency not found")))</x:f>
        <x:v>Not Started</x:v>
      </x:c>
      <x:c r="J245" s="6" t="str">
        <x:v>Not Started</x:v>
      </x:c>
      <x:c r="K245" s="6" t="str">
        <x:v>Normal</x:v>
      </x:c>
      <x:c r="L245" s="6" t="str"/>
      <x:c r="M245" s="6" t="str"/>
      <x:c r="N245" s="6" t="str"/>
      <x:c r="O245" s="7" t="str"/>
      <x:c r="P245" s="6" t="str">
        <x:v>Yes</x:v>
      </x:c>
      <x:c r="Q245" s="7" t="str">
        <x:v>Identity review follows duplicate disposition where applicable.</x:v>
      </x:c>
    </x:row>
    <x:row r="246">
      <x:c r="A246" s="6" t="str">
        <x:v>SEQ-SID-0230</x:v>
      </x:c>
      <x:c r="B246" s="6" t="str">
        <x:v>Service Identity</x:v>
      </x:c>
      <x:c r="C246" s="6" t="str">
        <x:v>SIDX-0230</x:v>
      </x:c>
      <x:c r="D246" s="6" t="str">
        <x:v>SVC000230</x:v>
      </x:c>
      <x:c r="E246" s="6" t="str">
        <x:v>DUP000014</x:v>
      </x:c>
      <x:c r="F246" s="6" t="str">
        <x:v>Service identity review</x:v>
      </x:c>
      <x:c r="G246" s="6" t="n">
        <x:v>2</x:v>
      </x:c>
      <x:c r="H246" s="6" t="str">
        <x:v>DUPX-0014</x:v>
      </x:c>
      <x:c r="I246" s="6" t="str">
        <x:f>IF(H246="","No upstream dependency",IF(ISNUMBER(SEARCH(";",H246)),"Multiple dependencies - verify source queues",IFERROR(XLOOKUP(H246,C2:C1586,J2:J1586),"Dependency not found")))</x:f>
        <x:v>Not Started</x:v>
      </x:c>
      <x:c r="J246" s="6" t="str">
        <x:v>Not Started</x:v>
      </x:c>
      <x:c r="K246" s="6" t="str">
        <x:v>Normal</x:v>
      </x:c>
      <x:c r="L246" s="6" t="str"/>
      <x:c r="M246" s="6" t="str"/>
      <x:c r="N246" s="6" t="str"/>
      <x:c r="O246" s="7" t="str"/>
      <x:c r="P246" s="6" t="str">
        <x:v>Yes</x:v>
      </x:c>
      <x:c r="Q246" s="7" t="str">
        <x:v>Identity review follows duplicate disposition where applicable.</x:v>
      </x:c>
    </x:row>
    <x:row r="247">
      <x:c r="A247" s="6" t="str">
        <x:v>SEQ-SID-0231</x:v>
      </x:c>
      <x:c r="B247" s="6" t="str">
        <x:v>Service Identity</x:v>
      </x:c>
      <x:c r="C247" s="6" t="str">
        <x:v>SIDX-0231</x:v>
      </x:c>
      <x:c r="D247" s="6" t="str">
        <x:v>SVC000231</x:v>
      </x:c>
      <x:c r="E247" s="6" t="str">
        <x:v>DUP000015</x:v>
      </x:c>
      <x:c r="F247" s="6" t="str">
        <x:v>Service identity review</x:v>
      </x:c>
      <x:c r="G247" s="6" t="n">
        <x:v>2</x:v>
      </x:c>
      <x:c r="H247" s="6" t="str">
        <x:v>DUPX-0015</x:v>
      </x:c>
      <x:c r="I247" s="6" t="str">
        <x:f>IF(H247="","No upstream dependency",IF(ISNUMBER(SEARCH(";",H247)),"Multiple dependencies - verify source queues",IFERROR(XLOOKUP(H247,C2:C1586,J2:J1586),"Dependency not found")))</x:f>
        <x:v>Not Started</x:v>
      </x:c>
      <x:c r="J247" s="6" t="str">
        <x:v>Not Started</x:v>
      </x:c>
      <x:c r="K247" s="6" t="str">
        <x:v>Normal</x:v>
      </x:c>
      <x:c r="L247" s="6" t="str"/>
      <x:c r="M247" s="6" t="str"/>
      <x:c r="N247" s="6" t="str"/>
      <x:c r="O247" s="7" t="str"/>
      <x:c r="P247" s="6" t="str">
        <x:v>Yes</x:v>
      </x:c>
      <x:c r="Q247" s="7" t="str">
        <x:v>Identity review follows duplicate disposition where applicable.</x:v>
      </x:c>
    </x:row>
    <x:row r="248">
      <x:c r="A248" s="6" t="str">
        <x:v>SEQ-SID-0232</x:v>
      </x:c>
      <x:c r="B248" s="6" t="str">
        <x:v>Service Identity</x:v>
      </x:c>
      <x:c r="C248" s="6" t="str">
        <x:v>SIDX-0232</x:v>
      </x:c>
      <x:c r="D248" s="6" t="str">
        <x:v>SVC000232</x:v>
      </x:c>
      <x:c r="E248" s="6" t="str">
        <x:v>DUP000015</x:v>
      </x:c>
      <x:c r="F248" s="6" t="str">
        <x:v>Service identity review</x:v>
      </x:c>
      <x:c r="G248" s="6" t="n">
        <x:v>2</x:v>
      </x:c>
      <x:c r="H248" s="6" t="str">
        <x:v>DUPX-0015</x:v>
      </x:c>
      <x:c r="I248" s="6" t="str">
        <x:f>IF(H248="","No upstream dependency",IF(ISNUMBER(SEARCH(";",H248)),"Multiple dependencies - verify source queues",IFERROR(XLOOKUP(H248,C2:C1586,J2:J1586),"Dependency not found")))</x:f>
        <x:v>Not Started</x:v>
      </x:c>
      <x:c r="J248" s="6" t="str">
        <x:v>Not Started</x:v>
      </x:c>
      <x:c r="K248" s="6" t="str">
        <x:v>Normal</x:v>
      </x:c>
      <x:c r="L248" s="6" t="str"/>
      <x:c r="M248" s="6" t="str"/>
      <x:c r="N248" s="6" t="str"/>
      <x:c r="O248" s="7" t="str"/>
      <x:c r="P248" s="6" t="str">
        <x:v>Yes</x:v>
      </x:c>
      <x:c r="Q248" s="7" t="str">
        <x:v>Identity review follows duplicate disposition where applicable.</x:v>
      </x:c>
    </x:row>
    <x:row r="249">
      <x:c r="A249" s="6" t="str">
        <x:v>SEQ-SID-0233</x:v>
      </x:c>
      <x:c r="B249" s="6" t="str">
        <x:v>Service Identity</x:v>
      </x:c>
      <x:c r="C249" s="6" t="str">
        <x:v>SIDX-0233</x:v>
      </x:c>
      <x:c r="D249" s="6" t="str">
        <x:v>SVC000233</x:v>
      </x:c>
      <x:c r="E249" s="6" t="str"/>
      <x:c r="F249" s="6" t="str">
        <x:v>Service identity review</x:v>
      </x:c>
      <x:c r="G249" s="6" t="n">
        <x:v>2</x:v>
      </x:c>
      <x:c r="H249" s="6" t="str"/>
      <x:c r="I249" s="6" t="str">
        <x:f>IF(H249="","No upstream dependency",IF(ISNUMBER(SEARCH(";",H249)),"Multiple dependencies - verify source queues",IFERROR(XLOOKUP(H249,C2:C1586,J2:J1586),"Dependency not found")))</x:f>
        <x:v>No upstream dependency</x:v>
      </x:c>
      <x:c r="J249" s="6" t="str">
        <x:v>Not Started</x:v>
      </x:c>
      <x:c r="K249" s="6" t="str">
        <x:v>Normal</x:v>
      </x:c>
      <x:c r="L249" s="6" t="str"/>
      <x:c r="M249" s="6" t="str"/>
      <x:c r="N249" s="6" t="str"/>
      <x:c r="O249" s="7" t="str"/>
      <x:c r="P249" s="6" t="str">
        <x:v>No</x:v>
      </x:c>
      <x:c r="Q249" s="7" t="str">
        <x:v>Identity review follows duplicate disposition where applicable.</x:v>
      </x:c>
    </x:row>
    <x:row r="250">
      <x:c r="A250" s="6" t="str">
        <x:v>SEQ-SID-0234</x:v>
      </x:c>
      <x:c r="B250" s="6" t="str">
        <x:v>Service Identity</x:v>
      </x:c>
      <x:c r="C250" s="6" t="str">
        <x:v>SIDX-0234</x:v>
      </x:c>
      <x:c r="D250" s="6" t="str">
        <x:v>SVC000234</x:v>
      </x:c>
      <x:c r="E250" s="6" t="str"/>
      <x:c r="F250" s="6" t="str">
        <x:v>Service identity review</x:v>
      </x:c>
      <x:c r="G250" s="6" t="n">
        <x:v>2</x:v>
      </x:c>
      <x:c r="H250" s="6" t="str"/>
      <x:c r="I250" s="6" t="str">
        <x:f>IF(H250="","No upstream dependency",IF(ISNUMBER(SEARCH(";",H250)),"Multiple dependencies - verify source queues",IFERROR(XLOOKUP(H250,C2:C1586,J2:J1586),"Dependency not found")))</x:f>
        <x:v>No upstream dependency</x:v>
      </x:c>
      <x:c r="J250" s="6" t="str">
        <x:v>Not Started</x:v>
      </x:c>
      <x:c r="K250" s="6" t="str">
        <x:v>Normal</x:v>
      </x:c>
      <x:c r="L250" s="6" t="str"/>
      <x:c r="M250" s="6" t="str"/>
      <x:c r="N250" s="6" t="str"/>
      <x:c r="O250" s="7" t="str"/>
      <x:c r="P250" s="6" t="str">
        <x:v>No</x:v>
      </x:c>
      <x:c r="Q250" s="7" t="str">
        <x:v>Identity review follows duplicate disposition where applicable.</x:v>
      </x:c>
    </x:row>
    <x:row r="251">
      <x:c r="A251" s="6" t="str">
        <x:v>SEQ-SID-0235</x:v>
      </x:c>
      <x:c r="B251" s="6" t="str">
        <x:v>Service Identity</x:v>
      </x:c>
      <x:c r="C251" s="6" t="str">
        <x:v>SIDX-0235</x:v>
      </x:c>
      <x:c r="D251" s="6" t="str">
        <x:v>SVC000235</x:v>
      </x:c>
      <x:c r="E251" s="6" t="str"/>
      <x:c r="F251" s="6" t="str">
        <x:v>Service identity review</x:v>
      </x:c>
      <x:c r="G251" s="6" t="n">
        <x:v>2</x:v>
      </x:c>
      <x:c r="H251" s="6" t="str"/>
      <x:c r="I251" s="6" t="str">
        <x:f>IF(H251="","No upstream dependency",IF(ISNUMBER(SEARCH(";",H251)),"Multiple dependencies - verify source queues",IFERROR(XLOOKUP(H251,C2:C1586,J2:J1586),"Dependency not found")))</x:f>
        <x:v>No upstream dependency</x:v>
      </x:c>
      <x:c r="J251" s="6" t="str">
        <x:v>Not Started</x:v>
      </x:c>
      <x:c r="K251" s="6" t="str">
        <x:v>Normal</x:v>
      </x:c>
      <x:c r="L251" s="6" t="str"/>
      <x:c r="M251" s="6" t="str"/>
      <x:c r="N251" s="6" t="str"/>
      <x:c r="O251" s="7" t="str"/>
      <x:c r="P251" s="6" t="str">
        <x:v>No</x:v>
      </x:c>
      <x:c r="Q251" s="7" t="str">
        <x:v>Identity review follows duplicate disposition where applicable.</x:v>
      </x:c>
    </x:row>
    <x:row r="252">
      <x:c r="A252" s="6" t="str">
        <x:v>SEQ-SID-0236</x:v>
      </x:c>
      <x:c r="B252" s="6" t="str">
        <x:v>Service Identity</x:v>
      </x:c>
      <x:c r="C252" s="6" t="str">
        <x:v>SIDX-0236</x:v>
      </x:c>
      <x:c r="D252" s="6" t="str">
        <x:v>SVC000236</x:v>
      </x:c>
      <x:c r="E252" s="6" t="str"/>
      <x:c r="F252" s="6" t="str">
        <x:v>Service identity review</x:v>
      </x:c>
      <x:c r="G252" s="6" t="n">
        <x:v>2</x:v>
      </x:c>
      <x:c r="H252" s="6" t="str"/>
      <x:c r="I252" s="6" t="str">
        <x:f>IF(H252="","No upstream dependency",IF(ISNUMBER(SEARCH(";",H252)),"Multiple dependencies - verify source queues",IFERROR(XLOOKUP(H252,C2:C1586,J2:J1586),"Dependency not found")))</x:f>
        <x:v>No upstream dependency</x:v>
      </x:c>
      <x:c r="J252" s="6" t="str">
        <x:v>Not Started</x:v>
      </x:c>
      <x:c r="K252" s="6" t="str">
        <x:v>Normal</x:v>
      </x:c>
      <x:c r="L252" s="6" t="str"/>
      <x:c r="M252" s="6" t="str"/>
      <x:c r="N252" s="6" t="str"/>
      <x:c r="O252" s="7" t="str"/>
      <x:c r="P252" s="6" t="str">
        <x:v>No</x:v>
      </x:c>
      <x:c r="Q252" s="7" t="str">
        <x:v>Identity review follows duplicate disposition where applicable.</x:v>
      </x:c>
    </x:row>
    <x:row r="253">
      <x:c r="A253" s="6" t="str">
        <x:v>SEQ-SID-0237</x:v>
      </x:c>
      <x:c r="B253" s="6" t="str">
        <x:v>Service Identity</x:v>
      </x:c>
      <x:c r="C253" s="6" t="str">
        <x:v>SIDX-0237</x:v>
      </x:c>
      <x:c r="D253" s="6" t="str">
        <x:v>SVC000237</x:v>
      </x:c>
      <x:c r="E253" s="6" t="str"/>
      <x:c r="F253" s="6" t="str">
        <x:v>Service identity review</x:v>
      </x:c>
      <x:c r="G253" s="6" t="n">
        <x:v>2</x:v>
      </x:c>
      <x:c r="H253" s="6" t="str"/>
      <x:c r="I253" s="6" t="str">
        <x:f>IF(H253="","No upstream dependency",IF(ISNUMBER(SEARCH(";",H253)),"Multiple dependencies - verify source queues",IFERROR(XLOOKUP(H253,C2:C1586,J2:J1586),"Dependency not found")))</x:f>
        <x:v>No upstream dependency</x:v>
      </x:c>
      <x:c r="J253" s="6" t="str">
        <x:v>Not Started</x:v>
      </x:c>
      <x:c r="K253" s="6" t="str">
        <x:v>Normal</x:v>
      </x:c>
      <x:c r="L253" s="6" t="str"/>
      <x:c r="M253" s="6" t="str"/>
      <x:c r="N253" s="6" t="str"/>
      <x:c r="O253" s="7" t="str"/>
      <x:c r="P253" s="6" t="str">
        <x:v>No</x:v>
      </x:c>
      <x:c r="Q253" s="7" t="str">
        <x:v>Identity review follows duplicate disposition where applicable.</x:v>
      </x:c>
    </x:row>
    <x:row r="254">
      <x:c r="A254" s="6" t="str">
        <x:v>SEQ-SID-0238</x:v>
      </x:c>
      <x:c r="B254" s="6" t="str">
        <x:v>Service Identity</x:v>
      </x:c>
      <x:c r="C254" s="6" t="str">
        <x:v>SIDX-0238</x:v>
      </x:c>
      <x:c r="D254" s="6" t="str">
        <x:v>SVC000238</x:v>
      </x:c>
      <x:c r="E254" s="6" t="str"/>
      <x:c r="F254" s="6" t="str">
        <x:v>Service identity review</x:v>
      </x:c>
      <x:c r="G254" s="6" t="n">
        <x:v>2</x:v>
      </x:c>
      <x:c r="H254" s="6" t="str"/>
      <x:c r="I254" s="6" t="str">
        <x:f>IF(H254="","No upstream dependency",IF(ISNUMBER(SEARCH(";",H254)),"Multiple dependencies - verify source queues",IFERROR(XLOOKUP(H254,C2:C1586,J2:J1586),"Dependency not found")))</x:f>
        <x:v>No upstream dependency</x:v>
      </x:c>
      <x:c r="J254" s="6" t="str">
        <x:v>Not Started</x:v>
      </x:c>
      <x:c r="K254" s="6" t="str">
        <x:v>Normal</x:v>
      </x:c>
      <x:c r="L254" s="6" t="str"/>
      <x:c r="M254" s="6" t="str"/>
      <x:c r="N254" s="6" t="str"/>
      <x:c r="O254" s="7" t="str"/>
      <x:c r="P254" s="6" t="str">
        <x:v>No</x:v>
      </x:c>
      <x:c r="Q254" s="7" t="str">
        <x:v>Identity review follows duplicate disposition where applicable.</x:v>
      </x:c>
    </x:row>
    <x:row r="255">
      <x:c r="A255" s="6" t="str">
        <x:v>SEQ-SID-0239</x:v>
      </x:c>
      <x:c r="B255" s="6" t="str">
        <x:v>Service Identity</x:v>
      </x:c>
      <x:c r="C255" s="6" t="str">
        <x:v>SIDX-0239</x:v>
      </x:c>
      <x:c r="D255" s="6" t="str">
        <x:v>SVC000239</x:v>
      </x:c>
      <x:c r="E255" s="6" t="str"/>
      <x:c r="F255" s="6" t="str">
        <x:v>Service identity review</x:v>
      </x:c>
      <x:c r="G255" s="6" t="n">
        <x:v>2</x:v>
      </x:c>
      <x:c r="H255" s="6" t="str"/>
      <x:c r="I255" s="6" t="str">
        <x:f>IF(H255="","No upstream dependency",IF(ISNUMBER(SEARCH(";",H255)),"Multiple dependencies - verify source queues",IFERROR(XLOOKUP(H255,C2:C1586,J2:J1586),"Dependency not found")))</x:f>
        <x:v>No upstream dependency</x:v>
      </x:c>
      <x:c r="J255" s="6" t="str">
        <x:v>Not Started</x:v>
      </x:c>
      <x:c r="K255" s="6" t="str">
        <x:v>Normal</x:v>
      </x:c>
      <x:c r="L255" s="6" t="str"/>
      <x:c r="M255" s="6" t="str"/>
      <x:c r="N255" s="6" t="str"/>
      <x:c r="O255" s="7" t="str"/>
      <x:c r="P255" s="6" t="str">
        <x:v>No</x:v>
      </x:c>
      <x:c r="Q255" s="7" t="str">
        <x:v>Identity review follows duplicate disposition where applicable.</x:v>
      </x:c>
    </x:row>
    <x:row r="256">
      <x:c r="A256" s="6" t="str">
        <x:v>SEQ-SID-0240</x:v>
      </x:c>
      <x:c r="B256" s="6" t="str">
        <x:v>Service Identity</x:v>
      </x:c>
      <x:c r="C256" s="6" t="str">
        <x:v>SIDX-0240</x:v>
      </x:c>
      <x:c r="D256" s="6" t="str">
        <x:v>SVC000240</x:v>
      </x:c>
      <x:c r="E256" s="6" t="str"/>
      <x:c r="F256" s="6" t="str">
        <x:v>Service identity review</x:v>
      </x:c>
      <x:c r="G256" s="6" t="n">
        <x:v>2</x:v>
      </x:c>
      <x:c r="H256" s="6" t="str"/>
      <x:c r="I256" s="6" t="str">
        <x:f>IF(H256="","No upstream dependency",IF(ISNUMBER(SEARCH(";",H256)),"Multiple dependencies - verify source queues",IFERROR(XLOOKUP(H256,C2:C1586,J2:J1586),"Dependency not found")))</x:f>
        <x:v>No upstream dependency</x:v>
      </x:c>
      <x:c r="J256" s="6" t="str">
        <x:v>Not Started</x:v>
      </x:c>
      <x:c r="K256" s="6" t="str">
        <x:v>Normal</x:v>
      </x:c>
      <x:c r="L256" s="6" t="str"/>
      <x:c r="M256" s="6" t="str"/>
      <x:c r="N256" s="6" t="str"/>
      <x:c r="O256" s="7" t="str"/>
      <x:c r="P256" s="6" t="str">
        <x:v>No</x:v>
      </x:c>
      <x:c r="Q256" s="7" t="str">
        <x:v>Identity review follows duplicate disposition where applicable.</x:v>
      </x:c>
    </x:row>
    <x:row r="257">
      <x:c r="A257" s="6" t="str">
        <x:v>SEQ-SID-0241</x:v>
      </x:c>
      <x:c r="B257" s="6" t="str">
        <x:v>Service Identity</x:v>
      </x:c>
      <x:c r="C257" s="6" t="str">
        <x:v>SIDX-0241</x:v>
      </x:c>
      <x:c r="D257" s="6" t="str">
        <x:v>SVC000241</x:v>
      </x:c>
      <x:c r="E257" s="6" t="str"/>
      <x:c r="F257" s="6" t="str">
        <x:v>Service identity review</x:v>
      </x:c>
      <x:c r="G257" s="6" t="n">
        <x:v>2</x:v>
      </x:c>
      <x:c r="H257" s="6" t="str"/>
      <x:c r="I257" s="6" t="str">
        <x:f>IF(H257="","No upstream dependency",IF(ISNUMBER(SEARCH(";",H257)),"Multiple dependencies - verify source queues",IFERROR(XLOOKUP(H257,C2:C1586,J2:J1586),"Dependency not found")))</x:f>
        <x:v>No upstream dependency</x:v>
      </x:c>
      <x:c r="J257" s="6" t="str">
        <x:v>Not Started</x:v>
      </x:c>
      <x:c r="K257" s="6" t="str">
        <x:v>Normal</x:v>
      </x:c>
      <x:c r="L257" s="6" t="str"/>
      <x:c r="M257" s="6" t="str"/>
      <x:c r="N257" s="6" t="str"/>
      <x:c r="O257" s="7" t="str"/>
      <x:c r="P257" s="6" t="str">
        <x:v>No</x:v>
      </x:c>
      <x:c r="Q257" s="7" t="str">
        <x:v>Identity review follows duplicate disposition where applicable.</x:v>
      </x:c>
    </x:row>
    <x:row r="258">
      <x:c r="A258" s="6" t="str">
        <x:v>SEQ-SID-0242</x:v>
      </x:c>
      <x:c r="B258" s="6" t="str">
        <x:v>Service Identity</x:v>
      </x:c>
      <x:c r="C258" s="6" t="str">
        <x:v>SIDX-0242</x:v>
      </x:c>
      <x:c r="D258" s="6" t="str">
        <x:v>SVC000242</x:v>
      </x:c>
      <x:c r="E258" s="6" t="str"/>
      <x:c r="F258" s="6" t="str">
        <x:v>Service identity review</x:v>
      </x:c>
      <x:c r="G258" s="6" t="n">
        <x:v>2</x:v>
      </x:c>
      <x:c r="H258" s="6" t="str"/>
      <x:c r="I258" s="6" t="str">
        <x:f>IF(H258="","No upstream dependency",IF(ISNUMBER(SEARCH(";",H258)),"Multiple dependencies - verify source queues",IFERROR(XLOOKUP(H258,C2:C1586,J2:J1586),"Dependency not found")))</x:f>
        <x:v>No upstream dependency</x:v>
      </x:c>
      <x:c r="J258" s="6" t="str">
        <x:v>Not Started</x:v>
      </x:c>
      <x:c r="K258" s="6" t="str">
        <x:v>Normal</x:v>
      </x:c>
      <x:c r="L258" s="6" t="str"/>
      <x:c r="M258" s="6" t="str"/>
      <x:c r="N258" s="6" t="str"/>
      <x:c r="O258" s="7" t="str"/>
      <x:c r="P258" s="6" t="str">
        <x:v>No</x:v>
      </x:c>
      <x:c r="Q258" s="7" t="str">
        <x:v>Identity review follows duplicate disposition where applicable.</x:v>
      </x:c>
    </x:row>
    <x:row r="259">
      <x:c r="A259" s="6" t="str">
        <x:v>SEQ-SID-0243</x:v>
      </x:c>
      <x:c r="B259" s="6" t="str">
        <x:v>Service Identity</x:v>
      </x:c>
      <x:c r="C259" s="6" t="str">
        <x:v>SIDX-0243</x:v>
      </x:c>
      <x:c r="D259" s="6" t="str">
        <x:v>SVC000243</x:v>
      </x:c>
      <x:c r="E259" s="6" t="str"/>
      <x:c r="F259" s="6" t="str">
        <x:v>Service identity review</x:v>
      </x:c>
      <x:c r="G259" s="6" t="n">
        <x:v>2</x:v>
      </x:c>
      <x:c r="H259" s="6" t="str"/>
      <x:c r="I259" s="6" t="str">
        <x:f>IF(H259="","No upstream dependency",IF(ISNUMBER(SEARCH(";",H259)),"Multiple dependencies - verify source queues",IFERROR(XLOOKUP(H259,C2:C1586,J2:J1586),"Dependency not found")))</x:f>
        <x:v>No upstream dependency</x:v>
      </x:c>
      <x:c r="J259" s="6" t="str">
        <x:v>Not Started</x:v>
      </x:c>
      <x:c r="K259" s="6" t="str">
        <x:v>Normal</x:v>
      </x:c>
      <x:c r="L259" s="6" t="str"/>
      <x:c r="M259" s="6" t="str"/>
      <x:c r="N259" s="6" t="str"/>
      <x:c r="O259" s="7" t="str"/>
      <x:c r="P259" s="6" t="str">
        <x:v>No</x:v>
      </x:c>
      <x:c r="Q259" s="7" t="str">
        <x:v>Identity review follows duplicate disposition where applicable.</x:v>
      </x:c>
    </x:row>
    <x:row r="260">
      <x:c r="A260" s="6" t="str">
        <x:v>SEQ-SID-0244</x:v>
      </x:c>
      <x:c r="B260" s="6" t="str">
        <x:v>Service Identity</x:v>
      </x:c>
      <x:c r="C260" s="6" t="str">
        <x:v>SIDX-0244</x:v>
      </x:c>
      <x:c r="D260" s="6" t="str">
        <x:v>SVC000244</x:v>
      </x:c>
      <x:c r="E260" s="6" t="str"/>
      <x:c r="F260" s="6" t="str">
        <x:v>Service identity review</x:v>
      </x:c>
      <x:c r="G260" s="6" t="n">
        <x:v>2</x:v>
      </x:c>
      <x:c r="H260" s="6" t="str"/>
      <x:c r="I260" s="6" t="str">
        <x:f>IF(H260="","No upstream dependency",IF(ISNUMBER(SEARCH(";",H260)),"Multiple dependencies - verify source queues",IFERROR(XLOOKUP(H260,C2:C1586,J2:J1586),"Dependency not found")))</x:f>
        <x:v>No upstream dependency</x:v>
      </x:c>
      <x:c r="J260" s="6" t="str">
        <x:v>Not Started</x:v>
      </x:c>
      <x:c r="K260" s="6" t="str">
        <x:v>Normal</x:v>
      </x:c>
      <x:c r="L260" s="6" t="str"/>
      <x:c r="M260" s="6" t="str"/>
      <x:c r="N260" s="6" t="str"/>
      <x:c r="O260" s="7" t="str"/>
      <x:c r="P260" s="6" t="str">
        <x:v>No</x:v>
      </x:c>
      <x:c r="Q260" s="7" t="str">
        <x:v>Identity review follows duplicate disposition where applicable.</x:v>
      </x:c>
    </x:row>
    <x:row r="261">
      <x:c r="A261" s="6" t="str">
        <x:v>SEQ-SID-0245</x:v>
      </x:c>
      <x:c r="B261" s="6" t="str">
        <x:v>Service Identity</x:v>
      </x:c>
      <x:c r="C261" s="6" t="str">
        <x:v>SIDX-0245</x:v>
      </x:c>
      <x:c r="D261" s="6" t="str">
        <x:v>SVC000245</x:v>
      </x:c>
      <x:c r="E261" s="6" t="str"/>
      <x:c r="F261" s="6" t="str">
        <x:v>Service identity review</x:v>
      </x:c>
      <x:c r="G261" s="6" t="n">
        <x:v>2</x:v>
      </x:c>
      <x:c r="H261" s="6" t="str"/>
      <x:c r="I261" s="6" t="str">
        <x:f>IF(H261="","No upstream dependency",IF(ISNUMBER(SEARCH(";",H261)),"Multiple dependencies - verify source queues",IFERROR(XLOOKUP(H261,C2:C1586,J2:J1586),"Dependency not found")))</x:f>
        <x:v>No upstream dependency</x:v>
      </x:c>
      <x:c r="J261" s="6" t="str">
        <x:v>Not Started</x:v>
      </x:c>
      <x:c r="K261" s="6" t="str">
        <x:v>Normal</x:v>
      </x:c>
      <x:c r="L261" s="6" t="str"/>
      <x:c r="M261" s="6" t="str"/>
      <x:c r="N261" s="6" t="str"/>
      <x:c r="O261" s="7" t="str"/>
      <x:c r="P261" s="6" t="str">
        <x:v>No</x:v>
      </x:c>
      <x:c r="Q261" s="7" t="str">
        <x:v>Identity review follows duplicate disposition where applicable.</x:v>
      </x:c>
    </x:row>
    <x:row r="262">
      <x:c r="A262" s="6" t="str">
        <x:v>SEQ-SID-0246</x:v>
      </x:c>
      <x:c r="B262" s="6" t="str">
        <x:v>Service Identity</x:v>
      </x:c>
      <x:c r="C262" s="6" t="str">
        <x:v>SIDX-0246</x:v>
      </x:c>
      <x:c r="D262" s="6" t="str">
        <x:v>SVC000246</x:v>
      </x:c>
      <x:c r="E262" s="6" t="str"/>
      <x:c r="F262" s="6" t="str">
        <x:v>Service identity review</x:v>
      </x:c>
      <x:c r="G262" s="6" t="n">
        <x:v>2</x:v>
      </x:c>
      <x:c r="H262" s="6" t="str"/>
      <x:c r="I262" s="6" t="str">
        <x:f>IF(H262="","No upstream dependency",IF(ISNUMBER(SEARCH(";",H262)),"Multiple dependencies - verify source queues",IFERROR(XLOOKUP(H262,C2:C1586,J2:J1586),"Dependency not found")))</x:f>
        <x:v>No upstream dependency</x:v>
      </x:c>
      <x:c r="J262" s="6" t="str">
        <x:v>Not Started</x:v>
      </x:c>
      <x:c r="K262" s="6" t="str">
        <x:v>Normal</x:v>
      </x:c>
      <x:c r="L262" s="6" t="str"/>
      <x:c r="M262" s="6" t="str"/>
      <x:c r="N262" s="6" t="str"/>
      <x:c r="O262" s="7" t="str"/>
      <x:c r="P262" s="6" t="str">
        <x:v>No</x:v>
      </x:c>
      <x:c r="Q262" s="7" t="str">
        <x:v>Identity review follows duplicate disposition where applicable.</x:v>
      </x:c>
    </x:row>
    <x:row r="263">
      <x:c r="A263" s="6" t="str">
        <x:v>SEQ-SID-0247</x:v>
      </x:c>
      <x:c r="B263" s="6" t="str">
        <x:v>Service Identity</x:v>
      </x:c>
      <x:c r="C263" s="6" t="str">
        <x:v>SIDX-0247</x:v>
      </x:c>
      <x:c r="D263" s="6" t="str">
        <x:v>SVC000247</x:v>
      </x:c>
      <x:c r="E263" s="6" t="str"/>
      <x:c r="F263" s="6" t="str">
        <x:v>Service identity review</x:v>
      </x:c>
      <x:c r="G263" s="6" t="n">
        <x:v>2</x:v>
      </x:c>
      <x:c r="H263" s="6" t="str"/>
      <x:c r="I263" s="6" t="str">
        <x:f>IF(H263="","No upstream dependency",IF(ISNUMBER(SEARCH(";",H263)),"Multiple dependencies - verify source queues",IFERROR(XLOOKUP(H263,C2:C1586,J2:J1586),"Dependency not found")))</x:f>
        <x:v>No upstream dependency</x:v>
      </x:c>
      <x:c r="J263" s="6" t="str">
        <x:v>Not Started</x:v>
      </x:c>
      <x:c r="K263" s="6" t="str">
        <x:v>Normal</x:v>
      </x:c>
      <x:c r="L263" s="6" t="str"/>
      <x:c r="M263" s="6" t="str"/>
      <x:c r="N263" s="6" t="str"/>
      <x:c r="O263" s="7" t="str"/>
      <x:c r="P263" s="6" t="str">
        <x:v>No</x:v>
      </x:c>
      <x:c r="Q263" s="7" t="str">
        <x:v>Identity review follows duplicate disposition where applicable.</x:v>
      </x:c>
    </x:row>
    <x:row r="264">
      <x:c r="A264" s="6" t="str">
        <x:v>SEQ-SID-0248</x:v>
      </x:c>
      <x:c r="B264" s="6" t="str">
        <x:v>Service Identity</x:v>
      </x:c>
      <x:c r="C264" s="6" t="str">
        <x:v>SIDX-0248</x:v>
      </x:c>
      <x:c r="D264" s="6" t="str">
        <x:v>SVC000248</x:v>
      </x:c>
      <x:c r="E264" s="6" t="str"/>
      <x:c r="F264" s="6" t="str">
        <x:v>Service identity review</x:v>
      </x:c>
      <x:c r="G264" s="6" t="n">
        <x:v>2</x:v>
      </x:c>
      <x:c r="H264" s="6" t="str"/>
      <x:c r="I264" s="6" t="str">
        <x:f>IF(H264="","No upstream dependency",IF(ISNUMBER(SEARCH(";",H264)),"Multiple dependencies - verify source queues",IFERROR(XLOOKUP(H264,C2:C1586,J2:J1586),"Dependency not found")))</x:f>
        <x:v>No upstream dependency</x:v>
      </x:c>
      <x:c r="J264" s="6" t="str">
        <x:v>Not Started</x:v>
      </x:c>
      <x:c r="K264" s="6" t="str">
        <x:v>Normal</x:v>
      </x:c>
      <x:c r="L264" s="6" t="str"/>
      <x:c r="M264" s="6" t="str"/>
      <x:c r="N264" s="6" t="str"/>
      <x:c r="O264" s="7" t="str"/>
      <x:c r="P264" s="6" t="str">
        <x:v>No</x:v>
      </x:c>
      <x:c r="Q264" s="7" t="str">
        <x:v>Identity review follows duplicate disposition where applicable.</x:v>
      </x:c>
    </x:row>
    <x:row r="265">
      <x:c r="A265" s="6" t="str">
        <x:v>SEQ-SID-0249</x:v>
      </x:c>
      <x:c r="B265" s="6" t="str">
        <x:v>Service Identity</x:v>
      </x:c>
      <x:c r="C265" s="6" t="str">
        <x:v>SIDX-0249</x:v>
      </x:c>
      <x:c r="D265" s="6" t="str">
        <x:v>SVC000249</x:v>
      </x:c>
      <x:c r="E265" s="6" t="str"/>
      <x:c r="F265" s="6" t="str">
        <x:v>Service identity review</x:v>
      </x:c>
      <x:c r="G265" s="6" t="n">
        <x:v>2</x:v>
      </x:c>
      <x:c r="H265" s="6" t="str"/>
      <x:c r="I265" s="6" t="str">
        <x:f>IF(H265="","No upstream dependency",IF(ISNUMBER(SEARCH(";",H265)),"Multiple dependencies - verify source queues",IFERROR(XLOOKUP(H265,C2:C1586,J2:J1586),"Dependency not found")))</x:f>
        <x:v>No upstream dependency</x:v>
      </x:c>
      <x:c r="J265" s="6" t="str">
        <x:v>Not Started</x:v>
      </x:c>
      <x:c r="K265" s="6" t="str">
        <x:v>Normal</x:v>
      </x:c>
      <x:c r="L265" s="6" t="str"/>
      <x:c r="M265" s="6" t="str"/>
      <x:c r="N265" s="6" t="str"/>
      <x:c r="O265" s="7" t="str"/>
      <x:c r="P265" s="6" t="str">
        <x:v>No</x:v>
      </x:c>
      <x:c r="Q265" s="7" t="str">
        <x:v>Identity review follows duplicate disposition where applicable.</x:v>
      </x:c>
    </x:row>
    <x:row r="266">
      <x:c r="A266" s="6" t="str">
        <x:v>SEQ-SID-0250</x:v>
      </x:c>
      <x:c r="B266" s="6" t="str">
        <x:v>Service Identity</x:v>
      </x:c>
      <x:c r="C266" s="6" t="str">
        <x:v>SIDX-0250</x:v>
      </x:c>
      <x:c r="D266" s="6" t="str">
        <x:v>SVC000250</x:v>
      </x:c>
      <x:c r="E266" s="6" t="str"/>
      <x:c r="F266" s="6" t="str">
        <x:v>Service identity review</x:v>
      </x:c>
      <x:c r="G266" s="6" t="n">
        <x:v>2</x:v>
      </x:c>
      <x:c r="H266" s="6" t="str"/>
      <x:c r="I266" s="6" t="str">
        <x:f>IF(H266="","No upstream dependency",IF(ISNUMBER(SEARCH(";",H266)),"Multiple dependencies - verify source queues",IFERROR(XLOOKUP(H266,C2:C1586,J2:J1586),"Dependency not found")))</x:f>
        <x:v>No upstream dependency</x:v>
      </x:c>
      <x:c r="J266" s="6" t="str">
        <x:v>Not Started</x:v>
      </x:c>
      <x:c r="K266" s="6" t="str">
        <x:v>Normal</x:v>
      </x:c>
      <x:c r="L266" s="6" t="str"/>
      <x:c r="M266" s="6" t="str"/>
      <x:c r="N266" s="6" t="str"/>
      <x:c r="O266" s="7" t="str"/>
      <x:c r="P266" s="6" t="str">
        <x:v>No</x:v>
      </x:c>
      <x:c r="Q266" s="7" t="str">
        <x:v>Identity review follows duplicate disposition where applicable.</x:v>
      </x:c>
    </x:row>
    <x:row r="267">
      <x:c r="A267" s="6" t="str">
        <x:v>SEQ-SID-0251</x:v>
      </x:c>
      <x:c r="B267" s="6" t="str">
        <x:v>Service Identity</x:v>
      </x:c>
      <x:c r="C267" s="6" t="str">
        <x:v>SIDX-0251</x:v>
      </x:c>
      <x:c r="D267" s="6" t="str">
        <x:v>SVC000251</x:v>
      </x:c>
      <x:c r="E267" s="6" t="str"/>
      <x:c r="F267" s="6" t="str">
        <x:v>Service identity review</x:v>
      </x:c>
      <x:c r="G267" s="6" t="n">
        <x:v>2</x:v>
      </x:c>
      <x:c r="H267" s="6" t="str"/>
      <x:c r="I267" s="6" t="str">
        <x:f>IF(H267="","No upstream dependency",IF(ISNUMBER(SEARCH(";",H267)),"Multiple dependencies - verify source queues",IFERROR(XLOOKUP(H267,C2:C1586,J2:J1586),"Dependency not found")))</x:f>
        <x:v>No upstream dependency</x:v>
      </x:c>
      <x:c r="J267" s="6" t="str">
        <x:v>Not Started</x:v>
      </x:c>
      <x:c r="K267" s="6" t="str">
        <x:v>Normal</x:v>
      </x:c>
      <x:c r="L267" s="6" t="str"/>
      <x:c r="M267" s="6" t="str"/>
      <x:c r="N267" s="6" t="str"/>
      <x:c r="O267" s="7" t="str"/>
      <x:c r="P267" s="6" t="str">
        <x:v>No</x:v>
      </x:c>
      <x:c r="Q267" s="7" t="str">
        <x:v>Identity review follows duplicate disposition where applicable.</x:v>
      </x:c>
    </x:row>
    <x:row r="268">
      <x:c r="A268" s="6" t="str">
        <x:v>SEQ-SID-0252</x:v>
      </x:c>
      <x:c r="B268" s="6" t="str">
        <x:v>Service Identity</x:v>
      </x:c>
      <x:c r="C268" s="6" t="str">
        <x:v>SIDX-0252</x:v>
      </x:c>
      <x:c r="D268" s="6" t="str">
        <x:v>SVC000252</x:v>
      </x:c>
      <x:c r="E268" s="6" t="str"/>
      <x:c r="F268" s="6" t="str">
        <x:v>Service identity review</x:v>
      </x:c>
      <x:c r="G268" s="6" t="n">
        <x:v>2</x:v>
      </x:c>
      <x:c r="H268" s="6" t="str"/>
      <x:c r="I268" s="6" t="str">
        <x:f>IF(H268="","No upstream dependency",IF(ISNUMBER(SEARCH(";",H268)),"Multiple dependencies - verify source queues",IFERROR(XLOOKUP(H268,C2:C1586,J2:J1586),"Dependency not found")))</x:f>
        <x:v>No upstream dependency</x:v>
      </x:c>
      <x:c r="J268" s="6" t="str">
        <x:v>Not Started</x:v>
      </x:c>
      <x:c r="K268" s="6" t="str">
        <x:v>Normal</x:v>
      </x:c>
      <x:c r="L268" s="6" t="str"/>
      <x:c r="M268" s="6" t="str"/>
      <x:c r="N268" s="6" t="str"/>
      <x:c r="O268" s="7" t="str"/>
      <x:c r="P268" s="6" t="str">
        <x:v>No</x:v>
      </x:c>
      <x:c r="Q268" s="7" t="str">
        <x:v>Identity review follows duplicate disposition where applicable.</x:v>
      </x:c>
    </x:row>
    <x:row r="269">
      <x:c r="A269" s="6" t="str">
        <x:v>SEQ-SID-0253</x:v>
      </x:c>
      <x:c r="B269" s="6" t="str">
        <x:v>Service Identity</x:v>
      </x:c>
      <x:c r="C269" s="6" t="str">
        <x:v>SIDX-0253</x:v>
      </x:c>
      <x:c r="D269" s="6" t="str">
        <x:v>SVC000253</x:v>
      </x:c>
      <x:c r="E269" s="6" t="str"/>
      <x:c r="F269" s="6" t="str">
        <x:v>Service identity review</x:v>
      </x:c>
      <x:c r="G269" s="6" t="n">
        <x:v>2</x:v>
      </x:c>
      <x:c r="H269" s="6" t="str"/>
      <x:c r="I269" s="6" t="str">
        <x:f>IF(H269="","No upstream dependency",IF(ISNUMBER(SEARCH(";",H269)),"Multiple dependencies - verify source queues",IFERROR(XLOOKUP(H269,C2:C1586,J2:J1586),"Dependency not found")))</x:f>
        <x:v>No upstream dependency</x:v>
      </x:c>
      <x:c r="J269" s="6" t="str">
        <x:v>Not Started</x:v>
      </x:c>
      <x:c r="K269" s="6" t="str">
        <x:v>Normal</x:v>
      </x:c>
      <x:c r="L269" s="6" t="str"/>
      <x:c r="M269" s="6" t="str"/>
      <x:c r="N269" s="6" t="str"/>
      <x:c r="O269" s="7" t="str"/>
      <x:c r="P269" s="6" t="str">
        <x:v>No</x:v>
      </x:c>
      <x:c r="Q269" s="7" t="str">
        <x:v>Identity review follows duplicate disposition where applicable.</x:v>
      </x:c>
    </x:row>
    <x:row r="270">
      <x:c r="A270" s="6" t="str">
        <x:v>SEQ-SID-0254</x:v>
      </x:c>
      <x:c r="B270" s="6" t="str">
        <x:v>Service Identity</x:v>
      </x:c>
      <x:c r="C270" s="6" t="str">
        <x:v>SIDX-0254</x:v>
      </x:c>
      <x:c r="D270" s="6" t="str">
        <x:v>SVC000254</x:v>
      </x:c>
      <x:c r="E270" s="6" t="str"/>
      <x:c r="F270" s="6" t="str">
        <x:v>Service identity review</x:v>
      </x:c>
      <x:c r="G270" s="6" t="n">
        <x:v>2</x:v>
      </x:c>
      <x:c r="H270" s="6" t="str"/>
      <x:c r="I270" s="6" t="str">
        <x:f>IF(H270="","No upstream dependency",IF(ISNUMBER(SEARCH(";",H270)),"Multiple dependencies - verify source queues",IFERROR(XLOOKUP(H270,C2:C1586,J2:J1586),"Dependency not found")))</x:f>
        <x:v>No upstream dependency</x:v>
      </x:c>
      <x:c r="J270" s="6" t="str">
        <x:v>Not Started</x:v>
      </x:c>
      <x:c r="K270" s="6" t="str">
        <x:v>Normal</x:v>
      </x:c>
      <x:c r="L270" s="6" t="str"/>
      <x:c r="M270" s="6" t="str"/>
      <x:c r="N270" s="6" t="str"/>
      <x:c r="O270" s="7" t="str"/>
      <x:c r="P270" s="6" t="str">
        <x:v>No</x:v>
      </x:c>
      <x:c r="Q270" s="7" t="str">
        <x:v>Identity review follows duplicate disposition where applicable.</x:v>
      </x:c>
    </x:row>
    <x:row r="271">
      <x:c r="A271" s="6" t="str">
        <x:v>SEQ-SID-0255</x:v>
      </x:c>
      <x:c r="B271" s="6" t="str">
        <x:v>Service Identity</x:v>
      </x:c>
      <x:c r="C271" s="6" t="str">
        <x:v>SIDX-0255</x:v>
      </x:c>
      <x:c r="D271" s="6" t="str">
        <x:v>SVC000255</x:v>
      </x:c>
      <x:c r="E271" s="6" t="str"/>
      <x:c r="F271" s="6" t="str">
        <x:v>Service identity review</x:v>
      </x:c>
      <x:c r="G271" s="6" t="n">
        <x:v>2</x:v>
      </x:c>
      <x:c r="H271" s="6" t="str"/>
      <x:c r="I271" s="6" t="str">
        <x:f>IF(H271="","No upstream dependency",IF(ISNUMBER(SEARCH(";",H271)),"Multiple dependencies - verify source queues",IFERROR(XLOOKUP(H271,C2:C1586,J2:J1586),"Dependency not found")))</x:f>
        <x:v>No upstream dependency</x:v>
      </x:c>
      <x:c r="J271" s="6" t="str">
        <x:v>Not Started</x:v>
      </x:c>
      <x:c r="K271" s="6" t="str">
        <x:v>Normal</x:v>
      </x:c>
      <x:c r="L271" s="6" t="str"/>
      <x:c r="M271" s="6" t="str"/>
      <x:c r="N271" s="6" t="str"/>
      <x:c r="O271" s="7" t="str"/>
      <x:c r="P271" s="6" t="str">
        <x:v>No</x:v>
      </x:c>
      <x:c r="Q271" s="7" t="str">
        <x:v>Identity review follows duplicate disposition where applicable.</x:v>
      </x:c>
    </x:row>
    <x:row r="272">
      <x:c r="A272" s="6" t="str">
        <x:v>SEQ-SID-0256</x:v>
      </x:c>
      <x:c r="B272" s="6" t="str">
        <x:v>Service Identity</x:v>
      </x:c>
      <x:c r="C272" s="6" t="str">
        <x:v>SIDX-0256</x:v>
      </x:c>
      <x:c r="D272" s="6" t="str">
        <x:v>SVC000256</x:v>
      </x:c>
      <x:c r="E272" s="6" t="str"/>
      <x:c r="F272" s="6" t="str">
        <x:v>Service identity review</x:v>
      </x:c>
      <x:c r="G272" s="6" t="n">
        <x:v>2</x:v>
      </x:c>
      <x:c r="H272" s="6" t="str"/>
      <x:c r="I272" s="6" t="str">
        <x:f>IF(H272="","No upstream dependency",IF(ISNUMBER(SEARCH(";",H272)),"Multiple dependencies - verify source queues",IFERROR(XLOOKUP(H272,C2:C1586,J2:J1586),"Dependency not found")))</x:f>
        <x:v>No upstream dependency</x:v>
      </x:c>
      <x:c r="J272" s="6" t="str">
        <x:v>Not Started</x:v>
      </x:c>
      <x:c r="K272" s="6" t="str">
        <x:v>Normal</x:v>
      </x:c>
      <x:c r="L272" s="6" t="str"/>
      <x:c r="M272" s="6" t="str"/>
      <x:c r="N272" s="6" t="str"/>
      <x:c r="O272" s="7" t="str"/>
      <x:c r="P272" s="6" t="str">
        <x:v>No</x:v>
      </x:c>
      <x:c r="Q272" s="7" t="str">
        <x:v>Identity review follows duplicate disposition where applicable.</x:v>
      </x:c>
    </x:row>
    <x:row r="273">
      <x:c r="A273" s="6" t="str">
        <x:v>SEQ-SID-0257</x:v>
      </x:c>
      <x:c r="B273" s="6" t="str">
        <x:v>Service Identity</x:v>
      </x:c>
      <x:c r="C273" s="6" t="str">
        <x:v>SIDX-0257</x:v>
      </x:c>
      <x:c r="D273" s="6" t="str">
        <x:v>SVC000257</x:v>
      </x:c>
      <x:c r="E273" s="6" t="str"/>
      <x:c r="F273" s="6" t="str">
        <x:v>Service identity review</x:v>
      </x:c>
      <x:c r="G273" s="6" t="n">
        <x:v>2</x:v>
      </x:c>
      <x:c r="H273" s="6" t="str"/>
      <x:c r="I273" s="6" t="str">
        <x:f>IF(H273="","No upstream dependency",IF(ISNUMBER(SEARCH(";",H273)),"Multiple dependencies - verify source queues",IFERROR(XLOOKUP(H273,C2:C1586,J2:J1586),"Dependency not found")))</x:f>
        <x:v>No upstream dependency</x:v>
      </x:c>
      <x:c r="J273" s="6" t="str">
        <x:v>Not Started</x:v>
      </x:c>
      <x:c r="K273" s="6" t="str">
        <x:v>Normal</x:v>
      </x:c>
      <x:c r="L273" s="6" t="str"/>
      <x:c r="M273" s="6" t="str"/>
      <x:c r="N273" s="6" t="str"/>
      <x:c r="O273" s="7" t="str"/>
      <x:c r="P273" s="6" t="str">
        <x:v>No</x:v>
      </x:c>
      <x:c r="Q273" s="7" t="str">
        <x:v>Identity review follows duplicate disposition where applicable.</x:v>
      </x:c>
    </x:row>
    <x:row r="274">
      <x:c r="A274" s="6" t="str">
        <x:v>SEQ-SID-0258</x:v>
      </x:c>
      <x:c r="B274" s="6" t="str">
        <x:v>Service Identity</x:v>
      </x:c>
      <x:c r="C274" s="6" t="str">
        <x:v>SIDX-0258</x:v>
      </x:c>
      <x:c r="D274" s="6" t="str">
        <x:v>SVC000258</x:v>
      </x:c>
      <x:c r="E274" s="6" t="str"/>
      <x:c r="F274" s="6" t="str">
        <x:v>Service identity review</x:v>
      </x:c>
      <x:c r="G274" s="6" t="n">
        <x:v>2</x:v>
      </x:c>
      <x:c r="H274" s="6" t="str"/>
      <x:c r="I274" s="6" t="str">
        <x:f>IF(H274="","No upstream dependency",IF(ISNUMBER(SEARCH(";",H274)),"Multiple dependencies - verify source queues",IFERROR(XLOOKUP(H274,C2:C1586,J2:J1586),"Dependency not found")))</x:f>
        <x:v>No upstream dependency</x:v>
      </x:c>
      <x:c r="J274" s="6" t="str">
        <x:v>Not Started</x:v>
      </x:c>
      <x:c r="K274" s="6" t="str">
        <x:v>Normal</x:v>
      </x:c>
      <x:c r="L274" s="6" t="str"/>
      <x:c r="M274" s="6" t="str"/>
      <x:c r="N274" s="6" t="str"/>
      <x:c r="O274" s="7" t="str"/>
      <x:c r="P274" s="6" t="str">
        <x:v>No</x:v>
      </x:c>
      <x:c r="Q274" s="7" t="str">
        <x:v>Identity review follows duplicate disposition where applicable.</x:v>
      </x:c>
    </x:row>
    <x:row r="275">
      <x:c r="A275" s="6" t="str">
        <x:v>SEQ-SID-0259</x:v>
      </x:c>
      <x:c r="B275" s="6" t="str">
        <x:v>Service Identity</x:v>
      </x:c>
      <x:c r="C275" s="6" t="str">
        <x:v>SIDX-0259</x:v>
      </x:c>
      <x:c r="D275" s="6" t="str">
        <x:v>SVC000259</x:v>
      </x:c>
      <x:c r="E275" s="6" t="str"/>
      <x:c r="F275" s="6" t="str">
        <x:v>Service identity review</x:v>
      </x:c>
      <x:c r="G275" s="6" t="n">
        <x:v>2</x:v>
      </x:c>
      <x:c r="H275" s="6" t="str"/>
      <x:c r="I275" s="6" t="str">
        <x:f>IF(H275="","No upstream dependency",IF(ISNUMBER(SEARCH(";",H275)),"Multiple dependencies - verify source queues",IFERROR(XLOOKUP(H275,C2:C1586,J2:J1586),"Dependency not found")))</x:f>
        <x:v>No upstream dependency</x:v>
      </x:c>
      <x:c r="J275" s="6" t="str">
        <x:v>Not Started</x:v>
      </x:c>
      <x:c r="K275" s="6" t="str">
        <x:v>Normal</x:v>
      </x:c>
      <x:c r="L275" s="6" t="str"/>
      <x:c r="M275" s="6" t="str"/>
      <x:c r="N275" s="6" t="str"/>
      <x:c r="O275" s="7" t="str"/>
      <x:c r="P275" s="6" t="str">
        <x:v>No</x:v>
      </x:c>
      <x:c r="Q275" s="7" t="str">
        <x:v>Identity review follows duplicate disposition where applicable.</x:v>
      </x:c>
    </x:row>
    <x:row r="276">
      <x:c r="A276" s="6" t="str">
        <x:v>SEQ-SID-0260</x:v>
      </x:c>
      <x:c r="B276" s="6" t="str">
        <x:v>Service Identity</x:v>
      </x:c>
      <x:c r="C276" s="6" t="str">
        <x:v>SIDX-0260</x:v>
      </x:c>
      <x:c r="D276" s="6" t="str">
        <x:v>SVC000260</x:v>
      </x:c>
      <x:c r="E276" s="6" t="str"/>
      <x:c r="F276" s="6" t="str">
        <x:v>Service identity review</x:v>
      </x:c>
      <x:c r="G276" s="6" t="n">
        <x:v>2</x:v>
      </x:c>
      <x:c r="H276" s="6" t="str"/>
      <x:c r="I276" s="6" t="str">
        <x:f>IF(H276="","No upstream dependency",IF(ISNUMBER(SEARCH(";",H276)),"Multiple dependencies - verify source queues",IFERROR(XLOOKUP(H276,C2:C1586,J2:J1586),"Dependency not found")))</x:f>
        <x:v>No upstream dependency</x:v>
      </x:c>
      <x:c r="J276" s="6" t="str">
        <x:v>Not Started</x:v>
      </x:c>
      <x:c r="K276" s="6" t="str">
        <x:v>Normal</x:v>
      </x:c>
      <x:c r="L276" s="6" t="str"/>
      <x:c r="M276" s="6" t="str"/>
      <x:c r="N276" s="6" t="str"/>
      <x:c r="O276" s="7" t="str"/>
      <x:c r="P276" s="6" t="str">
        <x:v>No</x:v>
      </x:c>
      <x:c r="Q276" s="7" t="str">
        <x:v>Identity review follows duplicate disposition where applicable.</x:v>
      </x:c>
    </x:row>
    <x:row r="277">
      <x:c r="A277" s="6" t="str">
        <x:v>SEQ-SID-0261</x:v>
      </x:c>
      <x:c r="B277" s="6" t="str">
        <x:v>Service Identity</x:v>
      </x:c>
      <x:c r="C277" s="6" t="str">
        <x:v>SIDX-0261</x:v>
      </x:c>
      <x:c r="D277" s="6" t="str">
        <x:v>SVC000261</x:v>
      </x:c>
      <x:c r="E277" s="6" t="str"/>
      <x:c r="F277" s="6" t="str">
        <x:v>Service identity review</x:v>
      </x:c>
      <x:c r="G277" s="6" t="n">
        <x:v>2</x:v>
      </x:c>
      <x:c r="H277" s="6" t="str"/>
      <x:c r="I277" s="6" t="str">
        <x:f>IF(H277="","No upstream dependency",IF(ISNUMBER(SEARCH(";",H277)),"Multiple dependencies - verify source queues",IFERROR(XLOOKUP(H277,C2:C1586,J2:J1586),"Dependency not found")))</x:f>
        <x:v>No upstream dependency</x:v>
      </x:c>
      <x:c r="J277" s="6" t="str">
        <x:v>Not Started</x:v>
      </x:c>
      <x:c r="K277" s="6" t="str">
        <x:v>Normal</x:v>
      </x:c>
      <x:c r="L277" s="6" t="str"/>
      <x:c r="M277" s="6" t="str"/>
      <x:c r="N277" s="6" t="str"/>
      <x:c r="O277" s="7" t="str"/>
      <x:c r="P277" s="6" t="str">
        <x:v>No</x:v>
      </x:c>
      <x:c r="Q277" s="7" t="str">
        <x:v>Identity review follows duplicate disposition where applicable.</x:v>
      </x:c>
    </x:row>
    <x:row r="278">
      <x:c r="A278" s="6" t="str">
        <x:v>SEQ-SID-0262</x:v>
      </x:c>
      <x:c r="B278" s="6" t="str">
        <x:v>Service Identity</x:v>
      </x:c>
      <x:c r="C278" s="6" t="str">
        <x:v>SIDX-0262</x:v>
      </x:c>
      <x:c r="D278" s="6" t="str">
        <x:v>SVC000262</x:v>
      </x:c>
      <x:c r="E278" s="6" t="str"/>
      <x:c r="F278" s="6" t="str">
        <x:v>Service identity review</x:v>
      </x:c>
      <x:c r="G278" s="6" t="n">
        <x:v>2</x:v>
      </x:c>
      <x:c r="H278" s="6" t="str"/>
      <x:c r="I278" s="6" t="str">
        <x:f>IF(H278="","No upstream dependency",IF(ISNUMBER(SEARCH(";",H278)),"Multiple dependencies - verify source queues",IFERROR(XLOOKUP(H278,C2:C1586,J2:J1586),"Dependency not found")))</x:f>
        <x:v>No upstream dependency</x:v>
      </x:c>
      <x:c r="J278" s="6" t="str">
        <x:v>Not Started</x:v>
      </x:c>
      <x:c r="K278" s="6" t="str">
        <x:v>Normal</x:v>
      </x:c>
      <x:c r="L278" s="6" t="str"/>
      <x:c r="M278" s="6" t="str"/>
      <x:c r="N278" s="6" t="str"/>
      <x:c r="O278" s="7" t="str"/>
      <x:c r="P278" s="6" t="str">
        <x:v>No</x:v>
      </x:c>
      <x:c r="Q278" s="7" t="str">
        <x:v>Identity review follows duplicate disposition where applicable.</x:v>
      </x:c>
    </x:row>
    <x:row r="279">
      <x:c r="A279" s="6" t="str">
        <x:v>SEQ-SID-0263</x:v>
      </x:c>
      <x:c r="B279" s="6" t="str">
        <x:v>Service Identity</x:v>
      </x:c>
      <x:c r="C279" s="6" t="str">
        <x:v>SIDX-0263</x:v>
      </x:c>
      <x:c r="D279" s="6" t="str">
        <x:v>SVC000263</x:v>
      </x:c>
      <x:c r="E279" s="6" t="str"/>
      <x:c r="F279" s="6" t="str">
        <x:v>Service identity review</x:v>
      </x:c>
      <x:c r="G279" s="6" t="n">
        <x:v>2</x:v>
      </x:c>
      <x:c r="H279" s="6" t="str"/>
      <x:c r="I279" s="6" t="str">
        <x:f>IF(H279="","No upstream dependency",IF(ISNUMBER(SEARCH(";",H279)),"Multiple dependencies - verify source queues",IFERROR(XLOOKUP(H279,C2:C1586,J2:J1586),"Dependency not found")))</x:f>
        <x:v>No upstream dependency</x:v>
      </x:c>
      <x:c r="J279" s="6" t="str">
        <x:v>Not Started</x:v>
      </x:c>
      <x:c r="K279" s="6" t="str">
        <x:v>Normal</x:v>
      </x:c>
      <x:c r="L279" s="6" t="str"/>
      <x:c r="M279" s="6" t="str"/>
      <x:c r="N279" s="6" t="str"/>
      <x:c r="O279" s="7" t="str"/>
      <x:c r="P279" s="6" t="str">
        <x:v>No</x:v>
      </x:c>
      <x:c r="Q279" s="7" t="str">
        <x:v>Identity review follows duplicate disposition where applicable.</x:v>
      </x:c>
    </x:row>
    <x:row r="280">
      <x:c r="A280" s="6" t="str">
        <x:v>SEQ-SID-0264</x:v>
      </x:c>
      <x:c r="B280" s="6" t="str">
        <x:v>Service Identity</x:v>
      </x:c>
      <x:c r="C280" s="6" t="str">
        <x:v>SIDX-0264</x:v>
      </x:c>
      <x:c r="D280" s="6" t="str">
        <x:v>SVC000264</x:v>
      </x:c>
      <x:c r="E280" s="6" t="str"/>
      <x:c r="F280" s="6" t="str">
        <x:v>Service identity review</x:v>
      </x:c>
      <x:c r="G280" s="6" t="n">
        <x:v>2</x:v>
      </x:c>
      <x:c r="H280" s="6" t="str"/>
      <x:c r="I280" s="6" t="str">
        <x:f>IF(H280="","No upstream dependency",IF(ISNUMBER(SEARCH(";",H280)),"Multiple dependencies - verify source queues",IFERROR(XLOOKUP(H280,C2:C1586,J2:J1586),"Dependency not found")))</x:f>
        <x:v>No upstream dependency</x:v>
      </x:c>
      <x:c r="J280" s="6" t="str">
        <x:v>Not Started</x:v>
      </x:c>
      <x:c r="K280" s="6" t="str">
        <x:v>Normal</x:v>
      </x:c>
      <x:c r="L280" s="6" t="str"/>
      <x:c r="M280" s="6" t="str"/>
      <x:c r="N280" s="6" t="str"/>
      <x:c r="O280" s="7" t="str"/>
      <x:c r="P280" s="6" t="str">
        <x:v>No</x:v>
      </x:c>
      <x:c r="Q280" s="7" t="str">
        <x:v>Identity review follows duplicate disposition where applicable.</x:v>
      </x:c>
    </x:row>
    <x:row r="281">
      <x:c r="A281" s="6" t="str">
        <x:v>SEQ-SID-0265</x:v>
      </x:c>
      <x:c r="B281" s="6" t="str">
        <x:v>Service Identity</x:v>
      </x:c>
      <x:c r="C281" s="6" t="str">
        <x:v>SIDX-0265</x:v>
      </x:c>
      <x:c r="D281" s="6" t="str">
        <x:v>SVC000265</x:v>
      </x:c>
      <x:c r="E281" s="6" t="str"/>
      <x:c r="F281" s="6" t="str">
        <x:v>Service identity review</x:v>
      </x:c>
      <x:c r="G281" s="6" t="n">
        <x:v>2</x:v>
      </x:c>
      <x:c r="H281" s="6" t="str"/>
      <x:c r="I281" s="6" t="str">
        <x:f>IF(H281="","No upstream dependency",IF(ISNUMBER(SEARCH(";",H281)),"Multiple dependencies - verify source queues",IFERROR(XLOOKUP(H281,C2:C1586,J2:J1586),"Dependency not found")))</x:f>
        <x:v>No upstream dependency</x:v>
      </x:c>
      <x:c r="J281" s="6" t="str">
        <x:v>Not Started</x:v>
      </x:c>
      <x:c r="K281" s="6" t="str">
        <x:v>Normal</x:v>
      </x:c>
      <x:c r="L281" s="6" t="str"/>
      <x:c r="M281" s="6" t="str"/>
      <x:c r="N281" s="6" t="str"/>
      <x:c r="O281" s="7" t="str"/>
      <x:c r="P281" s="6" t="str">
        <x:v>No</x:v>
      </x:c>
      <x:c r="Q281" s="7" t="str">
        <x:v>Identity review follows duplicate disposition where applicable.</x:v>
      </x:c>
    </x:row>
    <x:row r="282">
      <x:c r="A282" s="6" t="str">
        <x:v>SEQ-SID-0266</x:v>
      </x:c>
      <x:c r="B282" s="6" t="str">
        <x:v>Service Identity</x:v>
      </x:c>
      <x:c r="C282" s="6" t="str">
        <x:v>SIDX-0266</x:v>
      </x:c>
      <x:c r="D282" s="6" t="str">
        <x:v>SVC000266</x:v>
      </x:c>
      <x:c r="E282" s="6" t="str"/>
      <x:c r="F282" s="6" t="str">
        <x:v>Service identity review</x:v>
      </x:c>
      <x:c r="G282" s="6" t="n">
        <x:v>2</x:v>
      </x:c>
      <x:c r="H282" s="6" t="str"/>
      <x:c r="I282" s="6" t="str">
        <x:f>IF(H282="","No upstream dependency",IF(ISNUMBER(SEARCH(";",H282)),"Multiple dependencies - verify source queues",IFERROR(XLOOKUP(H282,C2:C1586,J2:J1586),"Dependency not found")))</x:f>
        <x:v>No upstream dependency</x:v>
      </x:c>
      <x:c r="J282" s="6" t="str">
        <x:v>Not Started</x:v>
      </x:c>
      <x:c r="K282" s="6" t="str">
        <x:v>Normal</x:v>
      </x:c>
      <x:c r="L282" s="6" t="str"/>
      <x:c r="M282" s="6" t="str"/>
      <x:c r="N282" s="6" t="str"/>
      <x:c r="O282" s="7" t="str"/>
      <x:c r="P282" s="6" t="str">
        <x:v>No</x:v>
      </x:c>
      <x:c r="Q282" s="7" t="str">
        <x:v>Identity review follows duplicate disposition where applicable.</x:v>
      </x:c>
    </x:row>
    <x:row r="283">
      <x:c r="A283" s="6" t="str">
        <x:v>SEQ-SID-0267</x:v>
      </x:c>
      <x:c r="B283" s="6" t="str">
        <x:v>Service Identity</x:v>
      </x:c>
      <x:c r="C283" s="6" t="str">
        <x:v>SIDX-0267</x:v>
      </x:c>
      <x:c r="D283" s="6" t="str">
        <x:v>SVC000267</x:v>
      </x:c>
      <x:c r="E283" s="6" t="str"/>
      <x:c r="F283" s="6" t="str">
        <x:v>Service identity review</x:v>
      </x:c>
      <x:c r="G283" s="6" t="n">
        <x:v>2</x:v>
      </x:c>
      <x:c r="H283" s="6" t="str"/>
      <x:c r="I283" s="6" t="str">
        <x:f>IF(H283="","No upstream dependency",IF(ISNUMBER(SEARCH(";",H283)),"Multiple dependencies - verify source queues",IFERROR(XLOOKUP(H283,C2:C1586,J2:J1586),"Dependency not found")))</x:f>
        <x:v>No upstream dependency</x:v>
      </x:c>
      <x:c r="J283" s="6" t="str">
        <x:v>Not Started</x:v>
      </x:c>
      <x:c r="K283" s="6" t="str">
        <x:v>Normal</x:v>
      </x:c>
      <x:c r="L283" s="6" t="str"/>
      <x:c r="M283" s="6" t="str"/>
      <x:c r="N283" s="6" t="str"/>
      <x:c r="O283" s="7" t="str"/>
      <x:c r="P283" s="6" t="str">
        <x:v>No</x:v>
      </x:c>
      <x:c r="Q283" s="7" t="str">
        <x:v>Identity review follows duplicate disposition where applicable.</x:v>
      </x:c>
    </x:row>
    <x:row r="284">
      <x:c r="A284" s="6" t="str">
        <x:v>SEQ-SID-0268</x:v>
      </x:c>
      <x:c r="B284" s="6" t="str">
        <x:v>Service Identity</x:v>
      </x:c>
      <x:c r="C284" s="6" t="str">
        <x:v>SIDX-0268</x:v>
      </x:c>
      <x:c r="D284" s="6" t="str">
        <x:v>SVC000268</x:v>
      </x:c>
      <x:c r="E284" s="6" t="str"/>
      <x:c r="F284" s="6" t="str">
        <x:v>Service identity review</x:v>
      </x:c>
      <x:c r="G284" s="6" t="n">
        <x:v>2</x:v>
      </x:c>
      <x:c r="H284" s="6" t="str"/>
      <x:c r="I284" s="6" t="str">
        <x:f>IF(H284="","No upstream dependency",IF(ISNUMBER(SEARCH(";",H284)),"Multiple dependencies - verify source queues",IFERROR(XLOOKUP(H284,C2:C1586,J2:J1586),"Dependency not found")))</x:f>
        <x:v>No upstream dependency</x:v>
      </x:c>
      <x:c r="J284" s="6" t="str">
        <x:v>Not Started</x:v>
      </x:c>
      <x:c r="K284" s="6" t="str">
        <x:v>Normal</x:v>
      </x:c>
      <x:c r="L284" s="6" t="str"/>
      <x:c r="M284" s="6" t="str"/>
      <x:c r="N284" s="6" t="str"/>
      <x:c r="O284" s="7" t="str"/>
      <x:c r="P284" s="6" t="str">
        <x:v>No</x:v>
      </x:c>
      <x:c r="Q284" s="7" t="str">
        <x:v>Identity review follows duplicate disposition where applicable.</x:v>
      </x:c>
    </x:row>
    <x:row r="285">
      <x:c r="A285" s="6" t="str">
        <x:v>SEQ-SID-0269</x:v>
      </x:c>
      <x:c r="B285" s="6" t="str">
        <x:v>Service Identity</x:v>
      </x:c>
      <x:c r="C285" s="6" t="str">
        <x:v>SIDX-0269</x:v>
      </x:c>
      <x:c r="D285" s="6" t="str">
        <x:v>SVC000269</x:v>
      </x:c>
      <x:c r="E285" s="6" t="str"/>
      <x:c r="F285" s="6" t="str">
        <x:v>Service identity review</x:v>
      </x:c>
      <x:c r="G285" s="6" t="n">
        <x:v>2</x:v>
      </x:c>
      <x:c r="H285" s="6" t="str"/>
      <x:c r="I285" s="6" t="str">
        <x:f>IF(H285="","No upstream dependency",IF(ISNUMBER(SEARCH(";",H285)),"Multiple dependencies - verify source queues",IFERROR(XLOOKUP(H285,C2:C1586,J2:J1586),"Dependency not found")))</x:f>
        <x:v>No upstream dependency</x:v>
      </x:c>
      <x:c r="J285" s="6" t="str">
        <x:v>Not Started</x:v>
      </x:c>
      <x:c r="K285" s="6" t="str">
        <x:v>Normal</x:v>
      </x:c>
      <x:c r="L285" s="6" t="str"/>
      <x:c r="M285" s="6" t="str"/>
      <x:c r="N285" s="6" t="str"/>
      <x:c r="O285" s="7" t="str"/>
      <x:c r="P285" s="6" t="str">
        <x:v>No</x:v>
      </x:c>
      <x:c r="Q285" s="7" t="str">
        <x:v>Identity review follows duplicate disposition where applicable.</x:v>
      </x:c>
    </x:row>
    <x:row r="286">
      <x:c r="A286" s="6" t="str">
        <x:v>SEQ-SID-0270</x:v>
      </x:c>
      <x:c r="B286" s="6" t="str">
        <x:v>Service Identity</x:v>
      </x:c>
      <x:c r="C286" s="6" t="str">
        <x:v>SIDX-0270</x:v>
      </x:c>
      <x:c r="D286" s="6" t="str">
        <x:v>SVC000270</x:v>
      </x:c>
      <x:c r="E286" s="6" t="str"/>
      <x:c r="F286" s="6" t="str">
        <x:v>Service identity review</x:v>
      </x:c>
      <x:c r="G286" s="6" t="n">
        <x:v>2</x:v>
      </x:c>
      <x:c r="H286" s="6" t="str"/>
      <x:c r="I286" s="6" t="str">
        <x:f>IF(H286="","No upstream dependency",IF(ISNUMBER(SEARCH(";",H286)),"Multiple dependencies - verify source queues",IFERROR(XLOOKUP(H286,C2:C1586,J2:J1586),"Dependency not found")))</x:f>
        <x:v>No upstream dependency</x:v>
      </x:c>
      <x:c r="J286" s="6" t="str">
        <x:v>Not Started</x:v>
      </x:c>
      <x:c r="K286" s="6" t="str">
        <x:v>Normal</x:v>
      </x:c>
      <x:c r="L286" s="6" t="str"/>
      <x:c r="M286" s="6" t="str"/>
      <x:c r="N286" s="6" t="str"/>
      <x:c r="O286" s="7" t="str"/>
      <x:c r="P286" s="6" t="str">
        <x:v>No</x:v>
      </x:c>
      <x:c r="Q286" s="7" t="str">
        <x:v>Identity review follows duplicate disposition where applicable.</x:v>
      </x:c>
    </x:row>
    <x:row r="287">
      <x:c r="A287" s="6" t="str">
        <x:v>SEQ-SID-0271</x:v>
      </x:c>
      <x:c r="B287" s="6" t="str">
        <x:v>Service Identity</x:v>
      </x:c>
      <x:c r="C287" s="6" t="str">
        <x:v>SIDX-0271</x:v>
      </x:c>
      <x:c r="D287" s="6" t="str">
        <x:v>SVC000271</x:v>
      </x:c>
      <x:c r="E287" s="6" t="str"/>
      <x:c r="F287" s="6" t="str">
        <x:v>Service identity review</x:v>
      </x:c>
      <x:c r="G287" s="6" t="n">
        <x:v>2</x:v>
      </x:c>
      <x:c r="H287" s="6" t="str"/>
      <x:c r="I287" s="6" t="str">
        <x:f>IF(H287="","No upstream dependency",IF(ISNUMBER(SEARCH(";",H287)),"Multiple dependencies - verify source queues",IFERROR(XLOOKUP(H287,C2:C1586,J2:J1586),"Dependency not found")))</x:f>
        <x:v>No upstream dependency</x:v>
      </x:c>
      <x:c r="J287" s="6" t="str">
        <x:v>Not Started</x:v>
      </x:c>
      <x:c r="K287" s="6" t="str">
        <x:v>Normal</x:v>
      </x:c>
      <x:c r="L287" s="6" t="str"/>
      <x:c r="M287" s="6" t="str"/>
      <x:c r="N287" s="6" t="str"/>
      <x:c r="O287" s="7" t="str"/>
      <x:c r="P287" s="6" t="str">
        <x:v>No</x:v>
      </x:c>
      <x:c r="Q287" s="7" t="str">
        <x:v>Identity review follows duplicate disposition where applicable.</x:v>
      </x:c>
    </x:row>
    <x:row r="288">
      <x:c r="A288" s="6" t="str">
        <x:v>SEQ-SID-0272</x:v>
      </x:c>
      <x:c r="B288" s="6" t="str">
        <x:v>Service Identity</x:v>
      </x:c>
      <x:c r="C288" s="6" t="str">
        <x:v>SIDX-0272</x:v>
      </x:c>
      <x:c r="D288" s="6" t="str">
        <x:v>SVC000272</x:v>
      </x:c>
      <x:c r="E288" s="6" t="str"/>
      <x:c r="F288" s="6" t="str">
        <x:v>Service identity review</x:v>
      </x:c>
      <x:c r="G288" s="6" t="n">
        <x:v>2</x:v>
      </x:c>
      <x:c r="H288" s="6" t="str"/>
      <x:c r="I288" s="6" t="str">
        <x:f>IF(H288="","No upstream dependency",IF(ISNUMBER(SEARCH(";",H288)),"Multiple dependencies - verify source queues",IFERROR(XLOOKUP(H288,C2:C1586,J2:J1586),"Dependency not found")))</x:f>
        <x:v>No upstream dependency</x:v>
      </x:c>
      <x:c r="J288" s="6" t="str">
        <x:v>Not Started</x:v>
      </x:c>
      <x:c r="K288" s="6" t="str">
        <x:v>Normal</x:v>
      </x:c>
      <x:c r="L288" s="6" t="str"/>
      <x:c r="M288" s="6" t="str"/>
      <x:c r="N288" s="6" t="str"/>
      <x:c r="O288" s="7" t="str"/>
      <x:c r="P288" s="6" t="str">
        <x:v>No</x:v>
      </x:c>
      <x:c r="Q288" s="7" t="str">
        <x:v>Identity review follows duplicate disposition where applicable.</x:v>
      </x:c>
    </x:row>
    <x:row r="289">
      <x:c r="A289" s="6" t="str">
        <x:v>SEQ-SID-0273</x:v>
      </x:c>
      <x:c r="B289" s="6" t="str">
        <x:v>Service Identity</x:v>
      </x:c>
      <x:c r="C289" s="6" t="str">
        <x:v>SIDX-0273</x:v>
      </x:c>
      <x:c r="D289" s="6" t="str">
        <x:v>SVC000273</x:v>
      </x:c>
      <x:c r="E289" s="6" t="str"/>
      <x:c r="F289" s="6" t="str">
        <x:v>Service identity review</x:v>
      </x:c>
      <x:c r="G289" s="6" t="n">
        <x:v>2</x:v>
      </x:c>
      <x:c r="H289" s="6" t="str"/>
      <x:c r="I289" s="6" t="str">
        <x:f>IF(H289="","No upstream dependency",IF(ISNUMBER(SEARCH(";",H289)),"Multiple dependencies - verify source queues",IFERROR(XLOOKUP(H289,C2:C1586,J2:J1586),"Dependency not found")))</x:f>
        <x:v>No upstream dependency</x:v>
      </x:c>
      <x:c r="J289" s="6" t="str">
        <x:v>Not Started</x:v>
      </x:c>
      <x:c r="K289" s="6" t="str">
        <x:v>Normal</x:v>
      </x:c>
      <x:c r="L289" s="6" t="str"/>
      <x:c r="M289" s="6" t="str"/>
      <x:c r="N289" s="6" t="str"/>
      <x:c r="O289" s="7" t="str"/>
      <x:c r="P289" s="6" t="str">
        <x:v>No</x:v>
      </x:c>
      <x:c r="Q289" s="7" t="str">
        <x:v>Identity review follows duplicate disposition where applicable.</x:v>
      </x:c>
    </x:row>
    <x:row r="290">
      <x:c r="A290" s="6" t="str">
        <x:v>SEQ-SID-0274</x:v>
      </x:c>
      <x:c r="B290" s="6" t="str">
        <x:v>Service Identity</x:v>
      </x:c>
      <x:c r="C290" s="6" t="str">
        <x:v>SIDX-0274</x:v>
      </x:c>
      <x:c r="D290" s="6" t="str">
        <x:v>SVC000274</x:v>
      </x:c>
      <x:c r="E290" s="6" t="str"/>
      <x:c r="F290" s="6" t="str">
        <x:v>Service identity review</x:v>
      </x:c>
      <x:c r="G290" s="6" t="n">
        <x:v>2</x:v>
      </x:c>
      <x:c r="H290" s="6" t="str"/>
      <x:c r="I290" s="6" t="str">
        <x:f>IF(H290="","No upstream dependency",IF(ISNUMBER(SEARCH(";",H290)),"Multiple dependencies - verify source queues",IFERROR(XLOOKUP(H290,C2:C1586,J2:J1586),"Dependency not found")))</x:f>
        <x:v>No upstream dependency</x:v>
      </x:c>
      <x:c r="J290" s="6" t="str">
        <x:v>Not Started</x:v>
      </x:c>
      <x:c r="K290" s="6" t="str">
        <x:v>Normal</x:v>
      </x:c>
      <x:c r="L290" s="6" t="str"/>
      <x:c r="M290" s="6" t="str"/>
      <x:c r="N290" s="6" t="str"/>
      <x:c r="O290" s="7" t="str"/>
      <x:c r="P290" s="6" t="str">
        <x:v>No</x:v>
      </x:c>
      <x:c r="Q290" s="7" t="str">
        <x:v>Identity review follows duplicate disposition where applicable.</x:v>
      </x:c>
    </x:row>
    <x:row r="291">
      <x:c r="A291" s="6" t="str">
        <x:v>SEQ-SID-0275</x:v>
      </x:c>
      <x:c r="B291" s="6" t="str">
        <x:v>Service Identity</x:v>
      </x:c>
      <x:c r="C291" s="6" t="str">
        <x:v>SIDX-0275</x:v>
      </x:c>
      <x:c r="D291" s="6" t="str">
        <x:v>SVC000275</x:v>
      </x:c>
      <x:c r="E291" s="6" t="str"/>
      <x:c r="F291" s="6" t="str">
        <x:v>Service identity review</x:v>
      </x:c>
      <x:c r="G291" s="6" t="n">
        <x:v>2</x:v>
      </x:c>
      <x:c r="H291" s="6" t="str"/>
      <x:c r="I291" s="6" t="str">
        <x:f>IF(H291="","No upstream dependency",IF(ISNUMBER(SEARCH(";",H291)),"Multiple dependencies - verify source queues",IFERROR(XLOOKUP(H291,C2:C1586,J2:J1586),"Dependency not found")))</x:f>
        <x:v>No upstream dependency</x:v>
      </x:c>
      <x:c r="J291" s="6" t="str">
        <x:v>Not Started</x:v>
      </x:c>
      <x:c r="K291" s="6" t="str">
        <x:v>Normal</x:v>
      </x:c>
      <x:c r="L291" s="6" t="str"/>
      <x:c r="M291" s="6" t="str"/>
      <x:c r="N291" s="6" t="str"/>
      <x:c r="O291" s="7" t="str"/>
      <x:c r="P291" s="6" t="str">
        <x:v>No</x:v>
      </x:c>
      <x:c r="Q291" s="7" t="str">
        <x:v>Identity review follows duplicate disposition where applicable.</x:v>
      </x:c>
    </x:row>
    <x:row r="292">
      <x:c r="A292" s="6" t="str">
        <x:v>SEQ-SID-0276</x:v>
      </x:c>
      <x:c r="B292" s="6" t="str">
        <x:v>Service Identity</x:v>
      </x:c>
      <x:c r="C292" s="6" t="str">
        <x:v>SIDX-0276</x:v>
      </x:c>
      <x:c r="D292" s="6" t="str">
        <x:v>SVC000276</x:v>
      </x:c>
      <x:c r="E292" s="6" t="str"/>
      <x:c r="F292" s="6" t="str">
        <x:v>Service identity review</x:v>
      </x:c>
      <x:c r="G292" s="6" t="n">
        <x:v>2</x:v>
      </x:c>
      <x:c r="H292" s="6" t="str"/>
      <x:c r="I292" s="6" t="str">
        <x:f>IF(H292="","No upstream dependency",IF(ISNUMBER(SEARCH(";",H292)),"Multiple dependencies - verify source queues",IFERROR(XLOOKUP(H292,C2:C1586,J2:J1586),"Dependency not found")))</x:f>
        <x:v>No upstream dependency</x:v>
      </x:c>
      <x:c r="J292" s="6" t="str">
        <x:v>Not Started</x:v>
      </x:c>
      <x:c r="K292" s="6" t="str">
        <x:v>Normal</x:v>
      </x:c>
      <x:c r="L292" s="6" t="str"/>
      <x:c r="M292" s="6" t="str"/>
      <x:c r="N292" s="6" t="str"/>
      <x:c r="O292" s="7" t="str"/>
      <x:c r="P292" s="6" t="str">
        <x:v>No</x:v>
      </x:c>
      <x:c r="Q292" s="7" t="str">
        <x:v>Identity review follows duplicate disposition where applicable.</x:v>
      </x:c>
    </x:row>
    <x:row r="293">
      <x:c r="A293" s="6" t="str">
        <x:v>SEQ-SID-0277</x:v>
      </x:c>
      <x:c r="B293" s="6" t="str">
        <x:v>Service Identity</x:v>
      </x:c>
      <x:c r="C293" s="6" t="str">
        <x:v>SIDX-0277</x:v>
      </x:c>
      <x:c r="D293" s="6" t="str">
        <x:v>SVC000277</x:v>
      </x:c>
      <x:c r="E293" s="6" t="str"/>
      <x:c r="F293" s="6" t="str">
        <x:v>Service identity review</x:v>
      </x:c>
      <x:c r="G293" s="6" t="n">
        <x:v>2</x:v>
      </x:c>
      <x:c r="H293" s="6" t="str"/>
      <x:c r="I293" s="6" t="str">
        <x:f>IF(H293="","No upstream dependency",IF(ISNUMBER(SEARCH(";",H293)),"Multiple dependencies - verify source queues",IFERROR(XLOOKUP(H293,C2:C1586,J2:J1586),"Dependency not found")))</x:f>
        <x:v>No upstream dependency</x:v>
      </x:c>
      <x:c r="J293" s="6" t="str">
        <x:v>Not Started</x:v>
      </x:c>
      <x:c r="K293" s="6" t="str">
        <x:v>Normal</x:v>
      </x:c>
      <x:c r="L293" s="6" t="str"/>
      <x:c r="M293" s="6" t="str"/>
      <x:c r="N293" s="6" t="str"/>
      <x:c r="O293" s="7" t="str"/>
      <x:c r="P293" s="6" t="str">
        <x:v>No</x:v>
      </x:c>
      <x:c r="Q293" s="7" t="str">
        <x:v>Identity review follows duplicate disposition where applicable.</x:v>
      </x:c>
    </x:row>
    <x:row r="294">
      <x:c r="A294" s="6" t="str">
        <x:v>SEQ-SID-0278</x:v>
      </x:c>
      <x:c r="B294" s="6" t="str">
        <x:v>Service Identity</x:v>
      </x:c>
      <x:c r="C294" s="6" t="str">
        <x:v>SIDX-0278</x:v>
      </x:c>
      <x:c r="D294" s="6" t="str">
        <x:v>SVC000278</x:v>
      </x:c>
      <x:c r="E294" s="6" t="str"/>
      <x:c r="F294" s="6" t="str">
        <x:v>Service identity review</x:v>
      </x:c>
      <x:c r="G294" s="6" t="n">
        <x:v>2</x:v>
      </x:c>
      <x:c r="H294" s="6" t="str"/>
      <x:c r="I294" s="6" t="str">
        <x:f>IF(H294="","No upstream dependency",IF(ISNUMBER(SEARCH(";",H294)),"Multiple dependencies - verify source queues",IFERROR(XLOOKUP(H294,C2:C1586,J2:J1586),"Dependency not found")))</x:f>
        <x:v>No upstream dependency</x:v>
      </x:c>
      <x:c r="J294" s="6" t="str">
        <x:v>Not Started</x:v>
      </x:c>
      <x:c r="K294" s="6" t="str">
        <x:v>Normal</x:v>
      </x:c>
      <x:c r="L294" s="6" t="str"/>
      <x:c r="M294" s="6" t="str"/>
      <x:c r="N294" s="6" t="str"/>
      <x:c r="O294" s="7" t="str"/>
      <x:c r="P294" s="6" t="str">
        <x:v>No</x:v>
      </x:c>
      <x:c r="Q294" s="7" t="str">
        <x:v>Identity review follows duplicate disposition where applicable.</x:v>
      </x:c>
    </x:row>
    <x:row r="295">
      <x:c r="A295" s="6" t="str">
        <x:v>SEQ-SID-0279</x:v>
      </x:c>
      <x:c r="B295" s="6" t="str">
        <x:v>Service Identity</x:v>
      </x:c>
      <x:c r="C295" s="6" t="str">
        <x:v>SIDX-0279</x:v>
      </x:c>
      <x:c r="D295" s="6" t="str">
        <x:v>SVC000279</x:v>
      </x:c>
      <x:c r="E295" s="6" t="str"/>
      <x:c r="F295" s="6" t="str">
        <x:v>Service identity review</x:v>
      </x:c>
      <x:c r="G295" s="6" t="n">
        <x:v>2</x:v>
      </x:c>
      <x:c r="H295" s="6" t="str"/>
      <x:c r="I295" s="6" t="str">
        <x:f>IF(H295="","No upstream dependency",IF(ISNUMBER(SEARCH(";",H295)),"Multiple dependencies - verify source queues",IFERROR(XLOOKUP(H295,C2:C1586,J2:J1586),"Dependency not found")))</x:f>
        <x:v>No upstream dependency</x:v>
      </x:c>
      <x:c r="J295" s="6" t="str">
        <x:v>Not Started</x:v>
      </x:c>
      <x:c r="K295" s="6" t="str">
        <x:v>Normal</x:v>
      </x:c>
      <x:c r="L295" s="6" t="str"/>
      <x:c r="M295" s="6" t="str"/>
      <x:c r="N295" s="6" t="str"/>
      <x:c r="O295" s="7" t="str"/>
      <x:c r="P295" s="6" t="str">
        <x:v>No</x:v>
      </x:c>
      <x:c r="Q295" s="7" t="str">
        <x:v>Identity review follows duplicate disposition where applicable.</x:v>
      </x:c>
    </x:row>
    <x:row r="296">
      <x:c r="A296" s="6" t="str">
        <x:v>SEQ-SID-0280</x:v>
      </x:c>
      <x:c r="B296" s="6" t="str">
        <x:v>Service Identity</x:v>
      </x:c>
      <x:c r="C296" s="6" t="str">
        <x:v>SIDX-0280</x:v>
      </x:c>
      <x:c r="D296" s="6" t="str">
        <x:v>SVC000280</x:v>
      </x:c>
      <x:c r="E296" s="6" t="str"/>
      <x:c r="F296" s="6" t="str">
        <x:v>Service identity review</x:v>
      </x:c>
      <x:c r="G296" s="6" t="n">
        <x:v>2</x:v>
      </x:c>
      <x:c r="H296" s="6" t="str"/>
      <x:c r="I296" s="6" t="str">
        <x:f>IF(H296="","No upstream dependency",IF(ISNUMBER(SEARCH(";",H296)),"Multiple dependencies - verify source queues",IFERROR(XLOOKUP(H296,C2:C1586,J2:J1586),"Dependency not found")))</x:f>
        <x:v>No upstream dependency</x:v>
      </x:c>
      <x:c r="J296" s="6" t="str">
        <x:v>Not Started</x:v>
      </x:c>
      <x:c r="K296" s="6" t="str">
        <x:v>Normal</x:v>
      </x:c>
      <x:c r="L296" s="6" t="str"/>
      <x:c r="M296" s="6" t="str"/>
      <x:c r="N296" s="6" t="str"/>
      <x:c r="O296" s="7" t="str"/>
      <x:c r="P296" s="6" t="str">
        <x:v>No</x:v>
      </x:c>
      <x:c r="Q296" s="7" t="str">
        <x:v>Identity review follows duplicate disposition where applicable.</x:v>
      </x:c>
    </x:row>
    <x:row r="297">
      <x:c r="A297" s="6" t="str">
        <x:v>SEQ-SID-0281</x:v>
      </x:c>
      <x:c r="B297" s="6" t="str">
        <x:v>Service Identity</x:v>
      </x:c>
      <x:c r="C297" s="6" t="str">
        <x:v>SIDX-0281</x:v>
      </x:c>
      <x:c r="D297" s="6" t="str">
        <x:v>SVC000281</x:v>
      </x:c>
      <x:c r="E297" s="6" t="str"/>
      <x:c r="F297" s="6" t="str">
        <x:v>Service identity review</x:v>
      </x:c>
      <x:c r="G297" s="6" t="n">
        <x:v>2</x:v>
      </x:c>
      <x:c r="H297" s="6" t="str"/>
      <x:c r="I297" s="6" t="str">
        <x:f>IF(H297="","No upstream dependency",IF(ISNUMBER(SEARCH(";",H297)),"Multiple dependencies - verify source queues",IFERROR(XLOOKUP(H297,C2:C1586,J2:J1586),"Dependency not found")))</x:f>
        <x:v>No upstream dependency</x:v>
      </x:c>
      <x:c r="J297" s="6" t="str">
        <x:v>Not Started</x:v>
      </x:c>
      <x:c r="K297" s="6" t="str">
        <x:v>Normal</x:v>
      </x:c>
      <x:c r="L297" s="6" t="str"/>
      <x:c r="M297" s="6" t="str"/>
      <x:c r="N297" s="6" t="str"/>
      <x:c r="O297" s="7" t="str"/>
      <x:c r="P297" s="6" t="str">
        <x:v>No</x:v>
      </x:c>
      <x:c r="Q297" s="7" t="str">
        <x:v>Identity review follows duplicate disposition where applicable.</x:v>
      </x:c>
    </x:row>
    <x:row r="298">
      <x:c r="A298" s="6" t="str">
        <x:v>SEQ-SID-0282</x:v>
      </x:c>
      <x:c r="B298" s="6" t="str">
        <x:v>Service Identity</x:v>
      </x:c>
      <x:c r="C298" s="6" t="str">
        <x:v>SIDX-0282</x:v>
      </x:c>
      <x:c r="D298" s="6" t="str">
        <x:v>SVC000282</x:v>
      </x:c>
      <x:c r="E298" s="6" t="str"/>
      <x:c r="F298" s="6" t="str">
        <x:v>Service identity review</x:v>
      </x:c>
      <x:c r="G298" s="6" t="n">
        <x:v>2</x:v>
      </x:c>
      <x:c r="H298" s="6" t="str"/>
      <x:c r="I298" s="6" t="str">
        <x:f>IF(H298="","No upstream dependency",IF(ISNUMBER(SEARCH(";",H298)),"Multiple dependencies - verify source queues",IFERROR(XLOOKUP(H298,C2:C1586,J2:J1586),"Dependency not found")))</x:f>
        <x:v>No upstream dependency</x:v>
      </x:c>
      <x:c r="J298" s="6" t="str">
        <x:v>Not Started</x:v>
      </x:c>
      <x:c r="K298" s="6" t="str">
        <x:v>Normal</x:v>
      </x:c>
      <x:c r="L298" s="6" t="str"/>
      <x:c r="M298" s="6" t="str"/>
      <x:c r="N298" s="6" t="str"/>
      <x:c r="O298" s="7" t="str"/>
      <x:c r="P298" s="6" t="str">
        <x:v>No</x:v>
      </x:c>
      <x:c r="Q298" s="7" t="str">
        <x:v>Identity review follows duplicate disposition where applicable.</x:v>
      </x:c>
    </x:row>
    <x:row r="299">
      <x:c r="A299" s="6" t="str">
        <x:v>SEQ-SID-0283</x:v>
      </x:c>
      <x:c r="B299" s="6" t="str">
        <x:v>Service Identity</x:v>
      </x:c>
      <x:c r="C299" s="6" t="str">
        <x:v>SIDX-0283</x:v>
      </x:c>
      <x:c r="D299" s="6" t="str">
        <x:v>SVC000283</x:v>
      </x:c>
      <x:c r="E299" s="6" t="str"/>
      <x:c r="F299" s="6" t="str">
        <x:v>Service identity review</x:v>
      </x:c>
      <x:c r="G299" s="6" t="n">
        <x:v>2</x:v>
      </x:c>
      <x:c r="H299" s="6" t="str"/>
      <x:c r="I299" s="6" t="str">
        <x:f>IF(H299="","No upstream dependency",IF(ISNUMBER(SEARCH(";",H299)),"Multiple dependencies - verify source queues",IFERROR(XLOOKUP(H299,C2:C1586,J2:J1586),"Dependency not found")))</x:f>
        <x:v>No upstream dependency</x:v>
      </x:c>
      <x:c r="J299" s="6" t="str">
        <x:v>Not Started</x:v>
      </x:c>
      <x:c r="K299" s="6" t="str">
        <x:v>Normal</x:v>
      </x:c>
      <x:c r="L299" s="6" t="str"/>
      <x:c r="M299" s="6" t="str"/>
      <x:c r="N299" s="6" t="str"/>
      <x:c r="O299" s="7" t="str"/>
      <x:c r="P299" s="6" t="str">
        <x:v>No</x:v>
      </x:c>
      <x:c r="Q299" s="7" t="str">
        <x:v>Identity review follows duplicate disposition where applicable.</x:v>
      </x:c>
    </x:row>
    <x:row r="300">
      <x:c r="A300" s="6" t="str">
        <x:v>SEQ-SID-0284</x:v>
      </x:c>
      <x:c r="B300" s="6" t="str">
        <x:v>Service Identity</x:v>
      </x:c>
      <x:c r="C300" s="6" t="str">
        <x:v>SIDX-0284</x:v>
      </x:c>
      <x:c r="D300" s="6" t="str">
        <x:v>SVC000284</x:v>
      </x:c>
      <x:c r="E300" s="6" t="str"/>
      <x:c r="F300" s="6" t="str">
        <x:v>Service identity review</x:v>
      </x:c>
      <x:c r="G300" s="6" t="n">
        <x:v>2</x:v>
      </x:c>
      <x:c r="H300" s="6" t="str"/>
      <x:c r="I300" s="6" t="str">
        <x:f>IF(H300="","No upstream dependency",IF(ISNUMBER(SEARCH(";",H300)),"Multiple dependencies - verify source queues",IFERROR(XLOOKUP(H300,C2:C1586,J2:J1586),"Dependency not found")))</x:f>
        <x:v>No upstream dependency</x:v>
      </x:c>
      <x:c r="J300" s="6" t="str">
        <x:v>Not Started</x:v>
      </x:c>
      <x:c r="K300" s="6" t="str">
        <x:v>Normal</x:v>
      </x:c>
      <x:c r="L300" s="6" t="str"/>
      <x:c r="M300" s="6" t="str"/>
      <x:c r="N300" s="6" t="str"/>
      <x:c r="O300" s="7" t="str"/>
      <x:c r="P300" s="6" t="str">
        <x:v>No</x:v>
      </x:c>
      <x:c r="Q300" s="7" t="str">
        <x:v>Identity review follows duplicate disposition where applicable.</x:v>
      </x:c>
    </x:row>
    <x:row r="301">
      <x:c r="A301" s="6" t="str">
        <x:v>SEQ-SID-0285</x:v>
      </x:c>
      <x:c r="B301" s="6" t="str">
        <x:v>Service Identity</x:v>
      </x:c>
      <x:c r="C301" s="6" t="str">
        <x:v>SIDX-0285</x:v>
      </x:c>
      <x:c r="D301" s="6" t="str">
        <x:v>SVC000285</x:v>
      </x:c>
      <x:c r="E301" s="6" t="str"/>
      <x:c r="F301" s="6" t="str">
        <x:v>Service identity review</x:v>
      </x:c>
      <x:c r="G301" s="6" t="n">
        <x:v>2</x:v>
      </x:c>
      <x:c r="H301" s="6" t="str"/>
      <x:c r="I301" s="6" t="str">
        <x:f>IF(H301="","No upstream dependency",IF(ISNUMBER(SEARCH(";",H301)),"Multiple dependencies - verify source queues",IFERROR(XLOOKUP(H301,C2:C1586,J2:J1586),"Dependency not found")))</x:f>
        <x:v>No upstream dependency</x:v>
      </x:c>
      <x:c r="J301" s="6" t="str">
        <x:v>Not Started</x:v>
      </x:c>
      <x:c r="K301" s="6" t="str">
        <x:v>Normal</x:v>
      </x:c>
      <x:c r="L301" s="6" t="str"/>
      <x:c r="M301" s="6" t="str"/>
      <x:c r="N301" s="6" t="str"/>
      <x:c r="O301" s="7" t="str"/>
      <x:c r="P301" s="6" t="str">
        <x:v>No</x:v>
      </x:c>
      <x:c r="Q301" s="7" t="str">
        <x:v>Identity review follows duplicate disposition where applicable.</x:v>
      </x:c>
    </x:row>
    <x:row r="302">
      <x:c r="A302" s="6" t="str">
        <x:v>SEQ-SID-0286</x:v>
      </x:c>
      <x:c r="B302" s="6" t="str">
        <x:v>Service Identity</x:v>
      </x:c>
      <x:c r="C302" s="6" t="str">
        <x:v>SIDX-0286</x:v>
      </x:c>
      <x:c r="D302" s="6" t="str">
        <x:v>SVC000286</x:v>
      </x:c>
      <x:c r="E302" s="6" t="str"/>
      <x:c r="F302" s="6" t="str">
        <x:v>Service identity review</x:v>
      </x:c>
      <x:c r="G302" s="6" t="n">
        <x:v>2</x:v>
      </x:c>
      <x:c r="H302" s="6" t="str"/>
      <x:c r="I302" s="6" t="str">
        <x:f>IF(H302="","No upstream dependency",IF(ISNUMBER(SEARCH(";",H302)),"Multiple dependencies - verify source queues",IFERROR(XLOOKUP(H302,C2:C1586,J2:J1586),"Dependency not found")))</x:f>
        <x:v>No upstream dependency</x:v>
      </x:c>
      <x:c r="J302" s="6" t="str">
        <x:v>Not Started</x:v>
      </x:c>
      <x:c r="K302" s="6" t="str">
        <x:v>Normal</x:v>
      </x:c>
      <x:c r="L302" s="6" t="str"/>
      <x:c r="M302" s="6" t="str"/>
      <x:c r="N302" s="6" t="str"/>
      <x:c r="O302" s="7" t="str"/>
      <x:c r="P302" s="6" t="str">
        <x:v>No</x:v>
      </x:c>
      <x:c r="Q302" s="7" t="str">
        <x:v>Identity review follows duplicate disposition where applicable.</x:v>
      </x:c>
    </x:row>
    <x:row r="303">
      <x:c r="A303" s="6" t="str">
        <x:v>SEQ-SID-0287</x:v>
      </x:c>
      <x:c r="B303" s="6" t="str">
        <x:v>Service Identity</x:v>
      </x:c>
      <x:c r="C303" s="6" t="str">
        <x:v>SIDX-0287</x:v>
      </x:c>
      <x:c r="D303" s="6" t="str">
        <x:v>SVC000287</x:v>
      </x:c>
      <x:c r="E303" s="6" t="str"/>
      <x:c r="F303" s="6" t="str">
        <x:v>Service identity review</x:v>
      </x:c>
      <x:c r="G303" s="6" t="n">
        <x:v>2</x:v>
      </x:c>
      <x:c r="H303" s="6" t="str"/>
      <x:c r="I303" s="6" t="str">
        <x:f>IF(H303="","No upstream dependency",IF(ISNUMBER(SEARCH(";",H303)),"Multiple dependencies - verify source queues",IFERROR(XLOOKUP(H303,C2:C1586,J2:J1586),"Dependency not found")))</x:f>
        <x:v>No upstream dependency</x:v>
      </x:c>
      <x:c r="J303" s="6" t="str">
        <x:v>Not Started</x:v>
      </x:c>
      <x:c r="K303" s="6" t="str">
        <x:v>Normal</x:v>
      </x:c>
      <x:c r="L303" s="6" t="str"/>
      <x:c r="M303" s="6" t="str"/>
      <x:c r="N303" s="6" t="str"/>
      <x:c r="O303" s="7" t="str"/>
      <x:c r="P303" s="6" t="str">
        <x:v>No</x:v>
      </x:c>
      <x:c r="Q303" s="7" t="str">
        <x:v>Identity review follows duplicate disposition where applicable.</x:v>
      </x:c>
    </x:row>
    <x:row r="304">
      <x:c r="A304" s="6" t="str">
        <x:v>SEQ-SID-0288</x:v>
      </x:c>
      <x:c r="B304" s="6" t="str">
        <x:v>Service Identity</x:v>
      </x:c>
      <x:c r="C304" s="6" t="str">
        <x:v>SIDX-0288</x:v>
      </x:c>
      <x:c r="D304" s="6" t="str">
        <x:v>SVC000288</x:v>
      </x:c>
      <x:c r="E304" s="6" t="str"/>
      <x:c r="F304" s="6" t="str">
        <x:v>Service identity review</x:v>
      </x:c>
      <x:c r="G304" s="6" t="n">
        <x:v>2</x:v>
      </x:c>
      <x:c r="H304" s="6" t="str"/>
      <x:c r="I304" s="6" t="str">
        <x:f>IF(H304="","No upstream dependency",IF(ISNUMBER(SEARCH(";",H304)),"Multiple dependencies - verify source queues",IFERROR(XLOOKUP(H304,C2:C1586,J2:J1586),"Dependency not found")))</x:f>
        <x:v>No upstream dependency</x:v>
      </x:c>
      <x:c r="J304" s="6" t="str">
        <x:v>Not Started</x:v>
      </x:c>
      <x:c r="K304" s="6" t="str">
        <x:v>Normal</x:v>
      </x:c>
      <x:c r="L304" s="6" t="str"/>
      <x:c r="M304" s="6" t="str"/>
      <x:c r="N304" s="6" t="str"/>
      <x:c r="O304" s="7" t="str"/>
      <x:c r="P304" s="6" t="str">
        <x:v>No</x:v>
      </x:c>
      <x:c r="Q304" s="7" t="str">
        <x:v>Identity review follows duplicate disposition where applicable.</x:v>
      </x:c>
    </x:row>
    <x:row r="305">
      <x:c r="A305" s="6" t="str">
        <x:v>SEQ-SID-0289</x:v>
      </x:c>
      <x:c r="B305" s="6" t="str">
        <x:v>Service Identity</x:v>
      </x:c>
      <x:c r="C305" s="6" t="str">
        <x:v>SIDX-0289</x:v>
      </x:c>
      <x:c r="D305" s="6" t="str">
        <x:v>SVC000289</x:v>
      </x:c>
      <x:c r="E305" s="6" t="str"/>
      <x:c r="F305" s="6" t="str">
        <x:v>Service identity review</x:v>
      </x:c>
      <x:c r="G305" s="6" t="n">
        <x:v>2</x:v>
      </x:c>
      <x:c r="H305" s="6" t="str"/>
      <x:c r="I305" s="6" t="str">
        <x:f>IF(H305="","No upstream dependency",IF(ISNUMBER(SEARCH(";",H305)),"Multiple dependencies - verify source queues",IFERROR(XLOOKUP(H305,C2:C1586,J2:J1586),"Dependency not found")))</x:f>
        <x:v>No upstream dependency</x:v>
      </x:c>
      <x:c r="J305" s="6" t="str">
        <x:v>Not Started</x:v>
      </x:c>
      <x:c r="K305" s="6" t="str">
        <x:v>Normal</x:v>
      </x:c>
      <x:c r="L305" s="6" t="str"/>
      <x:c r="M305" s="6" t="str"/>
      <x:c r="N305" s="6" t="str"/>
      <x:c r="O305" s="7" t="str"/>
      <x:c r="P305" s="6" t="str">
        <x:v>No</x:v>
      </x:c>
      <x:c r="Q305" s="7" t="str">
        <x:v>Identity review follows duplicate disposition where applicable.</x:v>
      </x:c>
    </x:row>
    <x:row r="306">
      <x:c r="A306" s="6" t="str">
        <x:v>SEQ-SID-0290</x:v>
      </x:c>
      <x:c r="B306" s="6" t="str">
        <x:v>Service Identity</x:v>
      </x:c>
      <x:c r="C306" s="6" t="str">
        <x:v>SIDX-0290</x:v>
      </x:c>
      <x:c r="D306" s="6" t="str">
        <x:v>SVC000290</x:v>
      </x:c>
      <x:c r="E306" s="6" t="str"/>
      <x:c r="F306" s="6" t="str">
        <x:v>Service identity review</x:v>
      </x:c>
      <x:c r="G306" s="6" t="n">
        <x:v>2</x:v>
      </x:c>
      <x:c r="H306" s="6" t="str"/>
      <x:c r="I306" s="6" t="str">
        <x:f>IF(H306="","No upstream dependency",IF(ISNUMBER(SEARCH(";",H306)),"Multiple dependencies - verify source queues",IFERROR(XLOOKUP(H306,C2:C1586,J2:J1586),"Dependency not found")))</x:f>
        <x:v>No upstream dependency</x:v>
      </x:c>
      <x:c r="J306" s="6" t="str">
        <x:v>Not Started</x:v>
      </x:c>
      <x:c r="K306" s="6" t="str">
        <x:v>Normal</x:v>
      </x:c>
      <x:c r="L306" s="6" t="str"/>
      <x:c r="M306" s="6" t="str"/>
      <x:c r="N306" s="6" t="str"/>
      <x:c r="O306" s="7" t="str"/>
      <x:c r="P306" s="6" t="str">
        <x:v>No</x:v>
      </x:c>
      <x:c r="Q306" s="7" t="str">
        <x:v>Identity review follows duplicate disposition where applicable.</x:v>
      </x:c>
    </x:row>
    <x:row r="307">
      <x:c r="A307" s="6" t="str">
        <x:v>SEQ-SID-0291</x:v>
      </x:c>
      <x:c r="B307" s="6" t="str">
        <x:v>Service Identity</x:v>
      </x:c>
      <x:c r="C307" s="6" t="str">
        <x:v>SIDX-0291</x:v>
      </x:c>
      <x:c r="D307" s="6" t="str">
        <x:v>SVC000291</x:v>
      </x:c>
      <x:c r="E307" s="6" t="str"/>
      <x:c r="F307" s="6" t="str">
        <x:v>Service identity review</x:v>
      </x:c>
      <x:c r="G307" s="6" t="n">
        <x:v>2</x:v>
      </x:c>
      <x:c r="H307" s="6" t="str"/>
      <x:c r="I307" s="6" t="str">
        <x:f>IF(H307="","No upstream dependency",IF(ISNUMBER(SEARCH(";",H307)),"Multiple dependencies - verify source queues",IFERROR(XLOOKUP(H307,C2:C1586,J2:J1586),"Dependency not found")))</x:f>
        <x:v>No upstream dependency</x:v>
      </x:c>
      <x:c r="J307" s="6" t="str">
        <x:v>Not Started</x:v>
      </x:c>
      <x:c r="K307" s="6" t="str">
        <x:v>Normal</x:v>
      </x:c>
      <x:c r="L307" s="6" t="str"/>
      <x:c r="M307" s="6" t="str"/>
      <x:c r="N307" s="6" t="str"/>
      <x:c r="O307" s="7" t="str"/>
      <x:c r="P307" s="6" t="str">
        <x:v>No</x:v>
      </x:c>
      <x:c r="Q307" s="7" t="str">
        <x:v>Identity review follows duplicate disposition where applicable.</x:v>
      </x:c>
    </x:row>
    <x:row r="308">
      <x:c r="A308" s="6" t="str">
        <x:v>SEQ-SID-0292</x:v>
      </x:c>
      <x:c r="B308" s="6" t="str">
        <x:v>Service Identity</x:v>
      </x:c>
      <x:c r="C308" s="6" t="str">
        <x:v>SIDX-0292</x:v>
      </x:c>
      <x:c r="D308" s="6" t="str">
        <x:v>SVC000292</x:v>
      </x:c>
      <x:c r="E308" s="6" t="str"/>
      <x:c r="F308" s="6" t="str">
        <x:v>Service identity review</x:v>
      </x:c>
      <x:c r="G308" s="6" t="n">
        <x:v>2</x:v>
      </x:c>
      <x:c r="H308" s="6" t="str"/>
      <x:c r="I308" s="6" t="str">
        <x:f>IF(H308="","No upstream dependency",IF(ISNUMBER(SEARCH(";",H308)),"Multiple dependencies - verify source queues",IFERROR(XLOOKUP(H308,C2:C1586,J2:J1586),"Dependency not found")))</x:f>
        <x:v>No upstream dependency</x:v>
      </x:c>
      <x:c r="J308" s="6" t="str">
        <x:v>Not Started</x:v>
      </x:c>
      <x:c r="K308" s="6" t="str">
        <x:v>Normal</x:v>
      </x:c>
      <x:c r="L308" s="6" t="str"/>
      <x:c r="M308" s="6" t="str"/>
      <x:c r="N308" s="6" t="str"/>
      <x:c r="O308" s="7" t="str"/>
      <x:c r="P308" s="6" t="str">
        <x:v>No</x:v>
      </x:c>
      <x:c r="Q308" s="7" t="str">
        <x:v>Identity review follows duplicate disposition where applicable.</x:v>
      </x:c>
    </x:row>
    <x:row r="309">
      <x:c r="A309" s="6" t="str">
        <x:v>SEQ-SID-0293</x:v>
      </x:c>
      <x:c r="B309" s="6" t="str">
        <x:v>Service Identity</x:v>
      </x:c>
      <x:c r="C309" s="6" t="str">
        <x:v>SIDX-0293</x:v>
      </x:c>
      <x:c r="D309" s="6" t="str">
        <x:v>SVC000293</x:v>
      </x:c>
      <x:c r="E309" s="6" t="str"/>
      <x:c r="F309" s="6" t="str">
        <x:v>Service identity review</x:v>
      </x:c>
      <x:c r="G309" s="6" t="n">
        <x:v>2</x:v>
      </x:c>
      <x:c r="H309" s="6" t="str"/>
      <x:c r="I309" s="6" t="str">
        <x:f>IF(H309="","No upstream dependency",IF(ISNUMBER(SEARCH(";",H309)),"Multiple dependencies - verify source queues",IFERROR(XLOOKUP(H309,C2:C1586,J2:J1586),"Dependency not found")))</x:f>
        <x:v>No upstream dependency</x:v>
      </x:c>
      <x:c r="J309" s="6" t="str">
        <x:v>Not Started</x:v>
      </x:c>
      <x:c r="K309" s="6" t="str">
        <x:v>Normal</x:v>
      </x:c>
      <x:c r="L309" s="6" t="str"/>
      <x:c r="M309" s="6" t="str"/>
      <x:c r="N309" s="6" t="str"/>
      <x:c r="O309" s="7" t="str"/>
      <x:c r="P309" s="6" t="str">
        <x:v>No</x:v>
      </x:c>
      <x:c r="Q309" s="7" t="str">
        <x:v>Identity review follows duplicate disposition where applicable.</x:v>
      </x:c>
    </x:row>
    <x:row r="310">
      <x:c r="A310" s="6" t="str">
        <x:v>SEQ-SID-0294</x:v>
      </x:c>
      <x:c r="B310" s="6" t="str">
        <x:v>Service Identity</x:v>
      </x:c>
      <x:c r="C310" s="6" t="str">
        <x:v>SIDX-0294</x:v>
      </x:c>
      <x:c r="D310" s="6" t="str">
        <x:v>SVC000294</x:v>
      </x:c>
      <x:c r="E310" s="6" t="str"/>
      <x:c r="F310" s="6" t="str">
        <x:v>Service identity review</x:v>
      </x:c>
      <x:c r="G310" s="6" t="n">
        <x:v>2</x:v>
      </x:c>
      <x:c r="H310" s="6" t="str"/>
      <x:c r="I310" s="6" t="str">
        <x:f>IF(H310="","No upstream dependency",IF(ISNUMBER(SEARCH(";",H310)),"Multiple dependencies - verify source queues",IFERROR(XLOOKUP(H310,C2:C1586,J2:J1586),"Dependency not found")))</x:f>
        <x:v>No upstream dependency</x:v>
      </x:c>
      <x:c r="J310" s="6" t="str">
        <x:v>Not Started</x:v>
      </x:c>
      <x:c r="K310" s="6" t="str">
        <x:v>Normal</x:v>
      </x:c>
      <x:c r="L310" s="6" t="str"/>
      <x:c r="M310" s="6" t="str"/>
      <x:c r="N310" s="6" t="str"/>
      <x:c r="O310" s="7" t="str"/>
      <x:c r="P310" s="6" t="str">
        <x:v>No</x:v>
      </x:c>
      <x:c r="Q310" s="7" t="str">
        <x:v>Identity review follows duplicate disposition where applicable.</x:v>
      </x:c>
    </x:row>
    <x:row r="311">
      <x:c r="A311" s="6" t="str">
        <x:v>SEQ-SID-0295</x:v>
      </x:c>
      <x:c r="B311" s="6" t="str">
        <x:v>Service Identity</x:v>
      </x:c>
      <x:c r="C311" s="6" t="str">
        <x:v>SIDX-0295</x:v>
      </x:c>
      <x:c r="D311" s="6" t="str">
        <x:v>SVC000295</x:v>
      </x:c>
      <x:c r="E311" s="6" t="str"/>
      <x:c r="F311" s="6" t="str">
        <x:v>Service identity review</x:v>
      </x:c>
      <x:c r="G311" s="6" t="n">
        <x:v>2</x:v>
      </x:c>
      <x:c r="H311" s="6" t="str"/>
      <x:c r="I311" s="6" t="str">
        <x:f>IF(H311="","No upstream dependency",IF(ISNUMBER(SEARCH(";",H311)),"Multiple dependencies - verify source queues",IFERROR(XLOOKUP(H311,C2:C1586,J2:J1586),"Dependency not found")))</x:f>
        <x:v>No upstream dependency</x:v>
      </x:c>
      <x:c r="J311" s="6" t="str">
        <x:v>Not Started</x:v>
      </x:c>
      <x:c r="K311" s="6" t="str">
        <x:v>Normal</x:v>
      </x:c>
      <x:c r="L311" s="6" t="str"/>
      <x:c r="M311" s="6" t="str"/>
      <x:c r="N311" s="6" t="str"/>
      <x:c r="O311" s="7" t="str"/>
      <x:c r="P311" s="6" t="str">
        <x:v>No</x:v>
      </x:c>
      <x:c r="Q311" s="7" t="str">
        <x:v>Identity review follows duplicate disposition where applicable.</x:v>
      </x:c>
    </x:row>
    <x:row r="312">
      <x:c r="A312" s="6" t="str">
        <x:v>SEQ-SID-0296</x:v>
      </x:c>
      <x:c r="B312" s="6" t="str">
        <x:v>Service Identity</x:v>
      </x:c>
      <x:c r="C312" s="6" t="str">
        <x:v>SIDX-0296</x:v>
      </x:c>
      <x:c r="D312" s="6" t="str">
        <x:v>SVC000296</x:v>
      </x:c>
      <x:c r="E312" s="6" t="str"/>
      <x:c r="F312" s="6" t="str">
        <x:v>Service identity review</x:v>
      </x:c>
      <x:c r="G312" s="6" t="n">
        <x:v>2</x:v>
      </x:c>
      <x:c r="H312" s="6" t="str"/>
      <x:c r="I312" s="6" t="str">
        <x:f>IF(H312="","No upstream dependency",IF(ISNUMBER(SEARCH(";",H312)),"Multiple dependencies - verify source queues",IFERROR(XLOOKUP(H312,C2:C1586,J2:J1586),"Dependency not found")))</x:f>
        <x:v>No upstream dependency</x:v>
      </x:c>
      <x:c r="J312" s="6" t="str">
        <x:v>Not Started</x:v>
      </x:c>
      <x:c r="K312" s="6" t="str">
        <x:v>Normal</x:v>
      </x:c>
      <x:c r="L312" s="6" t="str"/>
      <x:c r="M312" s="6" t="str"/>
      <x:c r="N312" s="6" t="str"/>
      <x:c r="O312" s="7" t="str"/>
      <x:c r="P312" s="6" t="str">
        <x:v>No</x:v>
      </x:c>
      <x:c r="Q312" s="7" t="str">
        <x:v>Identity review follows duplicate disposition where applicable.</x:v>
      </x:c>
    </x:row>
    <x:row r="313">
      <x:c r="A313" s="6" t="str">
        <x:v>SEQ-SID-0297</x:v>
      </x:c>
      <x:c r="B313" s="6" t="str">
        <x:v>Service Identity</x:v>
      </x:c>
      <x:c r="C313" s="6" t="str">
        <x:v>SIDX-0297</x:v>
      </x:c>
      <x:c r="D313" s="6" t="str">
        <x:v>SVC000297</x:v>
      </x:c>
      <x:c r="E313" s="6" t="str"/>
      <x:c r="F313" s="6" t="str">
        <x:v>Service identity review</x:v>
      </x:c>
      <x:c r="G313" s="6" t="n">
        <x:v>2</x:v>
      </x:c>
      <x:c r="H313" s="6" t="str"/>
      <x:c r="I313" s="6" t="str">
        <x:f>IF(H313="","No upstream dependency",IF(ISNUMBER(SEARCH(";",H313)),"Multiple dependencies - verify source queues",IFERROR(XLOOKUP(H313,C2:C1586,J2:J1586),"Dependency not found")))</x:f>
        <x:v>No upstream dependency</x:v>
      </x:c>
      <x:c r="J313" s="6" t="str">
        <x:v>Not Started</x:v>
      </x:c>
      <x:c r="K313" s="6" t="str">
        <x:v>Normal</x:v>
      </x:c>
      <x:c r="L313" s="6" t="str"/>
      <x:c r="M313" s="6" t="str"/>
      <x:c r="N313" s="6" t="str"/>
      <x:c r="O313" s="7" t="str"/>
      <x:c r="P313" s="6" t="str">
        <x:v>No</x:v>
      </x:c>
      <x:c r="Q313" s="7" t="str">
        <x:v>Identity review follows duplicate disposition where applicable.</x:v>
      </x:c>
    </x:row>
    <x:row r="314">
      <x:c r="A314" s="6" t="str">
        <x:v>SEQ-SID-0298</x:v>
      </x:c>
      <x:c r="B314" s="6" t="str">
        <x:v>Service Identity</x:v>
      </x:c>
      <x:c r="C314" s="6" t="str">
        <x:v>SIDX-0298</x:v>
      </x:c>
      <x:c r="D314" s="6" t="str">
        <x:v>SVC000298</x:v>
      </x:c>
      <x:c r="E314" s="6" t="str"/>
      <x:c r="F314" s="6" t="str">
        <x:v>Service identity review</x:v>
      </x:c>
      <x:c r="G314" s="6" t="n">
        <x:v>2</x:v>
      </x:c>
      <x:c r="H314" s="6" t="str"/>
      <x:c r="I314" s="6" t="str">
        <x:f>IF(H314="","No upstream dependency",IF(ISNUMBER(SEARCH(";",H314)),"Multiple dependencies - verify source queues",IFERROR(XLOOKUP(H314,C2:C1586,J2:J1586),"Dependency not found")))</x:f>
        <x:v>No upstream dependency</x:v>
      </x:c>
      <x:c r="J314" s="6" t="str">
        <x:v>Not Started</x:v>
      </x:c>
      <x:c r="K314" s="6" t="str">
        <x:v>Normal</x:v>
      </x:c>
      <x:c r="L314" s="6" t="str"/>
      <x:c r="M314" s="6" t="str"/>
      <x:c r="N314" s="6" t="str"/>
      <x:c r="O314" s="7" t="str"/>
      <x:c r="P314" s="6" t="str">
        <x:v>No</x:v>
      </x:c>
      <x:c r="Q314" s="7" t="str">
        <x:v>Identity review follows duplicate disposition where applicable.</x:v>
      </x:c>
    </x:row>
    <x:row r="315">
      <x:c r="A315" s="6" t="str">
        <x:v>SEQ-SID-0299</x:v>
      </x:c>
      <x:c r="B315" s="6" t="str">
        <x:v>Service Identity</x:v>
      </x:c>
      <x:c r="C315" s="6" t="str">
        <x:v>SIDX-0299</x:v>
      </x:c>
      <x:c r="D315" s="6" t="str">
        <x:v>SVC000299</x:v>
      </x:c>
      <x:c r="E315" s="6" t="str"/>
      <x:c r="F315" s="6" t="str">
        <x:v>Service identity review</x:v>
      </x:c>
      <x:c r="G315" s="6" t="n">
        <x:v>2</x:v>
      </x:c>
      <x:c r="H315" s="6" t="str"/>
      <x:c r="I315" s="6" t="str">
        <x:f>IF(H315="","No upstream dependency",IF(ISNUMBER(SEARCH(";",H315)),"Multiple dependencies - verify source queues",IFERROR(XLOOKUP(H315,C2:C1586,J2:J1586),"Dependency not found")))</x:f>
        <x:v>No upstream dependency</x:v>
      </x:c>
      <x:c r="J315" s="6" t="str">
        <x:v>Not Started</x:v>
      </x:c>
      <x:c r="K315" s="6" t="str">
        <x:v>Normal</x:v>
      </x:c>
      <x:c r="L315" s="6" t="str"/>
      <x:c r="M315" s="6" t="str"/>
      <x:c r="N315" s="6" t="str"/>
      <x:c r="O315" s="7" t="str"/>
      <x:c r="P315" s="6" t="str">
        <x:v>No</x:v>
      </x:c>
      <x:c r="Q315" s="7" t="str">
        <x:v>Identity review follows duplicate disposition where applicable.</x:v>
      </x:c>
    </x:row>
    <x:row r="316">
      <x:c r="A316" s="6" t="str">
        <x:v>SEQ-SID-0300</x:v>
      </x:c>
      <x:c r="B316" s="6" t="str">
        <x:v>Service Identity</x:v>
      </x:c>
      <x:c r="C316" s="6" t="str">
        <x:v>SIDX-0300</x:v>
      </x:c>
      <x:c r="D316" s="6" t="str">
        <x:v>SVC000300</x:v>
      </x:c>
      <x:c r="E316" s="6" t="str"/>
      <x:c r="F316" s="6" t="str">
        <x:v>Service identity review</x:v>
      </x:c>
      <x:c r="G316" s="6" t="n">
        <x:v>2</x:v>
      </x:c>
      <x:c r="H316" s="6" t="str"/>
      <x:c r="I316" s="6" t="str">
        <x:f>IF(H316="","No upstream dependency",IF(ISNUMBER(SEARCH(";",H316)),"Multiple dependencies - verify source queues",IFERROR(XLOOKUP(H316,C2:C1586,J2:J1586),"Dependency not found")))</x:f>
        <x:v>No upstream dependency</x:v>
      </x:c>
      <x:c r="J316" s="6" t="str">
        <x:v>Not Started</x:v>
      </x:c>
      <x:c r="K316" s="6" t="str">
        <x:v>Normal</x:v>
      </x:c>
      <x:c r="L316" s="6" t="str"/>
      <x:c r="M316" s="6" t="str"/>
      <x:c r="N316" s="6" t="str"/>
      <x:c r="O316" s="7" t="str"/>
      <x:c r="P316" s="6" t="str">
        <x:v>No</x:v>
      </x:c>
      <x:c r="Q316" s="7" t="str">
        <x:v>Identity review follows duplicate disposition where applicable.</x:v>
      </x:c>
    </x:row>
    <x:row r="317">
      <x:c r="A317" s="6" t="str">
        <x:v>SEQ-SID-0301</x:v>
      </x:c>
      <x:c r="B317" s="6" t="str">
        <x:v>Service Identity</x:v>
      </x:c>
      <x:c r="C317" s="6" t="str">
        <x:v>SIDX-0301</x:v>
      </x:c>
      <x:c r="D317" s="6" t="str">
        <x:v>SVC000301</x:v>
      </x:c>
      <x:c r="E317" s="6" t="str"/>
      <x:c r="F317" s="6" t="str">
        <x:v>Service identity review</x:v>
      </x:c>
      <x:c r="G317" s="6" t="n">
        <x:v>2</x:v>
      </x:c>
      <x:c r="H317" s="6" t="str"/>
      <x:c r="I317" s="6" t="str">
        <x:f>IF(H317="","No upstream dependency",IF(ISNUMBER(SEARCH(";",H317)),"Multiple dependencies - verify source queues",IFERROR(XLOOKUP(H317,C2:C1586,J2:J1586),"Dependency not found")))</x:f>
        <x:v>No upstream dependency</x:v>
      </x:c>
      <x:c r="J317" s="6" t="str">
        <x:v>Not Started</x:v>
      </x:c>
      <x:c r="K317" s="6" t="str">
        <x:v>Normal</x:v>
      </x:c>
      <x:c r="L317" s="6" t="str"/>
      <x:c r="M317" s="6" t="str"/>
      <x:c r="N317" s="6" t="str"/>
      <x:c r="O317" s="7" t="str"/>
      <x:c r="P317" s="6" t="str">
        <x:v>No</x:v>
      </x:c>
      <x:c r="Q317" s="7" t="str">
        <x:v>Identity review follows duplicate disposition where applicable.</x:v>
      </x:c>
    </x:row>
    <x:row r="318">
      <x:c r="A318" s="6" t="str">
        <x:v>SEQ-SID-0302</x:v>
      </x:c>
      <x:c r="B318" s="6" t="str">
        <x:v>Service Identity</x:v>
      </x:c>
      <x:c r="C318" s="6" t="str">
        <x:v>SIDX-0302</x:v>
      </x:c>
      <x:c r="D318" s="6" t="str">
        <x:v>SVC000302</x:v>
      </x:c>
      <x:c r="E318" s="6" t="str"/>
      <x:c r="F318" s="6" t="str">
        <x:v>Service identity review</x:v>
      </x:c>
      <x:c r="G318" s="6" t="n">
        <x:v>2</x:v>
      </x:c>
      <x:c r="H318" s="6" t="str"/>
      <x:c r="I318" s="6" t="str">
        <x:f>IF(H318="","No upstream dependency",IF(ISNUMBER(SEARCH(";",H318)),"Multiple dependencies - verify source queues",IFERROR(XLOOKUP(H318,C2:C1586,J2:J1586),"Dependency not found")))</x:f>
        <x:v>No upstream dependency</x:v>
      </x:c>
      <x:c r="J318" s="6" t="str">
        <x:v>Not Started</x:v>
      </x:c>
      <x:c r="K318" s="6" t="str">
        <x:v>Normal</x:v>
      </x:c>
      <x:c r="L318" s="6" t="str"/>
      <x:c r="M318" s="6" t="str"/>
      <x:c r="N318" s="6" t="str"/>
      <x:c r="O318" s="7" t="str"/>
      <x:c r="P318" s="6" t="str">
        <x:v>No</x:v>
      </x:c>
      <x:c r="Q318" s="7" t="str">
        <x:v>Identity review follows duplicate disposition where applicable.</x:v>
      </x:c>
    </x:row>
    <x:row r="319">
      <x:c r="A319" s="6" t="str">
        <x:v>SEQ-SID-0303</x:v>
      </x:c>
      <x:c r="B319" s="6" t="str">
        <x:v>Service Identity</x:v>
      </x:c>
      <x:c r="C319" s="6" t="str">
        <x:v>SIDX-0303</x:v>
      </x:c>
      <x:c r="D319" s="6" t="str">
        <x:v>SVC000303</x:v>
      </x:c>
      <x:c r="E319" s="6" t="str"/>
      <x:c r="F319" s="6" t="str">
        <x:v>Service identity review</x:v>
      </x:c>
      <x:c r="G319" s="6" t="n">
        <x:v>2</x:v>
      </x:c>
      <x:c r="H319" s="6" t="str"/>
      <x:c r="I319" s="6" t="str">
        <x:f>IF(H319="","No upstream dependency",IF(ISNUMBER(SEARCH(";",H319)),"Multiple dependencies - verify source queues",IFERROR(XLOOKUP(H319,C2:C1586,J2:J1586),"Dependency not found")))</x:f>
        <x:v>No upstream dependency</x:v>
      </x:c>
      <x:c r="J319" s="6" t="str">
        <x:v>Not Started</x:v>
      </x:c>
      <x:c r="K319" s="6" t="str">
        <x:v>Normal</x:v>
      </x:c>
      <x:c r="L319" s="6" t="str"/>
      <x:c r="M319" s="6" t="str"/>
      <x:c r="N319" s="6" t="str"/>
      <x:c r="O319" s="7" t="str"/>
      <x:c r="P319" s="6" t="str">
        <x:v>No</x:v>
      </x:c>
      <x:c r="Q319" s="7" t="str">
        <x:v>Identity review follows duplicate disposition where applicable.</x:v>
      </x:c>
    </x:row>
    <x:row r="320">
      <x:c r="A320" s="6" t="str">
        <x:v>SEQ-SID-0304</x:v>
      </x:c>
      <x:c r="B320" s="6" t="str">
        <x:v>Service Identity</x:v>
      </x:c>
      <x:c r="C320" s="6" t="str">
        <x:v>SIDX-0304</x:v>
      </x:c>
      <x:c r="D320" s="6" t="str">
        <x:v>SVC000304</x:v>
      </x:c>
      <x:c r="E320" s="6" t="str"/>
      <x:c r="F320" s="6" t="str">
        <x:v>Service identity review</x:v>
      </x:c>
      <x:c r="G320" s="6" t="n">
        <x:v>2</x:v>
      </x:c>
      <x:c r="H320" s="6" t="str"/>
      <x:c r="I320" s="6" t="str">
        <x:f>IF(H320="","No upstream dependency",IF(ISNUMBER(SEARCH(";",H320)),"Multiple dependencies - verify source queues",IFERROR(XLOOKUP(H320,C2:C1586,J2:J1586),"Dependency not found")))</x:f>
        <x:v>No upstream dependency</x:v>
      </x:c>
      <x:c r="J320" s="6" t="str">
        <x:v>Not Started</x:v>
      </x:c>
      <x:c r="K320" s="6" t="str">
        <x:v>Normal</x:v>
      </x:c>
      <x:c r="L320" s="6" t="str"/>
      <x:c r="M320" s="6" t="str"/>
      <x:c r="N320" s="6" t="str"/>
      <x:c r="O320" s="7" t="str"/>
      <x:c r="P320" s="6" t="str">
        <x:v>No</x:v>
      </x:c>
      <x:c r="Q320" s="7" t="str">
        <x:v>Identity review follows duplicate disposition where applicable.</x:v>
      </x:c>
    </x:row>
    <x:row r="321">
      <x:c r="A321" s="6" t="str">
        <x:v>SEQ-SID-0305</x:v>
      </x:c>
      <x:c r="B321" s="6" t="str">
        <x:v>Service Identity</x:v>
      </x:c>
      <x:c r="C321" s="6" t="str">
        <x:v>SIDX-0305</x:v>
      </x:c>
      <x:c r="D321" s="6" t="str">
        <x:v>SVC000305</x:v>
      </x:c>
      <x:c r="E321" s="6" t="str"/>
      <x:c r="F321" s="6" t="str">
        <x:v>Service identity review</x:v>
      </x:c>
      <x:c r="G321" s="6" t="n">
        <x:v>2</x:v>
      </x:c>
      <x:c r="H321" s="6" t="str"/>
      <x:c r="I321" s="6" t="str">
        <x:f>IF(H321="","No upstream dependency",IF(ISNUMBER(SEARCH(";",H321)),"Multiple dependencies - verify source queues",IFERROR(XLOOKUP(H321,C2:C1586,J2:J1586),"Dependency not found")))</x:f>
        <x:v>No upstream dependency</x:v>
      </x:c>
      <x:c r="J321" s="6" t="str">
        <x:v>Not Started</x:v>
      </x:c>
      <x:c r="K321" s="6" t="str">
        <x:v>Normal</x:v>
      </x:c>
      <x:c r="L321" s="6" t="str"/>
      <x:c r="M321" s="6" t="str"/>
      <x:c r="N321" s="6" t="str"/>
      <x:c r="O321" s="7" t="str"/>
      <x:c r="P321" s="6" t="str">
        <x:v>No</x:v>
      </x:c>
      <x:c r="Q321" s="7" t="str">
        <x:v>Identity review follows duplicate disposition where applicable.</x:v>
      </x:c>
    </x:row>
    <x:row r="322">
      <x:c r="A322" s="6" t="str">
        <x:v>SEQ-SID-0306</x:v>
      </x:c>
      <x:c r="B322" s="6" t="str">
        <x:v>Service Identity</x:v>
      </x:c>
      <x:c r="C322" s="6" t="str">
        <x:v>SIDX-0306</x:v>
      </x:c>
      <x:c r="D322" s="6" t="str">
        <x:v>SVC000306</x:v>
      </x:c>
      <x:c r="E322" s="6" t="str"/>
      <x:c r="F322" s="6" t="str">
        <x:v>Service identity review</x:v>
      </x:c>
      <x:c r="G322" s="6" t="n">
        <x:v>2</x:v>
      </x:c>
      <x:c r="H322" s="6" t="str"/>
      <x:c r="I322" s="6" t="str">
        <x:f>IF(H322="","No upstream dependency",IF(ISNUMBER(SEARCH(";",H322)),"Multiple dependencies - verify source queues",IFERROR(XLOOKUP(H322,C2:C1586,J2:J1586),"Dependency not found")))</x:f>
        <x:v>No upstream dependency</x:v>
      </x:c>
      <x:c r="J322" s="6" t="str">
        <x:v>Not Started</x:v>
      </x:c>
      <x:c r="K322" s="6" t="str">
        <x:v>Normal</x:v>
      </x:c>
      <x:c r="L322" s="6" t="str"/>
      <x:c r="M322" s="6" t="str"/>
      <x:c r="N322" s="6" t="str"/>
      <x:c r="O322" s="7" t="str"/>
      <x:c r="P322" s="6" t="str">
        <x:v>No</x:v>
      </x:c>
      <x:c r="Q322" s="7" t="str">
        <x:v>Identity review follows duplicate disposition where applicable.</x:v>
      </x:c>
    </x:row>
    <x:row r="323">
      <x:c r="A323" s="6" t="str">
        <x:v>SEQ-SID-0307</x:v>
      </x:c>
      <x:c r="B323" s="6" t="str">
        <x:v>Service Identity</x:v>
      </x:c>
      <x:c r="C323" s="6" t="str">
        <x:v>SIDX-0307</x:v>
      </x:c>
      <x:c r="D323" s="6" t="str">
        <x:v>SVC000307</x:v>
      </x:c>
      <x:c r="E323" s="6" t="str"/>
      <x:c r="F323" s="6" t="str">
        <x:v>Service identity review</x:v>
      </x:c>
      <x:c r="G323" s="6" t="n">
        <x:v>2</x:v>
      </x:c>
      <x:c r="H323" s="6" t="str"/>
      <x:c r="I323" s="6" t="str">
        <x:f>IF(H323="","No upstream dependency",IF(ISNUMBER(SEARCH(";",H323)),"Multiple dependencies - verify source queues",IFERROR(XLOOKUP(H323,C2:C1586,J2:J1586),"Dependency not found")))</x:f>
        <x:v>No upstream dependency</x:v>
      </x:c>
      <x:c r="J323" s="6" t="str">
        <x:v>Not Started</x:v>
      </x:c>
      <x:c r="K323" s="6" t="str">
        <x:v>Normal</x:v>
      </x:c>
      <x:c r="L323" s="6" t="str"/>
      <x:c r="M323" s="6" t="str"/>
      <x:c r="N323" s="6" t="str"/>
      <x:c r="O323" s="7" t="str"/>
      <x:c r="P323" s="6" t="str">
        <x:v>No</x:v>
      </x:c>
      <x:c r="Q323" s="7" t="str">
        <x:v>Identity review follows duplicate disposition where applicable.</x:v>
      </x:c>
    </x:row>
    <x:row r="324">
      <x:c r="A324" s="6" t="str">
        <x:v>SEQ-SID-0308</x:v>
      </x:c>
      <x:c r="B324" s="6" t="str">
        <x:v>Service Identity</x:v>
      </x:c>
      <x:c r="C324" s="6" t="str">
        <x:v>SIDX-0308</x:v>
      </x:c>
      <x:c r="D324" s="6" t="str">
        <x:v>SVC000308</x:v>
      </x:c>
      <x:c r="E324" s="6" t="str"/>
      <x:c r="F324" s="6" t="str">
        <x:v>Service identity review</x:v>
      </x:c>
      <x:c r="G324" s="6" t="n">
        <x:v>2</x:v>
      </x:c>
      <x:c r="H324" s="6" t="str"/>
      <x:c r="I324" s="6" t="str">
        <x:f>IF(H324="","No upstream dependency",IF(ISNUMBER(SEARCH(";",H324)),"Multiple dependencies - verify source queues",IFERROR(XLOOKUP(H324,C2:C1586,J2:J1586),"Dependency not found")))</x:f>
        <x:v>No upstream dependency</x:v>
      </x:c>
      <x:c r="J324" s="6" t="str">
        <x:v>Not Started</x:v>
      </x:c>
      <x:c r="K324" s="6" t="str">
        <x:v>Normal</x:v>
      </x:c>
      <x:c r="L324" s="6" t="str"/>
      <x:c r="M324" s="6" t="str"/>
      <x:c r="N324" s="6" t="str"/>
      <x:c r="O324" s="7" t="str"/>
      <x:c r="P324" s="6" t="str">
        <x:v>No</x:v>
      </x:c>
      <x:c r="Q324" s="7" t="str">
        <x:v>Identity review follows duplicate disposition where applicable.</x:v>
      </x:c>
    </x:row>
    <x:row r="325">
      <x:c r="A325" s="6" t="str">
        <x:v>SEQ-SID-0309</x:v>
      </x:c>
      <x:c r="B325" s="6" t="str">
        <x:v>Service Identity</x:v>
      </x:c>
      <x:c r="C325" s="6" t="str">
        <x:v>SIDX-0309</x:v>
      </x:c>
      <x:c r="D325" s="6" t="str">
        <x:v>SVC000309</x:v>
      </x:c>
      <x:c r="E325" s="6" t="str"/>
      <x:c r="F325" s="6" t="str">
        <x:v>Service identity review</x:v>
      </x:c>
      <x:c r="G325" s="6" t="n">
        <x:v>2</x:v>
      </x:c>
      <x:c r="H325" s="6" t="str"/>
      <x:c r="I325" s="6" t="str">
        <x:f>IF(H325="","No upstream dependency",IF(ISNUMBER(SEARCH(";",H325)),"Multiple dependencies - verify source queues",IFERROR(XLOOKUP(H325,C2:C1586,J2:J1586),"Dependency not found")))</x:f>
        <x:v>No upstream dependency</x:v>
      </x:c>
      <x:c r="J325" s="6" t="str">
        <x:v>Not Started</x:v>
      </x:c>
      <x:c r="K325" s="6" t="str">
        <x:v>Normal</x:v>
      </x:c>
      <x:c r="L325" s="6" t="str"/>
      <x:c r="M325" s="6" t="str"/>
      <x:c r="N325" s="6" t="str"/>
      <x:c r="O325" s="7" t="str"/>
      <x:c r="P325" s="6" t="str">
        <x:v>No</x:v>
      </x:c>
      <x:c r="Q325" s="7" t="str">
        <x:v>Identity review follows duplicate disposition where applicable.</x:v>
      </x:c>
    </x:row>
    <x:row r="326">
      <x:c r="A326" s="6" t="str">
        <x:v>SEQ-SID-0310</x:v>
      </x:c>
      <x:c r="B326" s="6" t="str">
        <x:v>Service Identity</x:v>
      </x:c>
      <x:c r="C326" s="6" t="str">
        <x:v>SIDX-0310</x:v>
      </x:c>
      <x:c r="D326" s="6" t="str">
        <x:v>SVC000310</x:v>
      </x:c>
      <x:c r="E326" s="6" t="str"/>
      <x:c r="F326" s="6" t="str">
        <x:v>Service identity review</x:v>
      </x:c>
      <x:c r="G326" s="6" t="n">
        <x:v>2</x:v>
      </x:c>
      <x:c r="H326" s="6" t="str"/>
      <x:c r="I326" s="6" t="str">
        <x:f>IF(H326="","No upstream dependency",IF(ISNUMBER(SEARCH(";",H326)),"Multiple dependencies - verify source queues",IFERROR(XLOOKUP(H326,C2:C1586,J2:J1586),"Dependency not found")))</x:f>
        <x:v>No upstream dependency</x:v>
      </x:c>
      <x:c r="J326" s="6" t="str">
        <x:v>Not Started</x:v>
      </x:c>
      <x:c r="K326" s="6" t="str">
        <x:v>Normal</x:v>
      </x:c>
      <x:c r="L326" s="6" t="str"/>
      <x:c r="M326" s="6" t="str"/>
      <x:c r="N326" s="6" t="str"/>
      <x:c r="O326" s="7" t="str"/>
      <x:c r="P326" s="6" t="str">
        <x:v>No</x:v>
      </x:c>
      <x:c r="Q326" s="7" t="str">
        <x:v>Identity review follows duplicate disposition where applicable.</x:v>
      </x:c>
    </x:row>
    <x:row r="327">
      <x:c r="A327" s="6" t="str">
        <x:v>SEQ-SID-0311</x:v>
      </x:c>
      <x:c r="B327" s="6" t="str">
        <x:v>Service Identity</x:v>
      </x:c>
      <x:c r="C327" s="6" t="str">
        <x:v>SIDX-0311</x:v>
      </x:c>
      <x:c r="D327" s="6" t="str">
        <x:v>SVC000311</x:v>
      </x:c>
      <x:c r="E327" s="6" t="str"/>
      <x:c r="F327" s="6" t="str">
        <x:v>Service identity review</x:v>
      </x:c>
      <x:c r="G327" s="6" t="n">
        <x:v>2</x:v>
      </x:c>
      <x:c r="H327" s="6" t="str"/>
      <x:c r="I327" s="6" t="str">
        <x:f>IF(H327="","No upstream dependency",IF(ISNUMBER(SEARCH(";",H327)),"Multiple dependencies - verify source queues",IFERROR(XLOOKUP(H327,C2:C1586,J2:J1586),"Dependency not found")))</x:f>
        <x:v>No upstream dependency</x:v>
      </x:c>
      <x:c r="J327" s="6" t="str">
        <x:v>Not Started</x:v>
      </x:c>
      <x:c r="K327" s="6" t="str">
        <x:v>Normal</x:v>
      </x:c>
      <x:c r="L327" s="6" t="str"/>
      <x:c r="M327" s="6" t="str"/>
      <x:c r="N327" s="6" t="str"/>
      <x:c r="O327" s="7" t="str"/>
      <x:c r="P327" s="6" t="str">
        <x:v>No</x:v>
      </x:c>
      <x:c r="Q327" s="7" t="str">
        <x:v>Identity review follows duplicate disposition where applicable.</x:v>
      </x:c>
    </x:row>
    <x:row r="328">
      <x:c r="A328" s="6" t="str">
        <x:v>SEQ-SID-0312</x:v>
      </x:c>
      <x:c r="B328" s="6" t="str">
        <x:v>Service Identity</x:v>
      </x:c>
      <x:c r="C328" s="6" t="str">
        <x:v>SIDX-0312</x:v>
      </x:c>
      <x:c r="D328" s="6" t="str">
        <x:v>SVC000312</x:v>
      </x:c>
      <x:c r="E328" s="6" t="str"/>
      <x:c r="F328" s="6" t="str">
        <x:v>Service identity review</x:v>
      </x:c>
      <x:c r="G328" s="6" t="n">
        <x:v>2</x:v>
      </x:c>
      <x:c r="H328" s="6" t="str"/>
      <x:c r="I328" s="6" t="str">
        <x:f>IF(H328="","No upstream dependency",IF(ISNUMBER(SEARCH(";",H328)),"Multiple dependencies - verify source queues",IFERROR(XLOOKUP(H328,C2:C1586,J2:J1586),"Dependency not found")))</x:f>
        <x:v>No upstream dependency</x:v>
      </x:c>
      <x:c r="J328" s="6" t="str">
        <x:v>Not Started</x:v>
      </x:c>
      <x:c r="K328" s="6" t="str">
        <x:v>Normal</x:v>
      </x:c>
      <x:c r="L328" s="6" t="str"/>
      <x:c r="M328" s="6" t="str"/>
      <x:c r="N328" s="6" t="str"/>
      <x:c r="O328" s="7" t="str"/>
      <x:c r="P328" s="6" t="str">
        <x:v>No</x:v>
      </x:c>
      <x:c r="Q328" s="7" t="str">
        <x:v>Identity review follows duplicate disposition where applicable.</x:v>
      </x:c>
    </x:row>
    <x:row r="329">
      <x:c r="A329" s="6" t="str">
        <x:v>SEQ-SID-0313</x:v>
      </x:c>
      <x:c r="B329" s="6" t="str">
        <x:v>Service Identity</x:v>
      </x:c>
      <x:c r="C329" s="6" t="str">
        <x:v>SIDX-0313</x:v>
      </x:c>
      <x:c r="D329" s="6" t="str">
        <x:v>SVC000313</x:v>
      </x:c>
      <x:c r="E329" s="6" t="str"/>
      <x:c r="F329" s="6" t="str">
        <x:v>Service identity review</x:v>
      </x:c>
      <x:c r="G329" s="6" t="n">
        <x:v>2</x:v>
      </x:c>
      <x:c r="H329" s="6" t="str"/>
      <x:c r="I329" s="6" t="str">
        <x:f>IF(H329="","No upstream dependency",IF(ISNUMBER(SEARCH(";",H329)),"Multiple dependencies - verify source queues",IFERROR(XLOOKUP(H329,C2:C1586,J2:J1586),"Dependency not found")))</x:f>
        <x:v>No upstream dependency</x:v>
      </x:c>
      <x:c r="J329" s="6" t="str">
        <x:v>Not Started</x:v>
      </x:c>
      <x:c r="K329" s="6" t="str">
        <x:v>Normal</x:v>
      </x:c>
      <x:c r="L329" s="6" t="str"/>
      <x:c r="M329" s="6" t="str"/>
      <x:c r="N329" s="6" t="str"/>
      <x:c r="O329" s="7" t="str"/>
      <x:c r="P329" s="6" t="str">
        <x:v>No</x:v>
      </x:c>
      <x:c r="Q329" s="7" t="str">
        <x:v>Identity review follows duplicate disposition where applicable.</x:v>
      </x:c>
    </x:row>
    <x:row r="330">
      <x:c r="A330" s="6" t="str">
        <x:v>SEQ-SID-0314</x:v>
      </x:c>
      <x:c r="B330" s="6" t="str">
        <x:v>Service Identity</x:v>
      </x:c>
      <x:c r="C330" s="6" t="str">
        <x:v>SIDX-0314</x:v>
      </x:c>
      <x:c r="D330" s="6" t="str">
        <x:v>SVC000314</x:v>
      </x:c>
      <x:c r="E330" s="6" t="str"/>
      <x:c r="F330" s="6" t="str">
        <x:v>Service identity review</x:v>
      </x:c>
      <x:c r="G330" s="6" t="n">
        <x:v>2</x:v>
      </x:c>
      <x:c r="H330" s="6" t="str"/>
      <x:c r="I330" s="6" t="str">
        <x:f>IF(H330="","No upstream dependency",IF(ISNUMBER(SEARCH(";",H330)),"Multiple dependencies - verify source queues",IFERROR(XLOOKUP(H330,C2:C1586,J2:J1586),"Dependency not found")))</x:f>
        <x:v>No upstream dependency</x:v>
      </x:c>
      <x:c r="J330" s="6" t="str">
        <x:v>Not Started</x:v>
      </x:c>
      <x:c r="K330" s="6" t="str">
        <x:v>Normal</x:v>
      </x:c>
      <x:c r="L330" s="6" t="str"/>
      <x:c r="M330" s="6" t="str"/>
      <x:c r="N330" s="6" t="str"/>
      <x:c r="O330" s="7" t="str"/>
      <x:c r="P330" s="6" t="str">
        <x:v>No</x:v>
      </x:c>
      <x:c r="Q330" s="7" t="str">
        <x:v>Identity review follows duplicate disposition where applicable.</x:v>
      </x:c>
    </x:row>
    <x:row r="331">
      <x:c r="A331" s="6" t="str">
        <x:v>SEQ-MFR-0001</x:v>
      </x:c>
      <x:c r="B331" s="6" t="str">
        <x:v>Manufacturer Scope</x:v>
      </x:c>
      <x:c r="C331" s="6" t="str">
        <x:v>MFRX-0001</x:v>
      </x:c>
      <x:c r="D331" s="6" t="str">
        <x:v>SVC000001</x:v>
      </x:c>
      <x:c r="E331" s="6" t="str"/>
      <x:c r="F331" s="6" t="str">
        <x:v>Manufacturer-scope review</x:v>
      </x:c>
      <x:c r="G331" s="6" t="n">
        <x:v>3</x:v>
      </x:c>
      <x:c r="H331" s="6" t="str">
        <x:v>SIDX-0001</x:v>
      </x:c>
      <x:c r="I331" s="6" t="str">
        <x:f>IF(H331="","No upstream dependency",IF(ISNUMBER(SEARCH(";",H331)),"Multiple dependencies - verify source queues",IFERROR(XLOOKUP(H331,C2:C1586,J2:J1586),"Dependency not found")))</x:f>
        <x:v>Not Started</x:v>
      </x:c>
      <x:c r="J331" s="6" t="str">
        <x:v>Not Started</x:v>
      </x:c>
      <x:c r="K331" s="6" t="str">
        <x:v>Normal</x:v>
      </x:c>
      <x:c r="L331" s="6" t="str"/>
      <x:c r="M331" s="6" t="str"/>
      <x:c r="N331" s="6" t="str"/>
      <x:c r="O331" s="7" t="str"/>
      <x:c r="P331" s="6" t="str">
        <x:v>Yes</x:v>
      </x:c>
      <x:c r="Q331" s="7" t="str">
        <x:v>Requires service identity completion.</x:v>
      </x:c>
    </x:row>
    <x:row r="332">
      <x:c r="A332" s="6" t="str">
        <x:v>SEQ-MFR-0002</x:v>
      </x:c>
      <x:c r="B332" s="6" t="str">
        <x:v>Manufacturer Scope</x:v>
      </x:c>
      <x:c r="C332" s="6" t="str">
        <x:v>MFRX-0002</x:v>
      </x:c>
      <x:c r="D332" s="6" t="str">
        <x:v>SVC000002</x:v>
      </x:c>
      <x:c r="E332" s="6" t="str"/>
      <x:c r="F332" s="6" t="str">
        <x:v>Manufacturer-scope review</x:v>
      </x:c>
      <x:c r="G332" s="6" t="n">
        <x:v>3</x:v>
      </x:c>
      <x:c r="H332" s="6" t="str">
        <x:v>SIDX-0002</x:v>
      </x:c>
      <x:c r="I332" s="6" t="str">
        <x:f>IF(H332="","No upstream dependency",IF(ISNUMBER(SEARCH(";",H332)),"Multiple dependencies - verify source queues",IFERROR(XLOOKUP(H332,C2:C1586,J2:J1586),"Dependency not found")))</x:f>
        <x:v>Not Started</x:v>
      </x:c>
      <x:c r="J332" s="6" t="str">
        <x:v>Not Started</x:v>
      </x:c>
      <x:c r="K332" s="6" t="str">
        <x:v>Normal</x:v>
      </x:c>
      <x:c r="L332" s="6" t="str"/>
      <x:c r="M332" s="6" t="str"/>
      <x:c r="N332" s="6" t="str"/>
      <x:c r="O332" s="7" t="str"/>
      <x:c r="P332" s="6" t="str">
        <x:v>Yes</x:v>
      </x:c>
      <x:c r="Q332" s="7" t="str">
        <x:v>Requires service identity completion.</x:v>
      </x:c>
    </x:row>
    <x:row r="333">
      <x:c r="A333" s="6" t="str">
        <x:v>SEQ-MFR-0003</x:v>
      </x:c>
      <x:c r="B333" s="6" t="str">
        <x:v>Manufacturer Scope</x:v>
      </x:c>
      <x:c r="C333" s="6" t="str">
        <x:v>MFRX-0003</x:v>
      </x:c>
      <x:c r="D333" s="6" t="str">
        <x:v>SVC000003</x:v>
      </x:c>
      <x:c r="E333" s="6" t="str"/>
      <x:c r="F333" s="6" t="str">
        <x:v>Manufacturer-scope review</x:v>
      </x:c>
      <x:c r="G333" s="6" t="n">
        <x:v>3</x:v>
      </x:c>
      <x:c r="H333" s="6" t="str">
        <x:v>SIDX-0003</x:v>
      </x:c>
      <x:c r="I333" s="6" t="str">
        <x:f>IF(H333="","No upstream dependency",IF(ISNUMBER(SEARCH(";",H333)),"Multiple dependencies - verify source queues",IFERROR(XLOOKUP(H333,C2:C1586,J2:J1586),"Dependency not found")))</x:f>
        <x:v>Not Started</x:v>
      </x:c>
      <x:c r="J333" s="6" t="str">
        <x:v>Not Started</x:v>
      </x:c>
      <x:c r="K333" s="6" t="str">
        <x:v>Normal</x:v>
      </x:c>
      <x:c r="L333" s="6" t="str"/>
      <x:c r="M333" s="6" t="str"/>
      <x:c r="N333" s="6" t="str"/>
      <x:c r="O333" s="7" t="str"/>
      <x:c r="P333" s="6" t="str">
        <x:v>Yes</x:v>
      </x:c>
      <x:c r="Q333" s="7" t="str">
        <x:v>Requires service identity completion.</x:v>
      </x:c>
    </x:row>
    <x:row r="334">
      <x:c r="A334" s="6" t="str">
        <x:v>SEQ-MFR-0004</x:v>
      </x:c>
      <x:c r="B334" s="6" t="str">
        <x:v>Manufacturer Scope</x:v>
      </x:c>
      <x:c r="C334" s="6" t="str">
        <x:v>MFRX-0004</x:v>
      </x:c>
      <x:c r="D334" s="6" t="str">
        <x:v>SVC000004</x:v>
      </x:c>
      <x:c r="E334" s="6" t="str"/>
      <x:c r="F334" s="6" t="str">
        <x:v>Manufacturer-scope review</x:v>
      </x:c>
      <x:c r="G334" s="6" t="n">
        <x:v>3</x:v>
      </x:c>
      <x:c r="H334" s="6" t="str">
        <x:v>SIDX-0004</x:v>
      </x:c>
      <x:c r="I334" s="6" t="str">
        <x:f>IF(H334="","No upstream dependency",IF(ISNUMBER(SEARCH(";",H334)),"Multiple dependencies - verify source queues",IFERROR(XLOOKUP(H334,C2:C1586,J2:J1586),"Dependency not found")))</x:f>
        <x:v>Not Started</x:v>
      </x:c>
      <x:c r="J334" s="6" t="str">
        <x:v>Not Started</x:v>
      </x:c>
      <x:c r="K334" s="6" t="str">
        <x:v>Normal</x:v>
      </x:c>
      <x:c r="L334" s="6" t="str"/>
      <x:c r="M334" s="6" t="str"/>
      <x:c r="N334" s="6" t="str"/>
      <x:c r="O334" s="7" t="str"/>
      <x:c r="P334" s="6" t="str">
        <x:v>Yes</x:v>
      </x:c>
      <x:c r="Q334" s="7" t="str">
        <x:v>Requires service identity completion.</x:v>
      </x:c>
    </x:row>
    <x:row r="335">
      <x:c r="A335" s="6" t="str">
        <x:v>SEQ-MFR-0005</x:v>
      </x:c>
      <x:c r="B335" s="6" t="str">
        <x:v>Manufacturer Scope</x:v>
      </x:c>
      <x:c r="C335" s="6" t="str">
        <x:v>MFRX-0005</x:v>
      </x:c>
      <x:c r="D335" s="6" t="str">
        <x:v>SVC000005</x:v>
      </x:c>
      <x:c r="E335" s="6" t="str"/>
      <x:c r="F335" s="6" t="str">
        <x:v>Manufacturer-scope review</x:v>
      </x:c>
      <x:c r="G335" s="6" t="n">
        <x:v>3</x:v>
      </x:c>
      <x:c r="H335" s="6" t="str">
        <x:v>SIDX-0005</x:v>
      </x:c>
      <x:c r="I335" s="6" t="str">
        <x:f>IF(H335="","No upstream dependency",IF(ISNUMBER(SEARCH(";",H335)),"Multiple dependencies - verify source queues",IFERROR(XLOOKUP(H335,C2:C1586,J2:J1586),"Dependency not found")))</x:f>
        <x:v>Not Started</x:v>
      </x:c>
      <x:c r="J335" s="6" t="str">
        <x:v>Not Started</x:v>
      </x:c>
      <x:c r="K335" s="6" t="str">
        <x:v>Normal</x:v>
      </x:c>
      <x:c r="L335" s="6" t="str"/>
      <x:c r="M335" s="6" t="str"/>
      <x:c r="N335" s="6" t="str"/>
      <x:c r="O335" s="7" t="str"/>
      <x:c r="P335" s="6" t="str">
        <x:v>Yes</x:v>
      </x:c>
      <x:c r="Q335" s="7" t="str">
        <x:v>Requires service identity completion.</x:v>
      </x:c>
    </x:row>
    <x:row r="336">
      <x:c r="A336" s="6" t="str">
        <x:v>SEQ-MFR-0006</x:v>
      </x:c>
      <x:c r="B336" s="6" t="str">
        <x:v>Manufacturer Scope</x:v>
      </x:c>
      <x:c r="C336" s="6" t="str">
        <x:v>MFRX-0006</x:v>
      </x:c>
      <x:c r="D336" s="6" t="str">
        <x:v>SVC000006</x:v>
      </x:c>
      <x:c r="E336" s="6" t="str"/>
      <x:c r="F336" s="6" t="str">
        <x:v>Manufacturer-scope review</x:v>
      </x:c>
      <x:c r="G336" s="6" t="n">
        <x:v>3</x:v>
      </x:c>
      <x:c r="H336" s="6" t="str">
        <x:v>SIDX-0006</x:v>
      </x:c>
      <x:c r="I336" s="6" t="str">
        <x:f>IF(H336="","No upstream dependency",IF(ISNUMBER(SEARCH(";",H336)),"Multiple dependencies - verify source queues",IFERROR(XLOOKUP(H336,C2:C1586,J2:J1586),"Dependency not found")))</x:f>
        <x:v>Not Started</x:v>
      </x:c>
      <x:c r="J336" s="6" t="str">
        <x:v>Not Started</x:v>
      </x:c>
      <x:c r="K336" s="6" t="str">
        <x:v>Normal</x:v>
      </x:c>
      <x:c r="L336" s="6" t="str"/>
      <x:c r="M336" s="6" t="str"/>
      <x:c r="N336" s="6" t="str"/>
      <x:c r="O336" s="7" t="str"/>
      <x:c r="P336" s="6" t="str">
        <x:v>Yes</x:v>
      </x:c>
      <x:c r="Q336" s="7" t="str">
        <x:v>Requires service identity completion.</x:v>
      </x:c>
    </x:row>
    <x:row r="337">
      <x:c r="A337" s="6" t="str">
        <x:v>SEQ-MFR-0007</x:v>
      </x:c>
      <x:c r="B337" s="6" t="str">
        <x:v>Manufacturer Scope</x:v>
      </x:c>
      <x:c r="C337" s="6" t="str">
        <x:v>MFRX-0007</x:v>
      </x:c>
      <x:c r="D337" s="6" t="str">
        <x:v>SVC000007</x:v>
      </x:c>
      <x:c r="E337" s="6" t="str"/>
      <x:c r="F337" s="6" t="str">
        <x:v>Manufacturer-scope review</x:v>
      </x:c>
      <x:c r="G337" s="6" t="n">
        <x:v>3</x:v>
      </x:c>
      <x:c r="H337" s="6" t="str">
        <x:v>SIDX-0007</x:v>
      </x:c>
      <x:c r="I337" s="6" t="str">
        <x:f>IF(H337="","No upstream dependency",IF(ISNUMBER(SEARCH(";",H337)),"Multiple dependencies - verify source queues",IFERROR(XLOOKUP(H337,C2:C1586,J2:J1586),"Dependency not found")))</x:f>
        <x:v>Not Started</x:v>
      </x:c>
      <x:c r="J337" s="6" t="str">
        <x:v>Not Started</x:v>
      </x:c>
      <x:c r="K337" s="6" t="str">
        <x:v>Normal</x:v>
      </x:c>
      <x:c r="L337" s="6" t="str"/>
      <x:c r="M337" s="6" t="str"/>
      <x:c r="N337" s="6" t="str"/>
      <x:c r="O337" s="7" t="str"/>
      <x:c r="P337" s="6" t="str">
        <x:v>Yes</x:v>
      </x:c>
      <x:c r="Q337" s="7" t="str">
        <x:v>Requires service identity completion.</x:v>
      </x:c>
    </x:row>
    <x:row r="338">
      <x:c r="A338" s="6" t="str">
        <x:v>SEQ-MFR-0008</x:v>
      </x:c>
      <x:c r="B338" s="6" t="str">
        <x:v>Manufacturer Scope</x:v>
      </x:c>
      <x:c r="C338" s="6" t="str">
        <x:v>MFRX-0008</x:v>
      </x:c>
      <x:c r="D338" s="6" t="str">
        <x:v>SVC000008</x:v>
      </x:c>
      <x:c r="E338" s="6" t="str"/>
      <x:c r="F338" s="6" t="str">
        <x:v>Manufacturer-scope review</x:v>
      </x:c>
      <x:c r="G338" s="6" t="n">
        <x:v>3</x:v>
      </x:c>
      <x:c r="H338" s="6" t="str">
        <x:v>SIDX-0008</x:v>
      </x:c>
      <x:c r="I338" s="6" t="str">
        <x:f>IF(H338="","No upstream dependency",IF(ISNUMBER(SEARCH(";",H338)),"Multiple dependencies - verify source queues",IFERROR(XLOOKUP(H338,C2:C1586,J2:J1586),"Dependency not found")))</x:f>
        <x:v>Not Started</x:v>
      </x:c>
      <x:c r="J338" s="6" t="str">
        <x:v>Not Started</x:v>
      </x:c>
      <x:c r="K338" s="6" t="str">
        <x:v>Normal</x:v>
      </x:c>
      <x:c r="L338" s="6" t="str"/>
      <x:c r="M338" s="6" t="str"/>
      <x:c r="N338" s="6" t="str"/>
      <x:c r="O338" s="7" t="str"/>
      <x:c r="P338" s="6" t="str">
        <x:v>Yes</x:v>
      </x:c>
      <x:c r="Q338" s="7" t="str">
        <x:v>Requires service identity completion.</x:v>
      </x:c>
    </x:row>
    <x:row r="339">
      <x:c r="A339" s="6" t="str">
        <x:v>SEQ-MFR-0009</x:v>
      </x:c>
      <x:c r="B339" s="6" t="str">
        <x:v>Manufacturer Scope</x:v>
      </x:c>
      <x:c r="C339" s="6" t="str">
        <x:v>MFRX-0009</x:v>
      </x:c>
      <x:c r="D339" s="6" t="str">
        <x:v>SVC000009</x:v>
      </x:c>
      <x:c r="E339" s="6" t="str"/>
      <x:c r="F339" s="6" t="str">
        <x:v>Manufacturer-scope review</x:v>
      </x:c>
      <x:c r="G339" s="6" t="n">
        <x:v>3</x:v>
      </x:c>
      <x:c r="H339" s="6" t="str">
        <x:v>SIDX-0009</x:v>
      </x:c>
      <x:c r="I339" s="6" t="str">
        <x:f>IF(H339="","No upstream dependency",IF(ISNUMBER(SEARCH(";",H339)),"Multiple dependencies - verify source queues",IFERROR(XLOOKUP(H339,C2:C1586,J2:J1586),"Dependency not found")))</x:f>
        <x:v>Not Started</x:v>
      </x:c>
      <x:c r="J339" s="6" t="str">
        <x:v>Not Started</x:v>
      </x:c>
      <x:c r="K339" s="6" t="str">
        <x:v>Normal</x:v>
      </x:c>
      <x:c r="L339" s="6" t="str"/>
      <x:c r="M339" s="6" t="str"/>
      <x:c r="N339" s="6" t="str"/>
      <x:c r="O339" s="7" t="str"/>
      <x:c r="P339" s="6" t="str">
        <x:v>Yes</x:v>
      </x:c>
      <x:c r="Q339" s="7" t="str">
        <x:v>Requires service identity completion.</x:v>
      </x:c>
    </x:row>
    <x:row r="340">
      <x:c r="A340" s="6" t="str">
        <x:v>SEQ-MFR-0010</x:v>
      </x:c>
      <x:c r="B340" s="6" t="str">
        <x:v>Manufacturer Scope</x:v>
      </x:c>
      <x:c r="C340" s="6" t="str">
        <x:v>MFRX-0010</x:v>
      </x:c>
      <x:c r="D340" s="6" t="str">
        <x:v>SVC000010</x:v>
      </x:c>
      <x:c r="E340" s="6" t="str"/>
      <x:c r="F340" s="6" t="str">
        <x:v>Manufacturer-scope review</x:v>
      </x:c>
      <x:c r="G340" s="6" t="n">
        <x:v>3</x:v>
      </x:c>
      <x:c r="H340" s="6" t="str">
        <x:v>SIDX-0010</x:v>
      </x:c>
      <x:c r="I340" s="6" t="str">
        <x:f>IF(H340="","No upstream dependency",IF(ISNUMBER(SEARCH(";",H340)),"Multiple dependencies - verify source queues",IFERROR(XLOOKUP(H340,C2:C1586,J2:J1586),"Dependency not found")))</x:f>
        <x:v>Not Started</x:v>
      </x:c>
      <x:c r="J340" s="6" t="str">
        <x:v>Not Started</x:v>
      </x:c>
      <x:c r="K340" s="6" t="str">
        <x:v>Normal</x:v>
      </x:c>
      <x:c r="L340" s="6" t="str"/>
      <x:c r="M340" s="6" t="str"/>
      <x:c r="N340" s="6" t="str"/>
      <x:c r="O340" s="7" t="str"/>
      <x:c r="P340" s="6" t="str">
        <x:v>Yes</x:v>
      </x:c>
      <x:c r="Q340" s="7" t="str">
        <x:v>Requires service identity completion.</x:v>
      </x:c>
    </x:row>
    <x:row r="341">
      <x:c r="A341" s="6" t="str">
        <x:v>SEQ-MFR-0011</x:v>
      </x:c>
      <x:c r="B341" s="6" t="str">
        <x:v>Manufacturer Scope</x:v>
      </x:c>
      <x:c r="C341" s="6" t="str">
        <x:v>MFRX-0011</x:v>
      </x:c>
      <x:c r="D341" s="6" t="str">
        <x:v>SVC000011</x:v>
      </x:c>
      <x:c r="E341" s="6" t="str"/>
      <x:c r="F341" s="6" t="str">
        <x:v>Manufacturer-scope review</x:v>
      </x:c>
      <x:c r="G341" s="6" t="n">
        <x:v>3</x:v>
      </x:c>
      <x:c r="H341" s="6" t="str">
        <x:v>SIDX-0011</x:v>
      </x:c>
      <x:c r="I341" s="6" t="str">
        <x:f>IF(H341="","No upstream dependency",IF(ISNUMBER(SEARCH(";",H341)),"Multiple dependencies - verify source queues",IFERROR(XLOOKUP(H341,C2:C1586,J2:J1586),"Dependency not found")))</x:f>
        <x:v>Not Started</x:v>
      </x:c>
      <x:c r="J341" s="6" t="str">
        <x:v>Not Started</x:v>
      </x:c>
      <x:c r="K341" s="6" t="str">
        <x:v>Normal</x:v>
      </x:c>
      <x:c r="L341" s="6" t="str"/>
      <x:c r="M341" s="6" t="str"/>
      <x:c r="N341" s="6" t="str"/>
      <x:c r="O341" s="7" t="str"/>
      <x:c r="P341" s="6" t="str">
        <x:v>Yes</x:v>
      </x:c>
      <x:c r="Q341" s="7" t="str">
        <x:v>Requires service identity completion.</x:v>
      </x:c>
    </x:row>
    <x:row r="342">
      <x:c r="A342" s="6" t="str">
        <x:v>SEQ-MFR-0012</x:v>
      </x:c>
      <x:c r="B342" s="6" t="str">
        <x:v>Manufacturer Scope</x:v>
      </x:c>
      <x:c r="C342" s="6" t="str">
        <x:v>MFRX-0012</x:v>
      </x:c>
      <x:c r="D342" s="6" t="str">
        <x:v>SVC000012</x:v>
      </x:c>
      <x:c r="E342" s="6" t="str"/>
      <x:c r="F342" s="6" t="str">
        <x:v>Manufacturer-scope review</x:v>
      </x:c>
      <x:c r="G342" s="6" t="n">
        <x:v>3</x:v>
      </x:c>
      <x:c r="H342" s="6" t="str">
        <x:v>SIDX-0012</x:v>
      </x:c>
      <x:c r="I342" s="6" t="str">
        <x:f>IF(H342="","No upstream dependency",IF(ISNUMBER(SEARCH(";",H342)),"Multiple dependencies - verify source queues",IFERROR(XLOOKUP(H342,C2:C1586,J2:J1586),"Dependency not found")))</x:f>
        <x:v>Not Started</x:v>
      </x:c>
      <x:c r="J342" s="6" t="str">
        <x:v>Not Started</x:v>
      </x:c>
      <x:c r="K342" s="6" t="str">
        <x:v>Normal</x:v>
      </x:c>
      <x:c r="L342" s="6" t="str"/>
      <x:c r="M342" s="6" t="str"/>
      <x:c r="N342" s="6" t="str"/>
      <x:c r="O342" s="7" t="str"/>
      <x:c r="P342" s="6" t="str">
        <x:v>Yes</x:v>
      </x:c>
      <x:c r="Q342" s="7" t="str">
        <x:v>Requires service identity completion.</x:v>
      </x:c>
    </x:row>
    <x:row r="343">
      <x:c r="A343" s="6" t="str">
        <x:v>SEQ-MFR-0013</x:v>
      </x:c>
      <x:c r="B343" s="6" t="str">
        <x:v>Manufacturer Scope</x:v>
      </x:c>
      <x:c r="C343" s="6" t="str">
        <x:v>MFRX-0013</x:v>
      </x:c>
      <x:c r="D343" s="6" t="str">
        <x:v>SVC000013</x:v>
      </x:c>
      <x:c r="E343" s="6" t="str"/>
      <x:c r="F343" s="6" t="str">
        <x:v>Manufacturer-scope review</x:v>
      </x:c>
      <x:c r="G343" s="6" t="n">
        <x:v>3</x:v>
      </x:c>
      <x:c r="H343" s="6" t="str">
        <x:v>SIDX-0013</x:v>
      </x:c>
      <x:c r="I343" s="6" t="str">
        <x:f>IF(H343="","No upstream dependency",IF(ISNUMBER(SEARCH(";",H343)),"Multiple dependencies - verify source queues",IFERROR(XLOOKUP(H343,C2:C1586,J2:J1586),"Dependency not found")))</x:f>
        <x:v>Not Started</x:v>
      </x:c>
      <x:c r="J343" s="6" t="str">
        <x:v>Not Started</x:v>
      </x:c>
      <x:c r="K343" s="6" t="str">
        <x:v>Normal</x:v>
      </x:c>
      <x:c r="L343" s="6" t="str"/>
      <x:c r="M343" s="6" t="str"/>
      <x:c r="N343" s="6" t="str"/>
      <x:c r="O343" s="7" t="str"/>
      <x:c r="P343" s="6" t="str">
        <x:v>Yes</x:v>
      </x:c>
      <x:c r="Q343" s="7" t="str">
        <x:v>Requires service identity completion.</x:v>
      </x:c>
    </x:row>
    <x:row r="344">
      <x:c r="A344" s="6" t="str">
        <x:v>SEQ-MFR-0014</x:v>
      </x:c>
      <x:c r="B344" s="6" t="str">
        <x:v>Manufacturer Scope</x:v>
      </x:c>
      <x:c r="C344" s="6" t="str">
        <x:v>MFRX-0014</x:v>
      </x:c>
      <x:c r="D344" s="6" t="str">
        <x:v>SVC000014</x:v>
      </x:c>
      <x:c r="E344" s="6" t="str"/>
      <x:c r="F344" s="6" t="str">
        <x:v>Manufacturer-scope review</x:v>
      </x:c>
      <x:c r="G344" s="6" t="n">
        <x:v>3</x:v>
      </x:c>
      <x:c r="H344" s="6" t="str">
        <x:v>SIDX-0014</x:v>
      </x:c>
      <x:c r="I344" s="6" t="str">
        <x:f>IF(H344="","No upstream dependency",IF(ISNUMBER(SEARCH(";",H344)),"Multiple dependencies - verify source queues",IFERROR(XLOOKUP(H344,C2:C1586,J2:J1586),"Dependency not found")))</x:f>
        <x:v>Not Started</x:v>
      </x:c>
      <x:c r="J344" s="6" t="str">
        <x:v>Not Started</x:v>
      </x:c>
      <x:c r="K344" s="6" t="str">
        <x:v>Normal</x:v>
      </x:c>
      <x:c r="L344" s="6" t="str"/>
      <x:c r="M344" s="6" t="str"/>
      <x:c r="N344" s="6" t="str"/>
      <x:c r="O344" s="7" t="str"/>
      <x:c r="P344" s="6" t="str">
        <x:v>Yes</x:v>
      </x:c>
      <x:c r="Q344" s="7" t="str">
        <x:v>Requires service identity completion.</x:v>
      </x:c>
    </x:row>
    <x:row r="345">
      <x:c r="A345" s="6" t="str">
        <x:v>SEQ-MFR-0015</x:v>
      </x:c>
      <x:c r="B345" s="6" t="str">
        <x:v>Manufacturer Scope</x:v>
      </x:c>
      <x:c r="C345" s="6" t="str">
        <x:v>MFRX-0015</x:v>
      </x:c>
      <x:c r="D345" s="6" t="str">
        <x:v>SVC000015</x:v>
      </x:c>
      <x:c r="E345" s="6" t="str"/>
      <x:c r="F345" s="6" t="str">
        <x:v>Manufacturer-scope review</x:v>
      </x:c>
      <x:c r="G345" s="6" t="n">
        <x:v>3</x:v>
      </x:c>
      <x:c r="H345" s="6" t="str">
        <x:v>SIDX-0015</x:v>
      </x:c>
      <x:c r="I345" s="6" t="str">
        <x:f>IF(H345="","No upstream dependency",IF(ISNUMBER(SEARCH(";",H345)),"Multiple dependencies - verify source queues",IFERROR(XLOOKUP(H345,C2:C1586,J2:J1586),"Dependency not found")))</x:f>
        <x:v>Not Started</x:v>
      </x:c>
      <x:c r="J345" s="6" t="str">
        <x:v>Not Started</x:v>
      </x:c>
      <x:c r="K345" s="6" t="str">
        <x:v>Normal</x:v>
      </x:c>
      <x:c r="L345" s="6" t="str"/>
      <x:c r="M345" s="6" t="str"/>
      <x:c r="N345" s="6" t="str"/>
      <x:c r="O345" s="7" t="str"/>
      <x:c r="P345" s="6" t="str">
        <x:v>Yes</x:v>
      </x:c>
      <x:c r="Q345" s="7" t="str">
        <x:v>Requires service identity completion.</x:v>
      </x:c>
    </x:row>
    <x:row r="346">
      <x:c r="A346" s="6" t="str">
        <x:v>SEQ-MFR-0016</x:v>
      </x:c>
      <x:c r="B346" s="6" t="str">
        <x:v>Manufacturer Scope</x:v>
      </x:c>
      <x:c r="C346" s="6" t="str">
        <x:v>MFRX-0016</x:v>
      </x:c>
      <x:c r="D346" s="6" t="str">
        <x:v>SVC000016</x:v>
      </x:c>
      <x:c r="E346" s="6" t="str"/>
      <x:c r="F346" s="6" t="str">
        <x:v>Manufacturer-scope review</x:v>
      </x:c>
      <x:c r="G346" s="6" t="n">
        <x:v>3</x:v>
      </x:c>
      <x:c r="H346" s="6" t="str">
        <x:v>SIDX-0016</x:v>
      </x:c>
      <x:c r="I346" s="6" t="str">
        <x:f>IF(H346="","No upstream dependency",IF(ISNUMBER(SEARCH(";",H346)),"Multiple dependencies - verify source queues",IFERROR(XLOOKUP(H346,C2:C1586,J2:J1586),"Dependency not found")))</x:f>
        <x:v>Not Started</x:v>
      </x:c>
      <x:c r="J346" s="6" t="str">
        <x:v>Not Started</x:v>
      </x:c>
      <x:c r="K346" s="6" t="str">
        <x:v>Normal</x:v>
      </x:c>
      <x:c r="L346" s="6" t="str"/>
      <x:c r="M346" s="6" t="str"/>
      <x:c r="N346" s="6" t="str"/>
      <x:c r="O346" s="7" t="str"/>
      <x:c r="P346" s="6" t="str">
        <x:v>Yes</x:v>
      </x:c>
      <x:c r="Q346" s="7" t="str">
        <x:v>Requires service identity completion.</x:v>
      </x:c>
    </x:row>
    <x:row r="347">
      <x:c r="A347" s="6" t="str">
        <x:v>SEQ-MFR-0017</x:v>
      </x:c>
      <x:c r="B347" s="6" t="str">
        <x:v>Manufacturer Scope</x:v>
      </x:c>
      <x:c r="C347" s="6" t="str">
        <x:v>MFRX-0017</x:v>
      </x:c>
      <x:c r="D347" s="6" t="str">
        <x:v>SVC000017</x:v>
      </x:c>
      <x:c r="E347" s="6" t="str"/>
      <x:c r="F347" s="6" t="str">
        <x:v>Manufacturer-scope review</x:v>
      </x:c>
      <x:c r="G347" s="6" t="n">
        <x:v>3</x:v>
      </x:c>
      <x:c r="H347" s="6" t="str">
        <x:v>SIDX-0017</x:v>
      </x:c>
      <x:c r="I347" s="6" t="str">
        <x:f>IF(H347="","No upstream dependency",IF(ISNUMBER(SEARCH(";",H347)),"Multiple dependencies - verify source queues",IFERROR(XLOOKUP(H347,C2:C1586,J2:J1586),"Dependency not found")))</x:f>
        <x:v>Not Started</x:v>
      </x:c>
      <x:c r="J347" s="6" t="str">
        <x:v>Not Started</x:v>
      </x:c>
      <x:c r="K347" s="6" t="str">
        <x:v>Normal</x:v>
      </x:c>
      <x:c r="L347" s="6" t="str"/>
      <x:c r="M347" s="6" t="str"/>
      <x:c r="N347" s="6" t="str"/>
      <x:c r="O347" s="7" t="str"/>
      <x:c r="P347" s="6" t="str">
        <x:v>Yes</x:v>
      </x:c>
      <x:c r="Q347" s="7" t="str">
        <x:v>Requires service identity completion.</x:v>
      </x:c>
    </x:row>
    <x:row r="348">
      <x:c r="A348" s="6" t="str">
        <x:v>SEQ-MFR-0018</x:v>
      </x:c>
      <x:c r="B348" s="6" t="str">
        <x:v>Manufacturer Scope</x:v>
      </x:c>
      <x:c r="C348" s="6" t="str">
        <x:v>MFRX-0018</x:v>
      </x:c>
      <x:c r="D348" s="6" t="str">
        <x:v>SVC000018</x:v>
      </x:c>
      <x:c r="E348" s="6" t="str"/>
      <x:c r="F348" s="6" t="str">
        <x:v>Manufacturer-scope review</x:v>
      </x:c>
      <x:c r="G348" s="6" t="n">
        <x:v>3</x:v>
      </x:c>
      <x:c r="H348" s="6" t="str">
        <x:v>SIDX-0018</x:v>
      </x:c>
      <x:c r="I348" s="6" t="str">
        <x:f>IF(H348="","No upstream dependency",IF(ISNUMBER(SEARCH(";",H348)),"Multiple dependencies - verify source queues",IFERROR(XLOOKUP(H348,C2:C1586,J2:J1586),"Dependency not found")))</x:f>
        <x:v>Not Started</x:v>
      </x:c>
      <x:c r="J348" s="6" t="str">
        <x:v>Not Started</x:v>
      </x:c>
      <x:c r="K348" s="6" t="str">
        <x:v>Normal</x:v>
      </x:c>
      <x:c r="L348" s="6" t="str"/>
      <x:c r="M348" s="6" t="str"/>
      <x:c r="N348" s="6" t="str"/>
      <x:c r="O348" s="7" t="str"/>
      <x:c r="P348" s="6" t="str">
        <x:v>Yes</x:v>
      </x:c>
      <x:c r="Q348" s="7" t="str">
        <x:v>Requires service identity completion.</x:v>
      </x:c>
    </x:row>
    <x:row r="349">
      <x:c r="A349" s="6" t="str">
        <x:v>SEQ-MFR-0019</x:v>
      </x:c>
      <x:c r="B349" s="6" t="str">
        <x:v>Manufacturer Scope</x:v>
      </x:c>
      <x:c r="C349" s="6" t="str">
        <x:v>MFRX-0019</x:v>
      </x:c>
      <x:c r="D349" s="6" t="str">
        <x:v>SVC000019</x:v>
      </x:c>
      <x:c r="E349" s="6" t="str"/>
      <x:c r="F349" s="6" t="str">
        <x:v>Manufacturer-scope review</x:v>
      </x:c>
      <x:c r="G349" s="6" t="n">
        <x:v>3</x:v>
      </x:c>
      <x:c r="H349" s="6" t="str">
        <x:v>SIDX-0019</x:v>
      </x:c>
      <x:c r="I349" s="6" t="str">
        <x:f>IF(H349="","No upstream dependency",IF(ISNUMBER(SEARCH(";",H349)),"Multiple dependencies - verify source queues",IFERROR(XLOOKUP(H349,C2:C1586,J2:J1586),"Dependency not found")))</x:f>
        <x:v>Not Started</x:v>
      </x:c>
      <x:c r="J349" s="6" t="str">
        <x:v>Not Started</x:v>
      </x:c>
      <x:c r="K349" s="6" t="str">
        <x:v>Normal</x:v>
      </x:c>
      <x:c r="L349" s="6" t="str"/>
      <x:c r="M349" s="6" t="str"/>
      <x:c r="N349" s="6" t="str"/>
      <x:c r="O349" s="7" t="str"/>
      <x:c r="P349" s="6" t="str">
        <x:v>Yes</x:v>
      </x:c>
      <x:c r="Q349" s="7" t="str">
        <x:v>Requires service identity completion.</x:v>
      </x:c>
    </x:row>
    <x:row r="350">
      <x:c r="A350" s="6" t="str">
        <x:v>SEQ-MFR-0020</x:v>
      </x:c>
      <x:c r="B350" s="6" t="str">
        <x:v>Manufacturer Scope</x:v>
      </x:c>
      <x:c r="C350" s="6" t="str">
        <x:v>MFRX-0020</x:v>
      </x:c>
      <x:c r="D350" s="6" t="str">
        <x:v>SVC000020</x:v>
      </x:c>
      <x:c r="E350" s="6" t="str"/>
      <x:c r="F350" s="6" t="str">
        <x:v>Manufacturer-scope review</x:v>
      </x:c>
      <x:c r="G350" s="6" t="n">
        <x:v>3</x:v>
      </x:c>
      <x:c r="H350" s="6" t="str">
        <x:v>SIDX-0020</x:v>
      </x:c>
      <x:c r="I350" s="6" t="str">
        <x:f>IF(H350="","No upstream dependency",IF(ISNUMBER(SEARCH(";",H350)),"Multiple dependencies - verify source queues",IFERROR(XLOOKUP(H350,C2:C1586,J2:J1586),"Dependency not found")))</x:f>
        <x:v>Not Started</x:v>
      </x:c>
      <x:c r="J350" s="6" t="str">
        <x:v>Not Started</x:v>
      </x:c>
      <x:c r="K350" s="6" t="str">
        <x:v>Normal</x:v>
      </x:c>
      <x:c r="L350" s="6" t="str"/>
      <x:c r="M350" s="6" t="str"/>
      <x:c r="N350" s="6" t="str"/>
      <x:c r="O350" s="7" t="str"/>
      <x:c r="P350" s="6" t="str">
        <x:v>Yes</x:v>
      </x:c>
      <x:c r="Q350" s="7" t="str">
        <x:v>Requires service identity completion.</x:v>
      </x:c>
    </x:row>
    <x:row r="351">
      <x:c r="A351" s="6" t="str">
        <x:v>SEQ-MFR-0021</x:v>
      </x:c>
      <x:c r="B351" s="6" t="str">
        <x:v>Manufacturer Scope</x:v>
      </x:c>
      <x:c r="C351" s="6" t="str">
        <x:v>MFRX-0021</x:v>
      </x:c>
      <x:c r="D351" s="6" t="str">
        <x:v>SVC000021</x:v>
      </x:c>
      <x:c r="E351" s="6" t="str"/>
      <x:c r="F351" s="6" t="str">
        <x:v>Manufacturer-scope review</x:v>
      </x:c>
      <x:c r="G351" s="6" t="n">
        <x:v>3</x:v>
      </x:c>
      <x:c r="H351" s="6" t="str">
        <x:v>SIDX-0021</x:v>
      </x:c>
      <x:c r="I351" s="6" t="str">
        <x:f>IF(H351="","No upstream dependency",IF(ISNUMBER(SEARCH(";",H351)),"Multiple dependencies - verify source queues",IFERROR(XLOOKUP(H351,C2:C1586,J2:J1586),"Dependency not found")))</x:f>
        <x:v>Not Started</x:v>
      </x:c>
      <x:c r="J351" s="6" t="str">
        <x:v>Not Started</x:v>
      </x:c>
      <x:c r="K351" s="6" t="str">
        <x:v>Normal</x:v>
      </x:c>
      <x:c r="L351" s="6" t="str"/>
      <x:c r="M351" s="6" t="str"/>
      <x:c r="N351" s="6" t="str"/>
      <x:c r="O351" s="7" t="str"/>
      <x:c r="P351" s="6" t="str">
        <x:v>Yes</x:v>
      </x:c>
      <x:c r="Q351" s="7" t="str">
        <x:v>Requires service identity completion.</x:v>
      </x:c>
    </x:row>
    <x:row r="352">
      <x:c r="A352" s="6" t="str">
        <x:v>SEQ-MFR-0022</x:v>
      </x:c>
      <x:c r="B352" s="6" t="str">
        <x:v>Manufacturer Scope</x:v>
      </x:c>
      <x:c r="C352" s="6" t="str">
        <x:v>MFRX-0022</x:v>
      </x:c>
      <x:c r="D352" s="6" t="str">
        <x:v>SVC000022</x:v>
      </x:c>
      <x:c r="E352" s="6" t="str"/>
      <x:c r="F352" s="6" t="str">
        <x:v>Manufacturer-scope review</x:v>
      </x:c>
      <x:c r="G352" s="6" t="n">
        <x:v>3</x:v>
      </x:c>
      <x:c r="H352" s="6" t="str">
        <x:v>SIDX-0022</x:v>
      </x:c>
      <x:c r="I352" s="6" t="str">
        <x:f>IF(H352="","No upstream dependency",IF(ISNUMBER(SEARCH(";",H352)),"Multiple dependencies - verify source queues",IFERROR(XLOOKUP(H352,C2:C1586,J2:J1586),"Dependency not found")))</x:f>
        <x:v>Not Started</x:v>
      </x:c>
      <x:c r="J352" s="6" t="str">
        <x:v>Not Started</x:v>
      </x:c>
      <x:c r="K352" s="6" t="str">
        <x:v>Normal</x:v>
      </x:c>
      <x:c r="L352" s="6" t="str"/>
      <x:c r="M352" s="6" t="str"/>
      <x:c r="N352" s="6" t="str"/>
      <x:c r="O352" s="7" t="str"/>
      <x:c r="P352" s="6" t="str">
        <x:v>Yes</x:v>
      </x:c>
      <x:c r="Q352" s="7" t="str">
        <x:v>Requires service identity completion.</x:v>
      </x:c>
    </x:row>
    <x:row r="353">
      <x:c r="A353" s="6" t="str">
        <x:v>SEQ-MFR-0023</x:v>
      </x:c>
      <x:c r="B353" s="6" t="str">
        <x:v>Manufacturer Scope</x:v>
      </x:c>
      <x:c r="C353" s="6" t="str">
        <x:v>MFRX-0023</x:v>
      </x:c>
      <x:c r="D353" s="6" t="str">
        <x:v>SVC000023</x:v>
      </x:c>
      <x:c r="E353" s="6" t="str"/>
      <x:c r="F353" s="6" t="str">
        <x:v>Manufacturer-scope review</x:v>
      </x:c>
      <x:c r="G353" s="6" t="n">
        <x:v>3</x:v>
      </x:c>
      <x:c r="H353" s="6" t="str">
        <x:v>SIDX-0023</x:v>
      </x:c>
      <x:c r="I353" s="6" t="str">
        <x:f>IF(H353="","No upstream dependency",IF(ISNUMBER(SEARCH(";",H353)),"Multiple dependencies - verify source queues",IFERROR(XLOOKUP(H353,C2:C1586,J2:J1586),"Dependency not found")))</x:f>
        <x:v>Not Started</x:v>
      </x:c>
      <x:c r="J353" s="6" t="str">
        <x:v>Not Started</x:v>
      </x:c>
      <x:c r="K353" s="6" t="str">
        <x:v>Normal</x:v>
      </x:c>
      <x:c r="L353" s="6" t="str"/>
      <x:c r="M353" s="6" t="str"/>
      <x:c r="N353" s="6" t="str"/>
      <x:c r="O353" s="7" t="str"/>
      <x:c r="P353" s="6" t="str">
        <x:v>Yes</x:v>
      </x:c>
      <x:c r="Q353" s="7" t="str">
        <x:v>Requires service identity completion.</x:v>
      </x:c>
    </x:row>
    <x:row r="354">
      <x:c r="A354" s="6" t="str">
        <x:v>SEQ-MFR-0024</x:v>
      </x:c>
      <x:c r="B354" s="6" t="str">
        <x:v>Manufacturer Scope</x:v>
      </x:c>
      <x:c r="C354" s="6" t="str">
        <x:v>MFRX-0024</x:v>
      </x:c>
      <x:c r="D354" s="6" t="str">
        <x:v>SVC000024</x:v>
      </x:c>
      <x:c r="E354" s="6" t="str"/>
      <x:c r="F354" s="6" t="str">
        <x:v>Manufacturer-scope review</x:v>
      </x:c>
      <x:c r="G354" s="6" t="n">
        <x:v>3</x:v>
      </x:c>
      <x:c r="H354" s="6" t="str">
        <x:v>SIDX-0024</x:v>
      </x:c>
      <x:c r="I354" s="6" t="str">
        <x:f>IF(H354="","No upstream dependency",IF(ISNUMBER(SEARCH(";",H354)),"Multiple dependencies - verify source queues",IFERROR(XLOOKUP(H354,C2:C1586,J2:J1586),"Dependency not found")))</x:f>
        <x:v>Not Started</x:v>
      </x:c>
      <x:c r="J354" s="6" t="str">
        <x:v>Not Started</x:v>
      </x:c>
      <x:c r="K354" s="6" t="str">
        <x:v>Normal</x:v>
      </x:c>
      <x:c r="L354" s="6" t="str"/>
      <x:c r="M354" s="6" t="str"/>
      <x:c r="N354" s="6" t="str"/>
      <x:c r="O354" s="7" t="str"/>
      <x:c r="P354" s="6" t="str">
        <x:v>Yes</x:v>
      </x:c>
      <x:c r="Q354" s="7" t="str">
        <x:v>Requires service identity completion.</x:v>
      </x:c>
    </x:row>
    <x:row r="355">
      <x:c r="A355" s="6" t="str">
        <x:v>SEQ-MFR-0025</x:v>
      </x:c>
      <x:c r="B355" s="6" t="str">
        <x:v>Manufacturer Scope</x:v>
      </x:c>
      <x:c r="C355" s="6" t="str">
        <x:v>MFRX-0025</x:v>
      </x:c>
      <x:c r="D355" s="6" t="str">
        <x:v>SVC000025</x:v>
      </x:c>
      <x:c r="E355" s="6" t="str"/>
      <x:c r="F355" s="6" t="str">
        <x:v>Manufacturer-scope review</x:v>
      </x:c>
      <x:c r="G355" s="6" t="n">
        <x:v>3</x:v>
      </x:c>
      <x:c r="H355" s="6" t="str">
        <x:v>SIDX-0025</x:v>
      </x:c>
      <x:c r="I355" s="6" t="str">
        <x:f>IF(H355="","No upstream dependency",IF(ISNUMBER(SEARCH(";",H355)),"Multiple dependencies - verify source queues",IFERROR(XLOOKUP(H355,C2:C1586,J2:J1586),"Dependency not found")))</x:f>
        <x:v>Not Started</x:v>
      </x:c>
      <x:c r="J355" s="6" t="str">
        <x:v>Not Started</x:v>
      </x:c>
      <x:c r="K355" s="6" t="str">
        <x:v>Normal</x:v>
      </x:c>
      <x:c r="L355" s="6" t="str"/>
      <x:c r="M355" s="6" t="str"/>
      <x:c r="N355" s="6" t="str"/>
      <x:c r="O355" s="7" t="str"/>
      <x:c r="P355" s="6" t="str">
        <x:v>Yes</x:v>
      </x:c>
      <x:c r="Q355" s="7" t="str">
        <x:v>Requires service identity completion.</x:v>
      </x:c>
    </x:row>
    <x:row r="356">
      <x:c r="A356" s="6" t="str">
        <x:v>SEQ-MFR-0026</x:v>
      </x:c>
      <x:c r="B356" s="6" t="str">
        <x:v>Manufacturer Scope</x:v>
      </x:c>
      <x:c r="C356" s="6" t="str">
        <x:v>MFRX-0026</x:v>
      </x:c>
      <x:c r="D356" s="6" t="str">
        <x:v>SVC000026</x:v>
      </x:c>
      <x:c r="E356" s="6" t="str"/>
      <x:c r="F356" s="6" t="str">
        <x:v>Manufacturer-scope review</x:v>
      </x:c>
      <x:c r="G356" s="6" t="n">
        <x:v>3</x:v>
      </x:c>
      <x:c r="H356" s="6" t="str">
        <x:v>SIDX-0026</x:v>
      </x:c>
      <x:c r="I356" s="6" t="str">
        <x:f>IF(H356="","No upstream dependency",IF(ISNUMBER(SEARCH(";",H356)),"Multiple dependencies - verify source queues",IFERROR(XLOOKUP(H356,C2:C1586,J2:J1586),"Dependency not found")))</x:f>
        <x:v>Not Started</x:v>
      </x:c>
      <x:c r="J356" s="6" t="str">
        <x:v>Not Started</x:v>
      </x:c>
      <x:c r="K356" s="6" t="str">
        <x:v>Normal</x:v>
      </x:c>
      <x:c r="L356" s="6" t="str"/>
      <x:c r="M356" s="6" t="str"/>
      <x:c r="N356" s="6" t="str"/>
      <x:c r="O356" s="7" t="str"/>
      <x:c r="P356" s="6" t="str">
        <x:v>Yes</x:v>
      </x:c>
      <x:c r="Q356" s="7" t="str">
        <x:v>Requires service identity completion.</x:v>
      </x:c>
    </x:row>
    <x:row r="357">
      <x:c r="A357" s="6" t="str">
        <x:v>SEQ-MFR-0027</x:v>
      </x:c>
      <x:c r="B357" s="6" t="str">
        <x:v>Manufacturer Scope</x:v>
      </x:c>
      <x:c r="C357" s="6" t="str">
        <x:v>MFRX-0027</x:v>
      </x:c>
      <x:c r="D357" s="6" t="str">
        <x:v>SVC000027</x:v>
      </x:c>
      <x:c r="E357" s="6" t="str"/>
      <x:c r="F357" s="6" t="str">
        <x:v>Manufacturer-scope review</x:v>
      </x:c>
      <x:c r="G357" s="6" t="n">
        <x:v>3</x:v>
      </x:c>
      <x:c r="H357" s="6" t="str">
        <x:v>SIDX-0027</x:v>
      </x:c>
      <x:c r="I357" s="6" t="str">
        <x:f>IF(H357="","No upstream dependency",IF(ISNUMBER(SEARCH(";",H357)),"Multiple dependencies - verify source queues",IFERROR(XLOOKUP(H357,C2:C1586,J2:J1586),"Dependency not found")))</x:f>
        <x:v>Not Started</x:v>
      </x:c>
      <x:c r="J357" s="6" t="str">
        <x:v>Not Started</x:v>
      </x:c>
      <x:c r="K357" s="6" t="str">
        <x:v>Normal</x:v>
      </x:c>
      <x:c r="L357" s="6" t="str"/>
      <x:c r="M357" s="6" t="str"/>
      <x:c r="N357" s="6" t="str"/>
      <x:c r="O357" s="7" t="str"/>
      <x:c r="P357" s="6" t="str">
        <x:v>Yes</x:v>
      </x:c>
      <x:c r="Q357" s="7" t="str">
        <x:v>Requires service identity completion.</x:v>
      </x:c>
    </x:row>
    <x:row r="358">
      <x:c r="A358" s="6" t="str">
        <x:v>SEQ-MFR-0028</x:v>
      </x:c>
      <x:c r="B358" s="6" t="str">
        <x:v>Manufacturer Scope</x:v>
      </x:c>
      <x:c r="C358" s="6" t="str">
        <x:v>MFRX-0028</x:v>
      </x:c>
      <x:c r="D358" s="6" t="str">
        <x:v>SVC000028</x:v>
      </x:c>
      <x:c r="E358" s="6" t="str"/>
      <x:c r="F358" s="6" t="str">
        <x:v>Manufacturer-scope review</x:v>
      </x:c>
      <x:c r="G358" s="6" t="n">
        <x:v>3</x:v>
      </x:c>
      <x:c r="H358" s="6" t="str">
        <x:v>SIDX-0028</x:v>
      </x:c>
      <x:c r="I358" s="6" t="str">
        <x:f>IF(H358="","No upstream dependency",IF(ISNUMBER(SEARCH(";",H358)),"Multiple dependencies - verify source queues",IFERROR(XLOOKUP(H358,C2:C1586,J2:J1586),"Dependency not found")))</x:f>
        <x:v>Not Started</x:v>
      </x:c>
      <x:c r="J358" s="6" t="str">
        <x:v>Not Started</x:v>
      </x:c>
      <x:c r="K358" s="6" t="str">
        <x:v>Normal</x:v>
      </x:c>
      <x:c r="L358" s="6" t="str"/>
      <x:c r="M358" s="6" t="str"/>
      <x:c r="N358" s="6" t="str"/>
      <x:c r="O358" s="7" t="str"/>
      <x:c r="P358" s="6" t="str">
        <x:v>Yes</x:v>
      </x:c>
      <x:c r="Q358" s="7" t="str">
        <x:v>Requires service identity completion.</x:v>
      </x:c>
    </x:row>
    <x:row r="359">
      <x:c r="A359" s="6" t="str">
        <x:v>SEQ-MFR-0029</x:v>
      </x:c>
      <x:c r="B359" s="6" t="str">
        <x:v>Manufacturer Scope</x:v>
      </x:c>
      <x:c r="C359" s="6" t="str">
        <x:v>MFRX-0029</x:v>
      </x:c>
      <x:c r="D359" s="6" t="str">
        <x:v>SVC000029</x:v>
      </x:c>
      <x:c r="E359" s="6" t="str"/>
      <x:c r="F359" s="6" t="str">
        <x:v>Manufacturer-scope review</x:v>
      </x:c>
      <x:c r="G359" s="6" t="n">
        <x:v>3</x:v>
      </x:c>
      <x:c r="H359" s="6" t="str">
        <x:v>SIDX-0029</x:v>
      </x:c>
      <x:c r="I359" s="6" t="str">
        <x:f>IF(H359="","No upstream dependency",IF(ISNUMBER(SEARCH(";",H359)),"Multiple dependencies - verify source queues",IFERROR(XLOOKUP(H359,C2:C1586,J2:J1586),"Dependency not found")))</x:f>
        <x:v>Not Started</x:v>
      </x:c>
      <x:c r="J359" s="6" t="str">
        <x:v>Not Started</x:v>
      </x:c>
      <x:c r="K359" s="6" t="str">
        <x:v>Normal</x:v>
      </x:c>
      <x:c r="L359" s="6" t="str"/>
      <x:c r="M359" s="6" t="str"/>
      <x:c r="N359" s="6" t="str"/>
      <x:c r="O359" s="7" t="str"/>
      <x:c r="P359" s="6" t="str">
        <x:v>Yes</x:v>
      </x:c>
      <x:c r="Q359" s="7" t="str">
        <x:v>Requires service identity completion.</x:v>
      </x:c>
    </x:row>
    <x:row r="360">
      <x:c r="A360" s="6" t="str">
        <x:v>SEQ-MFR-0030</x:v>
      </x:c>
      <x:c r="B360" s="6" t="str">
        <x:v>Manufacturer Scope</x:v>
      </x:c>
      <x:c r="C360" s="6" t="str">
        <x:v>MFRX-0030</x:v>
      </x:c>
      <x:c r="D360" s="6" t="str">
        <x:v>SVC000030</x:v>
      </x:c>
      <x:c r="E360" s="6" t="str"/>
      <x:c r="F360" s="6" t="str">
        <x:v>Manufacturer-scope review</x:v>
      </x:c>
      <x:c r="G360" s="6" t="n">
        <x:v>3</x:v>
      </x:c>
      <x:c r="H360" s="6" t="str">
        <x:v>SIDX-0030</x:v>
      </x:c>
      <x:c r="I360" s="6" t="str">
        <x:f>IF(H360="","No upstream dependency",IF(ISNUMBER(SEARCH(";",H360)),"Multiple dependencies - verify source queues",IFERROR(XLOOKUP(H360,C2:C1586,J2:J1586),"Dependency not found")))</x:f>
        <x:v>Not Started</x:v>
      </x:c>
      <x:c r="J360" s="6" t="str">
        <x:v>Not Started</x:v>
      </x:c>
      <x:c r="K360" s="6" t="str">
        <x:v>Normal</x:v>
      </x:c>
      <x:c r="L360" s="6" t="str"/>
      <x:c r="M360" s="6" t="str"/>
      <x:c r="N360" s="6" t="str"/>
      <x:c r="O360" s="7" t="str"/>
      <x:c r="P360" s="6" t="str">
        <x:v>Yes</x:v>
      </x:c>
      <x:c r="Q360" s="7" t="str">
        <x:v>Requires service identity completion.</x:v>
      </x:c>
    </x:row>
    <x:row r="361">
      <x:c r="A361" s="6" t="str">
        <x:v>SEQ-MFR-0031</x:v>
      </x:c>
      <x:c r="B361" s="6" t="str">
        <x:v>Manufacturer Scope</x:v>
      </x:c>
      <x:c r="C361" s="6" t="str">
        <x:v>MFRX-0031</x:v>
      </x:c>
      <x:c r="D361" s="6" t="str">
        <x:v>SVC000031</x:v>
      </x:c>
      <x:c r="E361" s="6" t="str"/>
      <x:c r="F361" s="6" t="str">
        <x:v>Manufacturer-scope review</x:v>
      </x:c>
      <x:c r="G361" s="6" t="n">
        <x:v>3</x:v>
      </x:c>
      <x:c r="H361" s="6" t="str">
        <x:v>SIDX-0031</x:v>
      </x:c>
      <x:c r="I361" s="6" t="str">
        <x:f>IF(H361="","No upstream dependency",IF(ISNUMBER(SEARCH(";",H361)),"Multiple dependencies - verify source queues",IFERROR(XLOOKUP(H361,C2:C1586,J2:J1586),"Dependency not found")))</x:f>
        <x:v>Not Started</x:v>
      </x:c>
      <x:c r="J361" s="6" t="str">
        <x:v>Not Started</x:v>
      </x:c>
      <x:c r="K361" s="6" t="str">
        <x:v>Normal</x:v>
      </x:c>
      <x:c r="L361" s="6" t="str"/>
      <x:c r="M361" s="6" t="str"/>
      <x:c r="N361" s="6" t="str"/>
      <x:c r="O361" s="7" t="str"/>
      <x:c r="P361" s="6" t="str">
        <x:v>Yes</x:v>
      </x:c>
      <x:c r="Q361" s="7" t="str">
        <x:v>Requires service identity completion.</x:v>
      </x:c>
    </x:row>
    <x:row r="362">
      <x:c r="A362" s="6" t="str">
        <x:v>SEQ-MFR-0032</x:v>
      </x:c>
      <x:c r="B362" s="6" t="str">
        <x:v>Manufacturer Scope</x:v>
      </x:c>
      <x:c r="C362" s="6" t="str">
        <x:v>MFRX-0032</x:v>
      </x:c>
      <x:c r="D362" s="6" t="str">
        <x:v>SVC000032</x:v>
      </x:c>
      <x:c r="E362" s="6" t="str"/>
      <x:c r="F362" s="6" t="str">
        <x:v>Manufacturer-scope review</x:v>
      </x:c>
      <x:c r="G362" s="6" t="n">
        <x:v>3</x:v>
      </x:c>
      <x:c r="H362" s="6" t="str">
        <x:v>SIDX-0032</x:v>
      </x:c>
      <x:c r="I362" s="6" t="str">
        <x:f>IF(H362="","No upstream dependency",IF(ISNUMBER(SEARCH(";",H362)),"Multiple dependencies - verify source queues",IFERROR(XLOOKUP(H362,C2:C1586,J2:J1586),"Dependency not found")))</x:f>
        <x:v>Not Started</x:v>
      </x:c>
      <x:c r="J362" s="6" t="str">
        <x:v>Not Started</x:v>
      </x:c>
      <x:c r="K362" s="6" t="str">
        <x:v>Normal</x:v>
      </x:c>
      <x:c r="L362" s="6" t="str"/>
      <x:c r="M362" s="6" t="str"/>
      <x:c r="N362" s="6" t="str"/>
      <x:c r="O362" s="7" t="str"/>
      <x:c r="P362" s="6" t="str">
        <x:v>Yes</x:v>
      </x:c>
      <x:c r="Q362" s="7" t="str">
        <x:v>Requires service identity completion.</x:v>
      </x:c>
    </x:row>
    <x:row r="363">
      <x:c r="A363" s="6" t="str">
        <x:v>SEQ-MFR-0033</x:v>
      </x:c>
      <x:c r="B363" s="6" t="str">
        <x:v>Manufacturer Scope</x:v>
      </x:c>
      <x:c r="C363" s="6" t="str">
        <x:v>MFRX-0033</x:v>
      </x:c>
      <x:c r="D363" s="6" t="str">
        <x:v>SVC000033</x:v>
      </x:c>
      <x:c r="E363" s="6" t="str"/>
      <x:c r="F363" s="6" t="str">
        <x:v>Manufacturer-scope review</x:v>
      </x:c>
      <x:c r="G363" s="6" t="n">
        <x:v>3</x:v>
      </x:c>
      <x:c r="H363" s="6" t="str">
        <x:v>SIDX-0033</x:v>
      </x:c>
      <x:c r="I363" s="6" t="str">
        <x:f>IF(H363="","No upstream dependency",IF(ISNUMBER(SEARCH(";",H363)),"Multiple dependencies - verify source queues",IFERROR(XLOOKUP(H363,C2:C1586,J2:J1586),"Dependency not found")))</x:f>
        <x:v>Not Started</x:v>
      </x:c>
      <x:c r="J363" s="6" t="str">
        <x:v>Not Started</x:v>
      </x:c>
      <x:c r="K363" s="6" t="str">
        <x:v>Normal</x:v>
      </x:c>
      <x:c r="L363" s="6" t="str"/>
      <x:c r="M363" s="6" t="str"/>
      <x:c r="N363" s="6" t="str"/>
      <x:c r="O363" s="7" t="str"/>
      <x:c r="P363" s="6" t="str">
        <x:v>Yes</x:v>
      </x:c>
      <x:c r="Q363" s="7" t="str">
        <x:v>Requires service identity completion.</x:v>
      </x:c>
    </x:row>
    <x:row r="364">
      <x:c r="A364" s="6" t="str">
        <x:v>SEQ-MFR-0034</x:v>
      </x:c>
      <x:c r="B364" s="6" t="str">
        <x:v>Manufacturer Scope</x:v>
      </x:c>
      <x:c r="C364" s="6" t="str">
        <x:v>MFRX-0034</x:v>
      </x:c>
      <x:c r="D364" s="6" t="str">
        <x:v>SVC000034</x:v>
      </x:c>
      <x:c r="E364" s="6" t="str"/>
      <x:c r="F364" s="6" t="str">
        <x:v>Manufacturer-scope review</x:v>
      </x:c>
      <x:c r="G364" s="6" t="n">
        <x:v>3</x:v>
      </x:c>
      <x:c r="H364" s="6" t="str">
        <x:v>SIDX-0034</x:v>
      </x:c>
      <x:c r="I364" s="6" t="str">
        <x:f>IF(H364="","No upstream dependency",IF(ISNUMBER(SEARCH(";",H364)),"Multiple dependencies - verify source queues",IFERROR(XLOOKUP(H364,C2:C1586,J2:J1586),"Dependency not found")))</x:f>
        <x:v>Not Started</x:v>
      </x:c>
      <x:c r="J364" s="6" t="str">
        <x:v>Not Started</x:v>
      </x:c>
      <x:c r="K364" s="6" t="str">
        <x:v>Normal</x:v>
      </x:c>
      <x:c r="L364" s="6" t="str"/>
      <x:c r="M364" s="6" t="str"/>
      <x:c r="N364" s="6" t="str"/>
      <x:c r="O364" s="7" t="str"/>
      <x:c r="P364" s="6" t="str">
        <x:v>Yes</x:v>
      </x:c>
      <x:c r="Q364" s="7" t="str">
        <x:v>Requires service identity completion.</x:v>
      </x:c>
    </x:row>
    <x:row r="365">
      <x:c r="A365" s="6" t="str">
        <x:v>SEQ-MFR-0035</x:v>
      </x:c>
      <x:c r="B365" s="6" t="str">
        <x:v>Manufacturer Scope</x:v>
      </x:c>
      <x:c r="C365" s="6" t="str">
        <x:v>MFRX-0035</x:v>
      </x:c>
      <x:c r="D365" s="6" t="str">
        <x:v>SVC000035</x:v>
      </x:c>
      <x:c r="E365" s="6" t="str"/>
      <x:c r="F365" s="6" t="str">
        <x:v>Manufacturer-scope review</x:v>
      </x:c>
      <x:c r="G365" s="6" t="n">
        <x:v>3</x:v>
      </x:c>
      <x:c r="H365" s="6" t="str">
        <x:v>SIDX-0035</x:v>
      </x:c>
      <x:c r="I365" s="6" t="str">
        <x:f>IF(H365="","No upstream dependency",IF(ISNUMBER(SEARCH(";",H365)),"Multiple dependencies - verify source queues",IFERROR(XLOOKUP(H365,C2:C1586,J2:J1586),"Dependency not found")))</x:f>
        <x:v>Not Started</x:v>
      </x:c>
      <x:c r="J365" s="6" t="str">
        <x:v>Not Started</x:v>
      </x:c>
      <x:c r="K365" s="6" t="str">
        <x:v>Normal</x:v>
      </x:c>
      <x:c r="L365" s="6" t="str"/>
      <x:c r="M365" s="6" t="str"/>
      <x:c r="N365" s="6" t="str"/>
      <x:c r="O365" s="7" t="str"/>
      <x:c r="P365" s="6" t="str">
        <x:v>Yes</x:v>
      </x:c>
      <x:c r="Q365" s="7" t="str">
        <x:v>Requires service identity completion.</x:v>
      </x:c>
    </x:row>
    <x:row r="366">
      <x:c r="A366" s="6" t="str">
        <x:v>SEQ-MFR-0036</x:v>
      </x:c>
      <x:c r="B366" s="6" t="str">
        <x:v>Manufacturer Scope</x:v>
      </x:c>
      <x:c r="C366" s="6" t="str">
        <x:v>MFRX-0036</x:v>
      </x:c>
      <x:c r="D366" s="6" t="str">
        <x:v>SVC000036</x:v>
      </x:c>
      <x:c r="E366" s="6" t="str"/>
      <x:c r="F366" s="6" t="str">
        <x:v>Manufacturer-scope review</x:v>
      </x:c>
      <x:c r="G366" s="6" t="n">
        <x:v>3</x:v>
      </x:c>
      <x:c r="H366" s="6" t="str">
        <x:v>SIDX-0036</x:v>
      </x:c>
      <x:c r="I366" s="6" t="str">
        <x:f>IF(H366="","No upstream dependency",IF(ISNUMBER(SEARCH(";",H366)),"Multiple dependencies - verify source queues",IFERROR(XLOOKUP(H366,C2:C1586,J2:J1586),"Dependency not found")))</x:f>
        <x:v>Not Started</x:v>
      </x:c>
      <x:c r="J366" s="6" t="str">
        <x:v>Not Started</x:v>
      </x:c>
      <x:c r="K366" s="6" t="str">
        <x:v>Normal</x:v>
      </x:c>
      <x:c r="L366" s="6" t="str"/>
      <x:c r="M366" s="6" t="str"/>
      <x:c r="N366" s="6" t="str"/>
      <x:c r="O366" s="7" t="str"/>
      <x:c r="P366" s="6" t="str">
        <x:v>Yes</x:v>
      </x:c>
      <x:c r="Q366" s="7" t="str">
        <x:v>Requires service identity completion.</x:v>
      </x:c>
    </x:row>
    <x:row r="367">
      <x:c r="A367" s="6" t="str">
        <x:v>SEQ-MFR-0037</x:v>
      </x:c>
      <x:c r="B367" s="6" t="str">
        <x:v>Manufacturer Scope</x:v>
      </x:c>
      <x:c r="C367" s="6" t="str">
        <x:v>MFRX-0037</x:v>
      </x:c>
      <x:c r="D367" s="6" t="str">
        <x:v>SVC000037</x:v>
      </x:c>
      <x:c r="E367" s="6" t="str"/>
      <x:c r="F367" s="6" t="str">
        <x:v>Manufacturer-scope review</x:v>
      </x:c>
      <x:c r="G367" s="6" t="n">
        <x:v>3</x:v>
      </x:c>
      <x:c r="H367" s="6" t="str">
        <x:v>SIDX-0037</x:v>
      </x:c>
      <x:c r="I367" s="6" t="str">
        <x:f>IF(H367="","No upstream dependency",IF(ISNUMBER(SEARCH(";",H367)),"Multiple dependencies - verify source queues",IFERROR(XLOOKUP(H367,C2:C1586,J2:J1586),"Dependency not found")))</x:f>
        <x:v>Not Started</x:v>
      </x:c>
      <x:c r="J367" s="6" t="str">
        <x:v>Not Started</x:v>
      </x:c>
      <x:c r="K367" s="6" t="str">
        <x:v>Normal</x:v>
      </x:c>
      <x:c r="L367" s="6" t="str"/>
      <x:c r="M367" s="6" t="str"/>
      <x:c r="N367" s="6" t="str"/>
      <x:c r="O367" s="7" t="str"/>
      <x:c r="P367" s="6" t="str">
        <x:v>Yes</x:v>
      </x:c>
      <x:c r="Q367" s="7" t="str">
        <x:v>Requires service identity completion.</x:v>
      </x:c>
    </x:row>
    <x:row r="368">
      <x:c r="A368" s="6" t="str">
        <x:v>SEQ-MFR-0038</x:v>
      </x:c>
      <x:c r="B368" s="6" t="str">
        <x:v>Manufacturer Scope</x:v>
      </x:c>
      <x:c r="C368" s="6" t="str">
        <x:v>MFRX-0038</x:v>
      </x:c>
      <x:c r="D368" s="6" t="str">
        <x:v>SVC000038</x:v>
      </x:c>
      <x:c r="E368" s="6" t="str"/>
      <x:c r="F368" s="6" t="str">
        <x:v>Manufacturer-scope review</x:v>
      </x:c>
      <x:c r="G368" s="6" t="n">
        <x:v>3</x:v>
      </x:c>
      <x:c r="H368" s="6" t="str">
        <x:v>SIDX-0038</x:v>
      </x:c>
      <x:c r="I368" s="6" t="str">
        <x:f>IF(H368="","No upstream dependency",IF(ISNUMBER(SEARCH(";",H368)),"Multiple dependencies - verify source queues",IFERROR(XLOOKUP(H368,C2:C1586,J2:J1586),"Dependency not found")))</x:f>
        <x:v>Not Started</x:v>
      </x:c>
      <x:c r="J368" s="6" t="str">
        <x:v>Not Started</x:v>
      </x:c>
      <x:c r="K368" s="6" t="str">
        <x:v>Normal</x:v>
      </x:c>
      <x:c r="L368" s="6" t="str"/>
      <x:c r="M368" s="6" t="str"/>
      <x:c r="N368" s="6" t="str"/>
      <x:c r="O368" s="7" t="str"/>
      <x:c r="P368" s="6" t="str">
        <x:v>Yes</x:v>
      </x:c>
      <x:c r="Q368" s="7" t="str">
        <x:v>Requires service identity completion.</x:v>
      </x:c>
    </x:row>
    <x:row r="369">
      <x:c r="A369" s="6" t="str">
        <x:v>SEQ-MFR-0039</x:v>
      </x:c>
      <x:c r="B369" s="6" t="str">
        <x:v>Manufacturer Scope</x:v>
      </x:c>
      <x:c r="C369" s="6" t="str">
        <x:v>MFRX-0039</x:v>
      </x:c>
      <x:c r="D369" s="6" t="str">
        <x:v>SVC000039</x:v>
      </x:c>
      <x:c r="E369" s="6" t="str"/>
      <x:c r="F369" s="6" t="str">
        <x:v>Manufacturer-scope review</x:v>
      </x:c>
      <x:c r="G369" s="6" t="n">
        <x:v>3</x:v>
      </x:c>
      <x:c r="H369" s="6" t="str">
        <x:v>SIDX-0039</x:v>
      </x:c>
      <x:c r="I369" s="6" t="str">
        <x:f>IF(H369="","No upstream dependency",IF(ISNUMBER(SEARCH(";",H369)),"Multiple dependencies - verify source queues",IFERROR(XLOOKUP(H369,C2:C1586,J2:J1586),"Dependency not found")))</x:f>
        <x:v>Not Started</x:v>
      </x:c>
      <x:c r="J369" s="6" t="str">
        <x:v>Not Started</x:v>
      </x:c>
      <x:c r="K369" s="6" t="str">
        <x:v>Normal</x:v>
      </x:c>
      <x:c r="L369" s="6" t="str"/>
      <x:c r="M369" s="6" t="str"/>
      <x:c r="N369" s="6" t="str"/>
      <x:c r="O369" s="7" t="str"/>
      <x:c r="P369" s="6" t="str">
        <x:v>Yes</x:v>
      </x:c>
      <x:c r="Q369" s="7" t="str">
        <x:v>Requires service identity completion.</x:v>
      </x:c>
    </x:row>
    <x:row r="370">
      <x:c r="A370" s="6" t="str">
        <x:v>SEQ-MFR-0040</x:v>
      </x:c>
      <x:c r="B370" s="6" t="str">
        <x:v>Manufacturer Scope</x:v>
      </x:c>
      <x:c r="C370" s="6" t="str">
        <x:v>MFRX-0040</x:v>
      </x:c>
      <x:c r="D370" s="6" t="str">
        <x:v>SVC000040</x:v>
      </x:c>
      <x:c r="E370" s="6" t="str"/>
      <x:c r="F370" s="6" t="str">
        <x:v>Manufacturer-scope review</x:v>
      </x:c>
      <x:c r="G370" s="6" t="n">
        <x:v>3</x:v>
      </x:c>
      <x:c r="H370" s="6" t="str">
        <x:v>SIDX-0040</x:v>
      </x:c>
      <x:c r="I370" s="6" t="str">
        <x:f>IF(H370="","No upstream dependency",IF(ISNUMBER(SEARCH(";",H370)),"Multiple dependencies - verify source queues",IFERROR(XLOOKUP(H370,C2:C1586,J2:J1586),"Dependency not found")))</x:f>
        <x:v>Not Started</x:v>
      </x:c>
      <x:c r="J370" s="6" t="str">
        <x:v>Not Started</x:v>
      </x:c>
      <x:c r="K370" s="6" t="str">
        <x:v>Normal</x:v>
      </x:c>
      <x:c r="L370" s="6" t="str"/>
      <x:c r="M370" s="6" t="str"/>
      <x:c r="N370" s="6" t="str"/>
      <x:c r="O370" s="7" t="str"/>
      <x:c r="P370" s="6" t="str">
        <x:v>Yes</x:v>
      </x:c>
      <x:c r="Q370" s="7" t="str">
        <x:v>Requires service identity completion.</x:v>
      </x:c>
    </x:row>
    <x:row r="371">
      <x:c r="A371" s="6" t="str">
        <x:v>SEQ-MFR-0041</x:v>
      </x:c>
      <x:c r="B371" s="6" t="str">
        <x:v>Manufacturer Scope</x:v>
      </x:c>
      <x:c r="C371" s="6" t="str">
        <x:v>MFRX-0041</x:v>
      </x:c>
      <x:c r="D371" s="6" t="str">
        <x:v>SVC000041</x:v>
      </x:c>
      <x:c r="E371" s="6" t="str"/>
      <x:c r="F371" s="6" t="str">
        <x:v>Manufacturer-scope review</x:v>
      </x:c>
      <x:c r="G371" s="6" t="n">
        <x:v>3</x:v>
      </x:c>
      <x:c r="H371" s="6" t="str">
        <x:v>SIDX-0041</x:v>
      </x:c>
      <x:c r="I371" s="6" t="str">
        <x:f>IF(H371="","No upstream dependency",IF(ISNUMBER(SEARCH(";",H371)),"Multiple dependencies - verify source queues",IFERROR(XLOOKUP(H371,C2:C1586,J2:J1586),"Dependency not found")))</x:f>
        <x:v>Not Started</x:v>
      </x:c>
      <x:c r="J371" s="6" t="str">
        <x:v>Not Started</x:v>
      </x:c>
      <x:c r="K371" s="6" t="str">
        <x:v>Normal</x:v>
      </x:c>
      <x:c r="L371" s="6" t="str"/>
      <x:c r="M371" s="6" t="str"/>
      <x:c r="N371" s="6" t="str"/>
      <x:c r="O371" s="7" t="str"/>
      <x:c r="P371" s="6" t="str">
        <x:v>Yes</x:v>
      </x:c>
      <x:c r="Q371" s="7" t="str">
        <x:v>Requires service identity completion.</x:v>
      </x:c>
    </x:row>
    <x:row r="372">
      <x:c r="A372" s="6" t="str">
        <x:v>SEQ-MFR-0042</x:v>
      </x:c>
      <x:c r="B372" s="6" t="str">
        <x:v>Manufacturer Scope</x:v>
      </x:c>
      <x:c r="C372" s="6" t="str">
        <x:v>MFRX-0042</x:v>
      </x:c>
      <x:c r="D372" s="6" t="str">
        <x:v>SVC000042</x:v>
      </x:c>
      <x:c r="E372" s="6" t="str"/>
      <x:c r="F372" s="6" t="str">
        <x:v>Manufacturer-scope review</x:v>
      </x:c>
      <x:c r="G372" s="6" t="n">
        <x:v>3</x:v>
      </x:c>
      <x:c r="H372" s="6" t="str">
        <x:v>SIDX-0042</x:v>
      </x:c>
      <x:c r="I372" s="6" t="str">
        <x:f>IF(H372="","No upstream dependency",IF(ISNUMBER(SEARCH(";",H372)),"Multiple dependencies - verify source queues",IFERROR(XLOOKUP(H372,C2:C1586,J2:J1586),"Dependency not found")))</x:f>
        <x:v>Not Started</x:v>
      </x:c>
      <x:c r="J372" s="6" t="str">
        <x:v>Not Started</x:v>
      </x:c>
      <x:c r="K372" s="6" t="str">
        <x:v>Normal</x:v>
      </x:c>
      <x:c r="L372" s="6" t="str"/>
      <x:c r="M372" s="6" t="str"/>
      <x:c r="N372" s="6" t="str"/>
      <x:c r="O372" s="7" t="str"/>
      <x:c r="P372" s="6" t="str">
        <x:v>Yes</x:v>
      </x:c>
      <x:c r="Q372" s="7" t="str">
        <x:v>Requires service identity completion.</x:v>
      </x:c>
    </x:row>
    <x:row r="373">
      <x:c r="A373" s="6" t="str">
        <x:v>SEQ-MFR-0043</x:v>
      </x:c>
      <x:c r="B373" s="6" t="str">
        <x:v>Manufacturer Scope</x:v>
      </x:c>
      <x:c r="C373" s="6" t="str">
        <x:v>MFRX-0043</x:v>
      </x:c>
      <x:c r="D373" s="6" t="str">
        <x:v>SVC000043</x:v>
      </x:c>
      <x:c r="E373" s="6" t="str"/>
      <x:c r="F373" s="6" t="str">
        <x:v>Manufacturer-scope review</x:v>
      </x:c>
      <x:c r="G373" s="6" t="n">
        <x:v>3</x:v>
      </x:c>
      <x:c r="H373" s="6" t="str">
        <x:v>SIDX-0043</x:v>
      </x:c>
      <x:c r="I373" s="6" t="str">
        <x:f>IF(H373="","No upstream dependency",IF(ISNUMBER(SEARCH(";",H373)),"Multiple dependencies - verify source queues",IFERROR(XLOOKUP(H373,C2:C1586,J2:J1586),"Dependency not found")))</x:f>
        <x:v>Not Started</x:v>
      </x:c>
      <x:c r="J373" s="6" t="str">
        <x:v>Not Started</x:v>
      </x:c>
      <x:c r="K373" s="6" t="str">
        <x:v>Normal</x:v>
      </x:c>
      <x:c r="L373" s="6" t="str"/>
      <x:c r="M373" s="6" t="str"/>
      <x:c r="N373" s="6" t="str"/>
      <x:c r="O373" s="7" t="str"/>
      <x:c r="P373" s="6" t="str">
        <x:v>Yes</x:v>
      </x:c>
      <x:c r="Q373" s="7" t="str">
        <x:v>Requires service identity completion.</x:v>
      </x:c>
    </x:row>
    <x:row r="374">
      <x:c r="A374" s="6" t="str">
        <x:v>SEQ-MFR-0044</x:v>
      </x:c>
      <x:c r="B374" s="6" t="str">
        <x:v>Manufacturer Scope</x:v>
      </x:c>
      <x:c r="C374" s="6" t="str">
        <x:v>MFRX-0044</x:v>
      </x:c>
      <x:c r="D374" s="6" t="str">
        <x:v>SVC000044</x:v>
      </x:c>
      <x:c r="E374" s="6" t="str"/>
      <x:c r="F374" s="6" t="str">
        <x:v>Manufacturer-scope review</x:v>
      </x:c>
      <x:c r="G374" s="6" t="n">
        <x:v>3</x:v>
      </x:c>
      <x:c r="H374" s="6" t="str">
        <x:v>SIDX-0044</x:v>
      </x:c>
      <x:c r="I374" s="6" t="str">
        <x:f>IF(H374="","No upstream dependency",IF(ISNUMBER(SEARCH(";",H374)),"Multiple dependencies - verify source queues",IFERROR(XLOOKUP(H374,C2:C1586,J2:J1586),"Dependency not found")))</x:f>
        <x:v>Not Started</x:v>
      </x:c>
      <x:c r="J374" s="6" t="str">
        <x:v>Not Started</x:v>
      </x:c>
      <x:c r="K374" s="6" t="str">
        <x:v>Normal</x:v>
      </x:c>
      <x:c r="L374" s="6" t="str"/>
      <x:c r="M374" s="6" t="str"/>
      <x:c r="N374" s="6" t="str"/>
      <x:c r="O374" s="7" t="str"/>
      <x:c r="P374" s="6" t="str">
        <x:v>Yes</x:v>
      </x:c>
      <x:c r="Q374" s="7" t="str">
        <x:v>Requires service identity completion.</x:v>
      </x:c>
    </x:row>
    <x:row r="375">
      <x:c r="A375" s="6" t="str">
        <x:v>SEQ-MFR-0045</x:v>
      </x:c>
      <x:c r="B375" s="6" t="str">
        <x:v>Manufacturer Scope</x:v>
      </x:c>
      <x:c r="C375" s="6" t="str">
        <x:v>MFRX-0045</x:v>
      </x:c>
      <x:c r="D375" s="6" t="str">
        <x:v>SVC000045</x:v>
      </x:c>
      <x:c r="E375" s="6" t="str"/>
      <x:c r="F375" s="6" t="str">
        <x:v>Manufacturer-scope review</x:v>
      </x:c>
      <x:c r="G375" s="6" t="n">
        <x:v>3</x:v>
      </x:c>
      <x:c r="H375" s="6" t="str">
        <x:v>SIDX-0045</x:v>
      </x:c>
      <x:c r="I375" s="6" t="str">
        <x:f>IF(H375="","No upstream dependency",IF(ISNUMBER(SEARCH(";",H375)),"Multiple dependencies - verify source queues",IFERROR(XLOOKUP(H375,C2:C1586,J2:J1586),"Dependency not found")))</x:f>
        <x:v>Not Started</x:v>
      </x:c>
      <x:c r="J375" s="6" t="str">
        <x:v>Not Started</x:v>
      </x:c>
      <x:c r="K375" s="6" t="str">
        <x:v>Normal</x:v>
      </x:c>
      <x:c r="L375" s="6" t="str"/>
      <x:c r="M375" s="6" t="str"/>
      <x:c r="N375" s="6" t="str"/>
      <x:c r="O375" s="7" t="str"/>
      <x:c r="P375" s="6" t="str">
        <x:v>Yes</x:v>
      </x:c>
      <x:c r="Q375" s="7" t="str">
        <x:v>Requires service identity completion.</x:v>
      </x:c>
    </x:row>
    <x:row r="376">
      <x:c r="A376" s="6" t="str">
        <x:v>SEQ-MFR-0046</x:v>
      </x:c>
      <x:c r="B376" s="6" t="str">
        <x:v>Manufacturer Scope</x:v>
      </x:c>
      <x:c r="C376" s="6" t="str">
        <x:v>MFRX-0046</x:v>
      </x:c>
      <x:c r="D376" s="6" t="str">
        <x:v>SVC000046</x:v>
      </x:c>
      <x:c r="E376" s="6" t="str"/>
      <x:c r="F376" s="6" t="str">
        <x:v>Manufacturer-scope review</x:v>
      </x:c>
      <x:c r="G376" s="6" t="n">
        <x:v>3</x:v>
      </x:c>
      <x:c r="H376" s="6" t="str">
        <x:v>SIDX-0046</x:v>
      </x:c>
      <x:c r="I376" s="6" t="str">
        <x:f>IF(H376="","No upstream dependency",IF(ISNUMBER(SEARCH(";",H376)),"Multiple dependencies - verify source queues",IFERROR(XLOOKUP(H376,C2:C1586,J2:J1586),"Dependency not found")))</x:f>
        <x:v>Not Started</x:v>
      </x:c>
      <x:c r="J376" s="6" t="str">
        <x:v>Not Started</x:v>
      </x:c>
      <x:c r="K376" s="6" t="str">
        <x:v>Normal</x:v>
      </x:c>
      <x:c r="L376" s="6" t="str"/>
      <x:c r="M376" s="6" t="str"/>
      <x:c r="N376" s="6" t="str"/>
      <x:c r="O376" s="7" t="str"/>
      <x:c r="P376" s="6" t="str">
        <x:v>Yes</x:v>
      </x:c>
      <x:c r="Q376" s="7" t="str">
        <x:v>Requires service identity completion.</x:v>
      </x:c>
    </x:row>
    <x:row r="377">
      <x:c r="A377" s="6" t="str">
        <x:v>SEQ-MFR-0047</x:v>
      </x:c>
      <x:c r="B377" s="6" t="str">
        <x:v>Manufacturer Scope</x:v>
      </x:c>
      <x:c r="C377" s="6" t="str">
        <x:v>MFRX-0047</x:v>
      </x:c>
      <x:c r="D377" s="6" t="str">
        <x:v>SVC000047</x:v>
      </x:c>
      <x:c r="E377" s="6" t="str"/>
      <x:c r="F377" s="6" t="str">
        <x:v>Manufacturer-scope review</x:v>
      </x:c>
      <x:c r="G377" s="6" t="n">
        <x:v>3</x:v>
      </x:c>
      <x:c r="H377" s="6" t="str">
        <x:v>SIDX-0047</x:v>
      </x:c>
      <x:c r="I377" s="6" t="str">
        <x:f>IF(H377="","No upstream dependency",IF(ISNUMBER(SEARCH(";",H377)),"Multiple dependencies - verify source queues",IFERROR(XLOOKUP(H377,C2:C1586,J2:J1586),"Dependency not found")))</x:f>
        <x:v>Not Started</x:v>
      </x:c>
      <x:c r="J377" s="6" t="str">
        <x:v>Not Started</x:v>
      </x:c>
      <x:c r="K377" s="6" t="str">
        <x:v>Normal</x:v>
      </x:c>
      <x:c r="L377" s="6" t="str"/>
      <x:c r="M377" s="6" t="str"/>
      <x:c r="N377" s="6" t="str"/>
      <x:c r="O377" s="7" t="str"/>
      <x:c r="P377" s="6" t="str">
        <x:v>Yes</x:v>
      </x:c>
      <x:c r="Q377" s="7" t="str">
        <x:v>Requires service identity completion.</x:v>
      </x:c>
    </x:row>
    <x:row r="378">
      <x:c r="A378" s="6" t="str">
        <x:v>SEQ-MFR-0048</x:v>
      </x:c>
      <x:c r="B378" s="6" t="str">
        <x:v>Manufacturer Scope</x:v>
      </x:c>
      <x:c r="C378" s="6" t="str">
        <x:v>MFRX-0048</x:v>
      </x:c>
      <x:c r="D378" s="6" t="str">
        <x:v>SVC000048</x:v>
      </x:c>
      <x:c r="E378" s="6" t="str"/>
      <x:c r="F378" s="6" t="str">
        <x:v>Manufacturer-scope review</x:v>
      </x:c>
      <x:c r="G378" s="6" t="n">
        <x:v>3</x:v>
      </x:c>
      <x:c r="H378" s="6" t="str">
        <x:v>SIDX-0048</x:v>
      </x:c>
      <x:c r="I378" s="6" t="str">
        <x:f>IF(H378="","No upstream dependency",IF(ISNUMBER(SEARCH(";",H378)),"Multiple dependencies - verify source queues",IFERROR(XLOOKUP(H378,C2:C1586,J2:J1586),"Dependency not found")))</x:f>
        <x:v>Not Started</x:v>
      </x:c>
      <x:c r="J378" s="6" t="str">
        <x:v>Not Started</x:v>
      </x:c>
      <x:c r="K378" s="6" t="str">
        <x:v>Normal</x:v>
      </x:c>
      <x:c r="L378" s="6" t="str"/>
      <x:c r="M378" s="6" t="str"/>
      <x:c r="N378" s="6" t="str"/>
      <x:c r="O378" s="7" t="str"/>
      <x:c r="P378" s="6" t="str">
        <x:v>Yes</x:v>
      </x:c>
      <x:c r="Q378" s="7" t="str">
        <x:v>Requires service identity completion.</x:v>
      </x:c>
    </x:row>
    <x:row r="379">
      <x:c r="A379" s="6" t="str">
        <x:v>SEQ-MFR-0049</x:v>
      </x:c>
      <x:c r="B379" s="6" t="str">
        <x:v>Manufacturer Scope</x:v>
      </x:c>
      <x:c r="C379" s="6" t="str">
        <x:v>MFRX-0049</x:v>
      </x:c>
      <x:c r="D379" s="6" t="str">
        <x:v>SVC000049</x:v>
      </x:c>
      <x:c r="E379" s="6" t="str"/>
      <x:c r="F379" s="6" t="str">
        <x:v>Manufacturer-scope review</x:v>
      </x:c>
      <x:c r="G379" s="6" t="n">
        <x:v>3</x:v>
      </x:c>
      <x:c r="H379" s="6" t="str">
        <x:v>SIDX-0049</x:v>
      </x:c>
      <x:c r="I379" s="6" t="str">
        <x:f>IF(H379="","No upstream dependency",IF(ISNUMBER(SEARCH(";",H379)),"Multiple dependencies - verify source queues",IFERROR(XLOOKUP(H379,C2:C1586,J2:J1586),"Dependency not found")))</x:f>
        <x:v>Not Started</x:v>
      </x:c>
      <x:c r="J379" s="6" t="str">
        <x:v>Not Started</x:v>
      </x:c>
      <x:c r="K379" s="6" t="str">
        <x:v>Normal</x:v>
      </x:c>
      <x:c r="L379" s="6" t="str"/>
      <x:c r="M379" s="6" t="str"/>
      <x:c r="N379" s="6" t="str"/>
      <x:c r="O379" s="7" t="str"/>
      <x:c r="P379" s="6" t="str">
        <x:v>Yes</x:v>
      </x:c>
      <x:c r="Q379" s="7" t="str">
        <x:v>Requires service identity completion.</x:v>
      </x:c>
    </x:row>
    <x:row r="380">
      <x:c r="A380" s="6" t="str">
        <x:v>SEQ-MFR-0050</x:v>
      </x:c>
      <x:c r="B380" s="6" t="str">
        <x:v>Manufacturer Scope</x:v>
      </x:c>
      <x:c r="C380" s="6" t="str">
        <x:v>MFRX-0050</x:v>
      </x:c>
      <x:c r="D380" s="6" t="str">
        <x:v>SVC000050</x:v>
      </x:c>
      <x:c r="E380" s="6" t="str"/>
      <x:c r="F380" s="6" t="str">
        <x:v>Manufacturer-scope review</x:v>
      </x:c>
      <x:c r="G380" s="6" t="n">
        <x:v>3</x:v>
      </x:c>
      <x:c r="H380" s="6" t="str">
        <x:v>SIDX-0050</x:v>
      </x:c>
      <x:c r="I380" s="6" t="str">
        <x:f>IF(H380="","No upstream dependency",IF(ISNUMBER(SEARCH(";",H380)),"Multiple dependencies - verify source queues",IFERROR(XLOOKUP(H380,C2:C1586,J2:J1586),"Dependency not found")))</x:f>
        <x:v>Not Started</x:v>
      </x:c>
      <x:c r="J380" s="6" t="str">
        <x:v>Not Started</x:v>
      </x:c>
      <x:c r="K380" s="6" t="str">
        <x:v>Normal</x:v>
      </x:c>
      <x:c r="L380" s="6" t="str"/>
      <x:c r="M380" s="6" t="str"/>
      <x:c r="N380" s="6" t="str"/>
      <x:c r="O380" s="7" t="str"/>
      <x:c r="P380" s="6" t="str">
        <x:v>Yes</x:v>
      </x:c>
      <x:c r="Q380" s="7" t="str">
        <x:v>Requires service identity completion.</x:v>
      </x:c>
    </x:row>
    <x:row r="381">
      <x:c r="A381" s="6" t="str">
        <x:v>SEQ-MFR-0051</x:v>
      </x:c>
      <x:c r="B381" s="6" t="str">
        <x:v>Manufacturer Scope</x:v>
      </x:c>
      <x:c r="C381" s="6" t="str">
        <x:v>MFRX-0051</x:v>
      </x:c>
      <x:c r="D381" s="6" t="str">
        <x:v>SVC000051</x:v>
      </x:c>
      <x:c r="E381" s="6" t="str"/>
      <x:c r="F381" s="6" t="str">
        <x:v>Manufacturer-scope review</x:v>
      </x:c>
      <x:c r="G381" s="6" t="n">
        <x:v>3</x:v>
      </x:c>
      <x:c r="H381" s="6" t="str">
        <x:v>SIDX-0051</x:v>
      </x:c>
      <x:c r="I381" s="6" t="str">
        <x:f>IF(H381="","No upstream dependency",IF(ISNUMBER(SEARCH(";",H381)),"Multiple dependencies - verify source queues",IFERROR(XLOOKUP(H381,C2:C1586,J2:J1586),"Dependency not found")))</x:f>
        <x:v>Not Started</x:v>
      </x:c>
      <x:c r="J381" s="6" t="str">
        <x:v>Not Started</x:v>
      </x:c>
      <x:c r="K381" s="6" t="str">
        <x:v>Normal</x:v>
      </x:c>
      <x:c r="L381" s="6" t="str"/>
      <x:c r="M381" s="6" t="str"/>
      <x:c r="N381" s="6" t="str"/>
      <x:c r="O381" s="7" t="str"/>
      <x:c r="P381" s="6" t="str">
        <x:v>Yes</x:v>
      </x:c>
      <x:c r="Q381" s="7" t="str">
        <x:v>Requires service identity completion.</x:v>
      </x:c>
    </x:row>
    <x:row r="382">
      <x:c r="A382" s="6" t="str">
        <x:v>SEQ-MFR-0052</x:v>
      </x:c>
      <x:c r="B382" s="6" t="str">
        <x:v>Manufacturer Scope</x:v>
      </x:c>
      <x:c r="C382" s="6" t="str">
        <x:v>MFRX-0052</x:v>
      </x:c>
      <x:c r="D382" s="6" t="str">
        <x:v>SVC000052</x:v>
      </x:c>
      <x:c r="E382" s="6" t="str"/>
      <x:c r="F382" s="6" t="str">
        <x:v>Manufacturer-scope review</x:v>
      </x:c>
      <x:c r="G382" s="6" t="n">
        <x:v>3</x:v>
      </x:c>
      <x:c r="H382" s="6" t="str">
        <x:v>SIDX-0052</x:v>
      </x:c>
      <x:c r="I382" s="6" t="str">
        <x:f>IF(H382="","No upstream dependency",IF(ISNUMBER(SEARCH(";",H382)),"Multiple dependencies - verify source queues",IFERROR(XLOOKUP(H382,C2:C1586,J2:J1586),"Dependency not found")))</x:f>
        <x:v>Not Started</x:v>
      </x:c>
      <x:c r="J382" s="6" t="str">
        <x:v>Not Started</x:v>
      </x:c>
      <x:c r="K382" s="6" t="str">
        <x:v>Normal</x:v>
      </x:c>
      <x:c r="L382" s="6" t="str"/>
      <x:c r="M382" s="6" t="str"/>
      <x:c r="N382" s="6" t="str"/>
      <x:c r="O382" s="7" t="str"/>
      <x:c r="P382" s="6" t="str">
        <x:v>Yes</x:v>
      </x:c>
      <x:c r="Q382" s="7" t="str">
        <x:v>Requires service identity completion.</x:v>
      </x:c>
    </x:row>
    <x:row r="383">
      <x:c r="A383" s="6" t="str">
        <x:v>SEQ-MFR-0053</x:v>
      </x:c>
      <x:c r="B383" s="6" t="str">
        <x:v>Manufacturer Scope</x:v>
      </x:c>
      <x:c r="C383" s="6" t="str">
        <x:v>MFRX-0053</x:v>
      </x:c>
      <x:c r="D383" s="6" t="str">
        <x:v>SVC000053</x:v>
      </x:c>
      <x:c r="E383" s="6" t="str"/>
      <x:c r="F383" s="6" t="str">
        <x:v>Manufacturer-scope review</x:v>
      </x:c>
      <x:c r="G383" s="6" t="n">
        <x:v>3</x:v>
      </x:c>
      <x:c r="H383" s="6" t="str">
        <x:v>SIDX-0053</x:v>
      </x:c>
      <x:c r="I383" s="6" t="str">
        <x:f>IF(H383="","No upstream dependency",IF(ISNUMBER(SEARCH(";",H383)),"Multiple dependencies - verify source queues",IFERROR(XLOOKUP(H383,C2:C1586,J2:J1586),"Dependency not found")))</x:f>
        <x:v>Not Started</x:v>
      </x:c>
      <x:c r="J383" s="6" t="str">
        <x:v>Not Started</x:v>
      </x:c>
      <x:c r="K383" s="6" t="str">
        <x:v>Normal</x:v>
      </x:c>
      <x:c r="L383" s="6" t="str"/>
      <x:c r="M383" s="6" t="str"/>
      <x:c r="N383" s="6" t="str"/>
      <x:c r="O383" s="7" t="str"/>
      <x:c r="P383" s="6" t="str">
        <x:v>Yes</x:v>
      </x:c>
      <x:c r="Q383" s="7" t="str">
        <x:v>Requires service identity completion.</x:v>
      </x:c>
    </x:row>
    <x:row r="384">
      <x:c r="A384" s="6" t="str">
        <x:v>SEQ-MFR-0054</x:v>
      </x:c>
      <x:c r="B384" s="6" t="str">
        <x:v>Manufacturer Scope</x:v>
      </x:c>
      <x:c r="C384" s="6" t="str">
        <x:v>MFRX-0054</x:v>
      </x:c>
      <x:c r="D384" s="6" t="str">
        <x:v>SVC000054</x:v>
      </x:c>
      <x:c r="E384" s="6" t="str"/>
      <x:c r="F384" s="6" t="str">
        <x:v>Manufacturer-scope review</x:v>
      </x:c>
      <x:c r="G384" s="6" t="n">
        <x:v>3</x:v>
      </x:c>
      <x:c r="H384" s="6" t="str">
        <x:v>SIDX-0054</x:v>
      </x:c>
      <x:c r="I384" s="6" t="str">
        <x:f>IF(H384="","No upstream dependency",IF(ISNUMBER(SEARCH(";",H384)),"Multiple dependencies - verify source queues",IFERROR(XLOOKUP(H384,C2:C1586,J2:J1586),"Dependency not found")))</x:f>
        <x:v>Not Started</x:v>
      </x:c>
      <x:c r="J384" s="6" t="str">
        <x:v>Not Started</x:v>
      </x:c>
      <x:c r="K384" s="6" t="str">
        <x:v>Normal</x:v>
      </x:c>
      <x:c r="L384" s="6" t="str"/>
      <x:c r="M384" s="6" t="str"/>
      <x:c r="N384" s="6" t="str"/>
      <x:c r="O384" s="7" t="str"/>
      <x:c r="P384" s="6" t="str">
        <x:v>Yes</x:v>
      </x:c>
      <x:c r="Q384" s="7" t="str">
        <x:v>Requires service identity completion.</x:v>
      </x:c>
    </x:row>
    <x:row r="385">
      <x:c r="A385" s="6" t="str">
        <x:v>SEQ-MFR-0055</x:v>
      </x:c>
      <x:c r="B385" s="6" t="str">
        <x:v>Manufacturer Scope</x:v>
      </x:c>
      <x:c r="C385" s="6" t="str">
        <x:v>MFRX-0055</x:v>
      </x:c>
      <x:c r="D385" s="6" t="str">
        <x:v>SVC000055</x:v>
      </x:c>
      <x:c r="E385" s="6" t="str"/>
      <x:c r="F385" s="6" t="str">
        <x:v>Manufacturer-scope review</x:v>
      </x:c>
      <x:c r="G385" s="6" t="n">
        <x:v>3</x:v>
      </x:c>
      <x:c r="H385" s="6" t="str">
        <x:v>SIDX-0055</x:v>
      </x:c>
      <x:c r="I385" s="6" t="str">
        <x:f>IF(H385="","No upstream dependency",IF(ISNUMBER(SEARCH(";",H385)),"Multiple dependencies - verify source queues",IFERROR(XLOOKUP(H385,C2:C1586,J2:J1586),"Dependency not found")))</x:f>
        <x:v>Not Started</x:v>
      </x:c>
      <x:c r="J385" s="6" t="str">
        <x:v>Not Started</x:v>
      </x:c>
      <x:c r="K385" s="6" t="str">
        <x:v>Normal</x:v>
      </x:c>
      <x:c r="L385" s="6" t="str"/>
      <x:c r="M385" s="6" t="str"/>
      <x:c r="N385" s="6" t="str"/>
      <x:c r="O385" s="7" t="str"/>
      <x:c r="P385" s="6" t="str">
        <x:v>Yes</x:v>
      </x:c>
      <x:c r="Q385" s="7" t="str">
        <x:v>Requires service identity completion.</x:v>
      </x:c>
    </x:row>
    <x:row r="386">
      <x:c r="A386" s="6" t="str">
        <x:v>SEQ-MFR-0056</x:v>
      </x:c>
      <x:c r="B386" s="6" t="str">
        <x:v>Manufacturer Scope</x:v>
      </x:c>
      <x:c r="C386" s="6" t="str">
        <x:v>MFRX-0056</x:v>
      </x:c>
      <x:c r="D386" s="6" t="str">
        <x:v>SVC000056</x:v>
      </x:c>
      <x:c r="E386" s="6" t="str"/>
      <x:c r="F386" s="6" t="str">
        <x:v>Manufacturer-scope review</x:v>
      </x:c>
      <x:c r="G386" s="6" t="n">
        <x:v>3</x:v>
      </x:c>
      <x:c r="H386" s="6" t="str">
        <x:v>SIDX-0056</x:v>
      </x:c>
      <x:c r="I386" s="6" t="str">
        <x:f>IF(H386="","No upstream dependency",IF(ISNUMBER(SEARCH(";",H386)),"Multiple dependencies - verify source queues",IFERROR(XLOOKUP(H386,C2:C1586,J2:J1586),"Dependency not found")))</x:f>
        <x:v>Not Started</x:v>
      </x:c>
      <x:c r="J386" s="6" t="str">
        <x:v>Not Started</x:v>
      </x:c>
      <x:c r="K386" s="6" t="str">
        <x:v>Normal</x:v>
      </x:c>
      <x:c r="L386" s="6" t="str"/>
      <x:c r="M386" s="6" t="str"/>
      <x:c r="N386" s="6" t="str"/>
      <x:c r="O386" s="7" t="str"/>
      <x:c r="P386" s="6" t="str">
        <x:v>Yes</x:v>
      </x:c>
      <x:c r="Q386" s="7" t="str">
        <x:v>Requires service identity completion.</x:v>
      </x:c>
    </x:row>
    <x:row r="387">
      <x:c r="A387" s="6" t="str">
        <x:v>SEQ-MFR-0057</x:v>
      </x:c>
      <x:c r="B387" s="6" t="str">
        <x:v>Manufacturer Scope</x:v>
      </x:c>
      <x:c r="C387" s="6" t="str">
        <x:v>MFRX-0057</x:v>
      </x:c>
      <x:c r="D387" s="6" t="str">
        <x:v>SVC000057</x:v>
      </x:c>
      <x:c r="E387" s="6" t="str"/>
      <x:c r="F387" s="6" t="str">
        <x:v>Manufacturer-scope review</x:v>
      </x:c>
      <x:c r="G387" s="6" t="n">
        <x:v>3</x:v>
      </x:c>
      <x:c r="H387" s="6" t="str">
        <x:v>SIDX-0057</x:v>
      </x:c>
      <x:c r="I387" s="6" t="str">
        <x:f>IF(H387="","No upstream dependency",IF(ISNUMBER(SEARCH(";",H387)),"Multiple dependencies - verify source queues",IFERROR(XLOOKUP(H387,C2:C1586,J2:J1586),"Dependency not found")))</x:f>
        <x:v>Not Started</x:v>
      </x:c>
      <x:c r="J387" s="6" t="str">
        <x:v>Not Started</x:v>
      </x:c>
      <x:c r="K387" s="6" t="str">
        <x:v>Normal</x:v>
      </x:c>
      <x:c r="L387" s="6" t="str"/>
      <x:c r="M387" s="6" t="str"/>
      <x:c r="N387" s="6" t="str"/>
      <x:c r="O387" s="7" t="str"/>
      <x:c r="P387" s="6" t="str">
        <x:v>Yes</x:v>
      </x:c>
      <x:c r="Q387" s="7" t="str">
        <x:v>Requires service identity completion.</x:v>
      </x:c>
    </x:row>
    <x:row r="388">
      <x:c r="A388" s="6" t="str">
        <x:v>SEQ-MFR-0058</x:v>
      </x:c>
      <x:c r="B388" s="6" t="str">
        <x:v>Manufacturer Scope</x:v>
      </x:c>
      <x:c r="C388" s="6" t="str">
        <x:v>MFRX-0058</x:v>
      </x:c>
      <x:c r="D388" s="6" t="str">
        <x:v>SVC000058</x:v>
      </x:c>
      <x:c r="E388" s="6" t="str"/>
      <x:c r="F388" s="6" t="str">
        <x:v>Manufacturer-scope review</x:v>
      </x:c>
      <x:c r="G388" s="6" t="n">
        <x:v>3</x:v>
      </x:c>
      <x:c r="H388" s="6" t="str">
        <x:v>SIDX-0058</x:v>
      </x:c>
      <x:c r="I388" s="6" t="str">
        <x:f>IF(H388="","No upstream dependency",IF(ISNUMBER(SEARCH(";",H388)),"Multiple dependencies - verify source queues",IFERROR(XLOOKUP(H388,C2:C1586,J2:J1586),"Dependency not found")))</x:f>
        <x:v>Not Started</x:v>
      </x:c>
      <x:c r="J388" s="6" t="str">
        <x:v>Not Started</x:v>
      </x:c>
      <x:c r="K388" s="6" t="str">
        <x:v>Normal</x:v>
      </x:c>
      <x:c r="L388" s="6" t="str"/>
      <x:c r="M388" s="6" t="str"/>
      <x:c r="N388" s="6" t="str"/>
      <x:c r="O388" s="7" t="str"/>
      <x:c r="P388" s="6" t="str">
        <x:v>Yes</x:v>
      </x:c>
      <x:c r="Q388" s="7" t="str">
        <x:v>Requires service identity completion.</x:v>
      </x:c>
    </x:row>
    <x:row r="389">
      <x:c r="A389" s="6" t="str">
        <x:v>SEQ-MFR-0059</x:v>
      </x:c>
      <x:c r="B389" s="6" t="str">
        <x:v>Manufacturer Scope</x:v>
      </x:c>
      <x:c r="C389" s="6" t="str">
        <x:v>MFRX-0059</x:v>
      </x:c>
      <x:c r="D389" s="6" t="str">
        <x:v>SVC000059</x:v>
      </x:c>
      <x:c r="E389" s="6" t="str"/>
      <x:c r="F389" s="6" t="str">
        <x:v>Manufacturer-scope review</x:v>
      </x:c>
      <x:c r="G389" s="6" t="n">
        <x:v>3</x:v>
      </x:c>
      <x:c r="H389" s="6" t="str">
        <x:v>SIDX-0059</x:v>
      </x:c>
      <x:c r="I389" s="6" t="str">
        <x:f>IF(H389="","No upstream dependency",IF(ISNUMBER(SEARCH(";",H389)),"Multiple dependencies - verify source queues",IFERROR(XLOOKUP(H389,C2:C1586,J2:J1586),"Dependency not found")))</x:f>
        <x:v>Not Started</x:v>
      </x:c>
      <x:c r="J389" s="6" t="str">
        <x:v>Not Started</x:v>
      </x:c>
      <x:c r="K389" s="6" t="str">
        <x:v>Normal</x:v>
      </x:c>
      <x:c r="L389" s="6" t="str"/>
      <x:c r="M389" s="6" t="str"/>
      <x:c r="N389" s="6" t="str"/>
      <x:c r="O389" s="7" t="str"/>
      <x:c r="P389" s="6" t="str">
        <x:v>Yes</x:v>
      </x:c>
      <x:c r="Q389" s="7" t="str">
        <x:v>Requires service identity completion.</x:v>
      </x:c>
    </x:row>
    <x:row r="390">
      <x:c r="A390" s="6" t="str">
        <x:v>SEQ-MFR-0060</x:v>
      </x:c>
      <x:c r="B390" s="6" t="str">
        <x:v>Manufacturer Scope</x:v>
      </x:c>
      <x:c r="C390" s="6" t="str">
        <x:v>MFRX-0060</x:v>
      </x:c>
      <x:c r="D390" s="6" t="str">
        <x:v>SVC000060</x:v>
      </x:c>
      <x:c r="E390" s="6" t="str"/>
      <x:c r="F390" s="6" t="str">
        <x:v>Manufacturer-scope review</x:v>
      </x:c>
      <x:c r="G390" s="6" t="n">
        <x:v>3</x:v>
      </x:c>
      <x:c r="H390" s="6" t="str">
        <x:v>SIDX-0060</x:v>
      </x:c>
      <x:c r="I390" s="6" t="str">
        <x:f>IF(H390="","No upstream dependency",IF(ISNUMBER(SEARCH(";",H390)),"Multiple dependencies - verify source queues",IFERROR(XLOOKUP(H390,C2:C1586,J2:J1586),"Dependency not found")))</x:f>
        <x:v>Not Started</x:v>
      </x:c>
      <x:c r="J390" s="6" t="str">
        <x:v>Not Started</x:v>
      </x:c>
      <x:c r="K390" s="6" t="str">
        <x:v>Normal</x:v>
      </x:c>
      <x:c r="L390" s="6" t="str"/>
      <x:c r="M390" s="6" t="str"/>
      <x:c r="N390" s="6" t="str"/>
      <x:c r="O390" s="7" t="str"/>
      <x:c r="P390" s="6" t="str">
        <x:v>Yes</x:v>
      </x:c>
      <x:c r="Q390" s="7" t="str">
        <x:v>Requires service identity completion.</x:v>
      </x:c>
    </x:row>
    <x:row r="391">
      <x:c r="A391" s="6" t="str">
        <x:v>SEQ-MFR-0061</x:v>
      </x:c>
      <x:c r="B391" s="6" t="str">
        <x:v>Manufacturer Scope</x:v>
      </x:c>
      <x:c r="C391" s="6" t="str">
        <x:v>MFRX-0061</x:v>
      </x:c>
      <x:c r="D391" s="6" t="str">
        <x:v>SVC000061</x:v>
      </x:c>
      <x:c r="E391" s="6" t="str"/>
      <x:c r="F391" s="6" t="str">
        <x:v>Manufacturer-scope review</x:v>
      </x:c>
      <x:c r="G391" s="6" t="n">
        <x:v>3</x:v>
      </x:c>
      <x:c r="H391" s="6" t="str">
        <x:v>SIDX-0061</x:v>
      </x:c>
      <x:c r="I391" s="6" t="str">
        <x:f>IF(H391="","No upstream dependency",IF(ISNUMBER(SEARCH(";",H391)),"Multiple dependencies - verify source queues",IFERROR(XLOOKUP(H391,C2:C1586,J2:J1586),"Dependency not found")))</x:f>
        <x:v>Not Started</x:v>
      </x:c>
      <x:c r="J391" s="6" t="str">
        <x:v>Not Started</x:v>
      </x:c>
      <x:c r="K391" s="6" t="str">
        <x:v>Normal</x:v>
      </x:c>
      <x:c r="L391" s="6" t="str"/>
      <x:c r="M391" s="6" t="str"/>
      <x:c r="N391" s="6" t="str"/>
      <x:c r="O391" s="7" t="str"/>
      <x:c r="P391" s="6" t="str">
        <x:v>Yes</x:v>
      </x:c>
      <x:c r="Q391" s="7" t="str">
        <x:v>Requires service identity completion.</x:v>
      </x:c>
    </x:row>
    <x:row r="392">
      <x:c r="A392" s="6" t="str">
        <x:v>SEQ-MFR-0062</x:v>
      </x:c>
      <x:c r="B392" s="6" t="str">
        <x:v>Manufacturer Scope</x:v>
      </x:c>
      <x:c r="C392" s="6" t="str">
        <x:v>MFRX-0062</x:v>
      </x:c>
      <x:c r="D392" s="6" t="str">
        <x:v>SVC000062</x:v>
      </x:c>
      <x:c r="E392" s="6" t="str"/>
      <x:c r="F392" s="6" t="str">
        <x:v>Manufacturer-scope review</x:v>
      </x:c>
      <x:c r="G392" s="6" t="n">
        <x:v>3</x:v>
      </x:c>
      <x:c r="H392" s="6" t="str">
        <x:v>SIDX-0062</x:v>
      </x:c>
      <x:c r="I392" s="6" t="str">
        <x:f>IF(H392="","No upstream dependency",IF(ISNUMBER(SEARCH(";",H392)),"Multiple dependencies - verify source queues",IFERROR(XLOOKUP(H392,C2:C1586,J2:J1586),"Dependency not found")))</x:f>
        <x:v>Not Started</x:v>
      </x:c>
      <x:c r="J392" s="6" t="str">
        <x:v>Not Started</x:v>
      </x:c>
      <x:c r="K392" s="6" t="str">
        <x:v>Normal</x:v>
      </x:c>
      <x:c r="L392" s="6" t="str"/>
      <x:c r="M392" s="6" t="str"/>
      <x:c r="N392" s="6" t="str"/>
      <x:c r="O392" s="7" t="str"/>
      <x:c r="P392" s="6" t="str">
        <x:v>Yes</x:v>
      </x:c>
      <x:c r="Q392" s="7" t="str">
        <x:v>Requires service identity completion.</x:v>
      </x:c>
    </x:row>
    <x:row r="393">
      <x:c r="A393" s="6" t="str">
        <x:v>SEQ-MFR-0063</x:v>
      </x:c>
      <x:c r="B393" s="6" t="str">
        <x:v>Manufacturer Scope</x:v>
      </x:c>
      <x:c r="C393" s="6" t="str">
        <x:v>MFRX-0063</x:v>
      </x:c>
      <x:c r="D393" s="6" t="str">
        <x:v>SVC000063</x:v>
      </x:c>
      <x:c r="E393" s="6" t="str"/>
      <x:c r="F393" s="6" t="str">
        <x:v>Manufacturer-scope review</x:v>
      </x:c>
      <x:c r="G393" s="6" t="n">
        <x:v>3</x:v>
      </x:c>
      <x:c r="H393" s="6" t="str">
        <x:v>SIDX-0063</x:v>
      </x:c>
      <x:c r="I393" s="6" t="str">
        <x:f>IF(H393="","No upstream dependency",IF(ISNUMBER(SEARCH(";",H393)),"Multiple dependencies - verify source queues",IFERROR(XLOOKUP(H393,C2:C1586,J2:J1586),"Dependency not found")))</x:f>
        <x:v>Not Started</x:v>
      </x:c>
      <x:c r="J393" s="6" t="str">
        <x:v>Not Started</x:v>
      </x:c>
      <x:c r="K393" s="6" t="str">
        <x:v>Normal</x:v>
      </x:c>
      <x:c r="L393" s="6" t="str"/>
      <x:c r="M393" s="6" t="str"/>
      <x:c r="N393" s="6" t="str"/>
      <x:c r="O393" s="7" t="str"/>
      <x:c r="P393" s="6" t="str">
        <x:v>Yes</x:v>
      </x:c>
      <x:c r="Q393" s="7" t="str">
        <x:v>Requires service identity completion.</x:v>
      </x:c>
    </x:row>
    <x:row r="394">
      <x:c r="A394" s="6" t="str">
        <x:v>SEQ-MFR-0064</x:v>
      </x:c>
      <x:c r="B394" s="6" t="str">
        <x:v>Manufacturer Scope</x:v>
      </x:c>
      <x:c r="C394" s="6" t="str">
        <x:v>MFRX-0064</x:v>
      </x:c>
      <x:c r="D394" s="6" t="str">
        <x:v>SVC000064</x:v>
      </x:c>
      <x:c r="E394" s="6" t="str"/>
      <x:c r="F394" s="6" t="str">
        <x:v>Manufacturer-scope review</x:v>
      </x:c>
      <x:c r="G394" s="6" t="n">
        <x:v>3</x:v>
      </x:c>
      <x:c r="H394" s="6" t="str">
        <x:v>SIDX-0064</x:v>
      </x:c>
      <x:c r="I394" s="6" t="str">
        <x:f>IF(H394="","No upstream dependency",IF(ISNUMBER(SEARCH(";",H394)),"Multiple dependencies - verify source queues",IFERROR(XLOOKUP(H394,C2:C1586,J2:J1586),"Dependency not found")))</x:f>
        <x:v>Not Started</x:v>
      </x:c>
      <x:c r="J394" s="6" t="str">
        <x:v>Not Started</x:v>
      </x:c>
      <x:c r="K394" s="6" t="str">
        <x:v>Normal</x:v>
      </x:c>
      <x:c r="L394" s="6" t="str"/>
      <x:c r="M394" s="6" t="str"/>
      <x:c r="N394" s="6" t="str"/>
      <x:c r="O394" s="7" t="str"/>
      <x:c r="P394" s="6" t="str">
        <x:v>Yes</x:v>
      </x:c>
      <x:c r="Q394" s="7" t="str">
        <x:v>Requires service identity completion.</x:v>
      </x:c>
    </x:row>
    <x:row r="395">
      <x:c r="A395" s="6" t="str">
        <x:v>SEQ-MFR-0065</x:v>
      </x:c>
      <x:c r="B395" s="6" t="str">
        <x:v>Manufacturer Scope</x:v>
      </x:c>
      <x:c r="C395" s="6" t="str">
        <x:v>MFRX-0065</x:v>
      </x:c>
      <x:c r="D395" s="6" t="str">
        <x:v>SVC000065</x:v>
      </x:c>
      <x:c r="E395" s="6" t="str"/>
      <x:c r="F395" s="6" t="str">
        <x:v>Manufacturer-scope review</x:v>
      </x:c>
      <x:c r="G395" s="6" t="n">
        <x:v>3</x:v>
      </x:c>
      <x:c r="H395" s="6" t="str">
        <x:v>SIDX-0065</x:v>
      </x:c>
      <x:c r="I395" s="6" t="str">
        <x:f>IF(H395="","No upstream dependency",IF(ISNUMBER(SEARCH(";",H395)),"Multiple dependencies - verify source queues",IFERROR(XLOOKUP(H395,C2:C1586,J2:J1586),"Dependency not found")))</x:f>
        <x:v>Not Started</x:v>
      </x:c>
      <x:c r="J395" s="6" t="str">
        <x:v>Not Started</x:v>
      </x:c>
      <x:c r="K395" s="6" t="str">
        <x:v>Normal</x:v>
      </x:c>
      <x:c r="L395" s="6" t="str"/>
      <x:c r="M395" s="6" t="str"/>
      <x:c r="N395" s="6" t="str"/>
      <x:c r="O395" s="7" t="str"/>
      <x:c r="P395" s="6" t="str">
        <x:v>Yes</x:v>
      </x:c>
      <x:c r="Q395" s="7" t="str">
        <x:v>Requires service identity completion.</x:v>
      </x:c>
    </x:row>
    <x:row r="396">
      <x:c r="A396" s="6" t="str">
        <x:v>SEQ-MFR-0066</x:v>
      </x:c>
      <x:c r="B396" s="6" t="str">
        <x:v>Manufacturer Scope</x:v>
      </x:c>
      <x:c r="C396" s="6" t="str">
        <x:v>MFRX-0066</x:v>
      </x:c>
      <x:c r="D396" s="6" t="str">
        <x:v>SVC000066</x:v>
      </x:c>
      <x:c r="E396" s="6" t="str"/>
      <x:c r="F396" s="6" t="str">
        <x:v>Manufacturer-scope review</x:v>
      </x:c>
      <x:c r="G396" s="6" t="n">
        <x:v>3</x:v>
      </x:c>
      <x:c r="H396" s="6" t="str">
        <x:v>SIDX-0066</x:v>
      </x:c>
      <x:c r="I396" s="6" t="str">
        <x:f>IF(H396="","No upstream dependency",IF(ISNUMBER(SEARCH(";",H396)),"Multiple dependencies - verify source queues",IFERROR(XLOOKUP(H396,C2:C1586,J2:J1586),"Dependency not found")))</x:f>
        <x:v>Not Started</x:v>
      </x:c>
      <x:c r="J396" s="6" t="str">
        <x:v>Not Started</x:v>
      </x:c>
      <x:c r="K396" s="6" t="str">
        <x:v>Normal</x:v>
      </x:c>
      <x:c r="L396" s="6" t="str"/>
      <x:c r="M396" s="6" t="str"/>
      <x:c r="N396" s="6" t="str"/>
      <x:c r="O396" s="7" t="str"/>
      <x:c r="P396" s="6" t="str">
        <x:v>Yes</x:v>
      </x:c>
      <x:c r="Q396" s="7" t="str">
        <x:v>Requires service identity completion.</x:v>
      </x:c>
    </x:row>
    <x:row r="397">
      <x:c r="A397" s="6" t="str">
        <x:v>SEQ-MFR-0067</x:v>
      </x:c>
      <x:c r="B397" s="6" t="str">
        <x:v>Manufacturer Scope</x:v>
      </x:c>
      <x:c r="C397" s="6" t="str">
        <x:v>MFRX-0067</x:v>
      </x:c>
      <x:c r="D397" s="6" t="str">
        <x:v>SVC000067</x:v>
      </x:c>
      <x:c r="E397" s="6" t="str"/>
      <x:c r="F397" s="6" t="str">
        <x:v>Manufacturer-scope review</x:v>
      </x:c>
      <x:c r="G397" s="6" t="n">
        <x:v>3</x:v>
      </x:c>
      <x:c r="H397" s="6" t="str">
        <x:v>SIDX-0067</x:v>
      </x:c>
      <x:c r="I397" s="6" t="str">
        <x:f>IF(H397="","No upstream dependency",IF(ISNUMBER(SEARCH(";",H397)),"Multiple dependencies - verify source queues",IFERROR(XLOOKUP(H397,C2:C1586,J2:J1586),"Dependency not found")))</x:f>
        <x:v>Not Started</x:v>
      </x:c>
      <x:c r="J397" s="6" t="str">
        <x:v>Not Started</x:v>
      </x:c>
      <x:c r="K397" s="6" t="str">
        <x:v>Normal</x:v>
      </x:c>
      <x:c r="L397" s="6" t="str"/>
      <x:c r="M397" s="6" t="str"/>
      <x:c r="N397" s="6" t="str"/>
      <x:c r="O397" s="7" t="str"/>
      <x:c r="P397" s="6" t="str">
        <x:v>Yes</x:v>
      </x:c>
      <x:c r="Q397" s="7" t="str">
        <x:v>Requires service identity completion.</x:v>
      </x:c>
    </x:row>
    <x:row r="398">
      <x:c r="A398" s="6" t="str">
        <x:v>SEQ-MFR-0068</x:v>
      </x:c>
      <x:c r="B398" s="6" t="str">
        <x:v>Manufacturer Scope</x:v>
      </x:c>
      <x:c r="C398" s="6" t="str">
        <x:v>MFRX-0068</x:v>
      </x:c>
      <x:c r="D398" s="6" t="str">
        <x:v>SVC000068</x:v>
      </x:c>
      <x:c r="E398" s="6" t="str"/>
      <x:c r="F398" s="6" t="str">
        <x:v>Manufacturer-scope review</x:v>
      </x:c>
      <x:c r="G398" s="6" t="n">
        <x:v>3</x:v>
      </x:c>
      <x:c r="H398" s="6" t="str">
        <x:v>SIDX-0068</x:v>
      </x:c>
      <x:c r="I398" s="6" t="str">
        <x:f>IF(H398="","No upstream dependency",IF(ISNUMBER(SEARCH(";",H398)),"Multiple dependencies - verify source queues",IFERROR(XLOOKUP(H398,C2:C1586,J2:J1586),"Dependency not found")))</x:f>
        <x:v>Not Started</x:v>
      </x:c>
      <x:c r="J398" s="6" t="str">
        <x:v>Not Started</x:v>
      </x:c>
      <x:c r="K398" s="6" t="str">
        <x:v>Normal</x:v>
      </x:c>
      <x:c r="L398" s="6" t="str"/>
      <x:c r="M398" s="6" t="str"/>
      <x:c r="N398" s="6" t="str"/>
      <x:c r="O398" s="7" t="str"/>
      <x:c r="P398" s="6" t="str">
        <x:v>Yes</x:v>
      </x:c>
      <x:c r="Q398" s="7" t="str">
        <x:v>Requires service identity completion.</x:v>
      </x:c>
    </x:row>
    <x:row r="399">
      <x:c r="A399" s="6" t="str">
        <x:v>SEQ-MFR-0069</x:v>
      </x:c>
      <x:c r="B399" s="6" t="str">
        <x:v>Manufacturer Scope</x:v>
      </x:c>
      <x:c r="C399" s="6" t="str">
        <x:v>MFRX-0069</x:v>
      </x:c>
      <x:c r="D399" s="6" t="str">
        <x:v>SVC000069</x:v>
      </x:c>
      <x:c r="E399" s="6" t="str"/>
      <x:c r="F399" s="6" t="str">
        <x:v>Manufacturer-scope review</x:v>
      </x:c>
      <x:c r="G399" s="6" t="n">
        <x:v>3</x:v>
      </x:c>
      <x:c r="H399" s="6" t="str">
        <x:v>SIDX-0069</x:v>
      </x:c>
      <x:c r="I399" s="6" t="str">
        <x:f>IF(H399="","No upstream dependency",IF(ISNUMBER(SEARCH(";",H399)),"Multiple dependencies - verify source queues",IFERROR(XLOOKUP(H399,C2:C1586,J2:J1586),"Dependency not found")))</x:f>
        <x:v>Not Started</x:v>
      </x:c>
      <x:c r="J399" s="6" t="str">
        <x:v>Not Started</x:v>
      </x:c>
      <x:c r="K399" s="6" t="str">
        <x:v>Normal</x:v>
      </x:c>
      <x:c r="L399" s="6" t="str"/>
      <x:c r="M399" s="6" t="str"/>
      <x:c r="N399" s="6" t="str"/>
      <x:c r="O399" s="7" t="str"/>
      <x:c r="P399" s="6" t="str">
        <x:v>Yes</x:v>
      </x:c>
      <x:c r="Q399" s="7" t="str">
        <x:v>Requires service identity completion.</x:v>
      </x:c>
    </x:row>
    <x:row r="400">
      <x:c r="A400" s="6" t="str">
        <x:v>SEQ-MFR-0070</x:v>
      </x:c>
      <x:c r="B400" s="6" t="str">
        <x:v>Manufacturer Scope</x:v>
      </x:c>
      <x:c r="C400" s="6" t="str">
        <x:v>MFRX-0070</x:v>
      </x:c>
      <x:c r="D400" s="6" t="str">
        <x:v>SVC000070</x:v>
      </x:c>
      <x:c r="E400" s="6" t="str"/>
      <x:c r="F400" s="6" t="str">
        <x:v>Manufacturer-scope review</x:v>
      </x:c>
      <x:c r="G400" s="6" t="n">
        <x:v>3</x:v>
      </x:c>
      <x:c r="H400" s="6" t="str">
        <x:v>SIDX-0070</x:v>
      </x:c>
      <x:c r="I400" s="6" t="str">
        <x:f>IF(H400="","No upstream dependency",IF(ISNUMBER(SEARCH(";",H400)),"Multiple dependencies - verify source queues",IFERROR(XLOOKUP(H400,C2:C1586,J2:J1586),"Dependency not found")))</x:f>
        <x:v>Not Started</x:v>
      </x:c>
      <x:c r="J400" s="6" t="str">
        <x:v>Not Started</x:v>
      </x:c>
      <x:c r="K400" s="6" t="str">
        <x:v>Normal</x:v>
      </x:c>
      <x:c r="L400" s="6" t="str"/>
      <x:c r="M400" s="6" t="str"/>
      <x:c r="N400" s="6" t="str"/>
      <x:c r="O400" s="7" t="str"/>
      <x:c r="P400" s="6" t="str">
        <x:v>Yes</x:v>
      </x:c>
      <x:c r="Q400" s="7" t="str">
        <x:v>Requires service identity completion.</x:v>
      </x:c>
    </x:row>
    <x:row r="401">
      <x:c r="A401" s="6" t="str">
        <x:v>SEQ-MFR-0071</x:v>
      </x:c>
      <x:c r="B401" s="6" t="str">
        <x:v>Manufacturer Scope</x:v>
      </x:c>
      <x:c r="C401" s="6" t="str">
        <x:v>MFRX-0071</x:v>
      </x:c>
      <x:c r="D401" s="6" t="str">
        <x:v>SVC000071</x:v>
      </x:c>
      <x:c r="E401" s="6" t="str"/>
      <x:c r="F401" s="6" t="str">
        <x:v>Manufacturer-scope review</x:v>
      </x:c>
      <x:c r="G401" s="6" t="n">
        <x:v>3</x:v>
      </x:c>
      <x:c r="H401" s="6" t="str">
        <x:v>SIDX-0071</x:v>
      </x:c>
      <x:c r="I401" s="6" t="str">
        <x:f>IF(H401="","No upstream dependency",IF(ISNUMBER(SEARCH(";",H401)),"Multiple dependencies - verify source queues",IFERROR(XLOOKUP(H401,C2:C1586,J2:J1586),"Dependency not found")))</x:f>
        <x:v>Not Started</x:v>
      </x:c>
      <x:c r="J401" s="6" t="str">
        <x:v>Not Started</x:v>
      </x:c>
      <x:c r="K401" s="6" t="str">
        <x:v>Normal</x:v>
      </x:c>
      <x:c r="L401" s="6" t="str"/>
      <x:c r="M401" s="6" t="str"/>
      <x:c r="N401" s="6" t="str"/>
      <x:c r="O401" s="7" t="str"/>
      <x:c r="P401" s="6" t="str">
        <x:v>Yes</x:v>
      </x:c>
      <x:c r="Q401" s="7" t="str">
        <x:v>Requires service identity completion.</x:v>
      </x:c>
    </x:row>
    <x:row r="402">
      <x:c r="A402" s="6" t="str">
        <x:v>SEQ-MFR-0072</x:v>
      </x:c>
      <x:c r="B402" s="6" t="str">
        <x:v>Manufacturer Scope</x:v>
      </x:c>
      <x:c r="C402" s="6" t="str">
        <x:v>MFRX-0072</x:v>
      </x:c>
      <x:c r="D402" s="6" t="str">
        <x:v>SVC000072</x:v>
      </x:c>
      <x:c r="E402" s="6" t="str"/>
      <x:c r="F402" s="6" t="str">
        <x:v>Manufacturer-scope review</x:v>
      </x:c>
      <x:c r="G402" s="6" t="n">
        <x:v>3</x:v>
      </x:c>
      <x:c r="H402" s="6" t="str">
        <x:v>SIDX-0072</x:v>
      </x:c>
      <x:c r="I402" s="6" t="str">
        <x:f>IF(H402="","No upstream dependency",IF(ISNUMBER(SEARCH(";",H402)),"Multiple dependencies - verify source queues",IFERROR(XLOOKUP(H402,C2:C1586,J2:J1586),"Dependency not found")))</x:f>
        <x:v>Not Started</x:v>
      </x:c>
      <x:c r="J402" s="6" t="str">
        <x:v>Not Started</x:v>
      </x:c>
      <x:c r="K402" s="6" t="str">
        <x:v>Normal</x:v>
      </x:c>
      <x:c r="L402" s="6" t="str"/>
      <x:c r="M402" s="6" t="str"/>
      <x:c r="N402" s="6" t="str"/>
      <x:c r="O402" s="7" t="str"/>
      <x:c r="P402" s="6" t="str">
        <x:v>Yes</x:v>
      </x:c>
      <x:c r="Q402" s="7" t="str">
        <x:v>Requires service identity completion.</x:v>
      </x:c>
    </x:row>
    <x:row r="403">
      <x:c r="A403" s="6" t="str">
        <x:v>SEQ-MFR-0073</x:v>
      </x:c>
      <x:c r="B403" s="6" t="str">
        <x:v>Manufacturer Scope</x:v>
      </x:c>
      <x:c r="C403" s="6" t="str">
        <x:v>MFRX-0073</x:v>
      </x:c>
      <x:c r="D403" s="6" t="str">
        <x:v>SVC000073</x:v>
      </x:c>
      <x:c r="E403" s="6" t="str"/>
      <x:c r="F403" s="6" t="str">
        <x:v>Manufacturer-scope review</x:v>
      </x:c>
      <x:c r="G403" s="6" t="n">
        <x:v>3</x:v>
      </x:c>
      <x:c r="H403" s="6" t="str">
        <x:v>SIDX-0073</x:v>
      </x:c>
      <x:c r="I403" s="6" t="str">
        <x:f>IF(H403="","No upstream dependency",IF(ISNUMBER(SEARCH(";",H403)),"Multiple dependencies - verify source queues",IFERROR(XLOOKUP(H403,C2:C1586,J2:J1586),"Dependency not found")))</x:f>
        <x:v>Not Started</x:v>
      </x:c>
      <x:c r="J403" s="6" t="str">
        <x:v>Not Started</x:v>
      </x:c>
      <x:c r="K403" s="6" t="str">
        <x:v>Normal</x:v>
      </x:c>
      <x:c r="L403" s="6" t="str"/>
      <x:c r="M403" s="6" t="str"/>
      <x:c r="N403" s="6" t="str"/>
      <x:c r="O403" s="7" t="str"/>
      <x:c r="P403" s="6" t="str">
        <x:v>Yes</x:v>
      </x:c>
      <x:c r="Q403" s="7" t="str">
        <x:v>Requires service identity completion.</x:v>
      </x:c>
    </x:row>
    <x:row r="404">
      <x:c r="A404" s="6" t="str">
        <x:v>SEQ-MFR-0074</x:v>
      </x:c>
      <x:c r="B404" s="6" t="str">
        <x:v>Manufacturer Scope</x:v>
      </x:c>
      <x:c r="C404" s="6" t="str">
        <x:v>MFRX-0074</x:v>
      </x:c>
      <x:c r="D404" s="6" t="str">
        <x:v>SVC000074</x:v>
      </x:c>
      <x:c r="E404" s="6" t="str"/>
      <x:c r="F404" s="6" t="str">
        <x:v>Manufacturer-scope review</x:v>
      </x:c>
      <x:c r="G404" s="6" t="n">
        <x:v>3</x:v>
      </x:c>
      <x:c r="H404" s="6" t="str">
        <x:v>SIDX-0074</x:v>
      </x:c>
      <x:c r="I404" s="6" t="str">
        <x:f>IF(H404="","No upstream dependency",IF(ISNUMBER(SEARCH(";",H404)),"Multiple dependencies - verify source queues",IFERROR(XLOOKUP(H404,C2:C1586,J2:J1586),"Dependency not found")))</x:f>
        <x:v>Not Started</x:v>
      </x:c>
      <x:c r="J404" s="6" t="str">
        <x:v>Not Started</x:v>
      </x:c>
      <x:c r="K404" s="6" t="str">
        <x:v>Normal</x:v>
      </x:c>
      <x:c r="L404" s="6" t="str"/>
      <x:c r="M404" s="6" t="str"/>
      <x:c r="N404" s="6" t="str"/>
      <x:c r="O404" s="7" t="str"/>
      <x:c r="P404" s="6" t="str">
        <x:v>Yes</x:v>
      </x:c>
      <x:c r="Q404" s="7" t="str">
        <x:v>Requires service identity completion.</x:v>
      </x:c>
    </x:row>
    <x:row r="405">
      <x:c r="A405" s="6" t="str">
        <x:v>SEQ-MFR-0075</x:v>
      </x:c>
      <x:c r="B405" s="6" t="str">
        <x:v>Manufacturer Scope</x:v>
      </x:c>
      <x:c r="C405" s="6" t="str">
        <x:v>MFRX-0075</x:v>
      </x:c>
      <x:c r="D405" s="6" t="str">
        <x:v>SVC000075</x:v>
      </x:c>
      <x:c r="E405" s="6" t="str"/>
      <x:c r="F405" s="6" t="str">
        <x:v>Manufacturer-scope review</x:v>
      </x:c>
      <x:c r="G405" s="6" t="n">
        <x:v>3</x:v>
      </x:c>
      <x:c r="H405" s="6" t="str">
        <x:v>SIDX-0075</x:v>
      </x:c>
      <x:c r="I405" s="6" t="str">
        <x:f>IF(H405="","No upstream dependency",IF(ISNUMBER(SEARCH(";",H405)),"Multiple dependencies - verify source queues",IFERROR(XLOOKUP(H405,C2:C1586,J2:J1586),"Dependency not found")))</x:f>
        <x:v>Not Started</x:v>
      </x:c>
      <x:c r="J405" s="6" t="str">
        <x:v>Not Started</x:v>
      </x:c>
      <x:c r="K405" s="6" t="str">
        <x:v>Normal</x:v>
      </x:c>
      <x:c r="L405" s="6" t="str"/>
      <x:c r="M405" s="6" t="str"/>
      <x:c r="N405" s="6" t="str"/>
      <x:c r="O405" s="7" t="str"/>
      <x:c r="P405" s="6" t="str">
        <x:v>Yes</x:v>
      </x:c>
      <x:c r="Q405" s="7" t="str">
        <x:v>Requires service identity completion.</x:v>
      </x:c>
    </x:row>
    <x:row r="406">
      <x:c r="A406" s="6" t="str">
        <x:v>SEQ-MFR-0076</x:v>
      </x:c>
      <x:c r="B406" s="6" t="str">
        <x:v>Manufacturer Scope</x:v>
      </x:c>
      <x:c r="C406" s="6" t="str">
        <x:v>MFRX-0076</x:v>
      </x:c>
      <x:c r="D406" s="6" t="str">
        <x:v>SVC000076</x:v>
      </x:c>
      <x:c r="E406" s="6" t="str"/>
      <x:c r="F406" s="6" t="str">
        <x:v>Manufacturer-scope review</x:v>
      </x:c>
      <x:c r="G406" s="6" t="n">
        <x:v>3</x:v>
      </x:c>
      <x:c r="H406" s="6" t="str">
        <x:v>SIDX-0076</x:v>
      </x:c>
      <x:c r="I406" s="6" t="str">
        <x:f>IF(H406="","No upstream dependency",IF(ISNUMBER(SEARCH(";",H406)),"Multiple dependencies - verify source queues",IFERROR(XLOOKUP(H406,C2:C1586,J2:J1586),"Dependency not found")))</x:f>
        <x:v>Not Started</x:v>
      </x:c>
      <x:c r="J406" s="6" t="str">
        <x:v>Not Started</x:v>
      </x:c>
      <x:c r="K406" s="6" t="str">
        <x:v>Normal</x:v>
      </x:c>
      <x:c r="L406" s="6" t="str"/>
      <x:c r="M406" s="6" t="str"/>
      <x:c r="N406" s="6" t="str"/>
      <x:c r="O406" s="7" t="str"/>
      <x:c r="P406" s="6" t="str">
        <x:v>Yes</x:v>
      </x:c>
      <x:c r="Q406" s="7" t="str">
        <x:v>Requires service identity completion.</x:v>
      </x:c>
    </x:row>
    <x:row r="407">
      <x:c r="A407" s="6" t="str">
        <x:v>SEQ-MFR-0077</x:v>
      </x:c>
      <x:c r="B407" s="6" t="str">
        <x:v>Manufacturer Scope</x:v>
      </x:c>
      <x:c r="C407" s="6" t="str">
        <x:v>MFRX-0077</x:v>
      </x:c>
      <x:c r="D407" s="6" t="str">
        <x:v>SVC000077</x:v>
      </x:c>
      <x:c r="E407" s="6" t="str"/>
      <x:c r="F407" s="6" t="str">
        <x:v>Manufacturer-scope review</x:v>
      </x:c>
      <x:c r="G407" s="6" t="n">
        <x:v>3</x:v>
      </x:c>
      <x:c r="H407" s="6" t="str">
        <x:v>SIDX-0077</x:v>
      </x:c>
      <x:c r="I407" s="6" t="str">
        <x:f>IF(H407="","No upstream dependency",IF(ISNUMBER(SEARCH(";",H407)),"Multiple dependencies - verify source queues",IFERROR(XLOOKUP(H407,C2:C1586,J2:J1586),"Dependency not found")))</x:f>
        <x:v>Not Started</x:v>
      </x:c>
      <x:c r="J407" s="6" t="str">
        <x:v>Not Started</x:v>
      </x:c>
      <x:c r="K407" s="6" t="str">
        <x:v>Normal</x:v>
      </x:c>
      <x:c r="L407" s="6" t="str"/>
      <x:c r="M407" s="6" t="str"/>
      <x:c r="N407" s="6" t="str"/>
      <x:c r="O407" s="7" t="str"/>
      <x:c r="P407" s="6" t="str">
        <x:v>Yes</x:v>
      </x:c>
      <x:c r="Q407" s="7" t="str">
        <x:v>Requires service identity completion.</x:v>
      </x:c>
    </x:row>
    <x:row r="408">
      <x:c r="A408" s="6" t="str">
        <x:v>SEQ-MFR-0078</x:v>
      </x:c>
      <x:c r="B408" s="6" t="str">
        <x:v>Manufacturer Scope</x:v>
      </x:c>
      <x:c r="C408" s="6" t="str">
        <x:v>MFRX-0078</x:v>
      </x:c>
      <x:c r="D408" s="6" t="str">
        <x:v>SVC000078</x:v>
      </x:c>
      <x:c r="E408" s="6" t="str"/>
      <x:c r="F408" s="6" t="str">
        <x:v>Manufacturer-scope review</x:v>
      </x:c>
      <x:c r="G408" s="6" t="n">
        <x:v>3</x:v>
      </x:c>
      <x:c r="H408" s="6" t="str">
        <x:v>SIDX-0078</x:v>
      </x:c>
      <x:c r="I408" s="6" t="str">
        <x:f>IF(H408="","No upstream dependency",IF(ISNUMBER(SEARCH(";",H408)),"Multiple dependencies - verify source queues",IFERROR(XLOOKUP(H408,C2:C1586,J2:J1586),"Dependency not found")))</x:f>
        <x:v>Not Started</x:v>
      </x:c>
      <x:c r="J408" s="6" t="str">
        <x:v>Not Started</x:v>
      </x:c>
      <x:c r="K408" s="6" t="str">
        <x:v>Normal</x:v>
      </x:c>
      <x:c r="L408" s="6" t="str"/>
      <x:c r="M408" s="6" t="str"/>
      <x:c r="N408" s="6" t="str"/>
      <x:c r="O408" s="7" t="str"/>
      <x:c r="P408" s="6" t="str">
        <x:v>Yes</x:v>
      </x:c>
      <x:c r="Q408" s="7" t="str">
        <x:v>Requires service identity completion.</x:v>
      </x:c>
    </x:row>
    <x:row r="409">
      <x:c r="A409" s="6" t="str">
        <x:v>SEQ-MFR-0079</x:v>
      </x:c>
      <x:c r="B409" s="6" t="str">
        <x:v>Manufacturer Scope</x:v>
      </x:c>
      <x:c r="C409" s="6" t="str">
        <x:v>MFRX-0079</x:v>
      </x:c>
      <x:c r="D409" s="6" t="str">
        <x:v>SVC000079</x:v>
      </x:c>
      <x:c r="E409" s="6" t="str"/>
      <x:c r="F409" s="6" t="str">
        <x:v>Manufacturer-scope review</x:v>
      </x:c>
      <x:c r="G409" s="6" t="n">
        <x:v>3</x:v>
      </x:c>
      <x:c r="H409" s="6" t="str">
        <x:v>SIDX-0079</x:v>
      </x:c>
      <x:c r="I409" s="6" t="str">
        <x:f>IF(H409="","No upstream dependency",IF(ISNUMBER(SEARCH(";",H409)),"Multiple dependencies - verify source queues",IFERROR(XLOOKUP(H409,C2:C1586,J2:J1586),"Dependency not found")))</x:f>
        <x:v>Not Started</x:v>
      </x:c>
      <x:c r="J409" s="6" t="str">
        <x:v>Not Started</x:v>
      </x:c>
      <x:c r="K409" s="6" t="str">
        <x:v>Normal</x:v>
      </x:c>
      <x:c r="L409" s="6" t="str"/>
      <x:c r="M409" s="6" t="str"/>
      <x:c r="N409" s="6" t="str"/>
      <x:c r="O409" s="7" t="str"/>
      <x:c r="P409" s="6" t="str">
        <x:v>Yes</x:v>
      </x:c>
      <x:c r="Q409" s="7" t="str">
        <x:v>Requires service identity completion.</x:v>
      </x:c>
    </x:row>
    <x:row r="410">
      <x:c r="A410" s="6" t="str">
        <x:v>SEQ-MFR-0080</x:v>
      </x:c>
      <x:c r="B410" s="6" t="str">
        <x:v>Manufacturer Scope</x:v>
      </x:c>
      <x:c r="C410" s="6" t="str">
        <x:v>MFRX-0080</x:v>
      </x:c>
      <x:c r="D410" s="6" t="str">
        <x:v>SVC000080</x:v>
      </x:c>
      <x:c r="E410" s="6" t="str"/>
      <x:c r="F410" s="6" t="str">
        <x:v>Manufacturer-scope review</x:v>
      </x:c>
      <x:c r="G410" s="6" t="n">
        <x:v>3</x:v>
      </x:c>
      <x:c r="H410" s="6" t="str">
        <x:v>SIDX-0080</x:v>
      </x:c>
      <x:c r="I410" s="6" t="str">
        <x:f>IF(H410="","No upstream dependency",IF(ISNUMBER(SEARCH(";",H410)),"Multiple dependencies - verify source queues",IFERROR(XLOOKUP(H410,C2:C1586,J2:J1586),"Dependency not found")))</x:f>
        <x:v>Not Started</x:v>
      </x:c>
      <x:c r="J410" s="6" t="str">
        <x:v>Not Started</x:v>
      </x:c>
      <x:c r="K410" s="6" t="str">
        <x:v>Normal</x:v>
      </x:c>
      <x:c r="L410" s="6" t="str"/>
      <x:c r="M410" s="6" t="str"/>
      <x:c r="N410" s="6" t="str"/>
      <x:c r="O410" s="7" t="str"/>
      <x:c r="P410" s="6" t="str">
        <x:v>Yes</x:v>
      </x:c>
      <x:c r="Q410" s="7" t="str">
        <x:v>Requires service identity completion.</x:v>
      </x:c>
    </x:row>
    <x:row r="411">
      <x:c r="A411" s="6" t="str">
        <x:v>SEQ-MFR-0081</x:v>
      </x:c>
      <x:c r="B411" s="6" t="str">
        <x:v>Manufacturer Scope</x:v>
      </x:c>
      <x:c r="C411" s="6" t="str">
        <x:v>MFRX-0081</x:v>
      </x:c>
      <x:c r="D411" s="6" t="str">
        <x:v>SVC000081</x:v>
      </x:c>
      <x:c r="E411" s="6" t="str"/>
      <x:c r="F411" s="6" t="str">
        <x:v>Manufacturer-scope review</x:v>
      </x:c>
      <x:c r="G411" s="6" t="n">
        <x:v>3</x:v>
      </x:c>
      <x:c r="H411" s="6" t="str">
        <x:v>SIDX-0081</x:v>
      </x:c>
      <x:c r="I411" s="6" t="str">
        <x:f>IF(H411="","No upstream dependency",IF(ISNUMBER(SEARCH(";",H411)),"Multiple dependencies - verify source queues",IFERROR(XLOOKUP(H411,C2:C1586,J2:J1586),"Dependency not found")))</x:f>
        <x:v>Not Started</x:v>
      </x:c>
      <x:c r="J411" s="6" t="str">
        <x:v>Not Started</x:v>
      </x:c>
      <x:c r="K411" s="6" t="str">
        <x:v>Normal</x:v>
      </x:c>
      <x:c r="L411" s="6" t="str"/>
      <x:c r="M411" s="6" t="str"/>
      <x:c r="N411" s="6" t="str"/>
      <x:c r="O411" s="7" t="str"/>
      <x:c r="P411" s="6" t="str">
        <x:v>Yes</x:v>
      </x:c>
      <x:c r="Q411" s="7" t="str">
        <x:v>Requires service identity completion.</x:v>
      </x:c>
    </x:row>
    <x:row r="412">
      <x:c r="A412" s="6" t="str">
        <x:v>SEQ-MFR-0082</x:v>
      </x:c>
      <x:c r="B412" s="6" t="str">
        <x:v>Manufacturer Scope</x:v>
      </x:c>
      <x:c r="C412" s="6" t="str">
        <x:v>MFRX-0082</x:v>
      </x:c>
      <x:c r="D412" s="6" t="str">
        <x:v>SVC000082</x:v>
      </x:c>
      <x:c r="E412" s="6" t="str"/>
      <x:c r="F412" s="6" t="str">
        <x:v>Manufacturer-scope review</x:v>
      </x:c>
      <x:c r="G412" s="6" t="n">
        <x:v>3</x:v>
      </x:c>
      <x:c r="H412" s="6" t="str">
        <x:v>SIDX-0082</x:v>
      </x:c>
      <x:c r="I412" s="6" t="str">
        <x:f>IF(H412="","No upstream dependency",IF(ISNUMBER(SEARCH(";",H412)),"Multiple dependencies - verify source queues",IFERROR(XLOOKUP(H412,C2:C1586,J2:J1586),"Dependency not found")))</x:f>
        <x:v>Not Started</x:v>
      </x:c>
      <x:c r="J412" s="6" t="str">
        <x:v>Not Started</x:v>
      </x:c>
      <x:c r="K412" s="6" t="str">
        <x:v>Normal</x:v>
      </x:c>
      <x:c r="L412" s="6" t="str"/>
      <x:c r="M412" s="6" t="str"/>
      <x:c r="N412" s="6" t="str"/>
      <x:c r="O412" s="7" t="str"/>
      <x:c r="P412" s="6" t="str">
        <x:v>Yes</x:v>
      </x:c>
      <x:c r="Q412" s="7" t="str">
        <x:v>Requires service identity completion.</x:v>
      </x:c>
    </x:row>
    <x:row r="413">
      <x:c r="A413" s="6" t="str">
        <x:v>SEQ-MFR-0083</x:v>
      </x:c>
      <x:c r="B413" s="6" t="str">
        <x:v>Manufacturer Scope</x:v>
      </x:c>
      <x:c r="C413" s="6" t="str">
        <x:v>MFRX-0083</x:v>
      </x:c>
      <x:c r="D413" s="6" t="str">
        <x:v>SVC000083</x:v>
      </x:c>
      <x:c r="E413" s="6" t="str"/>
      <x:c r="F413" s="6" t="str">
        <x:v>Manufacturer-scope review</x:v>
      </x:c>
      <x:c r="G413" s="6" t="n">
        <x:v>3</x:v>
      </x:c>
      <x:c r="H413" s="6" t="str">
        <x:v>SIDX-0083</x:v>
      </x:c>
      <x:c r="I413" s="6" t="str">
        <x:f>IF(H413="","No upstream dependency",IF(ISNUMBER(SEARCH(";",H413)),"Multiple dependencies - verify source queues",IFERROR(XLOOKUP(H413,C2:C1586,J2:J1586),"Dependency not found")))</x:f>
        <x:v>Not Started</x:v>
      </x:c>
      <x:c r="J413" s="6" t="str">
        <x:v>Not Started</x:v>
      </x:c>
      <x:c r="K413" s="6" t="str">
        <x:v>Normal</x:v>
      </x:c>
      <x:c r="L413" s="6" t="str"/>
      <x:c r="M413" s="6" t="str"/>
      <x:c r="N413" s="6" t="str"/>
      <x:c r="O413" s="7" t="str"/>
      <x:c r="P413" s="6" t="str">
        <x:v>Yes</x:v>
      </x:c>
      <x:c r="Q413" s="7" t="str">
        <x:v>Requires service identity completion.</x:v>
      </x:c>
    </x:row>
    <x:row r="414">
      <x:c r="A414" s="6" t="str">
        <x:v>SEQ-MFR-0084</x:v>
      </x:c>
      <x:c r="B414" s="6" t="str">
        <x:v>Manufacturer Scope</x:v>
      </x:c>
      <x:c r="C414" s="6" t="str">
        <x:v>MFRX-0084</x:v>
      </x:c>
      <x:c r="D414" s="6" t="str">
        <x:v>SVC000084</x:v>
      </x:c>
      <x:c r="E414" s="6" t="str"/>
      <x:c r="F414" s="6" t="str">
        <x:v>Manufacturer-scope review</x:v>
      </x:c>
      <x:c r="G414" s="6" t="n">
        <x:v>3</x:v>
      </x:c>
      <x:c r="H414" s="6" t="str">
        <x:v>SIDX-0084</x:v>
      </x:c>
      <x:c r="I414" s="6" t="str">
        <x:f>IF(H414="","No upstream dependency",IF(ISNUMBER(SEARCH(";",H414)),"Multiple dependencies - verify source queues",IFERROR(XLOOKUP(H414,C2:C1586,J2:J1586),"Dependency not found")))</x:f>
        <x:v>Not Started</x:v>
      </x:c>
      <x:c r="J414" s="6" t="str">
        <x:v>Not Started</x:v>
      </x:c>
      <x:c r="K414" s="6" t="str">
        <x:v>Normal</x:v>
      </x:c>
      <x:c r="L414" s="6" t="str"/>
      <x:c r="M414" s="6" t="str"/>
      <x:c r="N414" s="6" t="str"/>
      <x:c r="O414" s="7" t="str"/>
      <x:c r="P414" s="6" t="str">
        <x:v>Yes</x:v>
      </x:c>
      <x:c r="Q414" s="7" t="str">
        <x:v>Requires service identity completion.</x:v>
      </x:c>
    </x:row>
    <x:row r="415">
      <x:c r="A415" s="6" t="str">
        <x:v>SEQ-MFR-0085</x:v>
      </x:c>
      <x:c r="B415" s="6" t="str">
        <x:v>Manufacturer Scope</x:v>
      </x:c>
      <x:c r="C415" s="6" t="str">
        <x:v>MFRX-0085</x:v>
      </x:c>
      <x:c r="D415" s="6" t="str">
        <x:v>SVC000085</x:v>
      </x:c>
      <x:c r="E415" s="6" t="str"/>
      <x:c r="F415" s="6" t="str">
        <x:v>Manufacturer-scope review</x:v>
      </x:c>
      <x:c r="G415" s="6" t="n">
        <x:v>3</x:v>
      </x:c>
      <x:c r="H415" s="6" t="str">
        <x:v>SIDX-0085</x:v>
      </x:c>
      <x:c r="I415" s="6" t="str">
        <x:f>IF(H415="","No upstream dependency",IF(ISNUMBER(SEARCH(";",H415)),"Multiple dependencies - verify source queues",IFERROR(XLOOKUP(H415,C2:C1586,J2:J1586),"Dependency not found")))</x:f>
        <x:v>Not Started</x:v>
      </x:c>
      <x:c r="J415" s="6" t="str">
        <x:v>Not Started</x:v>
      </x:c>
      <x:c r="K415" s="6" t="str">
        <x:v>Normal</x:v>
      </x:c>
      <x:c r="L415" s="6" t="str"/>
      <x:c r="M415" s="6" t="str"/>
      <x:c r="N415" s="6" t="str"/>
      <x:c r="O415" s="7" t="str"/>
      <x:c r="P415" s="6" t="str">
        <x:v>Yes</x:v>
      </x:c>
      <x:c r="Q415" s="7" t="str">
        <x:v>Requires service identity completion.</x:v>
      </x:c>
    </x:row>
    <x:row r="416">
      <x:c r="A416" s="6" t="str">
        <x:v>SEQ-MFR-0086</x:v>
      </x:c>
      <x:c r="B416" s="6" t="str">
        <x:v>Manufacturer Scope</x:v>
      </x:c>
      <x:c r="C416" s="6" t="str">
        <x:v>MFRX-0086</x:v>
      </x:c>
      <x:c r="D416" s="6" t="str">
        <x:v>SVC000086</x:v>
      </x:c>
      <x:c r="E416" s="6" t="str"/>
      <x:c r="F416" s="6" t="str">
        <x:v>Manufacturer-scope review</x:v>
      </x:c>
      <x:c r="G416" s="6" t="n">
        <x:v>3</x:v>
      </x:c>
      <x:c r="H416" s="6" t="str">
        <x:v>SIDX-0086</x:v>
      </x:c>
      <x:c r="I416" s="6" t="str">
        <x:f>IF(H416="","No upstream dependency",IF(ISNUMBER(SEARCH(";",H416)),"Multiple dependencies - verify source queues",IFERROR(XLOOKUP(H416,C2:C1586,J2:J1586),"Dependency not found")))</x:f>
        <x:v>Not Started</x:v>
      </x:c>
      <x:c r="J416" s="6" t="str">
        <x:v>Not Started</x:v>
      </x:c>
      <x:c r="K416" s="6" t="str">
        <x:v>Normal</x:v>
      </x:c>
      <x:c r="L416" s="6" t="str"/>
      <x:c r="M416" s="6" t="str"/>
      <x:c r="N416" s="6" t="str"/>
      <x:c r="O416" s="7" t="str"/>
      <x:c r="P416" s="6" t="str">
        <x:v>Yes</x:v>
      </x:c>
      <x:c r="Q416" s="7" t="str">
        <x:v>Requires service identity completion.</x:v>
      </x:c>
    </x:row>
    <x:row r="417">
      <x:c r="A417" s="6" t="str">
        <x:v>SEQ-MFR-0087</x:v>
      </x:c>
      <x:c r="B417" s="6" t="str">
        <x:v>Manufacturer Scope</x:v>
      </x:c>
      <x:c r="C417" s="6" t="str">
        <x:v>MFRX-0087</x:v>
      </x:c>
      <x:c r="D417" s="6" t="str">
        <x:v>SVC000087</x:v>
      </x:c>
      <x:c r="E417" s="6" t="str"/>
      <x:c r="F417" s="6" t="str">
        <x:v>Manufacturer-scope review</x:v>
      </x:c>
      <x:c r="G417" s="6" t="n">
        <x:v>3</x:v>
      </x:c>
      <x:c r="H417" s="6" t="str">
        <x:v>SIDX-0087</x:v>
      </x:c>
      <x:c r="I417" s="6" t="str">
        <x:f>IF(H417="","No upstream dependency",IF(ISNUMBER(SEARCH(";",H417)),"Multiple dependencies - verify source queues",IFERROR(XLOOKUP(H417,C2:C1586,J2:J1586),"Dependency not found")))</x:f>
        <x:v>Not Started</x:v>
      </x:c>
      <x:c r="J417" s="6" t="str">
        <x:v>Not Started</x:v>
      </x:c>
      <x:c r="K417" s="6" t="str">
        <x:v>Normal</x:v>
      </x:c>
      <x:c r="L417" s="6" t="str"/>
      <x:c r="M417" s="6" t="str"/>
      <x:c r="N417" s="6" t="str"/>
      <x:c r="O417" s="7" t="str"/>
      <x:c r="P417" s="6" t="str">
        <x:v>Yes</x:v>
      </x:c>
      <x:c r="Q417" s="7" t="str">
        <x:v>Requires service identity completion.</x:v>
      </x:c>
    </x:row>
    <x:row r="418">
      <x:c r="A418" s="6" t="str">
        <x:v>SEQ-MFR-0088</x:v>
      </x:c>
      <x:c r="B418" s="6" t="str">
        <x:v>Manufacturer Scope</x:v>
      </x:c>
      <x:c r="C418" s="6" t="str">
        <x:v>MFRX-0088</x:v>
      </x:c>
      <x:c r="D418" s="6" t="str">
        <x:v>SVC000088</x:v>
      </x:c>
      <x:c r="E418" s="6" t="str"/>
      <x:c r="F418" s="6" t="str">
        <x:v>Manufacturer-scope review</x:v>
      </x:c>
      <x:c r="G418" s="6" t="n">
        <x:v>3</x:v>
      </x:c>
      <x:c r="H418" s="6" t="str">
        <x:v>SIDX-0088</x:v>
      </x:c>
      <x:c r="I418" s="6" t="str">
        <x:f>IF(H418="","No upstream dependency",IF(ISNUMBER(SEARCH(";",H418)),"Multiple dependencies - verify source queues",IFERROR(XLOOKUP(H418,C2:C1586,J2:J1586),"Dependency not found")))</x:f>
        <x:v>Not Started</x:v>
      </x:c>
      <x:c r="J418" s="6" t="str">
        <x:v>Not Started</x:v>
      </x:c>
      <x:c r="K418" s="6" t="str">
        <x:v>Normal</x:v>
      </x:c>
      <x:c r="L418" s="6" t="str"/>
      <x:c r="M418" s="6" t="str"/>
      <x:c r="N418" s="6" t="str"/>
      <x:c r="O418" s="7" t="str"/>
      <x:c r="P418" s="6" t="str">
        <x:v>Yes</x:v>
      </x:c>
      <x:c r="Q418" s="7" t="str">
        <x:v>Requires service identity completion.</x:v>
      </x:c>
    </x:row>
    <x:row r="419">
      <x:c r="A419" s="6" t="str">
        <x:v>SEQ-MFR-0089</x:v>
      </x:c>
      <x:c r="B419" s="6" t="str">
        <x:v>Manufacturer Scope</x:v>
      </x:c>
      <x:c r="C419" s="6" t="str">
        <x:v>MFRX-0089</x:v>
      </x:c>
      <x:c r="D419" s="6" t="str">
        <x:v>SVC000089</x:v>
      </x:c>
      <x:c r="E419" s="6" t="str"/>
      <x:c r="F419" s="6" t="str">
        <x:v>Manufacturer-scope review</x:v>
      </x:c>
      <x:c r="G419" s="6" t="n">
        <x:v>3</x:v>
      </x:c>
      <x:c r="H419" s="6" t="str">
        <x:v>SIDX-0089</x:v>
      </x:c>
      <x:c r="I419" s="6" t="str">
        <x:f>IF(H419="","No upstream dependency",IF(ISNUMBER(SEARCH(";",H419)),"Multiple dependencies - verify source queues",IFERROR(XLOOKUP(H419,C2:C1586,J2:J1586),"Dependency not found")))</x:f>
        <x:v>Not Started</x:v>
      </x:c>
      <x:c r="J419" s="6" t="str">
        <x:v>Not Started</x:v>
      </x:c>
      <x:c r="K419" s="6" t="str">
        <x:v>Normal</x:v>
      </x:c>
      <x:c r="L419" s="6" t="str"/>
      <x:c r="M419" s="6" t="str"/>
      <x:c r="N419" s="6" t="str"/>
      <x:c r="O419" s="7" t="str"/>
      <x:c r="P419" s="6" t="str">
        <x:v>Yes</x:v>
      </x:c>
      <x:c r="Q419" s="7" t="str">
        <x:v>Requires service identity completion.</x:v>
      </x:c>
    </x:row>
    <x:row r="420">
      <x:c r="A420" s="6" t="str">
        <x:v>SEQ-MFR-0090</x:v>
      </x:c>
      <x:c r="B420" s="6" t="str">
        <x:v>Manufacturer Scope</x:v>
      </x:c>
      <x:c r="C420" s="6" t="str">
        <x:v>MFRX-0090</x:v>
      </x:c>
      <x:c r="D420" s="6" t="str">
        <x:v>SVC000090</x:v>
      </x:c>
      <x:c r="E420" s="6" t="str"/>
      <x:c r="F420" s="6" t="str">
        <x:v>Manufacturer-scope review</x:v>
      </x:c>
      <x:c r="G420" s="6" t="n">
        <x:v>3</x:v>
      </x:c>
      <x:c r="H420" s="6" t="str">
        <x:v>SIDX-0090</x:v>
      </x:c>
      <x:c r="I420" s="6" t="str">
        <x:f>IF(H420="","No upstream dependency",IF(ISNUMBER(SEARCH(";",H420)),"Multiple dependencies - verify source queues",IFERROR(XLOOKUP(H420,C2:C1586,J2:J1586),"Dependency not found")))</x:f>
        <x:v>Not Started</x:v>
      </x:c>
      <x:c r="J420" s="6" t="str">
        <x:v>Not Started</x:v>
      </x:c>
      <x:c r="K420" s="6" t="str">
        <x:v>Normal</x:v>
      </x:c>
      <x:c r="L420" s="6" t="str"/>
      <x:c r="M420" s="6" t="str"/>
      <x:c r="N420" s="6" t="str"/>
      <x:c r="O420" s="7" t="str"/>
      <x:c r="P420" s="6" t="str">
        <x:v>Yes</x:v>
      </x:c>
      <x:c r="Q420" s="7" t="str">
        <x:v>Requires service identity completion.</x:v>
      </x:c>
    </x:row>
    <x:row r="421">
      <x:c r="A421" s="6" t="str">
        <x:v>SEQ-MFR-0091</x:v>
      </x:c>
      <x:c r="B421" s="6" t="str">
        <x:v>Manufacturer Scope</x:v>
      </x:c>
      <x:c r="C421" s="6" t="str">
        <x:v>MFRX-0091</x:v>
      </x:c>
      <x:c r="D421" s="6" t="str">
        <x:v>SVC000091</x:v>
      </x:c>
      <x:c r="E421" s="6" t="str"/>
      <x:c r="F421" s="6" t="str">
        <x:v>Manufacturer-scope review</x:v>
      </x:c>
      <x:c r="G421" s="6" t="n">
        <x:v>3</x:v>
      </x:c>
      <x:c r="H421" s="6" t="str">
        <x:v>SIDX-0091</x:v>
      </x:c>
      <x:c r="I421" s="6" t="str">
        <x:f>IF(H421="","No upstream dependency",IF(ISNUMBER(SEARCH(";",H421)),"Multiple dependencies - verify source queues",IFERROR(XLOOKUP(H421,C2:C1586,J2:J1586),"Dependency not found")))</x:f>
        <x:v>Not Started</x:v>
      </x:c>
      <x:c r="J421" s="6" t="str">
        <x:v>Not Started</x:v>
      </x:c>
      <x:c r="K421" s="6" t="str">
        <x:v>Normal</x:v>
      </x:c>
      <x:c r="L421" s="6" t="str"/>
      <x:c r="M421" s="6" t="str"/>
      <x:c r="N421" s="6" t="str"/>
      <x:c r="O421" s="7" t="str"/>
      <x:c r="P421" s="6" t="str">
        <x:v>Yes</x:v>
      </x:c>
      <x:c r="Q421" s="7" t="str">
        <x:v>Requires service identity completion.</x:v>
      </x:c>
    </x:row>
    <x:row r="422">
      <x:c r="A422" s="6" t="str">
        <x:v>SEQ-MFR-0092</x:v>
      </x:c>
      <x:c r="B422" s="6" t="str">
        <x:v>Manufacturer Scope</x:v>
      </x:c>
      <x:c r="C422" s="6" t="str">
        <x:v>MFRX-0092</x:v>
      </x:c>
      <x:c r="D422" s="6" t="str">
        <x:v>SVC000092</x:v>
      </x:c>
      <x:c r="E422" s="6" t="str"/>
      <x:c r="F422" s="6" t="str">
        <x:v>Manufacturer-scope review</x:v>
      </x:c>
      <x:c r="G422" s="6" t="n">
        <x:v>3</x:v>
      </x:c>
      <x:c r="H422" s="6" t="str">
        <x:v>SIDX-0092</x:v>
      </x:c>
      <x:c r="I422" s="6" t="str">
        <x:f>IF(H422="","No upstream dependency",IF(ISNUMBER(SEARCH(";",H422)),"Multiple dependencies - verify source queues",IFERROR(XLOOKUP(H422,C2:C1586,J2:J1586),"Dependency not found")))</x:f>
        <x:v>Not Started</x:v>
      </x:c>
      <x:c r="J422" s="6" t="str">
        <x:v>Not Started</x:v>
      </x:c>
      <x:c r="K422" s="6" t="str">
        <x:v>Normal</x:v>
      </x:c>
      <x:c r="L422" s="6" t="str"/>
      <x:c r="M422" s="6" t="str"/>
      <x:c r="N422" s="6" t="str"/>
      <x:c r="O422" s="7" t="str"/>
      <x:c r="P422" s="6" t="str">
        <x:v>Yes</x:v>
      </x:c>
      <x:c r="Q422" s="7" t="str">
        <x:v>Requires service identity completion.</x:v>
      </x:c>
    </x:row>
    <x:row r="423">
      <x:c r="A423" s="6" t="str">
        <x:v>SEQ-MFR-0093</x:v>
      </x:c>
      <x:c r="B423" s="6" t="str">
        <x:v>Manufacturer Scope</x:v>
      </x:c>
      <x:c r="C423" s="6" t="str">
        <x:v>MFRX-0093</x:v>
      </x:c>
      <x:c r="D423" s="6" t="str">
        <x:v>SVC000093</x:v>
      </x:c>
      <x:c r="E423" s="6" t="str"/>
      <x:c r="F423" s="6" t="str">
        <x:v>Manufacturer-scope review</x:v>
      </x:c>
      <x:c r="G423" s="6" t="n">
        <x:v>3</x:v>
      </x:c>
      <x:c r="H423" s="6" t="str">
        <x:v>SIDX-0093</x:v>
      </x:c>
      <x:c r="I423" s="6" t="str">
        <x:f>IF(H423="","No upstream dependency",IF(ISNUMBER(SEARCH(";",H423)),"Multiple dependencies - verify source queues",IFERROR(XLOOKUP(H423,C2:C1586,J2:J1586),"Dependency not found")))</x:f>
        <x:v>Not Started</x:v>
      </x:c>
      <x:c r="J423" s="6" t="str">
        <x:v>Not Started</x:v>
      </x:c>
      <x:c r="K423" s="6" t="str">
        <x:v>Normal</x:v>
      </x:c>
      <x:c r="L423" s="6" t="str"/>
      <x:c r="M423" s="6" t="str"/>
      <x:c r="N423" s="6" t="str"/>
      <x:c r="O423" s="7" t="str"/>
      <x:c r="P423" s="6" t="str">
        <x:v>Yes</x:v>
      </x:c>
      <x:c r="Q423" s="7" t="str">
        <x:v>Requires service identity completion.</x:v>
      </x:c>
    </x:row>
    <x:row r="424">
      <x:c r="A424" s="6" t="str">
        <x:v>SEQ-MFR-0094</x:v>
      </x:c>
      <x:c r="B424" s="6" t="str">
        <x:v>Manufacturer Scope</x:v>
      </x:c>
      <x:c r="C424" s="6" t="str">
        <x:v>MFRX-0094</x:v>
      </x:c>
      <x:c r="D424" s="6" t="str">
        <x:v>SVC000094</x:v>
      </x:c>
      <x:c r="E424" s="6" t="str"/>
      <x:c r="F424" s="6" t="str">
        <x:v>Manufacturer-scope review</x:v>
      </x:c>
      <x:c r="G424" s="6" t="n">
        <x:v>3</x:v>
      </x:c>
      <x:c r="H424" s="6" t="str">
        <x:v>SIDX-0094</x:v>
      </x:c>
      <x:c r="I424" s="6" t="str">
        <x:f>IF(H424="","No upstream dependency",IF(ISNUMBER(SEARCH(";",H424)),"Multiple dependencies - verify source queues",IFERROR(XLOOKUP(H424,C2:C1586,J2:J1586),"Dependency not found")))</x:f>
        <x:v>Not Started</x:v>
      </x:c>
      <x:c r="J424" s="6" t="str">
        <x:v>Not Started</x:v>
      </x:c>
      <x:c r="K424" s="6" t="str">
        <x:v>Normal</x:v>
      </x:c>
      <x:c r="L424" s="6" t="str"/>
      <x:c r="M424" s="6" t="str"/>
      <x:c r="N424" s="6" t="str"/>
      <x:c r="O424" s="7" t="str"/>
      <x:c r="P424" s="6" t="str">
        <x:v>Yes</x:v>
      </x:c>
      <x:c r="Q424" s="7" t="str">
        <x:v>Requires service identity completion.</x:v>
      </x:c>
    </x:row>
    <x:row r="425">
      <x:c r="A425" s="6" t="str">
        <x:v>SEQ-MFR-0095</x:v>
      </x:c>
      <x:c r="B425" s="6" t="str">
        <x:v>Manufacturer Scope</x:v>
      </x:c>
      <x:c r="C425" s="6" t="str">
        <x:v>MFRX-0095</x:v>
      </x:c>
      <x:c r="D425" s="6" t="str">
        <x:v>SVC000095</x:v>
      </x:c>
      <x:c r="E425" s="6" t="str"/>
      <x:c r="F425" s="6" t="str">
        <x:v>Manufacturer-scope review</x:v>
      </x:c>
      <x:c r="G425" s="6" t="n">
        <x:v>3</x:v>
      </x:c>
      <x:c r="H425" s="6" t="str">
        <x:v>SIDX-0095</x:v>
      </x:c>
      <x:c r="I425" s="6" t="str">
        <x:f>IF(H425="","No upstream dependency",IF(ISNUMBER(SEARCH(";",H425)),"Multiple dependencies - verify source queues",IFERROR(XLOOKUP(H425,C2:C1586,J2:J1586),"Dependency not found")))</x:f>
        <x:v>Not Started</x:v>
      </x:c>
      <x:c r="J425" s="6" t="str">
        <x:v>Not Started</x:v>
      </x:c>
      <x:c r="K425" s="6" t="str">
        <x:v>Normal</x:v>
      </x:c>
      <x:c r="L425" s="6" t="str"/>
      <x:c r="M425" s="6" t="str"/>
      <x:c r="N425" s="6" t="str"/>
      <x:c r="O425" s="7" t="str"/>
      <x:c r="P425" s="6" t="str">
        <x:v>Yes</x:v>
      </x:c>
      <x:c r="Q425" s="7" t="str">
        <x:v>Requires service identity completion.</x:v>
      </x:c>
    </x:row>
    <x:row r="426">
      <x:c r="A426" s="6" t="str">
        <x:v>SEQ-MFR-0096</x:v>
      </x:c>
      <x:c r="B426" s="6" t="str">
        <x:v>Manufacturer Scope</x:v>
      </x:c>
      <x:c r="C426" s="6" t="str">
        <x:v>MFRX-0096</x:v>
      </x:c>
      <x:c r="D426" s="6" t="str">
        <x:v>SVC000096</x:v>
      </x:c>
      <x:c r="E426" s="6" t="str"/>
      <x:c r="F426" s="6" t="str">
        <x:v>Manufacturer-scope review</x:v>
      </x:c>
      <x:c r="G426" s="6" t="n">
        <x:v>3</x:v>
      </x:c>
      <x:c r="H426" s="6" t="str">
        <x:v>SIDX-0096</x:v>
      </x:c>
      <x:c r="I426" s="6" t="str">
        <x:f>IF(H426="","No upstream dependency",IF(ISNUMBER(SEARCH(";",H426)),"Multiple dependencies - verify source queues",IFERROR(XLOOKUP(H426,C2:C1586,J2:J1586),"Dependency not found")))</x:f>
        <x:v>Not Started</x:v>
      </x:c>
      <x:c r="J426" s="6" t="str">
        <x:v>Not Started</x:v>
      </x:c>
      <x:c r="K426" s="6" t="str">
        <x:v>Normal</x:v>
      </x:c>
      <x:c r="L426" s="6" t="str"/>
      <x:c r="M426" s="6" t="str"/>
      <x:c r="N426" s="6" t="str"/>
      <x:c r="O426" s="7" t="str"/>
      <x:c r="P426" s="6" t="str">
        <x:v>Yes</x:v>
      </x:c>
      <x:c r="Q426" s="7" t="str">
        <x:v>Requires service identity completion.</x:v>
      </x:c>
    </x:row>
    <x:row r="427">
      <x:c r="A427" s="6" t="str">
        <x:v>SEQ-MFR-0097</x:v>
      </x:c>
      <x:c r="B427" s="6" t="str">
        <x:v>Manufacturer Scope</x:v>
      </x:c>
      <x:c r="C427" s="6" t="str">
        <x:v>MFRX-0097</x:v>
      </x:c>
      <x:c r="D427" s="6" t="str">
        <x:v>SVC000097</x:v>
      </x:c>
      <x:c r="E427" s="6" t="str"/>
      <x:c r="F427" s="6" t="str">
        <x:v>Manufacturer-scope review</x:v>
      </x:c>
      <x:c r="G427" s="6" t="n">
        <x:v>3</x:v>
      </x:c>
      <x:c r="H427" s="6" t="str">
        <x:v>SIDX-0097</x:v>
      </x:c>
      <x:c r="I427" s="6" t="str">
        <x:f>IF(H427="","No upstream dependency",IF(ISNUMBER(SEARCH(";",H427)),"Multiple dependencies - verify source queues",IFERROR(XLOOKUP(H427,C2:C1586,J2:J1586),"Dependency not found")))</x:f>
        <x:v>Not Started</x:v>
      </x:c>
      <x:c r="J427" s="6" t="str">
        <x:v>Not Started</x:v>
      </x:c>
      <x:c r="K427" s="6" t="str">
        <x:v>Normal</x:v>
      </x:c>
      <x:c r="L427" s="6" t="str"/>
      <x:c r="M427" s="6" t="str"/>
      <x:c r="N427" s="6" t="str"/>
      <x:c r="O427" s="7" t="str"/>
      <x:c r="P427" s="6" t="str">
        <x:v>Yes</x:v>
      </x:c>
      <x:c r="Q427" s="7" t="str">
        <x:v>Requires service identity completion.</x:v>
      </x:c>
    </x:row>
    <x:row r="428">
      <x:c r="A428" s="6" t="str">
        <x:v>SEQ-MFR-0098</x:v>
      </x:c>
      <x:c r="B428" s="6" t="str">
        <x:v>Manufacturer Scope</x:v>
      </x:c>
      <x:c r="C428" s="6" t="str">
        <x:v>MFRX-0098</x:v>
      </x:c>
      <x:c r="D428" s="6" t="str">
        <x:v>SVC000098</x:v>
      </x:c>
      <x:c r="E428" s="6" t="str"/>
      <x:c r="F428" s="6" t="str">
        <x:v>Manufacturer-scope review</x:v>
      </x:c>
      <x:c r="G428" s="6" t="n">
        <x:v>3</x:v>
      </x:c>
      <x:c r="H428" s="6" t="str">
        <x:v>SIDX-0098</x:v>
      </x:c>
      <x:c r="I428" s="6" t="str">
        <x:f>IF(H428="","No upstream dependency",IF(ISNUMBER(SEARCH(";",H428)),"Multiple dependencies - verify source queues",IFERROR(XLOOKUP(H428,C2:C1586,J2:J1586),"Dependency not found")))</x:f>
        <x:v>Not Started</x:v>
      </x:c>
      <x:c r="J428" s="6" t="str">
        <x:v>Not Started</x:v>
      </x:c>
      <x:c r="K428" s="6" t="str">
        <x:v>Normal</x:v>
      </x:c>
      <x:c r="L428" s="6" t="str"/>
      <x:c r="M428" s="6" t="str"/>
      <x:c r="N428" s="6" t="str"/>
      <x:c r="O428" s="7" t="str"/>
      <x:c r="P428" s="6" t="str">
        <x:v>Yes</x:v>
      </x:c>
      <x:c r="Q428" s="7" t="str">
        <x:v>Requires service identity completion.</x:v>
      </x:c>
    </x:row>
    <x:row r="429">
      <x:c r="A429" s="6" t="str">
        <x:v>SEQ-MFR-0099</x:v>
      </x:c>
      <x:c r="B429" s="6" t="str">
        <x:v>Manufacturer Scope</x:v>
      </x:c>
      <x:c r="C429" s="6" t="str">
        <x:v>MFRX-0099</x:v>
      </x:c>
      <x:c r="D429" s="6" t="str">
        <x:v>SVC000099</x:v>
      </x:c>
      <x:c r="E429" s="6" t="str"/>
      <x:c r="F429" s="6" t="str">
        <x:v>Manufacturer-scope review</x:v>
      </x:c>
      <x:c r="G429" s="6" t="n">
        <x:v>3</x:v>
      </x:c>
      <x:c r="H429" s="6" t="str">
        <x:v>SIDX-0099</x:v>
      </x:c>
      <x:c r="I429" s="6" t="str">
        <x:f>IF(H429="","No upstream dependency",IF(ISNUMBER(SEARCH(";",H429)),"Multiple dependencies - verify source queues",IFERROR(XLOOKUP(H429,C2:C1586,J2:J1586),"Dependency not found")))</x:f>
        <x:v>Not Started</x:v>
      </x:c>
      <x:c r="J429" s="6" t="str">
        <x:v>Not Started</x:v>
      </x:c>
      <x:c r="K429" s="6" t="str">
        <x:v>Normal</x:v>
      </x:c>
      <x:c r="L429" s="6" t="str"/>
      <x:c r="M429" s="6" t="str"/>
      <x:c r="N429" s="6" t="str"/>
      <x:c r="O429" s="7" t="str"/>
      <x:c r="P429" s="6" t="str">
        <x:v>Yes</x:v>
      </x:c>
      <x:c r="Q429" s="7" t="str">
        <x:v>Requires service identity completion.</x:v>
      </x:c>
    </x:row>
    <x:row r="430">
      <x:c r="A430" s="6" t="str">
        <x:v>SEQ-MFR-0100</x:v>
      </x:c>
      <x:c r="B430" s="6" t="str">
        <x:v>Manufacturer Scope</x:v>
      </x:c>
      <x:c r="C430" s="6" t="str">
        <x:v>MFRX-0100</x:v>
      </x:c>
      <x:c r="D430" s="6" t="str">
        <x:v>SVC000100</x:v>
      </x:c>
      <x:c r="E430" s="6" t="str"/>
      <x:c r="F430" s="6" t="str">
        <x:v>Manufacturer-scope review</x:v>
      </x:c>
      <x:c r="G430" s="6" t="n">
        <x:v>3</x:v>
      </x:c>
      <x:c r="H430" s="6" t="str">
        <x:v>SIDX-0100</x:v>
      </x:c>
      <x:c r="I430" s="6" t="str">
        <x:f>IF(H430="","No upstream dependency",IF(ISNUMBER(SEARCH(";",H430)),"Multiple dependencies - verify source queues",IFERROR(XLOOKUP(H430,C2:C1586,J2:J1586),"Dependency not found")))</x:f>
        <x:v>Not Started</x:v>
      </x:c>
      <x:c r="J430" s="6" t="str">
        <x:v>Not Started</x:v>
      </x:c>
      <x:c r="K430" s="6" t="str">
        <x:v>Normal</x:v>
      </x:c>
      <x:c r="L430" s="6" t="str"/>
      <x:c r="M430" s="6" t="str"/>
      <x:c r="N430" s="6" t="str"/>
      <x:c r="O430" s="7" t="str"/>
      <x:c r="P430" s="6" t="str">
        <x:v>Yes</x:v>
      </x:c>
      <x:c r="Q430" s="7" t="str">
        <x:v>Requires service identity completion.</x:v>
      </x:c>
    </x:row>
    <x:row r="431">
      <x:c r="A431" s="6" t="str">
        <x:v>SEQ-MFR-0101</x:v>
      </x:c>
      <x:c r="B431" s="6" t="str">
        <x:v>Manufacturer Scope</x:v>
      </x:c>
      <x:c r="C431" s="6" t="str">
        <x:v>MFRX-0101</x:v>
      </x:c>
      <x:c r="D431" s="6" t="str">
        <x:v>SVC000101</x:v>
      </x:c>
      <x:c r="E431" s="6" t="str"/>
      <x:c r="F431" s="6" t="str">
        <x:v>Manufacturer-scope review</x:v>
      </x:c>
      <x:c r="G431" s="6" t="n">
        <x:v>3</x:v>
      </x:c>
      <x:c r="H431" s="6" t="str">
        <x:v>SIDX-0101</x:v>
      </x:c>
      <x:c r="I431" s="6" t="str">
        <x:f>IF(H431="","No upstream dependency",IF(ISNUMBER(SEARCH(";",H431)),"Multiple dependencies - verify source queues",IFERROR(XLOOKUP(H431,C2:C1586,J2:J1586),"Dependency not found")))</x:f>
        <x:v>Not Started</x:v>
      </x:c>
      <x:c r="J431" s="6" t="str">
        <x:v>Not Started</x:v>
      </x:c>
      <x:c r="K431" s="6" t="str">
        <x:v>Normal</x:v>
      </x:c>
      <x:c r="L431" s="6" t="str"/>
      <x:c r="M431" s="6" t="str"/>
      <x:c r="N431" s="6" t="str"/>
      <x:c r="O431" s="7" t="str"/>
      <x:c r="P431" s="6" t="str">
        <x:v>Yes</x:v>
      </x:c>
      <x:c r="Q431" s="7" t="str">
        <x:v>Requires service identity completion.</x:v>
      </x:c>
    </x:row>
    <x:row r="432">
      <x:c r="A432" s="6" t="str">
        <x:v>SEQ-MFR-0102</x:v>
      </x:c>
      <x:c r="B432" s="6" t="str">
        <x:v>Manufacturer Scope</x:v>
      </x:c>
      <x:c r="C432" s="6" t="str">
        <x:v>MFRX-0102</x:v>
      </x:c>
      <x:c r="D432" s="6" t="str">
        <x:v>SVC000102</x:v>
      </x:c>
      <x:c r="E432" s="6" t="str"/>
      <x:c r="F432" s="6" t="str">
        <x:v>Manufacturer-scope review</x:v>
      </x:c>
      <x:c r="G432" s="6" t="n">
        <x:v>3</x:v>
      </x:c>
      <x:c r="H432" s="6" t="str">
        <x:v>SIDX-0102</x:v>
      </x:c>
      <x:c r="I432" s="6" t="str">
        <x:f>IF(H432="","No upstream dependency",IF(ISNUMBER(SEARCH(";",H432)),"Multiple dependencies - verify source queues",IFERROR(XLOOKUP(H432,C2:C1586,J2:J1586),"Dependency not found")))</x:f>
        <x:v>Not Started</x:v>
      </x:c>
      <x:c r="J432" s="6" t="str">
        <x:v>Not Started</x:v>
      </x:c>
      <x:c r="K432" s="6" t="str">
        <x:v>Normal</x:v>
      </x:c>
      <x:c r="L432" s="6" t="str"/>
      <x:c r="M432" s="6" t="str"/>
      <x:c r="N432" s="6" t="str"/>
      <x:c r="O432" s="7" t="str"/>
      <x:c r="P432" s="6" t="str">
        <x:v>Yes</x:v>
      </x:c>
      <x:c r="Q432" s="7" t="str">
        <x:v>Requires service identity completion.</x:v>
      </x:c>
    </x:row>
    <x:row r="433">
      <x:c r="A433" s="6" t="str">
        <x:v>SEQ-MFR-0103</x:v>
      </x:c>
      <x:c r="B433" s="6" t="str">
        <x:v>Manufacturer Scope</x:v>
      </x:c>
      <x:c r="C433" s="6" t="str">
        <x:v>MFRX-0103</x:v>
      </x:c>
      <x:c r="D433" s="6" t="str">
        <x:v>SVC000103</x:v>
      </x:c>
      <x:c r="E433" s="6" t="str"/>
      <x:c r="F433" s="6" t="str">
        <x:v>Manufacturer-scope review</x:v>
      </x:c>
      <x:c r="G433" s="6" t="n">
        <x:v>3</x:v>
      </x:c>
      <x:c r="H433" s="6" t="str">
        <x:v>SIDX-0103</x:v>
      </x:c>
      <x:c r="I433" s="6" t="str">
        <x:f>IF(H433="","No upstream dependency",IF(ISNUMBER(SEARCH(";",H433)),"Multiple dependencies - verify source queues",IFERROR(XLOOKUP(H433,C2:C1586,J2:J1586),"Dependency not found")))</x:f>
        <x:v>Not Started</x:v>
      </x:c>
      <x:c r="J433" s="6" t="str">
        <x:v>Not Started</x:v>
      </x:c>
      <x:c r="K433" s="6" t="str">
        <x:v>Normal</x:v>
      </x:c>
      <x:c r="L433" s="6" t="str"/>
      <x:c r="M433" s="6" t="str"/>
      <x:c r="N433" s="6" t="str"/>
      <x:c r="O433" s="7" t="str"/>
      <x:c r="P433" s="6" t="str">
        <x:v>Yes</x:v>
      </x:c>
      <x:c r="Q433" s="7" t="str">
        <x:v>Requires service identity completion.</x:v>
      </x:c>
    </x:row>
    <x:row r="434">
      <x:c r="A434" s="6" t="str">
        <x:v>SEQ-MFR-0104</x:v>
      </x:c>
      <x:c r="B434" s="6" t="str">
        <x:v>Manufacturer Scope</x:v>
      </x:c>
      <x:c r="C434" s="6" t="str">
        <x:v>MFRX-0104</x:v>
      </x:c>
      <x:c r="D434" s="6" t="str">
        <x:v>SVC000104</x:v>
      </x:c>
      <x:c r="E434" s="6" t="str"/>
      <x:c r="F434" s="6" t="str">
        <x:v>Manufacturer-scope review</x:v>
      </x:c>
      <x:c r="G434" s="6" t="n">
        <x:v>3</x:v>
      </x:c>
      <x:c r="H434" s="6" t="str">
        <x:v>SIDX-0104</x:v>
      </x:c>
      <x:c r="I434" s="6" t="str">
        <x:f>IF(H434="","No upstream dependency",IF(ISNUMBER(SEARCH(";",H434)),"Multiple dependencies - verify source queues",IFERROR(XLOOKUP(H434,C2:C1586,J2:J1586),"Dependency not found")))</x:f>
        <x:v>Not Started</x:v>
      </x:c>
      <x:c r="J434" s="6" t="str">
        <x:v>Not Started</x:v>
      </x:c>
      <x:c r="K434" s="6" t="str">
        <x:v>Normal</x:v>
      </x:c>
      <x:c r="L434" s="6" t="str"/>
      <x:c r="M434" s="6" t="str"/>
      <x:c r="N434" s="6" t="str"/>
      <x:c r="O434" s="7" t="str"/>
      <x:c r="P434" s="6" t="str">
        <x:v>Yes</x:v>
      </x:c>
      <x:c r="Q434" s="7" t="str">
        <x:v>Requires service identity completion.</x:v>
      </x:c>
    </x:row>
    <x:row r="435">
      <x:c r="A435" s="6" t="str">
        <x:v>SEQ-MFR-0105</x:v>
      </x:c>
      <x:c r="B435" s="6" t="str">
        <x:v>Manufacturer Scope</x:v>
      </x:c>
      <x:c r="C435" s="6" t="str">
        <x:v>MFRX-0105</x:v>
      </x:c>
      <x:c r="D435" s="6" t="str">
        <x:v>SVC000105</x:v>
      </x:c>
      <x:c r="E435" s="6" t="str"/>
      <x:c r="F435" s="6" t="str">
        <x:v>Manufacturer-scope review</x:v>
      </x:c>
      <x:c r="G435" s="6" t="n">
        <x:v>3</x:v>
      </x:c>
      <x:c r="H435" s="6" t="str">
        <x:v>SIDX-0105</x:v>
      </x:c>
      <x:c r="I435" s="6" t="str">
        <x:f>IF(H435="","No upstream dependency",IF(ISNUMBER(SEARCH(";",H435)),"Multiple dependencies - verify source queues",IFERROR(XLOOKUP(H435,C2:C1586,J2:J1586),"Dependency not found")))</x:f>
        <x:v>Not Started</x:v>
      </x:c>
      <x:c r="J435" s="6" t="str">
        <x:v>Not Started</x:v>
      </x:c>
      <x:c r="K435" s="6" t="str">
        <x:v>Normal</x:v>
      </x:c>
      <x:c r="L435" s="6" t="str"/>
      <x:c r="M435" s="6" t="str"/>
      <x:c r="N435" s="6" t="str"/>
      <x:c r="O435" s="7" t="str"/>
      <x:c r="P435" s="6" t="str">
        <x:v>Yes</x:v>
      </x:c>
      <x:c r="Q435" s="7" t="str">
        <x:v>Requires service identity completion.</x:v>
      </x:c>
    </x:row>
    <x:row r="436">
      <x:c r="A436" s="6" t="str">
        <x:v>SEQ-MFR-0106</x:v>
      </x:c>
      <x:c r="B436" s="6" t="str">
        <x:v>Manufacturer Scope</x:v>
      </x:c>
      <x:c r="C436" s="6" t="str">
        <x:v>MFRX-0106</x:v>
      </x:c>
      <x:c r="D436" s="6" t="str">
        <x:v>SVC000106</x:v>
      </x:c>
      <x:c r="E436" s="6" t="str"/>
      <x:c r="F436" s="6" t="str">
        <x:v>Manufacturer-scope review</x:v>
      </x:c>
      <x:c r="G436" s="6" t="n">
        <x:v>3</x:v>
      </x:c>
      <x:c r="H436" s="6" t="str">
        <x:v>SIDX-0106</x:v>
      </x:c>
      <x:c r="I436" s="6" t="str">
        <x:f>IF(H436="","No upstream dependency",IF(ISNUMBER(SEARCH(";",H436)),"Multiple dependencies - verify source queues",IFERROR(XLOOKUP(H436,C2:C1586,J2:J1586),"Dependency not found")))</x:f>
        <x:v>Not Started</x:v>
      </x:c>
      <x:c r="J436" s="6" t="str">
        <x:v>Not Started</x:v>
      </x:c>
      <x:c r="K436" s="6" t="str">
        <x:v>Normal</x:v>
      </x:c>
      <x:c r="L436" s="6" t="str"/>
      <x:c r="M436" s="6" t="str"/>
      <x:c r="N436" s="6" t="str"/>
      <x:c r="O436" s="7" t="str"/>
      <x:c r="P436" s="6" t="str">
        <x:v>Yes</x:v>
      </x:c>
      <x:c r="Q436" s="7" t="str">
        <x:v>Requires service identity completion.</x:v>
      </x:c>
    </x:row>
    <x:row r="437">
      <x:c r="A437" s="6" t="str">
        <x:v>SEQ-MFR-0107</x:v>
      </x:c>
      <x:c r="B437" s="6" t="str">
        <x:v>Manufacturer Scope</x:v>
      </x:c>
      <x:c r="C437" s="6" t="str">
        <x:v>MFRX-0107</x:v>
      </x:c>
      <x:c r="D437" s="6" t="str">
        <x:v>SVC000107</x:v>
      </x:c>
      <x:c r="E437" s="6" t="str"/>
      <x:c r="F437" s="6" t="str">
        <x:v>Manufacturer-scope review</x:v>
      </x:c>
      <x:c r="G437" s="6" t="n">
        <x:v>3</x:v>
      </x:c>
      <x:c r="H437" s="6" t="str">
        <x:v>SIDX-0107</x:v>
      </x:c>
      <x:c r="I437" s="6" t="str">
        <x:f>IF(H437="","No upstream dependency",IF(ISNUMBER(SEARCH(";",H437)),"Multiple dependencies - verify source queues",IFERROR(XLOOKUP(H437,C2:C1586,J2:J1586),"Dependency not found")))</x:f>
        <x:v>Not Started</x:v>
      </x:c>
      <x:c r="J437" s="6" t="str">
        <x:v>Not Started</x:v>
      </x:c>
      <x:c r="K437" s="6" t="str">
        <x:v>Normal</x:v>
      </x:c>
      <x:c r="L437" s="6" t="str"/>
      <x:c r="M437" s="6" t="str"/>
      <x:c r="N437" s="6" t="str"/>
      <x:c r="O437" s="7" t="str"/>
      <x:c r="P437" s="6" t="str">
        <x:v>Yes</x:v>
      </x:c>
      <x:c r="Q437" s="7" t="str">
        <x:v>Requires service identity completion.</x:v>
      </x:c>
    </x:row>
    <x:row r="438">
      <x:c r="A438" s="6" t="str">
        <x:v>SEQ-MFR-0108</x:v>
      </x:c>
      <x:c r="B438" s="6" t="str">
        <x:v>Manufacturer Scope</x:v>
      </x:c>
      <x:c r="C438" s="6" t="str">
        <x:v>MFRX-0108</x:v>
      </x:c>
      <x:c r="D438" s="6" t="str">
        <x:v>SVC000108</x:v>
      </x:c>
      <x:c r="E438" s="6" t="str"/>
      <x:c r="F438" s="6" t="str">
        <x:v>Manufacturer-scope review</x:v>
      </x:c>
      <x:c r="G438" s="6" t="n">
        <x:v>3</x:v>
      </x:c>
      <x:c r="H438" s="6" t="str">
        <x:v>SIDX-0108</x:v>
      </x:c>
      <x:c r="I438" s="6" t="str">
        <x:f>IF(H438="","No upstream dependency",IF(ISNUMBER(SEARCH(";",H438)),"Multiple dependencies - verify source queues",IFERROR(XLOOKUP(H438,C2:C1586,J2:J1586),"Dependency not found")))</x:f>
        <x:v>Not Started</x:v>
      </x:c>
      <x:c r="J438" s="6" t="str">
        <x:v>Not Started</x:v>
      </x:c>
      <x:c r="K438" s="6" t="str">
        <x:v>Normal</x:v>
      </x:c>
      <x:c r="L438" s="6" t="str"/>
      <x:c r="M438" s="6" t="str"/>
      <x:c r="N438" s="6" t="str"/>
      <x:c r="O438" s="7" t="str"/>
      <x:c r="P438" s="6" t="str">
        <x:v>Yes</x:v>
      </x:c>
      <x:c r="Q438" s="7" t="str">
        <x:v>Requires service identity completion.</x:v>
      </x:c>
    </x:row>
    <x:row r="439">
      <x:c r="A439" s="6" t="str">
        <x:v>SEQ-MFR-0109</x:v>
      </x:c>
      <x:c r="B439" s="6" t="str">
        <x:v>Manufacturer Scope</x:v>
      </x:c>
      <x:c r="C439" s="6" t="str">
        <x:v>MFRX-0109</x:v>
      </x:c>
      <x:c r="D439" s="6" t="str">
        <x:v>SVC000109</x:v>
      </x:c>
      <x:c r="E439" s="6" t="str"/>
      <x:c r="F439" s="6" t="str">
        <x:v>Manufacturer-scope review</x:v>
      </x:c>
      <x:c r="G439" s="6" t="n">
        <x:v>3</x:v>
      </x:c>
      <x:c r="H439" s="6" t="str">
        <x:v>SIDX-0109</x:v>
      </x:c>
      <x:c r="I439" s="6" t="str">
        <x:f>IF(H439="","No upstream dependency",IF(ISNUMBER(SEARCH(";",H439)),"Multiple dependencies - verify source queues",IFERROR(XLOOKUP(H439,C2:C1586,J2:J1586),"Dependency not found")))</x:f>
        <x:v>Not Started</x:v>
      </x:c>
      <x:c r="J439" s="6" t="str">
        <x:v>Not Started</x:v>
      </x:c>
      <x:c r="K439" s="6" t="str">
        <x:v>Normal</x:v>
      </x:c>
      <x:c r="L439" s="6" t="str"/>
      <x:c r="M439" s="6" t="str"/>
      <x:c r="N439" s="6" t="str"/>
      <x:c r="O439" s="7" t="str"/>
      <x:c r="P439" s="6" t="str">
        <x:v>Yes</x:v>
      </x:c>
      <x:c r="Q439" s="7" t="str">
        <x:v>Requires service identity completion.</x:v>
      </x:c>
    </x:row>
    <x:row r="440">
      <x:c r="A440" s="6" t="str">
        <x:v>SEQ-MFR-0110</x:v>
      </x:c>
      <x:c r="B440" s="6" t="str">
        <x:v>Manufacturer Scope</x:v>
      </x:c>
      <x:c r="C440" s="6" t="str">
        <x:v>MFRX-0110</x:v>
      </x:c>
      <x:c r="D440" s="6" t="str">
        <x:v>SVC000110</x:v>
      </x:c>
      <x:c r="E440" s="6" t="str"/>
      <x:c r="F440" s="6" t="str">
        <x:v>Manufacturer-scope review</x:v>
      </x:c>
      <x:c r="G440" s="6" t="n">
        <x:v>3</x:v>
      </x:c>
      <x:c r="H440" s="6" t="str">
        <x:v>SIDX-0110</x:v>
      </x:c>
      <x:c r="I440" s="6" t="str">
        <x:f>IF(H440="","No upstream dependency",IF(ISNUMBER(SEARCH(";",H440)),"Multiple dependencies - verify source queues",IFERROR(XLOOKUP(H440,C2:C1586,J2:J1586),"Dependency not found")))</x:f>
        <x:v>Not Started</x:v>
      </x:c>
      <x:c r="J440" s="6" t="str">
        <x:v>Not Started</x:v>
      </x:c>
      <x:c r="K440" s="6" t="str">
        <x:v>Normal</x:v>
      </x:c>
      <x:c r="L440" s="6" t="str"/>
      <x:c r="M440" s="6" t="str"/>
      <x:c r="N440" s="6" t="str"/>
      <x:c r="O440" s="7" t="str"/>
      <x:c r="P440" s="6" t="str">
        <x:v>Yes</x:v>
      </x:c>
      <x:c r="Q440" s="7" t="str">
        <x:v>Requires service identity completion.</x:v>
      </x:c>
    </x:row>
    <x:row r="441">
      <x:c r="A441" s="6" t="str">
        <x:v>SEQ-MFR-0111</x:v>
      </x:c>
      <x:c r="B441" s="6" t="str">
        <x:v>Manufacturer Scope</x:v>
      </x:c>
      <x:c r="C441" s="6" t="str">
        <x:v>MFRX-0111</x:v>
      </x:c>
      <x:c r="D441" s="6" t="str">
        <x:v>SVC000111</x:v>
      </x:c>
      <x:c r="E441" s="6" t="str"/>
      <x:c r="F441" s="6" t="str">
        <x:v>Manufacturer-scope review</x:v>
      </x:c>
      <x:c r="G441" s="6" t="n">
        <x:v>3</x:v>
      </x:c>
      <x:c r="H441" s="6" t="str">
        <x:v>SIDX-0111</x:v>
      </x:c>
      <x:c r="I441" s="6" t="str">
        <x:f>IF(H441="","No upstream dependency",IF(ISNUMBER(SEARCH(";",H441)),"Multiple dependencies - verify source queues",IFERROR(XLOOKUP(H441,C2:C1586,J2:J1586),"Dependency not found")))</x:f>
        <x:v>Not Started</x:v>
      </x:c>
      <x:c r="J441" s="6" t="str">
        <x:v>Not Started</x:v>
      </x:c>
      <x:c r="K441" s="6" t="str">
        <x:v>Normal</x:v>
      </x:c>
      <x:c r="L441" s="6" t="str"/>
      <x:c r="M441" s="6" t="str"/>
      <x:c r="N441" s="6" t="str"/>
      <x:c r="O441" s="7" t="str"/>
      <x:c r="P441" s="6" t="str">
        <x:v>Yes</x:v>
      </x:c>
      <x:c r="Q441" s="7" t="str">
        <x:v>Requires service identity completion.</x:v>
      </x:c>
    </x:row>
    <x:row r="442">
      <x:c r="A442" s="6" t="str">
        <x:v>SEQ-MFR-0112</x:v>
      </x:c>
      <x:c r="B442" s="6" t="str">
        <x:v>Manufacturer Scope</x:v>
      </x:c>
      <x:c r="C442" s="6" t="str">
        <x:v>MFRX-0112</x:v>
      </x:c>
      <x:c r="D442" s="6" t="str">
        <x:v>SVC000112</x:v>
      </x:c>
      <x:c r="E442" s="6" t="str"/>
      <x:c r="F442" s="6" t="str">
        <x:v>Manufacturer-scope review</x:v>
      </x:c>
      <x:c r="G442" s="6" t="n">
        <x:v>3</x:v>
      </x:c>
      <x:c r="H442" s="6" t="str">
        <x:v>SIDX-0112</x:v>
      </x:c>
      <x:c r="I442" s="6" t="str">
        <x:f>IF(H442="","No upstream dependency",IF(ISNUMBER(SEARCH(";",H442)),"Multiple dependencies - verify source queues",IFERROR(XLOOKUP(H442,C2:C1586,J2:J1586),"Dependency not found")))</x:f>
        <x:v>Not Started</x:v>
      </x:c>
      <x:c r="J442" s="6" t="str">
        <x:v>Not Started</x:v>
      </x:c>
      <x:c r="K442" s="6" t="str">
        <x:v>Normal</x:v>
      </x:c>
      <x:c r="L442" s="6" t="str"/>
      <x:c r="M442" s="6" t="str"/>
      <x:c r="N442" s="6" t="str"/>
      <x:c r="O442" s="7" t="str"/>
      <x:c r="P442" s="6" t="str">
        <x:v>Yes</x:v>
      </x:c>
      <x:c r="Q442" s="7" t="str">
        <x:v>Requires service identity completion.</x:v>
      </x:c>
    </x:row>
    <x:row r="443">
      <x:c r="A443" s="6" t="str">
        <x:v>SEQ-MFR-0113</x:v>
      </x:c>
      <x:c r="B443" s="6" t="str">
        <x:v>Manufacturer Scope</x:v>
      </x:c>
      <x:c r="C443" s="6" t="str">
        <x:v>MFRX-0113</x:v>
      </x:c>
      <x:c r="D443" s="6" t="str">
        <x:v>SVC000113</x:v>
      </x:c>
      <x:c r="E443" s="6" t="str"/>
      <x:c r="F443" s="6" t="str">
        <x:v>Manufacturer-scope review</x:v>
      </x:c>
      <x:c r="G443" s="6" t="n">
        <x:v>3</x:v>
      </x:c>
      <x:c r="H443" s="6" t="str">
        <x:v>SIDX-0113</x:v>
      </x:c>
      <x:c r="I443" s="6" t="str">
        <x:f>IF(H443="","No upstream dependency",IF(ISNUMBER(SEARCH(";",H443)),"Multiple dependencies - verify source queues",IFERROR(XLOOKUP(H443,C2:C1586,J2:J1586),"Dependency not found")))</x:f>
        <x:v>Not Started</x:v>
      </x:c>
      <x:c r="J443" s="6" t="str">
        <x:v>Not Started</x:v>
      </x:c>
      <x:c r="K443" s="6" t="str">
        <x:v>Normal</x:v>
      </x:c>
      <x:c r="L443" s="6" t="str"/>
      <x:c r="M443" s="6" t="str"/>
      <x:c r="N443" s="6" t="str"/>
      <x:c r="O443" s="7" t="str"/>
      <x:c r="P443" s="6" t="str">
        <x:v>Yes</x:v>
      </x:c>
      <x:c r="Q443" s="7" t="str">
        <x:v>Requires service identity completion.</x:v>
      </x:c>
    </x:row>
    <x:row r="444">
      <x:c r="A444" s="6" t="str">
        <x:v>SEQ-MFR-0114</x:v>
      </x:c>
      <x:c r="B444" s="6" t="str">
        <x:v>Manufacturer Scope</x:v>
      </x:c>
      <x:c r="C444" s="6" t="str">
        <x:v>MFRX-0114</x:v>
      </x:c>
      <x:c r="D444" s="6" t="str">
        <x:v>SVC000114</x:v>
      </x:c>
      <x:c r="E444" s="6" t="str"/>
      <x:c r="F444" s="6" t="str">
        <x:v>Manufacturer-scope review</x:v>
      </x:c>
      <x:c r="G444" s="6" t="n">
        <x:v>3</x:v>
      </x:c>
      <x:c r="H444" s="6" t="str">
        <x:v>SIDX-0114</x:v>
      </x:c>
      <x:c r="I444" s="6" t="str">
        <x:f>IF(H444="","No upstream dependency",IF(ISNUMBER(SEARCH(";",H444)),"Multiple dependencies - verify source queues",IFERROR(XLOOKUP(H444,C2:C1586,J2:J1586),"Dependency not found")))</x:f>
        <x:v>Not Started</x:v>
      </x:c>
      <x:c r="J444" s="6" t="str">
        <x:v>Not Started</x:v>
      </x:c>
      <x:c r="K444" s="6" t="str">
        <x:v>Normal</x:v>
      </x:c>
      <x:c r="L444" s="6" t="str"/>
      <x:c r="M444" s="6" t="str"/>
      <x:c r="N444" s="6" t="str"/>
      <x:c r="O444" s="7" t="str"/>
      <x:c r="P444" s="6" t="str">
        <x:v>Yes</x:v>
      </x:c>
      <x:c r="Q444" s="7" t="str">
        <x:v>Requires service identity completion.</x:v>
      </x:c>
    </x:row>
    <x:row r="445">
      <x:c r="A445" s="6" t="str">
        <x:v>SEQ-MFR-0115</x:v>
      </x:c>
      <x:c r="B445" s="6" t="str">
        <x:v>Manufacturer Scope</x:v>
      </x:c>
      <x:c r="C445" s="6" t="str">
        <x:v>MFRX-0115</x:v>
      </x:c>
      <x:c r="D445" s="6" t="str">
        <x:v>SVC000115</x:v>
      </x:c>
      <x:c r="E445" s="6" t="str"/>
      <x:c r="F445" s="6" t="str">
        <x:v>Manufacturer-scope review</x:v>
      </x:c>
      <x:c r="G445" s="6" t="n">
        <x:v>3</x:v>
      </x:c>
      <x:c r="H445" s="6" t="str">
        <x:v>SIDX-0115</x:v>
      </x:c>
      <x:c r="I445" s="6" t="str">
        <x:f>IF(H445="","No upstream dependency",IF(ISNUMBER(SEARCH(";",H445)),"Multiple dependencies - verify source queues",IFERROR(XLOOKUP(H445,C2:C1586,J2:J1586),"Dependency not found")))</x:f>
        <x:v>Not Started</x:v>
      </x:c>
      <x:c r="J445" s="6" t="str">
        <x:v>Not Started</x:v>
      </x:c>
      <x:c r="K445" s="6" t="str">
        <x:v>Normal</x:v>
      </x:c>
      <x:c r="L445" s="6" t="str"/>
      <x:c r="M445" s="6" t="str"/>
      <x:c r="N445" s="6" t="str"/>
      <x:c r="O445" s="7" t="str"/>
      <x:c r="P445" s="6" t="str">
        <x:v>Yes</x:v>
      </x:c>
      <x:c r="Q445" s="7" t="str">
        <x:v>Requires service identity completion.</x:v>
      </x:c>
    </x:row>
    <x:row r="446">
      <x:c r="A446" s="6" t="str">
        <x:v>SEQ-MFR-0116</x:v>
      </x:c>
      <x:c r="B446" s="6" t="str">
        <x:v>Manufacturer Scope</x:v>
      </x:c>
      <x:c r="C446" s="6" t="str">
        <x:v>MFRX-0116</x:v>
      </x:c>
      <x:c r="D446" s="6" t="str">
        <x:v>SVC000116</x:v>
      </x:c>
      <x:c r="E446" s="6" t="str"/>
      <x:c r="F446" s="6" t="str">
        <x:v>Manufacturer-scope review</x:v>
      </x:c>
      <x:c r="G446" s="6" t="n">
        <x:v>3</x:v>
      </x:c>
      <x:c r="H446" s="6" t="str">
        <x:v>SIDX-0116</x:v>
      </x:c>
      <x:c r="I446" s="6" t="str">
        <x:f>IF(H446="","No upstream dependency",IF(ISNUMBER(SEARCH(";",H446)),"Multiple dependencies - verify source queues",IFERROR(XLOOKUP(H446,C2:C1586,J2:J1586),"Dependency not found")))</x:f>
        <x:v>Not Started</x:v>
      </x:c>
      <x:c r="J446" s="6" t="str">
        <x:v>Not Started</x:v>
      </x:c>
      <x:c r="K446" s="6" t="str">
        <x:v>Normal</x:v>
      </x:c>
      <x:c r="L446" s="6" t="str"/>
      <x:c r="M446" s="6" t="str"/>
      <x:c r="N446" s="6" t="str"/>
      <x:c r="O446" s="7" t="str"/>
      <x:c r="P446" s="6" t="str">
        <x:v>Yes</x:v>
      </x:c>
      <x:c r="Q446" s="7" t="str">
        <x:v>Requires service identity completion.</x:v>
      </x:c>
    </x:row>
    <x:row r="447">
      <x:c r="A447" s="6" t="str">
        <x:v>SEQ-MFR-0117</x:v>
      </x:c>
      <x:c r="B447" s="6" t="str">
        <x:v>Manufacturer Scope</x:v>
      </x:c>
      <x:c r="C447" s="6" t="str">
        <x:v>MFRX-0117</x:v>
      </x:c>
      <x:c r="D447" s="6" t="str">
        <x:v>SVC000117</x:v>
      </x:c>
      <x:c r="E447" s="6" t="str"/>
      <x:c r="F447" s="6" t="str">
        <x:v>Manufacturer-scope review</x:v>
      </x:c>
      <x:c r="G447" s="6" t="n">
        <x:v>3</x:v>
      </x:c>
      <x:c r="H447" s="6" t="str">
        <x:v>SIDX-0117</x:v>
      </x:c>
      <x:c r="I447" s="6" t="str">
        <x:f>IF(H447="","No upstream dependency",IF(ISNUMBER(SEARCH(";",H447)),"Multiple dependencies - verify source queues",IFERROR(XLOOKUP(H447,C2:C1586,J2:J1586),"Dependency not found")))</x:f>
        <x:v>Not Started</x:v>
      </x:c>
      <x:c r="J447" s="6" t="str">
        <x:v>Not Started</x:v>
      </x:c>
      <x:c r="K447" s="6" t="str">
        <x:v>Normal</x:v>
      </x:c>
      <x:c r="L447" s="6" t="str"/>
      <x:c r="M447" s="6" t="str"/>
      <x:c r="N447" s="6" t="str"/>
      <x:c r="O447" s="7" t="str"/>
      <x:c r="P447" s="6" t="str">
        <x:v>Yes</x:v>
      </x:c>
      <x:c r="Q447" s="7" t="str">
        <x:v>Requires service identity completion.</x:v>
      </x:c>
    </x:row>
    <x:row r="448">
      <x:c r="A448" s="6" t="str">
        <x:v>SEQ-MFR-0118</x:v>
      </x:c>
      <x:c r="B448" s="6" t="str">
        <x:v>Manufacturer Scope</x:v>
      </x:c>
      <x:c r="C448" s="6" t="str">
        <x:v>MFRX-0118</x:v>
      </x:c>
      <x:c r="D448" s="6" t="str">
        <x:v>SVC000118</x:v>
      </x:c>
      <x:c r="E448" s="6" t="str"/>
      <x:c r="F448" s="6" t="str">
        <x:v>Manufacturer-scope review</x:v>
      </x:c>
      <x:c r="G448" s="6" t="n">
        <x:v>3</x:v>
      </x:c>
      <x:c r="H448" s="6" t="str">
        <x:v>SIDX-0118</x:v>
      </x:c>
      <x:c r="I448" s="6" t="str">
        <x:f>IF(H448="","No upstream dependency",IF(ISNUMBER(SEARCH(";",H448)),"Multiple dependencies - verify source queues",IFERROR(XLOOKUP(H448,C2:C1586,J2:J1586),"Dependency not found")))</x:f>
        <x:v>Not Started</x:v>
      </x:c>
      <x:c r="J448" s="6" t="str">
        <x:v>Not Started</x:v>
      </x:c>
      <x:c r="K448" s="6" t="str">
        <x:v>Normal</x:v>
      </x:c>
      <x:c r="L448" s="6" t="str"/>
      <x:c r="M448" s="6" t="str"/>
      <x:c r="N448" s="6" t="str"/>
      <x:c r="O448" s="7" t="str"/>
      <x:c r="P448" s="6" t="str">
        <x:v>Yes</x:v>
      </x:c>
      <x:c r="Q448" s="7" t="str">
        <x:v>Requires service identity completion.</x:v>
      </x:c>
    </x:row>
    <x:row r="449">
      <x:c r="A449" s="6" t="str">
        <x:v>SEQ-MFR-0119</x:v>
      </x:c>
      <x:c r="B449" s="6" t="str">
        <x:v>Manufacturer Scope</x:v>
      </x:c>
      <x:c r="C449" s="6" t="str">
        <x:v>MFRX-0119</x:v>
      </x:c>
      <x:c r="D449" s="6" t="str">
        <x:v>SVC000119</x:v>
      </x:c>
      <x:c r="E449" s="6" t="str"/>
      <x:c r="F449" s="6" t="str">
        <x:v>Manufacturer-scope review</x:v>
      </x:c>
      <x:c r="G449" s="6" t="n">
        <x:v>3</x:v>
      </x:c>
      <x:c r="H449" s="6" t="str">
        <x:v>SIDX-0119</x:v>
      </x:c>
      <x:c r="I449" s="6" t="str">
        <x:f>IF(H449="","No upstream dependency",IF(ISNUMBER(SEARCH(";",H449)),"Multiple dependencies - verify source queues",IFERROR(XLOOKUP(H449,C2:C1586,J2:J1586),"Dependency not found")))</x:f>
        <x:v>Not Started</x:v>
      </x:c>
      <x:c r="J449" s="6" t="str">
        <x:v>Not Started</x:v>
      </x:c>
      <x:c r="K449" s="6" t="str">
        <x:v>Normal</x:v>
      </x:c>
      <x:c r="L449" s="6" t="str"/>
      <x:c r="M449" s="6" t="str"/>
      <x:c r="N449" s="6" t="str"/>
      <x:c r="O449" s="7" t="str"/>
      <x:c r="P449" s="6" t="str">
        <x:v>Yes</x:v>
      </x:c>
      <x:c r="Q449" s="7" t="str">
        <x:v>Requires service identity completion.</x:v>
      </x:c>
    </x:row>
    <x:row r="450">
      <x:c r="A450" s="6" t="str">
        <x:v>SEQ-MFR-0120</x:v>
      </x:c>
      <x:c r="B450" s="6" t="str">
        <x:v>Manufacturer Scope</x:v>
      </x:c>
      <x:c r="C450" s="6" t="str">
        <x:v>MFRX-0120</x:v>
      </x:c>
      <x:c r="D450" s="6" t="str">
        <x:v>SVC000120</x:v>
      </x:c>
      <x:c r="E450" s="6" t="str"/>
      <x:c r="F450" s="6" t="str">
        <x:v>Manufacturer-scope review</x:v>
      </x:c>
      <x:c r="G450" s="6" t="n">
        <x:v>3</x:v>
      </x:c>
      <x:c r="H450" s="6" t="str">
        <x:v>SIDX-0120</x:v>
      </x:c>
      <x:c r="I450" s="6" t="str">
        <x:f>IF(H450="","No upstream dependency",IF(ISNUMBER(SEARCH(";",H450)),"Multiple dependencies - verify source queues",IFERROR(XLOOKUP(H450,C2:C1586,J2:J1586),"Dependency not found")))</x:f>
        <x:v>Not Started</x:v>
      </x:c>
      <x:c r="J450" s="6" t="str">
        <x:v>Not Started</x:v>
      </x:c>
      <x:c r="K450" s="6" t="str">
        <x:v>Normal</x:v>
      </x:c>
      <x:c r="L450" s="6" t="str"/>
      <x:c r="M450" s="6" t="str"/>
      <x:c r="N450" s="6" t="str"/>
      <x:c r="O450" s="7" t="str"/>
      <x:c r="P450" s="6" t="str">
        <x:v>Yes</x:v>
      </x:c>
      <x:c r="Q450" s="7" t="str">
        <x:v>Requires service identity completion.</x:v>
      </x:c>
    </x:row>
    <x:row r="451">
      <x:c r="A451" s="6" t="str">
        <x:v>SEQ-MFR-0121</x:v>
      </x:c>
      <x:c r="B451" s="6" t="str">
        <x:v>Manufacturer Scope</x:v>
      </x:c>
      <x:c r="C451" s="6" t="str">
        <x:v>MFRX-0121</x:v>
      </x:c>
      <x:c r="D451" s="6" t="str">
        <x:v>SVC000121</x:v>
      </x:c>
      <x:c r="E451" s="6" t="str"/>
      <x:c r="F451" s="6" t="str">
        <x:v>Manufacturer-scope review</x:v>
      </x:c>
      <x:c r="G451" s="6" t="n">
        <x:v>3</x:v>
      </x:c>
      <x:c r="H451" s="6" t="str">
        <x:v>SIDX-0121</x:v>
      </x:c>
      <x:c r="I451" s="6" t="str">
        <x:f>IF(H451="","No upstream dependency",IF(ISNUMBER(SEARCH(";",H451)),"Multiple dependencies - verify source queues",IFERROR(XLOOKUP(H451,C2:C1586,J2:J1586),"Dependency not found")))</x:f>
        <x:v>Not Started</x:v>
      </x:c>
      <x:c r="J451" s="6" t="str">
        <x:v>Not Started</x:v>
      </x:c>
      <x:c r="K451" s="6" t="str">
        <x:v>Normal</x:v>
      </x:c>
      <x:c r="L451" s="6" t="str"/>
      <x:c r="M451" s="6" t="str"/>
      <x:c r="N451" s="6" t="str"/>
      <x:c r="O451" s="7" t="str"/>
      <x:c r="P451" s="6" t="str">
        <x:v>Yes</x:v>
      </x:c>
      <x:c r="Q451" s="7" t="str">
        <x:v>Requires service identity completion.</x:v>
      </x:c>
    </x:row>
    <x:row r="452">
      <x:c r="A452" s="6" t="str">
        <x:v>SEQ-MFR-0122</x:v>
      </x:c>
      <x:c r="B452" s="6" t="str">
        <x:v>Manufacturer Scope</x:v>
      </x:c>
      <x:c r="C452" s="6" t="str">
        <x:v>MFRX-0122</x:v>
      </x:c>
      <x:c r="D452" s="6" t="str">
        <x:v>SVC000122</x:v>
      </x:c>
      <x:c r="E452" s="6" t="str"/>
      <x:c r="F452" s="6" t="str">
        <x:v>Manufacturer-scope review</x:v>
      </x:c>
      <x:c r="G452" s="6" t="n">
        <x:v>3</x:v>
      </x:c>
      <x:c r="H452" s="6" t="str">
        <x:v>SIDX-0122</x:v>
      </x:c>
      <x:c r="I452" s="6" t="str">
        <x:f>IF(H452="","No upstream dependency",IF(ISNUMBER(SEARCH(";",H452)),"Multiple dependencies - verify source queues",IFERROR(XLOOKUP(H452,C2:C1586,J2:J1586),"Dependency not found")))</x:f>
        <x:v>Not Started</x:v>
      </x:c>
      <x:c r="J452" s="6" t="str">
        <x:v>Not Started</x:v>
      </x:c>
      <x:c r="K452" s="6" t="str">
        <x:v>Normal</x:v>
      </x:c>
      <x:c r="L452" s="6" t="str"/>
      <x:c r="M452" s="6" t="str"/>
      <x:c r="N452" s="6" t="str"/>
      <x:c r="O452" s="7" t="str"/>
      <x:c r="P452" s="6" t="str">
        <x:v>Yes</x:v>
      </x:c>
      <x:c r="Q452" s="7" t="str">
        <x:v>Requires service identity completion.</x:v>
      </x:c>
    </x:row>
    <x:row r="453">
      <x:c r="A453" s="6" t="str">
        <x:v>SEQ-MFR-0123</x:v>
      </x:c>
      <x:c r="B453" s="6" t="str">
        <x:v>Manufacturer Scope</x:v>
      </x:c>
      <x:c r="C453" s="6" t="str">
        <x:v>MFRX-0123</x:v>
      </x:c>
      <x:c r="D453" s="6" t="str">
        <x:v>SVC000123</x:v>
      </x:c>
      <x:c r="E453" s="6" t="str"/>
      <x:c r="F453" s="6" t="str">
        <x:v>Manufacturer-scope review</x:v>
      </x:c>
      <x:c r="G453" s="6" t="n">
        <x:v>3</x:v>
      </x:c>
      <x:c r="H453" s="6" t="str">
        <x:v>SIDX-0123</x:v>
      </x:c>
      <x:c r="I453" s="6" t="str">
        <x:f>IF(H453="","No upstream dependency",IF(ISNUMBER(SEARCH(";",H453)),"Multiple dependencies - verify source queues",IFERROR(XLOOKUP(H453,C2:C1586,J2:J1586),"Dependency not found")))</x:f>
        <x:v>Not Started</x:v>
      </x:c>
      <x:c r="J453" s="6" t="str">
        <x:v>Not Started</x:v>
      </x:c>
      <x:c r="K453" s="6" t="str">
        <x:v>Normal</x:v>
      </x:c>
      <x:c r="L453" s="6" t="str"/>
      <x:c r="M453" s="6" t="str"/>
      <x:c r="N453" s="6" t="str"/>
      <x:c r="O453" s="7" t="str"/>
      <x:c r="P453" s="6" t="str">
        <x:v>Yes</x:v>
      </x:c>
      <x:c r="Q453" s="7" t="str">
        <x:v>Requires service identity completion.</x:v>
      </x:c>
    </x:row>
    <x:row r="454">
      <x:c r="A454" s="6" t="str">
        <x:v>SEQ-MFR-0124</x:v>
      </x:c>
      <x:c r="B454" s="6" t="str">
        <x:v>Manufacturer Scope</x:v>
      </x:c>
      <x:c r="C454" s="6" t="str">
        <x:v>MFRX-0124</x:v>
      </x:c>
      <x:c r="D454" s="6" t="str">
        <x:v>SVC000124</x:v>
      </x:c>
      <x:c r="E454" s="6" t="str"/>
      <x:c r="F454" s="6" t="str">
        <x:v>Manufacturer-scope review</x:v>
      </x:c>
      <x:c r="G454" s="6" t="n">
        <x:v>3</x:v>
      </x:c>
      <x:c r="H454" s="6" t="str">
        <x:v>SIDX-0124</x:v>
      </x:c>
      <x:c r="I454" s="6" t="str">
        <x:f>IF(H454="","No upstream dependency",IF(ISNUMBER(SEARCH(";",H454)),"Multiple dependencies - verify source queues",IFERROR(XLOOKUP(H454,C2:C1586,J2:J1586),"Dependency not found")))</x:f>
        <x:v>Not Started</x:v>
      </x:c>
      <x:c r="J454" s="6" t="str">
        <x:v>Not Started</x:v>
      </x:c>
      <x:c r="K454" s="6" t="str">
        <x:v>Normal</x:v>
      </x:c>
      <x:c r="L454" s="6" t="str"/>
      <x:c r="M454" s="6" t="str"/>
      <x:c r="N454" s="6" t="str"/>
      <x:c r="O454" s="7" t="str"/>
      <x:c r="P454" s="6" t="str">
        <x:v>Yes</x:v>
      </x:c>
      <x:c r="Q454" s="7" t="str">
        <x:v>Requires service identity completion.</x:v>
      </x:c>
    </x:row>
    <x:row r="455">
      <x:c r="A455" s="6" t="str">
        <x:v>SEQ-MFR-0125</x:v>
      </x:c>
      <x:c r="B455" s="6" t="str">
        <x:v>Manufacturer Scope</x:v>
      </x:c>
      <x:c r="C455" s="6" t="str">
        <x:v>MFRX-0125</x:v>
      </x:c>
      <x:c r="D455" s="6" t="str">
        <x:v>SVC000125</x:v>
      </x:c>
      <x:c r="E455" s="6" t="str"/>
      <x:c r="F455" s="6" t="str">
        <x:v>Manufacturer-scope review</x:v>
      </x:c>
      <x:c r="G455" s="6" t="n">
        <x:v>3</x:v>
      </x:c>
      <x:c r="H455" s="6" t="str">
        <x:v>SIDX-0125</x:v>
      </x:c>
      <x:c r="I455" s="6" t="str">
        <x:f>IF(H455="","No upstream dependency",IF(ISNUMBER(SEARCH(";",H455)),"Multiple dependencies - verify source queues",IFERROR(XLOOKUP(H455,C2:C1586,J2:J1586),"Dependency not found")))</x:f>
        <x:v>Not Started</x:v>
      </x:c>
      <x:c r="J455" s="6" t="str">
        <x:v>Not Started</x:v>
      </x:c>
      <x:c r="K455" s="6" t="str">
        <x:v>Normal</x:v>
      </x:c>
      <x:c r="L455" s="6" t="str"/>
      <x:c r="M455" s="6" t="str"/>
      <x:c r="N455" s="6" t="str"/>
      <x:c r="O455" s="7" t="str"/>
      <x:c r="P455" s="6" t="str">
        <x:v>Yes</x:v>
      </x:c>
      <x:c r="Q455" s="7" t="str">
        <x:v>Requires service identity completion.</x:v>
      </x:c>
    </x:row>
    <x:row r="456">
      <x:c r="A456" s="6" t="str">
        <x:v>SEQ-MFR-0126</x:v>
      </x:c>
      <x:c r="B456" s="6" t="str">
        <x:v>Manufacturer Scope</x:v>
      </x:c>
      <x:c r="C456" s="6" t="str">
        <x:v>MFRX-0126</x:v>
      </x:c>
      <x:c r="D456" s="6" t="str">
        <x:v>SVC000126</x:v>
      </x:c>
      <x:c r="E456" s="6" t="str"/>
      <x:c r="F456" s="6" t="str">
        <x:v>Manufacturer-scope review</x:v>
      </x:c>
      <x:c r="G456" s="6" t="n">
        <x:v>3</x:v>
      </x:c>
      <x:c r="H456" s="6" t="str">
        <x:v>SIDX-0126</x:v>
      </x:c>
      <x:c r="I456" s="6" t="str">
        <x:f>IF(H456="","No upstream dependency",IF(ISNUMBER(SEARCH(";",H456)),"Multiple dependencies - verify source queues",IFERROR(XLOOKUP(H456,C2:C1586,J2:J1586),"Dependency not found")))</x:f>
        <x:v>Not Started</x:v>
      </x:c>
      <x:c r="J456" s="6" t="str">
        <x:v>Not Started</x:v>
      </x:c>
      <x:c r="K456" s="6" t="str">
        <x:v>Normal</x:v>
      </x:c>
      <x:c r="L456" s="6" t="str"/>
      <x:c r="M456" s="6" t="str"/>
      <x:c r="N456" s="6" t="str"/>
      <x:c r="O456" s="7" t="str"/>
      <x:c r="P456" s="6" t="str">
        <x:v>Yes</x:v>
      </x:c>
      <x:c r="Q456" s="7" t="str">
        <x:v>Requires service identity completion.</x:v>
      </x:c>
    </x:row>
    <x:row r="457">
      <x:c r="A457" s="6" t="str">
        <x:v>SEQ-MFR-0127</x:v>
      </x:c>
      <x:c r="B457" s="6" t="str">
        <x:v>Manufacturer Scope</x:v>
      </x:c>
      <x:c r="C457" s="6" t="str">
        <x:v>MFRX-0127</x:v>
      </x:c>
      <x:c r="D457" s="6" t="str">
        <x:v>SVC000127</x:v>
      </x:c>
      <x:c r="E457" s="6" t="str"/>
      <x:c r="F457" s="6" t="str">
        <x:v>Manufacturer-scope review</x:v>
      </x:c>
      <x:c r="G457" s="6" t="n">
        <x:v>3</x:v>
      </x:c>
      <x:c r="H457" s="6" t="str">
        <x:v>SIDX-0127</x:v>
      </x:c>
      <x:c r="I457" s="6" t="str">
        <x:f>IF(H457="","No upstream dependency",IF(ISNUMBER(SEARCH(";",H457)),"Multiple dependencies - verify source queues",IFERROR(XLOOKUP(H457,C2:C1586,J2:J1586),"Dependency not found")))</x:f>
        <x:v>Not Started</x:v>
      </x:c>
      <x:c r="J457" s="6" t="str">
        <x:v>Not Started</x:v>
      </x:c>
      <x:c r="K457" s="6" t="str">
        <x:v>Normal</x:v>
      </x:c>
      <x:c r="L457" s="6" t="str"/>
      <x:c r="M457" s="6" t="str"/>
      <x:c r="N457" s="6" t="str"/>
      <x:c r="O457" s="7" t="str"/>
      <x:c r="P457" s="6" t="str">
        <x:v>Yes</x:v>
      </x:c>
      <x:c r="Q457" s="7" t="str">
        <x:v>Requires service identity completion.</x:v>
      </x:c>
    </x:row>
    <x:row r="458">
      <x:c r="A458" s="6" t="str">
        <x:v>SEQ-MFR-0128</x:v>
      </x:c>
      <x:c r="B458" s="6" t="str">
        <x:v>Manufacturer Scope</x:v>
      </x:c>
      <x:c r="C458" s="6" t="str">
        <x:v>MFRX-0128</x:v>
      </x:c>
      <x:c r="D458" s="6" t="str">
        <x:v>SVC000128</x:v>
      </x:c>
      <x:c r="E458" s="6" t="str"/>
      <x:c r="F458" s="6" t="str">
        <x:v>Manufacturer-scope review</x:v>
      </x:c>
      <x:c r="G458" s="6" t="n">
        <x:v>3</x:v>
      </x:c>
      <x:c r="H458" s="6" t="str">
        <x:v>SIDX-0128</x:v>
      </x:c>
      <x:c r="I458" s="6" t="str">
        <x:f>IF(H458="","No upstream dependency",IF(ISNUMBER(SEARCH(";",H458)),"Multiple dependencies - verify source queues",IFERROR(XLOOKUP(H458,C2:C1586,J2:J1586),"Dependency not found")))</x:f>
        <x:v>Not Started</x:v>
      </x:c>
      <x:c r="J458" s="6" t="str">
        <x:v>Not Started</x:v>
      </x:c>
      <x:c r="K458" s="6" t="str">
        <x:v>Normal</x:v>
      </x:c>
      <x:c r="L458" s="6" t="str"/>
      <x:c r="M458" s="6" t="str"/>
      <x:c r="N458" s="6" t="str"/>
      <x:c r="O458" s="7" t="str"/>
      <x:c r="P458" s="6" t="str">
        <x:v>Yes</x:v>
      </x:c>
      <x:c r="Q458" s="7" t="str">
        <x:v>Requires service identity completion.</x:v>
      </x:c>
    </x:row>
    <x:row r="459">
      <x:c r="A459" s="6" t="str">
        <x:v>SEQ-MFR-0129</x:v>
      </x:c>
      <x:c r="B459" s="6" t="str">
        <x:v>Manufacturer Scope</x:v>
      </x:c>
      <x:c r="C459" s="6" t="str">
        <x:v>MFRX-0129</x:v>
      </x:c>
      <x:c r="D459" s="6" t="str">
        <x:v>SVC000129</x:v>
      </x:c>
      <x:c r="E459" s="6" t="str"/>
      <x:c r="F459" s="6" t="str">
        <x:v>Manufacturer-scope review</x:v>
      </x:c>
      <x:c r="G459" s="6" t="n">
        <x:v>3</x:v>
      </x:c>
      <x:c r="H459" s="6" t="str">
        <x:v>SIDX-0129</x:v>
      </x:c>
      <x:c r="I459" s="6" t="str">
        <x:f>IF(H459="","No upstream dependency",IF(ISNUMBER(SEARCH(";",H459)),"Multiple dependencies - verify source queues",IFERROR(XLOOKUP(H459,C2:C1586,J2:J1586),"Dependency not found")))</x:f>
        <x:v>Not Started</x:v>
      </x:c>
      <x:c r="J459" s="6" t="str">
        <x:v>Not Started</x:v>
      </x:c>
      <x:c r="K459" s="6" t="str">
        <x:v>Normal</x:v>
      </x:c>
      <x:c r="L459" s="6" t="str"/>
      <x:c r="M459" s="6" t="str"/>
      <x:c r="N459" s="6" t="str"/>
      <x:c r="O459" s="7" t="str"/>
      <x:c r="P459" s="6" t="str">
        <x:v>Yes</x:v>
      </x:c>
      <x:c r="Q459" s="7" t="str">
        <x:v>Requires service identity completion.</x:v>
      </x:c>
    </x:row>
    <x:row r="460">
      <x:c r="A460" s="6" t="str">
        <x:v>SEQ-MFR-0130</x:v>
      </x:c>
      <x:c r="B460" s="6" t="str">
        <x:v>Manufacturer Scope</x:v>
      </x:c>
      <x:c r="C460" s="6" t="str">
        <x:v>MFRX-0130</x:v>
      </x:c>
      <x:c r="D460" s="6" t="str">
        <x:v>SVC000130</x:v>
      </x:c>
      <x:c r="E460" s="6" t="str"/>
      <x:c r="F460" s="6" t="str">
        <x:v>Manufacturer-scope review</x:v>
      </x:c>
      <x:c r="G460" s="6" t="n">
        <x:v>3</x:v>
      </x:c>
      <x:c r="H460" s="6" t="str">
        <x:v>SIDX-0130</x:v>
      </x:c>
      <x:c r="I460" s="6" t="str">
        <x:f>IF(H460="","No upstream dependency",IF(ISNUMBER(SEARCH(";",H460)),"Multiple dependencies - verify source queues",IFERROR(XLOOKUP(H460,C2:C1586,J2:J1586),"Dependency not found")))</x:f>
        <x:v>Not Started</x:v>
      </x:c>
      <x:c r="J460" s="6" t="str">
        <x:v>Not Started</x:v>
      </x:c>
      <x:c r="K460" s="6" t="str">
        <x:v>Normal</x:v>
      </x:c>
      <x:c r="L460" s="6" t="str"/>
      <x:c r="M460" s="6" t="str"/>
      <x:c r="N460" s="6" t="str"/>
      <x:c r="O460" s="7" t="str"/>
      <x:c r="P460" s="6" t="str">
        <x:v>Yes</x:v>
      </x:c>
      <x:c r="Q460" s="7" t="str">
        <x:v>Requires service identity completion.</x:v>
      </x:c>
    </x:row>
    <x:row r="461">
      <x:c r="A461" s="6" t="str">
        <x:v>SEQ-MFR-0131</x:v>
      </x:c>
      <x:c r="B461" s="6" t="str">
        <x:v>Manufacturer Scope</x:v>
      </x:c>
      <x:c r="C461" s="6" t="str">
        <x:v>MFRX-0131</x:v>
      </x:c>
      <x:c r="D461" s="6" t="str">
        <x:v>SVC000131</x:v>
      </x:c>
      <x:c r="E461" s="6" t="str"/>
      <x:c r="F461" s="6" t="str">
        <x:v>Manufacturer-scope review</x:v>
      </x:c>
      <x:c r="G461" s="6" t="n">
        <x:v>3</x:v>
      </x:c>
      <x:c r="H461" s="6" t="str">
        <x:v>SIDX-0131</x:v>
      </x:c>
      <x:c r="I461" s="6" t="str">
        <x:f>IF(H461="","No upstream dependency",IF(ISNUMBER(SEARCH(";",H461)),"Multiple dependencies - verify source queues",IFERROR(XLOOKUP(H461,C2:C1586,J2:J1586),"Dependency not found")))</x:f>
        <x:v>Not Started</x:v>
      </x:c>
      <x:c r="J461" s="6" t="str">
        <x:v>Not Started</x:v>
      </x:c>
      <x:c r="K461" s="6" t="str">
        <x:v>Normal</x:v>
      </x:c>
      <x:c r="L461" s="6" t="str"/>
      <x:c r="M461" s="6" t="str"/>
      <x:c r="N461" s="6" t="str"/>
      <x:c r="O461" s="7" t="str"/>
      <x:c r="P461" s="6" t="str">
        <x:v>Yes</x:v>
      </x:c>
      <x:c r="Q461" s="7" t="str">
        <x:v>Requires service identity completion.</x:v>
      </x:c>
    </x:row>
    <x:row r="462">
      <x:c r="A462" s="6" t="str">
        <x:v>SEQ-MFR-0132</x:v>
      </x:c>
      <x:c r="B462" s="6" t="str">
        <x:v>Manufacturer Scope</x:v>
      </x:c>
      <x:c r="C462" s="6" t="str">
        <x:v>MFRX-0132</x:v>
      </x:c>
      <x:c r="D462" s="6" t="str">
        <x:v>SVC000132</x:v>
      </x:c>
      <x:c r="E462" s="6" t="str"/>
      <x:c r="F462" s="6" t="str">
        <x:v>Manufacturer-scope review</x:v>
      </x:c>
      <x:c r="G462" s="6" t="n">
        <x:v>3</x:v>
      </x:c>
      <x:c r="H462" s="6" t="str">
        <x:v>SIDX-0132</x:v>
      </x:c>
      <x:c r="I462" s="6" t="str">
        <x:f>IF(H462="","No upstream dependency",IF(ISNUMBER(SEARCH(";",H462)),"Multiple dependencies - verify source queues",IFERROR(XLOOKUP(H462,C2:C1586,J2:J1586),"Dependency not found")))</x:f>
        <x:v>Not Started</x:v>
      </x:c>
      <x:c r="J462" s="6" t="str">
        <x:v>Not Started</x:v>
      </x:c>
      <x:c r="K462" s="6" t="str">
        <x:v>Normal</x:v>
      </x:c>
      <x:c r="L462" s="6" t="str"/>
      <x:c r="M462" s="6" t="str"/>
      <x:c r="N462" s="6" t="str"/>
      <x:c r="O462" s="7" t="str"/>
      <x:c r="P462" s="6" t="str">
        <x:v>Yes</x:v>
      </x:c>
      <x:c r="Q462" s="7" t="str">
        <x:v>Requires service identity completion.</x:v>
      </x:c>
    </x:row>
    <x:row r="463">
      <x:c r="A463" s="6" t="str">
        <x:v>SEQ-MFR-0133</x:v>
      </x:c>
      <x:c r="B463" s="6" t="str">
        <x:v>Manufacturer Scope</x:v>
      </x:c>
      <x:c r="C463" s="6" t="str">
        <x:v>MFRX-0133</x:v>
      </x:c>
      <x:c r="D463" s="6" t="str">
        <x:v>SVC000133</x:v>
      </x:c>
      <x:c r="E463" s="6" t="str"/>
      <x:c r="F463" s="6" t="str">
        <x:v>Manufacturer-scope review</x:v>
      </x:c>
      <x:c r="G463" s="6" t="n">
        <x:v>3</x:v>
      </x:c>
      <x:c r="H463" s="6" t="str">
        <x:v>SIDX-0133</x:v>
      </x:c>
      <x:c r="I463" s="6" t="str">
        <x:f>IF(H463="","No upstream dependency",IF(ISNUMBER(SEARCH(";",H463)),"Multiple dependencies - verify source queues",IFERROR(XLOOKUP(H463,C2:C1586,J2:J1586),"Dependency not found")))</x:f>
        <x:v>Not Started</x:v>
      </x:c>
      <x:c r="J463" s="6" t="str">
        <x:v>Not Started</x:v>
      </x:c>
      <x:c r="K463" s="6" t="str">
        <x:v>Normal</x:v>
      </x:c>
      <x:c r="L463" s="6" t="str"/>
      <x:c r="M463" s="6" t="str"/>
      <x:c r="N463" s="6" t="str"/>
      <x:c r="O463" s="7" t="str"/>
      <x:c r="P463" s="6" t="str">
        <x:v>Yes</x:v>
      </x:c>
      <x:c r="Q463" s="7" t="str">
        <x:v>Requires service identity completion.</x:v>
      </x:c>
    </x:row>
    <x:row r="464">
      <x:c r="A464" s="6" t="str">
        <x:v>SEQ-MFR-0134</x:v>
      </x:c>
      <x:c r="B464" s="6" t="str">
        <x:v>Manufacturer Scope</x:v>
      </x:c>
      <x:c r="C464" s="6" t="str">
        <x:v>MFRX-0134</x:v>
      </x:c>
      <x:c r="D464" s="6" t="str">
        <x:v>SVC000134</x:v>
      </x:c>
      <x:c r="E464" s="6" t="str"/>
      <x:c r="F464" s="6" t="str">
        <x:v>Manufacturer-scope review</x:v>
      </x:c>
      <x:c r="G464" s="6" t="n">
        <x:v>3</x:v>
      </x:c>
      <x:c r="H464" s="6" t="str">
        <x:v>SIDX-0134</x:v>
      </x:c>
      <x:c r="I464" s="6" t="str">
        <x:f>IF(H464="","No upstream dependency",IF(ISNUMBER(SEARCH(";",H464)),"Multiple dependencies - verify source queues",IFERROR(XLOOKUP(H464,C2:C1586,J2:J1586),"Dependency not found")))</x:f>
        <x:v>Not Started</x:v>
      </x:c>
      <x:c r="J464" s="6" t="str">
        <x:v>Not Started</x:v>
      </x:c>
      <x:c r="K464" s="6" t="str">
        <x:v>Normal</x:v>
      </x:c>
      <x:c r="L464" s="6" t="str"/>
      <x:c r="M464" s="6" t="str"/>
      <x:c r="N464" s="6" t="str"/>
      <x:c r="O464" s="7" t="str"/>
      <x:c r="P464" s="6" t="str">
        <x:v>Yes</x:v>
      </x:c>
      <x:c r="Q464" s="7" t="str">
        <x:v>Requires service identity completion.</x:v>
      </x:c>
    </x:row>
    <x:row r="465">
      <x:c r="A465" s="6" t="str">
        <x:v>SEQ-MFR-0135</x:v>
      </x:c>
      <x:c r="B465" s="6" t="str">
        <x:v>Manufacturer Scope</x:v>
      </x:c>
      <x:c r="C465" s="6" t="str">
        <x:v>MFRX-0135</x:v>
      </x:c>
      <x:c r="D465" s="6" t="str">
        <x:v>SVC000135</x:v>
      </x:c>
      <x:c r="E465" s="6" t="str"/>
      <x:c r="F465" s="6" t="str">
        <x:v>Manufacturer-scope review</x:v>
      </x:c>
      <x:c r="G465" s="6" t="n">
        <x:v>3</x:v>
      </x:c>
      <x:c r="H465" s="6" t="str">
        <x:v>SIDX-0135</x:v>
      </x:c>
      <x:c r="I465" s="6" t="str">
        <x:f>IF(H465="","No upstream dependency",IF(ISNUMBER(SEARCH(";",H465)),"Multiple dependencies - verify source queues",IFERROR(XLOOKUP(H465,C2:C1586,J2:J1586),"Dependency not found")))</x:f>
        <x:v>Not Started</x:v>
      </x:c>
      <x:c r="J465" s="6" t="str">
        <x:v>Not Started</x:v>
      </x:c>
      <x:c r="K465" s="6" t="str">
        <x:v>Normal</x:v>
      </x:c>
      <x:c r="L465" s="6" t="str"/>
      <x:c r="M465" s="6" t="str"/>
      <x:c r="N465" s="6" t="str"/>
      <x:c r="O465" s="7" t="str"/>
      <x:c r="P465" s="6" t="str">
        <x:v>Yes</x:v>
      </x:c>
      <x:c r="Q465" s="7" t="str">
        <x:v>Requires service identity completion.</x:v>
      </x:c>
    </x:row>
    <x:row r="466">
      <x:c r="A466" s="6" t="str">
        <x:v>SEQ-MFR-0136</x:v>
      </x:c>
      <x:c r="B466" s="6" t="str">
        <x:v>Manufacturer Scope</x:v>
      </x:c>
      <x:c r="C466" s="6" t="str">
        <x:v>MFRX-0136</x:v>
      </x:c>
      <x:c r="D466" s="6" t="str">
        <x:v>SVC000136</x:v>
      </x:c>
      <x:c r="E466" s="6" t="str"/>
      <x:c r="F466" s="6" t="str">
        <x:v>Manufacturer-scope review</x:v>
      </x:c>
      <x:c r="G466" s="6" t="n">
        <x:v>3</x:v>
      </x:c>
      <x:c r="H466" s="6" t="str">
        <x:v>SIDX-0136</x:v>
      </x:c>
      <x:c r="I466" s="6" t="str">
        <x:f>IF(H466="","No upstream dependency",IF(ISNUMBER(SEARCH(";",H466)),"Multiple dependencies - verify source queues",IFERROR(XLOOKUP(H466,C2:C1586,J2:J1586),"Dependency not found")))</x:f>
        <x:v>Not Started</x:v>
      </x:c>
      <x:c r="J466" s="6" t="str">
        <x:v>Not Started</x:v>
      </x:c>
      <x:c r="K466" s="6" t="str">
        <x:v>Normal</x:v>
      </x:c>
      <x:c r="L466" s="6" t="str"/>
      <x:c r="M466" s="6" t="str"/>
      <x:c r="N466" s="6" t="str"/>
      <x:c r="O466" s="7" t="str"/>
      <x:c r="P466" s="6" t="str">
        <x:v>Yes</x:v>
      </x:c>
      <x:c r="Q466" s="7" t="str">
        <x:v>Requires service identity completion.</x:v>
      </x:c>
    </x:row>
    <x:row r="467">
      <x:c r="A467" s="6" t="str">
        <x:v>SEQ-MFR-0137</x:v>
      </x:c>
      <x:c r="B467" s="6" t="str">
        <x:v>Manufacturer Scope</x:v>
      </x:c>
      <x:c r="C467" s="6" t="str">
        <x:v>MFRX-0137</x:v>
      </x:c>
      <x:c r="D467" s="6" t="str">
        <x:v>SVC000137</x:v>
      </x:c>
      <x:c r="E467" s="6" t="str"/>
      <x:c r="F467" s="6" t="str">
        <x:v>Manufacturer-scope review</x:v>
      </x:c>
      <x:c r="G467" s="6" t="n">
        <x:v>3</x:v>
      </x:c>
      <x:c r="H467" s="6" t="str">
        <x:v>SIDX-0137</x:v>
      </x:c>
      <x:c r="I467" s="6" t="str">
        <x:f>IF(H467="","No upstream dependency",IF(ISNUMBER(SEARCH(";",H467)),"Multiple dependencies - verify source queues",IFERROR(XLOOKUP(H467,C2:C1586,J2:J1586),"Dependency not found")))</x:f>
        <x:v>Not Started</x:v>
      </x:c>
      <x:c r="J467" s="6" t="str">
        <x:v>Not Started</x:v>
      </x:c>
      <x:c r="K467" s="6" t="str">
        <x:v>Normal</x:v>
      </x:c>
      <x:c r="L467" s="6" t="str"/>
      <x:c r="M467" s="6" t="str"/>
      <x:c r="N467" s="6" t="str"/>
      <x:c r="O467" s="7" t="str"/>
      <x:c r="P467" s="6" t="str">
        <x:v>Yes</x:v>
      </x:c>
      <x:c r="Q467" s="7" t="str">
        <x:v>Requires service identity completion.</x:v>
      </x:c>
    </x:row>
    <x:row r="468">
      <x:c r="A468" s="6" t="str">
        <x:v>SEQ-MFR-0138</x:v>
      </x:c>
      <x:c r="B468" s="6" t="str">
        <x:v>Manufacturer Scope</x:v>
      </x:c>
      <x:c r="C468" s="6" t="str">
        <x:v>MFRX-0138</x:v>
      </x:c>
      <x:c r="D468" s="6" t="str">
        <x:v>SVC000138</x:v>
      </x:c>
      <x:c r="E468" s="6" t="str"/>
      <x:c r="F468" s="6" t="str">
        <x:v>Manufacturer-scope review</x:v>
      </x:c>
      <x:c r="G468" s="6" t="n">
        <x:v>3</x:v>
      </x:c>
      <x:c r="H468" s="6" t="str">
        <x:v>SIDX-0138</x:v>
      </x:c>
      <x:c r="I468" s="6" t="str">
        <x:f>IF(H468="","No upstream dependency",IF(ISNUMBER(SEARCH(";",H468)),"Multiple dependencies - verify source queues",IFERROR(XLOOKUP(H468,C2:C1586,J2:J1586),"Dependency not found")))</x:f>
        <x:v>Not Started</x:v>
      </x:c>
      <x:c r="J468" s="6" t="str">
        <x:v>Not Started</x:v>
      </x:c>
      <x:c r="K468" s="6" t="str">
        <x:v>Normal</x:v>
      </x:c>
      <x:c r="L468" s="6" t="str"/>
      <x:c r="M468" s="6" t="str"/>
      <x:c r="N468" s="6" t="str"/>
      <x:c r="O468" s="7" t="str"/>
      <x:c r="P468" s="6" t="str">
        <x:v>Yes</x:v>
      </x:c>
      <x:c r="Q468" s="7" t="str">
        <x:v>Requires service identity completion.</x:v>
      </x:c>
    </x:row>
    <x:row r="469">
      <x:c r="A469" s="6" t="str">
        <x:v>SEQ-MFR-0139</x:v>
      </x:c>
      <x:c r="B469" s="6" t="str">
        <x:v>Manufacturer Scope</x:v>
      </x:c>
      <x:c r="C469" s="6" t="str">
        <x:v>MFRX-0139</x:v>
      </x:c>
      <x:c r="D469" s="6" t="str">
        <x:v>SVC000139</x:v>
      </x:c>
      <x:c r="E469" s="6" t="str"/>
      <x:c r="F469" s="6" t="str">
        <x:v>Manufacturer-scope review</x:v>
      </x:c>
      <x:c r="G469" s="6" t="n">
        <x:v>3</x:v>
      </x:c>
      <x:c r="H469" s="6" t="str">
        <x:v>SIDX-0139</x:v>
      </x:c>
      <x:c r="I469" s="6" t="str">
        <x:f>IF(H469="","No upstream dependency",IF(ISNUMBER(SEARCH(";",H469)),"Multiple dependencies - verify source queues",IFERROR(XLOOKUP(H469,C2:C1586,J2:J1586),"Dependency not found")))</x:f>
        <x:v>Not Started</x:v>
      </x:c>
      <x:c r="J469" s="6" t="str">
        <x:v>Not Started</x:v>
      </x:c>
      <x:c r="K469" s="6" t="str">
        <x:v>Normal</x:v>
      </x:c>
      <x:c r="L469" s="6" t="str"/>
      <x:c r="M469" s="6" t="str"/>
      <x:c r="N469" s="6" t="str"/>
      <x:c r="O469" s="7" t="str"/>
      <x:c r="P469" s="6" t="str">
        <x:v>Yes</x:v>
      </x:c>
      <x:c r="Q469" s="7" t="str">
        <x:v>Requires service identity completion.</x:v>
      </x:c>
    </x:row>
    <x:row r="470">
      <x:c r="A470" s="6" t="str">
        <x:v>SEQ-MFR-0140</x:v>
      </x:c>
      <x:c r="B470" s="6" t="str">
        <x:v>Manufacturer Scope</x:v>
      </x:c>
      <x:c r="C470" s="6" t="str">
        <x:v>MFRX-0140</x:v>
      </x:c>
      <x:c r="D470" s="6" t="str">
        <x:v>SVC000140</x:v>
      </x:c>
      <x:c r="E470" s="6" t="str"/>
      <x:c r="F470" s="6" t="str">
        <x:v>Manufacturer-scope review</x:v>
      </x:c>
      <x:c r="G470" s="6" t="n">
        <x:v>3</x:v>
      </x:c>
      <x:c r="H470" s="6" t="str">
        <x:v>SIDX-0140</x:v>
      </x:c>
      <x:c r="I470" s="6" t="str">
        <x:f>IF(H470="","No upstream dependency",IF(ISNUMBER(SEARCH(";",H470)),"Multiple dependencies - verify source queues",IFERROR(XLOOKUP(H470,C2:C1586,J2:J1586),"Dependency not found")))</x:f>
        <x:v>Not Started</x:v>
      </x:c>
      <x:c r="J470" s="6" t="str">
        <x:v>Not Started</x:v>
      </x:c>
      <x:c r="K470" s="6" t="str">
        <x:v>Normal</x:v>
      </x:c>
      <x:c r="L470" s="6" t="str"/>
      <x:c r="M470" s="6" t="str"/>
      <x:c r="N470" s="6" t="str"/>
      <x:c r="O470" s="7" t="str"/>
      <x:c r="P470" s="6" t="str">
        <x:v>Yes</x:v>
      </x:c>
      <x:c r="Q470" s="7" t="str">
        <x:v>Requires service identity completion.</x:v>
      </x:c>
    </x:row>
    <x:row r="471">
      <x:c r="A471" s="6" t="str">
        <x:v>SEQ-MFR-0141</x:v>
      </x:c>
      <x:c r="B471" s="6" t="str">
        <x:v>Manufacturer Scope</x:v>
      </x:c>
      <x:c r="C471" s="6" t="str">
        <x:v>MFRX-0141</x:v>
      </x:c>
      <x:c r="D471" s="6" t="str">
        <x:v>SVC000141</x:v>
      </x:c>
      <x:c r="E471" s="6" t="str"/>
      <x:c r="F471" s="6" t="str">
        <x:v>Manufacturer-scope review</x:v>
      </x:c>
      <x:c r="G471" s="6" t="n">
        <x:v>3</x:v>
      </x:c>
      <x:c r="H471" s="6" t="str">
        <x:v>SIDX-0141</x:v>
      </x:c>
      <x:c r="I471" s="6" t="str">
        <x:f>IF(H471="","No upstream dependency",IF(ISNUMBER(SEARCH(";",H471)),"Multiple dependencies - verify source queues",IFERROR(XLOOKUP(H471,C2:C1586,J2:J1586),"Dependency not found")))</x:f>
        <x:v>Not Started</x:v>
      </x:c>
      <x:c r="J471" s="6" t="str">
        <x:v>Not Started</x:v>
      </x:c>
      <x:c r="K471" s="6" t="str">
        <x:v>Normal</x:v>
      </x:c>
      <x:c r="L471" s="6" t="str"/>
      <x:c r="M471" s="6" t="str"/>
      <x:c r="N471" s="6" t="str"/>
      <x:c r="O471" s="7" t="str"/>
      <x:c r="P471" s="6" t="str">
        <x:v>Yes</x:v>
      </x:c>
      <x:c r="Q471" s="7" t="str">
        <x:v>Requires service identity completion.</x:v>
      </x:c>
    </x:row>
    <x:row r="472">
      <x:c r="A472" s="6" t="str">
        <x:v>SEQ-MFR-0142</x:v>
      </x:c>
      <x:c r="B472" s="6" t="str">
        <x:v>Manufacturer Scope</x:v>
      </x:c>
      <x:c r="C472" s="6" t="str">
        <x:v>MFRX-0142</x:v>
      </x:c>
      <x:c r="D472" s="6" t="str">
        <x:v>SVC000142</x:v>
      </x:c>
      <x:c r="E472" s="6" t="str"/>
      <x:c r="F472" s="6" t="str">
        <x:v>Manufacturer-scope review</x:v>
      </x:c>
      <x:c r="G472" s="6" t="n">
        <x:v>3</x:v>
      </x:c>
      <x:c r="H472" s="6" t="str">
        <x:v>SIDX-0142</x:v>
      </x:c>
      <x:c r="I472" s="6" t="str">
        <x:f>IF(H472="","No upstream dependency",IF(ISNUMBER(SEARCH(";",H472)),"Multiple dependencies - verify source queues",IFERROR(XLOOKUP(H472,C2:C1586,J2:J1586),"Dependency not found")))</x:f>
        <x:v>Not Started</x:v>
      </x:c>
      <x:c r="J472" s="6" t="str">
        <x:v>Not Started</x:v>
      </x:c>
      <x:c r="K472" s="6" t="str">
        <x:v>Normal</x:v>
      </x:c>
      <x:c r="L472" s="6" t="str"/>
      <x:c r="M472" s="6" t="str"/>
      <x:c r="N472" s="6" t="str"/>
      <x:c r="O472" s="7" t="str"/>
      <x:c r="P472" s="6" t="str">
        <x:v>Yes</x:v>
      </x:c>
      <x:c r="Q472" s="7" t="str">
        <x:v>Requires service identity completion.</x:v>
      </x:c>
    </x:row>
    <x:row r="473">
      <x:c r="A473" s="6" t="str">
        <x:v>SEQ-MFR-0143</x:v>
      </x:c>
      <x:c r="B473" s="6" t="str">
        <x:v>Manufacturer Scope</x:v>
      </x:c>
      <x:c r="C473" s="6" t="str">
        <x:v>MFRX-0143</x:v>
      </x:c>
      <x:c r="D473" s="6" t="str">
        <x:v>SVC000143</x:v>
      </x:c>
      <x:c r="E473" s="6" t="str"/>
      <x:c r="F473" s="6" t="str">
        <x:v>Manufacturer-scope review</x:v>
      </x:c>
      <x:c r="G473" s="6" t="n">
        <x:v>3</x:v>
      </x:c>
      <x:c r="H473" s="6" t="str">
        <x:v>SIDX-0143</x:v>
      </x:c>
      <x:c r="I473" s="6" t="str">
        <x:f>IF(H473="","No upstream dependency",IF(ISNUMBER(SEARCH(";",H473)),"Multiple dependencies - verify source queues",IFERROR(XLOOKUP(H473,C2:C1586,J2:J1586),"Dependency not found")))</x:f>
        <x:v>Not Started</x:v>
      </x:c>
      <x:c r="J473" s="6" t="str">
        <x:v>Not Started</x:v>
      </x:c>
      <x:c r="K473" s="6" t="str">
        <x:v>Normal</x:v>
      </x:c>
      <x:c r="L473" s="6" t="str"/>
      <x:c r="M473" s="6" t="str"/>
      <x:c r="N473" s="6" t="str"/>
      <x:c r="O473" s="7" t="str"/>
      <x:c r="P473" s="6" t="str">
        <x:v>Yes</x:v>
      </x:c>
      <x:c r="Q473" s="7" t="str">
        <x:v>Requires service identity completion.</x:v>
      </x:c>
    </x:row>
    <x:row r="474">
      <x:c r="A474" s="6" t="str">
        <x:v>SEQ-MFR-0144</x:v>
      </x:c>
      <x:c r="B474" s="6" t="str">
        <x:v>Manufacturer Scope</x:v>
      </x:c>
      <x:c r="C474" s="6" t="str">
        <x:v>MFRX-0144</x:v>
      </x:c>
      <x:c r="D474" s="6" t="str">
        <x:v>SVC000144</x:v>
      </x:c>
      <x:c r="E474" s="6" t="str"/>
      <x:c r="F474" s="6" t="str">
        <x:v>Manufacturer-scope review</x:v>
      </x:c>
      <x:c r="G474" s="6" t="n">
        <x:v>3</x:v>
      </x:c>
      <x:c r="H474" s="6" t="str">
        <x:v>SIDX-0144</x:v>
      </x:c>
      <x:c r="I474" s="6" t="str">
        <x:f>IF(H474="","No upstream dependency",IF(ISNUMBER(SEARCH(";",H474)),"Multiple dependencies - verify source queues",IFERROR(XLOOKUP(H474,C2:C1586,J2:J1586),"Dependency not found")))</x:f>
        <x:v>Not Started</x:v>
      </x:c>
      <x:c r="J474" s="6" t="str">
        <x:v>Not Started</x:v>
      </x:c>
      <x:c r="K474" s="6" t="str">
        <x:v>Normal</x:v>
      </x:c>
      <x:c r="L474" s="6" t="str"/>
      <x:c r="M474" s="6" t="str"/>
      <x:c r="N474" s="6" t="str"/>
      <x:c r="O474" s="7" t="str"/>
      <x:c r="P474" s="6" t="str">
        <x:v>Yes</x:v>
      </x:c>
      <x:c r="Q474" s="7" t="str">
        <x:v>Requires service identity completion.</x:v>
      </x:c>
    </x:row>
    <x:row r="475">
      <x:c r="A475" s="6" t="str">
        <x:v>SEQ-MFR-0145</x:v>
      </x:c>
      <x:c r="B475" s="6" t="str">
        <x:v>Manufacturer Scope</x:v>
      </x:c>
      <x:c r="C475" s="6" t="str">
        <x:v>MFRX-0145</x:v>
      </x:c>
      <x:c r="D475" s="6" t="str">
        <x:v>SVC000145</x:v>
      </x:c>
      <x:c r="E475" s="6" t="str"/>
      <x:c r="F475" s="6" t="str">
        <x:v>Manufacturer-scope review</x:v>
      </x:c>
      <x:c r="G475" s="6" t="n">
        <x:v>3</x:v>
      </x:c>
      <x:c r="H475" s="6" t="str">
        <x:v>SIDX-0145</x:v>
      </x:c>
      <x:c r="I475" s="6" t="str">
        <x:f>IF(H475="","No upstream dependency",IF(ISNUMBER(SEARCH(";",H475)),"Multiple dependencies - verify source queues",IFERROR(XLOOKUP(H475,C2:C1586,J2:J1586),"Dependency not found")))</x:f>
        <x:v>Not Started</x:v>
      </x:c>
      <x:c r="J475" s="6" t="str">
        <x:v>Not Started</x:v>
      </x:c>
      <x:c r="K475" s="6" t="str">
        <x:v>Normal</x:v>
      </x:c>
      <x:c r="L475" s="6" t="str"/>
      <x:c r="M475" s="6" t="str"/>
      <x:c r="N475" s="6" t="str"/>
      <x:c r="O475" s="7" t="str"/>
      <x:c r="P475" s="6" t="str">
        <x:v>Yes</x:v>
      </x:c>
      <x:c r="Q475" s="7" t="str">
        <x:v>Requires service identity completion.</x:v>
      </x:c>
    </x:row>
    <x:row r="476">
      <x:c r="A476" s="6" t="str">
        <x:v>SEQ-MFR-0146</x:v>
      </x:c>
      <x:c r="B476" s="6" t="str">
        <x:v>Manufacturer Scope</x:v>
      </x:c>
      <x:c r="C476" s="6" t="str">
        <x:v>MFRX-0146</x:v>
      </x:c>
      <x:c r="D476" s="6" t="str">
        <x:v>SVC000146</x:v>
      </x:c>
      <x:c r="E476" s="6" t="str"/>
      <x:c r="F476" s="6" t="str">
        <x:v>Manufacturer-scope review</x:v>
      </x:c>
      <x:c r="G476" s="6" t="n">
        <x:v>3</x:v>
      </x:c>
      <x:c r="H476" s="6" t="str">
        <x:v>SIDX-0146</x:v>
      </x:c>
      <x:c r="I476" s="6" t="str">
        <x:f>IF(H476="","No upstream dependency",IF(ISNUMBER(SEARCH(";",H476)),"Multiple dependencies - verify source queues",IFERROR(XLOOKUP(H476,C2:C1586,J2:J1586),"Dependency not found")))</x:f>
        <x:v>Not Started</x:v>
      </x:c>
      <x:c r="J476" s="6" t="str">
        <x:v>Not Started</x:v>
      </x:c>
      <x:c r="K476" s="6" t="str">
        <x:v>Normal</x:v>
      </x:c>
      <x:c r="L476" s="6" t="str"/>
      <x:c r="M476" s="6" t="str"/>
      <x:c r="N476" s="6" t="str"/>
      <x:c r="O476" s="7" t="str"/>
      <x:c r="P476" s="6" t="str">
        <x:v>Yes</x:v>
      </x:c>
      <x:c r="Q476" s="7" t="str">
        <x:v>Requires service identity completion.</x:v>
      </x:c>
    </x:row>
    <x:row r="477">
      <x:c r="A477" s="6" t="str">
        <x:v>SEQ-MFR-0147</x:v>
      </x:c>
      <x:c r="B477" s="6" t="str">
        <x:v>Manufacturer Scope</x:v>
      </x:c>
      <x:c r="C477" s="6" t="str">
        <x:v>MFRX-0147</x:v>
      </x:c>
      <x:c r="D477" s="6" t="str">
        <x:v>SVC000147</x:v>
      </x:c>
      <x:c r="E477" s="6" t="str"/>
      <x:c r="F477" s="6" t="str">
        <x:v>Manufacturer-scope review</x:v>
      </x:c>
      <x:c r="G477" s="6" t="n">
        <x:v>3</x:v>
      </x:c>
      <x:c r="H477" s="6" t="str">
        <x:v>SIDX-0147</x:v>
      </x:c>
      <x:c r="I477" s="6" t="str">
        <x:f>IF(H477="","No upstream dependency",IF(ISNUMBER(SEARCH(";",H477)),"Multiple dependencies - verify source queues",IFERROR(XLOOKUP(H477,C2:C1586,J2:J1586),"Dependency not found")))</x:f>
        <x:v>Not Started</x:v>
      </x:c>
      <x:c r="J477" s="6" t="str">
        <x:v>Not Started</x:v>
      </x:c>
      <x:c r="K477" s="6" t="str">
        <x:v>Normal</x:v>
      </x:c>
      <x:c r="L477" s="6" t="str"/>
      <x:c r="M477" s="6" t="str"/>
      <x:c r="N477" s="6" t="str"/>
      <x:c r="O477" s="7" t="str"/>
      <x:c r="P477" s="6" t="str">
        <x:v>Yes</x:v>
      </x:c>
      <x:c r="Q477" s="7" t="str">
        <x:v>Requires service identity completion.</x:v>
      </x:c>
    </x:row>
    <x:row r="478">
      <x:c r="A478" s="6" t="str">
        <x:v>SEQ-MFR-0148</x:v>
      </x:c>
      <x:c r="B478" s="6" t="str">
        <x:v>Manufacturer Scope</x:v>
      </x:c>
      <x:c r="C478" s="6" t="str">
        <x:v>MFRX-0148</x:v>
      </x:c>
      <x:c r="D478" s="6" t="str">
        <x:v>SVC000148</x:v>
      </x:c>
      <x:c r="E478" s="6" t="str"/>
      <x:c r="F478" s="6" t="str">
        <x:v>Manufacturer-scope review</x:v>
      </x:c>
      <x:c r="G478" s="6" t="n">
        <x:v>3</x:v>
      </x:c>
      <x:c r="H478" s="6" t="str">
        <x:v>SIDX-0148</x:v>
      </x:c>
      <x:c r="I478" s="6" t="str">
        <x:f>IF(H478="","No upstream dependency",IF(ISNUMBER(SEARCH(";",H478)),"Multiple dependencies - verify source queues",IFERROR(XLOOKUP(H478,C2:C1586,J2:J1586),"Dependency not found")))</x:f>
        <x:v>Not Started</x:v>
      </x:c>
      <x:c r="J478" s="6" t="str">
        <x:v>Not Started</x:v>
      </x:c>
      <x:c r="K478" s="6" t="str">
        <x:v>Normal</x:v>
      </x:c>
      <x:c r="L478" s="6" t="str"/>
      <x:c r="M478" s="6" t="str"/>
      <x:c r="N478" s="6" t="str"/>
      <x:c r="O478" s="7" t="str"/>
      <x:c r="P478" s="6" t="str">
        <x:v>Yes</x:v>
      </x:c>
      <x:c r="Q478" s="7" t="str">
        <x:v>Requires service identity completion.</x:v>
      </x:c>
    </x:row>
    <x:row r="479">
      <x:c r="A479" s="6" t="str">
        <x:v>SEQ-MFR-0149</x:v>
      </x:c>
      <x:c r="B479" s="6" t="str">
        <x:v>Manufacturer Scope</x:v>
      </x:c>
      <x:c r="C479" s="6" t="str">
        <x:v>MFRX-0149</x:v>
      </x:c>
      <x:c r="D479" s="6" t="str">
        <x:v>SVC000149</x:v>
      </x:c>
      <x:c r="E479" s="6" t="str"/>
      <x:c r="F479" s="6" t="str">
        <x:v>Manufacturer-scope review</x:v>
      </x:c>
      <x:c r="G479" s="6" t="n">
        <x:v>3</x:v>
      </x:c>
      <x:c r="H479" s="6" t="str">
        <x:v>SIDX-0149</x:v>
      </x:c>
      <x:c r="I479" s="6" t="str">
        <x:f>IF(H479="","No upstream dependency",IF(ISNUMBER(SEARCH(";",H479)),"Multiple dependencies - verify source queues",IFERROR(XLOOKUP(H479,C2:C1586,J2:J1586),"Dependency not found")))</x:f>
        <x:v>Not Started</x:v>
      </x:c>
      <x:c r="J479" s="6" t="str">
        <x:v>Not Started</x:v>
      </x:c>
      <x:c r="K479" s="6" t="str">
        <x:v>Normal</x:v>
      </x:c>
      <x:c r="L479" s="6" t="str"/>
      <x:c r="M479" s="6" t="str"/>
      <x:c r="N479" s="6" t="str"/>
      <x:c r="O479" s="7" t="str"/>
      <x:c r="P479" s="6" t="str">
        <x:v>Yes</x:v>
      </x:c>
      <x:c r="Q479" s="7" t="str">
        <x:v>Requires service identity completion.</x:v>
      </x:c>
    </x:row>
    <x:row r="480">
      <x:c r="A480" s="6" t="str">
        <x:v>SEQ-MFR-0150</x:v>
      </x:c>
      <x:c r="B480" s="6" t="str">
        <x:v>Manufacturer Scope</x:v>
      </x:c>
      <x:c r="C480" s="6" t="str">
        <x:v>MFRX-0150</x:v>
      </x:c>
      <x:c r="D480" s="6" t="str">
        <x:v>SVC000150</x:v>
      </x:c>
      <x:c r="E480" s="6" t="str"/>
      <x:c r="F480" s="6" t="str">
        <x:v>Manufacturer-scope review</x:v>
      </x:c>
      <x:c r="G480" s="6" t="n">
        <x:v>3</x:v>
      </x:c>
      <x:c r="H480" s="6" t="str">
        <x:v>SIDX-0150</x:v>
      </x:c>
      <x:c r="I480" s="6" t="str">
        <x:f>IF(H480="","No upstream dependency",IF(ISNUMBER(SEARCH(";",H480)),"Multiple dependencies - verify source queues",IFERROR(XLOOKUP(H480,C2:C1586,J2:J1586),"Dependency not found")))</x:f>
        <x:v>Not Started</x:v>
      </x:c>
      <x:c r="J480" s="6" t="str">
        <x:v>Not Started</x:v>
      </x:c>
      <x:c r="K480" s="6" t="str">
        <x:v>Normal</x:v>
      </x:c>
      <x:c r="L480" s="6" t="str"/>
      <x:c r="M480" s="6" t="str"/>
      <x:c r="N480" s="6" t="str"/>
      <x:c r="O480" s="7" t="str"/>
      <x:c r="P480" s="6" t="str">
        <x:v>Yes</x:v>
      </x:c>
      <x:c r="Q480" s="7" t="str">
        <x:v>Requires service identity completion.</x:v>
      </x:c>
    </x:row>
    <x:row r="481">
      <x:c r="A481" s="6" t="str">
        <x:v>SEQ-MFR-0151</x:v>
      </x:c>
      <x:c r="B481" s="6" t="str">
        <x:v>Manufacturer Scope</x:v>
      </x:c>
      <x:c r="C481" s="6" t="str">
        <x:v>MFRX-0151</x:v>
      </x:c>
      <x:c r="D481" s="6" t="str">
        <x:v>SVC000151</x:v>
      </x:c>
      <x:c r="E481" s="6" t="str"/>
      <x:c r="F481" s="6" t="str">
        <x:v>Manufacturer-scope review</x:v>
      </x:c>
      <x:c r="G481" s="6" t="n">
        <x:v>3</x:v>
      </x:c>
      <x:c r="H481" s="6" t="str">
        <x:v>SIDX-0151</x:v>
      </x:c>
      <x:c r="I481" s="6" t="str">
        <x:f>IF(H481="","No upstream dependency",IF(ISNUMBER(SEARCH(";",H481)),"Multiple dependencies - verify source queues",IFERROR(XLOOKUP(H481,C2:C1586,J2:J1586),"Dependency not found")))</x:f>
        <x:v>Not Started</x:v>
      </x:c>
      <x:c r="J481" s="6" t="str">
        <x:v>Not Started</x:v>
      </x:c>
      <x:c r="K481" s="6" t="str">
        <x:v>Normal</x:v>
      </x:c>
      <x:c r="L481" s="6" t="str"/>
      <x:c r="M481" s="6" t="str"/>
      <x:c r="N481" s="6" t="str"/>
      <x:c r="O481" s="7" t="str"/>
      <x:c r="P481" s="6" t="str">
        <x:v>Yes</x:v>
      </x:c>
      <x:c r="Q481" s="7" t="str">
        <x:v>Requires service identity completion.</x:v>
      </x:c>
    </x:row>
    <x:row r="482">
      <x:c r="A482" s="6" t="str">
        <x:v>SEQ-MFR-0152</x:v>
      </x:c>
      <x:c r="B482" s="6" t="str">
        <x:v>Manufacturer Scope</x:v>
      </x:c>
      <x:c r="C482" s="6" t="str">
        <x:v>MFRX-0152</x:v>
      </x:c>
      <x:c r="D482" s="6" t="str">
        <x:v>SVC000152</x:v>
      </x:c>
      <x:c r="E482" s="6" t="str"/>
      <x:c r="F482" s="6" t="str">
        <x:v>Manufacturer-scope review</x:v>
      </x:c>
      <x:c r="G482" s="6" t="n">
        <x:v>3</x:v>
      </x:c>
      <x:c r="H482" s="6" t="str">
        <x:v>SIDX-0152</x:v>
      </x:c>
      <x:c r="I482" s="6" t="str">
        <x:f>IF(H482="","No upstream dependency",IF(ISNUMBER(SEARCH(";",H482)),"Multiple dependencies - verify source queues",IFERROR(XLOOKUP(H482,C2:C1586,J2:J1586),"Dependency not found")))</x:f>
        <x:v>Not Started</x:v>
      </x:c>
      <x:c r="J482" s="6" t="str">
        <x:v>Not Started</x:v>
      </x:c>
      <x:c r="K482" s="6" t="str">
        <x:v>Normal</x:v>
      </x:c>
      <x:c r="L482" s="6" t="str"/>
      <x:c r="M482" s="6" t="str"/>
      <x:c r="N482" s="6" t="str"/>
      <x:c r="O482" s="7" t="str"/>
      <x:c r="P482" s="6" t="str">
        <x:v>Yes</x:v>
      </x:c>
      <x:c r="Q482" s="7" t="str">
        <x:v>Requires service identity completion.</x:v>
      </x:c>
    </x:row>
    <x:row r="483">
      <x:c r="A483" s="6" t="str">
        <x:v>SEQ-MFR-0153</x:v>
      </x:c>
      <x:c r="B483" s="6" t="str">
        <x:v>Manufacturer Scope</x:v>
      </x:c>
      <x:c r="C483" s="6" t="str">
        <x:v>MFRX-0153</x:v>
      </x:c>
      <x:c r="D483" s="6" t="str">
        <x:v>SVC000153</x:v>
      </x:c>
      <x:c r="E483" s="6" t="str"/>
      <x:c r="F483" s="6" t="str">
        <x:v>Manufacturer-scope review</x:v>
      </x:c>
      <x:c r="G483" s="6" t="n">
        <x:v>3</x:v>
      </x:c>
      <x:c r="H483" s="6" t="str">
        <x:v>SIDX-0153</x:v>
      </x:c>
      <x:c r="I483" s="6" t="str">
        <x:f>IF(H483="","No upstream dependency",IF(ISNUMBER(SEARCH(";",H483)),"Multiple dependencies - verify source queues",IFERROR(XLOOKUP(H483,C2:C1586,J2:J1586),"Dependency not found")))</x:f>
        <x:v>Not Started</x:v>
      </x:c>
      <x:c r="J483" s="6" t="str">
        <x:v>Not Started</x:v>
      </x:c>
      <x:c r="K483" s="6" t="str">
        <x:v>Normal</x:v>
      </x:c>
      <x:c r="L483" s="6" t="str"/>
      <x:c r="M483" s="6" t="str"/>
      <x:c r="N483" s="6" t="str"/>
      <x:c r="O483" s="7" t="str"/>
      <x:c r="P483" s="6" t="str">
        <x:v>Yes</x:v>
      </x:c>
      <x:c r="Q483" s="7" t="str">
        <x:v>Requires service identity completion.</x:v>
      </x:c>
    </x:row>
    <x:row r="484">
      <x:c r="A484" s="6" t="str">
        <x:v>SEQ-MFR-0154</x:v>
      </x:c>
      <x:c r="B484" s="6" t="str">
        <x:v>Manufacturer Scope</x:v>
      </x:c>
      <x:c r="C484" s="6" t="str">
        <x:v>MFRX-0154</x:v>
      </x:c>
      <x:c r="D484" s="6" t="str">
        <x:v>SVC000154</x:v>
      </x:c>
      <x:c r="E484" s="6" t="str"/>
      <x:c r="F484" s="6" t="str">
        <x:v>Manufacturer-scope review</x:v>
      </x:c>
      <x:c r="G484" s="6" t="n">
        <x:v>3</x:v>
      </x:c>
      <x:c r="H484" s="6" t="str">
        <x:v>SIDX-0154</x:v>
      </x:c>
      <x:c r="I484" s="6" t="str">
        <x:f>IF(H484="","No upstream dependency",IF(ISNUMBER(SEARCH(";",H484)),"Multiple dependencies - verify source queues",IFERROR(XLOOKUP(H484,C2:C1586,J2:J1586),"Dependency not found")))</x:f>
        <x:v>Not Started</x:v>
      </x:c>
      <x:c r="J484" s="6" t="str">
        <x:v>Not Started</x:v>
      </x:c>
      <x:c r="K484" s="6" t="str">
        <x:v>Normal</x:v>
      </x:c>
      <x:c r="L484" s="6" t="str"/>
      <x:c r="M484" s="6" t="str"/>
      <x:c r="N484" s="6" t="str"/>
      <x:c r="O484" s="7" t="str"/>
      <x:c r="P484" s="6" t="str">
        <x:v>Yes</x:v>
      </x:c>
      <x:c r="Q484" s="7" t="str">
        <x:v>Requires service identity completion.</x:v>
      </x:c>
    </x:row>
    <x:row r="485">
      <x:c r="A485" s="6" t="str">
        <x:v>SEQ-MFR-0155</x:v>
      </x:c>
      <x:c r="B485" s="6" t="str">
        <x:v>Manufacturer Scope</x:v>
      </x:c>
      <x:c r="C485" s="6" t="str">
        <x:v>MFRX-0155</x:v>
      </x:c>
      <x:c r="D485" s="6" t="str">
        <x:v>SVC000155</x:v>
      </x:c>
      <x:c r="E485" s="6" t="str"/>
      <x:c r="F485" s="6" t="str">
        <x:v>Manufacturer-scope review</x:v>
      </x:c>
      <x:c r="G485" s="6" t="n">
        <x:v>3</x:v>
      </x:c>
      <x:c r="H485" s="6" t="str">
        <x:v>SIDX-0155</x:v>
      </x:c>
      <x:c r="I485" s="6" t="str">
        <x:f>IF(H485="","No upstream dependency",IF(ISNUMBER(SEARCH(";",H485)),"Multiple dependencies - verify source queues",IFERROR(XLOOKUP(H485,C2:C1586,J2:J1586),"Dependency not found")))</x:f>
        <x:v>Not Started</x:v>
      </x:c>
      <x:c r="J485" s="6" t="str">
        <x:v>Not Started</x:v>
      </x:c>
      <x:c r="K485" s="6" t="str">
        <x:v>Normal</x:v>
      </x:c>
      <x:c r="L485" s="6" t="str"/>
      <x:c r="M485" s="6" t="str"/>
      <x:c r="N485" s="6" t="str"/>
      <x:c r="O485" s="7" t="str"/>
      <x:c r="P485" s="6" t="str">
        <x:v>Yes</x:v>
      </x:c>
      <x:c r="Q485" s="7" t="str">
        <x:v>Requires service identity completion.</x:v>
      </x:c>
    </x:row>
    <x:row r="486">
      <x:c r="A486" s="6" t="str">
        <x:v>SEQ-MFR-0156</x:v>
      </x:c>
      <x:c r="B486" s="6" t="str">
        <x:v>Manufacturer Scope</x:v>
      </x:c>
      <x:c r="C486" s="6" t="str">
        <x:v>MFRX-0156</x:v>
      </x:c>
      <x:c r="D486" s="6" t="str">
        <x:v>SVC000156</x:v>
      </x:c>
      <x:c r="E486" s="6" t="str"/>
      <x:c r="F486" s="6" t="str">
        <x:v>Manufacturer-scope review</x:v>
      </x:c>
      <x:c r="G486" s="6" t="n">
        <x:v>3</x:v>
      </x:c>
      <x:c r="H486" s="6" t="str">
        <x:v>SIDX-0156</x:v>
      </x:c>
      <x:c r="I486" s="6" t="str">
        <x:f>IF(H486="","No upstream dependency",IF(ISNUMBER(SEARCH(";",H486)),"Multiple dependencies - verify source queues",IFERROR(XLOOKUP(H486,C2:C1586,J2:J1586),"Dependency not found")))</x:f>
        <x:v>Not Started</x:v>
      </x:c>
      <x:c r="J486" s="6" t="str">
        <x:v>Not Started</x:v>
      </x:c>
      <x:c r="K486" s="6" t="str">
        <x:v>Normal</x:v>
      </x:c>
      <x:c r="L486" s="6" t="str"/>
      <x:c r="M486" s="6" t="str"/>
      <x:c r="N486" s="6" t="str"/>
      <x:c r="O486" s="7" t="str"/>
      <x:c r="P486" s="6" t="str">
        <x:v>Yes</x:v>
      </x:c>
      <x:c r="Q486" s="7" t="str">
        <x:v>Requires service identity completion.</x:v>
      </x:c>
    </x:row>
    <x:row r="487">
      <x:c r="A487" s="6" t="str">
        <x:v>SEQ-MFR-0157</x:v>
      </x:c>
      <x:c r="B487" s="6" t="str">
        <x:v>Manufacturer Scope</x:v>
      </x:c>
      <x:c r="C487" s="6" t="str">
        <x:v>MFRX-0157</x:v>
      </x:c>
      <x:c r="D487" s="6" t="str">
        <x:v>SVC000157</x:v>
      </x:c>
      <x:c r="E487" s="6" t="str"/>
      <x:c r="F487" s="6" t="str">
        <x:v>Manufacturer-scope review</x:v>
      </x:c>
      <x:c r="G487" s="6" t="n">
        <x:v>3</x:v>
      </x:c>
      <x:c r="H487" s="6" t="str">
        <x:v>SIDX-0157</x:v>
      </x:c>
      <x:c r="I487" s="6" t="str">
        <x:f>IF(H487="","No upstream dependency",IF(ISNUMBER(SEARCH(";",H487)),"Multiple dependencies - verify source queues",IFERROR(XLOOKUP(H487,C2:C1586,J2:J1586),"Dependency not found")))</x:f>
        <x:v>Not Started</x:v>
      </x:c>
      <x:c r="J487" s="6" t="str">
        <x:v>Not Started</x:v>
      </x:c>
      <x:c r="K487" s="6" t="str">
        <x:v>Normal</x:v>
      </x:c>
      <x:c r="L487" s="6" t="str"/>
      <x:c r="M487" s="6" t="str"/>
      <x:c r="N487" s="6" t="str"/>
      <x:c r="O487" s="7" t="str"/>
      <x:c r="P487" s="6" t="str">
        <x:v>Yes</x:v>
      </x:c>
      <x:c r="Q487" s="7" t="str">
        <x:v>Requires service identity completion.</x:v>
      </x:c>
    </x:row>
    <x:row r="488">
      <x:c r="A488" s="6" t="str">
        <x:v>SEQ-MFR-0158</x:v>
      </x:c>
      <x:c r="B488" s="6" t="str">
        <x:v>Manufacturer Scope</x:v>
      </x:c>
      <x:c r="C488" s="6" t="str">
        <x:v>MFRX-0158</x:v>
      </x:c>
      <x:c r="D488" s="6" t="str">
        <x:v>SVC000158</x:v>
      </x:c>
      <x:c r="E488" s="6" t="str"/>
      <x:c r="F488" s="6" t="str">
        <x:v>Manufacturer-scope review</x:v>
      </x:c>
      <x:c r="G488" s="6" t="n">
        <x:v>3</x:v>
      </x:c>
      <x:c r="H488" s="6" t="str">
        <x:v>SIDX-0158</x:v>
      </x:c>
      <x:c r="I488" s="6" t="str">
        <x:f>IF(H488="","No upstream dependency",IF(ISNUMBER(SEARCH(";",H488)),"Multiple dependencies - verify source queues",IFERROR(XLOOKUP(H488,C2:C1586,J2:J1586),"Dependency not found")))</x:f>
        <x:v>Not Started</x:v>
      </x:c>
      <x:c r="J488" s="6" t="str">
        <x:v>Not Started</x:v>
      </x:c>
      <x:c r="K488" s="6" t="str">
        <x:v>Normal</x:v>
      </x:c>
      <x:c r="L488" s="6" t="str"/>
      <x:c r="M488" s="6" t="str"/>
      <x:c r="N488" s="6" t="str"/>
      <x:c r="O488" s="7" t="str"/>
      <x:c r="P488" s="6" t="str">
        <x:v>Yes</x:v>
      </x:c>
      <x:c r="Q488" s="7" t="str">
        <x:v>Requires service identity completion.</x:v>
      </x:c>
    </x:row>
    <x:row r="489">
      <x:c r="A489" s="6" t="str">
        <x:v>SEQ-MFR-0159</x:v>
      </x:c>
      <x:c r="B489" s="6" t="str">
        <x:v>Manufacturer Scope</x:v>
      </x:c>
      <x:c r="C489" s="6" t="str">
        <x:v>MFRX-0159</x:v>
      </x:c>
      <x:c r="D489" s="6" t="str">
        <x:v>SVC000159</x:v>
      </x:c>
      <x:c r="E489" s="6" t="str"/>
      <x:c r="F489" s="6" t="str">
        <x:v>Manufacturer-scope review</x:v>
      </x:c>
      <x:c r="G489" s="6" t="n">
        <x:v>3</x:v>
      </x:c>
      <x:c r="H489" s="6" t="str">
        <x:v>SIDX-0159</x:v>
      </x:c>
      <x:c r="I489" s="6" t="str">
        <x:f>IF(H489="","No upstream dependency",IF(ISNUMBER(SEARCH(";",H489)),"Multiple dependencies - verify source queues",IFERROR(XLOOKUP(H489,C2:C1586,J2:J1586),"Dependency not found")))</x:f>
        <x:v>Not Started</x:v>
      </x:c>
      <x:c r="J489" s="6" t="str">
        <x:v>Not Started</x:v>
      </x:c>
      <x:c r="K489" s="6" t="str">
        <x:v>Normal</x:v>
      </x:c>
      <x:c r="L489" s="6" t="str"/>
      <x:c r="M489" s="6" t="str"/>
      <x:c r="N489" s="6" t="str"/>
      <x:c r="O489" s="7" t="str"/>
      <x:c r="P489" s="6" t="str">
        <x:v>Yes</x:v>
      </x:c>
      <x:c r="Q489" s="7" t="str">
        <x:v>Requires service identity completion.</x:v>
      </x:c>
    </x:row>
    <x:row r="490">
      <x:c r="A490" s="6" t="str">
        <x:v>SEQ-MFR-0160</x:v>
      </x:c>
      <x:c r="B490" s="6" t="str">
        <x:v>Manufacturer Scope</x:v>
      </x:c>
      <x:c r="C490" s="6" t="str">
        <x:v>MFRX-0160</x:v>
      </x:c>
      <x:c r="D490" s="6" t="str">
        <x:v>SVC000160</x:v>
      </x:c>
      <x:c r="E490" s="6" t="str"/>
      <x:c r="F490" s="6" t="str">
        <x:v>Manufacturer-scope review</x:v>
      </x:c>
      <x:c r="G490" s="6" t="n">
        <x:v>3</x:v>
      </x:c>
      <x:c r="H490" s="6" t="str">
        <x:v>SIDX-0160</x:v>
      </x:c>
      <x:c r="I490" s="6" t="str">
        <x:f>IF(H490="","No upstream dependency",IF(ISNUMBER(SEARCH(";",H490)),"Multiple dependencies - verify source queues",IFERROR(XLOOKUP(H490,C2:C1586,J2:J1586),"Dependency not found")))</x:f>
        <x:v>Not Started</x:v>
      </x:c>
      <x:c r="J490" s="6" t="str">
        <x:v>Not Started</x:v>
      </x:c>
      <x:c r="K490" s="6" t="str">
        <x:v>Normal</x:v>
      </x:c>
      <x:c r="L490" s="6" t="str"/>
      <x:c r="M490" s="6" t="str"/>
      <x:c r="N490" s="6" t="str"/>
      <x:c r="O490" s="7" t="str"/>
      <x:c r="P490" s="6" t="str">
        <x:v>Yes</x:v>
      </x:c>
      <x:c r="Q490" s="7" t="str">
        <x:v>Requires service identity completion.</x:v>
      </x:c>
    </x:row>
    <x:row r="491">
      <x:c r="A491" s="6" t="str">
        <x:v>SEQ-MFR-0161</x:v>
      </x:c>
      <x:c r="B491" s="6" t="str">
        <x:v>Manufacturer Scope</x:v>
      </x:c>
      <x:c r="C491" s="6" t="str">
        <x:v>MFRX-0161</x:v>
      </x:c>
      <x:c r="D491" s="6" t="str">
        <x:v>SVC000161</x:v>
      </x:c>
      <x:c r="E491" s="6" t="str"/>
      <x:c r="F491" s="6" t="str">
        <x:v>Manufacturer-scope review</x:v>
      </x:c>
      <x:c r="G491" s="6" t="n">
        <x:v>3</x:v>
      </x:c>
      <x:c r="H491" s="6" t="str">
        <x:v>SIDX-0161</x:v>
      </x:c>
      <x:c r="I491" s="6" t="str">
        <x:f>IF(H491="","No upstream dependency",IF(ISNUMBER(SEARCH(";",H491)),"Multiple dependencies - verify source queues",IFERROR(XLOOKUP(H491,C2:C1586,J2:J1586),"Dependency not found")))</x:f>
        <x:v>Not Started</x:v>
      </x:c>
      <x:c r="J491" s="6" t="str">
        <x:v>Not Started</x:v>
      </x:c>
      <x:c r="K491" s="6" t="str">
        <x:v>Normal</x:v>
      </x:c>
      <x:c r="L491" s="6" t="str"/>
      <x:c r="M491" s="6" t="str"/>
      <x:c r="N491" s="6" t="str"/>
      <x:c r="O491" s="7" t="str"/>
      <x:c r="P491" s="6" t="str">
        <x:v>Yes</x:v>
      </x:c>
      <x:c r="Q491" s="7" t="str">
        <x:v>Requires service identity completion.</x:v>
      </x:c>
    </x:row>
    <x:row r="492">
      <x:c r="A492" s="6" t="str">
        <x:v>SEQ-MFR-0162</x:v>
      </x:c>
      <x:c r="B492" s="6" t="str">
        <x:v>Manufacturer Scope</x:v>
      </x:c>
      <x:c r="C492" s="6" t="str">
        <x:v>MFRX-0162</x:v>
      </x:c>
      <x:c r="D492" s="6" t="str">
        <x:v>SVC000162</x:v>
      </x:c>
      <x:c r="E492" s="6" t="str"/>
      <x:c r="F492" s="6" t="str">
        <x:v>Manufacturer-scope review</x:v>
      </x:c>
      <x:c r="G492" s="6" t="n">
        <x:v>3</x:v>
      </x:c>
      <x:c r="H492" s="6" t="str">
        <x:v>SIDX-0162</x:v>
      </x:c>
      <x:c r="I492" s="6" t="str">
        <x:f>IF(H492="","No upstream dependency",IF(ISNUMBER(SEARCH(";",H492)),"Multiple dependencies - verify source queues",IFERROR(XLOOKUP(H492,C2:C1586,J2:J1586),"Dependency not found")))</x:f>
        <x:v>Not Started</x:v>
      </x:c>
      <x:c r="J492" s="6" t="str">
        <x:v>Not Started</x:v>
      </x:c>
      <x:c r="K492" s="6" t="str">
        <x:v>Normal</x:v>
      </x:c>
      <x:c r="L492" s="6" t="str"/>
      <x:c r="M492" s="6" t="str"/>
      <x:c r="N492" s="6" t="str"/>
      <x:c r="O492" s="7" t="str"/>
      <x:c r="P492" s="6" t="str">
        <x:v>Yes</x:v>
      </x:c>
      <x:c r="Q492" s="7" t="str">
        <x:v>Requires service identity completion.</x:v>
      </x:c>
    </x:row>
    <x:row r="493">
      <x:c r="A493" s="6" t="str">
        <x:v>SEQ-MFR-0163</x:v>
      </x:c>
      <x:c r="B493" s="6" t="str">
        <x:v>Manufacturer Scope</x:v>
      </x:c>
      <x:c r="C493" s="6" t="str">
        <x:v>MFRX-0163</x:v>
      </x:c>
      <x:c r="D493" s="6" t="str">
        <x:v>SVC000163</x:v>
      </x:c>
      <x:c r="E493" s="6" t="str"/>
      <x:c r="F493" s="6" t="str">
        <x:v>Manufacturer-scope review</x:v>
      </x:c>
      <x:c r="G493" s="6" t="n">
        <x:v>3</x:v>
      </x:c>
      <x:c r="H493" s="6" t="str">
        <x:v>SIDX-0163</x:v>
      </x:c>
      <x:c r="I493" s="6" t="str">
        <x:f>IF(H493="","No upstream dependency",IF(ISNUMBER(SEARCH(";",H493)),"Multiple dependencies - verify source queues",IFERROR(XLOOKUP(H493,C2:C1586,J2:J1586),"Dependency not found")))</x:f>
        <x:v>Not Started</x:v>
      </x:c>
      <x:c r="J493" s="6" t="str">
        <x:v>Not Started</x:v>
      </x:c>
      <x:c r="K493" s="6" t="str">
        <x:v>Normal</x:v>
      </x:c>
      <x:c r="L493" s="6" t="str"/>
      <x:c r="M493" s="6" t="str"/>
      <x:c r="N493" s="6" t="str"/>
      <x:c r="O493" s="7" t="str"/>
      <x:c r="P493" s="6" t="str">
        <x:v>Yes</x:v>
      </x:c>
      <x:c r="Q493" s="7" t="str">
        <x:v>Requires service identity completion.</x:v>
      </x:c>
    </x:row>
    <x:row r="494">
      <x:c r="A494" s="6" t="str">
        <x:v>SEQ-MFR-0164</x:v>
      </x:c>
      <x:c r="B494" s="6" t="str">
        <x:v>Manufacturer Scope</x:v>
      </x:c>
      <x:c r="C494" s="6" t="str">
        <x:v>MFRX-0164</x:v>
      </x:c>
      <x:c r="D494" s="6" t="str">
        <x:v>SVC000164</x:v>
      </x:c>
      <x:c r="E494" s="6" t="str"/>
      <x:c r="F494" s="6" t="str">
        <x:v>Manufacturer-scope review</x:v>
      </x:c>
      <x:c r="G494" s="6" t="n">
        <x:v>3</x:v>
      </x:c>
      <x:c r="H494" s="6" t="str">
        <x:v>SIDX-0164</x:v>
      </x:c>
      <x:c r="I494" s="6" t="str">
        <x:f>IF(H494="","No upstream dependency",IF(ISNUMBER(SEARCH(";",H494)),"Multiple dependencies - verify source queues",IFERROR(XLOOKUP(H494,C2:C1586,J2:J1586),"Dependency not found")))</x:f>
        <x:v>Not Started</x:v>
      </x:c>
      <x:c r="J494" s="6" t="str">
        <x:v>Not Started</x:v>
      </x:c>
      <x:c r="K494" s="6" t="str">
        <x:v>Normal</x:v>
      </x:c>
      <x:c r="L494" s="6" t="str"/>
      <x:c r="M494" s="6" t="str"/>
      <x:c r="N494" s="6" t="str"/>
      <x:c r="O494" s="7" t="str"/>
      <x:c r="P494" s="6" t="str">
        <x:v>Yes</x:v>
      </x:c>
      <x:c r="Q494" s="7" t="str">
        <x:v>Requires service identity completion.</x:v>
      </x:c>
    </x:row>
    <x:row r="495">
      <x:c r="A495" s="6" t="str">
        <x:v>SEQ-MFR-0165</x:v>
      </x:c>
      <x:c r="B495" s="6" t="str">
        <x:v>Manufacturer Scope</x:v>
      </x:c>
      <x:c r="C495" s="6" t="str">
        <x:v>MFRX-0165</x:v>
      </x:c>
      <x:c r="D495" s="6" t="str">
        <x:v>SVC000165</x:v>
      </x:c>
      <x:c r="E495" s="6" t="str"/>
      <x:c r="F495" s="6" t="str">
        <x:v>Manufacturer-scope review</x:v>
      </x:c>
      <x:c r="G495" s="6" t="n">
        <x:v>3</x:v>
      </x:c>
      <x:c r="H495" s="6" t="str">
        <x:v>SIDX-0165</x:v>
      </x:c>
      <x:c r="I495" s="6" t="str">
        <x:f>IF(H495="","No upstream dependency",IF(ISNUMBER(SEARCH(";",H495)),"Multiple dependencies - verify source queues",IFERROR(XLOOKUP(H495,C2:C1586,J2:J1586),"Dependency not found")))</x:f>
        <x:v>Not Started</x:v>
      </x:c>
      <x:c r="J495" s="6" t="str">
        <x:v>Not Started</x:v>
      </x:c>
      <x:c r="K495" s="6" t="str">
        <x:v>Normal</x:v>
      </x:c>
      <x:c r="L495" s="6" t="str"/>
      <x:c r="M495" s="6" t="str"/>
      <x:c r="N495" s="6" t="str"/>
      <x:c r="O495" s="7" t="str"/>
      <x:c r="P495" s="6" t="str">
        <x:v>Yes</x:v>
      </x:c>
      <x:c r="Q495" s="7" t="str">
        <x:v>Requires service identity completion.</x:v>
      </x:c>
    </x:row>
    <x:row r="496">
      <x:c r="A496" s="6" t="str">
        <x:v>SEQ-MFR-0166</x:v>
      </x:c>
      <x:c r="B496" s="6" t="str">
        <x:v>Manufacturer Scope</x:v>
      </x:c>
      <x:c r="C496" s="6" t="str">
        <x:v>MFRX-0166</x:v>
      </x:c>
      <x:c r="D496" s="6" t="str">
        <x:v>SVC000166</x:v>
      </x:c>
      <x:c r="E496" s="6" t="str"/>
      <x:c r="F496" s="6" t="str">
        <x:v>Manufacturer-scope review</x:v>
      </x:c>
      <x:c r="G496" s="6" t="n">
        <x:v>3</x:v>
      </x:c>
      <x:c r="H496" s="6" t="str">
        <x:v>SIDX-0166</x:v>
      </x:c>
      <x:c r="I496" s="6" t="str">
        <x:f>IF(H496="","No upstream dependency",IF(ISNUMBER(SEARCH(";",H496)),"Multiple dependencies - verify source queues",IFERROR(XLOOKUP(H496,C2:C1586,J2:J1586),"Dependency not found")))</x:f>
        <x:v>Not Started</x:v>
      </x:c>
      <x:c r="J496" s="6" t="str">
        <x:v>Not Started</x:v>
      </x:c>
      <x:c r="K496" s="6" t="str">
        <x:v>Normal</x:v>
      </x:c>
      <x:c r="L496" s="6" t="str"/>
      <x:c r="M496" s="6" t="str"/>
      <x:c r="N496" s="6" t="str"/>
      <x:c r="O496" s="7" t="str"/>
      <x:c r="P496" s="6" t="str">
        <x:v>Yes</x:v>
      </x:c>
      <x:c r="Q496" s="7" t="str">
        <x:v>Requires service identity completion.</x:v>
      </x:c>
    </x:row>
    <x:row r="497">
      <x:c r="A497" s="6" t="str">
        <x:v>SEQ-MFR-0167</x:v>
      </x:c>
      <x:c r="B497" s="6" t="str">
        <x:v>Manufacturer Scope</x:v>
      </x:c>
      <x:c r="C497" s="6" t="str">
        <x:v>MFRX-0167</x:v>
      </x:c>
      <x:c r="D497" s="6" t="str">
        <x:v>SVC000167</x:v>
      </x:c>
      <x:c r="E497" s="6" t="str"/>
      <x:c r="F497" s="6" t="str">
        <x:v>Manufacturer-scope review</x:v>
      </x:c>
      <x:c r="G497" s="6" t="n">
        <x:v>3</x:v>
      </x:c>
      <x:c r="H497" s="6" t="str">
        <x:v>SIDX-0167</x:v>
      </x:c>
      <x:c r="I497" s="6" t="str">
        <x:f>IF(H497="","No upstream dependency",IF(ISNUMBER(SEARCH(";",H497)),"Multiple dependencies - verify source queues",IFERROR(XLOOKUP(H497,C2:C1586,J2:J1586),"Dependency not found")))</x:f>
        <x:v>Not Started</x:v>
      </x:c>
      <x:c r="J497" s="6" t="str">
        <x:v>Not Started</x:v>
      </x:c>
      <x:c r="K497" s="6" t="str">
        <x:v>Normal</x:v>
      </x:c>
      <x:c r="L497" s="6" t="str"/>
      <x:c r="M497" s="6" t="str"/>
      <x:c r="N497" s="6" t="str"/>
      <x:c r="O497" s="7" t="str"/>
      <x:c r="P497" s="6" t="str">
        <x:v>Yes</x:v>
      </x:c>
      <x:c r="Q497" s="7" t="str">
        <x:v>Requires service identity completion.</x:v>
      </x:c>
    </x:row>
    <x:row r="498">
      <x:c r="A498" s="6" t="str">
        <x:v>SEQ-MFR-0168</x:v>
      </x:c>
      <x:c r="B498" s="6" t="str">
        <x:v>Manufacturer Scope</x:v>
      </x:c>
      <x:c r="C498" s="6" t="str">
        <x:v>MFRX-0168</x:v>
      </x:c>
      <x:c r="D498" s="6" t="str">
        <x:v>SVC000168</x:v>
      </x:c>
      <x:c r="E498" s="6" t="str"/>
      <x:c r="F498" s="6" t="str">
        <x:v>Manufacturer-scope review</x:v>
      </x:c>
      <x:c r="G498" s="6" t="n">
        <x:v>3</x:v>
      </x:c>
      <x:c r="H498" s="6" t="str">
        <x:v>SIDX-0168</x:v>
      </x:c>
      <x:c r="I498" s="6" t="str">
        <x:f>IF(H498="","No upstream dependency",IF(ISNUMBER(SEARCH(";",H498)),"Multiple dependencies - verify source queues",IFERROR(XLOOKUP(H498,C2:C1586,J2:J1586),"Dependency not found")))</x:f>
        <x:v>Not Started</x:v>
      </x:c>
      <x:c r="J498" s="6" t="str">
        <x:v>Not Started</x:v>
      </x:c>
      <x:c r="K498" s="6" t="str">
        <x:v>Normal</x:v>
      </x:c>
      <x:c r="L498" s="6" t="str"/>
      <x:c r="M498" s="6" t="str"/>
      <x:c r="N498" s="6" t="str"/>
      <x:c r="O498" s="7" t="str"/>
      <x:c r="P498" s="6" t="str">
        <x:v>Yes</x:v>
      </x:c>
      <x:c r="Q498" s="7" t="str">
        <x:v>Requires service identity completion.</x:v>
      </x:c>
    </x:row>
    <x:row r="499">
      <x:c r="A499" s="6" t="str">
        <x:v>SEQ-MFR-0169</x:v>
      </x:c>
      <x:c r="B499" s="6" t="str">
        <x:v>Manufacturer Scope</x:v>
      </x:c>
      <x:c r="C499" s="6" t="str">
        <x:v>MFRX-0169</x:v>
      </x:c>
      <x:c r="D499" s="6" t="str">
        <x:v>SVC000169</x:v>
      </x:c>
      <x:c r="E499" s="6" t="str"/>
      <x:c r="F499" s="6" t="str">
        <x:v>Manufacturer-scope review</x:v>
      </x:c>
      <x:c r="G499" s="6" t="n">
        <x:v>3</x:v>
      </x:c>
      <x:c r="H499" s="6" t="str">
        <x:v>SIDX-0169</x:v>
      </x:c>
      <x:c r="I499" s="6" t="str">
        <x:f>IF(H499="","No upstream dependency",IF(ISNUMBER(SEARCH(";",H499)),"Multiple dependencies - verify source queues",IFERROR(XLOOKUP(H499,C2:C1586,J2:J1586),"Dependency not found")))</x:f>
        <x:v>Not Started</x:v>
      </x:c>
      <x:c r="J499" s="6" t="str">
        <x:v>Not Started</x:v>
      </x:c>
      <x:c r="K499" s="6" t="str">
        <x:v>Normal</x:v>
      </x:c>
      <x:c r="L499" s="6" t="str"/>
      <x:c r="M499" s="6" t="str"/>
      <x:c r="N499" s="6" t="str"/>
      <x:c r="O499" s="7" t="str"/>
      <x:c r="P499" s="6" t="str">
        <x:v>Yes</x:v>
      </x:c>
      <x:c r="Q499" s="7" t="str">
        <x:v>Requires service identity completion.</x:v>
      </x:c>
    </x:row>
    <x:row r="500">
      <x:c r="A500" s="6" t="str">
        <x:v>SEQ-MFR-0170</x:v>
      </x:c>
      <x:c r="B500" s="6" t="str">
        <x:v>Manufacturer Scope</x:v>
      </x:c>
      <x:c r="C500" s="6" t="str">
        <x:v>MFRX-0170</x:v>
      </x:c>
      <x:c r="D500" s="6" t="str">
        <x:v>SVC000170</x:v>
      </x:c>
      <x:c r="E500" s="6" t="str"/>
      <x:c r="F500" s="6" t="str">
        <x:v>Manufacturer-scope review</x:v>
      </x:c>
      <x:c r="G500" s="6" t="n">
        <x:v>3</x:v>
      </x:c>
      <x:c r="H500" s="6" t="str">
        <x:v>SIDX-0170</x:v>
      </x:c>
      <x:c r="I500" s="6" t="str">
        <x:f>IF(H500="","No upstream dependency",IF(ISNUMBER(SEARCH(";",H500)),"Multiple dependencies - verify source queues",IFERROR(XLOOKUP(H500,C2:C1586,J2:J1586),"Dependency not found")))</x:f>
        <x:v>Not Started</x:v>
      </x:c>
      <x:c r="J500" s="6" t="str">
        <x:v>Not Started</x:v>
      </x:c>
      <x:c r="K500" s="6" t="str">
        <x:v>Normal</x:v>
      </x:c>
      <x:c r="L500" s="6" t="str"/>
      <x:c r="M500" s="6" t="str"/>
      <x:c r="N500" s="6" t="str"/>
      <x:c r="O500" s="7" t="str"/>
      <x:c r="P500" s="6" t="str">
        <x:v>Yes</x:v>
      </x:c>
      <x:c r="Q500" s="7" t="str">
        <x:v>Requires service identity completion.</x:v>
      </x:c>
    </x:row>
    <x:row r="501">
      <x:c r="A501" s="6" t="str">
        <x:v>SEQ-MFR-0171</x:v>
      </x:c>
      <x:c r="B501" s="6" t="str">
        <x:v>Manufacturer Scope</x:v>
      </x:c>
      <x:c r="C501" s="6" t="str">
        <x:v>MFRX-0171</x:v>
      </x:c>
      <x:c r="D501" s="6" t="str">
        <x:v>SVC000171</x:v>
      </x:c>
      <x:c r="E501" s="6" t="str"/>
      <x:c r="F501" s="6" t="str">
        <x:v>Manufacturer-scope review</x:v>
      </x:c>
      <x:c r="G501" s="6" t="n">
        <x:v>3</x:v>
      </x:c>
      <x:c r="H501" s="6" t="str">
        <x:v>SIDX-0171</x:v>
      </x:c>
      <x:c r="I501" s="6" t="str">
        <x:f>IF(H501="","No upstream dependency",IF(ISNUMBER(SEARCH(";",H501)),"Multiple dependencies - verify source queues",IFERROR(XLOOKUP(H501,C2:C1586,J2:J1586),"Dependency not found")))</x:f>
        <x:v>Not Started</x:v>
      </x:c>
      <x:c r="J501" s="6" t="str">
        <x:v>Not Started</x:v>
      </x:c>
      <x:c r="K501" s="6" t="str">
        <x:v>Normal</x:v>
      </x:c>
      <x:c r="L501" s="6" t="str"/>
      <x:c r="M501" s="6" t="str"/>
      <x:c r="N501" s="6" t="str"/>
      <x:c r="O501" s="7" t="str"/>
      <x:c r="P501" s="6" t="str">
        <x:v>Yes</x:v>
      </x:c>
      <x:c r="Q501" s="7" t="str">
        <x:v>Requires service identity completion.</x:v>
      </x:c>
    </x:row>
    <x:row r="502">
      <x:c r="A502" s="6" t="str">
        <x:v>SEQ-MFR-0172</x:v>
      </x:c>
      <x:c r="B502" s="6" t="str">
        <x:v>Manufacturer Scope</x:v>
      </x:c>
      <x:c r="C502" s="6" t="str">
        <x:v>MFRX-0172</x:v>
      </x:c>
      <x:c r="D502" s="6" t="str">
        <x:v>SVC000172</x:v>
      </x:c>
      <x:c r="E502" s="6" t="str"/>
      <x:c r="F502" s="6" t="str">
        <x:v>Manufacturer-scope review</x:v>
      </x:c>
      <x:c r="G502" s="6" t="n">
        <x:v>3</x:v>
      </x:c>
      <x:c r="H502" s="6" t="str">
        <x:v>SIDX-0172</x:v>
      </x:c>
      <x:c r="I502" s="6" t="str">
        <x:f>IF(H502="","No upstream dependency",IF(ISNUMBER(SEARCH(";",H502)),"Multiple dependencies - verify source queues",IFERROR(XLOOKUP(H502,C2:C1586,J2:J1586),"Dependency not found")))</x:f>
        <x:v>Not Started</x:v>
      </x:c>
      <x:c r="J502" s="6" t="str">
        <x:v>Not Started</x:v>
      </x:c>
      <x:c r="K502" s="6" t="str">
        <x:v>Normal</x:v>
      </x:c>
      <x:c r="L502" s="6" t="str"/>
      <x:c r="M502" s="6" t="str"/>
      <x:c r="N502" s="6" t="str"/>
      <x:c r="O502" s="7" t="str"/>
      <x:c r="P502" s="6" t="str">
        <x:v>Yes</x:v>
      </x:c>
      <x:c r="Q502" s="7" t="str">
        <x:v>Requires service identity completion.</x:v>
      </x:c>
    </x:row>
    <x:row r="503">
      <x:c r="A503" s="6" t="str">
        <x:v>SEQ-MFR-0173</x:v>
      </x:c>
      <x:c r="B503" s="6" t="str">
        <x:v>Manufacturer Scope</x:v>
      </x:c>
      <x:c r="C503" s="6" t="str">
        <x:v>MFRX-0173</x:v>
      </x:c>
      <x:c r="D503" s="6" t="str">
        <x:v>SVC000173</x:v>
      </x:c>
      <x:c r="E503" s="6" t="str"/>
      <x:c r="F503" s="6" t="str">
        <x:v>Manufacturer-scope review</x:v>
      </x:c>
      <x:c r="G503" s="6" t="n">
        <x:v>3</x:v>
      </x:c>
      <x:c r="H503" s="6" t="str">
        <x:v>SIDX-0173</x:v>
      </x:c>
      <x:c r="I503" s="6" t="str">
        <x:f>IF(H503="","No upstream dependency",IF(ISNUMBER(SEARCH(";",H503)),"Multiple dependencies - verify source queues",IFERROR(XLOOKUP(H503,C2:C1586,J2:J1586),"Dependency not found")))</x:f>
        <x:v>Not Started</x:v>
      </x:c>
      <x:c r="J503" s="6" t="str">
        <x:v>Not Started</x:v>
      </x:c>
      <x:c r="K503" s="6" t="str">
        <x:v>Normal</x:v>
      </x:c>
      <x:c r="L503" s="6" t="str"/>
      <x:c r="M503" s="6" t="str"/>
      <x:c r="N503" s="6" t="str"/>
      <x:c r="O503" s="7" t="str"/>
      <x:c r="P503" s="6" t="str">
        <x:v>Yes</x:v>
      </x:c>
      <x:c r="Q503" s="7" t="str">
        <x:v>Requires service identity completion.</x:v>
      </x:c>
    </x:row>
    <x:row r="504">
      <x:c r="A504" s="6" t="str">
        <x:v>SEQ-MFR-0174</x:v>
      </x:c>
      <x:c r="B504" s="6" t="str">
        <x:v>Manufacturer Scope</x:v>
      </x:c>
      <x:c r="C504" s="6" t="str">
        <x:v>MFRX-0174</x:v>
      </x:c>
      <x:c r="D504" s="6" t="str">
        <x:v>SVC000174</x:v>
      </x:c>
      <x:c r="E504" s="6" t="str"/>
      <x:c r="F504" s="6" t="str">
        <x:v>Manufacturer-scope review</x:v>
      </x:c>
      <x:c r="G504" s="6" t="n">
        <x:v>3</x:v>
      </x:c>
      <x:c r="H504" s="6" t="str">
        <x:v>SIDX-0174</x:v>
      </x:c>
      <x:c r="I504" s="6" t="str">
        <x:f>IF(H504="","No upstream dependency",IF(ISNUMBER(SEARCH(";",H504)),"Multiple dependencies - verify source queues",IFERROR(XLOOKUP(H504,C2:C1586,J2:J1586),"Dependency not found")))</x:f>
        <x:v>Not Started</x:v>
      </x:c>
      <x:c r="J504" s="6" t="str">
        <x:v>Not Started</x:v>
      </x:c>
      <x:c r="K504" s="6" t="str">
        <x:v>Normal</x:v>
      </x:c>
      <x:c r="L504" s="6" t="str"/>
      <x:c r="M504" s="6" t="str"/>
      <x:c r="N504" s="6" t="str"/>
      <x:c r="O504" s="7" t="str"/>
      <x:c r="P504" s="6" t="str">
        <x:v>Yes</x:v>
      </x:c>
      <x:c r="Q504" s="7" t="str">
        <x:v>Requires service identity completion.</x:v>
      </x:c>
    </x:row>
    <x:row r="505">
      <x:c r="A505" s="6" t="str">
        <x:v>SEQ-MFR-0175</x:v>
      </x:c>
      <x:c r="B505" s="6" t="str">
        <x:v>Manufacturer Scope</x:v>
      </x:c>
      <x:c r="C505" s="6" t="str">
        <x:v>MFRX-0175</x:v>
      </x:c>
      <x:c r="D505" s="6" t="str">
        <x:v>SVC000175</x:v>
      </x:c>
      <x:c r="E505" s="6" t="str"/>
      <x:c r="F505" s="6" t="str">
        <x:v>Manufacturer-scope review</x:v>
      </x:c>
      <x:c r="G505" s="6" t="n">
        <x:v>3</x:v>
      </x:c>
      <x:c r="H505" s="6" t="str">
        <x:v>SIDX-0175</x:v>
      </x:c>
      <x:c r="I505" s="6" t="str">
        <x:f>IF(H505="","No upstream dependency",IF(ISNUMBER(SEARCH(";",H505)),"Multiple dependencies - verify source queues",IFERROR(XLOOKUP(H505,C2:C1586,J2:J1586),"Dependency not found")))</x:f>
        <x:v>Not Started</x:v>
      </x:c>
      <x:c r="J505" s="6" t="str">
        <x:v>Not Started</x:v>
      </x:c>
      <x:c r="K505" s="6" t="str">
        <x:v>Normal</x:v>
      </x:c>
      <x:c r="L505" s="6" t="str"/>
      <x:c r="M505" s="6" t="str"/>
      <x:c r="N505" s="6" t="str"/>
      <x:c r="O505" s="7" t="str"/>
      <x:c r="P505" s="6" t="str">
        <x:v>Yes</x:v>
      </x:c>
      <x:c r="Q505" s="7" t="str">
        <x:v>Requires service identity completion.</x:v>
      </x:c>
    </x:row>
    <x:row r="506">
      <x:c r="A506" s="6" t="str">
        <x:v>SEQ-MFR-0176</x:v>
      </x:c>
      <x:c r="B506" s="6" t="str">
        <x:v>Manufacturer Scope</x:v>
      </x:c>
      <x:c r="C506" s="6" t="str">
        <x:v>MFRX-0176</x:v>
      </x:c>
      <x:c r="D506" s="6" t="str">
        <x:v>SVC000176</x:v>
      </x:c>
      <x:c r="E506" s="6" t="str"/>
      <x:c r="F506" s="6" t="str">
        <x:v>Manufacturer-scope review</x:v>
      </x:c>
      <x:c r="G506" s="6" t="n">
        <x:v>3</x:v>
      </x:c>
      <x:c r="H506" s="6" t="str">
        <x:v>SIDX-0176</x:v>
      </x:c>
      <x:c r="I506" s="6" t="str">
        <x:f>IF(H506="","No upstream dependency",IF(ISNUMBER(SEARCH(";",H506)),"Multiple dependencies - verify source queues",IFERROR(XLOOKUP(H506,C2:C1586,J2:J1586),"Dependency not found")))</x:f>
        <x:v>Not Started</x:v>
      </x:c>
      <x:c r="J506" s="6" t="str">
        <x:v>Not Started</x:v>
      </x:c>
      <x:c r="K506" s="6" t="str">
        <x:v>Normal</x:v>
      </x:c>
      <x:c r="L506" s="6" t="str"/>
      <x:c r="M506" s="6" t="str"/>
      <x:c r="N506" s="6" t="str"/>
      <x:c r="O506" s="7" t="str"/>
      <x:c r="P506" s="6" t="str">
        <x:v>Yes</x:v>
      </x:c>
      <x:c r="Q506" s="7" t="str">
        <x:v>Requires service identity completion.</x:v>
      </x:c>
    </x:row>
    <x:row r="507">
      <x:c r="A507" s="6" t="str">
        <x:v>SEQ-MFR-0177</x:v>
      </x:c>
      <x:c r="B507" s="6" t="str">
        <x:v>Manufacturer Scope</x:v>
      </x:c>
      <x:c r="C507" s="6" t="str">
        <x:v>MFRX-0177</x:v>
      </x:c>
      <x:c r="D507" s="6" t="str">
        <x:v>SVC000177</x:v>
      </x:c>
      <x:c r="E507" s="6" t="str"/>
      <x:c r="F507" s="6" t="str">
        <x:v>Manufacturer-scope review</x:v>
      </x:c>
      <x:c r="G507" s="6" t="n">
        <x:v>3</x:v>
      </x:c>
      <x:c r="H507" s="6" t="str">
        <x:v>SIDX-0177</x:v>
      </x:c>
      <x:c r="I507" s="6" t="str">
        <x:f>IF(H507="","No upstream dependency",IF(ISNUMBER(SEARCH(";",H507)),"Multiple dependencies - verify source queues",IFERROR(XLOOKUP(H507,C2:C1586,J2:J1586),"Dependency not found")))</x:f>
        <x:v>Not Started</x:v>
      </x:c>
      <x:c r="J507" s="6" t="str">
        <x:v>Not Started</x:v>
      </x:c>
      <x:c r="K507" s="6" t="str">
        <x:v>Normal</x:v>
      </x:c>
      <x:c r="L507" s="6" t="str"/>
      <x:c r="M507" s="6" t="str"/>
      <x:c r="N507" s="6" t="str"/>
      <x:c r="O507" s="7" t="str"/>
      <x:c r="P507" s="6" t="str">
        <x:v>Yes</x:v>
      </x:c>
      <x:c r="Q507" s="7" t="str">
        <x:v>Requires service identity completion.</x:v>
      </x:c>
    </x:row>
    <x:row r="508">
      <x:c r="A508" s="6" t="str">
        <x:v>SEQ-MFR-0178</x:v>
      </x:c>
      <x:c r="B508" s="6" t="str">
        <x:v>Manufacturer Scope</x:v>
      </x:c>
      <x:c r="C508" s="6" t="str">
        <x:v>MFRX-0178</x:v>
      </x:c>
      <x:c r="D508" s="6" t="str">
        <x:v>SVC000178</x:v>
      </x:c>
      <x:c r="E508" s="6" t="str"/>
      <x:c r="F508" s="6" t="str">
        <x:v>Manufacturer-scope review</x:v>
      </x:c>
      <x:c r="G508" s="6" t="n">
        <x:v>3</x:v>
      </x:c>
      <x:c r="H508" s="6" t="str">
        <x:v>SIDX-0178</x:v>
      </x:c>
      <x:c r="I508" s="6" t="str">
        <x:f>IF(H508="","No upstream dependency",IF(ISNUMBER(SEARCH(";",H508)),"Multiple dependencies - verify source queues",IFERROR(XLOOKUP(H508,C2:C1586,J2:J1586),"Dependency not found")))</x:f>
        <x:v>Not Started</x:v>
      </x:c>
      <x:c r="J508" s="6" t="str">
        <x:v>Not Started</x:v>
      </x:c>
      <x:c r="K508" s="6" t="str">
        <x:v>Normal</x:v>
      </x:c>
      <x:c r="L508" s="6" t="str"/>
      <x:c r="M508" s="6" t="str"/>
      <x:c r="N508" s="6" t="str"/>
      <x:c r="O508" s="7" t="str"/>
      <x:c r="P508" s="6" t="str">
        <x:v>Yes</x:v>
      </x:c>
      <x:c r="Q508" s="7" t="str">
        <x:v>Requires service identity completion.</x:v>
      </x:c>
    </x:row>
    <x:row r="509">
      <x:c r="A509" s="6" t="str">
        <x:v>SEQ-MFR-0179</x:v>
      </x:c>
      <x:c r="B509" s="6" t="str">
        <x:v>Manufacturer Scope</x:v>
      </x:c>
      <x:c r="C509" s="6" t="str">
        <x:v>MFRX-0179</x:v>
      </x:c>
      <x:c r="D509" s="6" t="str">
        <x:v>SVC000179</x:v>
      </x:c>
      <x:c r="E509" s="6" t="str"/>
      <x:c r="F509" s="6" t="str">
        <x:v>Manufacturer-scope review</x:v>
      </x:c>
      <x:c r="G509" s="6" t="n">
        <x:v>3</x:v>
      </x:c>
      <x:c r="H509" s="6" t="str">
        <x:v>SIDX-0179</x:v>
      </x:c>
      <x:c r="I509" s="6" t="str">
        <x:f>IF(H509="","No upstream dependency",IF(ISNUMBER(SEARCH(";",H509)),"Multiple dependencies - verify source queues",IFERROR(XLOOKUP(H509,C2:C1586,J2:J1586),"Dependency not found")))</x:f>
        <x:v>Not Started</x:v>
      </x:c>
      <x:c r="J509" s="6" t="str">
        <x:v>Not Started</x:v>
      </x:c>
      <x:c r="K509" s="6" t="str">
        <x:v>Normal</x:v>
      </x:c>
      <x:c r="L509" s="6" t="str"/>
      <x:c r="M509" s="6" t="str"/>
      <x:c r="N509" s="6" t="str"/>
      <x:c r="O509" s="7" t="str"/>
      <x:c r="P509" s="6" t="str">
        <x:v>Yes</x:v>
      </x:c>
      <x:c r="Q509" s="7" t="str">
        <x:v>Requires service identity completion.</x:v>
      </x:c>
    </x:row>
    <x:row r="510">
      <x:c r="A510" s="6" t="str">
        <x:v>SEQ-MFR-0180</x:v>
      </x:c>
      <x:c r="B510" s="6" t="str">
        <x:v>Manufacturer Scope</x:v>
      </x:c>
      <x:c r="C510" s="6" t="str">
        <x:v>MFRX-0180</x:v>
      </x:c>
      <x:c r="D510" s="6" t="str">
        <x:v>SVC000180</x:v>
      </x:c>
      <x:c r="E510" s="6" t="str"/>
      <x:c r="F510" s="6" t="str">
        <x:v>Manufacturer-scope review</x:v>
      </x:c>
      <x:c r="G510" s="6" t="n">
        <x:v>3</x:v>
      </x:c>
      <x:c r="H510" s="6" t="str">
        <x:v>SIDX-0180</x:v>
      </x:c>
      <x:c r="I510" s="6" t="str">
        <x:f>IF(H510="","No upstream dependency",IF(ISNUMBER(SEARCH(";",H510)),"Multiple dependencies - verify source queues",IFERROR(XLOOKUP(H510,C2:C1586,J2:J1586),"Dependency not found")))</x:f>
        <x:v>Not Started</x:v>
      </x:c>
      <x:c r="J510" s="6" t="str">
        <x:v>Not Started</x:v>
      </x:c>
      <x:c r="K510" s="6" t="str">
        <x:v>Normal</x:v>
      </x:c>
      <x:c r="L510" s="6" t="str"/>
      <x:c r="M510" s="6" t="str"/>
      <x:c r="N510" s="6" t="str"/>
      <x:c r="O510" s="7" t="str"/>
      <x:c r="P510" s="6" t="str">
        <x:v>Yes</x:v>
      </x:c>
      <x:c r="Q510" s="7" t="str">
        <x:v>Requires service identity completion.</x:v>
      </x:c>
    </x:row>
    <x:row r="511">
      <x:c r="A511" s="6" t="str">
        <x:v>SEQ-MFR-0181</x:v>
      </x:c>
      <x:c r="B511" s="6" t="str">
        <x:v>Manufacturer Scope</x:v>
      </x:c>
      <x:c r="C511" s="6" t="str">
        <x:v>MFRX-0181</x:v>
      </x:c>
      <x:c r="D511" s="6" t="str">
        <x:v>SVC000181</x:v>
      </x:c>
      <x:c r="E511" s="6" t="str"/>
      <x:c r="F511" s="6" t="str">
        <x:v>Manufacturer-scope review</x:v>
      </x:c>
      <x:c r="G511" s="6" t="n">
        <x:v>3</x:v>
      </x:c>
      <x:c r="H511" s="6" t="str">
        <x:v>SIDX-0181</x:v>
      </x:c>
      <x:c r="I511" s="6" t="str">
        <x:f>IF(H511="","No upstream dependency",IF(ISNUMBER(SEARCH(";",H511)),"Multiple dependencies - verify source queues",IFERROR(XLOOKUP(H511,C2:C1586,J2:J1586),"Dependency not found")))</x:f>
        <x:v>Not Started</x:v>
      </x:c>
      <x:c r="J511" s="6" t="str">
        <x:v>Not Started</x:v>
      </x:c>
      <x:c r="K511" s="6" t="str">
        <x:v>Normal</x:v>
      </x:c>
      <x:c r="L511" s="6" t="str"/>
      <x:c r="M511" s="6" t="str"/>
      <x:c r="N511" s="6" t="str"/>
      <x:c r="O511" s="7" t="str"/>
      <x:c r="P511" s="6" t="str">
        <x:v>Yes</x:v>
      </x:c>
      <x:c r="Q511" s="7" t="str">
        <x:v>Requires service identity completion.</x:v>
      </x:c>
    </x:row>
    <x:row r="512">
      <x:c r="A512" s="6" t="str">
        <x:v>SEQ-MFR-0182</x:v>
      </x:c>
      <x:c r="B512" s="6" t="str">
        <x:v>Manufacturer Scope</x:v>
      </x:c>
      <x:c r="C512" s="6" t="str">
        <x:v>MFRX-0182</x:v>
      </x:c>
      <x:c r="D512" s="6" t="str">
        <x:v>SVC000182</x:v>
      </x:c>
      <x:c r="E512" s="6" t="str"/>
      <x:c r="F512" s="6" t="str">
        <x:v>Manufacturer-scope review</x:v>
      </x:c>
      <x:c r="G512" s="6" t="n">
        <x:v>3</x:v>
      </x:c>
      <x:c r="H512" s="6" t="str">
        <x:v>SIDX-0182</x:v>
      </x:c>
      <x:c r="I512" s="6" t="str">
        <x:f>IF(H512="","No upstream dependency",IF(ISNUMBER(SEARCH(";",H512)),"Multiple dependencies - verify source queues",IFERROR(XLOOKUP(H512,C2:C1586,J2:J1586),"Dependency not found")))</x:f>
        <x:v>Not Started</x:v>
      </x:c>
      <x:c r="J512" s="6" t="str">
        <x:v>Not Started</x:v>
      </x:c>
      <x:c r="K512" s="6" t="str">
        <x:v>Normal</x:v>
      </x:c>
      <x:c r="L512" s="6" t="str"/>
      <x:c r="M512" s="6" t="str"/>
      <x:c r="N512" s="6" t="str"/>
      <x:c r="O512" s="7" t="str"/>
      <x:c r="P512" s="6" t="str">
        <x:v>Yes</x:v>
      </x:c>
      <x:c r="Q512" s="7" t="str">
        <x:v>Requires service identity completion.</x:v>
      </x:c>
    </x:row>
    <x:row r="513">
      <x:c r="A513" s="6" t="str">
        <x:v>SEQ-MFR-0183</x:v>
      </x:c>
      <x:c r="B513" s="6" t="str">
        <x:v>Manufacturer Scope</x:v>
      </x:c>
      <x:c r="C513" s="6" t="str">
        <x:v>MFRX-0183</x:v>
      </x:c>
      <x:c r="D513" s="6" t="str">
        <x:v>SVC000183</x:v>
      </x:c>
      <x:c r="E513" s="6" t="str"/>
      <x:c r="F513" s="6" t="str">
        <x:v>Manufacturer-scope review</x:v>
      </x:c>
      <x:c r="G513" s="6" t="n">
        <x:v>3</x:v>
      </x:c>
      <x:c r="H513" s="6" t="str">
        <x:v>SIDX-0183</x:v>
      </x:c>
      <x:c r="I513" s="6" t="str">
        <x:f>IF(H513="","No upstream dependency",IF(ISNUMBER(SEARCH(";",H513)),"Multiple dependencies - verify source queues",IFERROR(XLOOKUP(H513,C2:C1586,J2:J1586),"Dependency not found")))</x:f>
        <x:v>Not Started</x:v>
      </x:c>
      <x:c r="J513" s="6" t="str">
        <x:v>Not Started</x:v>
      </x:c>
      <x:c r="K513" s="6" t="str">
        <x:v>Normal</x:v>
      </x:c>
      <x:c r="L513" s="6" t="str"/>
      <x:c r="M513" s="6" t="str"/>
      <x:c r="N513" s="6" t="str"/>
      <x:c r="O513" s="7" t="str"/>
      <x:c r="P513" s="6" t="str">
        <x:v>Yes</x:v>
      </x:c>
      <x:c r="Q513" s="7" t="str">
        <x:v>Requires service identity completion.</x:v>
      </x:c>
    </x:row>
    <x:row r="514">
      <x:c r="A514" s="6" t="str">
        <x:v>SEQ-MFR-0184</x:v>
      </x:c>
      <x:c r="B514" s="6" t="str">
        <x:v>Manufacturer Scope</x:v>
      </x:c>
      <x:c r="C514" s="6" t="str">
        <x:v>MFRX-0184</x:v>
      </x:c>
      <x:c r="D514" s="6" t="str">
        <x:v>SVC000184</x:v>
      </x:c>
      <x:c r="E514" s="6" t="str"/>
      <x:c r="F514" s="6" t="str">
        <x:v>Manufacturer-scope review</x:v>
      </x:c>
      <x:c r="G514" s="6" t="n">
        <x:v>3</x:v>
      </x:c>
      <x:c r="H514" s="6" t="str">
        <x:v>SIDX-0184</x:v>
      </x:c>
      <x:c r="I514" s="6" t="str">
        <x:f>IF(H514="","No upstream dependency",IF(ISNUMBER(SEARCH(";",H514)),"Multiple dependencies - verify source queues",IFERROR(XLOOKUP(H514,C2:C1586,J2:J1586),"Dependency not found")))</x:f>
        <x:v>Not Started</x:v>
      </x:c>
      <x:c r="J514" s="6" t="str">
        <x:v>Not Started</x:v>
      </x:c>
      <x:c r="K514" s="6" t="str">
        <x:v>Normal</x:v>
      </x:c>
      <x:c r="L514" s="6" t="str"/>
      <x:c r="M514" s="6" t="str"/>
      <x:c r="N514" s="6" t="str"/>
      <x:c r="O514" s="7" t="str"/>
      <x:c r="P514" s="6" t="str">
        <x:v>Yes</x:v>
      </x:c>
      <x:c r="Q514" s="7" t="str">
        <x:v>Requires service identity completion.</x:v>
      </x:c>
    </x:row>
    <x:row r="515">
      <x:c r="A515" s="6" t="str">
        <x:v>SEQ-MFR-0185</x:v>
      </x:c>
      <x:c r="B515" s="6" t="str">
        <x:v>Manufacturer Scope</x:v>
      </x:c>
      <x:c r="C515" s="6" t="str">
        <x:v>MFRX-0185</x:v>
      </x:c>
      <x:c r="D515" s="6" t="str">
        <x:v>SVC000185</x:v>
      </x:c>
      <x:c r="E515" s="6" t="str"/>
      <x:c r="F515" s="6" t="str">
        <x:v>Manufacturer-scope review</x:v>
      </x:c>
      <x:c r="G515" s="6" t="n">
        <x:v>3</x:v>
      </x:c>
      <x:c r="H515" s="6" t="str">
        <x:v>SIDX-0185</x:v>
      </x:c>
      <x:c r="I515" s="6" t="str">
        <x:f>IF(H515="","No upstream dependency",IF(ISNUMBER(SEARCH(";",H515)),"Multiple dependencies - verify source queues",IFERROR(XLOOKUP(H515,C2:C1586,J2:J1586),"Dependency not found")))</x:f>
        <x:v>Not Started</x:v>
      </x:c>
      <x:c r="J515" s="6" t="str">
        <x:v>Not Started</x:v>
      </x:c>
      <x:c r="K515" s="6" t="str">
        <x:v>Normal</x:v>
      </x:c>
      <x:c r="L515" s="6" t="str"/>
      <x:c r="M515" s="6" t="str"/>
      <x:c r="N515" s="6" t="str"/>
      <x:c r="O515" s="7" t="str"/>
      <x:c r="P515" s="6" t="str">
        <x:v>Yes</x:v>
      </x:c>
      <x:c r="Q515" s="7" t="str">
        <x:v>Requires service identity completion.</x:v>
      </x:c>
    </x:row>
    <x:row r="516">
      <x:c r="A516" s="6" t="str">
        <x:v>SEQ-MFR-0186</x:v>
      </x:c>
      <x:c r="B516" s="6" t="str">
        <x:v>Manufacturer Scope</x:v>
      </x:c>
      <x:c r="C516" s="6" t="str">
        <x:v>MFRX-0186</x:v>
      </x:c>
      <x:c r="D516" s="6" t="str">
        <x:v>SVC000186</x:v>
      </x:c>
      <x:c r="E516" s="6" t="str"/>
      <x:c r="F516" s="6" t="str">
        <x:v>Manufacturer-scope review</x:v>
      </x:c>
      <x:c r="G516" s="6" t="n">
        <x:v>3</x:v>
      </x:c>
      <x:c r="H516" s="6" t="str">
        <x:v>SIDX-0186</x:v>
      </x:c>
      <x:c r="I516" s="6" t="str">
        <x:f>IF(H516="","No upstream dependency",IF(ISNUMBER(SEARCH(";",H516)),"Multiple dependencies - verify source queues",IFERROR(XLOOKUP(H516,C2:C1586,J2:J1586),"Dependency not found")))</x:f>
        <x:v>Not Started</x:v>
      </x:c>
      <x:c r="J516" s="6" t="str">
        <x:v>Not Started</x:v>
      </x:c>
      <x:c r="K516" s="6" t="str">
        <x:v>Normal</x:v>
      </x:c>
      <x:c r="L516" s="6" t="str"/>
      <x:c r="M516" s="6" t="str"/>
      <x:c r="N516" s="6" t="str"/>
      <x:c r="O516" s="7" t="str"/>
      <x:c r="P516" s="6" t="str">
        <x:v>Yes</x:v>
      </x:c>
      <x:c r="Q516" s="7" t="str">
        <x:v>Requires service identity completion.</x:v>
      </x:c>
    </x:row>
    <x:row r="517">
      <x:c r="A517" s="6" t="str">
        <x:v>SEQ-MFR-0187</x:v>
      </x:c>
      <x:c r="B517" s="6" t="str">
        <x:v>Manufacturer Scope</x:v>
      </x:c>
      <x:c r="C517" s="6" t="str">
        <x:v>MFRX-0187</x:v>
      </x:c>
      <x:c r="D517" s="6" t="str">
        <x:v>SVC000187</x:v>
      </x:c>
      <x:c r="E517" s="6" t="str"/>
      <x:c r="F517" s="6" t="str">
        <x:v>Manufacturer-scope review</x:v>
      </x:c>
      <x:c r="G517" s="6" t="n">
        <x:v>3</x:v>
      </x:c>
      <x:c r="H517" s="6" t="str">
        <x:v>SIDX-0187</x:v>
      </x:c>
      <x:c r="I517" s="6" t="str">
        <x:f>IF(H517="","No upstream dependency",IF(ISNUMBER(SEARCH(";",H517)),"Multiple dependencies - verify source queues",IFERROR(XLOOKUP(H517,C2:C1586,J2:J1586),"Dependency not found")))</x:f>
        <x:v>Not Started</x:v>
      </x:c>
      <x:c r="J517" s="6" t="str">
        <x:v>Not Started</x:v>
      </x:c>
      <x:c r="K517" s="6" t="str">
        <x:v>Normal</x:v>
      </x:c>
      <x:c r="L517" s="6" t="str"/>
      <x:c r="M517" s="6" t="str"/>
      <x:c r="N517" s="6" t="str"/>
      <x:c r="O517" s="7" t="str"/>
      <x:c r="P517" s="6" t="str">
        <x:v>Yes</x:v>
      </x:c>
      <x:c r="Q517" s="7" t="str">
        <x:v>Requires service identity completion.</x:v>
      </x:c>
    </x:row>
    <x:row r="518">
      <x:c r="A518" s="6" t="str">
        <x:v>SEQ-MFR-0188</x:v>
      </x:c>
      <x:c r="B518" s="6" t="str">
        <x:v>Manufacturer Scope</x:v>
      </x:c>
      <x:c r="C518" s="6" t="str">
        <x:v>MFRX-0188</x:v>
      </x:c>
      <x:c r="D518" s="6" t="str">
        <x:v>SVC000188</x:v>
      </x:c>
      <x:c r="E518" s="6" t="str"/>
      <x:c r="F518" s="6" t="str">
        <x:v>Manufacturer-scope review</x:v>
      </x:c>
      <x:c r="G518" s="6" t="n">
        <x:v>3</x:v>
      </x:c>
      <x:c r="H518" s="6" t="str">
        <x:v>SIDX-0188</x:v>
      </x:c>
      <x:c r="I518" s="6" t="str">
        <x:f>IF(H518="","No upstream dependency",IF(ISNUMBER(SEARCH(";",H518)),"Multiple dependencies - verify source queues",IFERROR(XLOOKUP(H518,C2:C1586,J2:J1586),"Dependency not found")))</x:f>
        <x:v>Not Started</x:v>
      </x:c>
      <x:c r="J518" s="6" t="str">
        <x:v>Not Started</x:v>
      </x:c>
      <x:c r="K518" s="6" t="str">
        <x:v>Normal</x:v>
      </x:c>
      <x:c r="L518" s="6" t="str"/>
      <x:c r="M518" s="6" t="str"/>
      <x:c r="N518" s="6" t="str"/>
      <x:c r="O518" s="7" t="str"/>
      <x:c r="P518" s="6" t="str">
        <x:v>Yes</x:v>
      </x:c>
      <x:c r="Q518" s="7" t="str">
        <x:v>Requires service identity completion.</x:v>
      </x:c>
    </x:row>
    <x:row r="519">
      <x:c r="A519" s="6" t="str">
        <x:v>SEQ-MFR-0189</x:v>
      </x:c>
      <x:c r="B519" s="6" t="str">
        <x:v>Manufacturer Scope</x:v>
      </x:c>
      <x:c r="C519" s="6" t="str">
        <x:v>MFRX-0189</x:v>
      </x:c>
      <x:c r="D519" s="6" t="str">
        <x:v>SVC000189</x:v>
      </x:c>
      <x:c r="E519" s="6" t="str"/>
      <x:c r="F519" s="6" t="str">
        <x:v>Manufacturer-scope review</x:v>
      </x:c>
      <x:c r="G519" s="6" t="n">
        <x:v>3</x:v>
      </x:c>
      <x:c r="H519" s="6" t="str">
        <x:v>SIDX-0189</x:v>
      </x:c>
      <x:c r="I519" s="6" t="str">
        <x:f>IF(H519="","No upstream dependency",IF(ISNUMBER(SEARCH(";",H519)),"Multiple dependencies - verify source queues",IFERROR(XLOOKUP(H519,C2:C1586,J2:J1586),"Dependency not found")))</x:f>
        <x:v>Not Started</x:v>
      </x:c>
      <x:c r="J519" s="6" t="str">
        <x:v>Not Started</x:v>
      </x:c>
      <x:c r="K519" s="6" t="str">
        <x:v>Normal</x:v>
      </x:c>
      <x:c r="L519" s="6" t="str"/>
      <x:c r="M519" s="6" t="str"/>
      <x:c r="N519" s="6" t="str"/>
      <x:c r="O519" s="7" t="str"/>
      <x:c r="P519" s="6" t="str">
        <x:v>Yes</x:v>
      </x:c>
      <x:c r="Q519" s="7" t="str">
        <x:v>Requires service identity completion.</x:v>
      </x:c>
    </x:row>
    <x:row r="520">
      <x:c r="A520" s="6" t="str">
        <x:v>SEQ-MFR-0190</x:v>
      </x:c>
      <x:c r="B520" s="6" t="str">
        <x:v>Manufacturer Scope</x:v>
      </x:c>
      <x:c r="C520" s="6" t="str">
        <x:v>MFRX-0190</x:v>
      </x:c>
      <x:c r="D520" s="6" t="str">
        <x:v>SVC000190</x:v>
      </x:c>
      <x:c r="E520" s="6" t="str"/>
      <x:c r="F520" s="6" t="str">
        <x:v>Manufacturer-scope review</x:v>
      </x:c>
      <x:c r="G520" s="6" t="n">
        <x:v>3</x:v>
      </x:c>
      <x:c r="H520" s="6" t="str">
        <x:v>SIDX-0190</x:v>
      </x:c>
      <x:c r="I520" s="6" t="str">
        <x:f>IF(H520="","No upstream dependency",IF(ISNUMBER(SEARCH(";",H520)),"Multiple dependencies - verify source queues",IFERROR(XLOOKUP(H520,C2:C1586,J2:J1586),"Dependency not found")))</x:f>
        <x:v>Not Started</x:v>
      </x:c>
      <x:c r="J520" s="6" t="str">
        <x:v>Not Started</x:v>
      </x:c>
      <x:c r="K520" s="6" t="str">
        <x:v>Normal</x:v>
      </x:c>
      <x:c r="L520" s="6" t="str"/>
      <x:c r="M520" s="6" t="str"/>
      <x:c r="N520" s="6" t="str"/>
      <x:c r="O520" s="7" t="str"/>
      <x:c r="P520" s="6" t="str">
        <x:v>Yes</x:v>
      </x:c>
      <x:c r="Q520" s="7" t="str">
        <x:v>Requires service identity completion.</x:v>
      </x:c>
    </x:row>
    <x:row r="521">
      <x:c r="A521" s="6" t="str">
        <x:v>SEQ-MFR-0191</x:v>
      </x:c>
      <x:c r="B521" s="6" t="str">
        <x:v>Manufacturer Scope</x:v>
      </x:c>
      <x:c r="C521" s="6" t="str">
        <x:v>MFRX-0191</x:v>
      </x:c>
      <x:c r="D521" s="6" t="str">
        <x:v>SVC000191</x:v>
      </x:c>
      <x:c r="E521" s="6" t="str"/>
      <x:c r="F521" s="6" t="str">
        <x:v>Manufacturer-scope review</x:v>
      </x:c>
      <x:c r="G521" s="6" t="n">
        <x:v>3</x:v>
      </x:c>
      <x:c r="H521" s="6" t="str">
        <x:v>SIDX-0191</x:v>
      </x:c>
      <x:c r="I521" s="6" t="str">
        <x:f>IF(H521="","No upstream dependency",IF(ISNUMBER(SEARCH(";",H521)),"Multiple dependencies - verify source queues",IFERROR(XLOOKUP(H521,C2:C1586,J2:J1586),"Dependency not found")))</x:f>
        <x:v>Not Started</x:v>
      </x:c>
      <x:c r="J521" s="6" t="str">
        <x:v>Not Started</x:v>
      </x:c>
      <x:c r="K521" s="6" t="str">
        <x:v>Normal</x:v>
      </x:c>
      <x:c r="L521" s="6" t="str"/>
      <x:c r="M521" s="6" t="str"/>
      <x:c r="N521" s="6" t="str"/>
      <x:c r="O521" s="7" t="str"/>
      <x:c r="P521" s="6" t="str">
        <x:v>Yes</x:v>
      </x:c>
      <x:c r="Q521" s="7" t="str">
        <x:v>Requires service identity completion.</x:v>
      </x:c>
    </x:row>
    <x:row r="522">
      <x:c r="A522" s="6" t="str">
        <x:v>SEQ-MFR-0192</x:v>
      </x:c>
      <x:c r="B522" s="6" t="str">
        <x:v>Manufacturer Scope</x:v>
      </x:c>
      <x:c r="C522" s="6" t="str">
        <x:v>MFRX-0192</x:v>
      </x:c>
      <x:c r="D522" s="6" t="str">
        <x:v>SVC000192</x:v>
      </x:c>
      <x:c r="E522" s="6" t="str"/>
      <x:c r="F522" s="6" t="str">
        <x:v>Manufacturer-scope review</x:v>
      </x:c>
      <x:c r="G522" s="6" t="n">
        <x:v>3</x:v>
      </x:c>
      <x:c r="H522" s="6" t="str">
        <x:v>SIDX-0192</x:v>
      </x:c>
      <x:c r="I522" s="6" t="str">
        <x:f>IF(H522="","No upstream dependency",IF(ISNUMBER(SEARCH(";",H522)),"Multiple dependencies - verify source queues",IFERROR(XLOOKUP(H522,C2:C1586,J2:J1586),"Dependency not found")))</x:f>
        <x:v>Not Started</x:v>
      </x:c>
      <x:c r="J522" s="6" t="str">
        <x:v>Not Started</x:v>
      </x:c>
      <x:c r="K522" s="6" t="str">
        <x:v>Normal</x:v>
      </x:c>
      <x:c r="L522" s="6" t="str"/>
      <x:c r="M522" s="6" t="str"/>
      <x:c r="N522" s="6" t="str"/>
      <x:c r="O522" s="7" t="str"/>
      <x:c r="P522" s="6" t="str">
        <x:v>Yes</x:v>
      </x:c>
      <x:c r="Q522" s="7" t="str">
        <x:v>Requires service identity completion.</x:v>
      </x:c>
    </x:row>
    <x:row r="523">
      <x:c r="A523" s="6" t="str">
        <x:v>SEQ-MFR-0193</x:v>
      </x:c>
      <x:c r="B523" s="6" t="str">
        <x:v>Manufacturer Scope</x:v>
      </x:c>
      <x:c r="C523" s="6" t="str">
        <x:v>MFRX-0193</x:v>
      </x:c>
      <x:c r="D523" s="6" t="str">
        <x:v>SVC000193</x:v>
      </x:c>
      <x:c r="E523" s="6" t="str"/>
      <x:c r="F523" s="6" t="str">
        <x:v>Manufacturer-scope review</x:v>
      </x:c>
      <x:c r="G523" s="6" t="n">
        <x:v>3</x:v>
      </x:c>
      <x:c r="H523" s="6" t="str">
        <x:v>SIDX-0193</x:v>
      </x:c>
      <x:c r="I523" s="6" t="str">
        <x:f>IF(H523="","No upstream dependency",IF(ISNUMBER(SEARCH(";",H523)),"Multiple dependencies - verify source queues",IFERROR(XLOOKUP(H523,C2:C1586,J2:J1586),"Dependency not found")))</x:f>
        <x:v>Not Started</x:v>
      </x:c>
      <x:c r="J523" s="6" t="str">
        <x:v>Not Started</x:v>
      </x:c>
      <x:c r="K523" s="6" t="str">
        <x:v>Normal</x:v>
      </x:c>
      <x:c r="L523" s="6" t="str"/>
      <x:c r="M523" s="6" t="str"/>
      <x:c r="N523" s="6" t="str"/>
      <x:c r="O523" s="7" t="str"/>
      <x:c r="P523" s="6" t="str">
        <x:v>Yes</x:v>
      </x:c>
      <x:c r="Q523" s="7" t="str">
        <x:v>Requires service identity completion.</x:v>
      </x:c>
    </x:row>
    <x:row r="524">
      <x:c r="A524" s="6" t="str">
        <x:v>SEQ-MFR-0194</x:v>
      </x:c>
      <x:c r="B524" s="6" t="str">
        <x:v>Manufacturer Scope</x:v>
      </x:c>
      <x:c r="C524" s="6" t="str">
        <x:v>MFRX-0194</x:v>
      </x:c>
      <x:c r="D524" s="6" t="str">
        <x:v>SVC000194</x:v>
      </x:c>
      <x:c r="E524" s="6" t="str"/>
      <x:c r="F524" s="6" t="str">
        <x:v>Manufacturer-scope review</x:v>
      </x:c>
      <x:c r="G524" s="6" t="n">
        <x:v>3</x:v>
      </x:c>
      <x:c r="H524" s="6" t="str">
        <x:v>SIDX-0194</x:v>
      </x:c>
      <x:c r="I524" s="6" t="str">
        <x:f>IF(H524="","No upstream dependency",IF(ISNUMBER(SEARCH(";",H524)),"Multiple dependencies - verify source queues",IFERROR(XLOOKUP(H524,C2:C1586,J2:J1586),"Dependency not found")))</x:f>
        <x:v>Not Started</x:v>
      </x:c>
      <x:c r="J524" s="6" t="str">
        <x:v>Not Started</x:v>
      </x:c>
      <x:c r="K524" s="6" t="str">
        <x:v>Normal</x:v>
      </x:c>
      <x:c r="L524" s="6" t="str"/>
      <x:c r="M524" s="6" t="str"/>
      <x:c r="N524" s="6" t="str"/>
      <x:c r="O524" s="7" t="str"/>
      <x:c r="P524" s="6" t="str">
        <x:v>Yes</x:v>
      </x:c>
      <x:c r="Q524" s="7" t="str">
        <x:v>Requires service identity completion.</x:v>
      </x:c>
    </x:row>
    <x:row r="525">
      <x:c r="A525" s="6" t="str">
        <x:v>SEQ-MFR-0195</x:v>
      </x:c>
      <x:c r="B525" s="6" t="str">
        <x:v>Manufacturer Scope</x:v>
      </x:c>
      <x:c r="C525" s="6" t="str">
        <x:v>MFRX-0195</x:v>
      </x:c>
      <x:c r="D525" s="6" t="str">
        <x:v>SVC000195</x:v>
      </x:c>
      <x:c r="E525" s="6" t="str"/>
      <x:c r="F525" s="6" t="str">
        <x:v>Manufacturer-scope review</x:v>
      </x:c>
      <x:c r="G525" s="6" t="n">
        <x:v>3</x:v>
      </x:c>
      <x:c r="H525" s="6" t="str">
        <x:v>SIDX-0195</x:v>
      </x:c>
      <x:c r="I525" s="6" t="str">
        <x:f>IF(H525="","No upstream dependency",IF(ISNUMBER(SEARCH(";",H525)),"Multiple dependencies - verify source queues",IFERROR(XLOOKUP(H525,C2:C1586,J2:J1586),"Dependency not found")))</x:f>
        <x:v>Not Started</x:v>
      </x:c>
      <x:c r="J525" s="6" t="str">
        <x:v>Not Started</x:v>
      </x:c>
      <x:c r="K525" s="6" t="str">
        <x:v>Normal</x:v>
      </x:c>
      <x:c r="L525" s="6" t="str"/>
      <x:c r="M525" s="6" t="str"/>
      <x:c r="N525" s="6" t="str"/>
      <x:c r="O525" s="7" t="str"/>
      <x:c r="P525" s="6" t="str">
        <x:v>Yes</x:v>
      </x:c>
      <x:c r="Q525" s="7" t="str">
        <x:v>Requires service identity completion.</x:v>
      </x:c>
    </x:row>
    <x:row r="526">
      <x:c r="A526" s="6" t="str">
        <x:v>SEQ-MFR-0196</x:v>
      </x:c>
      <x:c r="B526" s="6" t="str">
        <x:v>Manufacturer Scope</x:v>
      </x:c>
      <x:c r="C526" s="6" t="str">
        <x:v>MFRX-0196</x:v>
      </x:c>
      <x:c r="D526" s="6" t="str">
        <x:v>SVC000196</x:v>
      </x:c>
      <x:c r="E526" s="6" t="str"/>
      <x:c r="F526" s="6" t="str">
        <x:v>Manufacturer-scope review</x:v>
      </x:c>
      <x:c r="G526" s="6" t="n">
        <x:v>3</x:v>
      </x:c>
      <x:c r="H526" s="6" t="str">
        <x:v>SIDX-0196</x:v>
      </x:c>
      <x:c r="I526" s="6" t="str">
        <x:f>IF(H526="","No upstream dependency",IF(ISNUMBER(SEARCH(";",H526)),"Multiple dependencies - verify source queues",IFERROR(XLOOKUP(H526,C2:C1586,J2:J1586),"Dependency not found")))</x:f>
        <x:v>Not Started</x:v>
      </x:c>
      <x:c r="J526" s="6" t="str">
        <x:v>Not Started</x:v>
      </x:c>
      <x:c r="K526" s="6" t="str">
        <x:v>Normal</x:v>
      </x:c>
      <x:c r="L526" s="6" t="str"/>
      <x:c r="M526" s="6" t="str"/>
      <x:c r="N526" s="6" t="str"/>
      <x:c r="O526" s="7" t="str"/>
      <x:c r="P526" s="6" t="str">
        <x:v>Yes</x:v>
      </x:c>
      <x:c r="Q526" s="7" t="str">
        <x:v>Requires service identity completion.</x:v>
      </x:c>
    </x:row>
    <x:row r="527">
      <x:c r="A527" s="6" t="str">
        <x:v>SEQ-MFR-0197</x:v>
      </x:c>
      <x:c r="B527" s="6" t="str">
        <x:v>Manufacturer Scope</x:v>
      </x:c>
      <x:c r="C527" s="6" t="str">
        <x:v>MFRX-0197</x:v>
      </x:c>
      <x:c r="D527" s="6" t="str">
        <x:v>SVC000197</x:v>
      </x:c>
      <x:c r="E527" s="6" t="str"/>
      <x:c r="F527" s="6" t="str">
        <x:v>Manufacturer-scope review</x:v>
      </x:c>
      <x:c r="G527" s="6" t="n">
        <x:v>3</x:v>
      </x:c>
      <x:c r="H527" s="6" t="str">
        <x:v>SIDX-0197</x:v>
      </x:c>
      <x:c r="I527" s="6" t="str">
        <x:f>IF(H527="","No upstream dependency",IF(ISNUMBER(SEARCH(";",H527)),"Multiple dependencies - verify source queues",IFERROR(XLOOKUP(H527,C2:C1586,J2:J1586),"Dependency not found")))</x:f>
        <x:v>Not Started</x:v>
      </x:c>
      <x:c r="J527" s="6" t="str">
        <x:v>Not Started</x:v>
      </x:c>
      <x:c r="K527" s="6" t="str">
        <x:v>Normal</x:v>
      </x:c>
      <x:c r="L527" s="6" t="str"/>
      <x:c r="M527" s="6" t="str"/>
      <x:c r="N527" s="6" t="str"/>
      <x:c r="O527" s="7" t="str"/>
      <x:c r="P527" s="6" t="str">
        <x:v>Yes</x:v>
      </x:c>
      <x:c r="Q527" s="7" t="str">
        <x:v>Requires service identity completion.</x:v>
      </x:c>
    </x:row>
    <x:row r="528">
      <x:c r="A528" s="6" t="str">
        <x:v>SEQ-MFR-0198</x:v>
      </x:c>
      <x:c r="B528" s="6" t="str">
        <x:v>Manufacturer Scope</x:v>
      </x:c>
      <x:c r="C528" s="6" t="str">
        <x:v>MFRX-0198</x:v>
      </x:c>
      <x:c r="D528" s="6" t="str">
        <x:v>SVC000198</x:v>
      </x:c>
      <x:c r="E528" s="6" t="str"/>
      <x:c r="F528" s="6" t="str">
        <x:v>Manufacturer-scope review</x:v>
      </x:c>
      <x:c r="G528" s="6" t="n">
        <x:v>3</x:v>
      </x:c>
      <x:c r="H528" s="6" t="str">
        <x:v>SIDX-0198</x:v>
      </x:c>
      <x:c r="I528" s="6" t="str">
        <x:f>IF(H528="","No upstream dependency",IF(ISNUMBER(SEARCH(";",H528)),"Multiple dependencies - verify source queues",IFERROR(XLOOKUP(H528,C2:C1586,J2:J1586),"Dependency not found")))</x:f>
        <x:v>Not Started</x:v>
      </x:c>
      <x:c r="J528" s="6" t="str">
        <x:v>Not Started</x:v>
      </x:c>
      <x:c r="K528" s="6" t="str">
        <x:v>Normal</x:v>
      </x:c>
      <x:c r="L528" s="6" t="str"/>
      <x:c r="M528" s="6" t="str"/>
      <x:c r="N528" s="6" t="str"/>
      <x:c r="O528" s="7" t="str"/>
      <x:c r="P528" s="6" t="str">
        <x:v>Yes</x:v>
      </x:c>
      <x:c r="Q528" s="7" t="str">
        <x:v>Requires service identity completion.</x:v>
      </x:c>
    </x:row>
    <x:row r="529">
      <x:c r="A529" s="6" t="str">
        <x:v>SEQ-MFR-0199</x:v>
      </x:c>
      <x:c r="B529" s="6" t="str">
        <x:v>Manufacturer Scope</x:v>
      </x:c>
      <x:c r="C529" s="6" t="str">
        <x:v>MFRX-0199</x:v>
      </x:c>
      <x:c r="D529" s="6" t="str">
        <x:v>SVC000199</x:v>
      </x:c>
      <x:c r="E529" s="6" t="str"/>
      <x:c r="F529" s="6" t="str">
        <x:v>Manufacturer-scope review</x:v>
      </x:c>
      <x:c r="G529" s="6" t="n">
        <x:v>3</x:v>
      </x:c>
      <x:c r="H529" s="6" t="str">
        <x:v>SIDX-0199</x:v>
      </x:c>
      <x:c r="I529" s="6" t="str">
        <x:f>IF(H529="","No upstream dependency",IF(ISNUMBER(SEARCH(";",H529)),"Multiple dependencies - verify source queues",IFERROR(XLOOKUP(H529,C2:C1586,J2:J1586),"Dependency not found")))</x:f>
        <x:v>Not Started</x:v>
      </x:c>
      <x:c r="J529" s="6" t="str">
        <x:v>Not Started</x:v>
      </x:c>
      <x:c r="K529" s="6" t="str">
        <x:v>Normal</x:v>
      </x:c>
      <x:c r="L529" s="6" t="str"/>
      <x:c r="M529" s="6" t="str"/>
      <x:c r="N529" s="6" t="str"/>
      <x:c r="O529" s="7" t="str"/>
      <x:c r="P529" s="6" t="str">
        <x:v>Yes</x:v>
      </x:c>
      <x:c r="Q529" s="7" t="str">
        <x:v>Requires service identity completion.</x:v>
      </x:c>
    </x:row>
    <x:row r="530">
      <x:c r="A530" s="6" t="str">
        <x:v>SEQ-MFR-0200</x:v>
      </x:c>
      <x:c r="B530" s="6" t="str">
        <x:v>Manufacturer Scope</x:v>
      </x:c>
      <x:c r="C530" s="6" t="str">
        <x:v>MFRX-0200</x:v>
      </x:c>
      <x:c r="D530" s="6" t="str">
        <x:v>SVC000200</x:v>
      </x:c>
      <x:c r="E530" s="6" t="str"/>
      <x:c r="F530" s="6" t="str">
        <x:v>Manufacturer-scope review</x:v>
      </x:c>
      <x:c r="G530" s="6" t="n">
        <x:v>3</x:v>
      </x:c>
      <x:c r="H530" s="6" t="str">
        <x:v>SIDX-0200</x:v>
      </x:c>
      <x:c r="I530" s="6" t="str">
        <x:f>IF(H530="","No upstream dependency",IF(ISNUMBER(SEARCH(";",H530)),"Multiple dependencies - verify source queues",IFERROR(XLOOKUP(H530,C2:C1586,J2:J1586),"Dependency not found")))</x:f>
        <x:v>Not Started</x:v>
      </x:c>
      <x:c r="J530" s="6" t="str">
        <x:v>Not Started</x:v>
      </x:c>
      <x:c r="K530" s="6" t="str">
        <x:v>Normal</x:v>
      </x:c>
      <x:c r="L530" s="6" t="str"/>
      <x:c r="M530" s="6" t="str"/>
      <x:c r="N530" s="6" t="str"/>
      <x:c r="O530" s="7" t="str"/>
      <x:c r="P530" s="6" t="str">
        <x:v>Yes</x:v>
      </x:c>
      <x:c r="Q530" s="7" t="str">
        <x:v>Requires service identity completion.</x:v>
      </x:c>
    </x:row>
    <x:row r="531">
      <x:c r="A531" s="6" t="str">
        <x:v>SEQ-MFR-0201</x:v>
      </x:c>
      <x:c r="B531" s="6" t="str">
        <x:v>Manufacturer Scope</x:v>
      </x:c>
      <x:c r="C531" s="6" t="str">
        <x:v>MFRX-0201</x:v>
      </x:c>
      <x:c r="D531" s="6" t="str">
        <x:v>SVC000201</x:v>
      </x:c>
      <x:c r="E531" s="6" t="str"/>
      <x:c r="F531" s="6" t="str">
        <x:v>Manufacturer-scope review</x:v>
      </x:c>
      <x:c r="G531" s="6" t="n">
        <x:v>3</x:v>
      </x:c>
      <x:c r="H531" s="6" t="str">
        <x:v>SIDX-0201</x:v>
      </x:c>
      <x:c r="I531" s="6" t="str">
        <x:f>IF(H531="","No upstream dependency",IF(ISNUMBER(SEARCH(";",H531)),"Multiple dependencies - verify source queues",IFERROR(XLOOKUP(H531,C2:C1586,J2:J1586),"Dependency not found")))</x:f>
        <x:v>Not Started</x:v>
      </x:c>
      <x:c r="J531" s="6" t="str">
        <x:v>Not Started</x:v>
      </x:c>
      <x:c r="K531" s="6" t="str">
        <x:v>Normal</x:v>
      </x:c>
      <x:c r="L531" s="6" t="str"/>
      <x:c r="M531" s="6" t="str"/>
      <x:c r="N531" s="6" t="str"/>
      <x:c r="O531" s="7" t="str"/>
      <x:c r="P531" s="6" t="str">
        <x:v>Yes</x:v>
      </x:c>
      <x:c r="Q531" s="7" t="str">
        <x:v>Requires service identity completion.</x:v>
      </x:c>
    </x:row>
    <x:row r="532">
      <x:c r="A532" s="6" t="str">
        <x:v>SEQ-MFR-0202</x:v>
      </x:c>
      <x:c r="B532" s="6" t="str">
        <x:v>Manufacturer Scope</x:v>
      </x:c>
      <x:c r="C532" s="6" t="str">
        <x:v>MFRX-0202</x:v>
      </x:c>
      <x:c r="D532" s="6" t="str">
        <x:v>SVC000202</x:v>
      </x:c>
      <x:c r="E532" s="6" t="str"/>
      <x:c r="F532" s="6" t="str">
        <x:v>Manufacturer-scope review</x:v>
      </x:c>
      <x:c r="G532" s="6" t="n">
        <x:v>3</x:v>
      </x:c>
      <x:c r="H532" s="6" t="str">
        <x:v>SIDX-0202</x:v>
      </x:c>
      <x:c r="I532" s="6" t="str">
        <x:f>IF(H532="","No upstream dependency",IF(ISNUMBER(SEARCH(";",H532)),"Multiple dependencies - verify source queues",IFERROR(XLOOKUP(H532,C2:C1586,J2:J1586),"Dependency not found")))</x:f>
        <x:v>Not Started</x:v>
      </x:c>
      <x:c r="J532" s="6" t="str">
        <x:v>Not Started</x:v>
      </x:c>
      <x:c r="K532" s="6" t="str">
        <x:v>Normal</x:v>
      </x:c>
      <x:c r="L532" s="6" t="str"/>
      <x:c r="M532" s="6" t="str"/>
      <x:c r="N532" s="6" t="str"/>
      <x:c r="O532" s="7" t="str"/>
      <x:c r="P532" s="6" t="str">
        <x:v>Yes</x:v>
      </x:c>
      <x:c r="Q532" s="7" t="str">
        <x:v>Requires service identity completion.</x:v>
      </x:c>
    </x:row>
    <x:row r="533">
      <x:c r="A533" s="6" t="str">
        <x:v>SEQ-MFR-0203</x:v>
      </x:c>
      <x:c r="B533" s="6" t="str">
        <x:v>Manufacturer Scope</x:v>
      </x:c>
      <x:c r="C533" s="6" t="str">
        <x:v>MFRX-0203</x:v>
      </x:c>
      <x:c r="D533" s="6" t="str">
        <x:v>SVC000203</x:v>
      </x:c>
      <x:c r="E533" s="6" t="str"/>
      <x:c r="F533" s="6" t="str">
        <x:v>Manufacturer-scope review</x:v>
      </x:c>
      <x:c r="G533" s="6" t="n">
        <x:v>3</x:v>
      </x:c>
      <x:c r="H533" s="6" t="str">
        <x:v>SIDX-0203</x:v>
      </x:c>
      <x:c r="I533" s="6" t="str">
        <x:f>IF(H533="","No upstream dependency",IF(ISNUMBER(SEARCH(";",H533)),"Multiple dependencies - verify source queues",IFERROR(XLOOKUP(H533,C2:C1586,J2:J1586),"Dependency not found")))</x:f>
        <x:v>Not Started</x:v>
      </x:c>
      <x:c r="J533" s="6" t="str">
        <x:v>Not Started</x:v>
      </x:c>
      <x:c r="K533" s="6" t="str">
        <x:v>Normal</x:v>
      </x:c>
      <x:c r="L533" s="6" t="str"/>
      <x:c r="M533" s="6" t="str"/>
      <x:c r="N533" s="6" t="str"/>
      <x:c r="O533" s="7" t="str"/>
      <x:c r="P533" s="6" t="str">
        <x:v>Yes</x:v>
      </x:c>
      <x:c r="Q533" s="7" t="str">
        <x:v>Requires service identity completion.</x:v>
      </x:c>
    </x:row>
    <x:row r="534">
      <x:c r="A534" s="6" t="str">
        <x:v>SEQ-MFR-0204</x:v>
      </x:c>
      <x:c r="B534" s="6" t="str">
        <x:v>Manufacturer Scope</x:v>
      </x:c>
      <x:c r="C534" s="6" t="str">
        <x:v>MFRX-0204</x:v>
      </x:c>
      <x:c r="D534" s="6" t="str">
        <x:v>SVC000204</x:v>
      </x:c>
      <x:c r="E534" s="6" t="str"/>
      <x:c r="F534" s="6" t="str">
        <x:v>Manufacturer-scope review</x:v>
      </x:c>
      <x:c r="G534" s="6" t="n">
        <x:v>3</x:v>
      </x:c>
      <x:c r="H534" s="6" t="str">
        <x:v>SIDX-0204</x:v>
      </x:c>
      <x:c r="I534" s="6" t="str">
        <x:f>IF(H534="","No upstream dependency",IF(ISNUMBER(SEARCH(";",H534)),"Multiple dependencies - verify source queues",IFERROR(XLOOKUP(H534,C2:C1586,J2:J1586),"Dependency not found")))</x:f>
        <x:v>Not Started</x:v>
      </x:c>
      <x:c r="J534" s="6" t="str">
        <x:v>Not Started</x:v>
      </x:c>
      <x:c r="K534" s="6" t="str">
        <x:v>Normal</x:v>
      </x:c>
      <x:c r="L534" s="6" t="str"/>
      <x:c r="M534" s="6" t="str"/>
      <x:c r="N534" s="6" t="str"/>
      <x:c r="O534" s="7" t="str"/>
      <x:c r="P534" s="6" t="str">
        <x:v>Yes</x:v>
      </x:c>
      <x:c r="Q534" s="7" t="str">
        <x:v>Requires service identity completion.</x:v>
      </x:c>
    </x:row>
    <x:row r="535">
      <x:c r="A535" s="6" t="str">
        <x:v>SEQ-MFR-0205</x:v>
      </x:c>
      <x:c r="B535" s="6" t="str">
        <x:v>Manufacturer Scope</x:v>
      </x:c>
      <x:c r="C535" s="6" t="str">
        <x:v>MFRX-0205</x:v>
      </x:c>
      <x:c r="D535" s="6" t="str">
        <x:v>SVC000205</x:v>
      </x:c>
      <x:c r="E535" s="6" t="str"/>
      <x:c r="F535" s="6" t="str">
        <x:v>Manufacturer-scope review</x:v>
      </x:c>
      <x:c r="G535" s="6" t="n">
        <x:v>3</x:v>
      </x:c>
      <x:c r="H535" s="6" t="str">
        <x:v>SIDX-0205</x:v>
      </x:c>
      <x:c r="I535" s="6" t="str">
        <x:f>IF(H535="","No upstream dependency",IF(ISNUMBER(SEARCH(";",H535)),"Multiple dependencies - verify source queues",IFERROR(XLOOKUP(H535,C2:C1586,J2:J1586),"Dependency not found")))</x:f>
        <x:v>Not Started</x:v>
      </x:c>
      <x:c r="J535" s="6" t="str">
        <x:v>Not Started</x:v>
      </x:c>
      <x:c r="K535" s="6" t="str">
        <x:v>Normal</x:v>
      </x:c>
      <x:c r="L535" s="6" t="str"/>
      <x:c r="M535" s="6" t="str"/>
      <x:c r="N535" s="6" t="str"/>
      <x:c r="O535" s="7" t="str"/>
      <x:c r="P535" s="6" t="str">
        <x:v>Yes</x:v>
      </x:c>
      <x:c r="Q535" s="7" t="str">
        <x:v>Requires service identity completion.</x:v>
      </x:c>
    </x:row>
    <x:row r="536">
      <x:c r="A536" s="6" t="str">
        <x:v>SEQ-MFR-0206</x:v>
      </x:c>
      <x:c r="B536" s="6" t="str">
        <x:v>Manufacturer Scope</x:v>
      </x:c>
      <x:c r="C536" s="6" t="str">
        <x:v>MFRX-0206</x:v>
      </x:c>
      <x:c r="D536" s="6" t="str">
        <x:v>SVC000206</x:v>
      </x:c>
      <x:c r="E536" s="6" t="str"/>
      <x:c r="F536" s="6" t="str">
        <x:v>Manufacturer-scope review</x:v>
      </x:c>
      <x:c r="G536" s="6" t="n">
        <x:v>3</x:v>
      </x:c>
      <x:c r="H536" s="6" t="str">
        <x:v>SIDX-0206</x:v>
      </x:c>
      <x:c r="I536" s="6" t="str">
        <x:f>IF(H536="","No upstream dependency",IF(ISNUMBER(SEARCH(";",H536)),"Multiple dependencies - verify source queues",IFERROR(XLOOKUP(H536,C2:C1586,J2:J1586),"Dependency not found")))</x:f>
        <x:v>Not Started</x:v>
      </x:c>
      <x:c r="J536" s="6" t="str">
        <x:v>Not Started</x:v>
      </x:c>
      <x:c r="K536" s="6" t="str">
        <x:v>Normal</x:v>
      </x:c>
      <x:c r="L536" s="6" t="str"/>
      <x:c r="M536" s="6" t="str"/>
      <x:c r="N536" s="6" t="str"/>
      <x:c r="O536" s="7" t="str"/>
      <x:c r="P536" s="6" t="str">
        <x:v>Yes</x:v>
      </x:c>
      <x:c r="Q536" s="7" t="str">
        <x:v>Requires service identity completion.</x:v>
      </x:c>
    </x:row>
    <x:row r="537">
      <x:c r="A537" s="6" t="str">
        <x:v>SEQ-MFR-0207</x:v>
      </x:c>
      <x:c r="B537" s="6" t="str">
        <x:v>Manufacturer Scope</x:v>
      </x:c>
      <x:c r="C537" s="6" t="str">
        <x:v>MFRX-0207</x:v>
      </x:c>
      <x:c r="D537" s="6" t="str">
        <x:v>SVC000207</x:v>
      </x:c>
      <x:c r="E537" s="6" t="str"/>
      <x:c r="F537" s="6" t="str">
        <x:v>Manufacturer-scope review</x:v>
      </x:c>
      <x:c r="G537" s="6" t="n">
        <x:v>3</x:v>
      </x:c>
      <x:c r="H537" s="6" t="str">
        <x:v>SIDX-0207</x:v>
      </x:c>
      <x:c r="I537" s="6" t="str">
        <x:f>IF(H537="","No upstream dependency",IF(ISNUMBER(SEARCH(";",H537)),"Multiple dependencies - verify source queues",IFERROR(XLOOKUP(H537,C2:C1586,J2:J1586),"Dependency not found")))</x:f>
        <x:v>Not Started</x:v>
      </x:c>
      <x:c r="J537" s="6" t="str">
        <x:v>Not Started</x:v>
      </x:c>
      <x:c r="K537" s="6" t="str">
        <x:v>Normal</x:v>
      </x:c>
      <x:c r="L537" s="6" t="str"/>
      <x:c r="M537" s="6" t="str"/>
      <x:c r="N537" s="6" t="str"/>
      <x:c r="O537" s="7" t="str"/>
      <x:c r="P537" s="6" t="str">
        <x:v>Yes</x:v>
      </x:c>
      <x:c r="Q537" s="7" t="str">
        <x:v>Requires service identity completion.</x:v>
      </x:c>
    </x:row>
    <x:row r="538">
      <x:c r="A538" s="6" t="str">
        <x:v>SEQ-MFR-0208</x:v>
      </x:c>
      <x:c r="B538" s="6" t="str">
        <x:v>Manufacturer Scope</x:v>
      </x:c>
      <x:c r="C538" s="6" t="str">
        <x:v>MFRX-0208</x:v>
      </x:c>
      <x:c r="D538" s="6" t="str">
        <x:v>SVC000208</x:v>
      </x:c>
      <x:c r="E538" s="6" t="str"/>
      <x:c r="F538" s="6" t="str">
        <x:v>Manufacturer-scope review</x:v>
      </x:c>
      <x:c r="G538" s="6" t="n">
        <x:v>3</x:v>
      </x:c>
      <x:c r="H538" s="6" t="str">
        <x:v>SIDX-0208</x:v>
      </x:c>
      <x:c r="I538" s="6" t="str">
        <x:f>IF(H538="","No upstream dependency",IF(ISNUMBER(SEARCH(";",H538)),"Multiple dependencies - verify source queues",IFERROR(XLOOKUP(H538,C2:C1586,J2:J1586),"Dependency not found")))</x:f>
        <x:v>Not Started</x:v>
      </x:c>
      <x:c r="J538" s="6" t="str">
        <x:v>Not Started</x:v>
      </x:c>
      <x:c r="K538" s="6" t="str">
        <x:v>Normal</x:v>
      </x:c>
      <x:c r="L538" s="6" t="str"/>
      <x:c r="M538" s="6" t="str"/>
      <x:c r="N538" s="6" t="str"/>
      <x:c r="O538" s="7" t="str"/>
      <x:c r="P538" s="6" t="str">
        <x:v>Yes</x:v>
      </x:c>
      <x:c r="Q538" s="7" t="str">
        <x:v>Requires service identity completion.</x:v>
      </x:c>
    </x:row>
    <x:row r="539">
      <x:c r="A539" s="6" t="str">
        <x:v>SEQ-MFR-0209</x:v>
      </x:c>
      <x:c r="B539" s="6" t="str">
        <x:v>Manufacturer Scope</x:v>
      </x:c>
      <x:c r="C539" s="6" t="str">
        <x:v>MFRX-0209</x:v>
      </x:c>
      <x:c r="D539" s="6" t="str">
        <x:v>SVC000209</x:v>
      </x:c>
      <x:c r="E539" s="6" t="str"/>
      <x:c r="F539" s="6" t="str">
        <x:v>Manufacturer-scope review</x:v>
      </x:c>
      <x:c r="G539" s="6" t="n">
        <x:v>3</x:v>
      </x:c>
      <x:c r="H539" s="6" t="str">
        <x:v>SIDX-0209</x:v>
      </x:c>
      <x:c r="I539" s="6" t="str">
        <x:f>IF(H539="","No upstream dependency",IF(ISNUMBER(SEARCH(";",H539)),"Multiple dependencies - verify source queues",IFERROR(XLOOKUP(H539,C2:C1586,J2:J1586),"Dependency not found")))</x:f>
        <x:v>Not Started</x:v>
      </x:c>
      <x:c r="J539" s="6" t="str">
        <x:v>Not Started</x:v>
      </x:c>
      <x:c r="K539" s="6" t="str">
        <x:v>Normal</x:v>
      </x:c>
      <x:c r="L539" s="6" t="str"/>
      <x:c r="M539" s="6" t="str"/>
      <x:c r="N539" s="6" t="str"/>
      <x:c r="O539" s="7" t="str"/>
      <x:c r="P539" s="6" t="str">
        <x:v>Yes</x:v>
      </x:c>
      <x:c r="Q539" s="7" t="str">
        <x:v>Requires service identity completion.</x:v>
      </x:c>
    </x:row>
    <x:row r="540">
      <x:c r="A540" s="6" t="str">
        <x:v>SEQ-MFR-0210</x:v>
      </x:c>
      <x:c r="B540" s="6" t="str">
        <x:v>Manufacturer Scope</x:v>
      </x:c>
      <x:c r="C540" s="6" t="str">
        <x:v>MFRX-0210</x:v>
      </x:c>
      <x:c r="D540" s="6" t="str">
        <x:v>SVC000210</x:v>
      </x:c>
      <x:c r="E540" s="6" t="str"/>
      <x:c r="F540" s="6" t="str">
        <x:v>Manufacturer-scope review</x:v>
      </x:c>
      <x:c r="G540" s="6" t="n">
        <x:v>3</x:v>
      </x:c>
      <x:c r="H540" s="6" t="str">
        <x:v>SIDX-0210</x:v>
      </x:c>
      <x:c r="I540" s="6" t="str">
        <x:f>IF(H540="","No upstream dependency",IF(ISNUMBER(SEARCH(";",H540)),"Multiple dependencies - verify source queues",IFERROR(XLOOKUP(H540,C2:C1586,J2:J1586),"Dependency not found")))</x:f>
        <x:v>Not Started</x:v>
      </x:c>
      <x:c r="J540" s="6" t="str">
        <x:v>Not Started</x:v>
      </x:c>
      <x:c r="K540" s="6" t="str">
        <x:v>Normal</x:v>
      </x:c>
      <x:c r="L540" s="6" t="str"/>
      <x:c r="M540" s="6" t="str"/>
      <x:c r="N540" s="6" t="str"/>
      <x:c r="O540" s="7" t="str"/>
      <x:c r="P540" s="6" t="str">
        <x:v>Yes</x:v>
      </x:c>
      <x:c r="Q540" s="7" t="str">
        <x:v>Requires service identity completion.</x:v>
      </x:c>
    </x:row>
    <x:row r="541">
      <x:c r="A541" s="6" t="str">
        <x:v>SEQ-MFR-0211</x:v>
      </x:c>
      <x:c r="B541" s="6" t="str">
        <x:v>Manufacturer Scope</x:v>
      </x:c>
      <x:c r="C541" s="6" t="str">
        <x:v>MFRX-0211</x:v>
      </x:c>
      <x:c r="D541" s="6" t="str">
        <x:v>SVC000211</x:v>
      </x:c>
      <x:c r="E541" s="6" t="str"/>
      <x:c r="F541" s="6" t="str">
        <x:v>Manufacturer-scope review</x:v>
      </x:c>
      <x:c r="G541" s="6" t="n">
        <x:v>3</x:v>
      </x:c>
      <x:c r="H541" s="6" t="str">
        <x:v>SIDX-0211</x:v>
      </x:c>
      <x:c r="I541" s="6" t="str">
        <x:f>IF(H541="","No upstream dependency",IF(ISNUMBER(SEARCH(";",H541)),"Multiple dependencies - verify source queues",IFERROR(XLOOKUP(H541,C2:C1586,J2:J1586),"Dependency not found")))</x:f>
        <x:v>Not Started</x:v>
      </x:c>
      <x:c r="J541" s="6" t="str">
        <x:v>Not Started</x:v>
      </x:c>
      <x:c r="K541" s="6" t="str">
        <x:v>Normal</x:v>
      </x:c>
      <x:c r="L541" s="6" t="str"/>
      <x:c r="M541" s="6" t="str"/>
      <x:c r="N541" s="6" t="str"/>
      <x:c r="O541" s="7" t="str"/>
      <x:c r="P541" s="6" t="str">
        <x:v>Yes</x:v>
      </x:c>
      <x:c r="Q541" s="7" t="str">
        <x:v>Requires service identity completion.</x:v>
      </x:c>
    </x:row>
    <x:row r="542">
      <x:c r="A542" s="6" t="str">
        <x:v>SEQ-MFR-0212</x:v>
      </x:c>
      <x:c r="B542" s="6" t="str">
        <x:v>Manufacturer Scope</x:v>
      </x:c>
      <x:c r="C542" s="6" t="str">
        <x:v>MFRX-0212</x:v>
      </x:c>
      <x:c r="D542" s="6" t="str">
        <x:v>SVC000212</x:v>
      </x:c>
      <x:c r="E542" s="6" t="str"/>
      <x:c r="F542" s="6" t="str">
        <x:v>Manufacturer-scope review</x:v>
      </x:c>
      <x:c r="G542" s="6" t="n">
        <x:v>3</x:v>
      </x:c>
      <x:c r="H542" s="6" t="str">
        <x:v>SIDX-0212</x:v>
      </x:c>
      <x:c r="I542" s="6" t="str">
        <x:f>IF(H542="","No upstream dependency",IF(ISNUMBER(SEARCH(";",H542)),"Multiple dependencies - verify source queues",IFERROR(XLOOKUP(H542,C2:C1586,J2:J1586),"Dependency not found")))</x:f>
        <x:v>Not Started</x:v>
      </x:c>
      <x:c r="J542" s="6" t="str">
        <x:v>Not Started</x:v>
      </x:c>
      <x:c r="K542" s="6" t="str">
        <x:v>Normal</x:v>
      </x:c>
      <x:c r="L542" s="6" t="str"/>
      <x:c r="M542" s="6" t="str"/>
      <x:c r="N542" s="6" t="str"/>
      <x:c r="O542" s="7" t="str"/>
      <x:c r="P542" s="6" t="str">
        <x:v>Yes</x:v>
      </x:c>
      <x:c r="Q542" s="7" t="str">
        <x:v>Requires service identity completion.</x:v>
      </x:c>
    </x:row>
    <x:row r="543">
      <x:c r="A543" s="6" t="str">
        <x:v>SEQ-MFR-0213</x:v>
      </x:c>
      <x:c r="B543" s="6" t="str">
        <x:v>Manufacturer Scope</x:v>
      </x:c>
      <x:c r="C543" s="6" t="str">
        <x:v>MFRX-0213</x:v>
      </x:c>
      <x:c r="D543" s="6" t="str">
        <x:v>SVC000213</x:v>
      </x:c>
      <x:c r="E543" s="6" t="str"/>
      <x:c r="F543" s="6" t="str">
        <x:v>Manufacturer-scope review</x:v>
      </x:c>
      <x:c r="G543" s="6" t="n">
        <x:v>3</x:v>
      </x:c>
      <x:c r="H543" s="6" t="str">
        <x:v>SIDX-0213</x:v>
      </x:c>
      <x:c r="I543" s="6" t="str">
        <x:f>IF(H543="","No upstream dependency",IF(ISNUMBER(SEARCH(";",H543)),"Multiple dependencies - verify source queues",IFERROR(XLOOKUP(H543,C2:C1586,J2:J1586),"Dependency not found")))</x:f>
        <x:v>Not Started</x:v>
      </x:c>
      <x:c r="J543" s="6" t="str">
        <x:v>Not Started</x:v>
      </x:c>
      <x:c r="K543" s="6" t="str">
        <x:v>Normal</x:v>
      </x:c>
      <x:c r="L543" s="6" t="str"/>
      <x:c r="M543" s="6" t="str"/>
      <x:c r="N543" s="6" t="str"/>
      <x:c r="O543" s="7" t="str"/>
      <x:c r="P543" s="6" t="str">
        <x:v>Yes</x:v>
      </x:c>
      <x:c r="Q543" s="7" t="str">
        <x:v>Requires service identity completion.</x:v>
      </x:c>
    </x:row>
    <x:row r="544">
      <x:c r="A544" s="6" t="str">
        <x:v>SEQ-MFR-0214</x:v>
      </x:c>
      <x:c r="B544" s="6" t="str">
        <x:v>Manufacturer Scope</x:v>
      </x:c>
      <x:c r="C544" s="6" t="str">
        <x:v>MFRX-0214</x:v>
      </x:c>
      <x:c r="D544" s="6" t="str">
        <x:v>SVC000214</x:v>
      </x:c>
      <x:c r="E544" s="6" t="str"/>
      <x:c r="F544" s="6" t="str">
        <x:v>Manufacturer-scope review</x:v>
      </x:c>
      <x:c r="G544" s="6" t="n">
        <x:v>3</x:v>
      </x:c>
      <x:c r="H544" s="6" t="str">
        <x:v>SIDX-0214</x:v>
      </x:c>
      <x:c r="I544" s="6" t="str">
        <x:f>IF(H544="","No upstream dependency",IF(ISNUMBER(SEARCH(";",H544)),"Multiple dependencies - verify source queues",IFERROR(XLOOKUP(H544,C2:C1586,J2:J1586),"Dependency not found")))</x:f>
        <x:v>Not Started</x:v>
      </x:c>
      <x:c r="J544" s="6" t="str">
        <x:v>Not Started</x:v>
      </x:c>
      <x:c r="K544" s="6" t="str">
        <x:v>Normal</x:v>
      </x:c>
      <x:c r="L544" s="6" t="str"/>
      <x:c r="M544" s="6" t="str"/>
      <x:c r="N544" s="6" t="str"/>
      <x:c r="O544" s="7" t="str"/>
      <x:c r="P544" s="6" t="str">
        <x:v>Yes</x:v>
      </x:c>
      <x:c r="Q544" s="7" t="str">
        <x:v>Requires service identity completion.</x:v>
      </x:c>
    </x:row>
    <x:row r="545">
      <x:c r="A545" s="6" t="str">
        <x:v>SEQ-MFR-0215</x:v>
      </x:c>
      <x:c r="B545" s="6" t="str">
        <x:v>Manufacturer Scope</x:v>
      </x:c>
      <x:c r="C545" s="6" t="str">
        <x:v>MFRX-0215</x:v>
      </x:c>
      <x:c r="D545" s="6" t="str">
        <x:v>SVC000215</x:v>
      </x:c>
      <x:c r="E545" s="6" t="str"/>
      <x:c r="F545" s="6" t="str">
        <x:v>Manufacturer-scope review</x:v>
      </x:c>
      <x:c r="G545" s="6" t="n">
        <x:v>3</x:v>
      </x:c>
      <x:c r="H545" s="6" t="str">
        <x:v>SIDX-0215</x:v>
      </x:c>
      <x:c r="I545" s="6" t="str">
        <x:f>IF(H545="","No upstream dependency",IF(ISNUMBER(SEARCH(";",H545)),"Multiple dependencies - verify source queues",IFERROR(XLOOKUP(H545,C2:C1586,J2:J1586),"Dependency not found")))</x:f>
        <x:v>Not Started</x:v>
      </x:c>
      <x:c r="J545" s="6" t="str">
        <x:v>Not Started</x:v>
      </x:c>
      <x:c r="K545" s="6" t="str">
        <x:v>Normal</x:v>
      </x:c>
      <x:c r="L545" s="6" t="str"/>
      <x:c r="M545" s="6" t="str"/>
      <x:c r="N545" s="6" t="str"/>
      <x:c r="O545" s="7" t="str"/>
      <x:c r="P545" s="6" t="str">
        <x:v>Yes</x:v>
      </x:c>
      <x:c r="Q545" s="7" t="str">
        <x:v>Requires service identity completion.</x:v>
      </x:c>
    </x:row>
    <x:row r="546">
      <x:c r="A546" s="6" t="str">
        <x:v>SEQ-MFR-0216</x:v>
      </x:c>
      <x:c r="B546" s="6" t="str">
        <x:v>Manufacturer Scope</x:v>
      </x:c>
      <x:c r="C546" s="6" t="str">
        <x:v>MFRX-0216</x:v>
      </x:c>
      <x:c r="D546" s="6" t="str">
        <x:v>SVC000216</x:v>
      </x:c>
      <x:c r="E546" s="6" t="str"/>
      <x:c r="F546" s="6" t="str">
        <x:v>Manufacturer-scope review</x:v>
      </x:c>
      <x:c r="G546" s="6" t="n">
        <x:v>3</x:v>
      </x:c>
      <x:c r="H546" s="6" t="str">
        <x:v>SIDX-0216</x:v>
      </x:c>
      <x:c r="I546" s="6" t="str">
        <x:f>IF(H546="","No upstream dependency",IF(ISNUMBER(SEARCH(";",H546)),"Multiple dependencies - verify source queues",IFERROR(XLOOKUP(H546,C2:C1586,J2:J1586),"Dependency not found")))</x:f>
        <x:v>Not Started</x:v>
      </x:c>
      <x:c r="J546" s="6" t="str">
        <x:v>Not Started</x:v>
      </x:c>
      <x:c r="K546" s="6" t="str">
        <x:v>Normal</x:v>
      </x:c>
      <x:c r="L546" s="6" t="str"/>
      <x:c r="M546" s="6" t="str"/>
      <x:c r="N546" s="6" t="str"/>
      <x:c r="O546" s="7" t="str"/>
      <x:c r="P546" s="6" t="str">
        <x:v>Yes</x:v>
      </x:c>
      <x:c r="Q546" s="7" t="str">
        <x:v>Requires service identity completion.</x:v>
      </x:c>
    </x:row>
    <x:row r="547">
      <x:c r="A547" s="6" t="str">
        <x:v>SEQ-MFR-0217</x:v>
      </x:c>
      <x:c r="B547" s="6" t="str">
        <x:v>Manufacturer Scope</x:v>
      </x:c>
      <x:c r="C547" s="6" t="str">
        <x:v>MFRX-0217</x:v>
      </x:c>
      <x:c r="D547" s="6" t="str">
        <x:v>SVC000217</x:v>
      </x:c>
      <x:c r="E547" s="6" t="str"/>
      <x:c r="F547" s="6" t="str">
        <x:v>Manufacturer-scope review</x:v>
      </x:c>
      <x:c r="G547" s="6" t="n">
        <x:v>3</x:v>
      </x:c>
      <x:c r="H547" s="6" t="str">
        <x:v>SIDX-0217</x:v>
      </x:c>
      <x:c r="I547" s="6" t="str">
        <x:f>IF(H547="","No upstream dependency",IF(ISNUMBER(SEARCH(";",H547)),"Multiple dependencies - verify source queues",IFERROR(XLOOKUP(H547,C2:C1586,J2:J1586),"Dependency not found")))</x:f>
        <x:v>Not Started</x:v>
      </x:c>
      <x:c r="J547" s="6" t="str">
        <x:v>Not Started</x:v>
      </x:c>
      <x:c r="K547" s="6" t="str">
        <x:v>Normal</x:v>
      </x:c>
      <x:c r="L547" s="6" t="str"/>
      <x:c r="M547" s="6" t="str"/>
      <x:c r="N547" s="6" t="str"/>
      <x:c r="O547" s="7" t="str"/>
      <x:c r="P547" s="6" t="str">
        <x:v>Yes</x:v>
      </x:c>
      <x:c r="Q547" s="7" t="str">
        <x:v>Requires service identity completion.</x:v>
      </x:c>
    </x:row>
    <x:row r="548">
      <x:c r="A548" s="6" t="str">
        <x:v>SEQ-MFR-0218</x:v>
      </x:c>
      <x:c r="B548" s="6" t="str">
        <x:v>Manufacturer Scope</x:v>
      </x:c>
      <x:c r="C548" s="6" t="str">
        <x:v>MFRX-0218</x:v>
      </x:c>
      <x:c r="D548" s="6" t="str">
        <x:v>SVC000218</x:v>
      </x:c>
      <x:c r="E548" s="6" t="str"/>
      <x:c r="F548" s="6" t="str">
        <x:v>Manufacturer-scope review</x:v>
      </x:c>
      <x:c r="G548" s="6" t="n">
        <x:v>3</x:v>
      </x:c>
      <x:c r="H548" s="6" t="str">
        <x:v>SIDX-0218</x:v>
      </x:c>
      <x:c r="I548" s="6" t="str">
        <x:f>IF(H548="","No upstream dependency",IF(ISNUMBER(SEARCH(";",H548)),"Multiple dependencies - verify source queues",IFERROR(XLOOKUP(H548,C2:C1586,J2:J1586),"Dependency not found")))</x:f>
        <x:v>Not Started</x:v>
      </x:c>
      <x:c r="J548" s="6" t="str">
        <x:v>Not Started</x:v>
      </x:c>
      <x:c r="K548" s="6" t="str">
        <x:v>Normal</x:v>
      </x:c>
      <x:c r="L548" s="6" t="str"/>
      <x:c r="M548" s="6" t="str"/>
      <x:c r="N548" s="6" t="str"/>
      <x:c r="O548" s="7" t="str"/>
      <x:c r="P548" s="6" t="str">
        <x:v>Yes</x:v>
      </x:c>
      <x:c r="Q548" s="7" t="str">
        <x:v>Requires service identity completion.</x:v>
      </x:c>
    </x:row>
    <x:row r="549">
      <x:c r="A549" s="6" t="str">
        <x:v>SEQ-MFR-0219</x:v>
      </x:c>
      <x:c r="B549" s="6" t="str">
        <x:v>Manufacturer Scope</x:v>
      </x:c>
      <x:c r="C549" s="6" t="str">
        <x:v>MFRX-0219</x:v>
      </x:c>
      <x:c r="D549" s="6" t="str">
        <x:v>SVC000219</x:v>
      </x:c>
      <x:c r="E549" s="6" t="str"/>
      <x:c r="F549" s="6" t="str">
        <x:v>Manufacturer-scope review</x:v>
      </x:c>
      <x:c r="G549" s="6" t="n">
        <x:v>3</x:v>
      </x:c>
      <x:c r="H549" s="6" t="str">
        <x:v>SIDX-0219</x:v>
      </x:c>
      <x:c r="I549" s="6" t="str">
        <x:f>IF(H549="","No upstream dependency",IF(ISNUMBER(SEARCH(";",H549)),"Multiple dependencies - verify source queues",IFERROR(XLOOKUP(H549,C2:C1586,J2:J1586),"Dependency not found")))</x:f>
        <x:v>Not Started</x:v>
      </x:c>
      <x:c r="J549" s="6" t="str">
        <x:v>Not Started</x:v>
      </x:c>
      <x:c r="K549" s="6" t="str">
        <x:v>Normal</x:v>
      </x:c>
      <x:c r="L549" s="6" t="str"/>
      <x:c r="M549" s="6" t="str"/>
      <x:c r="N549" s="6" t="str"/>
      <x:c r="O549" s="7" t="str"/>
      <x:c r="P549" s="6" t="str">
        <x:v>Yes</x:v>
      </x:c>
      <x:c r="Q549" s="7" t="str">
        <x:v>Requires service identity completion.</x:v>
      </x:c>
    </x:row>
    <x:row r="550">
      <x:c r="A550" s="6" t="str">
        <x:v>SEQ-MFR-0220</x:v>
      </x:c>
      <x:c r="B550" s="6" t="str">
        <x:v>Manufacturer Scope</x:v>
      </x:c>
      <x:c r="C550" s="6" t="str">
        <x:v>MFRX-0220</x:v>
      </x:c>
      <x:c r="D550" s="6" t="str">
        <x:v>SVC000220</x:v>
      </x:c>
      <x:c r="E550" s="6" t="str"/>
      <x:c r="F550" s="6" t="str">
        <x:v>Manufacturer-scope review</x:v>
      </x:c>
      <x:c r="G550" s="6" t="n">
        <x:v>3</x:v>
      </x:c>
      <x:c r="H550" s="6" t="str">
        <x:v>SIDX-0220</x:v>
      </x:c>
      <x:c r="I550" s="6" t="str">
        <x:f>IF(H550="","No upstream dependency",IF(ISNUMBER(SEARCH(";",H550)),"Multiple dependencies - verify source queues",IFERROR(XLOOKUP(H550,C2:C1586,J2:J1586),"Dependency not found")))</x:f>
        <x:v>Not Started</x:v>
      </x:c>
      <x:c r="J550" s="6" t="str">
        <x:v>Not Started</x:v>
      </x:c>
      <x:c r="K550" s="6" t="str">
        <x:v>Normal</x:v>
      </x:c>
      <x:c r="L550" s="6" t="str"/>
      <x:c r="M550" s="6" t="str"/>
      <x:c r="N550" s="6" t="str"/>
      <x:c r="O550" s="7" t="str"/>
      <x:c r="P550" s="6" t="str">
        <x:v>Yes</x:v>
      </x:c>
      <x:c r="Q550" s="7" t="str">
        <x:v>Requires service identity completion.</x:v>
      </x:c>
    </x:row>
    <x:row r="551">
      <x:c r="A551" s="6" t="str">
        <x:v>SEQ-MFR-0221</x:v>
      </x:c>
      <x:c r="B551" s="6" t="str">
        <x:v>Manufacturer Scope</x:v>
      </x:c>
      <x:c r="C551" s="6" t="str">
        <x:v>MFRX-0221</x:v>
      </x:c>
      <x:c r="D551" s="6" t="str">
        <x:v>SVC000221</x:v>
      </x:c>
      <x:c r="E551" s="6" t="str"/>
      <x:c r="F551" s="6" t="str">
        <x:v>Manufacturer-scope review</x:v>
      </x:c>
      <x:c r="G551" s="6" t="n">
        <x:v>3</x:v>
      </x:c>
      <x:c r="H551" s="6" t="str">
        <x:v>SIDX-0221</x:v>
      </x:c>
      <x:c r="I551" s="6" t="str">
        <x:f>IF(H551="","No upstream dependency",IF(ISNUMBER(SEARCH(";",H551)),"Multiple dependencies - verify source queues",IFERROR(XLOOKUP(H551,C2:C1586,J2:J1586),"Dependency not found")))</x:f>
        <x:v>Not Started</x:v>
      </x:c>
      <x:c r="J551" s="6" t="str">
        <x:v>Not Started</x:v>
      </x:c>
      <x:c r="K551" s="6" t="str">
        <x:v>Normal</x:v>
      </x:c>
      <x:c r="L551" s="6" t="str"/>
      <x:c r="M551" s="6" t="str"/>
      <x:c r="N551" s="6" t="str"/>
      <x:c r="O551" s="7" t="str"/>
      <x:c r="P551" s="6" t="str">
        <x:v>Yes</x:v>
      </x:c>
      <x:c r="Q551" s="7" t="str">
        <x:v>Requires service identity completion.</x:v>
      </x:c>
    </x:row>
    <x:row r="552">
      <x:c r="A552" s="6" t="str">
        <x:v>SEQ-MFR-0222</x:v>
      </x:c>
      <x:c r="B552" s="6" t="str">
        <x:v>Manufacturer Scope</x:v>
      </x:c>
      <x:c r="C552" s="6" t="str">
        <x:v>MFRX-0222</x:v>
      </x:c>
      <x:c r="D552" s="6" t="str">
        <x:v>SVC000222</x:v>
      </x:c>
      <x:c r="E552" s="6" t="str"/>
      <x:c r="F552" s="6" t="str">
        <x:v>Manufacturer-scope review</x:v>
      </x:c>
      <x:c r="G552" s="6" t="n">
        <x:v>3</x:v>
      </x:c>
      <x:c r="H552" s="6" t="str">
        <x:v>SIDX-0222</x:v>
      </x:c>
      <x:c r="I552" s="6" t="str">
        <x:f>IF(H552="","No upstream dependency",IF(ISNUMBER(SEARCH(";",H552)),"Multiple dependencies - verify source queues",IFERROR(XLOOKUP(H552,C2:C1586,J2:J1586),"Dependency not found")))</x:f>
        <x:v>Not Started</x:v>
      </x:c>
      <x:c r="J552" s="6" t="str">
        <x:v>Not Started</x:v>
      </x:c>
      <x:c r="K552" s="6" t="str">
        <x:v>Normal</x:v>
      </x:c>
      <x:c r="L552" s="6" t="str"/>
      <x:c r="M552" s="6" t="str"/>
      <x:c r="N552" s="6" t="str"/>
      <x:c r="O552" s="7" t="str"/>
      <x:c r="P552" s="6" t="str">
        <x:v>Yes</x:v>
      </x:c>
      <x:c r="Q552" s="7" t="str">
        <x:v>Requires service identity completion.</x:v>
      </x:c>
    </x:row>
    <x:row r="553">
      <x:c r="A553" s="6" t="str">
        <x:v>SEQ-MFR-0223</x:v>
      </x:c>
      <x:c r="B553" s="6" t="str">
        <x:v>Manufacturer Scope</x:v>
      </x:c>
      <x:c r="C553" s="6" t="str">
        <x:v>MFRX-0223</x:v>
      </x:c>
      <x:c r="D553" s="6" t="str">
        <x:v>SVC000223</x:v>
      </x:c>
      <x:c r="E553" s="6" t="str"/>
      <x:c r="F553" s="6" t="str">
        <x:v>Manufacturer-scope review</x:v>
      </x:c>
      <x:c r="G553" s="6" t="n">
        <x:v>3</x:v>
      </x:c>
      <x:c r="H553" s="6" t="str">
        <x:v>SIDX-0223</x:v>
      </x:c>
      <x:c r="I553" s="6" t="str">
        <x:f>IF(H553="","No upstream dependency",IF(ISNUMBER(SEARCH(";",H553)),"Multiple dependencies - verify source queues",IFERROR(XLOOKUP(H553,C2:C1586,J2:J1586),"Dependency not found")))</x:f>
        <x:v>Not Started</x:v>
      </x:c>
      <x:c r="J553" s="6" t="str">
        <x:v>Not Started</x:v>
      </x:c>
      <x:c r="K553" s="6" t="str">
        <x:v>Normal</x:v>
      </x:c>
      <x:c r="L553" s="6" t="str"/>
      <x:c r="M553" s="6" t="str"/>
      <x:c r="N553" s="6" t="str"/>
      <x:c r="O553" s="7" t="str"/>
      <x:c r="P553" s="6" t="str">
        <x:v>Yes</x:v>
      </x:c>
      <x:c r="Q553" s="7" t="str">
        <x:v>Requires service identity completion.</x:v>
      </x:c>
    </x:row>
    <x:row r="554">
      <x:c r="A554" s="6" t="str">
        <x:v>SEQ-MFR-0224</x:v>
      </x:c>
      <x:c r="B554" s="6" t="str">
        <x:v>Manufacturer Scope</x:v>
      </x:c>
      <x:c r="C554" s="6" t="str">
        <x:v>MFRX-0224</x:v>
      </x:c>
      <x:c r="D554" s="6" t="str">
        <x:v>SVC000224</x:v>
      </x:c>
      <x:c r="E554" s="6" t="str"/>
      <x:c r="F554" s="6" t="str">
        <x:v>Manufacturer-scope review</x:v>
      </x:c>
      <x:c r="G554" s="6" t="n">
        <x:v>3</x:v>
      </x:c>
      <x:c r="H554" s="6" t="str">
        <x:v>SIDX-0224</x:v>
      </x:c>
      <x:c r="I554" s="6" t="str">
        <x:f>IF(H554="","No upstream dependency",IF(ISNUMBER(SEARCH(";",H554)),"Multiple dependencies - verify source queues",IFERROR(XLOOKUP(H554,C2:C1586,J2:J1586),"Dependency not found")))</x:f>
        <x:v>Not Started</x:v>
      </x:c>
      <x:c r="J554" s="6" t="str">
        <x:v>Not Started</x:v>
      </x:c>
      <x:c r="K554" s="6" t="str">
        <x:v>Normal</x:v>
      </x:c>
      <x:c r="L554" s="6" t="str"/>
      <x:c r="M554" s="6" t="str"/>
      <x:c r="N554" s="6" t="str"/>
      <x:c r="O554" s="7" t="str"/>
      <x:c r="P554" s="6" t="str">
        <x:v>Yes</x:v>
      </x:c>
      <x:c r="Q554" s="7" t="str">
        <x:v>Requires service identity completion.</x:v>
      </x:c>
    </x:row>
    <x:row r="555">
      <x:c r="A555" s="6" t="str">
        <x:v>SEQ-MFR-0225</x:v>
      </x:c>
      <x:c r="B555" s="6" t="str">
        <x:v>Manufacturer Scope</x:v>
      </x:c>
      <x:c r="C555" s="6" t="str">
        <x:v>MFRX-0225</x:v>
      </x:c>
      <x:c r="D555" s="6" t="str">
        <x:v>SVC000225</x:v>
      </x:c>
      <x:c r="E555" s="6" t="str"/>
      <x:c r="F555" s="6" t="str">
        <x:v>Manufacturer-scope review</x:v>
      </x:c>
      <x:c r="G555" s="6" t="n">
        <x:v>3</x:v>
      </x:c>
      <x:c r="H555" s="6" t="str">
        <x:v>SIDX-0225</x:v>
      </x:c>
      <x:c r="I555" s="6" t="str">
        <x:f>IF(H555="","No upstream dependency",IF(ISNUMBER(SEARCH(";",H555)),"Multiple dependencies - verify source queues",IFERROR(XLOOKUP(H555,C2:C1586,J2:J1586),"Dependency not found")))</x:f>
        <x:v>Not Started</x:v>
      </x:c>
      <x:c r="J555" s="6" t="str">
        <x:v>Not Started</x:v>
      </x:c>
      <x:c r="K555" s="6" t="str">
        <x:v>Normal</x:v>
      </x:c>
      <x:c r="L555" s="6" t="str"/>
      <x:c r="M555" s="6" t="str"/>
      <x:c r="N555" s="6" t="str"/>
      <x:c r="O555" s="7" t="str"/>
      <x:c r="P555" s="6" t="str">
        <x:v>Yes</x:v>
      </x:c>
      <x:c r="Q555" s="7" t="str">
        <x:v>Requires service identity completion.</x:v>
      </x:c>
    </x:row>
    <x:row r="556">
      <x:c r="A556" s="6" t="str">
        <x:v>SEQ-MFR-0226</x:v>
      </x:c>
      <x:c r="B556" s="6" t="str">
        <x:v>Manufacturer Scope</x:v>
      </x:c>
      <x:c r="C556" s="6" t="str">
        <x:v>MFRX-0226</x:v>
      </x:c>
      <x:c r="D556" s="6" t="str">
        <x:v>SVC000226</x:v>
      </x:c>
      <x:c r="E556" s="6" t="str"/>
      <x:c r="F556" s="6" t="str">
        <x:v>Manufacturer-scope review</x:v>
      </x:c>
      <x:c r="G556" s="6" t="n">
        <x:v>3</x:v>
      </x:c>
      <x:c r="H556" s="6" t="str">
        <x:v>SIDX-0226</x:v>
      </x:c>
      <x:c r="I556" s="6" t="str">
        <x:f>IF(H556="","No upstream dependency",IF(ISNUMBER(SEARCH(";",H556)),"Multiple dependencies - verify source queues",IFERROR(XLOOKUP(H556,C2:C1586,J2:J1586),"Dependency not found")))</x:f>
        <x:v>Not Started</x:v>
      </x:c>
      <x:c r="J556" s="6" t="str">
        <x:v>Not Started</x:v>
      </x:c>
      <x:c r="K556" s="6" t="str">
        <x:v>Normal</x:v>
      </x:c>
      <x:c r="L556" s="6" t="str"/>
      <x:c r="M556" s="6" t="str"/>
      <x:c r="N556" s="6" t="str"/>
      <x:c r="O556" s="7" t="str"/>
      <x:c r="P556" s="6" t="str">
        <x:v>Yes</x:v>
      </x:c>
      <x:c r="Q556" s="7" t="str">
        <x:v>Requires service identity completion.</x:v>
      </x:c>
    </x:row>
    <x:row r="557">
      <x:c r="A557" s="6" t="str">
        <x:v>SEQ-MFR-0227</x:v>
      </x:c>
      <x:c r="B557" s="6" t="str">
        <x:v>Manufacturer Scope</x:v>
      </x:c>
      <x:c r="C557" s="6" t="str">
        <x:v>MFRX-0227</x:v>
      </x:c>
      <x:c r="D557" s="6" t="str">
        <x:v>SVC000227</x:v>
      </x:c>
      <x:c r="E557" s="6" t="str"/>
      <x:c r="F557" s="6" t="str">
        <x:v>Manufacturer-scope review</x:v>
      </x:c>
      <x:c r="G557" s="6" t="n">
        <x:v>3</x:v>
      </x:c>
      <x:c r="H557" s="6" t="str">
        <x:v>SIDX-0227</x:v>
      </x:c>
      <x:c r="I557" s="6" t="str">
        <x:f>IF(H557="","No upstream dependency",IF(ISNUMBER(SEARCH(";",H557)),"Multiple dependencies - verify source queues",IFERROR(XLOOKUP(H557,C2:C1586,J2:J1586),"Dependency not found")))</x:f>
        <x:v>Not Started</x:v>
      </x:c>
      <x:c r="J557" s="6" t="str">
        <x:v>Not Started</x:v>
      </x:c>
      <x:c r="K557" s="6" t="str">
        <x:v>Normal</x:v>
      </x:c>
      <x:c r="L557" s="6" t="str"/>
      <x:c r="M557" s="6" t="str"/>
      <x:c r="N557" s="6" t="str"/>
      <x:c r="O557" s="7" t="str"/>
      <x:c r="P557" s="6" t="str">
        <x:v>Yes</x:v>
      </x:c>
      <x:c r="Q557" s="7" t="str">
        <x:v>Requires service identity completion.</x:v>
      </x:c>
    </x:row>
    <x:row r="558">
      <x:c r="A558" s="6" t="str">
        <x:v>SEQ-MFR-0228</x:v>
      </x:c>
      <x:c r="B558" s="6" t="str">
        <x:v>Manufacturer Scope</x:v>
      </x:c>
      <x:c r="C558" s="6" t="str">
        <x:v>MFRX-0228</x:v>
      </x:c>
      <x:c r="D558" s="6" t="str">
        <x:v>SVC000228</x:v>
      </x:c>
      <x:c r="E558" s="6" t="str"/>
      <x:c r="F558" s="6" t="str">
        <x:v>Manufacturer-scope review</x:v>
      </x:c>
      <x:c r="G558" s="6" t="n">
        <x:v>3</x:v>
      </x:c>
      <x:c r="H558" s="6" t="str">
        <x:v>SIDX-0228</x:v>
      </x:c>
      <x:c r="I558" s="6" t="str">
        <x:f>IF(H558="","No upstream dependency",IF(ISNUMBER(SEARCH(";",H558)),"Multiple dependencies - verify source queues",IFERROR(XLOOKUP(H558,C2:C1586,J2:J1586),"Dependency not found")))</x:f>
        <x:v>Not Started</x:v>
      </x:c>
      <x:c r="J558" s="6" t="str">
        <x:v>Not Started</x:v>
      </x:c>
      <x:c r="K558" s="6" t="str">
        <x:v>Normal</x:v>
      </x:c>
      <x:c r="L558" s="6" t="str"/>
      <x:c r="M558" s="6" t="str"/>
      <x:c r="N558" s="6" t="str"/>
      <x:c r="O558" s="7" t="str"/>
      <x:c r="P558" s="6" t="str">
        <x:v>Yes</x:v>
      </x:c>
      <x:c r="Q558" s="7" t="str">
        <x:v>Requires service identity completion.</x:v>
      </x:c>
    </x:row>
    <x:row r="559">
      <x:c r="A559" s="6" t="str">
        <x:v>SEQ-MFR-0229</x:v>
      </x:c>
      <x:c r="B559" s="6" t="str">
        <x:v>Manufacturer Scope</x:v>
      </x:c>
      <x:c r="C559" s="6" t="str">
        <x:v>MFRX-0229</x:v>
      </x:c>
      <x:c r="D559" s="6" t="str">
        <x:v>SVC000229</x:v>
      </x:c>
      <x:c r="E559" s="6" t="str"/>
      <x:c r="F559" s="6" t="str">
        <x:v>Manufacturer-scope review</x:v>
      </x:c>
      <x:c r="G559" s="6" t="n">
        <x:v>3</x:v>
      </x:c>
      <x:c r="H559" s="6" t="str">
        <x:v>SIDX-0229</x:v>
      </x:c>
      <x:c r="I559" s="6" t="str">
        <x:f>IF(H559="","No upstream dependency",IF(ISNUMBER(SEARCH(";",H559)),"Multiple dependencies - verify source queues",IFERROR(XLOOKUP(H559,C2:C1586,J2:J1586),"Dependency not found")))</x:f>
        <x:v>Not Started</x:v>
      </x:c>
      <x:c r="J559" s="6" t="str">
        <x:v>Not Started</x:v>
      </x:c>
      <x:c r="K559" s="6" t="str">
        <x:v>Normal</x:v>
      </x:c>
      <x:c r="L559" s="6" t="str"/>
      <x:c r="M559" s="6" t="str"/>
      <x:c r="N559" s="6" t="str"/>
      <x:c r="O559" s="7" t="str"/>
      <x:c r="P559" s="6" t="str">
        <x:v>Yes</x:v>
      </x:c>
      <x:c r="Q559" s="7" t="str">
        <x:v>Requires service identity completion.</x:v>
      </x:c>
    </x:row>
    <x:row r="560">
      <x:c r="A560" s="6" t="str">
        <x:v>SEQ-MFR-0230</x:v>
      </x:c>
      <x:c r="B560" s="6" t="str">
        <x:v>Manufacturer Scope</x:v>
      </x:c>
      <x:c r="C560" s="6" t="str">
        <x:v>MFRX-0230</x:v>
      </x:c>
      <x:c r="D560" s="6" t="str">
        <x:v>SVC000230</x:v>
      </x:c>
      <x:c r="E560" s="6" t="str"/>
      <x:c r="F560" s="6" t="str">
        <x:v>Manufacturer-scope review</x:v>
      </x:c>
      <x:c r="G560" s="6" t="n">
        <x:v>3</x:v>
      </x:c>
      <x:c r="H560" s="6" t="str">
        <x:v>SIDX-0230</x:v>
      </x:c>
      <x:c r="I560" s="6" t="str">
        <x:f>IF(H560="","No upstream dependency",IF(ISNUMBER(SEARCH(";",H560)),"Multiple dependencies - verify source queues",IFERROR(XLOOKUP(H560,C2:C1586,J2:J1586),"Dependency not found")))</x:f>
        <x:v>Not Started</x:v>
      </x:c>
      <x:c r="J560" s="6" t="str">
        <x:v>Not Started</x:v>
      </x:c>
      <x:c r="K560" s="6" t="str">
        <x:v>Normal</x:v>
      </x:c>
      <x:c r="L560" s="6" t="str"/>
      <x:c r="M560" s="6" t="str"/>
      <x:c r="N560" s="6" t="str"/>
      <x:c r="O560" s="7" t="str"/>
      <x:c r="P560" s="6" t="str">
        <x:v>Yes</x:v>
      </x:c>
      <x:c r="Q560" s="7" t="str">
        <x:v>Requires service identity completion.</x:v>
      </x:c>
    </x:row>
    <x:row r="561">
      <x:c r="A561" s="6" t="str">
        <x:v>SEQ-MFR-0231</x:v>
      </x:c>
      <x:c r="B561" s="6" t="str">
        <x:v>Manufacturer Scope</x:v>
      </x:c>
      <x:c r="C561" s="6" t="str">
        <x:v>MFRX-0231</x:v>
      </x:c>
      <x:c r="D561" s="6" t="str">
        <x:v>SVC000231</x:v>
      </x:c>
      <x:c r="E561" s="6" t="str"/>
      <x:c r="F561" s="6" t="str">
        <x:v>Manufacturer-scope review</x:v>
      </x:c>
      <x:c r="G561" s="6" t="n">
        <x:v>3</x:v>
      </x:c>
      <x:c r="H561" s="6" t="str">
        <x:v>SIDX-0231</x:v>
      </x:c>
      <x:c r="I561" s="6" t="str">
        <x:f>IF(H561="","No upstream dependency",IF(ISNUMBER(SEARCH(";",H561)),"Multiple dependencies - verify source queues",IFERROR(XLOOKUP(H561,C2:C1586,J2:J1586),"Dependency not found")))</x:f>
        <x:v>Not Started</x:v>
      </x:c>
      <x:c r="J561" s="6" t="str">
        <x:v>Not Started</x:v>
      </x:c>
      <x:c r="K561" s="6" t="str">
        <x:v>Normal</x:v>
      </x:c>
      <x:c r="L561" s="6" t="str"/>
      <x:c r="M561" s="6" t="str"/>
      <x:c r="N561" s="6" t="str"/>
      <x:c r="O561" s="7" t="str"/>
      <x:c r="P561" s="6" t="str">
        <x:v>Yes</x:v>
      </x:c>
      <x:c r="Q561" s="7" t="str">
        <x:v>Requires service identity completion.</x:v>
      </x:c>
    </x:row>
    <x:row r="562">
      <x:c r="A562" s="6" t="str">
        <x:v>SEQ-MFR-0232</x:v>
      </x:c>
      <x:c r="B562" s="6" t="str">
        <x:v>Manufacturer Scope</x:v>
      </x:c>
      <x:c r="C562" s="6" t="str">
        <x:v>MFRX-0232</x:v>
      </x:c>
      <x:c r="D562" s="6" t="str">
        <x:v>SVC000232</x:v>
      </x:c>
      <x:c r="E562" s="6" t="str"/>
      <x:c r="F562" s="6" t="str">
        <x:v>Manufacturer-scope review</x:v>
      </x:c>
      <x:c r="G562" s="6" t="n">
        <x:v>3</x:v>
      </x:c>
      <x:c r="H562" s="6" t="str">
        <x:v>SIDX-0232</x:v>
      </x:c>
      <x:c r="I562" s="6" t="str">
        <x:f>IF(H562="","No upstream dependency",IF(ISNUMBER(SEARCH(";",H562)),"Multiple dependencies - verify source queues",IFERROR(XLOOKUP(H562,C2:C1586,J2:J1586),"Dependency not found")))</x:f>
        <x:v>Not Started</x:v>
      </x:c>
      <x:c r="J562" s="6" t="str">
        <x:v>Not Started</x:v>
      </x:c>
      <x:c r="K562" s="6" t="str">
        <x:v>Normal</x:v>
      </x:c>
      <x:c r="L562" s="6" t="str"/>
      <x:c r="M562" s="6" t="str"/>
      <x:c r="N562" s="6" t="str"/>
      <x:c r="O562" s="7" t="str"/>
      <x:c r="P562" s="6" t="str">
        <x:v>Yes</x:v>
      </x:c>
      <x:c r="Q562" s="7" t="str">
        <x:v>Requires service identity completion.</x:v>
      </x:c>
    </x:row>
    <x:row r="563">
      <x:c r="A563" s="6" t="str">
        <x:v>SEQ-MFR-0233</x:v>
      </x:c>
      <x:c r="B563" s="6" t="str">
        <x:v>Manufacturer Scope</x:v>
      </x:c>
      <x:c r="C563" s="6" t="str">
        <x:v>MFRX-0233</x:v>
      </x:c>
      <x:c r="D563" s="6" t="str">
        <x:v>SVC000233</x:v>
      </x:c>
      <x:c r="E563" s="6" t="str"/>
      <x:c r="F563" s="6" t="str">
        <x:v>Manufacturer-scope review</x:v>
      </x:c>
      <x:c r="G563" s="6" t="n">
        <x:v>3</x:v>
      </x:c>
      <x:c r="H563" s="6" t="str">
        <x:v>SIDX-0233</x:v>
      </x:c>
      <x:c r="I563" s="6" t="str">
        <x:f>IF(H563="","No upstream dependency",IF(ISNUMBER(SEARCH(";",H563)),"Multiple dependencies - verify source queues",IFERROR(XLOOKUP(H563,C2:C1586,J2:J1586),"Dependency not found")))</x:f>
        <x:v>Not Started</x:v>
      </x:c>
      <x:c r="J563" s="6" t="str">
        <x:v>Not Started</x:v>
      </x:c>
      <x:c r="K563" s="6" t="str">
        <x:v>Normal</x:v>
      </x:c>
      <x:c r="L563" s="6" t="str"/>
      <x:c r="M563" s="6" t="str"/>
      <x:c r="N563" s="6" t="str"/>
      <x:c r="O563" s="7" t="str"/>
      <x:c r="P563" s="6" t="str">
        <x:v>Yes</x:v>
      </x:c>
      <x:c r="Q563" s="7" t="str">
        <x:v>Requires service identity completion.</x:v>
      </x:c>
    </x:row>
    <x:row r="564">
      <x:c r="A564" s="6" t="str">
        <x:v>SEQ-MFR-0234</x:v>
      </x:c>
      <x:c r="B564" s="6" t="str">
        <x:v>Manufacturer Scope</x:v>
      </x:c>
      <x:c r="C564" s="6" t="str">
        <x:v>MFRX-0234</x:v>
      </x:c>
      <x:c r="D564" s="6" t="str">
        <x:v>SVC000234</x:v>
      </x:c>
      <x:c r="E564" s="6" t="str"/>
      <x:c r="F564" s="6" t="str">
        <x:v>Manufacturer-scope review</x:v>
      </x:c>
      <x:c r="G564" s="6" t="n">
        <x:v>3</x:v>
      </x:c>
      <x:c r="H564" s="6" t="str">
        <x:v>SIDX-0234</x:v>
      </x:c>
      <x:c r="I564" s="6" t="str">
        <x:f>IF(H564="","No upstream dependency",IF(ISNUMBER(SEARCH(";",H564)),"Multiple dependencies - verify source queues",IFERROR(XLOOKUP(H564,C2:C1586,J2:J1586),"Dependency not found")))</x:f>
        <x:v>Not Started</x:v>
      </x:c>
      <x:c r="J564" s="6" t="str">
        <x:v>Not Started</x:v>
      </x:c>
      <x:c r="K564" s="6" t="str">
        <x:v>Normal</x:v>
      </x:c>
      <x:c r="L564" s="6" t="str"/>
      <x:c r="M564" s="6" t="str"/>
      <x:c r="N564" s="6" t="str"/>
      <x:c r="O564" s="7" t="str"/>
      <x:c r="P564" s="6" t="str">
        <x:v>Yes</x:v>
      </x:c>
      <x:c r="Q564" s="7" t="str">
        <x:v>Requires service identity completion.</x:v>
      </x:c>
    </x:row>
    <x:row r="565">
      <x:c r="A565" s="6" t="str">
        <x:v>SEQ-MFR-0235</x:v>
      </x:c>
      <x:c r="B565" s="6" t="str">
        <x:v>Manufacturer Scope</x:v>
      </x:c>
      <x:c r="C565" s="6" t="str">
        <x:v>MFRX-0235</x:v>
      </x:c>
      <x:c r="D565" s="6" t="str">
        <x:v>SVC000235</x:v>
      </x:c>
      <x:c r="E565" s="6" t="str"/>
      <x:c r="F565" s="6" t="str">
        <x:v>Manufacturer-scope review</x:v>
      </x:c>
      <x:c r="G565" s="6" t="n">
        <x:v>3</x:v>
      </x:c>
      <x:c r="H565" s="6" t="str">
        <x:v>SIDX-0235</x:v>
      </x:c>
      <x:c r="I565" s="6" t="str">
        <x:f>IF(H565="","No upstream dependency",IF(ISNUMBER(SEARCH(";",H565)),"Multiple dependencies - verify source queues",IFERROR(XLOOKUP(H565,C2:C1586,J2:J1586),"Dependency not found")))</x:f>
        <x:v>Not Started</x:v>
      </x:c>
      <x:c r="J565" s="6" t="str">
        <x:v>Not Started</x:v>
      </x:c>
      <x:c r="K565" s="6" t="str">
        <x:v>Normal</x:v>
      </x:c>
      <x:c r="L565" s="6" t="str"/>
      <x:c r="M565" s="6" t="str"/>
      <x:c r="N565" s="6" t="str"/>
      <x:c r="O565" s="7" t="str"/>
      <x:c r="P565" s="6" t="str">
        <x:v>Yes</x:v>
      </x:c>
      <x:c r="Q565" s="7" t="str">
        <x:v>Requires service identity completion.</x:v>
      </x:c>
    </x:row>
    <x:row r="566">
      <x:c r="A566" s="6" t="str">
        <x:v>SEQ-MFR-0236</x:v>
      </x:c>
      <x:c r="B566" s="6" t="str">
        <x:v>Manufacturer Scope</x:v>
      </x:c>
      <x:c r="C566" s="6" t="str">
        <x:v>MFRX-0236</x:v>
      </x:c>
      <x:c r="D566" s="6" t="str">
        <x:v>SVC000236</x:v>
      </x:c>
      <x:c r="E566" s="6" t="str"/>
      <x:c r="F566" s="6" t="str">
        <x:v>Manufacturer-scope review</x:v>
      </x:c>
      <x:c r="G566" s="6" t="n">
        <x:v>3</x:v>
      </x:c>
      <x:c r="H566" s="6" t="str">
        <x:v>SIDX-0236</x:v>
      </x:c>
      <x:c r="I566" s="6" t="str">
        <x:f>IF(H566="","No upstream dependency",IF(ISNUMBER(SEARCH(";",H566)),"Multiple dependencies - verify source queues",IFERROR(XLOOKUP(H566,C2:C1586,J2:J1586),"Dependency not found")))</x:f>
        <x:v>Not Started</x:v>
      </x:c>
      <x:c r="J566" s="6" t="str">
        <x:v>Not Started</x:v>
      </x:c>
      <x:c r="K566" s="6" t="str">
        <x:v>Normal</x:v>
      </x:c>
      <x:c r="L566" s="6" t="str"/>
      <x:c r="M566" s="6" t="str"/>
      <x:c r="N566" s="6" t="str"/>
      <x:c r="O566" s="7" t="str"/>
      <x:c r="P566" s="6" t="str">
        <x:v>Yes</x:v>
      </x:c>
      <x:c r="Q566" s="7" t="str">
        <x:v>Requires service identity completion.</x:v>
      </x:c>
    </x:row>
    <x:row r="567">
      <x:c r="A567" s="6" t="str">
        <x:v>SEQ-MFR-0237</x:v>
      </x:c>
      <x:c r="B567" s="6" t="str">
        <x:v>Manufacturer Scope</x:v>
      </x:c>
      <x:c r="C567" s="6" t="str">
        <x:v>MFRX-0237</x:v>
      </x:c>
      <x:c r="D567" s="6" t="str">
        <x:v>SVC000237</x:v>
      </x:c>
      <x:c r="E567" s="6" t="str"/>
      <x:c r="F567" s="6" t="str">
        <x:v>Manufacturer-scope review</x:v>
      </x:c>
      <x:c r="G567" s="6" t="n">
        <x:v>3</x:v>
      </x:c>
      <x:c r="H567" s="6" t="str">
        <x:v>SIDX-0237</x:v>
      </x:c>
      <x:c r="I567" s="6" t="str">
        <x:f>IF(H567="","No upstream dependency",IF(ISNUMBER(SEARCH(";",H567)),"Multiple dependencies - verify source queues",IFERROR(XLOOKUP(H567,C2:C1586,J2:J1586),"Dependency not found")))</x:f>
        <x:v>Not Started</x:v>
      </x:c>
      <x:c r="J567" s="6" t="str">
        <x:v>Not Started</x:v>
      </x:c>
      <x:c r="K567" s="6" t="str">
        <x:v>Normal</x:v>
      </x:c>
      <x:c r="L567" s="6" t="str"/>
      <x:c r="M567" s="6" t="str"/>
      <x:c r="N567" s="6" t="str"/>
      <x:c r="O567" s="7" t="str"/>
      <x:c r="P567" s="6" t="str">
        <x:v>Yes</x:v>
      </x:c>
      <x:c r="Q567" s="7" t="str">
        <x:v>Requires service identity completion.</x:v>
      </x:c>
    </x:row>
    <x:row r="568">
      <x:c r="A568" s="6" t="str">
        <x:v>SEQ-MFR-0238</x:v>
      </x:c>
      <x:c r="B568" s="6" t="str">
        <x:v>Manufacturer Scope</x:v>
      </x:c>
      <x:c r="C568" s="6" t="str">
        <x:v>MFRX-0238</x:v>
      </x:c>
      <x:c r="D568" s="6" t="str">
        <x:v>SVC000238</x:v>
      </x:c>
      <x:c r="E568" s="6" t="str"/>
      <x:c r="F568" s="6" t="str">
        <x:v>Manufacturer-scope review</x:v>
      </x:c>
      <x:c r="G568" s="6" t="n">
        <x:v>3</x:v>
      </x:c>
      <x:c r="H568" s="6" t="str">
        <x:v>SIDX-0238</x:v>
      </x:c>
      <x:c r="I568" s="6" t="str">
        <x:f>IF(H568="","No upstream dependency",IF(ISNUMBER(SEARCH(";",H568)),"Multiple dependencies - verify source queues",IFERROR(XLOOKUP(H568,C2:C1586,J2:J1586),"Dependency not found")))</x:f>
        <x:v>Not Started</x:v>
      </x:c>
      <x:c r="J568" s="6" t="str">
        <x:v>Not Started</x:v>
      </x:c>
      <x:c r="K568" s="6" t="str">
        <x:v>Normal</x:v>
      </x:c>
      <x:c r="L568" s="6" t="str"/>
      <x:c r="M568" s="6" t="str"/>
      <x:c r="N568" s="6" t="str"/>
      <x:c r="O568" s="7" t="str"/>
      <x:c r="P568" s="6" t="str">
        <x:v>Yes</x:v>
      </x:c>
      <x:c r="Q568" s="7" t="str">
        <x:v>Requires service identity completion.</x:v>
      </x:c>
    </x:row>
    <x:row r="569">
      <x:c r="A569" s="6" t="str">
        <x:v>SEQ-MFR-0239</x:v>
      </x:c>
      <x:c r="B569" s="6" t="str">
        <x:v>Manufacturer Scope</x:v>
      </x:c>
      <x:c r="C569" s="6" t="str">
        <x:v>MFRX-0239</x:v>
      </x:c>
      <x:c r="D569" s="6" t="str">
        <x:v>SVC000239</x:v>
      </x:c>
      <x:c r="E569" s="6" t="str"/>
      <x:c r="F569" s="6" t="str">
        <x:v>Manufacturer-scope review</x:v>
      </x:c>
      <x:c r="G569" s="6" t="n">
        <x:v>3</x:v>
      </x:c>
      <x:c r="H569" s="6" t="str">
        <x:v>SIDX-0239</x:v>
      </x:c>
      <x:c r="I569" s="6" t="str">
        <x:f>IF(H569="","No upstream dependency",IF(ISNUMBER(SEARCH(";",H569)),"Multiple dependencies - verify source queues",IFERROR(XLOOKUP(H569,C2:C1586,J2:J1586),"Dependency not found")))</x:f>
        <x:v>Not Started</x:v>
      </x:c>
      <x:c r="J569" s="6" t="str">
        <x:v>Not Started</x:v>
      </x:c>
      <x:c r="K569" s="6" t="str">
        <x:v>Normal</x:v>
      </x:c>
      <x:c r="L569" s="6" t="str"/>
      <x:c r="M569" s="6" t="str"/>
      <x:c r="N569" s="6" t="str"/>
      <x:c r="O569" s="7" t="str"/>
      <x:c r="P569" s="6" t="str">
        <x:v>Yes</x:v>
      </x:c>
      <x:c r="Q569" s="7" t="str">
        <x:v>Requires service identity completion.</x:v>
      </x:c>
    </x:row>
    <x:row r="570">
      <x:c r="A570" s="6" t="str">
        <x:v>SEQ-MFR-0240</x:v>
      </x:c>
      <x:c r="B570" s="6" t="str">
        <x:v>Manufacturer Scope</x:v>
      </x:c>
      <x:c r="C570" s="6" t="str">
        <x:v>MFRX-0240</x:v>
      </x:c>
      <x:c r="D570" s="6" t="str">
        <x:v>SVC000240</x:v>
      </x:c>
      <x:c r="E570" s="6" t="str"/>
      <x:c r="F570" s="6" t="str">
        <x:v>Manufacturer-scope review</x:v>
      </x:c>
      <x:c r="G570" s="6" t="n">
        <x:v>3</x:v>
      </x:c>
      <x:c r="H570" s="6" t="str">
        <x:v>SIDX-0240</x:v>
      </x:c>
      <x:c r="I570" s="6" t="str">
        <x:f>IF(H570="","No upstream dependency",IF(ISNUMBER(SEARCH(";",H570)),"Multiple dependencies - verify source queues",IFERROR(XLOOKUP(H570,C2:C1586,J2:J1586),"Dependency not found")))</x:f>
        <x:v>Not Started</x:v>
      </x:c>
      <x:c r="J570" s="6" t="str">
        <x:v>Not Started</x:v>
      </x:c>
      <x:c r="K570" s="6" t="str">
        <x:v>Normal</x:v>
      </x:c>
      <x:c r="L570" s="6" t="str"/>
      <x:c r="M570" s="6" t="str"/>
      <x:c r="N570" s="6" t="str"/>
      <x:c r="O570" s="7" t="str"/>
      <x:c r="P570" s="6" t="str">
        <x:v>Yes</x:v>
      </x:c>
      <x:c r="Q570" s="7" t="str">
        <x:v>Requires service identity completion.</x:v>
      </x:c>
    </x:row>
    <x:row r="571">
      <x:c r="A571" s="6" t="str">
        <x:v>SEQ-MFR-0241</x:v>
      </x:c>
      <x:c r="B571" s="6" t="str">
        <x:v>Manufacturer Scope</x:v>
      </x:c>
      <x:c r="C571" s="6" t="str">
        <x:v>MFRX-0241</x:v>
      </x:c>
      <x:c r="D571" s="6" t="str">
        <x:v>SVC000241</x:v>
      </x:c>
      <x:c r="E571" s="6" t="str"/>
      <x:c r="F571" s="6" t="str">
        <x:v>Manufacturer-scope review</x:v>
      </x:c>
      <x:c r="G571" s="6" t="n">
        <x:v>3</x:v>
      </x:c>
      <x:c r="H571" s="6" t="str">
        <x:v>SIDX-0241</x:v>
      </x:c>
      <x:c r="I571" s="6" t="str">
        <x:f>IF(H571="","No upstream dependency",IF(ISNUMBER(SEARCH(";",H571)),"Multiple dependencies - verify source queues",IFERROR(XLOOKUP(H571,C2:C1586,J2:J1586),"Dependency not found")))</x:f>
        <x:v>Not Started</x:v>
      </x:c>
      <x:c r="J571" s="6" t="str">
        <x:v>Not Started</x:v>
      </x:c>
      <x:c r="K571" s="6" t="str">
        <x:v>Normal</x:v>
      </x:c>
      <x:c r="L571" s="6" t="str"/>
      <x:c r="M571" s="6" t="str"/>
      <x:c r="N571" s="6" t="str"/>
      <x:c r="O571" s="7" t="str"/>
      <x:c r="P571" s="6" t="str">
        <x:v>Yes</x:v>
      </x:c>
      <x:c r="Q571" s="7" t="str">
        <x:v>Requires service identity completion.</x:v>
      </x:c>
    </x:row>
    <x:row r="572">
      <x:c r="A572" s="6" t="str">
        <x:v>SEQ-MFR-0242</x:v>
      </x:c>
      <x:c r="B572" s="6" t="str">
        <x:v>Manufacturer Scope</x:v>
      </x:c>
      <x:c r="C572" s="6" t="str">
        <x:v>MFRX-0242</x:v>
      </x:c>
      <x:c r="D572" s="6" t="str">
        <x:v>SVC000242</x:v>
      </x:c>
      <x:c r="E572" s="6" t="str"/>
      <x:c r="F572" s="6" t="str">
        <x:v>Manufacturer-scope review</x:v>
      </x:c>
      <x:c r="G572" s="6" t="n">
        <x:v>3</x:v>
      </x:c>
      <x:c r="H572" s="6" t="str">
        <x:v>SIDX-0242</x:v>
      </x:c>
      <x:c r="I572" s="6" t="str">
        <x:f>IF(H572="","No upstream dependency",IF(ISNUMBER(SEARCH(";",H572)),"Multiple dependencies - verify source queues",IFERROR(XLOOKUP(H572,C2:C1586,J2:J1586),"Dependency not found")))</x:f>
        <x:v>Not Started</x:v>
      </x:c>
      <x:c r="J572" s="6" t="str">
        <x:v>Not Started</x:v>
      </x:c>
      <x:c r="K572" s="6" t="str">
        <x:v>Normal</x:v>
      </x:c>
      <x:c r="L572" s="6" t="str"/>
      <x:c r="M572" s="6" t="str"/>
      <x:c r="N572" s="6" t="str"/>
      <x:c r="O572" s="7" t="str"/>
      <x:c r="P572" s="6" t="str">
        <x:v>Yes</x:v>
      </x:c>
      <x:c r="Q572" s="7" t="str">
        <x:v>Requires service identity completion.</x:v>
      </x:c>
    </x:row>
    <x:row r="573">
      <x:c r="A573" s="6" t="str">
        <x:v>SEQ-MFR-0243</x:v>
      </x:c>
      <x:c r="B573" s="6" t="str">
        <x:v>Manufacturer Scope</x:v>
      </x:c>
      <x:c r="C573" s="6" t="str">
        <x:v>MFRX-0243</x:v>
      </x:c>
      <x:c r="D573" s="6" t="str">
        <x:v>SVC000243</x:v>
      </x:c>
      <x:c r="E573" s="6" t="str"/>
      <x:c r="F573" s="6" t="str">
        <x:v>Manufacturer-scope review</x:v>
      </x:c>
      <x:c r="G573" s="6" t="n">
        <x:v>3</x:v>
      </x:c>
      <x:c r="H573" s="6" t="str">
        <x:v>SIDX-0243</x:v>
      </x:c>
      <x:c r="I573" s="6" t="str">
        <x:f>IF(H573="","No upstream dependency",IF(ISNUMBER(SEARCH(";",H573)),"Multiple dependencies - verify source queues",IFERROR(XLOOKUP(H573,C2:C1586,J2:J1586),"Dependency not found")))</x:f>
        <x:v>Not Started</x:v>
      </x:c>
      <x:c r="J573" s="6" t="str">
        <x:v>Not Started</x:v>
      </x:c>
      <x:c r="K573" s="6" t="str">
        <x:v>Normal</x:v>
      </x:c>
      <x:c r="L573" s="6" t="str"/>
      <x:c r="M573" s="6" t="str"/>
      <x:c r="N573" s="6" t="str"/>
      <x:c r="O573" s="7" t="str"/>
      <x:c r="P573" s="6" t="str">
        <x:v>Yes</x:v>
      </x:c>
      <x:c r="Q573" s="7" t="str">
        <x:v>Requires service identity completion.</x:v>
      </x:c>
    </x:row>
    <x:row r="574">
      <x:c r="A574" s="6" t="str">
        <x:v>SEQ-MFR-0244</x:v>
      </x:c>
      <x:c r="B574" s="6" t="str">
        <x:v>Manufacturer Scope</x:v>
      </x:c>
      <x:c r="C574" s="6" t="str">
        <x:v>MFRX-0244</x:v>
      </x:c>
      <x:c r="D574" s="6" t="str">
        <x:v>SVC000244</x:v>
      </x:c>
      <x:c r="E574" s="6" t="str"/>
      <x:c r="F574" s="6" t="str">
        <x:v>Manufacturer-scope review</x:v>
      </x:c>
      <x:c r="G574" s="6" t="n">
        <x:v>3</x:v>
      </x:c>
      <x:c r="H574" s="6" t="str">
        <x:v>SIDX-0244</x:v>
      </x:c>
      <x:c r="I574" s="6" t="str">
        <x:f>IF(H574="","No upstream dependency",IF(ISNUMBER(SEARCH(";",H574)),"Multiple dependencies - verify source queues",IFERROR(XLOOKUP(H574,C2:C1586,J2:J1586),"Dependency not found")))</x:f>
        <x:v>Not Started</x:v>
      </x:c>
      <x:c r="J574" s="6" t="str">
        <x:v>Not Started</x:v>
      </x:c>
      <x:c r="K574" s="6" t="str">
        <x:v>Normal</x:v>
      </x:c>
      <x:c r="L574" s="6" t="str"/>
      <x:c r="M574" s="6" t="str"/>
      <x:c r="N574" s="6" t="str"/>
      <x:c r="O574" s="7" t="str"/>
      <x:c r="P574" s="6" t="str">
        <x:v>Yes</x:v>
      </x:c>
      <x:c r="Q574" s="7" t="str">
        <x:v>Requires service identity completion.</x:v>
      </x:c>
    </x:row>
    <x:row r="575">
      <x:c r="A575" s="6" t="str">
        <x:v>SEQ-MFR-0245</x:v>
      </x:c>
      <x:c r="B575" s="6" t="str">
        <x:v>Manufacturer Scope</x:v>
      </x:c>
      <x:c r="C575" s="6" t="str">
        <x:v>MFRX-0245</x:v>
      </x:c>
      <x:c r="D575" s="6" t="str">
        <x:v>SVC000245</x:v>
      </x:c>
      <x:c r="E575" s="6" t="str"/>
      <x:c r="F575" s="6" t="str">
        <x:v>Manufacturer-scope review</x:v>
      </x:c>
      <x:c r="G575" s="6" t="n">
        <x:v>3</x:v>
      </x:c>
      <x:c r="H575" s="6" t="str">
        <x:v>SIDX-0245</x:v>
      </x:c>
      <x:c r="I575" s="6" t="str">
        <x:f>IF(H575="","No upstream dependency",IF(ISNUMBER(SEARCH(";",H575)),"Multiple dependencies - verify source queues",IFERROR(XLOOKUP(H575,C2:C1586,J2:J1586),"Dependency not found")))</x:f>
        <x:v>Not Started</x:v>
      </x:c>
      <x:c r="J575" s="6" t="str">
        <x:v>Not Started</x:v>
      </x:c>
      <x:c r="K575" s="6" t="str">
        <x:v>Normal</x:v>
      </x:c>
      <x:c r="L575" s="6" t="str"/>
      <x:c r="M575" s="6" t="str"/>
      <x:c r="N575" s="6" t="str"/>
      <x:c r="O575" s="7" t="str"/>
      <x:c r="P575" s="6" t="str">
        <x:v>Yes</x:v>
      </x:c>
      <x:c r="Q575" s="7" t="str">
        <x:v>Requires service identity completion.</x:v>
      </x:c>
    </x:row>
    <x:row r="576">
      <x:c r="A576" s="6" t="str">
        <x:v>SEQ-MFR-0246</x:v>
      </x:c>
      <x:c r="B576" s="6" t="str">
        <x:v>Manufacturer Scope</x:v>
      </x:c>
      <x:c r="C576" s="6" t="str">
        <x:v>MFRX-0246</x:v>
      </x:c>
      <x:c r="D576" s="6" t="str">
        <x:v>SVC000246</x:v>
      </x:c>
      <x:c r="E576" s="6" t="str"/>
      <x:c r="F576" s="6" t="str">
        <x:v>Manufacturer-scope review</x:v>
      </x:c>
      <x:c r="G576" s="6" t="n">
        <x:v>3</x:v>
      </x:c>
      <x:c r="H576" s="6" t="str">
        <x:v>SIDX-0246</x:v>
      </x:c>
      <x:c r="I576" s="6" t="str">
        <x:f>IF(H576="","No upstream dependency",IF(ISNUMBER(SEARCH(";",H576)),"Multiple dependencies - verify source queues",IFERROR(XLOOKUP(H576,C2:C1586,J2:J1586),"Dependency not found")))</x:f>
        <x:v>Not Started</x:v>
      </x:c>
      <x:c r="J576" s="6" t="str">
        <x:v>Not Started</x:v>
      </x:c>
      <x:c r="K576" s="6" t="str">
        <x:v>Normal</x:v>
      </x:c>
      <x:c r="L576" s="6" t="str"/>
      <x:c r="M576" s="6" t="str"/>
      <x:c r="N576" s="6" t="str"/>
      <x:c r="O576" s="7" t="str"/>
      <x:c r="P576" s="6" t="str">
        <x:v>Yes</x:v>
      </x:c>
      <x:c r="Q576" s="7" t="str">
        <x:v>Requires service identity completion.</x:v>
      </x:c>
    </x:row>
    <x:row r="577">
      <x:c r="A577" s="6" t="str">
        <x:v>SEQ-MFR-0247</x:v>
      </x:c>
      <x:c r="B577" s="6" t="str">
        <x:v>Manufacturer Scope</x:v>
      </x:c>
      <x:c r="C577" s="6" t="str">
        <x:v>MFRX-0247</x:v>
      </x:c>
      <x:c r="D577" s="6" t="str">
        <x:v>SVC000247</x:v>
      </x:c>
      <x:c r="E577" s="6" t="str"/>
      <x:c r="F577" s="6" t="str">
        <x:v>Manufacturer-scope review</x:v>
      </x:c>
      <x:c r="G577" s="6" t="n">
        <x:v>3</x:v>
      </x:c>
      <x:c r="H577" s="6" t="str">
        <x:v>SIDX-0247</x:v>
      </x:c>
      <x:c r="I577" s="6" t="str">
        <x:f>IF(H577="","No upstream dependency",IF(ISNUMBER(SEARCH(";",H577)),"Multiple dependencies - verify source queues",IFERROR(XLOOKUP(H577,C2:C1586,J2:J1586),"Dependency not found")))</x:f>
        <x:v>Not Started</x:v>
      </x:c>
      <x:c r="J577" s="6" t="str">
        <x:v>Not Started</x:v>
      </x:c>
      <x:c r="K577" s="6" t="str">
        <x:v>Normal</x:v>
      </x:c>
      <x:c r="L577" s="6" t="str"/>
      <x:c r="M577" s="6" t="str"/>
      <x:c r="N577" s="6" t="str"/>
      <x:c r="O577" s="7" t="str"/>
      <x:c r="P577" s="6" t="str">
        <x:v>Yes</x:v>
      </x:c>
      <x:c r="Q577" s="7" t="str">
        <x:v>Requires service identity completion.</x:v>
      </x:c>
    </x:row>
    <x:row r="578">
      <x:c r="A578" s="6" t="str">
        <x:v>SEQ-MFR-0248</x:v>
      </x:c>
      <x:c r="B578" s="6" t="str">
        <x:v>Manufacturer Scope</x:v>
      </x:c>
      <x:c r="C578" s="6" t="str">
        <x:v>MFRX-0248</x:v>
      </x:c>
      <x:c r="D578" s="6" t="str">
        <x:v>SVC000248</x:v>
      </x:c>
      <x:c r="E578" s="6" t="str"/>
      <x:c r="F578" s="6" t="str">
        <x:v>Manufacturer-scope review</x:v>
      </x:c>
      <x:c r="G578" s="6" t="n">
        <x:v>3</x:v>
      </x:c>
      <x:c r="H578" s="6" t="str">
        <x:v>SIDX-0248</x:v>
      </x:c>
      <x:c r="I578" s="6" t="str">
        <x:f>IF(H578="","No upstream dependency",IF(ISNUMBER(SEARCH(";",H578)),"Multiple dependencies - verify source queues",IFERROR(XLOOKUP(H578,C2:C1586,J2:J1586),"Dependency not found")))</x:f>
        <x:v>Not Started</x:v>
      </x:c>
      <x:c r="J578" s="6" t="str">
        <x:v>Not Started</x:v>
      </x:c>
      <x:c r="K578" s="6" t="str">
        <x:v>Normal</x:v>
      </x:c>
      <x:c r="L578" s="6" t="str"/>
      <x:c r="M578" s="6" t="str"/>
      <x:c r="N578" s="6" t="str"/>
      <x:c r="O578" s="7" t="str"/>
      <x:c r="P578" s="6" t="str">
        <x:v>Yes</x:v>
      </x:c>
      <x:c r="Q578" s="7" t="str">
        <x:v>Requires service identity completion.</x:v>
      </x:c>
    </x:row>
    <x:row r="579">
      <x:c r="A579" s="6" t="str">
        <x:v>SEQ-MFR-0249</x:v>
      </x:c>
      <x:c r="B579" s="6" t="str">
        <x:v>Manufacturer Scope</x:v>
      </x:c>
      <x:c r="C579" s="6" t="str">
        <x:v>MFRX-0249</x:v>
      </x:c>
      <x:c r="D579" s="6" t="str">
        <x:v>SVC000249</x:v>
      </x:c>
      <x:c r="E579" s="6" t="str"/>
      <x:c r="F579" s="6" t="str">
        <x:v>Manufacturer-scope review</x:v>
      </x:c>
      <x:c r="G579" s="6" t="n">
        <x:v>3</x:v>
      </x:c>
      <x:c r="H579" s="6" t="str">
        <x:v>SIDX-0249</x:v>
      </x:c>
      <x:c r="I579" s="6" t="str">
        <x:f>IF(H579="","No upstream dependency",IF(ISNUMBER(SEARCH(";",H579)),"Multiple dependencies - verify source queues",IFERROR(XLOOKUP(H579,C2:C1586,J2:J1586),"Dependency not found")))</x:f>
        <x:v>Not Started</x:v>
      </x:c>
      <x:c r="J579" s="6" t="str">
        <x:v>Not Started</x:v>
      </x:c>
      <x:c r="K579" s="6" t="str">
        <x:v>Normal</x:v>
      </x:c>
      <x:c r="L579" s="6" t="str"/>
      <x:c r="M579" s="6" t="str"/>
      <x:c r="N579" s="6" t="str"/>
      <x:c r="O579" s="7" t="str"/>
      <x:c r="P579" s="6" t="str">
        <x:v>Yes</x:v>
      </x:c>
      <x:c r="Q579" s="7" t="str">
        <x:v>Requires service identity completion.</x:v>
      </x:c>
    </x:row>
    <x:row r="580">
      <x:c r="A580" s="6" t="str">
        <x:v>SEQ-MFR-0250</x:v>
      </x:c>
      <x:c r="B580" s="6" t="str">
        <x:v>Manufacturer Scope</x:v>
      </x:c>
      <x:c r="C580" s="6" t="str">
        <x:v>MFRX-0250</x:v>
      </x:c>
      <x:c r="D580" s="6" t="str">
        <x:v>SVC000250</x:v>
      </x:c>
      <x:c r="E580" s="6" t="str"/>
      <x:c r="F580" s="6" t="str">
        <x:v>Manufacturer-scope review</x:v>
      </x:c>
      <x:c r="G580" s="6" t="n">
        <x:v>3</x:v>
      </x:c>
      <x:c r="H580" s="6" t="str">
        <x:v>SIDX-0250</x:v>
      </x:c>
      <x:c r="I580" s="6" t="str">
        <x:f>IF(H580="","No upstream dependency",IF(ISNUMBER(SEARCH(";",H580)),"Multiple dependencies - verify source queues",IFERROR(XLOOKUP(H580,C2:C1586,J2:J1586),"Dependency not found")))</x:f>
        <x:v>Not Started</x:v>
      </x:c>
      <x:c r="J580" s="6" t="str">
        <x:v>Not Started</x:v>
      </x:c>
      <x:c r="K580" s="6" t="str">
        <x:v>Normal</x:v>
      </x:c>
      <x:c r="L580" s="6" t="str"/>
      <x:c r="M580" s="6" t="str"/>
      <x:c r="N580" s="6" t="str"/>
      <x:c r="O580" s="7" t="str"/>
      <x:c r="P580" s="6" t="str">
        <x:v>Yes</x:v>
      </x:c>
      <x:c r="Q580" s="7" t="str">
        <x:v>Requires service identity completion.</x:v>
      </x:c>
    </x:row>
    <x:row r="581">
      <x:c r="A581" s="6" t="str">
        <x:v>SEQ-MFR-0251</x:v>
      </x:c>
      <x:c r="B581" s="6" t="str">
        <x:v>Manufacturer Scope</x:v>
      </x:c>
      <x:c r="C581" s="6" t="str">
        <x:v>MFRX-0251</x:v>
      </x:c>
      <x:c r="D581" s="6" t="str">
        <x:v>SVC000251</x:v>
      </x:c>
      <x:c r="E581" s="6" t="str"/>
      <x:c r="F581" s="6" t="str">
        <x:v>Manufacturer-scope review</x:v>
      </x:c>
      <x:c r="G581" s="6" t="n">
        <x:v>3</x:v>
      </x:c>
      <x:c r="H581" s="6" t="str">
        <x:v>SIDX-0251</x:v>
      </x:c>
      <x:c r="I581" s="6" t="str">
        <x:f>IF(H581="","No upstream dependency",IF(ISNUMBER(SEARCH(";",H581)),"Multiple dependencies - verify source queues",IFERROR(XLOOKUP(H581,C2:C1586,J2:J1586),"Dependency not found")))</x:f>
        <x:v>Not Started</x:v>
      </x:c>
      <x:c r="J581" s="6" t="str">
        <x:v>Not Started</x:v>
      </x:c>
      <x:c r="K581" s="6" t="str">
        <x:v>Normal</x:v>
      </x:c>
      <x:c r="L581" s="6" t="str"/>
      <x:c r="M581" s="6" t="str"/>
      <x:c r="N581" s="6" t="str"/>
      <x:c r="O581" s="7" t="str"/>
      <x:c r="P581" s="6" t="str">
        <x:v>Yes</x:v>
      </x:c>
      <x:c r="Q581" s="7" t="str">
        <x:v>Requires service identity completion.</x:v>
      </x:c>
    </x:row>
    <x:row r="582">
      <x:c r="A582" s="6" t="str">
        <x:v>SEQ-MFR-0252</x:v>
      </x:c>
      <x:c r="B582" s="6" t="str">
        <x:v>Manufacturer Scope</x:v>
      </x:c>
      <x:c r="C582" s="6" t="str">
        <x:v>MFRX-0252</x:v>
      </x:c>
      <x:c r="D582" s="6" t="str">
        <x:v>SVC000252</x:v>
      </x:c>
      <x:c r="E582" s="6" t="str"/>
      <x:c r="F582" s="6" t="str">
        <x:v>Manufacturer-scope review</x:v>
      </x:c>
      <x:c r="G582" s="6" t="n">
        <x:v>3</x:v>
      </x:c>
      <x:c r="H582" s="6" t="str">
        <x:v>SIDX-0252</x:v>
      </x:c>
      <x:c r="I582" s="6" t="str">
        <x:f>IF(H582="","No upstream dependency",IF(ISNUMBER(SEARCH(";",H582)),"Multiple dependencies - verify source queues",IFERROR(XLOOKUP(H582,C2:C1586,J2:J1586),"Dependency not found")))</x:f>
        <x:v>Not Started</x:v>
      </x:c>
      <x:c r="J582" s="6" t="str">
        <x:v>Not Started</x:v>
      </x:c>
      <x:c r="K582" s="6" t="str">
        <x:v>Normal</x:v>
      </x:c>
      <x:c r="L582" s="6" t="str"/>
      <x:c r="M582" s="6" t="str"/>
      <x:c r="N582" s="6" t="str"/>
      <x:c r="O582" s="7" t="str"/>
      <x:c r="P582" s="6" t="str">
        <x:v>Yes</x:v>
      </x:c>
      <x:c r="Q582" s="7" t="str">
        <x:v>Requires service identity completion.</x:v>
      </x:c>
    </x:row>
    <x:row r="583">
      <x:c r="A583" s="6" t="str">
        <x:v>SEQ-MFR-0253</x:v>
      </x:c>
      <x:c r="B583" s="6" t="str">
        <x:v>Manufacturer Scope</x:v>
      </x:c>
      <x:c r="C583" s="6" t="str">
        <x:v>MFRX-0253</x:v>
      </x:c>
      <x:c r="D583" s="6" t="str">
        <x:v>SVC000253</x:v>
      </x:c>
      <x:c r="E583" s="6" t="str"/>
      <x:c r="F583" s="6" t="str">
        <x:v>Manufacturer-scope review</x:v>
      </x:c>
      <x:c r="G583" s="6" t="n">
        <x:v>3</x:v>
      </x:c>
      <x:c r="H583" s="6" t="str">
        <x:v>SIDX-0253</x:v>
      </x:c>
      <x:c r="I583" s="6" t="str">
        <x:f>IF(H583="","No upstream dependency",IF(ISNUMBER(SEARCH(";",H583)),"Multiple dependencies - verify source queues",IFERROR(XLOOKUP(H583,C2:C1586,J2:J1586),"Dependency not found")))</x:f>
        <x:v>Not Started</x:v>
      </x:c>
      <x:c r="J583" s="6" t="str">
        <x:v>Not Started</x:v>
      </x:c>
      <x:c r="K583" s="6" t="str">
        <x:v>Normal</x:v>
      </x:c>
      <x:c r="L583" s="6" t="str"/>
      <x:c r="M583" s="6" t="str"/>
      <x:c r="N583" s="6" t="str"/>
      <x:c r="O583" s="7" t="str"/>
      <x:c r="P583" s="6" t="str">
        <x:v>Yes</x:v>
      </x:c>
      <x:c r="Q583" s="7" t="str">
        <x:v>Requires service identity completion.</x:v>
      </x:c>
    </x:row>
    <x:row r="584">
      <x:c r="A584" s="6" t="str">
        <x:v>SEQ-MFR-0254</x:v>
      </x:c>
      <x:c r="B584" s="6" t="str">
        <x:v>Manufacturer Scope</x:v>
      </x:c>
      <x:c r="C584" s="6" t="str">
        <x:v>MFRX-0254</x:v>
      </x:c>
      <x:c r="D584" s="6" t="str">
        <x:v>SVC000254</x:v>
      </x:c>
      <x:c r="E584" s="6" t="str"/>
      <x:c r="F584" s="6" t="str">
        <x:v>Manufacturer-scope review</x:v>
      </x:c>
      <x:c r="G584" s="6" t="n">
        <x:v>3</x:v>
      </x:c>
      <x:c r="H584" s="6" t="str">
        <x:v>SIDX-0254</x:v>
      </x:c>
      <x:c r="I584" s="6" t="str">
        <x:f>IF(H584="","No upstream dependency",IF(ISNUMBER(SEARCH(";",H584)),"Multiple dependencies - verify source queues",IFERROR(XLOOKUP(H584,C2:C1586,J2:J1586),"Dependency not found")))</x:f>
        <x:v>Not Started</x:v>
      </x:c>
      <x:c r="J584" s="6" t="str">
        <x:v>Not Started</x:v>
      </x:c>
      <x:c r="K584" s="6" t="str">
        <x:v>Normal</x:v>
      </x:c>
      <x:c r="L584" s="6" t="str"/>
      <x:c r="M584" s="6" t="str"/>
      <x:c r="N584" s="6" t="str"/>
      <x:c r="O584" s="7" t="str"/>
      <x:c r="P584" s="6" t="str">
        <x:v>Yes</x:v>
      </x:c>
      <x:c r="Q584" s="7" t="str">
        <x:v>Requires service identity completion.</x:v>
      </x:c>
    </x:row>
    <x:row r="585">
      <x:c r="A585" s="6" t="str">
        <x:v>SEQ-MFR-0255</x:v>
      </x:c>
      <x:c r="B585" s="6" t="str">
        <x:v>Manufacturer Scope</x:v>
      </x:c>
      <x:c r="C585" s="6" t="str">
        <x:v>MFRX-0255</x:v>
      </x:c>
      <x:c r="D585" s="6" t="str">
        <x:v>SVC000255</x:v>
      </x:c>
      <x:c r="E585" s="6" t="str"/>
      <x:c r="F585" s="6" t="str">
        <x:v>Manufacturer-scope review</x:v>
      </x:c>
      <x:c r="G585" s="6" t="n">
        <x:v>3</x:v>
      </x:c>
      <x:c r="H585" s="6" t="str">
        <x:v>SIDX-0255</x:v>
      </x:c>
      <x:c r="I585" s="6" t="str">
        <x:f>IF(H585="","No upstream dependency",IF(ISNUMBER(SEARCH(";",H585)),"Multiple dependencies - verify source queues",IFERROR(XLOOKUP(H585,C2:C1586,J2:J1586),"Dependency not found")))</x:f>
        <x:v>Not Started</x:v>
      </x:c>
      <x:c r="J585" s="6" t="str">
        <x:v>Not Started</x:v>
      </x:c>
      <x:c r="K585" s="6" t="str">
        <x:v>Normal</x:v>
      </x:c>
      <x:c r="L585" s="6" t="str"/>
      <x:c r="M585" s="6" t="str"/>
      <x:c r="N585" s="6" t="str"/>
      <x:c r="O585" s="7" t="str"/>
      <x:c r="P585" s="6" t="str">
        <x:v>Yes</x:v>
      </x:c>
      <x:c r="Q585" s="7" t="str">
        <x:v>Requires service identity completion.</x:v>
      </x:c>
    </x:row>
    <x:row r="586">
      <x:c r="A586" s="6" t="str">
        <x:v>SEQ-MFR-0256</x:v>
      </x:c>
      <x:c r="B586" s="6" t="str">
        <x:v>Manufacturer Scope</x:v>
      </x:c>
      <x:c r="C586" s="6" t="str">
        <x:v>MFRX-0256</x:v>
      </x:c>
      <x:c r="D586" s="6" t="str">
        <x:v>SVC000256</x:v>
      </x:c>
      <x:c r="E586" s="6" t="str"/>
      <x:c r="F586" s="6" t="str">
        <x:v>Manufacturer-scope review</x:v>
      </x:c>
      <x:c r="G586" s="6" t="n">
        <x:v>3</x:v>
      </x:c>
      <x:c r="H586" s="6" t="str">
        <x:v>SIDX-0256</x:v>
      </x:c>
      <x:c r="I586" s="6" t="str">
        <x:f>IF(H586="","No upstream dependency",IF(ISNUMBER(SEARCH(";",H586)),"Multiple dependencies - verify source queues",IFERROR(XLOOKUP(H586,C2:C1586,J2:J1586),"Dependency not found")))</x:f>
        <x:v>Not Started</x:v>
      </x:c>
      <x:c r="J586" s="6" t="str">
        <x:v>Not Started</x:v>
      </x:c>
      <x:c r="K586" s="6" t="str">
        <x:v>Normal</x:v>
      </x:c>
      <x:c r="L586" s="6" t="str"/>
      <x:c r="M586" s="6" t="str"/>
      <x:c r="N586" s="6" t="str"/>
      <x:c r="O586" s="7" t="str"/>
      <x:c r="P586" s="6" t="str">
        <x:v>Yes</x:v>
      </x:c>
      <x:c r="Q586" s="7" t="str">
        <x:v>Requires service identity completion.</x:v>
      </x:c>
    </x:row>
    <x:row r="587">
      <x:c r="A587" s="6" t="str">
        <x:v>SEQ-MFR-0257</x:v>
      </x:c>
      <x:c r="B587" s="6" t="str">
        <x:v>Manufacturer Scope</x:v>
      </x:c>
      <x:c r="C587" s="6" t="str">
        <x:v>MFRX-0257</x:v>
      </x:c>
      <x:c r="D587" s="6" t="str">
        <x:v>SVC000257</x:v>
      </x:c>
      <x:c r="E587" s="6" t="str"/>
      <x:c r="F587" s="6" t="str">
        <x:v>Manufacturer-scope review</x:v>
      </x:c>
      <x:c r="G587" s="6" t="n">
        <x:v>3</x:v>
      </x:c>
      <x:c r="H587" s="6" t="str">
        <x:v>SIDX-0257</x:v>
      </x:c>
      <x:c r="I587" s="6" t="str">
        <x:f>IF(H587="","No upstream dependency",IF(ISNUMBER(SEARCH(";",H587)),"Multiple dependencies - verify source queues",IFERROR(XLOOKUP(H587,C2:C1586,J2:J1586),"Dependency not found")))</x:f>
        <x:v>Not Started</x:v>
      </x:c>
      <x:c r="J587" s="6" t="str">
        <x:v>Not Started</x:v>
      </x:c>
      <x:c r="K587" s="6" t="str">
        <x:v>Normal</x:v>
      </x:c>
      <x:c r="L587" s="6" t="str"/>
      <x:c r="M587" s="6" t="str"/>
      <x:c r="N587" s="6" t="str"/>
      <x:c r="O587" s="7" t="str"/>
      <x:c r="P587" s="6" t="str">
        <x:v>Yes</x:v>
      </x:c>
      <x:c r="Q587" s="7" t="str">
        <x:v>Requires service identity completion.</x:v>
      </x:c>
    </x:row>
    <x:row r="588">
      <x:c r="A588" s="6" t="str">
        <x:v>SEQ-MFR-0258</x:v>
      </x:c>
      <x:c r="B588" s="6" t="str">
        <x:v>Manufacturer Scope</x:v>
      </x:c>
      <x:c r="C588" s="6" t="str">
        <x:v>MFRX-0258</x:v>
      </x:c>
      <x:c r="D588" s="6" t="str">
        <x:v>SVC000258</x:v>
      </x:c>
      <x:c r="E588" s="6" t="str"/>
      <x:c r="F588" s="6" t="str">
        <x:v>Manufacturer-scope review</x:v>
      </x:c>
      <x:c r="G588" s="6" t="n">
        <x:v>3</x:v>
      </x:c>
      <x:c r="H588" s="6" t="str">
        <x:v>SIDX-0258</x:v>
      </x:c>
      <x:c r="I588" s="6" t="str">
        <x:f>IF(H588="","No upstream dependency",IF(ISNUMBER(SEARCH(";",H588)),"Multiple dependencies - verify source queues",IFERROR(XLOOKUP(H588,C2:C1586,J2:J1586),"Dependency not found")))</x:f>
        <x:v>Not Started</x:v>
      </x:c>
      <x:c r="J588" s="6" t="str">
        <x:v>Not Started</x:v>
      </x:c>
      <x:c r="K588" s="6" t="str">
        <x:v>Normal</x:v>
      </x:c>
      <x:c r="L588" s="6" t="str"/>
      <x:c r="M588" s="6" t="str"/>
      <x:c r="N588" s="6" t="str"/>
      <x:c r="O588" s="7" t="str"/>
      <x:c r="P588" s="6" t="str">
        <x:v>Yes</x:v>
      </x:c>
      <x:c r="Q588" s="7" t="str">
        <x:v>Requires service identity completion.</x:v>
      </x:c>
    </x:row>
    <x:row r="589">
      <x:c r="A589" s="6" t="str">
        <x:v>SEQ-MFR-0259</x:v>
      </x:c>
      <x:c r="B589" s="6" t="str">
        <x:v>Manufacturer Scope</x:v>
      </x:c>
      <x:c r="C589" s="6" t="str">
        <x:v>MFRX-0259</x:v>
      </x:c>
      <x:c r="D589" s="6" t="str">
        <x:v>SVC000259</x:v>
      </x:c>
      <x:c r="E589" s="6" t="str"/>
      <x:c r="F589" s="6" t="str">
        <x:v>Manufacturer-scope review</x:v>
      </x:c>
      <x:c r="G589" s="6" t="n">
        <x:v>3</x:v>
      </x:c>
      <x:c r="H589" s="6" t="str">
        <x:v>SIDX-0259</x:v>
      </x:c>
      <x:c r="I589" s="6" t="str">
        <x:f>IF(H589="","No upstream dependency",IF(ISNUMBER(SEARCH(";",H589)),"Multiple dependencies - verify source queues",IFERROR(XLOOKUP(H589,C2:C1586,J2:J1586),"Dependency not found")))</x:f>
        <x:v>Not Started</x:v>
      </x:c>
      <x:c r="J589" s="6" t="str">
        <x:v>Not Started</x:v>
      </x:c>
      <x:c r="K589" s="6" t="str">
        <x:v>Normal</x:v>
      </x:c>
      <x:c r="L589" s="6" t="str"/>
      <x:c r="M589" s="6" t="str"/>
      <x:c r="N589" s="6" t="str"/>
      <x:c r="O589" s="7" t="str"/>
      <x:c r="P589" s="6" t="str">
        <x:v>Yes</x:v>
      </x:c>
      <x:c r="Q589" s="7" t="str">
        <x:v>Requires service identity completion.</x:v>
      </x:c>
    </x:row>
    <x:row r="590">
      <x:c r="A590" s="6" t="str">
        <x:v>SEQ-MFR-0260</x:v>
      </x:c>
      <x:c r="B590" s="6" t="str">
        <x:v>Manufacturer Scope</x:v>
      </x:c>
      <x:c r="C590" s="6" t="str">
        <x:v>MFRX-0260</x:v>
      </x:c>
      <x:c r="D590" s="6" t="str">
        <x:v>SVC000260</x:v>
      </x:c>
      <x:c r="E590" s="6" t="str"/>
      <x:c r="F590" s="6" t="str">
        <x:v>Manufacturer-scope review</x:v>
      </x:c>
      <x:c r="G590" s="6" t="n">
        <x:v>3</x:v>
      </x:c>
      <x:c r="H590" s="6" t="str">
        <x:v>SIDX-0260</x:v>
      </x:c>
      <x:c r="I590" s="6" t="str">
        <x:f>IF(H590="","No upstream dependency",IF(ISNUMBER(SEARCH(";",H590)),"Multiple dependencies - verify source queues",IFERROR(XLOOKUP(H590,C2:C1586,J2:J1586),"Dependency not found")))</x:f>
        <x:v>Not Started</x:v>
      </x:c>
      <x:c r="J590" s="6" t="str">
        <x:v>Not Started</x:v>
      </x:c>
      <x:c r="K590" s="6" t="str">
        <x:v>Normal</x:v>
      </x:c>
      <x:c r="L590" s="6" t="str"/>
      <x:c r="M590" s="6" t="str"/>
      <x:c r="N590" s="6" t="str"/>
      <x:c r="O590" s="7" t="str"/>
      <x:c r="P590" s="6" t="str">
        <x:v>Yes</x:v>
      </x:c>
      <x:c r="Q590" s="7" t="str">
        <x:v>Requires service identity completion.</x:v>
      </x:c>
    </x:row>
    <x:row r="591">
      <x:c r="A591" s="6" t="str">
        <x:v>SEQ-MFR-0261</x:v>
      </x:c>
      <x:c r="B591" s="6" t="str">
        <x:v>Manufacturer Scope</x:v>
      </x:c>
      <x:c r="C591" s="6" t="str">
        <x:v>MFRX-0261</x:v>
      </x:c>
      <x:c r="D591" s="6" t="str">
        <x:v>SVC000261</x:v>
      </x:c>
      <x:c r="E591" s="6" t="str"/>
      <x:c r="F591" s="6" t="str">
        <x:v>Manufacturer-scope review</x:v>
      </x:c>
      <x:c r="G591" s="6" t="n">
        <x:v>3</x:v>
      </x:c>
      <x:c r="H591" s="6" t="str">
        <x:v>SIDX-0261</x:v>
      </x:c>
      <x:c r="I591" s="6" t="str">
        <x:f>IF(H591="","No upstream dependency",IF(ISNUMBER(SEARCH(";",H591)),"Multiple dependencies - verify source queues",IFERROR(XLOOKUP(H591,C2:C1586,J2:J1586),"Dependency not found")))</x:f>
        <x:v>Not Started</x:v>
      </x:c>
      <x:c r="J591" s="6" t="str">
        <x:v>Not Started</x:v>
      </x:c>
      <x:c r="K591" s="6" t="str">
        <x:v>Normal</x:v>
      </x:c>
      <x:c r="L591" s="6" t="str"/>
      <x:c r="M591" s="6" t="str"/>
      <x:c r="N591" s="6" t="str"/>
      <x:c r="O591" s="7" t="str"/>
      <x:c r="P591" s="6" t="str">
        <x:v>Yes</x:v>
      </x:c>
      <x:c r="Q591" s="7" t="str">
        <x:v>Requires service identity completion.</x:v>
      </x:c>
    </x:row>
    <x:row r="592">
      <x:c r="A592" s="6" t="str">
        <x:v>SEQ-MFR-0262</x:v>
      </x:c>
      <x:c r="B592" s="6" t="str">
        <x:v>Manufacturer Scope</x:v>
      </x:c>
      <x:c r="C592" s="6" t="str">
        <x:v>MFRX-0262</x:v>
      </x:c>
      <x:c r="D592" s="6" t="str">
        <x:v>SVC000262</x:v>
      </x:c>
      <x:c r="E592" s="6" t="str"/>
      <x:c r="F592" s="6" t="str">
        <x:v>Manufacturer-scope review</x:v>
      </x:c>
      <x:c r="G592" s="6" t="n">
        <x:v>3</x:v>
      </x:c>
      <x:c r="H592" s="6" t="str">
        <x:v>SIDX-0262</x:v>
      </x:c>
      <x:c r="I592" s="6" t="str">
        <x:f>IF(H592="","No upstream dependency",IF(ISNUMBER(SEARCH(";",H592)),"Multiple dependencies - verify source queues",IFERROR(XLOOKUP(H592,C2:C1586,J2:J1586),"Dependency not found")))</x:f>
        <x:v>Not Started</x:v>
      </x:c>
      <x:c r="J592" s="6" t="str">
        <x:v>Not Started</x:v>
      </x:c>
      <x:c r="K592" s="6" t="str">
        <x:v>Normal</x:v>
      </x:c>
      <x:c r="L592" s="6" t="str"/>
      <x:c r="M592" s="6" t="str"/>
      <x:c r="N592" s="6" t="str"/>
      <x:c r="O592" s="7" t="str"/>
      <x:c r="P592" s="6" t="str">
        <x:v>Yes</x:v>
      </x:c>
      <x:c r="Q592" s="7" t="str">
        <x:v>Requires service identity completion.</x:v>
      </x:c>
    </x:row>
    <x:row r="593">
      <x:c r="A593" s="6" t="str">
        <x:v>SEQ-MFR-0263</x:v>
      </x:c>
      <x:c r="B593" s="6" t="str">
        <x:v>Manufacturer Scope</x:v>
      </x:c>
      <x:c r="C593" s="6" t="str">
        <x:v>MFRX-0263</x:v>
      </x:c>
      <x:c r="D593" s="6" t="str">
        <x:v>SVC000263</x:v>
      </x:c>
      <x:c r="E593" s="6" t="str"/>
      <x:c r="F593" s="6" t="str">
        <x:v>Manufacturer-scope review</x:v>
      </x:c>
      <x:c r="G593" s="6" t="n">
        <x:v>3</x:v>
      </x:c>
      <x:c r="H593" s="6" t="str">
        <x:v>SIDX-0263</x:v>
      </x:c>
      <x:c r="I593" s="6" t="str">
        <x:f>IF(H593="","No upstream dependency",IF(ISNUMBER(SEARCH(";",H593)),"Multiple dependencies - verify source queues",IFERROR(XLOOKUP(H593,C2:C1586,J2:J1586),"Dependency not found")))</x:f>
        <x:v>Not Started</x:v>
      </x:c>
      <x:c r="J593" s="6" t="str">
        <x:v>Not Started</x:v>
      </x:c>
      <x:c r="K593" s="6" t="str">
        <x:v>Normal</x:v>
      </x:c>
      <x:c r="L593" s="6" t="str"/>
      <x:c r="M593" s="6" t="str"/>
      <x:c r="N593" s="6" t="str"/>
      <x:c r="O593" s="7" t="str"/>
      <x:c r="P593" s="6" t="str">
        <x:v>Yes</x:v>
      </x:c>
      <x:c r="Q593" s="7" t="str">
        <x:v>Requires service identity completion.</x:v>
      </x:c>
    </x:row>
    <x:row r="594">
      <x:c r="A594" s="6" t="str">
        <x:v>SEQ-MFR-0264</x:v>
      </x:c>
      <x:c r="B594" s="6" t="str">
        <x:v>Manufacturer Scope</x:v>
      </x:c>
      <x:c r="C594" s="6" t="str">
        <x:v>MFRX-0264</x:v>
      </x:c>
      <x:c r="D594" s="6" t="str">
        <x:v>SVC000264</x:v>
      </x:c>
      <x:c r="E594" s="6" t="str"/>
      <x:c r="F594" s="6" t="str">
        <x:v>Manufacturer-scope review</x:v>
      </x:c>
      <x:c r="G594" s="6" t="n">
        <x:v>3</x:v>
      </x:c>
      <x:c r="H594" s="6" t="str">
        <x:v>SIDX-0264</x:v>
      </x:c>
      <x:c r="I594" s="6" t="str">
        <x:f>IF(H594="","No upstream dependency",IF(ISNUMBER(SEARCH(";",H594)),"Multiple dependencies - verify source queues",IFERROR(XLOOKUP(H594,C2:C1586,J2:J1586),"Dependency not found")))</x:f>
        <x:v>Not Started</x:v>
      </x:c>
      <x:c r="J594" s="6" t="str">
        <x:v>Not Started</x:v>
      </x:c>
      <x:c r="K594" s="6" t="str">
        <x:v>Normal</x:v>
      </x:c>
      <x:c r="L594" s="6" t="str"/>
      <x:c r="M594" s="6" t="str"/>
      <x:c r="N594" s="6" t="str"/>
      <x:c r="O594" s="7" t="str"/>
      <x:c r="P594" s="6" t="str">
        <x:v>Yes</x:v>
      </x:c>
      <x:c r="Q594" s="7" t="str">
        <x:v>Requires service identity completion.</x:v>
      </x:c>
    </x:row>
    <x:row r="595">
      <x:c r="A595" s="6" t="str">
        <x:v>SEQ-MFR-0265</x:v>
      </x:c>
      <x:c r="B595" s="6" t="str">
        <x:v>Manufacturer Scope</x:v>
      </x:c>
      <x:c r="C595" s="6" t="str">
        <x:v>MFRX-0265</x:v>
      </x:c>
      <x:c r="D595" s="6" t="str">
        <x:v>SVC000265</x:v>
      </x:c>
      <x:c r="E595" s="6" t="str"/>
      <x:c r="F595" s="6" t="str">
        <x:v>Manufacturer-scope review</x:v>
      </x:c>
      <x:c r="G595" s="6" t="n">
        <x:v>3</x:v>
      </x:c>
      <x:c r="H595" s="6" t="str">
        <x:v>SIDX-0265</x:v>
      </x:c>
      <x:c r="I595" s="6" t="str">
        <x:f>IF(H595="","No upstream dependency",IF(ISNUMBER(SEARCH(";",H595)),"Multiple dependencies - verify source queues",IFERROR(XLOOKUP(H595,C2:C1586,J2:J1586),"Dependency not found")))</x:f>
        <x:v>Not Started</x:v>
      </x:c>
      <x:c r="J595" s="6" t="str">
        <x:v>Not Started</x:v>
      </x:c>
      <x:c r="K595" s="6" t="str">
        <x:v>Normal</x:v>
      </x:c>
      <x:c r="L595" s="6" t="str"/>
      <x:c r="M595" s="6" t="str"/>
      <x:c r="N595" s="6" t="str"/>
      <x:c r="O595" s="7" t="str"/>
      <x:c r="P595" s="6" t="str">
        <x:v>Yes</x:v>
      </x:c>
      <x:c r="Q595" s="7" t="str">
        <x:v>Requires service identity completion.</x:v>
      </x:c>
    </x:row>
    <x:row r="596">
      <x:c r="A596" s="6" t="str">
        <x:v>SEQ-MFR-0266</x:v>
      </x:c>
      <x:c r="B596" s="6" t="str">
        <x:v>Manufacturer Scope</x:v>
      </x:c>
      <x:c r="C596" s="6" t="str">
        <x:v>MFRX-0266</x:v>
      </x:c>
      <x:c r="D596" s="6" t="str">
        <x:v>SVC000266</x:v>
      </x:c>
      <x:c r="E596" s="6" t="str"/>
      <x:c r="F596" s="6" t="str">
        <x:v>Manufacturer-scope review</x:v>
      </x:c>
      <x:c r="G596" s="6" t="n">
        <x:v>3</x:v>
      </x:c>
      <x:c r="H596" s="6" t="str">
        <x:v>SIDX-0266</x:v>
      </x:c>
      <x:c r="I596" s="6" t="str">
        <x:f>IF(H596="","No upstream dependency",IF(ISNUMBER(SEARCH(";",H596)),"Multiple dependencies - verify source queues",IFERROR(XLOOKUP(H596,C2:C1586,J2:J1586),"Dependency not found")))</x:f>
        <x:v>Not Started</x:v>
      </x:c>
      <x:c r="J596" s="6" t="str">
        <x:v>Not Started</x:v>
      </x:c>
      <x:c r="K596" s="6" t="str">
        <x:v>Normal</x:v>
      </x:c>
      <x:c r="L596" s="6" t="str"/>
      <x:c r="M596" s="6" t="str"/>
      <x:c r="N596" s="6" t="str"/>
      <x:c r="O596" s="7" t="str"/>
      <x:c r="P596" s="6" t="str">
        <x:v>Yes</x:v>
      </x:c>
      <x:c r="Q596" s="7" t="str">
        <x:v>Requires service identity completion.</x:v>
      </x:c>
    </x:row>
    <x:row r="597">
      <x:c r="A597" s="6" t="str">
        <x:v>SEQ-MFR-0267</x:v>
      </x:c>
      <x:c r="B597" s="6" t="str">
        <x:v>Manufacturer Scope</x:v>
      </x:c>
      <x:c r="C597" s="6" t="str">
        <x:v>MFRX-0267</x:v>
      </x:c>
      <x:c r="D597" s="6" t="str">
        <x:v>SVC000267</x:v>
      </x:c>
      <x:c r="E597" s="6" t="str"/>
      <x:c r="F597" s="6" t="str">
        <x:v>Manufacturer-scope review</x:v>
      </x:c>
      <x:c r="G597" s="6" t="n">
        <x:v>3</x:v>
      </x:c>
      <x:c r="H597" s="6" t="str">
        <x:v>SIDX-0267</x:v>
      </x:c>
      <x:c r="I597" s="6" t="str">
        <x:f>IF(H597="","No upstream dependency",IF(ISNUMBER(SEARCH(";",H597)),"Multiple dependencies - verify source queues",IFERROR(XLOOKUP(H597,C2:C1586,J2:J1586),"Dependency not found")))</x:f>
        <x:v>Not Started</x:v>
      </x:c>
      <x:c r="J597" s="6" t="str">
        <x:v>Not Started</x:v>
      </x:c>
      <x:c r="K597" s="6" t="str">
        <x:v>Normal</x:v>
      </x:c>
      <x:c r="L597" s="6" t="str"/>
      <x:c r="M597" s="6" t="str"/>
      <x:c r="N597" s="6" t="str"/>
      <x:c r="O597" s="7" t="str"/>
      <x:c r="P597" s="6" t="str">
        <x:v>Yes</x:v>
      </x:c>
      <x:c r="Q597" s="7" t="str">
        <x:v>Requires service identity completion.</x:v>
      </x:c>
    </x:row>
    <x:row r="598">
      <x:c r="A598" s="6" t="str">
        <x:v>SEQ-MFR-0268</x:v>
      </x:c>
      <x:c r="B598" s="6" t="str">
        <x:v>Manufacturer Scope</x:v>
      </x:c>
      <x:c r="C598" s="6" t="str">
        <x:v>MFRX-0268</x:v>
      </x:c>
      <x:c r="D598" s="6" t="str">
        <x:v>SVC000268</x:v>
      </x:c>
      <x:c r="E598" s="6" t="str"/>
      <x:c r="F598" s="6" t="str">
        <x:v>Manufacturer-scope review</x:v>
      </x:c>
      <x:c r="G598" s="6" t="n">
        <x:v>3</x:v>
      </x:c>
      <x:c r="H598" s="6" t="str">
        <x:v>SIDX-0268</x:v>
      </x:c>
      <x:c r="I598" s="6" t="str">
        <x:f>IF(H598="","No upstream dependency",IF(ISNUMBER(SEARCH(";",H598)),"Multiple dependencies - verify source queues",IFERROR(XLOOKUP(H598,C2:C1586,J2:J1586),"Dependency not found")))</x:f>
        <x:v>Not Started</x:v>
      </x:c>
      <x:c r="J598" s="6" t="str">
        <x:v>Not Started</x:v>
      </x:c>
      <x:c r="K598" s="6" t="str">
        <x:v>Normal</x:v>
      </x:c>
      <x:c r="L598" s="6" t="str"/>
      <x:c r="M598" s="6" t="str"/>
      <x:c r="N598" s="6" t="str"/>
      <x:c r="O598" s="7" t="str"/>
      <x:c r="P598" s="6" t="str">
        <x:v>Yes</x:v>
      </x:c>
      <x:c r="Q598" s="7" t="str">
        <x:v>Requires service identity completion.</x:v>
      </x:c>
    </x:row>
    <x:row r="599">
      <x:c r="A599" s="6" t="str">
        <x:v>SEQ-MFR-0269</x:v>
      </x:c>
      <x:c r="B599" s="6" t="str">
        <x:v>Manufacturer Scope</x:v>
      </x:c>
      <x:c r="C599" s="6" t="str">
        <x:v>MFRX-0269</x:v>
      </x:c>
      <x:c r="D599" s="6" t="str">
        <x:v>SVC000269</x:v>
      </x:c>
      <x:c r="E599" s="6" t="str"/>
      <x:c r="F599" s="6" t="str">
        <x:v>Manufacturer-scope review</x:v>
      </x:c>
      <x:c r="G599" s="6" t="n">
        <x:v>3</x:v>
      </x:c>
      <x:c r="H599" s="6" t="str">
        <x:v>SIDX-0269</x:v>
      </x:c>
      <x:c r="I599" s="6" t="str">
        <x:f>IF(H599="","No upstream dependency",IF(ISNUMBER(SEARCH(";",H599)),"Multiple dependencies - verify source queues",IFERROR(XLOOKUP(H599,C2:C1586,J2:J1586),"Dependency not found")))</x:f>
        <x:v>Not Started</x:v>
      </x:c>
      <x:c r="J599" s="6" t="str">
        <x:v>Not Started</x:v>
      </x:c>
      <x:c r="K599" s="6" t="str">
        <x:v>Normal</x:v>
      </x:c>
      <x:c r="L599" s="6" t="str"/>
      <x:c r="M599" s="6" t="str"/>
      <x:c r="N599" s="6" t="str"/>
      <x:c r="O599" s="7" t="str"/>
      <x:c r="P599" s="6" t="str">
        <x:v>Yes</x:v>
      </x:c>
      <x:c r="Q599" s="7" t="str">
        <x:v>Requires service identity completion.</x:v>
      </x:c>
    </x:row>
    <x:row r="600">
      <x:c r="A600" s="6" t="str">
        <x:v>SEQ-MFR-0270</x:v>
      </x:c>
      <x:c r="B600" s="6" t="str">
        <x:v>Manufacturer Scope</x:v>
      </x:c>
      <x:c r="C600" s="6" t="str">
        <x:v>MFRX-0270</x:v>
      </x:c>
      <x:c r="D600" s="6" t="str">
        <x:v>SVC000270</x:v>
      </x:c>
      <x:c r="E600" s="6" t="str"/>
      <x:c r="F600" s="6" t="str">
        <x:v>Manufacturer-scope review</x:v>
      </x:c>
      <x:c r="G600" s="6" t="n">
        <x:v>3</x:v>
      </x:c>
      <x:c r="H600" s="6" t="str">
        <x:v>SIDX-0270</x:v>
      </x:c>
      <x:c r="I600" s="6" t="str">
        <x:f>IF(H600="","No upstream dependency",IF(ISNUMBER(SEARCH(";",H600)),"Multiple dependencies - verify source queues",IFERROR(XLOOKUP(H600,C2:C1586,J2:J1586),"Dependency not found")))</x:f>
        <x:v>Not Started</x:v>
      </x:c>
      <x:c r="J600" s="6" t="str">
        <x:v>Not Started</x:v>
      </x:c>
      <x:c r="K600" s="6" t="str">
        <x:v>Normal</x:v>
      </x:c>
      <x:c r="L600" s="6" t="str"/>
      <x:c r="M600" s="6" t="str"/>
      <x:c r="N600" s="6" t="str"/>
      <x:c r="O600" s="7" t="str"/>
      <x:c r="P600" s="6" t="str">
        <x:v>Yes</x:v>
      </x:c>
      <x:c r="Q600" s="7" t="str">
        <x:v>Requires service identity completion.</x:v>
      </x:c>
    </x:row>
    <x:row r="601">
      <x:c r="A601" s="6" t="str">
        <x:v>SEQ-MFR-0271</x:v>
      </x:c>
      <x:c r="B601" s="6" t="str">
        <x:v>Manufacturer Scope</x:v>
      </x:c>
      <x:c r="C601" s="6" t="str">
        <x:v>MFRX-0271</x:v>
      </x:c>
      <x:c r="D601" s="6" t="str">
        <x:v>SVC000271</x:v>
      </x:c>
      <x:c r="E601" s="6" t="str"/>
      <x:c r="F601" s="6" t="str">
        <x:v>Manufacturer-scope review</x:v>
      </x:c>
      <x:c r="G601" s="6" t="n">
        <x:v>3</x:v>
      </x:c>
      <x:c r="H601" s="6" t="str">
        <x:v>SIDX-0271</x:v>
      </x:c>
      <x:c r="I601" s="6" t="str">
        <x:f>IF(H601="","No upstream dependency",IF(ISNUMBER(SEARCH(";",H601)),"Multiple dependencies - verify source queues",IFERROR(XLOOKUP(H601,C2:C1586,J2:J1586),"Dependency not found")))</x:f>
        <x:v>Not Started</x:v>
      </x:c>
      <x:c r="J601" s="6" t="str">
        <x:v>Not Started</x:v>
      </x:c>
      <x:c r="K601" s="6" t="str">
        <x:v>Normal</x:v>
      </x:c>
      <x:c r="L601" s="6" t="str"/>
      <x:c r="M601" s="6" t="str"/>
      <x:c r="N601" s="6" t="str"/>
      <x:c r="O601" s="7" t="str"/>
      <x:c r="P601" s="6" t="str">
        <x:v>Yes</x:v>
      </x:c>
      <x:c r="Q601" s="7" t="str">
        <x:v>Requires service identity completion.</x:v>
      </x:c>
    </x:row>
    <x:row r="602">
      <x:c r="A602" s="6" t="str">
        <x:v>SEQ-MFR-0272</x:v>
      </x:c>
      <x:c r="B602" s="6" t="str">
        <x:v>Manufacturer Scope</x:v>
      </x:c>
      <x:c r="C602" s="6" t="str">
        <x:v>MFRX-0272</x:v>
      </x:c>
      <x:c r="D602" s="6" t="str">
        <x:v>SVC000272</x:v>
      </x:c>
      <x:c r="E602" s="6" t="str"/>
      <x:c r="F602" s="6" t="str">
        <x:v>Manufacturer-scope review</x:v>
      </x:c>
      <x:c r="G602" s="6" t="n">
        <x:v>3</x:v>
      </x:c>
      <x:c r="H602" s="6" t="str">
        <x:v>SIDX-0272</x:v>
      </x:c>
      <x:c r="I602" s="6" t="str">
        <x:f>IF(H602="","No upstream dependency",IF(ISNUMBER(SEARCH(";",H602)),"Multiple dependencies - verify source queues",IFERROR(XLOOKUP(H602,C2:C1586,J2:J1586),"Dependency not found")))</x:f>
        <x:v>Not Started</x:v>
      </x:c>
      <x:c r="J602" s="6" t="str">
        <x:v>Not Started</x:v>
      </x:c>
      <x:c r="K602" s="6" t="str">
        <x:v>Normal</x:v>
      </x:c>
      <x:c r="L602" s="6" t="str"/>
      <x:c r="M602" s="6" t="str"/>
      <x:c r="N602" s="6" t="str"/>
      <x:c r="O602" s="7" t="str"/>
      <x:c r="P602" s="6" t="str">
        <x:v>Yes</x:v>
      </x:c>
      <x:c r="Q602" s="7" t="str">
        <x:v>Requires service identity completion.</x:v>
      </x:c>
    </x:row>
    <x:row r="603">
      <x:c r="A603" s="6" t="str">
        <x:v>SEQ-MFR-0273</x:v>
      </x:c>
      <x:c r="B603" s="6" t="str">
        <x:v>Manufacturer Scope</x:v>
      </x:c>
      <x:c r="C603" s="6" t="str">
        <x:v>MFRX-0273</x:v>
      </x:c>
      <x:c r="D603" s="6" t="str">
        <x:v>SVC000273</x:v>
      </x:c>
      <x:c r="E603" s="6" t="str"/>
      <x:c r="F603" s="6" t="str">
        <x:v>Manufacturer-scope review</x:v>
      </x:c>
      <x:c r="G603" s="6" t="n">
        <x:v>3</x:v>
      </x:c>
      <x:c r="H603" s="6" t="str">
        <x:v>SIDX-0273</x:v>
      </x:c>
      <x:c r="I603" s="6" t="str">
        <x:f>IF(H603="","No upstream dependency",IF(ISNUMBER(SEARCH(";",H603)),"Multiple dependencies - verify source queues",IFERROR(XLOOKUP(H603,C2:C1586,J2:J1586),"Dependency not found")))</x:f>
        <x:v>Not Started</x:v>
      </x:c>
      <x:c r="J603" s="6" t="str">
        <x:v>Not Started</x:v>
      </x:c>
      <x:c r="K603" s="6" t="str">
        <x:v>Normal</x:v>
      </x:c>
      <x:c r="L603" s="6" t="str"/>
      <x:c r="M603" s="6" t="str"/>
      <x:c r="N603" s="6" t="str"/>
      <x:c r="O603" s="7" t="str"/>
      <x:c r="P603" s="6" t="str">
        <x:v>Yes</x:v>
      </x:c>
      <x:c r="Q603" s="7" t="str">
        <x:v>Requires service identity completion.</x:v>
      </x:c>
    </x:row>
    <x:row r="604">
      <x:c r="A604" s="6" t="str">
        <x:v>SEQ-MFR-0274</x:v>
      </x:c>
      <x:c r="B604" s="6" t="str">
        <x:v>Manufacturer Scope</x:v>
      </x:c>
      <x:c r="C604" s="6" t="str">
        <x:v>MFRX-0274</x:v>
      </x:c>
      <x:c r="D604" s="6" t="str">
        <x:v>SVC000274</x:v>
      </x:c>
      <x:c r="E604" s="6" t="str"/>
      <x:c r="F604" s="6" t="str">
        <x:v>Manufacturer-scope review</x:v>
      </x:c>
      <x:c r="G604" s="6" t="n">
        <x:v>3</x:v>
      </x:c>
      <x:c r="H604" s="6" t="str">
        <x:v>SIDX-0274</x:v>
      </x:c>
      <x:c r="I604" s="6" t="str">
        <x:f>IF(H604="","No upstream dependency",IF(ISNUMBER(SEARCH(";",H604)),"Multiple dependencies - verify source queues",IFERROR(XLOOKUP(H604,C2:C1586,J2:J1586),"Dependency not found")))</x:f>
        <x:v>Not Started</x:v>
      </x:c>
      <x:c r="J604" s="6" t="str">
        <x:v>Not Started</x:v>
      </x:c>
      <x:c r="K604" s="6" t="str">
        <x:v>Normal</x:v>
      </x:c>
      <x:c r="L604" s="6" t="str"/>
      <x:c r="M604" s="6" t="str"/>
      <x:c r="N604" s="6" t="str"/>
      <x:c r="O604" s="7" t="str"/>
      <x:c r="P604" s="6" t="str">
        <x:v>Yes</x:v>
      </x:c>
      <x:c r="Q604" s="7" t="str">
        <x:v>Requires service identity completion.</x:v>
      </x:c>
    </x:row>
    <x:row r="605">
      <x:c r="A605" s="6" t="str">
        <x:v>SEQ-MFR-0275</x:v>
      </x:c>
      <x:c r="B605" s="6" t="str">
        <x:v>Manufacturer Scope</x:v>
      </x:c>
      <x:c r="C605" s="6" t="str">
        <x:v>MFRX-0275</x:v>
      </x:c>
      <x:c r="D605" s="6" t="str">
        <x:v>SVC000275</x:v>
      </x:c>
      <x:c r="E605" s="6" t="str"/>
      <x:c r="F605" s="6" t="str">
        <x:v>Manufacturer-scope review</x:v>
      </x:c>
      <x:c r="G605" s="6" t="n">
        <x:v>3</x:v>
      </x:c>
      <x:c r="H605" s="6" t="str">
        <x:v>SIDX-0275</x:v>
      </x:c>
      <x:c r="I605" s="6" t="str">
        <x:f>IF(H605="","No upstream dependency",IF(ISNUMBER(SEARCH(";",H605)),"Multiple dependencies - verify source queues",IFERROR(XLOOKUP(H605,C2:C1586,J2:J1586),"Dependency not found")))</x:f>
        <x:v>Not Started</x:v>
      </x:c>
      <x:c r="J605" s="6" t="str">
        <x:v>Not Started</x:v>
      </x:c>
      <x:c r="K605" s="6" t="str">
        <x:v>Normal</x:v>
      </x:c>
      <x:c r="L605" s="6" t="str"/>
      <x:c r="M605" s="6" t="str"/>
      <x:c r="N605" s="6" t="str"/>
      <x:c r="O605" s="7" t="str"/>
      <x:c r="P605" s="6" t="str">
        <x:v>Yes</x:v>
      </x:c>
      <x:c r="Q605" s="7" t="str">
        <x:v>Requires service identity completion.</x:v>
      </x:c>
    </x:row>
    <x:row r="606">
      <x:c r="A606" s="6" t="str">
        <x:v>SEQ-MFR-0276</x:v>
      </x:c>
      <x:c r="B606" s="6" t="str">
        <x:v>Manufacturer Scope</x:v>
      </x:c>
      <x:c r="C606" s="6" t="str">
        <x:v>MFRX-0276</x:v>
      </x:c>
      <x:c r="D606" s="6" t="str">
        <x:v>SVC000276</x:v>
      </x:c>
      <x:c r="E606" s="6" t="str"/>
      <x:c r="F606" s="6" t="str">
        <x:v>Manufacturer-scope review</x:v>
      </x:c>
      <x:c r="G606" s="6" t="n">
        <x:v>3</x:v>
      </x:c>
      <x:c r="H606" s="6" t="str">
        <x:v>SIDX-0276</x:v>
      </x:c>
      <x:c r="I606" s="6" t="str">
        <x:f>IF(H606="","No upstream dependency",IF(ISNUMBER(SEARCH(";",H606)),"Multiple dependencies - verify source queues",IFERROR(XLOOKUP(H606,C2:C1586,J2:J1586),"Dependency not found")))</x:f>
        <x:v>Not Started</x:v>
      </x:c>
      <x:c r="J606" s="6" t="str">
        <x:v>Not Started</x:v>
      </x:c>
      <x:c r="K606" s="6" t="str">
        <x:v>Normal</x:v>
      </x:c>
      <x:c r="L606" s="6" t="str"/>
      <x:c r="M606" s="6" t="str"/>
      <x:c r="N606" s="6" t="str"/>
      <x:c r="O606" s="7" t="str"/>
      <x:c r="P606" s="6" t="str">
        <x:v>Yes</x:v>
      </x:c>
      <x:c r="Q606" s="7" t="str">
        <x:v>Requires service identity completion.</x:v>
      </x:c>
    </x:row>
    <x:row r="607">
      <x:c r="A607" s="6" t="str">
        <x:v>SEQ-MFR-0277</x:v>
      </x:c>
      <x:c r="B607" s="6" t="str">
        <x:v>Manufacturer Scope</x:v>
      </x:c>
      <x:c r="C607" s="6" t="str">
        <x:v>MFRX-0277</x:v>
      </x:c>
      <x:c r="D607" s="6" t="str">
        <x:v>SVC000277</x:v>
      </x:c>
      <x:c r="E607" s="6" t="str"/>
      <x:c r="F607" s="6" t="str">
        <x:v>Manufacturer-scope review</x:v>
      </x:c>
      <x:c r="G607" s="6" t="n">
        <x:v>3</x:v>
      </x:c>
      <x:c r="H607" s="6" t="str">
        <x:v>SIDX-0277</x:v>
      </x:c>
      <x:c r="I607" s="6" t="str">
        <x:f>IF(H607="","No upstream dependency",IF(ISNUMBER(SEARCH(";",H607)),"Multiple dependencies - verify source queues",IFERROR(XLOOKUP(H607,C2:C1586,J2:J1586),"Dependency not found")))</x:f>
        <x:v>Not Started</x:v>
      </x:c>
      <x:c r="J607" s="6" t="str">
        <x:v>Not Started</x:v>
      </x:c>
      <x:c r="K607" s="6" t="str">
        <x:v>Normal</x:v>
      </x:c>
      <x:c r="L607" s="6" t="str"/>
      <x:c r="M607" s="6" t="str"/>
      <x:c r="N607" s="6" t="str"/>
      <x:c r="O607" s="7" t="str"/>
      <x:c r="P607" s="6" t="str">
        <x:v>Yes</x:v>
      </x:c>
      <x:c r="Q607" s="7" t="str">
        <x:v>Requires service identity completion.</x:v>
      </x:c>
    </x:row>
    <x:row r="608">
      <x:c r="A608" s="6" t="str">
        <x:v>SEQ-MFR-0278</x:v>
      </x:c>
      <x:c r="B608" s="6" t="str">
        <x:v>Manufacturer Scope</x:v>
      </x:c>
      <x:c r="C608" s="6" t="str">
        <x:v>MFRX-0278</x:v>
      </x:c>
      <x:c r="D608" s="6" t="str">
        <x:v>SVC000278</x:v>
      </x:c>
      <x:c r="E608" s="6" t="str"/>
      <x:c r="F608" s="6" t="str">
        <x:v>Manufacturer-scope review</x:v>
      </x:c>
      <x:c r="G608" s="6" t="n">
        <x:v>3</x:v>
      </x:c>
      <x:c r="H608" s="6" t="str">
        <x:v>SIDX-0278</x:v>
      </x:c>
      <x:c r="I608" s="6" t="str">
        <x:f>IF(H608="","No upstream dependency",IF(ISNUMBER(SEARCH(";",H608)),"Multiple dependencies - verify source queues",IFERROR(XLOOKUP(H608,C2:C1586,J2:J1586),"Dependency not found")))</x:f>
        <x:v>Not Started</x:v>
      </x:c>
      <x:c r="J608" s="6" t="str">
        <x:v>Not Started</x:v>
      </x:c>
      <x:c r="K608" s="6" t="str">
        <x:v>Normal</x:v>
      </x:c>
      <x:c r="L608" s="6" t="str"/>
      <x:c r="M608" s="6" t="str"/>
      <x:c r="N608" s="6" t="str"/>
      <x:c r="O608" s="7" t="str"/>
      <x:c r="P608" s="6" t="str">
        <x:v>Yes</x:v>
      </x:c>
      <x:c r="Q608" s="7" t="str">
        <x:v>Requires service identity completion.</x:v>
      </x:c>
    </x:row>
    <x:row r="609">
      <x:c r="A609" s="6" t="str">
        <x:v>SEQ-MFR-0279</x:v>
      </x:c>
      <x:c r="B609" s="6" t="str">
        <x:v>Manufacturer Scope</x:v>
      </x:c>
      <x:c r="C609" s="6" t="str">
        <x:v>MFRX-0279</x:v>
      </x:c>
      <x:c r="D609" s="6" t="str">
        <x:v>SVC000279</x:v>
      </x:c>
      <x:c r="E609" s="6" t="str"/>
      <x:c r="F609" s="6" t="str">
        <x:v>Manufacturer-scope review</x:v>
      </x:c>
      <x:c r="G609" s="6" t="n">
        <x:v>3</x:v>
      </x:c>
      <x:c r="H609" s="6" t="str">
        <x:v>SIDX-0279</x:v>
      </x:c>
      <x:c r="I609" s="6" t="str">
        <x:f>IF(H609="","No upstream dependency",IF(ISNUMBER(SEARCH(";",H609)),"Multiple dependencies - verify source queues",IFERROR(XLOOKUP(H609,C2:C1586,J2:J1586),"Dependency not found")))</x:f>
        <x:v>Not Started</x:v>
      </x:c>
      <x:c r="J609" s="6" t="str">
        <x:v>Not Started</x:v>
      </x:c>
      <x:c r="K609" s="6" t="str">
        <x:v>Normal</x:v>
      </x:c>
      <x:c r="L609" s="6" t="str"/>
      <x:c r="M609" s="6" t="str"/>
      <x:c r="N609" s="6" t="str"/>
      <x:c r="O609" s="7" t="str"/>
      <x:c r="P609" s="6" t="str">
        <x:v>Yes</x:v>
      </x:c>
      <x:c r="Q609" s="7" t="str">
        <x:v>Requires service identity completion.</x:v>
      </x:c>
    </x:row>
    <x:row r="610">
      <x:c r="A610" s="6" t="str">
        <x:v>SEQ-MFR-0280</x:v>
      </x:c>
      <x:c r="B610" s="6" t="str">
        <x:v>Manufacturer Scope</x:v>
      </x:c>
      <x:c r="C610" s="6" t="str">
        <x:v>MFRX-0280</x:v>
      </x:c>
      <x:c r="D610" s="6" t="str">
        <x:v>SVC000280</x:v>
      </x:c>
      <x:c r="E610" s="6" t="str"/>
      <x:c r="F610" s="6" t="str">
        <x:v>Manufacturer-scope review</x:v>
      </x:c>
      <x:c r="G610" s="6" t="n">
        <x:v>3</x:v>
      </x:c>
      <x:c r="H610" s="6" t="str">
        <x:v>SIDX-0280</x:v>
      </x:c>
      <x:c r="I610" s="6" t="str">
        <x:f>IF(H610="","No upstream dependency",IF(ISNUMBER(SEARCH(";",H610)),"Multiple dependencies - verify source queues",IFERROR(XLOOKUP(H610,C2:C1586,J2:J1586),"Dependency not found")))</x:f>
        <x:v>Not Started</x:v>
      </x:c>
      <x:c r="J610" s="6" t="str">
        <x:v>Not Started</x:v>
      </x:c>
      <x:c r="K610" s="6" t="str">
        <x:v>Normal</x:v>
      </x:c>
      <x:c r="L610" s="6" t="str"/>
      <x:c r="M610" s="6" t="str"/>
      <x:c r="N610" s="6" t="str"/>
      <x:c r="O610" s="7" t="str"/>
      <x:c r="P610" s="6" t="str">
        <x:v>Yes</x:v>
      </x:c>
      <x:c r="Q610" s="7" t="str">
        <x:v>Requires service identity completion.</x:v>
      </x:c>
    </x:row>
    <x:row r="611">
      <x:c r="A611" s="6" t="str">
        <x:v>SEQ-MFR-0281</x:v>
      </x:c>
      <x:c r="B611" s="6" t="str">
        <x:v>Manufacturer Scope</x:v>
      </x:c>
      <x:c r="C611" s="6" t="str">
        <x:v>MFRX-0281</x:v>
      </x:c>
      <x:c r="D611" s="6" t="str">
        <x:v>SVC000281</x:v>
      </x:c>
      <x:c r="E611" s="6" t="str"/>
      <x:c r="F611" s="6" t="str">
        <x:v>Manufacturer-scope review</x:v>
      </x:c>
      <x:c r="G611" s="6" t="n">
        <x:v>3</x:v>
      </x:c>
      <x:c r="H611" s="6" t="str">
        <x:v>SIDX-0281</x:v>
      </x:c>
      <x:c r="I611" s="6" t="str">
        <x:f>IF(H611="","No upstream dependency",IF(ISNUMBER(SEARCH(";",H611)),"Multiple dependencies - verify source queues",IFERROR(XLOOKUP(H611,C2:C1586,J2:J1586),"Dependency not found")))</x:f>
        <x:v>Not Started</x:v>
      </x:c>
      <x:c r="J611" s="6" t="str">
        <x:v>Not Started</x:v>
      </x:c>
      <x:c r="K611" s="6" t="str">
        <x:v>Normal</x:v>
      </x:c>
      <x:c r="L611" s="6" t="str"/>
      <x:c r="M611" s="6" t="str"/>
      <x:c r="N611" s="6" t="str"/>
      <x:c r="O611" s="7" t="str"/>
      <x:c r="P611" s="6" t="str">
        <x:v>Yes</x:v>
      </x:c>
      <x:c r="Q611" s="7" t="str">
        <x:v>Requires service identity completion.</x:v>
      </x:c>
    </x:row>
    <x:row r="612">
      <x:c r="A612" s="6" t="str">
        <x:v>SEQ-MFR-0282</x:v>
      </x:c>
      <x:c r="B612" s="6" t="str">
        <x:v>Manufacturer Scope</x:v>
      </x:c>
      <x:c r="C612" s="6" t="str">
        <x:v>MFRX-0282</x:v>
      </x:c>
      <x:c r="D612" s="6" t="str">
        <x:v>SVC000282</x:v>
      </x:c>
      <x:c r="E612" s="6" t="str"/>
      <x:c r="F612" s="6" t="str">
        <x:v>Manufacturer-scope review</x:v>
      </x:c>
      <x:c r="G612" s="6" t="n">
        <x:v>3</x:v>
      </x:c>
      <x:c r="H612" s="6" t="str">
        <x:v>SIDX-0282</x:v>
      </x:c>
      <x:c r="I612" s="6" t="str">
        <x:f>IF(H612="","No upstream dependency",IF(ISNUMBER(SEARCH(";",H612)),"Multiple dependencies - verify source queues",IFERROR(XLOOKUP(H612,C2:C1586,J2:J1586),"Dependency not found")))</x:f>
        <x:v>Not Started</x:v>
      </x:c>
      <x:c r="J612" s="6" t="str">
        <x:v>Not Started</x:v>
      </x:c>
      <x:c r="K612" s="6" t="str">
        <x:v>Normal</x:v>
      </x:c>
      <x:c r="L612" s="6" t="str"/>
      <x:c r="M612" s="6" t="str"/>
      <x:c r="N612" s="6" t="str"/>
      <x:c r="O612" s="7" t="str"/>
      <x:c r="P612" s="6" t="str">
        <x:v>Yes</x:v>
      </x:c>
      <x:c r="Q612" s="7" t="str">
        <x:v>Requires service identity completion.</x:v>
      </x:c>
    </x:row>
    <x:row r="613">
      <x:c r="A613" s="6" t="str">
        <x:v>SEQ-MFR-0283</x:v>
      </x:c>
      <x:c r="B613" s="6" t="str">
        <x:v>Manufacturer Scope</x:v>
      </x:c>
      <x:c r="C613" s="6" t="str">
        <x:v>MFRX-0283</x:v>
      </x:c>
      <x:c r="D613" s="6" t="str">
        <x:v>SVC000283</x:v>
      </x:c>
      <x:c r="E613" s="6" t="str"/>
      <x:c r="F613" s="6" t="str">
        <x:v>Manufacturer-scope review</x:v>
      </x:c>
      <x:c r="G613" s="6" t="n">
        <x:v>3</x:v>
      </x:c>
      <x:c r="H613" s="6" t="str">
        <x:v>SIDX-0283</x:v>
      </x:c>
      <x:c r="I613" s="6" t="str">
        <x:f>IF(H613="","No upstream dependency",IF(ISNUMBER(SEARCH(";",H613)),"Multiple dependencies - verify source queues",IFERROR(XLOOKUP(H613,C2:C1586,J2:J1586),"Dependency not found")))</x:f>
        <x:v>Not Started</x:v>
      </x:c>
      <x:c r="J613" s="6" t="str">
        <x:v>Not Started</x:v>
      </x:c>
      <x:c r="K613" s="6" t="str">
        <x:v>Normal</x:v>
      </x:c>
      <x:c r="L613" s="6" t="str"/>
      <x:c r="M613" s="6" t="str"/>
      <x:c r="N613" s="6" t="str"/>
      <x:c r="O613" s="7" t="str"/>
      <x:c r="P613" s="6" t="str">
        <x:v>Yes</x:v>
      </x:c>
      <x:c r="Q613" s="7" t="str">
        <x:v>Requires service identity completion.</x:v>
      </x:c>
    </x:row>
    <x:row r="614">
      <x:c r="A614" s="6" t="str">
        <x:v>SEQ-MFR-0284</x:v>
      </x:c>
      <x:c r="B614" s="6" t="str">
        <x:v>Manufacturer Scope</x:v>
      </x:c>
      <x:c r="C614" s="6" t="str">
        <x:v>MFRX-0284</x:v>
      </x:c>
      <x:c r="D614" s="6" t="str">
        <x:v>SVC000284</x:v>
      </x:c>
      <x:c r="E614" s="6" t="str"/>
      <x:c r="F614" s="6" t="str">
        <x:v>Manufacturer-scope review</x:v>
      </x:c>
      <x:c r="G614" s="6" t="n">
        <x:v>3</x:v>
      </x:c>
      <x:c r="H614" s="6" t="str">
        <x:v>SIDX-0284</x:v>
      </x:c>
      <x:c r="I614" s="6" t="str">
        <x:f>IF(H614="","No upstream dependency",IF(ISNUMBER(SEARCH(";",H614)),"Multiple dependencies - verify source queues",IFERROR(XLOOKUP(H614,C2:C1586,J2:J1586),"Dependency not found")))</x:f>
        <x:v>Not Started</x:v>
      </x:c>
      <x:c r="J614" s="6" t="str">
        <x:v>Not Started</x:v>
      </x:c>
      <x:c r="K614" s="6" t="str">
        <x:v>Normal</x:v>
      </x:c>
      <x:c r="L614" s="6" t="str"/>
      <x:c r="M614" s="6" t="str"/>
      <x:c r="N614" s="6" t="str"/>
      <x:c r="O614" s="7" t="str"/>
      <x:c r="P614" s="6" t="str">
        <x:v>Yes</x:v>
      </x:c>
      <x:c r="Q614" s="7" t="str">
        <x:v>Requires service identity completion.</x:v>
      </x:c>
    </x:row>
    <x:row r="615">
      <x:c r="A615" s="6" t="str">
        <x:v>SEQ-MFR-0285</x:v>
      </x:c>
      <x:c r="B615" s="6" t="str">
        <x:v>Manufacturer Scope</x:v>
      </x:c>
      <x:c r="C615" s="6" t="str">
        <x:v>MFRX-0285</x:v>
      </x:c>
      <x:c r="D615" s="6" t="str">
        <x:v>SVC000285</x:v>
      </x:c>
      <x:c r="E615" s="6" t="str"/>
      <x:c r="F615" s="6" t="str">
        <x:v>Manufacturer-scope review</x:v>
      </x:c>
      <x:c r="G615" s="6" t="n">
        <x:v>3</x:v>
      </x:c>
      <x:c r="H615" s="6" t="str">
        <x:v>SIDX-0285</x:v>
      </x:c>
      <x:c r="I615" s="6" t="str">
        <x:f>IF(H615="","No upstream dependency",IF(ISNUMBER(SEARCH(";",H615)),"Multiple dependencies - verify source queues",IFERROR(XLOOKUP(H615,C2:C1586,J2:J1586),"Dependency not found")))</x:f>
        <x:v>Not Started</x:v>
      </x:c>
      <x:c r="J615" s="6" t="str">
        <x:v>Not Started</x:v>
      </x:c>
      <x:c r="K615" s="6" t="str">
        <x:v>Normal</x:v>
      </x:c>
      <x:c r="L615" s="6" t="str"/>
      <x:c r="M615" s="6" t="str"/>
      <x:c r="N615" s="6" t="str"/>
      <x:c r="O615" s="7" t="str"/>
      <x:c r="P615" s="6" t="str">
        <x:v>Yes</x:v>
      </x:c>
      <x:c r="Q615" s="7" t="str">
        <x:v>Requires service identity completion.</x:v>
      </x:c>
    </x:row>
    <x:row r="616">
      <x:c r="A616" s="6" t="str">
        <x:v>SEQ-MFR-0286</x:v>
      </x:c>
      <x:c r="B616" s="6" t="str">
        <x:v>Manufacturer Scope</x:v>
      </x:c>
      <x:c r="C616" s="6" t="str">
        <x:v>MFRX-0286</x:v>
      </x:c>
      <x:c r="D616" s="6" t="str">
        <x:v>SVC000286</x:v>
      </x:c>
      <x:c r="E616" s="6" t="str"/>
      <x:c r="F616" s="6" t="str">
        <x:v>Manufacturer-scope review</x:v>
      </x:c>
      <x:c r="G616" s="6" t="n">
        <x:v>3</x:v>
      </x:c>
      <x:c r="H616" s="6" t="str">
        <x:v>SIDX-0286</x:v>
      </x:c>
      <x:c r="I616" s="6" t="str">
        <x:f>IF(H616="","No upstream dependency",IF(ISNUMBER(SEARCH(";",H616)),"Multiple dependencies - verify source queues",IFERROR(XLOOKUP(H616,C2:C1586,J2:J1586),"Dependency not found")))</x:f>
        <x:v>Not Started</x:v>
      </x:c>
      <x:c r="J616" s="6" t="str">
        <x:v>Not Started</x:v>
      </x:c>
      <x:c r="K616" s="6" t="str">
        <x:v>Normal</x:v>
      </x:c>
      <x:c r="L616" s="6" t="str"/>
      <x:c r="M616" s="6" t="str"/>
      <x:c r="N616" s="6" t="str"/>
      <x:c r="O616" s="7" t="str"/>
      <x:c r="P616" s="6" t="str">
        <x:v>Yes</x:v>
      </x:c>
      <x:c r="Q616" s="7" t="str">
        <x:v>Requires service identity completion.</x:v>
      </x:c>
    </x:row>
    <x:row r="617">
      <x:c r="A617" s="6" t="str">
        <x:v>SEQ-MFR-0287</x:v>
      </x:c>
      <x:c r="B617" s="6" t="str">
        <x:v>Manufacturer Scope</x:v>
      </x:c>
      <x:c r="C617" s="6" t="str">
        <x:v>MFRX-0287</x:v>
      </x:c>
      <x:c r="D617" s="6" t="str">
        <x:v>SVC000287</x:v>
      </x:c>
      <x:c r="E617" s="6" t="str"/>
      <x:c r="F617" s="6" t="str">
        <x:v>Manufacturer-scope review</x:v>
      </x:c>
      <x:c r="G617" s="6" t="n">
        <x:v>3</x:v>
      </x:c>
      <x:c r="H617" s="6" t="str">
        <x:v>SIDX-0287</x:v>
      </x:c>
      <x:c r="I617" s="6" t="str">
        <x:f>IF(H617="","No upstream dependency",IF(ISNUMBER(SEARCH(";",H617)),"Multiple dependencies - verify source queues",IFERROR(XLOOKUP(H617,C2:C1586,J2:J1586),"Dependency not found")))</x:f>
        <x:v>Not Started</x:v>
      </x:c>
      <x:c r="J617" s="6" t="str">
        <x:v>Not Started</x:v>
      </x:c>
      <x:c r="K617" s="6" t="str">
        <x:v>Normal</x:v>
      </x:c>
      <x:c r="L617" s="6" t="str"/>
      <x:c r="M617" s="6" t="str"/>
      <x:c r="N617" s="6" t="str"/>
      <x:c r="O617" s="7" t="str"/>
      <x:c r="P617" s="6" t="str">
        <x:v>Yes</x:v>
      </x:c>
      <x:c r="Q617" s="7" t="str">
        <x:v>Requires service identity completion.</x:v>
      </x:c>
    </x:row>
    <x:row r="618">
      <x:c r="A618" s="6" t="str">
        <x:v>SEQ-MFR-0288</x:v>
      </x:c>
      <x:c r="B618" s="6" t="str">
        <x:v>Manufacturer Scope</x:v>
      </x:c>
      <x:c r="C618" s="6" t="str">
        <x:v>MFRX-0288</x:v>
      </x:c>
      <x:c r="D618" s="6" t="str">
        <x:v>SVC000288</x:v>
      </x:c>
      <x:c r="E618" s="6" t="str"/>
      <x:c r="F618" s="6" t="str">
        <x:v>Manufacturer-scope review</x:v>
      </x:c>
      <x:c r="G618" s="6" t="n">
        <x:v>3</x:v>
      </x:c>
      <x:c r="H618" s="6" t="str">
        <x:v>SIDX-0288</x:v>
      </x:c>
      <x:c r="I618" s="6" t="str">
        <x:f>IF(H618="","No upstream dependency",IF(ISNUMBER(SEARCH(";",H618)),"Multiple dependencies - verify source queues",IFERROR(XLOOKUP(H618,C2:C1586,J2:J1586),"Dependency not found")))</x:f>
        <x:v>Not Started</x:v>
      </x:c>
      <x:c r="J618" s="6" t="str">
        <x:v>Not Started</x:v>
      </x:c>
      <x:c r="K618" s="6" t="str">
        <x:v>Normal</x:v>
      </x:c>
      <x:c r="L618" s="6" t="str"/>
      <x:c r="M618" s="6" t="str"/>
      <x:c r="N618" s="6" t="str"/>
      <x:c r="O618" s="7" t="str"/>
      <x:c r="P618" s="6" t="str">
        <x:v>Yes</x:v>
      </x:c>
      <x:c r="Q618" s="7" t="str">
        <x:v>Requires service identity completion.</x:v>
      </x:c>
    </x:row>
    <x:row r="619">
      <x:c r="A619" s="6" t="str">
        <x:v>SEQ-MFR-0289</x:v>
      </x:c>
      <x:c r="B619" s="6" t="str">
        <x:v>Manufacturer Scope</x:v>
      </x:c>
      <x:c r="C619" s="6" t="str">
        <x:v>MFRX-0289</x:v>
      </x:c>
      <x:c r="D619" s="6" t="str">
        <x:v>SVC000289</x:v>
      </x:c>
      <x:c r="E619" s="6" t="str"/>
      <x:c r="F619" s="6" t="str">
        <x:v>Manufacturer-scope review</x:v>
      </x:c>
      <x:c r="G619" s="6" t="n">
        <x:v>3</x:v>
      </x:c>
      <x:c r="H619" s="6" t="str">
        <x:v>SIDX-0289</x:v>
      </x:c>
      <x:c r="I619" s="6" t="str">
        <x:f>IF(H619="","No upstream dependency",IF(ISNUMBER(SEARCH(";",H619)),"Multiple dependencies - verify source queues",IFERROR(XLOOKUP(H619,C2:C1586,J2:J1586),"Dependency not found")))</x:f>
        <x:v>Not Started</x:v>
      </x:c>
      <x:c r="J619" s="6" t="str">
        <x:v>Not Started</x:v>
      </x:c>
      <x:c r="K619" s="6" t="str">
        <x:v>Normal</x:v>
      </x:c>
      <x:c r="L619" s="6" t="str"/>
      <x:c r="M619" s="6" t="str"/>
      <x:c r="N619" s="6" t="str"/>
      <x:c r="O619" s="7" t="str"/>
      <x:c r="P619" s="6" t="str">
        <x:v>Yes</x:v>
      </x:c>
      <x:c r="Q619" s="7" t="str">
        <x:v>Requires service identity completion.</x:v>
      </x:c>
    </x:row>
    <x:row r="620">
      <x:c r="A620" s="6" t="str">
        <x:v>SEQ-MFR-0290</x:v>
      </x:c>
      <x:c r="B620" s="6" t="str">
        <x:v>Manufacturer Scope</x:v>
      </x:c>
      <x:c r="C620" s="6" t="str">
        <x:v>MFRX-0290</x:v>
      </x:c>
      <x:c r="D620" s="6" t="str">
        <x:v>SVC000290</x:v>
      </x:c>
      <x:c r="E620" s="6" t="str"/>
      <x:c r="F620" s="6" t="str">
        <x:v>Manufacturer-scope review</x:v>
      </x:c>
      <x:c r="G620" s="6" t="n">
        <x:v>3</x:v>
      </x:c>
      <x:c r="H620" s="6" t="str">
        <x:v>SIDX-0290</x:v>
      </x:c>
      <x:c r="I620" s="6" t="str">
        <x:f>IF(H620="","No upstream dependency",IF(ISNUMBER(SEARCH(";",H620)),"Multiple dependencies - verify source queues",IFERROR(XLOOKUP(H620,C2:C1586,J2:J1586),"Dependency not found")))</x:f>
        <x:v>Not Started</x:v>
      </x:c>
      <x:c r="J620" s="6" t="str">
        <x:v>Not Started</x:v>
      </x:c>
      <x:c r="K620" s="6" t="str">
        <x:v>Normal</x:v>
      </x:c>
      <x:c r="L620" s="6" t="str"/>
      <x:c r="M620" s="6" t="str"/>
      <x:c r="N620" s="6" t="str"/>
      <x:c r="O620" s="7" t="str"/>
      <x:c r="P620" s="6" t="str">
        <x:v>Yes</x:v>
      </x:c>
      <x:c r="Q620" s="7" t="str">
        <x:v>Requires service identity completion.</x:v>
      </x:c>
    </x:row>
    <x:row r="621">
      <x:c r="A621" s="6" t="str">
        <x:v>SEQ-MFR-0291</x:v>
      </x:c>
      <x:c r="B621" s="6" t="str">
        <x:v>Manufacturer Scope</x:v>
      </x:c>
      <x:c r="C621" s="6" t="str">
        <x:v>MFRX-0291</x:v>
      </x:c>
      <x:c r="D621" s="6" t="str">
        <x:v>SVC000291</x:v>
      </x:c>
      <x:c r="E621" s="6" t="str"/>
      <x:c r="F621" s="6" t="str">
        <x:v>Manufacturer-scope review</x:v>
      </x:c>
      <x:c r="G621" s="6" t="n">
        <x:v>3</x:v>
      </x:c>
      <x:c r="H621" s="6" t="str">
        <x:v>SIDX-0291</x:v>
      </x:c>
      <x:c r="I621" s="6" t="str">
        <x:f>IF(H621="","No upstream dependency",IF(ISNUMBER(SEARCH(";",H621)),"Multiple dependencies - verify source queues",IFERROR(XLOOKUP(H621,C2:C1586,J2:J1586),"Dependency not found")))</x:f>
        <x:v>Not Started</x:v>
      </x:c>
      <x:c r="J621" s="6" t="str">
        <x:v>Not Started</x:v>
      </x:c>
      <x:c r="K621" s="6" t="str">
        <x:v>Normal</x:v>
      </x:c>
      <x:c r="L621" s="6" t="str"/>
      <x:c r="M621" s="6" t="str"/>
      <x:c r="N621" s="6" t="str"/>
      <x:c r="O621" s="7" t="str"/>
      <x:c r="P621" s="6" t="str">
        <x:v>Yes</x:v>
      </x:c>
      <x:c r="Q621" s="7" t="str">
        <x:v>Requires service identity completion.</x:v>
      </x:c>
    </x:row>
    <x:row r="622">
      <x:c r="A622" s="6" t="str">
        <x:v>SEQ-MFR-0292</x:v>
      </x:c>
      <x:c r="B622" s="6" t="str">
        <x:v>Manufacturer Scope</x:v>
      </x:c>
      <x:c r="C622" s="6" t="str">
        <x:v>MFRX-0292</x:v>
      </x:c>
      <x:c r="D622" s="6" t="str">
        <x:v>SVC000292</x:v>
      </x:c>
      <x:c r="E622" s="6" t="str"/>
      <x:c r="F622" s="6" t="str">
        <x:v>Manufacturer-scope review</x:v>
      </x:c>
      <x:c r="G622" s="6" t="n">
        <x:v>3</x:v>
      </x:c>
      <x:c r="H622" s="6" t="str">
        <x:v>SIDX-0292</x:v>
      </x:c>
      <x:c r="I622" s="6" t="str">
        <x:f>IF(H622="","No upstream dependency",IF(ISNUMBER(SEARCH(";",H622)),"Multiple dependencies - verify source queues",IFERROR(XLOOKUP(H622,C2:C1586,J2:J1586),"Dependency not found")))</x:f>
        <x:v>Not Started</x:v>
      </x:c>
      <x:c r="J622" s="6" t="str">
        <x:v>Not Started</x:v>
      </x:c>
      <x:c r="K622" s="6" t="str">
        <x:v>Normal</x:v>
      </x:c>
      <x:c r="L622" s="6" t="str"/>
      <x:c r="M622" s="6" t="str"/>
      <x:c r="N622" s="6" t="str"/>
      <x:c r="O622" s="7" t="str"/>
      <x:c r="P622" s="6" t="str">
        <x:v>Yes</x:v>
      </x:c>
      <x:c r="Q622" s="7" t="str">
        <x:v>Requires service identity completion.</x:v>
      </x:c>
    </x:row>
    <x:row r="623">
      <x:c r="A623" s="6" t="str">
        <x:v>SEQ-MFR-0293</x:v>
      </x:c>
      <x:c r="B623" s="6" t="str">
        <x:v>Manufacturer Scope</x:v>
      </x:c>
      <x:c r="C623" s="6" t="str">
        <x:v>MFRX-0293</x:v>
      </x:c>
      <x:c r="D623" s="6" t="str">
        <x:v>SVC000293</x:v>
      </x:c>
      <x:c r="E623" s="6" t="str"/>
      <x:c r="F623" s="6" t="str">
        <x:v>Manufacturer-scope review</x:v>
      </x:c>
      <x:c r="G623" s="6" t="n">
        <x:v>3</x:v>
      </x:c>
      <x:c r="H623" s="6" t="str">
        <x:v>SIDX-0293</x:v>
      </x:c>
      <x:c r="I623" s="6" t="str">
        <x:f>IF(H623="","No upstream dependency",IF(ISNUMBER(SEARCH(";",H623)),"Multiple dependencies - verify source queues",IFERROR(XLOOKUP(H623,C2:C1586,J2:J1586),"Dependency not found")))</x:f>
        <x:v>Not Started</x:v>
      </x:c>
      <x:c r="J623" s="6" t="str">
        <x:v>Not Started</x:v>
      </x:c>
      <x:c r="K623" s="6" t="str">
        <x:v>Normal</x:v>
      </x:c>
      <x:c r="L623" s="6" t="str"/>
      <x:c r="M623" s="6" t="str"/>
      <x:c r="N623" s="6" t="str"/>
      <x:c r="O623" s="7" t="str"/>
      <x:c r="P623" s="6" t="str">
        <x:v>Yes</x:v>
      </x:c>
      <x:c r="Q623" s="7" t="str">
        <x:v>Requires service identity completion.</x:v>
      </x:c>
    </x:row>
    <x:row r="624">
      <x:c r="A624" s="6" t="str">
        <x:v>SEQ-MFR-0294</x:v>
      </x:c>
      <x:c r="B624" s="6" t="str">
        <x:v>Manufacturer Scope</x:v>
      </x:c>
      <x:c r="C624" s="6" t="str">
        <x:v>MFRX-0294</x:v>
      </x:c>
      <x:c r="D624" s="6" t="str">
        <x:v>SVC000294</x:v>
      </x:c>
      <x:c r="E624" s="6" t="str"/>
      <x:c r="F624" s="6" t="str">
        <x:v>Manufacturer-scope review</x:v>
      </x:c>
      <x:c r="G624" s="6" t="n">
        <x:v>3</x:v>
      </x:c>
      <x:c r="H624" s="6" t="str">
        <x:v>SIDX-0294</x:v>
      </x:c>
      <x:c r="I624" s="6" t="str">
        <x:f>IF(H624="","No upstream dependency",IF(ISNUMBER(SEARCH(";",H624)),"Multiple dependencies - verify source queues",IFERROR(XLOOKUP(H624,C2:C1586,J2:J1586),"Dependency not found")))</x:f>
        <x:v>Not Started</x:v>
      </x:c>
      <x:c r="J624" s="6" t="str">
        <x:v>Not Started</x:v>
      </x:c>
      <x:c r="K624" s="6" t="str">
        <x:v>Normal</x:v>
      </x:c>
      <x:c r="L624" s="6" t="str"/>
      <x:c r="M624" s="6" t="str"/>
      <x:c r="N624" s="6" t="str"/>
      <x:c r="O624" s="7" t="str"/>
      <x:c r="P624" s="6" t="str">
        <x:v>Yes</x:v>
      </x:c>
      <x:c r="Q624" s="7" t="str">
        <x:v>Requires service identity completion.</x:v>
      </x:c>
    </x:row>
    <x:row r="625">
      <x:c r="A625" s="6" t="str">
        <x:v>SEQ-MFR-0295</x:v>
      </x:c>
      <x:c r="B625" s="6" t="str">
        <x:v>Manufacturer Scope</x:v>
      </x:c>
      <x:c r="C625" s="6" t="str">
        <x:v>MFRX-0295</x:v>
      </x:c>
      <x:c r="D625" s="6" t="str">
        <x:v>SVC000295</x:v>
      </x:c>
      <x:c r="E625" s="6" t="str"/>
      <x:c r="F625" s="6" t="str">
        <x:v>Manufacturer-scope review</x:v>
      </x:c>
      <x:c r="G625" s="6" t="n">
        <x:v>3</x:v>
      </x:c>
      <x:c r="H625" s="6" t="str">
        <x:v>SIDX-0295</x:v>
      </x:c>
      <x:c r="I625" s="6" t="str">
        <x:f>IF(H625="","No upstream dependency",IF(ISNUMBER(SEARCH(";",H625)),"Multiple dependencies - verify source queues",IFERROR(XLOOKUP(H625,C2:C1586,J2:J1586),"Dependency not found")))</x:f>
        <x:v>Not Started</x:v>
      </x:c>
      <x:c r="J625" s="6" t="str">
        <x:v>Not Started</x:v>
      </x:c>
      <x:c r="K625" s="6" t="str">
        <x:v>Normal</x:v>
      </x:c>
      <x:c r="L625" s="6" t="str"/>
      <x:c r="M625" s="6" t="str"/>
      <x:c r="N625" s="6" t="str"/>
      <x:c r="O625" s="7" t="str"/>
      <x:c r="P625" s="6" t="str">
        <x:v>Yes</x:v>
      </x:c>
      <x:c r="Q625" s="7" t="str">
        <x:v>Requires service identity completion.</x:v>
      </x:c>
    </x:row>
    <x:row r="626">
      <x:c r="A626" s="6" t="str">
        <x:v>SEQ-MFR-0296</x:v>
      </x:c>
      <x:c r="B626" s="6" t="str">
        <x:v>Manufacturer Scope</x:v>
      </x:c>
      <x:c r="C626" s="6" t="str">
        <x:v>MFRX-0296</x:v>
      </x:c>
      <x:c r="D626" s="6" t="str">
        <x:v>SVC000296</x:v>
      </x:c>
      <x:c r="E626" s="6" t="str"/>
      <x:c r="F626" s="6" t="str">
        <x:v>Manufacturer-scope review</x:v>
      </x:c>
      <x:c r="G626" s="6" t="n">
        <x:v>3</x:v>
      </x:c>
      <x:c r="H626" s="6" t="str">
        <x:v>SIDX-0296</x:v>
      </x:c>
      <x:c r="I626" s="6" t="str">
        <x:f>IF(H626="","No upstream dependency",IF(ISNUMBER(SEARCH(";",H626)),"Multiple dependencies - verify source queues",IFERROR(XLOOKUP(H626,C2:C1586,J2:J1586),"Dependency not found")))</x:f>
        <x:v>Not Started</x:v>
      </x:c>
      <x:c r="J626" s="6" t="str">
        <x:v>Not Started</x:v>
      </x:c>
      <x:c r="K626" s="6" t="str">
        <x:v>Normal</x:v>
      </x:c>
      <x:c r="L626" s="6" t="str"/>
      <x:c r="M626" s="6" t="str"/>
      <x:c r="N626" s="6" t="str"/>
      <x:c r="O626" s="7" t="str"/>
      <x:c r="P626" s="6" t="str">
        <x:v>Yes</x:v>
      </x:c>
      <x:c r="Q626" s="7" t="str">
        <x:v>Requires service identity completion.</x:v>
      </x:c>
    </x:row>
    <x:row r="627">
      <x:c r="A627" s="6" t="str">
        <x:v>SEQ-MFR-0297</x:v>
      </x:c>
      <x:c r="B627" s="6" t="str">
        <x:v>Manufacturer Scope</x:v>
      </x:c>
      <x:c r="C627" s="6" t="str">
        <x:v>MFRX-0297</x:v>
      </x:c>
      <x:c r="D627" s="6" t="str">
        <x:v>SVC000297</x:v>
      </x:c>
      <x:c r="E627" s="6" t="str"/>
      <x:c r="F627" s="6" t="str">
        <x:v>Manufacturer-scope review</x:v>
      </x:c>
      <x:c r="G627" s="6" t="n">
        <x:v>3</x:v>
      </x:c>
      <x:c r="H627" s="6" t="str">
        <x:v>SIDX-0297</x:v>
      </x:c>
      <x:c r="I627" s="6" t="str">
        <x:f>IF(H627="","No upstream dependency",IF(ISNUMBER(SEARCH(";",H627)),"Multiple dependencies - verify source queues",IFERROR(XLOOKUP(H627,C2:C1586,J2:J1586),"Dependency not found")))</x:f>
        <x:v>Not Started</x:v>
      </x:c>
      <x:c r="J627" s="6" t="str">
        <x:v>Not Started</x:v>
      </x:c>
      <x:c r="K627" s="6" t="str">
        <x:v>Normal</x:v>
      </x:c>
      <x:c r="L627" s="6" t="str"/>
      <x:c r="M627" s="6" t="str"/>
      <x:c r="N627" s="6" t="str"/>
      <x:c r="O627" s="7" t="str"/>
      <x:c r="P627" s="6" t="str">
        <x:v>Yes</x:v>
      </x:c>
      <x:c r="Q627" s="7" t="str">
        <x:v>Requires service identity completion.</x:v>
      </x:c>
    </x:row>
    <x:row r="628">
      <x:c r="A628" s="6" t="str">
        <x:v>SEQ-MFR-0298</x:v>
      </x:c>
      <x:c r="B628" s="6" t="str">
        <x:v>Manufacturer Scope</x:v>
      </x:c>
      <x:c r="C628" s="6" t="str">
        <x:v>MFRX-0298</x:v>
      </x:c>
      <x:c r="D628" s="6" t="str">
        <x:v>SVC000298</x:v>
      </x:c>
      <x:c r="E628" s="6" t="str"/>
      <x:c r="F628" s="6" t="str">
        <x:v>Manufacturer-scope review</x:v>
      </x:c>
      <x:c r="G628" s="6" t="n">
        <x:v>3</x:v>
      </x:c>
      <x:c r="H628" s="6" t="str">
        <x:v>SIDX-0298</x:v>
      </x:c>
      <x:c r="I628" s="6" t="str">
        <x:f>IF(H628="","No upstream dependency",IF(ISNUMBER(SEARCH(";",H628)),"Multiple dependencies - verify source queues",IFERROR(XLOOKUP(H628,C2:C1586,J2:J1586),"Dependency not found")))</x:f>
        <x:v>Not Started</x:v>
      </x:c>
      <x:c r="J628" s="6" t="str">
        <x:v>Not Started</x:v>
      </x:c>
      <x:c r="K628" s="6" t="str">
        <x:v>Normal</x:v>
      </x:c>
      <x:c r="L628" s="6" t="str"/>
      <x:c r="M628" s="6" t="str"/>
      <x:c r="N628" s="6" t="str"/>
      <x:c r="O628" s="7" t="str"/>
      <x:c r="P628" s="6" t="str">
        <x:v>Yes</x:v>
      </x:c>
      <x:c r="Q628" s="7" t="str">
        <x:v>Requires service identity completion.</x:v>
      </x:c>
    </x:row>
    <x:row r="629">
      <x:c r="A629" s="6" t="str">
        <x:v>SEQ-MFR-0299</x:v>
      </x:c>
      <x:c r="B629" s="6" t="str">
        <x:v>Manufacturer Scope</x:v>
      </x:c>
      <x:c r="C629" s="6" t="str">
        <x:v>MFRX-0299</x:v>
      </x:c>
      <x:c r="D629" s="6" t="str">
        <x:v>SVC000299</x:v>
      </x:c>
      <x:c r="E629" s="6" t="str"/>
      <x:c r="F629" s="6" t="str">
        <x:v>Manufacturer-scope review</x:v>
      </x:c>
      <x:c r="G629" s="6" t="n">
        <x:v>3</x:v>
      </x:c>
      <x:c r="H629" s="6" t="str">
        <x:v>SIDX-0299</x:v>
      </x:c>
      <x:c r="I629" s="6" t="str">
        <x:f>IF(H629="","No upstream dependency",IF(ISNUMBER(SEARCH(";",H629)),"Multiple dependencies - verify source queues",IFERROR(XLOOKUP(H629,C2:C1586,J2:J1586),"Dependency not found")))</x:f>
        <x:v>Not Started</x:v>
      </x:c>
      <x:c r="J629" s="6" t="str">
        <x:v>Not Started</x:v>
      </x:c>
      <x:c r="K629" s="6" t="str">
        <x:v>Normal</x:v>
      </x:c>
      <x:c r="L629" s="6" t="str"/>
      <x:c r="M629" s="6" t="str"/>
      <x:c r="N629" s="6" t="str"/>
      <x:c r="O629" s="7" t="str"/>
      <x:c r="P629" s="6" t="str">
        <x:v>Yes</x:v>
      </x:c>
      <x:c r="Q629" s="7" t="str">
        <x:v>Requires service identity completion.</x:v>
      </x:c>
    </x:row>
    <x:row r="630">
      <x:c r="A630" s="6" t="str">
        <x:v>SEQ-MFR-0300</x:v>
      </x:c>
      <x:c r="B630" s="6" t="str">
        <x:v>Manufacturer Scope</x:v>
      </x:c>
      <x:c r="C630" s="6" t="str">
        <x:v>MFRX-0300</x:v>
      </x:c>
      <x:c r="D630" s="6" t="str">
        <x:v>SVC000300</x:v>
      </x:c>
      <x:c r="E630" s="6" t="str"/>
      <x:c r="F630" s="6" t="str">
        <x:v>Manufacturer-scope review</x:v>
      </x:c>
      <x:c r="G630" s="6" t="n">
        <x:v>3</x:v>
      </x:c>
      <x:c r="H630" s="6" t="str">
        <x:v>SIDX-0300</x:v>
      </x:c>
      <x:c r="I630" s="6" t="str">
        <x:f>IF(H630="","No upstream dependency",IF(ISNUMBER(SEARCH(";",H630)),"Multiple dependencies - verify source queues",IFERROR(XLOOKUP(H630,C2:C1586,J2:J1586),"Dependency not found")))</x:f>
        <x:v>Not Started</x:v>
      </x:c>
      <x:c r="J630" s="6" t="str">
        <x:v>Not Started</x:v>
      </x:c>
      <x:c r="K630" s="6" t="str">
        <x:v>Normal</x:v>
      </x:c>
      <x:c r="L630" s="6" t="str"/>
      <x:c r="M630" s="6" t="str"/>
      <x:c r="N630" s="6" t="str"/>
      <x:c r="O630" s="7" t="str"/>
      <x:c r="P630" s="6" t="str">
        <x:v>Yes</x:v>
      </x:c>
      <x:c r="Q630" s="7" t="str">
        <x:v>Requires service identity completion.</x:v>
      </x:c>
    </x:row>
    <x:row r="631">
      <x:c r="A631" s="6" t="str">
        <x:v>SEQ-MFR-0301</x:v>
      </x:c>
      <x:c r="B631" s="6" t="str">
        <x:v>Manufacturer Scope</x:v>
      </x:c>
      <x:c r="C631" s="6" t="str">
        <x:v>MFRX-0301</x:v>
      </x:c>
      <x:c r="D631" s="6" t="str">
        <x:v>SVC000301</x:v>
      </x:c>
      <x:c r="E631" s="6" t="str"/>
      <x:c r="F631" s="6" t="str">
        <x:v>Manufacturer-scope review</x:v>
      </x:c>
      <x:c r="G631" s="6" t="n">
        <x:v>3</x:v>
      </x:c>
      <x:c r="H631" s="6" t="str">
        <x:v>SIDX-0301</x:v>
      </x:c>
      <x:c r="I631" s="6" t="str">
        <x:f>IF(H631="","No upstream dependency",IF(ISNUMBER(SEARCH(";",H631)),"Multiple dependencies - verify source queues",IFERROR(XLOOKUP(H631,C2:C1586,J2:J1586),"Dependency not found")))</x:f>
        <x:v>Not Started</x:v>
      </x:c>
      <x:c r="J631" s="6" t="str">
        <x:v>Not Started</x:v>
      </x:c>
      <x:c r="K631" s="6" t="str">
        <x:v>Normal</x:v>
      </x:c>
      <x:c r="L631" s="6" t="str"/>
      <x:c r="M631" s="6" t="str"/>
      <x:c r="N631" s="6" t="str"/>
      <x:c r="O631" s="7" t="str"/>
      <x:c r="P631" s="6" t="str">
        <x:v>Yes</x:v>
      </x:c>
      <x:c r="Q631" s="7" t="str">
        <x:v>Requires service identity completion.</x:v>
      </x:c>
    </x:row>
    <x:row r="632">
      <x:c r="A632" s="6" t="str">
        <x:v>SEQ-MFR-0302</x:v>
      </x:c>
      <x:c r="B632" s="6" t="str">
        <x:v>Manufacturer Scope</x:v>
      </x:c>
      <x:c r="C632" s="6" t="str">
        <x:v>MFRX-0302</x:v>
      </x:c>
      <x:c r="D632" s="6" t="str">
        <x:v>SVC000302</x:v>
      </x:c>
      <x:c r="E632" s="6" t="str"/>
      <x:c r="F632" s="6" t="str">
        <x:v>Manufacturer-scope review</x:v>
      </x:c>
      <x:c r="G632" s="6" t="n">
        <x:v>3</x:v>
      </x:c>
      <x:c r="H632" s="6" t="str">
        <x:v>SIDX-0302</x:v>
      </x:c>
      <x:c r="I632" s="6" t="str">
        <x:f>IF(H632="","No upstream dependency",IF(ISNUMBER(SEARCH(";",H632)),"Multiple dependencies - verify source queues",IFERROR(XLOOKUP(H632,C2:C1586,J2:J1586),"Dependency not found")))</x:f>
        <x:v>Not Started</x:v>
      </x:c>
      <x:c r="J632" s="6" t="str">
        <x:v>Not Started</x:v>
      </x:c>
      <x:c r="K632" s="6" t="str">
        <x:v>Normal</x:v>
      </x:c>
      <x:c r="L632" s="6" t="str"/>
      <x:c r="M632" s="6" t="str"/>
      <x:c r="N632" s="6" t="str"/>
      <x:c r="O632" s="7" t="str"/>
      <x:c r="P632" s="6" t="str">
        <x:v>Yes</x:v>
      </x:c>
      <x:c r="Q632" s="7" t="str">
        <x:v>Requires service identity completion.</x:v>
      </x:c>
    </x:row>
    <x:row r="633">
      <x:c r="A633" s="6" t="str">
        <x:v>SEQ-MFR-0303</x:v>
      </x:c>
      <x:c r="B633" s="6" t="str">
        <x:v>Manufacturer Scope</x:v>
      </x:c>
      <x:c r="C633" s="6" t="str">
        <x:v>MFRX-0303</x:v>
      </x:c>
      <x:c r="D633" s="6" t="str">
        <x:v>SVC000303</x:v>
      </x:c>
      <x:c r="E633" s="6" t="str"/>
      <x:c r="F633" s="6" t="str">
        <x:v>Manufacturer-scope review</x:v>
      </x:c>
      <x:c r="G633" s="6" t="n">
        <x:v>3</x:v>
      </x:c>
      <x:c r="H633" s="6" t="str">
        <x:v>SIDX-0303</x:v>
      </x:c>
      <x:c r="I633" s="6" t="str">
        <x:f>IF(H633="","No upstream dependency",IF(ISNUMBER(SEARCH(";",H633)),"Multiple dependencies - verify source queues",IFERROR(XLOOKUP(H633,C2:C1586,J2:J1586),"Dependency not found")))</x:f>
        <x:v>Not Started</x:v>
      </x:c>
      <x:c r="J633" s="6" t="str">
        <x:v>Not Started</x:v>
      </x:c>
      <x:c r="K633" s="6" t="str">
        <x:v>Normal</x:v>
      </x:c>
      <x:c r="L633" s="6" t="str"/>
      <x:c r="M633" s="6" t="str"/>
      <x:c r="N633" s="6" t="str"/>
      <x:c r="O633" s="7" t="str"/>
      <x:c r="P633" s="6" t="str">
        <x:v>Yes</x:v>
      </x:c>
      <x:c r="Q633" s="7" t="str">
        <x:v>Requires service identity completion.</x:v>
      </x:c>
    </x:row>
    <x:row r="634">
      <x:c r="A634" s="6" t="str">
        <x:v>SEQ-MFR-0304</x:v>
      </x:c>
      <x:c r="B634" s="6" t="str">
        <x:v>Manufacturer Scope</x:v>
      </x:c>
      <x:c r="C634" s="6" t="str">
        <x:v>MFRX-0304</x:v>
      </x:c>
      <x:c r="D634" s="6" t="str">
        <x:v>SVC000304</x:v>
      </x:c>
      <x:c r="E634" s="6" t="str"/>
      <x:c r="F634" s="6" t="str">
        <x:v>Manufacturer-scope review</x:v>
      </x:c>
      <x:c r="G634" s="6" t="n">
        <x:v>3</x:v>
      </x:c>
      <x:c r="H634" s="6" t="str">
        <x:v>SIDX-0304</x:v>
      </x:c>
      <x:c r="I634" s="6" t="str">
        <x:f>IF(H634="","No upstream dependency",IF(ISNUMBER(SEARCH(";",H634)),"Multiple dependencies - verify source queues",IFERROR(XLOOKUP(H634,C2:C1586,J2:J1586),"Dependency not found")))</x:f>
        <x:v>Not Started</x:v>
      </x:c>
      <x:c r="J634" s="6" t="str">
        <x:v>Not Started</x:v>
      </x:c>
      <x:c r="K634" s="6" t="str">
        <x:v>Normal</x:v>
      </x:c>
      <x:c r="L634" s="6" t="str"/>
      <x:c r="M634" s="6" t="str"/>
      <x:c r="N634" s="6" t="str"/>
      <x:c r="O634" s="7" t="str"/>
      <x:c r="P634" s="6" t="str">
        <x:v>Yes</x:v>
      </x:c>
      <x:c r="Q634" s="7" t="str">
        <x:v>Requires service identity completion.</x:v>
      </x:c>
    </x:row>
    <x:row r="635">
      <x:c r="A635" s="6" t="str">
        <x:v>SEQ-MFR-0305</x:v>
      </x:c>
      <x:c r="B635" s="6" t="str">
        <x:v>Manufacturer Scope</x:v>
      </x:c>
      <x:c r="C635" s="6" t="str">
        <x:v>MFRX-0305</x:v>
      </x:c>
      <x:c r="D635" s="6" t="str">
        <x:v>SVC000305</x:v>
      </x:c>
      <x:c r="E635" s="6" t="str"/>
      <x:c r="F635" s="6" t="str">
        <x:v>Manufacturer-scope review</x:v>
      </x:c>
      <x:c r="G635" s="6" t="n">
        <x:v>3</x:v>
      </x:c>
      <x:c r="H635" s="6" t="str">
        <x:v>SIDX-0305</x:v>
      </x:c>
      <x:c r="I635" s="6" t="str">
        <x:f>IF(H635="","No upstream dependency",IF(ISNUMBER(SEARCH(";",H635)),"Multiple dependencies - verify source queues",IFERROR(XLOOKUP(H635,C2:C1586,J2:J1586),"Dependency not found")))</x:f>
        <x:v>Not Started</x:v>
      </x:c>
      <x:c r="J635" s="6" t="str">
        <x:v>Not Started</x:v>
      </x:c>
      <x:c r="K635" s="6" t="str">
        <x:v>Normal</x:v>
      </x:c>
      <x:c r="L635" s="6" t="str"/>
      <x:c r="M635" s="6" t="str"/>
      <x:c r="N635" s="6" t="str"/>
      <x:c r="O635" s="7" t="str"/>
      <x:c r="P635" s="6" t="str">
        <x:v>Yes</x:v>
      </x:c>
      <x:c r="Q635" s="7" t="str">
        <x:v>Requires service identity completion.</x:v>
      </x:c>
    </x:row>
    <x:row r="636">
      <x:c r="A636" s="6" t="str">
        <x:v>SEQ-MFR-0306</x:v>
      </x:c>
      <x:c r="B636" s="6" t="str">
        <x:v>Manufacturer Scope</x:v>
      </x:c>
      <x:c r="C636" s="6" t="str">
        <x:v>MFRX-0306</x:v>
      </x:c>
      <x:c r="D636" s="6" t="str">
        <x:v>SVC000306</x:v>
      </x:c>
      <x:c r="E636" s="6" t="str"/>
      <x:c r="F636" s="6" t="str">
        <x:v>Manufacturer-scope review</x:v>
      </x:c>
      <x:c r="G636" s="6" t="n">
        <x:v>3</x:v>
      </x:c>
      <x:c r="H636" s="6" t="str">
        <x:v>SIDX-0306</x:v>
      </x:c>
      <x:c r="I636" s="6" t="str">
        <x:f>IF(H636="","No upstream dependency",IF(ISNUMBER(SEARCH(";",H636)),"Multiple dependencies - verify source queues",IFERROR(XLOOKUP(H636,C2:C1586,J2:J1586),"Dependency not found")))</x:f>
        <x:v>Not Started</x:v>
      </x:c>
      <x:c r="J636" s="6" t="str">
        <x:v>Not Started</x:v>
      </x:c>
      <x:c r="K636" s="6" t="str">
        <x:v>Normal</x:v>
      </x:c>
      <x:c r="L636" s="6" t="str"/>
      <x:c r="M636" s="6" t="str"/>
      <x:c r="N636" s="6" t="str"/>
      <x:c r="O636" s="7" t="str"/>
      <x:c r="P636" s="6" t="str">
        <x:v>Yes</x:v>
      </x:c>
      <x:c r="Q636" s="7" t="str">
        <x:v>Requires service identity completion.</x:v>
      </x:c>
    </x:row>
    <x:row r="637">
      <x:c r="A637" s="6" t="str">
        <x:v>SEQ-MFR-0307</x:v>
      </x:c>
      <x:c r="B637" s="6" t="str">
        <x:v>Manufacturer Scope</x:v>
      </x:c>
      <x:c r="C637" s="6" t="str">
        <x:v>MFRX-0307</x:v>
      </x:c>
      <x:c r="D637" s="6" t="str">
        <x:v>SVC000307</x:v>
      </x:c>
      <x:c r="E637" s="6" t="str"/>
      <x:c r="F637" s="6" t="str">
        <x:v>Manufacturer-scope review</x:v>
      </x:c>
      <x:c r="G637" s="6" t="n">
        <x:v>3</x:v>
      </x:c>
      <x:c r="H637" s="6" t="str">
        <x:v>SIDX-0307</x:v>
      </x:c>
      <x:c r="I637" s="6" t="str">
        <x:f>IF(H637="","No upstream dependency",IF(ISNUMBER(SEARCH(";",H637)),"Multiple dependencies - verify source queues",IFERROR(XLOOKUP(H637,C2:C1586,J2:J1586),"Dependency not found")))</x:f>
        <x:v>Not Started</x:v>
      </x:c>
      <x:c r="J637" s="6" t="str">
        <x:v>Not Started</x:v>
      </x:c>
      <x:c r="K637" s="6" t="str">
        <x:v>Normal</x:v>
      </x:c>
      <x:c r="L637" s="6" t="str"/>
      <x:c r="M637" s="6" t="str"/>
      <x:c r="N637" s="6" t="str"/>
      <x:c r="O637" s="7" t="str"/>
      <x:c r="P637" s="6" t="str">
        <x:v>Yes</x:v>
      </x:c>
      <x:c r="Q637" s="7" t="str">
        <x:v>Requires service identity completion.</x:v>
      </x:c>
    </x:row>
    <x:row r="638">
      <x:c r="A638" s="6" t="str">
        <x:v>SEQ-MFR-0308</x:v>
      </x:c>
      <x:c r="B638" s="6" t="str">
        <x:v>Manufacturer Scope</x:v>
      </x:c>
      <x:c r="C638" s="6" t="str">
        <x:v>MFRX-0308</x:v>
      </x:c>
      <x:c r="D638" s="6" t="str">
        <x:v>SVC000308</x:v>
      </x:c>
      <x:c r="E638" s="6" t="str"/>
      <x:c r="F638" s="6" t="str">
        <x:v>Manufacturer-scope review</x:v>
      </x:c>
      <x:c r="G638" s="6" t="n">
        <x:v>3</x:v>
      </x:c>
      <x:c r="H638" s="6" t="str">
        <x:v>SIDX-0308</x:v>
      </x:c>
      <x:c r="I638" s="6" t="str">
        <x:f>IF(H638="","No upstream dependency",IF(ISNUMBER(SEARCH(";",H638)),"Multiple dependencies - verify source queues",IFERROR(XLOOKUP(H638,C2:C1586,J2:J1586),"Dependency not found")))</x:f>
        <x:v>Not Started</x:v>
      </x:c>
      <x:c r="J638" s="6" t="str">
        <x:v>Not Started</x:v>
      </x:c>
      <x:c r="K638" s="6" t="str">
        <x:v>Normal</x:v>
      </x:c>
      <x:c r="L638" s="6" t="str"/>
      <x:c r="M638" s="6" t="str"/>
      <x:c r="N638" s="6" t="str"/>
      <x:c r="O638" s="7" t="str"/>
      <x:c r="P638" s="6" t="str">
        <x:v>Yes</x:v>
      </x:c>
      <x:c r="Q638" s="7" t="str">
        <x:v>Requires service identity completion.</x:v>
      </x:c>
    </x:row>
    <x:row r="639">
      <x:c r="A639" s="6" t="str">
        <x:v>SEQ-MFR-0309</x:v>
      </x:c>
      <x:c r="B639" s="6" t="str">
        <x:v>Manufacturer Scope</x:v>
      </x:c>
      <x:c r="C639" s="6" t="str">
        <x:v>MFRX-0309</x:v>
      </x:c>
      <x:c r="D639" s="6" t="str">
        <x:v>SVC000309</x:v>
      </x:c>
      <x:c r="E639" s="6" t="str"/>
      <x:c r="F639" s="6" t="str">
        <x:v>Manufacturer-scope review</x:v>
      </x:c>
      <x:c r="G639" s="6" t="n">
        <x:v>3</x:v>
      </x:c>
      <x:c r="H639" s="6" t="str">
        <x:v>SIDX-0309</x:v>
      </x:c>
      <x:c r="I639" s="6" t="str">
        <x:f>IF(H639="","No upstream dependency",IF(ISNUMBER(SEARCH(";",H639)),"Multiple dependencies - verify source queues",IFERROR(XLOOKUP(H639,C2:C1586,J2:J1586),"Dependency not found")))</x:f>
        <x:v>Not Started</x:v>
      </x:c>
      <x:c r="J639" s="6" t="str">
        <x:v>Not Started</x:v>
      </x:c>
      <x:c r="K639" s="6" t="str">
        <x:v>Normal</x:v>
      </x:c>
      <x:c r="L639" s="6" t="str"/>
      <x:c r="M639" s="6" t="str"/>
      <x:c r="N639" s="6" t="str"/>
      <x:c r="O639" s="7" t="str"/>
      <x:c r="P639" s="6" t="str">
        <x:v>Yes</x:v>
      </x:c>
      <x:c r="Q639" s="7" t="str">
        <x:v>Requires service identity completion.</x:v>
      </x:c>
    </x:row>
    <x:row r="640">
      <x:c r="A640" s="6" t="str">
        <x:v>SEQ-MFR-0310</x:v>
      </x:c>
      <x:c r="B640" s="6" t="str">
        <x:v>Manufacturer Scope</x:v>
      </x:c>
      <x:c r="C640" s="6" t="str">
        <x:v>MFRX-0310</x:v>
      </x:c>
      <x:c r="D640" s="6" t="str">
        <x:v>SVC000310</x:v>
      </x:c>
      <x:c r="E640" s="6" t="str"/>
      <x:c r="F640" s="6" t="str">
        <x:v>Manufacturer-scope review</x:v>
      </x:c>
      <x:c r="G640" s="6" t="n">
        <x:v>3</x:v>
      </x:c>
      <x:c r="H640" s="6" t="str">
        <x:v>SIDX-0310</x:v>
      </x:c>
      <x:c r="I640" s="6" t="str">
        <x:f>IF(H640="","No upstream dependency",IF(ISNUMBER(SEARCH(";",H640)),"Multiple dependencies - verify source queues",IFERROR(XLOOKUP(H640,C2:C1586,J2:J1586),"Dependency not found")))</x:f>
        <x:v>Not Started</x:v>
      </x:c>
      <x:c r="J640" s="6" t="str">
        <x:v>Not Started</x:v>
      </x:c>
      <x:c r="K640" s="6" t="str">
        <x:v>Normal</x:v>
      </x:c>
      <x:c r="L640" s="6" t="str"/>
      <x:c r="M640" s="6" t="str"/>
      <x:c r="N640" s="6" t="str"/>
      <x:c r="O640" s="7" t="str"/>
      <x:c r="P640" s="6" t="str">
        <x:v>Yes</x:v>
      </x:c>
      <x:c r="Q640" s="7" t="str">
        <x:v>Requires service identity completion.</x:v>
      </x:c>
    </x:row>
    <x:row r="641">
      <x:c r="A641" s="6" t="str">
        <x:v>SEQ-MFR-0311</x:v>
      </x:c>
      <x:c r="B641" s="6" t="str">
        <x:v>Manufacturer Scope</x:v>
      </x:c>
      <x:c r="C641" s="6" t="str">
        <x:v>MFRX-0311</x:v>
      </x:c>
      <x:c r="D641" s="6" t="str">
        <x:v>SVC000311</x:v>
      </x:c>
      <x:c r="E641" s="6" t="str"/>
      <x:c r="F641" s="6" t="str">
        <x:v>Manufacturer-scope review</x:v>
      </x:c>
      <x:c r="G641" s="6" t="n">
        <x:v>3</x:v>
      </x:c>
      <x:c r="H641" s="6" t="str">
        <x:v>SIDX-0311</x:v>
      </x:c>
      <x:c r="I641" s="6" t="str">
        <x:f>IF(H641="","No upstream dependency",IF(ISNUMBER(SEARCH(";",H641)),"Multiple dependencies - verify source queues",IFERROR(XLOOKUP(H641,C2:C1586,J2:J1586),"Dependency not found")))</x:f>
        <x:v>Not Started</x:v>
      </x:c>
      <x:c r="J641" s="6" t="str">
        <x:v>Not Started</x:v>
      </x:c>
      <x:c r="K641" s="6" t="str">
        <x:v>Normal</x:v>
      </x:c>
      <x:c r="L641" s="6" t="str"/>
      <x:c r="M641" s="6" t="str"/>
      <x:c r="N641" s="6" t="str"/>
      <x:c r="O641" s="7" t="str"/>
      <x:c r="P641" s="6" t="str">
        <x:v>Yes</x:v>
      </x:c>
      <x:c r="Q641" s="7" t="str">
        <x:v>Requires service identity completion.</x:v>
      </x:c>
    </x:row>
    <x:row r="642">
      <x:c r="A642" s="6" t="str">
        <x:v>SEQ-MFR-0312</x:v>
      </x:c>
      <x:c r="B642" s="6" t="str">
        <x:v>Manufacturer Scope</x:v>
      </x:c>
      <x:c r="C642" s="6" t="str">
        <x:v>MFRX-0312</x:v>
      </x:c>
      <x:c r="D642" s="6" t="str">
        <x:v>SVC000312</x:v>
      </x:c>
      <x:c r="E642" s="6" t="str"/>
      <x:c r="F642" s="6" t="str">
        <x:v>Manufacturer-scope review</x:v>
      </x:c>
      <x:c r="G642" s="6" t="n">
        <x:v>3</x:v>
      </x:c>
      <x:c r="H642" s="6" t="str">
        <x:v>SIDX-0312</x:v>
      </x:c>
      <x:c r="I642" s="6" t="str">
        <x:f>IF(H642="","No upstream dependency",IF(ISNUMBER(SEARCH(";",H642)),"Multiple dependencies - verify source queues",IFERROR(XLOOKUP(H642,C2:C1586,J2:J1586),"Dependency not found")))</x:f>
        <x:v>Not Started</x:v>
      </x:c>
      <x:c r="J642" s="6" t="str">
        <x:v>Not Started</x:v>
      </x:c>
      <x:c r="K642" s="6" t="str">
        <x:v>Normal</x:v>
      </x:c>
      <x:c r="L642" s="6" t="str"/>
      <x:c r="M642" s="6" t="str"/>
      <x:c r="N642" s="6" t="str"/>
      <x:c r="O642" s="7" t="str"/>
      <x:c r="P642" s="6" t="str">
        <x:v>Yes</x:v>
      </x:c>
      <x:c r="Q642" s="7" t="str">
        <x:v>Requires service identity completion.</x:v>
      </x:c>
    </x:row>
    <x:row r="643">
      <x:c r="A643" s="6" t="str">
        <x:v>SEQ-MFR-0313</x:v>
      </x:c>
      <x:c r="B643" s="6" t="str">
        <x:v>Manufacturer Scope</x:v>
      </x:c>
      <x:c r="C643" s="6" t="str">
        <x:v>MFRX-0313</x:v>
      </x:c>
      <x:c r="D643" s="6" t="str">
        <x:v>SVC000313</x:v>
      </x:c>
      <x:c r="E643" s="6" t="str"/>
      <x:c r="F643" s="6" t="str">
        <x:v>Manufacturer-scope review</x:v>
      </x:c>
      <x:c r="G643" s="6" t="n">
        <x:v>3</x:v>
      </x:c>
      <x:c r="H643" s="6" t="str">
        <x:v>SIDX-0313</x:v>
      </x:c>
      <x:c r="I643" s="6" t="str">
        <x:f>IF(H643="","No upstream dependency",IF(ISNUMBER(SEARCH(";",H643)),"Multiple dependencies - verify source queues",IFERROR(XLOOKUP(H643,C2:C1586,J2:J1586),"Dependency not found")))</x:f>
        <x:v>Not Started</x:v>
      </x:c>
      <x:c r="J643" s="6" t="str">
        <x:v>Not Started</x:v>
      </x:c>
      <x:c r="K643" s="6" t="str">
        <x:v>Normal</x:v>
      </x:c>
      <x:c r="L643" s="6" t="str"/>
      <x:c r="M643" s="6" t="str"/>
      <x:c r="N643" s="6" t="str"/>
      <x:c r="O643" s="7" t="str"/>
      <x:c r="P643" s="6" t="str">
        <x:v>Yes</x:v>
      </x:c>
      <x:c r="Q643" s="7" t="str">
        <x:v>Requires service identity completion.</x:v>
      </x:c>
    </x:row>
    <x:row r="644">
      <x:c r="A644" s="6" t="str">
        <x:v>SEQ-MFR-0314</x:v>
      </x:c>
      <x:c r="B644" s="6" t="str">
        <x:v>Manufacturer Scope</x:v>
      </x:c>
      <x:c r="C644" s="6" t="str">
        <x:v>MFRX-0314</x:v>
      </x:c>
      <x:c r="D644" s="6" t="str">
        <x:v>SVC000314</x:v>
      </x:c>
      <x:c r="E644" s="6" t="str"/>
      <x:c r="F644" s="6" t="str">
        <x:v>Manufacturer-scope review</x:v>
      </x:c>
      <x:c r="G644" s="6" t="n">
        <x:v>3</x:v>
      </x:c>
      <x:c r="H644" s="6" t="str">
        <x:v>SIDX-0314</x:v>
      </x:c>
      <x:c r="I644" s="6" t="str">
        <x:f>IF(H644="","No upstream dependency",IF(ISNUMBER(SEARCH(";",H644)),"Multiple dependencies - verify source queues",IFERROR(XLOOKUP(H644,C2:C1586,J2:J1586),"Dependency not found")))</x:f>
        <x:v>Not Started</x:v>
      </x:c>
      <x:c r="J644" s="6" t="str">
        <x:v>Not Started</x:v>
      </x:c>
      <x:c r="K644" s="6" t="str">
        <x:v>Normal</x:v>
      </x:c>
      <x:c r="L644" s="6" t="str"/>
      <x:c r="M644" s="6" t="str"/>
      <x:c r="N644" s="6" t="str"/>
      <x:c r="O644" s="7" t="str"/>
      <x:c r="P644" s="6" t="str">
        <x:v>Yes</x:v>
      </x:c>
      <x:c r="Q644" s="7" t="str">
        <x:v>Requires service identity completion.</x:v>
      </x:c>
    </x:row>
    <x:row r="645">
      <x:c r="A645" s="6" t="str">
        <x:v>SEQ-DEV-0001</x:v>
      </x:c>
      <x:c r="B645" s="6" t="str">
        <x:v>Device Applicability</x:v>
      </x:c>
      <x:c r="C645" s="6" t="str">
        <x:v>DEVX-0001</x:v>
      </x:c>
      <x:c r="D645" s="6" t="str">
        <x:v>SVC000001</x:v>
      </x:c>
      <x:c r="E645" s="6" t="str"/>
      <x:c r="F645" s="6" t="str">
        <x:v>Device-applicability review</x:v>
      </x:c>
      <x:c r="G645" s="6" t="n">
        <x:v>4</x:v>
      </x:c>
      <x:c r="H645" s="6" t="str">
        <x:v>SIDX-0001;MFRX-0001</x:v>
      </x:c>
      <x:c r="I645" s="6" t="str">
        <x:f>IF(H645="","No upstream dependency",IF(ISNUMBER(SEARCH(";",H645)),"Multiple dependencies - verify source queues",IFERROR(XLOOKUP(H645,C2:C1586,J2:J1586),"Dependency not found")))</x:f>
        <x:v>Multiple dependencies - verify source queues</x:v>
      </x:c>
      <x:c r="J645" s="6" t="str">
        <x:v>Not Started</x:v>
      </x:c>
      <x:c r="K645" s="6" t="str">
        <x:v>Normal</x:v>
      </x:c>
      <x:c r="L645" s="6" t="str"/>
      <x:c r="M645" s="6" t="str"/>
      <x:c r="N645" s="6" t="str"/>
      <x:c r="O645" s="7" t="str"/>
      <x:c r="P645" s="6" t="str">
        <x:v>Yes</x:v>
      </x:c>
      <x:c r="Q645" s="7" t="str">
        <x:v>Requires identity and manufacturer-scope completion.</x:v>
      </x:c>
    </x:row>
    <x:row r="646">
      <x:c r="A646" s="6" t="str">
        <x:v>SEQ-DEV-0002</x:v>
      </x:c>
      <x:c r="B646" s="6" t="str">
        <x:v>Device Applicability</x:v>
      </x:c>
      <x:c r="C646" s="6" t="str">
        <x:v>DEVX-0002</x:v>
      </x:c>
      <x:c r="D646" s="6" t="str">
        <x:v>SVC000002</x:v>
      </x:c>
      <x:c r="E646" s="6" t="str"/>
      <x:c r="F646" s="6" t="str">
        <x:v>Device-applicability review</x:v>
      </x:c>
      <x:c r="G646" s="6" t="n">
        <x:v>4</x:v>
      </x:c>
      <x:c r="H646" s="6" t="str">
        <x:v>SIDX-0002;MFRX-0002</x:v>
      </x:c>
      <x:c r="I646" s="6" t="str">
        <x:f>IF(H646="","No upstream dependency",IF(ISNUMBER(SEARCH(";",H646)),"Multiple dependencies - verify source queues",IFERROR(XLOOKUP(H646,C2:C1586,J2:J1586),"Dependency not found")))</x:f>
        <x:v>Multiple dependencies - verify source queues</x:v>
      </x:c>
      <x:c r="J646" s="6" t="str">
        <x:v>Not Started</x:v>
      </x:c>
      <x:c r="K646" s="6" t="str">
        <x:v>Normal</x:v>
      </x:c>
      <x:c r="L646" s="6" t="str"/>
      <x:c r="M646" s="6" t="str"/>
      <x:c r="N646" s="6" t="str"/>
      <x:c r="O646" s="7" t="str"/>
      <x:c r="P646" s="6" t="str">
        <x:v>Yes</x:v>
      </x:c>
      <x:c r="Q646" s="7" t="str">
        <x:v>Requires identity and manufacturer-scope completion.</x:v>
      </x:c>
    </x:row>
    <x:row r="647">
      <x:c r="A647" s="6" t="str">
        <x:v>SEQ-DEV-0003</x:v>
      </x:c>
      <x:c r="B647" s="6" t="str">
        <x:v>Device Applicability</x:v>
      </x:c>
      <x:c r="C647" s="6" t="str">
        <x:v>DEVX-0003</x:v>
      </x:c>
      <x:c r="D647" s="6" t="str">
        <x:v>SVC000003</x:v>
      </x:c>
      <x:c r="E647" s="6" t="str"/>
      <x:c r="F647" s="6" t="str">
        <x:v>Device-applicability review</x:v>
      </x:c>
      <x:c r="G647" s="6" t="n">
        <x:v>4</x:v>
      </x:c>
      <x:c r="H647" s="6" t="str">
        <x:v>SIDX-0003;MFRX-0003</x:v>
      </x:c>
      <x:c r="I647" s="6" t="str">
        <x:f>IF(H647="","No upstream dependency",IF(ISNUMBER(SEARCH(";",H647)),"Multiple dependencies - verify source queues",IFERROR(XLOOKUP(H647,C2:C1586,J2:J1586),"Dependency not found")))</x:f>
        <x:v>Multiple dependencies - verify source queues</x:v>
      </x:c>
      <x:c r="J647" s="6" t="str">
        <x:v>Not Started</x:v>
      </x:c>
      <x:c r="K647" s="6" t="str">
        <x:v>Normal</x:v>
      </x:c>
      <x:c r="L647" s="6" t="str"/>
      <x:c r="M647" s="6" t="str"/>
      <x:c r="N647" s="6" t="str"/>
      <x:c r="O647" s="7" t="str"/>
      <x:c r="P647" s="6" t="str">
        <x:v>Yes</x:v>
      </x:c>
      <x:c r="Q647" s="7" t="str">
        <x:v>Requires identity and manufacturer-scope completion.</x:v>
      </x:c>
    </x:row>
    <x:row r="648">
      <x:c r="A648" s="6" t="str">
        <x:v>SEQ-DEV-0004</x:v>
      </x:c>
      <x:c r="B648" s="6" t="str">
        <x:v>Device Applicability</x:v>
      </x:c>
      <x:c r="C648" s="6" t="str">
        <x:v>DEVX-0004</x:v>
      </x:c>
      <x:c r="D648" s="6" t="str">
        <x:v>SVC000004</x:v>
      </x:c>
      <x:c r="E648" s="6" t="str"/>
      <x:c r="F648" s="6" t="str">
        <x:v>Device-applicability review</x:v>
      </x:c>
      <x:c r="G648" s="6" t="n">
        <x:v>4</x:v>
      </x:c>
      <x:c r="H648" s="6" t="str">
        <x:v>SIDX-0004;MFRX-0004</x:v>
      </x:c>
      <x:c r="I648" s="6" t="str">
        <x:f>IF(H648="","No upstream dependency",IF(ISNUMBER(SEARCH(";",H648)),"Multiple dependencies - verify source queues",IFERROR(XLOOKUP(H648,C2:C1586,J2:J1586),"Dependency not found")))</x:f>
        <x:v>Multiple dependencies - verify source queues</x:v>
      </x:c>
      <x:c r="J648" s="6" t="str">
        <x:v>Not Started</x:v>
      </x:c>
      <x:c r="K648" s="6" t="str">
        <x:v>Normal</x:v>
      </x:c>
      <x:c r="L648" s="6" t="str"/>
      <x:c r="M648" s="6" t="str"/>
      <x:c r="N648" s="6" t="str"/>
      <x:c r="O648" s="7" t="str"/>
      <x:c r="P648" s="6" t="str">
        <x:v>Yes</x:v>
      </x:c>
      <x:c r="Q648" s="7" t="str">
        <x:v>Requires identity and manufacturer-scope completion.</x:v>
      </x:c>
    </x:row>
    <x:row r="649">
      <x:c r="A649" s="6" t="str">
        <x:v>SEQ-DEV-0005</x:v>
      </x:c>
      <x:c r="B649" s="6" t="str">
        <x:v>Device Applicability</x:v>
      </x:c>
      <x:c r="C649" s="6" t="str">
        <x:v>DEVX-0005</x:v>
      </x:c>
      <x:c r="D649" s="6" t="str">
        <x:v>SVC000005</x:v>
      </x:c>
      <x:c r="E649" s="6" t="str"/>
      <x:c r="F649" s="6" t="str">
        <x:v>Device-applicability review</x:v>
      </x:c>
      <x:c r="G649" s="6" t="n">
        <x:v>4</x:v>
      </x:c>
      <x:c r="H649" s="6" t="str">
        <x:v>SIDX-0005;MFRX-0005</x:v>
      </x:c>
      <x:c r="I649" s="6" t="str">
        <x:f>IF(H649="","No upstream dependency",IF(ISNUMBER(SEARCH(";",H649)),"Multiple dependencies - verify source queues",IFERROR(XLOOKUP(H649,C2:C1586,J2:J1586),"Dependency not found")))</x:f>
        <x:v>Multiple dependencies - verify source queues</x:v>
      </x:c>
      <x:c r="J649" s="6" t="str">
        <x:v>Not Started</x:v>
      </x:c>
      <x:c r="K649" s="6" t="str">
        <x:v>Normal</x:v>
      </x:c>
      <x:c r="L649" s="6" t="str"/>
      <x:c r="M649" s="6" t="str"/>
      <x:c r="N649" s="6" t="str"/>
      <x:c r="O649" s="7" t="str"/>
      <x:c r="P649" s="6" t="str">
        <x:v>Yes</x:v>
      </x:c>
      <x:c r="Q649" s="7" t="str">
        <x:v>Requires identity and manufacturer-scope completion.</x:v>
      </x:c>
    </x:row>
    <x:row r="650">
      <x:c r="A650" s="6" t="str">
        <x:v>SEQ-DEV-0006</x:v>
      </x:c>
      <x:c r="B650" s="6" t="str">
        <x:v>Device Applicability</x:v>
      </x:c>
      <x:c r="C650" s="6" t="str">
        <x:v>DEVX-0006</x:v>
      </x:c>
      <x:c r="D650" s="6" t="str">
        <x:v>SVC000006</x:v>
      </x:c>
      <x:c r="E650" s="6" t="str"/>
      <x:c r="F650" s="6" t="str">
        <x:v>Device-applicability review</x:v>
      </x:c>
      <x:c r="G650" s="6" t="n">
        <x:v>4</x:v>
      </x:c>
      <x:c r="H650" s="6" t="str">
        <x:v>SIDX-0006;MFRX-0006</x:v>
      </x:c>
      <x:c r="I650" s="6" t="str">
        <x:f>IF(H650="","No upstream dependency",IF(ISNUMBER(SEARCH(";",H650)),"Multiple dependencies - verify source queues",IFERROR(XLOOKUP(H650,C2:C1586,J2:J1586),"Dependency not found")))</x:f>
        <x:v>Multiple dependencies - verify source queues</x:v>
      </x:c>
      <x:c r="J650" s="6" t="str">
        <x:v>Not Started</x:v>
      </x:c>
      <x:c r="K650" s="6" t="str">
        <x:v>Normal</x:v>
      </x:c>
      <x:c r="L650" s="6" t="str"/>
      <x:c r="M650" s="6" t="str"/>
      <x:c r="N650" s="6" t="str"/>
      <x:c r="O650" s="7" t="str"/>
      <x:c r="P650" s="6" t="str">
        <x:v>Yes</x:v>
      </x:c>
      <x:c r="Q650" s="7" t="str">
        <x:v>Requires identity and manufacturer-scope completion.</x:v>
      </x:c>
    </x:row>
    <x:row r="651">
      <x:c r="A651" s="6" t="str">
        <x:v>SEQ-DEV-0007</x:v>
      </x:c>
      <x:c r="B651" s="6" t="str">
        <x:v>Device Applicability</x:v>
      </x:c>
      <x:c r="C651" s="6" t="str">
        <x:v>DEVX-0007</x:v>
      </x:c>
      <x:c r="D651" s="6" t="str">
        <x:v>SVC000007</x:v>
      </x:c>
      <x:c r="E651" s="6" t="str"/>
      <x:c r="F651" s="6" t="str">
        <x:v>Device-applicability review</x:v>
      </x:c>
      <x:c r="G651" s="6" t="n">
        <x:v>4</x:v>
      </x:c>
      <x:c r="H651" s="6" t="str">
        <x:v>SIDX-0007;MFRX-0007</x:v>
      </x:c>
      <x:c r="I651" s="6" t="str">
        <x:f>IF(H651="","No upstream dependency",IF(ISNUMBER(SEARCH(";",H651)),"Multiple dependencies - verify source queues",IFERROR(XLOOKUP(H651,C2:C1586,J2:J1586),"Dependency not found")))</x:f>
        <x:v>Multiple dependencies - verify source queues</x:v>
      </x:c>
      <x:c r="J651" s="6" t="str">
        <x:v>Not Started</x:v>
      </x:c>
      <x:c r="K651" s="6" t="str">
        <x:v>Normal</x:v>
      </x:c>
      <x:c r="L651" s="6" t="str"/>
      <x:c r="M651" s="6" t="str"/>
      <x:c r="N651" s="6" t="str"/>
      <x:c r="O651" s="7" t="str"/>
      <x:c r="P651" s="6" t="str">
        <x:v>Yes</x:v>
      </x:c>
      <x:c r="Q651" s="7" t="str">
        <x:v>Requires identity and manufacturer-scope completion.</x:v>
      </x:c>
    </x:row>
    <x:row r="652">
      <x:c r="A652" s="6" t="str">
        <x:v>SEQ-DEV-0008</x:v>
      </x:c>
      <x:c r="B652" s="6" t="str">
        <x:v>Device Applicability</x:v>
      </x:c>
      <x:c r="C652" s="6" t="str">
        <x:v>DEVX-0008</x:v>
      </x:c>
      <x:c r="D652" s="6" t="str">
        <x:v>SVC000008</x:v>
      </x:c>
      <x:c r="E652" s="6" t="str"/>
      <x:c r="F652" s="6" t="str">
        <x:v>Device-applicability review</x:v>
      </x:c>
      <x:c r="G652" s="6" t="n">
        <x:v>4</x:v>
      </x:c>
      <x:c r="H652" s="6" t="str">
        <x:v>SIDX-0008;MFRX-0008</x:v>
      </x:c>
      <x:c r="I652" s="6" t="str">
        <x:f>IF(H652="","No upstream dependency",IF(ISNUMBER(SEARCH(";",H652)),"Multiple dependencies - verify source queues",IFERROR(XLOOKUP(H652,C2:C1586,J2:J1586),"Dependency not found")))</x:f>
        <x:v>Multiple dependencies - verify source queues</x:v>
      </x:c>
      <x:c r="J652" s="6" t="str">
        <x:v>Not Started</x:v>
      </x:c>
      <x:c r="K652" s="6" t="str">
        <x:v>Normal</x:v>
      </x:c>
      <x:c r="L652" s="6" t="str"/>
      <x:c r="M652" s="6" t="str"/>
      <x:c r="N652" s="6" t="str"/>
      <x:c r="O652" s="7" t="str"/>
      <x:c r="P652" s="6" t="str">
        <x:v>Yes</x:v>
      </x:c>
      <x:c r="Q652" s="7" t="str">
        <x:v>Requires identity and manufacturer-scope completion.</x:v>
      </x:c>
    </x:row>
    <x:row r="653">
      <x:c r="A653" s="6" t="str">
        <x:v>SEQ-DEV-0009</x:v>
      </x:c>
      <x:c r="B653" s="6" t="str">
        <x:v>Device Applicability</x:v>
      </x:c>
      <x:c r="C653" s="6" t="str">
        <x:v>DEVX-0009</x:v>
      </x:c>
      <x:c r="D653" s="6" t="str">
        <x:v>SVC000009</x:v>
      </x:c>
      <x:c r="E653" s="6" t="str"/>
      <x:c r="F653" s="6" t="str">
        <x:v>Device-applicability review</x:v>
      </x:c>
      <x:c r="G653" s="6" t="n">
        <x:v>4</x:v>
      </x:c>
      <x:c r="H653" s="6" t="str">
        <x:v>SIDX-0009;MFRX-0009</x:v>
      </x:c>
      <x:c r="I653" s="6" t="str">
        <x:f>IF(H653="","No upstream dependency",IF(ISNUMBER(SEARCH(";",H653)),"Multiple dependencies - verify source queues",IFERROR(XLOOKUP(H653,C2:C1586,J2:J1586),"Dependency not found")))</x:f>
        <x:v>Multiple dependencies - verify source queues</x:v>
      </x:c>
      <x:c r="J653" s="6" t="str">
        <x:v>Not Started</x:v>
      </x:c>
      <x:c r="K653" s="6" t="str">
        <x:v>Normal</x:v>
      </x:c>
      <x:c r="L653" s="6" t="str"/>
      <x:c r="M653" s="6" t="str"/>
      <x:c r="N653" s="6" t="str"/>
      <x:c r="O653" s="7" t="str"/>
      <x:c r="P653" s="6" t="str">
        <x:v>Yes</x:v>
      </x:c>
      <x:c r="Q653" s="7" t="str">
        <x:v>Requires identity and manufacturer-scope completion.</x:v>
      </x:c>
    </x:row>
    <x:row r="654">
      <x:c r="A654" s="6" t="str">
        <x:v>SEQ-DEV-0010</x:v>
      </x:c>
      <x:c r="B654" s="6" t="str">
        <x:v>Device Applicability</x:v>
      </x:c>
      <x:c r="C654" s="6" t="str">
        <x:v>DEVX-0010</x:v>
      </x:c>
      <x:c r="D654" s="6" t="str">
        <x:v>SVC000010</x:v>
      </x:c>
      <x:c r="E654" s="6" t="str"/>
      <x:c r="F654" s="6" t="str">
        <x:v>Device-applicability review</x:v>
      </x:c>
      <x:c r="G654" s="6" t="n">
        <x:v>4</x:v>
      </x:c>
      <x:c r="H654" s="6" t="str">
        <x:v>SIDX-0010;MFRX-0010</x:v>
      </x:c>
      <x:c r="I654" s="6" t="str">
        <x:f>IF(H654="","No upstream dependency",IF(ISNUMBER(SEARCH(";",H654)),"Multiple dependencies - verify source queues",IFERROR(XLOOKUP(H654,C2:C1586,J2:J1586),"Dependency not found")))</x:f>
        <x:v>Multiple dependencies - verify source queues</x:v>
      </x:c>
      <x:c r="J654" s="6" t="str">
        <x:v>Not Started</x:v>
      </x:c>
      <x:c r="K654" s="6" t="str">
        <x:v>Normal</x:v>
      </x:c>
      <x:c r="L654" s="6" t="str"/>
      <x:c r="M654" s="6" t="str"/>
      <x:c r="N654" s="6" t="str"/>
      <x:c r="O654" s="7" t="str"/>
      <x:c r="P654" s="6" t="str">
        <x:v>Yes</x:v>
      </x:c>
      <x:c r="Q654" s="7" t="str">
        <x:v>Requires identity and manufacturer-scope completion.</x:v>
      </x:c>
    </x:row>
    <x:row r="655">
      <x:c r="A655" s="6" t="str">
        <x:v>SEQ-DEV-0011</x:v>
      </x:c>
      <x:c r="B655" s="6" t="str">
        <x:v>Device Applicability</x:v>
      </x:c>
      <x:c r="C655" s="6" t="str">
        <x:v>DEVX-0011</x:v>
      </x:c>
      <x:c r="D655" s="6" t="str">
        <x:v>SVC000011</x:v>
      </x:c>
      <x:c r="E655" s="6" t="str"/>
      <x:c r="F655" s="6" t="str">
        <x:v>Device-applicability review</x:v>
      </x:c>
      <x:c r="G655" s="6" t="n">
        <x:v>4</x:v>
      </x:c>
      <x:c r="H655" s="6" t="str">
        <x:v>SIDX-0011;MFRX-0011</x:v>
      </x:c>
      <x:c r="I655" s="6" t="str">
        <x:f>IF(H655="","No upstream dependency",IF(ISNUMBER(SEARCH(";",H655)),"Multiple dependencies - verify source queues",IFERROR(XLOOKUP(H655,C2:C1586,J2:J1586),"Dependency not found")))</x:f>
        <x:v>Multiple dependencies - verify source queues</x:v>
      </x:c>
      <x:c r="J655" s="6" t="str">
        <x:v>Not Started</x:v>
      </x:c>
      <x:c r="K655" s="6" t="str">
        <x:v>Normal</x:v>
      </x:c>
      <x:c r="L655" s="6" t="str"/>
      <x:c r="M655" s="6" t="str"/>
      <x:c r="N655" s="6" t="str"/>
      <x:c r="O655" s="7" t="str"/>
      <x:c r="P655" s="6" t="str">
        <x:v>Yes</x:v>
      </x:c>
      <x:c r="Q655" s="7" t="str">
        <x:v>Requires identity and manufacturer-scope completion.</x:v>
      </x:c>
    </x:row>
    <x:row r="656">
      <x:c r="A656" s="6" t="str">
        <x:v>SEQ-DEV-0012</x:v>
      </x:c>
      <x:c r="B656" s="6" t="str">
        <x:v>Device Applicability</x:v>
      </x:c>
      <x:c r="C656" s="6" t="str">
        <x:v>DEVX-0012</x:v>
      </x:c>
      <x:c r="D656" s="6" t="str">
        <x:v>SVC000012</x:v>
      </x:c>
      <x:c r="E656" s="6" t="str"/>
      <x:c r="F656" s="6" t="str">
        <x:v>Device-applicability review</x:v>
      </x:c>
      <x:c r="G656" s="6" t="n">
        <x:v>4</x:v>
      </x:c>
      <x:c r="H656" s="6" t="str">
        <x:v>SIDX-0012;MFRX-0012</x:v>
      </x:c>
      <x:c r="I656" s="6" t="str">
        <x:f>IF(H656="","No upstream dependency",IF(ISNUMBER(SEARCH(";",H656)),"Multiple dependencies - verify source queues",IFERROR(XLOOKUP(H656,C2:C1586,J2:J1586),"Dependency not found")))</x:f>
        <x:v>Multiple dependencies - verify source queues</x:v>
      </x:c>
      <x:c r="J656" s="6" t="str">
        <x:v>Not Started</x:v>
      </x:c>
      <x:c r="K656" s="6" t="str">
        <x:v>Normal</x:v>
      </x:c>
      <x:c r="L656" s="6" t="str"/>
      <x:c r="M656" s="6" t="str"/>
      <x:c r="N656" s="6" t="str"/>
      <x:c r="O656" s="7" t="str"/>
      <x:c r="P656" s="6" t="str">
        <x:v>Yes</x:v>
      </x:c>
      <x:c r="Q656" s="7" t="str">
        <x:v>Requires identity and manufacturer-scope completion.</x:v>
      </x:c>
    </x:row>
    <x:row r="657">
      <x:c r="A657" s="6" t="str">
        <x:v>SEQ-DEV-0013</x:v>
      </x:c>
      <x:c r="B657" s="6" t="str">
        <x:v>Device Applicability</x:v>
      </x:c>
      <x:c r="C657" s="6" t="str">
        <x:v>DEVX-0013</x:v>
      </x:c>
      <x:c r="D657" s="6" t="str">
        <x:v>SVC000013</x:v>
      </x:c>
      <x:c r="E657" s="6" t="str"/>
      <x:c r="F657" s="6" t="str">
        <x:v>Device-applicability review</x:v>
      </x:c>
      <x:c r="G657" s="6" t="n">
        <x:v>4</x:v>
      </x:c>
      <x:c r="H657" s="6" t="str">
        <x:v>SIDX-0013;MFRX-0013</x:v>
      </x:c>
      <x:c r="I657" s="6" t="str">
        <x:f>IF(H657="","No upstream dependency",IF(ISNUMBER(SEARCH(";",H657)),"Multiple dependencies - verify source queues",IFERROR(XLOOKUP(H657,C2:C1586,J2:J1586),"Dependency not found")))</x:f>
        <x:v>Multiple dependencies - verify source queues</x:v>
      </x:c>
      <x:c r="J657" s="6" t="str">
        <x:v>Not Started</x:v>
      </x:c>
      <x:c r="K657" s="6" t="str">
        <x:v>Normal</x:v>
      </x:c>
      <x:c r="L657" s="6" t="str"/>
      <x:c r="M657" s="6" t="str"/>
      <x:c r="N657" s="6" t="str"/>
      <x:c r="O657" s="7" t="str"/>
      <x:c r="P657" s="6" t="str">
        <x:v>Yes</x:v>
      </x:c>
      <x:c r="Q657" s="7" t="str">
        <x:v>Requires identity and manufacturer-scope completion.</x:v>
      </x:c>
    </x:row>
    <x:row r="658">
      <x:c r="A658" s="6" t="str">
        <x:v>SEQ-DEV-0014</x:v>
      </x:c>
      <x:c r="B658" s="6" t="str">
        <x:v>Device Applicability</x:v>
      </x:c>
      <x:c r="C658" s="6" t="str">
        <x:v>DEVX-0014</x:v>
      </x:c>
      <x:c r="D658" s="6" t="str">
        <x:v>SVC000014</x:v>
      </x:c>
      <x:c r="E658" s="6" t="str"/>
      <x:c r="F658" s="6" t="str">
        <x:v>Device-applicability review</x:v>
      </x:c>
      <x:c r="G658" s="6" t="n">
        <x:v>4</x:v>
      </x:c>
      <x:c r="H658" s="6" t="str">
        <x:v>SIDX-0014;MFRX-0014</x:v>
      </x:c>
      <x:c r="I658" s="6" t="str">
        <x:f>IF(H658="","No upstream dependency",IF(ISNUMBER(SEARCH(";",H658)),"Multiple dependencies - verify source queues",IFERROR(XLOOKUP(H658,C2:C1586,J2:J1586),"Dependency not found")))</x:f>
        <x:v>Multiple dependencies - verify source queues</x:v>
      </x:c>
      <x:c r="J658" s="6" t="str">
        <x:v>Not Started</x:v>
      </x:c>
      <x:c r="K658" s="6" t="str">
        <x:v>Normal</x:v>
      </x:c>
      <x:c r="L658" s="6" t="str"/>
      <x:c r="M658" s="6" t="str"/>
      <x:c r="N658" s="6" t="str"/>
      <x:c r="O658" s="7" t="str"/>
      <x:c r="P658" s="6" t="str">
        <x:v>Yes</x:v>
      </x:c>
      <x:c r="Q658" s="7" t="str">
        <x:v>Requires identity and manufacturer-scope completion.</x:v>
      </x:c>
    </x:row>
    <x:row r="659">
      <x:c r="A659" s="6" t="str">
        <x:v>SEQ-DEV-0015</x:v>
      </x:c>
      <x:c r="B659" s="6" t="str">
        <x:v>Device Applicability</x:v>
      </x:c>
      <x:c r="C659" s="6" t="str">
        <x:v>DEVX-0015</x:v>
      </x:c>
      <x:c r="D659" s="6" t="str">
        <x:v>SVC000015</x:v>
      </x:c>
      <x:c r="E659" s="6" t="str"/>
      <x:c r="F659" s="6" t="str">
        <x:v>Device-applicability review</x:v>
      </x:c>
      <x:c r="G659" s="6" t="n">
        <x:v>4</x:v>
      </x:c>
      <x:c r="H659" s="6" t="str">
        <x:v>SIDX-0015;MFRX-0015</x:v>
      </x:c>
      <x:c r="I659" s="6" t="str">
        <x:f>IF(H659="","No upstream dependency",IF(ISNUMBER(SEARCH(";",H659)),"Multiple dependencies - verify source queues",IFERROR(XLOOKUP(H659,C2:C1586,J2:J1586),"Dependency not found")))</x:f>
        <x:v>Multiple dependencies - verify source queues</x:v>
      </x:c>
      <x:c r="J659" s="6" t="str">
        <x:v>Not Started</x:v>
      </x:c>
      <x:c r="K659" s="6" t="str">
        <x:v>Normal</x:v>
      </x:c>
      <x:c r="L659" s="6" t="str"/>
      <x:c r="M659" s="6" t="str"/>
      <x:c r="N659" s="6" t="str"/>
      <x:c r="O659" s="7" t="str"/>
      <x:c r="P659" s="6" t="str">
        <x:v>Yes</x:v>
      </x:c>
      <x:c r="Q659" s="7" t="str">
        <x:v>Requires identity and manufacturer-scope completion.</x:v>
      </x:c>
    </x:row>
    <x:row r="660">
      <x:c r="A660" s="6" t="str">
        <x:v>SEQ-DEV-0016</x:v>
      </x:c>
      <x:c r="B660" s="6" t="str">
        <x:v>Device Applicability</x:v>
      </x:c>
      <x:c r="C660" s="6" t="str">
        <x:v>DEVX-0016</x:v>
      </x:c>
      <x:c r="D660" s="6" t="str">
        <x:v>SVC000016</x:v>
      </x:c>
      <x:c r="E660" s="6" t="str"/>
      <x:c r="F660" s="6" t="str">
        <x:v>Device-applicability review</x:v>
      </x:c>
      <x:c r="G660" s="6" t="n">
        <x:v>4</x:v>
      </x:c>
      <x:c r="H660" s="6" t="str">
        <x:v>SIDX-0016;MFRX-0016</x:v>
      </x:c>
      <x:c r="I660" s="6" t="str">
        <x:f>IF(H660="","No upstream dependency",IF(ISNUMBER(SEARCH(";",H660)),"Multiple dependencies - verify source queues",IFERROR(XLOOKUP(H660,C2:C1586,J2:J1586),"Dependency not found")))</x:f>
        <x:v>Multiple dependencies - verify source queues</x:v>
      </x:c>
      <x:c r="J660" s="6" t="str">
        <x:v>Not Started</x:v>
      </x:c>
      <x:c r="K660" s="6" t="str">
        <x:v>Normal</x:v>
      </x:c>
      <x:c r="L660" s="6" t="str"/>
      <x:c r="M660" s="6" t="str"/>
      <x:c r="N660" s="6" t="str"/>
      <x:c r="O660" s="7" t="str"/>
      <x:c r="P660" s="6" t="str">
        <x:v>Yes</x:v>
      </x:c>
      <x:c r="Q660" s="7" t="str">
        <x:v>Requires identity and manufacturer-scope completion.</x:v>
      </x:c>
    </x:row>
    <x:row r="661">
      <x:c r="A661" s="6" t="str">
        <x:v>SEQ-DEV-0017</x:v>
      </x:c>
      <x:c r="B661" s="6" t="str">
        <x:v>Device Applicability</x:v>
      </x:c>
      <x:c r="C661" s="6" t="str">
        <x:v>DEVX-0017</x:v>
      </x:c>
      <x:c r="D661" s="6" t="str">
        <x:v>SVC000017</x:v>
      </x:c>
      <x:c r="E661" s="6" t="str"/>
      <x:c r="F661" s="6" t="str">
        <x:v>Device-applicability review</x:v>
      </x:c>
      <x:c r="G661" s="6" t="n">
        <x:v>4</x:v>
      </x:c>
      <x:c r="H661" s="6" t="str">
        <x:v>SIDX-0017;MFRX-0017</x:v>
      </x:c>
      <x:c r="I661" s="6" t="str">
        <x:f>IF(H661="","No upstream dependency",IF(ISNUMBER(SEARCH(";",H661)),"Multiple dependencies - verify source queues",IFERROR(XLOOKUP(H661,C2:C1586,J2:J1586),"Dependency not found")))</x:f>
        <x:v>Multiple dependencies - verify source queues</x:v>
      </x:c>
      <x:c r="J661" s="6" t="str">
        <x:v>Not Started</x:v>
      </x:c>
      <x:c r="K661" s="6" t="str">
        <x:v>Normal</x:v>
      </x:c>
      <x:c r="L661" s="6" t="str"/>
      <x:c r="M661" s="6" t="str"/>
      <x:c r="N661" s="6" t="str"/>
      <x:c r="O661" s="7" t="str"/>
      <x:c r="P661" s="6" t="str">
        <x:v>Yes</x:v>
      </x:c>
      <x:c r="Q661" s="7" t="str">
        <x:v>Requires identity and manufacturer-scope completion.</x:v>
      </x:c>
    </x:row>
    <x:row r="662">
      <x:c r="A662" s="6" t="str">
        <x:v>SEQ-DEV-0018</x:v>
      </x:c>
      <x:c r="B662" s="6" t="str">
        <x:v>Device Applicability</x:v>
      </x:c>
      <x:c r="C662" s="6" t="str">
        <x:v>DEVX-0018</x:v>
      </x:c>
      <x:c r="D662" s="6" t="str">
        <x:v>SVC000018</x:v>
      </x:c>
      <x:c r="E662" s="6" t="str"/>
      <x:c r="F662" s="6" t="str">
        <x:v>Device-applicability review</x:v>
      </x:c>
      <x:c r="G662" s="6" t="n">
        <x:v>4</x:v>
      </x:c>
      <x:c r="H662" s="6" t="str">
        <x:v>SIDX-0018;MFRX-0018</x:v>
      </x:c>
      <x:c r="I662" s="6" t="str">
        <x:f>IF(H662="","No upstream dependency",IF(ISNUMBER(SEARCH(";",H662)),"Multiple dependencies - verify source queues",IFERROR(XLOOKUP(H662,C2:C1586,J2:J1586),"Dependency not found")))</x:f>
        <x:v>Multiple dependencies - verify source queues</x:v>
      </x:c>
      <x:c r="J662" s="6" t="str">
        <x:v>Not Started</x:v>
      </x:c>
      <x:c r="K662" s="6" t="str">
        <x:v>Normal</x:v>
      </x:c>
      <x:c r="L662" s="6" t="str"/>
      <x:c r="M662" s="6" t="str"/>
      <x:c r="N662" s="6" t="str"/>
      <x:c r="O662" s="7" t="str"/>
      <x:c r="P662" s="6" t="str">
        <x:v>Yes</x:v>
      </x:c>
      <x:c r="Q662" s="7" t="str">
        <x:v>Requires identity and manufacturer-scope completion.</x:v>
      </x:c>
    </x:row>
    <x:row r="663">
      <x:c r="A663" s="6" t="str">
        <x:v>SEQ-DEV-0019</x:v>
      </x:c>
      <x:c r="B663" s="6" t="str">
        <x:v>Device Applicability</x:v>
      </x:c>
      <x:c r="C663" s="6" t="str">
        <x:v>DEVX-0019</x:v>
      </x:c>
      <x:c r="D663" s="6" t="str">
        <x:v>SVC000019</x:v>
      </x:c>
      <x:c r="E663" s="6" t="str"/>
      <x:c r="F663" s="6" t="str">
        <x:v>Device-applicability review</x:v>
      </x:c>
      <x:c r="G663" s="6" t="n">
        <x:v>4</x:v>
      </x:c>
      <x:c r="H663" s="6" t="str">
        <x:v>SIDX-0019;MFRX-0019</x:v>
      </x:c>
      <x:c r="I663" s="6" t="str">
        <x:f>IF(H663="","No upstream dependency",IF(ISNUMBER(SEARCH(";",H663)),"Multiple dependencies - verify source queues",IFERROR(XLOOKUP(H663,C2:C1586,J2:J1586),"Dependency not found")))</x:f>
        <x:v>Multiple dependencies - verify source queues</x:v>
      </x:c>
      <x:c r="J663" s="6" t="str">
        <x:v>Not Started</x:v>
      </x:c>
      <x:c r="K663" s="6" t="str">
        <x:v>Normal</x:v>
      </x:c>
      <x:c r="L663" s="6" t="str"/>
      <x:c r="M663" s="6" t="str"/>
      <x:c r="N663" s="6" t="str"/>
      <x:c r="O663" s="7" t="str"/>
      <x:c r="P663" s="6" t="str">
        <x:v>Yes</x:v>
      </x:c>
      <x:c r="Q663" s="7" t="str">
        <x:v>Requires identity and manufacturer-scope completion.</x:v>
      </x:c>
    </x:row>
    <x:row r="664">
      <x:c r="A664" s="6" t="str">
        <x:v>SEQ-DEV-0020</x:v>
      </x:c>
      <x:c r="B664" s="6" t="str">
        <x:v>Device Applicability</x:v>
      </x:c>
      <x:c r="C664" s="6" t="str">
        <x:v>DEVX-0020</x:v>
      </x:c>
      <x:c r="D664" s="6" t="str">
        <x:v>SVC000020</x:v>
      </x:c>
      <x:c r="E664" s="6" t="str"/>
      <x:c r="F664" s="6" t="str">
        <x:v>Device-applicability review</x:v>
      </x:c>
      <x:c r="G664" s="6" t="n">
        <x:v>4</x:v>
      </x:c>
      <x:c r="H664" s="6" t="str">
        <x:v>SIDX-0020;MFRX-0020</x:v>
      </x:c>
      <x:c r="I664" s="6" t="str">
        <x:f>IF(H664="","No upstream dependency",IF(ISNUMBER(SEARCH(";",H664)),"Multiple dependencies - verify source queues",IFERROR(XLOOKUP(H664,C2:C1586,J2:J1586),"Dependency not found")))</x:f>
        <x:v>Multiple dependencies - verify source queues</x:v>
      </x:c>
      <x:c r="J664" s="6" t="str">
        <x:v>Not Started</x:v>
      </x:c>
      <x:c r="K664" s="6" t="str">
        <x:v>Normal</x:v>
      </x:c>
      <x:c r="L664" s="6" t="str"/>
      <x:c r="M664" s="6" t="str"/>
      <x:c r="N664" s="6" t="str"/>
      <x:c r="O664" s="7" t="str"/>
      <x:c r="P664" s="6" t="str">
        <x:v>Yes</x:v>
      </x:c>
      <x:c r="Q664" s="7" t="str">
        <x:v>Requires identity and manufacturer-scope completion.</x:v>
      </x:c>
    </x:row>
    <x:row r="665">
      <x:c r="A665" s="6" t="str">
        <x:v>SEQ-DEV-0021</x:v>
      </x:c>
      <x:c r="B665" s="6" t="str">
        <x:v>Device Applicability</x:v>
      </x:c>
      <x:c r="C665" s="6" t="str">
        <x:v>DEVX-0021</x:v>
      </x:c>
      <x:c r="D665" s="6" t="str">
        <x:v>SVC000021</x:v>
      </x:c>
      <x:c r="E665" s="6" t="str"/>
      <x:c r="F665" s="6" t="str">
        <x:v>Device-applicability review</x:v>
      </x:c>
      <x:c r="G665" s="6" t="n">
        <x:v>4</x:v>
      </x:c>
      <x:c r="H665" s="6" t="str">
        <x:v>SIDX-0021;MFRX-0021</x:v>
      </x:c>
      <x:c r="I665" s="6" t="str">
        <x:f>IF(H665="","No upstream dependency",IF(ISNUMBER(SEARCH(";",H665)),"Multiple dependencies - verify source queues",IFERROR(XLOOKUP(H665,C2:C1586,J2:J1586),"Dependency not found")))</x:f>
        <x:v>Multiple dependencies - verify source queues</x:v>
      </x:c>
      <x:c r="J665" s="6" t="str">
        <x:v>Not Started</x:v>
      </x:c>
      <x:c r="K665" s="6" t="str">
        <x:v>Normal</x:v>
      </x:c>
      <x:c r="L665" s="6" t="str"/>
      <x:c r="M665" s="6" t="str"/>
      <x:c r="N665" s="6" t="str"/>
      <x:c r="O665" s="7" t="str"/>
      <x:c r="P665" s="6" t="str">
        <x:v>Yes</x:v>
      </x:c>
      <x:c r="Q665" s="7" t="str">
        <x:v>Requires identity and manufacturer-scope completion.</x:v>
      </x:c>
    </x:row>
    <x:row r="666">
      <x:c r="A666" s="6" t="str">
        <x:v>SEQ-DEV-0022</x:v>
      </x:c>
      <x:c r="B666" s="6" t="str">
        <x:v>Device Applicability</x:v>
      </x:c>
      <x:c r="C666" s="6" t="str">
        <x:v>DEVX-0022</x:v>
      </x:c>
      <x:c r="D666" s="6" t="str">
        <x:v>SVC000022</x:v>
      </x:c>
      <x:c r="E666" s="6" t="str"/>
      <x:c r="F666" s="6" t="str">
        <x:v>Device-applicability review</x:v>
      </x:c>
      <x:c r="G666" s="6" t="n">
        <x:v>4</x:v>
      </x:c>
      <x:c r="H666" s="6" t="str">
        <x:v>SIDX-0022;MFRX-0022</x:v>
      </x:c>
      <x:c r="I666" s="6" t="str">
        <x:f>IF(H666="","No upstream dependency",IF(ISNUMBER(SEARCH(";",H666)),"Multiple dependencies - verify source queues",IFERROR(XLOOKUP(H666,C2:C1586,J2:J1586),"Dependency not found")))</x:f>
        <x:v>Multiple dependencies - verify source queues</x:v>
      </x:c>
      <x:c r="J666" s="6" t="str">
        <x:v>Not Started</x:v>
      </x:c>
      <x:c r="K666" s="6" t="str">
        <x:v>Normal</x:v>
      </x:c>
      <x:c r="L666" s="6" t="str"/>
      <x:c r="M666" s="6" t="str"/>
      <x:c r="N666" s="6" t="str"/>
      <x:c r="O666" s="7" t="str"/>
      <x:c r="P666" s="6" t="str">
        <x:v>Yes</x:v>
      </x:c>
      <x:c r="Q666" s="7" t="str">
        <x:v>Requires identity and manufacturer-scope completion.</x:v>
      </x:c>
    </x:row>
    <x:row r="667">
      <x:c r="A667" s="6" t="str">
        <x:v>SEQ-DEV-0023</x:v>
      </x:c>
      <x:c r="B667" s="6" t="str">
        <x:v>Device Applicability</x:v>
      </x:c>
      <x:c r="C667" s="6" t="str">
        <x:v>DEVX-0023</x:v>
      </x:c>
      <x:c r="D667" s="6" t="str">
        <x:v>SVC000023</x:v>
      </x:c>
      <x:c r="E667" s="6" t="str"/>
      <x:c r="F667" s="6" t="str">
        <x:v>Device-applicability review</x:v>
      </x:c>
      <x:c r="G667" s="6" t="n">
        <x:v>4</x:v>
      </x:c>
      <x:c r="H667" s="6" t="str">
        <x:v>SIDX-0023;MFRX-0023</x:v>
      </x:c>
      <x:c r="I667" s="6" t="str">
        <x:f>IF(H667="","No upstream dependency",IF(ISNUMBER(SEARCH(";",H667)),"Multiple dependencies - verify source queues",IFERROR(XLOOKUP(H667,C2:C1586,J2:J1586),"Dependency not found")))</x:f>
        <x:v>Multiple dependencies - verify source queues</x:v>
      </x:c>
      <x:c r="J667" s="6" t="str">
        <x:v>Not Started</x:v>
      </x:c>
      <x:c r="K667" s="6" t="str">
        <x:v>Normal</x:v>
      </x:c>
      <x:c r="L667" s="6" t="str"/>
      <x:c r="M667" s="6" t="str"/>
      <x:c r="N667" s="6" t="str"/>
      <x:c r="O667" s="7" t="str"/>
      <x:c r="P667" s="6" t="str">
        <x:v>Yes</x:v>
      </x:c>
      <x:c r="Q667" s="7" t="str">
        <x:v>Requires identity and manufacturer-scope completion.</x:v>
      </x:c>
    </x:row>
    <x:row r="668">
      <x:c r="A668" s="6" t="str">
        <x:v>SEQ-DEV-0024</x:v>
      </x:c>
      <x:c r="B668" s="6" t="str">
        <x:v>Device Applicability</x:v>
      </x:c>
      <x:c r="C668" s="6" t="str">
        <x:v>DEVX-0024</x:v>
      </x:c>
      <x:c r="D668" s="6" t="str">
        <x:v>SVC000024</x:v>
      </x:c>
      <x:c r="E668" s="6" t="str"/>
      <x:c r="F668" s="6" t="str">
        <x:v>Device-applicability review</x:v>
      </x:c>
      <x:c r="G668" s="6" t="n">
        <x:v>4</x:v>
      </x:c>
      <x:c r="H668" s="6" t="str">
        <x:v>SIDX-0024;MFRX-0024</x:v>
      </x:c>
      <x:c r="I668" s="6" t="str">
        <x:f>IF(H668="","No upstream dependency",IF(ISNUMBER(SEARCH(";",H668)),"Multiple dependencies - verify source queues",IFERROR(XLOOKUP(H668,C2:C1586,J2:J1586),"Dependency not found")))</x:f>
        <x:v>Multiple dependencies - verify source queues</x:v>
      </x:c>
      <x:c r="J668" s="6" t="str">
        <x:v>Not Started</x:v>
      </x:c>
      <x:c r="K668" s="6" t="str">
        <x:v>Normal</x:v>
      </x:c>
      <x:c r="L668" s="6" t="str"/>
      <x:c r="M668" s="6" t="str"/>
      <x:c r="N668" s="6" t="str"/>
      <x:c r="O668" s="7" t="str"/>
      <x:c r="P668" s="6" t="str">
        <x:v>Yes</x:v>
      </x:c>
      <x:c r="Q668" s="7" t="str">
        <x:v>Requires identity and manufacturer-scope completion.</x:v>
      </x:c>
    </x:row>
    <x:row r="669">
      <x:c r="A669" s="6" t="str">
        <x:v>SEQ-DEV-0025</x:v>
      </x:c>
      <x:c r="B669" s="6" t="str">
        <x:v>Device Applicability</x:v>
      </x:c>
      <x:c r="C669" s="6" t="str">
        <x:v>DEVX-0025</x:v>
      </x:c>
      <x:c r="D669" s="6" t="str">
        <x:v>SVC000025</x:v>
      </x:c>
      <x:c r="E669" s="6" t="str"/>
      <x:c r="F669" s="6" t="str">
        <x:v>Device-applicability review</x:v>
      </x:c>
      <x:c r="G669" s="6" t="n">
        <x:v>4</x:v>
      </x:c>
      <x:c r="H669" s="6" t="str">
        <x:v>SIDX-0025;MFRX-0025</x:v>
      </x:c>
      <x:c r="I669" s="6" t="str">
        <x:f>IF(H669="","No upstream dependency",IF(ISNUMBER(SEARCH(";",H669)),"Multiple dependencies - verify source queues",IFERROR(XLOOKUP(H669,C2:C1586,J2:J1586),"Dependency not found")))</x:f>
        <x:v>Multiple dependencies - verify source queues</x:v>
      </x:c>
      <x:c r="J669" s="6" t="str">
        <x:v>Not Started</x:v>
      </x:c>
      <x:c r="K669" s="6" t="str">
        <x:v>Normal</x:v>
      </x:c>
      <x:c r="L669" s="6" t="str"/>
      <x:c r="M669" s="6" t="str"/>
      <x:c r="N669" s="6" t="str"/>
      <x:c r="O669" s="7" t="str"/>
      <x:c r="P669" s="6" t="str">
        <x:v>Yes</x:v>
      </x:c>
      <x:c r="Q669" s="7" t="str">
        <x:v>Requires identity and manufacturer-scope completion.</x:v>
      </x:c>
    </x:row>
    <x:row r="670">
      <x:c r="A670" s="6" t="str">
        <x:v>SEQ-DEV-0026</x:v>
      </x:c>
      <x:c r="B670" s="6" t="str">
        <x:v>Device Applicability</x:v>
      </x:c>
      <x:c r="C670" s="6" t="str">
        <x:v>DEVX-0026</x:v>
      </x:c>
      <x:c r="D670" s="6" t="str">
        <x:v>SVC000026</x:v>
      </x:c>
      <x:c r="E670" s="6" t="str"/>
      <x:c r="F670" s="6" t="str">
        <x:v>Device-applicability review</x:v>
      </x:c>
      <x:c r="G670" s="6" t="n">
        <x:v>4</x:v>
      </x:c>
      <x:c r="H670" s="6" t="str">
        <x:v>SIDX-0026;MFRX-0026</x:v>
      </x:c>
      <x:c r="I670" s="6" t="str">
        <x:f>IF(H670="","No upstream dependency",IF(ISNUMBER(SEARCH(";",H670)),"Multiple dependencies - verify source queues",IFERROR(XLOOKUP(H670,C2:C1586,J2:J1586),"Dependency not found")))</x:f>
        <x:v>Multiple dependencies - verify source queues</x:v>
      </x:c>
      <x:c r="J670" s="6" t="str">
        <x:v>Not Started</x:v>
      </x:c>
      <x:c r="K670" s="6" t="str">
        <x:v>Normal</x:v>
      </x:c>
      <x:c r="L670" s="6" t="str"/>
      <x:c r="M670" s="6" t="str"/>
      <x:c r="N670" s="6" t="str"/>
      <x:c r="O670" s="7" t="str"/>
      <x:c r="P670" s="6" t="str">
        <x:v>Yes</x:v>
      </x:c>
      <x:c r="Q670" s="7" t="str">
        <x:v>Requires identity and manufacturer-scope completion.</x:v>
      </x:c>
    </x:row>
    <x:row r="671">
      <x:c r="A671" s="6" t="str">
        <x:v>SEQ-DEV-0027</x:v>
      </x:c>
      <x:c r="B671" s="6" t="str">
        <x:v>Device Applicability</x:v>
      </x:c>
      <x:c r="C671" s="6" t="str">
        <x:v>DEVX-0027</x:v>
      </x:c>
      <x:c r="D671" s="6" t="str">
        <x:v>SVC000027</x:v>
      </x:c>
      <x:c r="E671" s="6" t="str"/>
      <x:c r="F671" s="6" t="str">
        <x:v>Device-applicability review</x:v>
      </x:c>
      <x:c r="G671" s="6" t="n">
        <x:v>4</x:v>
      </x:c>
      <x:c r="H671" s="6" t="str">
        <x:v>SIDX-0027;MFRX-0027</x:v>
      </x:c>
      <x:c r="I671" s="6" t="str">
        <x:f>IF(H671="","No upstream dependency",IF(ISNUMBER(SEARCH(";",H671)),"Multiple dependencies - verify source queues",IFERROR(XLOOKUP(H671,C2:C1586,J2:J1586),"Dependency not found")))</x:f>
        <x:v>Multiple dependencies - verify source queues</x:v>
      </x:c>
      <x:c r="J671" s="6" t="str">
        <x:v>Not Started</x:v>
      </x:c>
      <x:c r="K671" s="6" t="str">
        <x:v>Normal</x:v>
      </x:c>
      <x:c r="L671" s="6" t="str"/>
      <x:c r="M671" s="6" t="str"/>
      <x:c r="N671" s="6" t="str"/>
      <x:c r="O671" s="7" t="str"/>
      <x:c r="P671" s="6" t="str">
        <x:v>Yes</x:v>
      </x:c>
      <x:c r="Q671" s="7" t="str">
        <x:v>Requires identity and manufacturer-scope completion.</x:v>
      </x:c>
    </x:row>
    <x:row r="672">
      <x:c r="A672" s="6" t="str">
        <x:v>SEQ-DEV-0028</x:v>
      </x:c>
      <x:c r="B672" s="6" t="str">
        <x:v>Device Applicability</x:v>
      </x:c>
      <x:c r="C672" s="6" t="str">
        <x:v>DEVX-0028</x:v>
      </x:c>
      <x:c r="D672" s="6" t="str">
        <x:v>SVC000028</x:v>
      </x:c>
      <x:c r="E672" s="6" t="str"/>
      <x:c r="F672" s="6" t="str">
        <x:v>Device-applicability review</x:v>
      </x:c>
      <x:c r="G672" s="6" t="n">
        <x:v>4</x:v>
      </x:c>
      <x:c r="H672" s="6" t="str">
        <x:v>SIDX-0028;MFRX-0028</x:v>
      </x:c>
      <x:c r="I672" s="6" t="str">
        <x:f>IF(H672="","No upstream dependency",IF(ISNUMBER(SEARCH(";",H672)),"Multiple dependencies - verify source queues",IFERROR(XLOOKUP(H672,C2:C1586,J2:J1586),"Dependency not found")))</x:f>
        <x:v>Multiple dependencies - verify source queues</x:v>
      </x:c>
      <x:c r="J672" s="6" t="str">
        <x:v>Not Started</x:v>
      </x:c>
      <x:c r="K672" s="6" t="str">
        <x:v>Normal</x:v>
      </x:c>
      <x:c r="L672" s="6" t="str"/>
      <x:c r="M672" s="6" t="str"/>
      <x:c r="N672" s="6" t="str"/>
      <x:c r="O672" s="7" t="str"/>
      <x:c r="P672" s="6" t="str">
        <x:v>Yes</x:v>
      </x:c>
      <x:c r="Q672" s="7" t="str">
        <x:v>Requires identity and manufacturer-scope completion.</x:v>
      </x:c>
    </x:row>
    <x:row r="673">
      <x:c r="A673" s="6" t="str">
        <x:v>SEQ-DEV-0029</x:v>
      </x:c>
      <x:c r="B673" s="6" t="str">
        <x:v>Device Applicability</x:v>
      </x:c>
      <x:c r="C673" s="6" t="str">
        <x:v>DEVX-0029</x:v>
      </x:c>
      <x:c r="D673" s="6" t="str">
        <x:v>SVC000029</x:v>
      </x:c>
      <x:c r="E673" s="6" t="str"/>
      <x:c r="F673" s="6" t="str">
        <x:v>Device-applicability review</x:v>
      </x:c>
      <x:c r="G673" s="6" t="n">
        <x:v>4</x:v>
      </x:c>
      <x:c r="H673" s="6" t="str">
        <x:v>SIDX-0029;MFRX-0029</x:v>
      </x:c>
      <x:c r="I673" s="6" t="str">
        <x:f>IF(H673="","No upstream dependency",IF(ISNUMBER(SEARCH(";",H673)),"Multiple dependencies - verify source queues",IFERROR(XLOOKUP(H673,C2:C1586,J2:J1586),"Dependency not found")))</x:f>
        <x:v>Multiple dependencies - verify source queues</x:v>
      </x:c>
      <x:c r="J673" s="6" t="str">
        <x:v>Not Started</x:v>
      </x:c>
      <x:c r="K673" s="6" t="str">
        <x:v>Normal</x:v>
      </x:c>
      <x:c r="L673" s="6" t="str"/>
      <x:c r="M673" s="6" t="str"/>
      <x:c r="N673" s="6" t="str"/>
      <x:c r="O673" s="7" t="str"/>
      <x:c r="P673" s="6" t="str">
        <x:v>Yes</x:v>
      </x:c>
      <x:c r="Q673" s="7" t="str">
        <x:v>Requires identity and manufacturer-scope completion.</x:v>
      </x:c>
    </x:row>
    <x:row r="674">
      <x:c r="A674" s="6" t="str">
        <x:v>SEQ-DEV-0030</x:v>
      </x:c>
      <x:c r="B674" s="6" t="str">
        <x:v>Device Applicability</x:v>
      </x:c>
      <x:c r="C674" s="6" t="str">
        <x:v>DEVX-0030</x:v>
      </x:c>
      <x:c r="D674" s="6" t="str">
        <x:v>SVC000030</x:v>
      </x:c>
      <x:c r="E674" s="6" t="str"/>
      <x:c r="F674" s="6" t="str">
        <x:v>Device-applicability review</x:v>
      </x:c>
      <x:c r="G674" s="6" t="n">
        <x:v>4</x:v>
      </x:c>
      <x:c r="H674" s="6" t="str">
        <x:v>SIDX-0030;MFRX-0030</x:v>
      </x:c>
      <x:c r="I674" s="6" t="str">
        <x:f>IF(H674="","No upstream dependency",IF(ISNUMBER(SEARCH(";",H674)),"Multiple dependencies - verify source queues",IFERROR(XLOOKUP(H674,C2:C1586,J2:J1586),"Dependency not found")))</x:f>
        <x:v>Multiple dependencies - verify source queues</x:v>
      </x:c>
      <x:c r="J674" s="6" t="str">
        <x:v>Not Started</x:v>
      </x:c>
      <x:c r="K674" s="6" t="str">
        <x:v>Normal</x:v>
      </x:c>
      <x:c r="L674" s="6" t="str"/>
      <x:c r="M674" s="6" t="str"/>
      <x:c r="N674" s="6" t="str"/>
      <x:c r="O674" s="7" t="str"/>
      <x:c r="P674" s="6" t="str">
        <x:v>Yes</x:v>
      </x:c>
      <x:c r="Q674" s="7" t="str">
        <x:v>Requires identity and manufacturer-scope completion.</x:v>
      </x:c>
    </x:row>
    <x:row r="675">
      <x:c r="A675" s="6" t="str">
        <x:v>SEQ-DEV-0031</x:v>
      </x:c>
      <x:c r="B675" s="6" t="str">
        <x:v>Device Applicability</x:v>
      </x:c>
      <x:c r="C675" s="6" t="str">
        <x:v>DEVX-0031</x:v>
      </x:c>
      <x:c r="D675" s="6" t="str">
        <x:v>SVC000031</x:v>
      </x:c>
      <x:c r="E675" s="6" t="str"/>
      <x:c r="F675" s="6" t="str">
        <x:v>Device-applicability review</x:v>
      </x:c>
      <x:c r="G675" s="6" t="n">
        <x:v>4</x:v>
      </x:c>
      <x:c r="H675" s="6" t="str">
        <x:v>SIDX-0031;MFRX-0031</x:v>
      </x:c>
      <x:c r="I675" s="6" t="str">
        <x:f>IF(H675="","No upstream dependency",IF(ISNUMBER(SEARCH(";",H675)),"Multiple dependencies - verify source queues",IFERROR(XLOOKUP(H675,C2:C1586,J2:J1586),"Dependency not found")))</x:f>
        <x:v>Multiple dependencies - verify source queues</x:v>
      </x:c>
      <x:c r="J675" s="6" t="str">
        <x:v>Not Started</x:v>
      </x:c>
      <x:c r="K675" s="6" t="str">
        <x:v>Normal</x:v>
      </x:c>
      <x:c r="L675" s="6" t="str"/>
      <x:c r="M675" s="6" t="str"/>
      <x:c r="N675" s="6" t="str"/>
      <x:c r="O675" s="7" t="str"/>
      <x:c r="P675" s="6" t="str">
        <x:v>Yes</x:v>
      </x:c>
      <x:c r="Q675" s="7" t="str">
        <x:v>Requires identity and manufacturer-scope completion.</x:v>
      </x:c>
    </x:row>
    <x:row r="676">
      <x:c r="A676" s="6" t="str">
        <x:v>SEQ-DEV-0032</x:v>
      </x:c>
      <x:c r="B676" s="6" t="str">
        <x:v>Device Applicability</x:v>
      </x:c>
      <x:c r="C676" s="6" t="str">
        <x:v>DEVX-0032</x:v>
      </x:c>
      <x:c r="D676" s="6" t="str">
        <x:v>SVC000032</x:v>
      </x:c>
      <x:c r="E676" s="6" t="str"/>
      <x:c r="F676" s="6" t="str">
        <x:v>Device-applicability review</x:v>
      </x:c>
      <x:c r="G676" s="6" t="n">
        <x:v>4</x:v>
      </x:c>
      <x:c r="H676" s="6" t="str">
        <x:v>SIDX-0032;MFRX-0032</x:v>
      </x:c>
      <x:c r="I676" s="6" t="str">
        <x:f>IF(H676="","No upstream dependency",IF(ISNUMBER(SEARCH(";",H676)),"Multiple dependencies - verify source queues",IFERROR(XLOOKUP(H676,C2:C1586,J2:J1586),"Dependency not found")))</x:f>
        <x:v>Multiple dependencies - verify source queues</x:v>
      </x:c>
      <x:c r="J676" s="6" t="str">
        <x:v>Not Started</x:v>
      </x:c>
      <x:c r="K676" s="6" t="str">
        <x:v>Normal</x:v>
      </x:c>
      <x:c r="L676" s="6" t="str"/>
      <x:c r="M676" s="6" t="str"/>
      <x:c r="N676" s="6" t="str"/>
      <x:c r="O676" s="7" t="str"/>
      <x:c r="P676" s="6" t="str">
        <x:v>Yes</x:v>
      </x:c>
      <x:c r="Q676" s="7" t="str">
        <x:v>Requires identity and manufacturer-scope completion.</x:v>
      </x:c>
    </x:row>
    <x:row r="677">
      <x:c r="A677" s="6" t="str">
        <x:v>SEQ-DEV-0033</x:v>
      </x:c>
      <x:c r="B677" s="6" t="str">
        <x:v>Device Applicability</x:v>
      </x:c>
      <x:c r="C677" s="6" t="str">
        <x:v>DEVX-0033</x:v>
      </x:c>
      <x:c r="D677" s="6" t="str">
        <x:v>SVC000033</x:v>
      </x:c>
      <x:c r="E677" s="6" t="str"/>
      <x:c r="F677" s="6" t="str">
        <x:v>Device-applicability review</x:v>
      </x:c>
      <x:c r="G677" s="6" t="n">
        <x:v>4</x:v>
      </x:c>
      <x:c r="H677" s="6" t="str">
        <x:v>SIDX-0033;MFRX-0033</x:v>
      </x:c>
      <x:c r="I677" s="6" t="str">
        <x:f>IF(H677="","No upstream dependency",IF(ISNUMBER(SEARCH(";",H677)),"Multiple dependencies - verify source queues",IFERROR(XLOOKUP(H677,C2:C1586,J2:J1586),"Dependency not found")))</x:f>
        <x:v>Multiple dependencies - verify source queues</x:v>
      </x:c>
      <x:c r="J677" s="6" t="str">
        <x:v>Not Started</x:v>
      </x:c>
      <x:c r="K677" s="6" t="str">
        <x:v>Normal</x:v>
      </x:c>
      <x:c r="L677" s="6" t="str"/>
      <x:c r="M677" s="6" t="str"/>
      <x:c r="N677" s="6" t="str"/>
      <x:c r="O677" s="7" t="str"/>
      <x:c r="P677" s="6" t="str">
        <x:v>Yes</x:v>
      </x:c>
      <x:c r="Q677" s="7" t="str">
        <x:v>Requires identity and manufacturer-scope completion.</x:v>
      </x:c>
    </x:row>
    <x:row r="678">
      <x:c r="A678" s="6" t="str">
        <x:v>SEQ-DEV-0034</x:v>
      </x:c>
      <x:c r="B678" s="6" t="str">
        <x:v>Device Applicability</x:v>
      </x:c>
      <x:c r="C678" s="6" t="str">
        <x:v>DEVX-0034</x:v>
      </x:c>
      <x:c r="D678" s="6" t="str">
        <x:v>SVC000034</x:v>
      </x:c>
      <x:c r="E678" s="6" t="str"/>
      <x:c r="F678" s="6" t="str">
        <x:v>Device-applicability review</x:v>
      </x:c>
      <x:c r="G678" s="6" t="n">
        <x:v>4</x:v>
      </x:c>
      <x:c r="H678" s="6" t="str">
        <x:v>SIDX-0034;MFRX-0034</x:v>
      </x:c>
      <x:c r="I678" s="6" t="str">
        <x:f>IF(H678="","No upstream dependency",IF(ISNUMBER(SEARCH(";",H678)),"Multiple dependencies - verify source queues",IFERROR(XLOOKUP(H678,C2:C1586,J2:J1586),"Dependency not found")))</x:f>
        <x:v>Multiple dependencies - verify source queues</x:v>
      </x:c>
      <x:c r="J678" s="6" t="str">
        <x:v>Not Started</x:v>
      </x:c>
      <x:c r="K678" s="6" t="str">
        <x:v>Normal</x:v>
      </x:c>
      <x:c r="L678" s="6" t="str"/>
      <x:c r="M678" s="6" t="str"/>
      <x:c r="N678" s="6" t="str"/>
      <x:c r="O678" s="7" t="str"/>
      <x:c r="P678" s="6" t="str">
        <x:v>Yes</x:v>
      </x:c>
      <x:c r="Q678" s="7" t="str">
        <x:v>Requires identity and manufacturer-scope completion.</x:v>
      </x:c>
    </x:row>
    <x:row r="679">
      <x:c r="A679" s="6" t="str">
        <x:v>SEQ-DEV-0035</x:v>
      </x:c>
      <x:c r="B679" s="6" t="str">
        <x:v>Device Applicability</x:v>
      </x:c>
      <x:c r="C679" s="6" t="str">
        <x:v>DEVX-0035</x:v>
      </x:c>
      <x:c r="D679" s="6" t="str">
        <x:v>SVC000035</x:v>
      </x:c>
      <x:c r="E679" s="6" t="str"/>
      <x:c r="F679" s="6" t="str">
        <x:v>Device-applicability review</x:v>
      </x:c>
      <x:c r="G679" s="6" t="n">
        <x:v>4</x:v>
      </x:c>
      <x:c r="H679" s="6" t="str">
        <x:v>SIDX-0035;MFRX-0035</x:v>
      </x:c>
      <x:c r="I679" s="6" t="str">
        <x:f>IF(H679="","No upstream dependency",IF(ISNUMBER(SEARCH(";",H679)),"Multiple dependencies - verify source queues",IFERROR(XLOOKUP(H679,C2:C1586,J2:J1586),"Dependency not found")))</x:f>
        <x:v>Multiple dependencies - verify source queues</x:v>
      </x:c>
      <x:c r="J679" s="6" t="str">
        <x:v>Not Started</x:v>
      </x:c>
      <x:c r="K679" s="6" t="str">
        <x:v>Normal</x:v>
      </x:c>
      <x:c r="L679" s="6" t="str"/>
      <x:c r="M679" s="6" t="str"/>
      <x:c r="N679" s="6" t="str"/>
      <x:c r="O679" s="7" t="str"/>
      <x:c r="P679" s="6" t="str">
        <x:v>Yes</x:v>
      </x:c>
      <x:c r="Q679" s="7" t="str">
        <x:v>Requires identity and manufacturer-scope completion.</x:v>
      </x:c>
    </x:row>
    <x:row r="680">
      <x:c r="A680" s="6" t="str">
        <x:v>SEQ-DEV-0036</x:v>
      </x:c>
      <x:c r="B680" s="6" t="str">
        <x:v>Device Applicability</x:v>
      </x:c>
      <x:c r="C680" s="6" t="str">
        <x:v>DEVX-0036</x:v>
      </x:c>
      <x:c r="D680" s="6" t="str">
        <x:v>SVC000036</x:v>
      </x:c>
      <x:c r="E680" s="6" t="str"/>
      <x:c r="F680" s="6" t="str">
        <x:v>Device-applicability review</x:v>
      </x:c>
      <x:c r="G680" s="6" t="n">
        <x:v>4</x:v>
      </x:c>
      <x:c r="H680" s="6" t="str">
        <x:v>SIDX-0036;MFRX-0036</x:v>
      </x:c>
      <x:c r="I680" s="6" t="str">
        <x:f>IF(H680="","No upstream dependency",IF(ISNUMBER(SEARCH(";",H680)),"Multiple dependencies - verify source queues",IFERROR(XLOOKUP(H680,C2:C1586,J2:J1586),"Dependency not found")))</x:f>
        <x:v>Multiple dependencies - verify source queues</x:v>
      </x:c>
      <x:c r="J680" s="6" t="str">
        <x:v>Not Started</x:v>
      </x:c>
      <x:c r="K680" s="6" t="str">
        <x:v>Normal</x:v>
      </x:c>
      <x:c r="L680" s="6" t="str"/>
      <x:c r="M680" s="6" t="str"/>
      <x:c r="N680" s="6" t="str"/>
      <x:c r="O680" s="7" t="str"/>
      <x:c r="P680" s="6" t="str">
        <x:v>Yes</x:v>
      </x:c>
      <x:c r="Q680" s="7" t="str">
        <x:v>Requires identity and manufacturer-scope completion.</x:v>
      </x:c>
    </x:row>
    <x:row r="681">
      <x:c r="A681" s="6" t="str">
        <x:v>SEQ-DEV-0037</x:v>
      </x:c>
      <x:c r="B681" s="6" t="str">
        <x:v>Device Applicability</x:v>
      </x:c>
      <x:c r="C681" s="6" t="str">
        <x:v>DEVX-0037</x:v>
      </x:c>
      <x:c r="D681" s="6" t="str">
        <x:v>SVC000037</x:v>
      </x:c>
      <x:c r="E681" s="6" t="str"/>
      <x:c r="F681" s="6" t="str">
        <x:v>Device-applicability review</x:v>
      </x:c>
      <x:c r="G681" s="6" t="n">
        <x:v>4</x:v>
      </x:c>
      <x:c r="H681" s="6" t="str">
        <x:v>SIDX-0037;MFRX-0037</x:v>
      </x:c>
      <x:c r="I681" s="6" t="str">
        <x:f>IF(H681="","No upstream dependency",IF(ISNUMBER(SEARCH(";",H681)),"Multiple dependencies - verify source queues",IFERROR(XLOOKUP(H681,C2:C1586,J2:J1586),"Dependency not found")))</x:f>
        <x:v>Multiple dependencies - verify source queues</x:v>
      </x:c>
      <x:c r="J681" s="6" t="str">
        <x:v>Not Started</x:v>
      </x:c>
      <x:c r="K681" s="6" t="str">
        <x:v>Normal</x:v>
      </x:c>
      <x:c r="L681" s="6" t="str"/>
      <x:c r="M681" s="6" t="str"/>
      <x:c r="N681" s="6" t="str"/>
      <x:c r="O681" s="7" t="str"/>
      <x:c r="P681" s="6" t="str">
        <x:v>Yes</x:v>
      </x:c>
      <x:c r="Q681" s="7" t="str">
        <x:v>Requires identity and manufacturer-scope completion.</x:v>
      </x:c>
    </x:row>
    <x:row r="682">
      <x:c r="A682" s="6" t="str">
        <x:v>SEQ-DEV-0038</x:v>
      </x:c>
      <x:c r="B682" s="6" t="str">
        <x:v>Device Applicability</x:v>
      </x:c>
      <x:c r="C682" s="6" t="str">
        <x:v>DEVX-0038</x:v>
      </x:c>
      <x:c r="D682" s="6" t="str">
        <x:v>SVC000038</x:v>
      </x:c>
      <x:c r="E682" s="6" t="str"/>
      <x:c r="F682" s="6" t="str">
        <x:v>Device-applicability review</x:v>
      </x:c>
      <x:c r="G682" s="6" t="n">
        <x:v>4</x:v>
      </x:c>
      <x:c r="H682" s="6" t="str">
        <x:v>SIDX-0038;MFRX-0038</x:v>
      </x:c>
      <x:c r="I682" s="6" t="str">
        <x:f>IF(H682="","No upstream dependency",IF(ISNUMBER(SEARCH(";",H682)),"Multiple dependencies - verify source queues",IFERROR(XLOOKUP(H682,C2:C1586,J2:J1586),"Dependency not found")))</x:f>
        <x:v>Multiple dependencies - verify source queues</x:v>
      </x:c>
      <x:c r="J682" s="6" t="str">
        <x:v>Not Started</x:v>
      </x:c>
      <x:c r="K682" s="6" t="str">
        <x:v>Normal</x:v>
      </x:c>
      <x:c r="L682" s="6" t="str"/>
      <x:c r="M682" s="6" t="str"/>
      <x:c r="N682" s="6" t="str"/>
      <x:c r="O682" s="7" t="str"/>
      <x:c r="P682" s="6" t="str">
        <x:v>Yes</x:v>
      </x:c>
      <x:c r="Q682" s="7" t="str">
        <x:v>Requires identity and manufacturer-scope completion.</x:v>
      </x:c>
    </x:row>
    <x:row r="683">
      <x:c r="A683" s="6" t="str">
        <x:v>SEQ-DEV-0039</x:v>
      </x:c>
      <x:c r="B683" s="6" t="str">
        <x:v>Device Applicability</x:v>
      </x:c>
      <x:c r="C683" s="6" t="str">
        <x:v>DEVX-0039</x:v>
      </x:c>
      <x:c r="D683" s="6" t="str">
        <x:v>SVC000039</x:v>
      </x:c>
      <x:c r="E683" s="6" t="str"/>
      <x:c r="F683" s="6" t="str">
        <x:v>Device-applicability review</x:v>
      </x:c>
      <x:c r="G683" s="6" t="n">
        <x:v>4</x:v>
      </x:c>
      <x:c r="H683" s="6" t="str">
        <x:v>SIDX-0039;MFRX-0039</x:v>
      </x:c>
      <x:c r="I683" s="6" t="str">
        <x:f>IF(H683="","No upstream dependency",IF(ISNUMBER(SEARCH(";",H683)),"Multiple dependencies - verify source queues",IFERROR(XLOOKUP(H683,C2:C1586,J2:J1586),"Dependency not found")))</x:f>
        <x:v>Multiple dependencies - verify source queues</x:v>
      </x:c>
      <x:c r="J683" s="6" t="str">
        <x:v>Not Started</x:v>
      </x:c>
      <x:c r="K683" s="6" t="str">
        <x:v>Normal</x:v>
      </x:c>
      <x:c r="L683" s="6" t="str"/>
      <x:c r="M683" s="6" t="str"/>
      <x:c r="N683" s="6" t="str"/>
      <x:c r="O683" s="7" t="str"/>
      <x:c r="P683" s="6" t="str">
        <x:v>Yes</x:v>
      </x:c>
      <x:c r="Q683" s="7" t="str">
        <x:v>Requires identity and manufacturer-scope completion.</x:v>
      </x:c>
    </x:row>
    <x:row r="684">
      <x:c r="A684" s="6" t="str">
        <x:v>SEQ-DEV-0040</x:v>
      </x:c>
      <x:c r="B684" s="6" t="str">
        <x:v>Device Applicability</x:v>
      </x:c>
      <x:c r="C684" s="6" t="str">
        <x:v>DEVX-0040</x:v>
      </x:c>
      <x:c r="D684" s="6" t="str">
        <x:v>SVC000040</x:v>
      </x:c>
      <x:c r="E684" s="6" t="str"/>
      <x:c r="F684" s="6" t="str">
        <x:v>Device-applicability review</x:v>
      </x:c>
      <x:c r="G684" s="6" t="n">
        <x:v>4</x:v>
      </x:c>
      <x:c r="H684" s="6" t="str">
        <x:v>SIDX-0040;MFRX-0040</x:v>
      </x:c>
      <x:c r="I684" s="6" t="str">
        <x:f>IF(H684="","No upstream dependency",IF(ISNUMBER(SEARCH(";",H684)),"Multiple dependencies - verify source queues",IFERROR(XLOOKUP(H684,C2:C1586,J2:J1586),"Dependency not found")))</x:f>
        <x:v>Multiple dependencies - verify source queues</x:v>
      </x:c>
      <x:c r="J684" s="6" t="str">
        <x:v>Not Started</x:v>
      </x:c>
      <x:c r="K684" s="6" t="str">
        <x:v>Normal</x:v>
      </x:c>
      <x:c r="L684" s="6" t="str"/>
      <x:c r="M684" s="6" t="str"/>
      <x:c r="N684" s="6" t="str"/>
      <x:c r="O684" s="7" t="str"/>
      <x:c r="P684" s="6" t="str">
        <x:v>Yes</x:v>
      </x:c>
      <x:c r="Q684" s="7" t="str">
        <x:v>Requires identity and manufacturer-scope completion.</x:v>
      </x:c>
    </x:row>
    <x:row r="685">
      <x:c r="A685" s="6" t="str">
        <x:v>SEQ-DEV-0041</x:v>
      </x:c>
      <x:c r="B685" s="6" t="str">
        <x:v>Device Applicability</x:v>
      </x:c>
      <x:c r="C685" s="6" t="str">
        <x:v>DEVX-0041</x:v>
      </x:c>
      <x:c r="D685" s="6" t="str">
        <x:v>SVC000041</x:v>
      </x:c>
      <x:c r="E685" s="6" t="str"/>
      <x:c r="F685" s="6" t="str">
        <x:v>Device-applicability review</x:v>
      </x:c>
      <x:c r="G685" s="6" t="n">
        <x:v>4</x:v>
      </x:c>
      <x:c r="H685" s="6" t="str">
        <x:v>SIDX-0041;MFRX-0041</x:v>
      </x:c>
      <x:c r="I685" s="6" t="str">
        <x:f>IF(H685="","No upstream dependency",IF(ISNUMBER(SEARCH(";",H685)),"Multiple dependencies - verify source queues",IFERROR(XLOOKUP(H685,C2:C1586,J2:J1586),"Dependency not found")))</x:f>
        <x:v>Multiple dependencies - verify source queues</x:v>
      </x:c>
      <x:c r="J685" s="6" t="str">
        <x:v>Not Started</x:v>
      </x:c>
      <x:c r="K685" s="6" t="str">
        <x:v>Normal</x:v>
      </x:c>
      <x:c r="L685" s="6" t="str"/>
      <x:c r="M685" s="6" t="str"/>
      <x:c r="N685" s="6" t="str"/>
      <x:c r="O685" s="7" t="str"/>
      <x:c r="P685" s="6" t="str">
        <x:v>Yes</x:v>
      </x:c>
      <x:c r="Q685" s="7" t="str">
        <x:v>Requires identity and manufacturer-scope completion.</x:v>
      </x:c>
    </x:row>
    <x:row r="686">
      <x:c r="A686" s="6" t="str">
        <x:v>SEQ-DEV-0042</x:v>
      </x:c>
      <x:c r="B686" s="6" t="str">
        <x:v>Device Applicability</x:v>
      </x:c>
      <x:c r="C686" s="6" t="str">
        <x:v>DEVX-0042</x:v>
      </x:c>
      <x:c r="D686" s="6" t="str">
        <x:v>SVC000042</x:v>
      </x:c>
      <x:c r="E686" s="6" t="str"/>
      <x:c r="F686" s="6" t="str">
        <x:v>Device-applicability review</x:v>
      </x:c>
      <x:c r="G686" s="6" t="n">
        <x:v>4</x:v>
      </x:c>
      <x:c r="H686" s="6" t="str">
        <x:v>SIDX-0042;MFRX-0042</x:v>
      </x:c>
      <x:c r="I686" s="6" t="str">
        <x:f>IF(H686="","No upstream dependency",IF(ISNUMBER(SEARCH(";",H686)),"Multiple dependencies - verify source queues",IFERROR(XLOOKUP(H686,C2:C1586,J2:J1586),"Dependency not found")))</x:f>
        <x:v>Multiple dependencies - verify source queues</x:v>
      </x:c>
      <x:c r="J686" s="6" t="str">
        <x:v>Not Started</x:v>
      </x:c>
      <x:c r="K686" s="6" t="str">
        <x:v>Normal</x:v>
      </x:c>
      <x:c r="L686" s="6" t="str"/>
      <x:c r="M686" s="6" t="str"/>
      <x:c r="N686" s="6" t="str"/>
      <x:c r="O686" s="7" t="str"/>
      <x:c r="P686" s="6" t="str">
        <x:v>Yes</x:v>
      </x:c>
      <x:c r="Q686" s="7" t="str">
        <x:v>Requires identity and manufacturer-scope completion.</x:v>
      </x:c>
    </x:row>
    <x:row r="687">
      <x:c r="A687" s="6" t="str">
        <x:v>SEQ-DEV-0043</x:v>
      </x:c>
      <x:c r="B687" s="6" t="str">
        <x:v>Device Applicability</x:v>
      </x:c>
      <x:c r="C687" s="6" t="str">
        <x:v>DEVX-0043</x:v>
      </x:c>
      <x:c r="D687" s="6" t="str">
        <x:v>SVC000043</x:v>
      </x:c>
      <x:c r="E687" s="6" t="str"/>
      <x:c r="F687" s="6" t="str">
        <x:v>Device-applicability review</x:v>
      </x:c>
      <x:c r="G687" s="6" t="n">
        <x:v>4</x:v>
      </x:c>
      <x:c r="H687" s="6" t="str">
        <x:v>SIDX-0043;MFRX-0043</x:v>
      </x:c>
      <x:c r="I687" s="6" t="str">
        <x:f>IF(H687="","No upstream dependency",IF(ISNUMBER(SEARCH(";",H687)),"Multiple dependencies - verify source queues",IFERROR(XLOOKUP(H687,C2:C1586,J2:J1586),"Dependency not found")))</x:f>
        <x:v>Multiple dependencies - verify source queues</x:v>
      </x:c>
      <x:c r="J687" s="6" t="str">
        <x:v>Not Started</x:v>
      </x:c>
      <x:c r="K687" s="6" t="str">
        <x:v>Normal</x:v>
      </x:c>
      <x:c r="L687" s="6" t="str"/>
      <x:c r="M687" s="6" t="str"/>
      <x:c r="N687" s="6" t="str"/>
      <x:c r="O687" s="7" t="str"/>
      <x:c r="P687" s="6" t="str">
        <x:v>Yes</x:v>
      </x:c>
      <x:c r="Q687" s="7" t="str">
        <x:v>Requires identity and manufacturer-scope completion.</x:v>
      </x:c>
    </x:row>
    <x:row r="688">
      <x:c r="A688" s="6" t="str">
        <x:v>SEQ-DEV-0044</x:v>
      </x:c>
      <x:c r="B688" s="6" t="str">
        <x:v>Device Applicability</x:v>
      </x:c>
      <x:c r="C688" s="6" t="str">
        <x:v>DEVX-0044</x:v>
      </x:c>
      <x:c r="D688" s="6" t="str">
        <x:v>SVC000044</x:v>
      </x:c>
      <x:c r="E688" s="6" t="str"/>
      <x:c r="F688" s="6" t="str">
        <x:v>Device-applicability review</x:v>
      </x:c>
      <x:c r="G688" s="6" t="n">
        <x:v>4</x:v>
      </x:c>
      <x:c r="H688" s="6" t="str">
        <x:v>SIDX-0044;MFRX-0044</x:v>
      </x:c>
      <x:c r="I688" s="6" t="str">
        <x:f>IF(H688="","No upstream dependency",IF(ISNUMBER(SEARCH(";",H688)),"Multiple dependencies - verify source queues",IFERROR(XLOOKUP(H688,C2:C1586,J2:J1586),"Dependency not found")))</x:f>
        <x:v>Multiple dependencies - verify source queues</x:v>
      </x:c>
      <x:c r="J688" s="6" t="str">
        <x:v>Not Started</x:v>
      </x:c>
      <x:c r="K688" s="6" t="str">
        <x:v>Normal</x:v>
      </x:c>
      <x:c r="L688" s="6" t="str"/>
      <x:c r="M688" s="6" t="str"/>
      <x:c r="N688" s="6" t="str"/>
      <x:c r="O688" s="7" t="str"/>
      <x:c r="P688" s="6" t="str">
        <x:v>Yes</x:v>
      </x:c>
      <x:c r="Q688" s="7" t="str">
        <x:v>Requires identity and manufacturer-scope completion.</x:v>
      </x:c>
    </x:row>
    <x:row r="689">
      <x:c r="A689" s="6" t="str">
        <x:v>SEQ-DEV-0045</x:v>
      </x:c>
      <x:c r="B689" s="6" t="str">
        <x:v>Device Applicability</x:v>
      </x:c>
      <x:c r="C689" s="6" t="str">
        <x:v>DEVX-0045</x:v>
      </x:c>
      <x:c r="D689" s="6" t="str">
        <x:v>SVC000045</x:v>
      </x:c>
      <x:c r="E689" s="6" t="str"/>
      <x:c r="F689" s="6" t="str">
        <x:v>Device-applicability review</x:v>
      </x:c>
      <x:c r="G689" s="6" t="n">
        <x:v>4</x:v>
      </x:c>
      <x:c r="H689" s="6" t="str">
        <x:v>SIDX-0045;MFRX-0045</x:v>
      </x:c>
      <x:c r="I689" s="6" t="str">
        <x:f>IF(H689="","No upstream dependency",IF(ISNUMBER(SEARCH(";",H689)),"Multiple dependencies - verify source queues",IFERROR(XLOOKUP(H689,C2:C1586,J2:J1586),"Dependency not found")))</x:f>
        <x:v>Multiple dependencies - verify source queues</x:v>
      </x:c>
      <x:c r="J689" s="6" t="str">
        <x:v>Not Started</x:v>
      </x:c>
      <x:c r="K689" s="6" t="str">
        <x:v>Normal</x:v>
      </x:c>
      <x:c r="L689" s="6" t="str"/>
      <x:c r="M689" s="6" t="str"/>
      <x:c r="N689" s="6" t="str"/>
      <x:c r="O689" s="7" t="str"/>
      <x:c r="P689" s="6" t="str">
        <x:v>Yes</x:v>
      </x:c>
      <x:c r="Q689" s="7" t="str">
        <x:v>Requires identity and manufacturer-scope completion.</x:v>
      </x:c>
    </x:row>
    <x:row r="690">
      <x:c r="A690" s="6" t="str">
        <x:v>SEQ-DEV-0046</x:v>
      </x:c>
      <x:c r="B690" s="6" t="str">
        <x:v>Device Applicability</x:v>
      </x:c>
      <x:c r="C690" s="6" t="str">
        <x:v>DEVX-0046</x:v>
      </x:c>
      <x:c r="D690" s="6" t="str">
        <x:v>SVC000046</x:v>
      </x:c>
      <x:c r="E690" s="6" t="str"/>
      <x:c r="F690" s="6" t="str">
        <x:v>Device-applicability review</x:v>
      </x:c>
      <x:c r="G690" s="6" t="n">
        <x:v>4</x:v>
      </x:c>
      <x:c r="H690" s="6" t="str">
        <x:v>SIDX-0046;MFRX-0046</x:v>
      </x:c>
      <x:c r="I690" s="6" t="str">
        <x:f>IF(H690="","No upstream dependency",IF(ISNUMBER(SEARCH(";",H690)),"Multiple dependencies - verify source queues",IFERROR(XLOOKUP(H690,C2:C1586,J2:J1586),"Dependency not found")))</x:f>
        <x:v>Multiple dependencies - verify source queues</x:v>
      </x:c>
      <x:c r="J690" s="6" t="str">
        <x:v>Not Started</x:v>
      </x:c>
      <x:c r="K690" s="6" t="str">
        <x:v>Normal</x:v>
      </x:c>
      <x:c r="L690" s="6" t="str"/>
      <x:c r="M690" s="6" t="str"/>
      <x:c r="N690" s="6" t="str"/>
      <x:c r="O690" s="7" t="str"/>
      <x:c r="P690" s="6" t="str">
        <x:v>Yes</x:v>
      </x:c>
      <x:c r="Q690" s="7" t="str">
        <x:v>Requires identity and manufacturer-scope completion.</x:v>
      </x:c>
    </x:row>
    <x:row r="691">
      <x:c r="A691" s="6" t="str">
        <x:v>SEQ-DEV-0047</x:v>
      </x:c>
      <x:c r="B691" s="6" t="str">
        <x:v>Device Applicability</x:v>
      </x:c>
      <x:c r="C691" s="6" t="str">
        <x:v>DEVX-0047</x:v>
      </x:c>
      <x:c r="D691" s="6" t="str">
        <x:v>SVC000047</x:v>
      </x:c>
      <x:c r="E691" s="6" t="str"/>
      <x:c r="F691" s="6" t="str">
        <x:v>Device-applicability review</x:v>
      </x:c>
      <x:c r="G691" s="6" t="n">
        <x:v>4</x:v>
      </x:c>
      <x:c r="H691" s="6" t="str">
        <x:v>SIDX-0047;MFRX-0047</x:v>
      </x:c>
      <x:c r="I691" s="6" t="str">
        <x:f>IF(H691="","No upstream dependency",IF(ISNUMBER(SEARCH(";",H691)),"Multiple dependencies - verify source queues",IFERROR(XLOOKUP(H691,C2:C1586,J2:J1586),"Dependency not found")))</x:f>
        <x:v>Multiple dependencies - verify source queues</x:v>
      </x:c>
      <x:c r="J691" s="6" t="str">
        <x:v>Not Started</x:v>
      </x:c>
      <x:c r="K691" s="6" t="str">
        <x:v>Normal</x:v>
      </x:c>
      <x:c r="L691" s="6" t="str"/>
      <x:c r="M691" s="6" t="str"/>
      <x:c r="N691" s="6" t="str"/>
      <x:c r="O691" s="7" t="str"/>
      <x:c r="P691" s="6" t="str">
        <x:v>Yes</x:v>
      </x:c>
      <x:c r="Q691" s="7" t="str">
        <x:v>Requires identity and manufacturer-scope completion.</x:v>
      </x:c>
    </x:row>
    <x:row r="692">
      <x:c r="A692" s="6" t="str">
        <x:v>SEQ-DEV-0048</x:v>
      </x:c>
      <x:c r="B692" s="6" t="str">
        <x:v>Device Applicability</x:v>
      </x:c>
      <x:c r="C692" s="6" t="str">
        <x:v>DEVX-0048</x:v>
      </x:c>
      <x:c r="D692" s="6" t="str">
        <x:v>SVC000048</x:v>
      </x:c>
      <x:c r="E692" s="6" t="str"/>
      <x:c r="F692" s="6" t="str">
        <x:v>Device-applicability review</x:v>
      </x:c>
      <x:c r="G692" s="6" t="n">
        <x:v>4</x:v>
      </x:c>
      <x:c r="H692" s="6" t="str">
        <x:v>SIDX-0048;MFRX-0048</x:v>
      </x:c>
      <x:c r="I692" s="6" t="str">
        <x:f>IF(H692="","No upstream dependency",IF(ISNUMBER(SEARCH(";",H692)),"Multiple dependencies - verify source queues",IFERROR(XLOOKUP(H692,C2:C1586,J2:J1586),"Dependency not found")))</x:f>
        <x:v>Multiple dependencies - verify source queues</x:v>
      </x:c>
      <x:c r="J692" s="6" t="str">
        <x:v>Not Started</x:v>
      </x:c>
      <x:c r="K692" s="6" t="str">
        <x:v>Normal</x:v>
      </x:c>
      <x:c r="L692" s="6" t="str"/>
      <x:c r="M692" s="6" t="str"/>
      <x:c r="N692" s="6" t="str"/>
      <x:c r="O692" s="7" t="str"/>
      <x:c r="P692" s="6" t="str">
        <x:v>Yes</x:v>
      </x:c>
      <x:c r="Q692" s="7" t="str">
        <x:v>Requires identity and manufacturer-scope completion.</x:v>
      </x:c>
    </x:row>
    <x:row r="693">
      <x:c r="A693" s="6" t="str">
        <x:v>SEQ-DEV-0049</x:v>
      </x:c>
      <x:c r="B693" s="6" t="str">
        <x:v>Device Applicability</x:v>
      </x:c>
      <x:c r="C693" s="6" t="str">
        <x:v>DEVX-0049</x:v>
      </x:c>
      <x:c r="D693" s="6" t="str">
        <x:v>SVC000049</x:v>
      </x:c>
      <x:c r="E693" s="6" t="str"/>
      <x:c r="F693" s="6" t="str">
        <x:v>Device-applicability review</x:v>
      </x:c>
      <x:c r="G693" s="6" t="n">
        <x:v>4</x:v>
      </x:c>
      <x:c r="H693" s="6" t="str">
        <x:v>SIDX-0049;MFRX-0049</x:v>
      </x:c>
      <x:c r="I693" s="6" t="str">
        <x:f>IF(H693="","No upstream dependency",IF(ISNUMBER(SEARCH(";",H693)),"Multiple dependencies - verify source queues",IFERROR(XLOOKUP(H693,C2:C1586,J2:J1586),"Dependency not found")))</x:f>
        <x:v>Multiple dependencies - verify source queues</x:v>
      </x:c>
      <x:c r="J693" s="6" t="str">
        <x:v>Not Started</x:v>
      </x:c>
      <x:c r="K693" s="6" t="str">
        <x:v>Normal</x:v>
      </x:c>
      <x:c r="L693" s="6" t="str"/>
      <x:c r="M693" s="6" t="str"/>
      <x:c r="N693" s="6" t="str"/>
      <x:c r="O693" s="7" t="str"/>
      <x:c r="P693" s="6" t="str">
        <x:v>Yes</x:v>
      </x:c>
      <x:c r="Q693" s="7" t="str">
        <x:v>Requires identity and manufacturer-scope completion.</x:v>
      </x:c>
    </x:row>
    <x:row r="694">
      <x:c r="A694" s="6" t="str">
        <x:v>SEQ-DEV-0050</x:v>
      </x:c>
      <x:c r="B694" s="6" t="str">
        <x:v>Device Applicability</x:v>
      </x:c>
      <x:c r="C694" s="6" t="str">
        <x:v>DEVX-0050</x:v>
      </x:c>
      <x:c r="D694" s="6" t="str">
        <x:v>SVC000050</x:v>
      </x:c>
      <x:c r="E694" s="6" t="str"/>
      <x:c r="F694" s="6" t="str">
        <x:v>Device-applicability review</x:v>
      </x:c>
      <x:c r="G694" s="6" t="n">
        <x:v>4</x:v>
      </x:c>
      <x:c r="H694" s="6" t="str">
        <x:v>SIDX-0050;MFRX-0050</x:v>
      </x:c>
      <x:c r="I694" s="6" t="str">
        <x:f>IF(H694="","No upstream dependency",IF(ISNUMBER(SEARCH(";",H694)),"Multiple dependencies - verify source queues",IFERROR(XLOOKUP(H694,C2:C1586,J2:J1586),"Dependency not found")))</x:f>
        <x:v>Multiple dependencies - verify source queues</x:v>
      </x:c>
      <x:c r="J694" s="6" t="str">
        <x:v>Not Started</x:v>
      </x:c>
      <x:c r="K694" s="6" t="str">
        <x:v>Normal</x:v>
      </x:c>
      <x:c r="L694" s="6" t="str"/>
      <x:c r="M694" s="6" t="str"/>
      <x:c r="N694" s="6" t="str"/>
      <x:c r="O694" s="7" t="str"/>
      <x:c r="P694" s="6" t="str">
        <x:v>Yes</x:v>
      </x:c>
      <x:c r="Q694" s="7" t="str">
        <x:v>Requires identity and manufacturer-scope completion.</x:v>
      </x:c>
    </x:row>
    <x:row r="695">
      <x:c r="A695" s="6" t="str">
        <x:v>SEQ-DEV-0051</x:v>
      </x:c>
      <x:c r="B695" s="6" t="str">
        <x:v>Device Applicability</x:v>
      </x:c>
      <x:c r="C695" s="6" t="str">
        <x:v>DEVX-0051</x:v>
      </x:c>
      <x:c r="D695" s="6" t="str">
        <x:v>SVC000051</x:v>
      </x:c>
      <x:c r="E695" s="6" t="str"/>
      <x:c r="F695" s="6" t="str">
        <x:v>Device-applicability review</x:v>
      </x:c>
      <x:c r="G695" s="6" t="n">
        <x:v>4</x:v>
      </x:c>
      <x:c r="H695" s="6" t="str">
        <x:v>SIDX-0051;MFRX-0051</x:v>
      </x:c>
      <x:c r="I695" s="6" t="str">
        <x:f>IF(H695="","No upstream dependency",IF(ISNUMBER(SEARCH(";",H695)),"Multiple dependencies - verify source queues",IFERROR(XLOOKUP(H695,C2:C1586,J2:J1586),"Dependency not found")))</x:f>
        <x:v>Multiple dependencies - verify source queues</x:v>
      </x:c>
      <x:c r="J695" s="6" t="str">
        <x:v>Not Started</x:v>
      </x:c>
      <x:c r="K695" s="6" t="str">
        <x:v>Normal</x:v>
      </x:c>
      <x:c r="L695" s="6" t="str"/>
      <x:c r="M695" s="6" t="str"/>
      <x:c r="N695" s="6" t="str"/>
      <x:c r="O695" s="7" t="str"/>
      <x:c r="P695" s="6" t="str">
        <x:v>Yes</x:v>
      </x:c>
      <x:c r="Q695" s="7" t="str">
        <x:v>Requires identity and manufacturer-scope completion.</x:v>
      </x:c>
    </x:row>
    <x:row r="696">
      <x:c r="A696" s="6" t="str">
        <x:v>SEQ-DEV-0052</x:v>
      </x:c>
      <x:c r="B696" s="6" t="str">
        <x:v>Device Applicability</x:v>
      </x:c>
      <x:c r="C696" s="6" t="str">
        <x:v>DEVX-0052</x:v>
      </x:c>
      <x:c r="D696" s="6" t="str">
        <x:v>SVC000052</x:v>
      </x:c>
      <x:c r="E696" s="6" t="str"/>
      <x:c r="F696" s="6" t="str">
        <x:v>Device-applicability review</x:v>
      </x:c>
      <x:c r="G696" s="6" t="n">
        <x:v>4</x:v>
      </x:c>
      <x:c r="H696" s="6" t="str">
        <x:v>SIDX-0052;MFRX-0052</x:v>
      </x:c>
      <x:c r="I696" s="6" t="str">
        <x:f>IF(H696="","No upstream dependency",IF(ISNUMBER(SEARCH(";",H696)),"Multiple dependencies - verify source queues",IFERROR(XLOOKUP(H696,C2:C1586,J2:J1586),"Dependency not found")))</x:f>
        <x:v>Multiple dependencies - verify source queues</x:v>
      </x:c>
      <x:c r="J696" s="6" t="str">
        <x:v>Not Started</x:v>
      </x:c>
      <x:c r="K696" s="6" t="str">
        <x:v>Normal</x:v>
      </x:c>
      <x:c r="L696" s="6" t="str"/>
      <x:c r="M696" s="6" t="str"/>
      <x:c r="N696" s="6" t="str"/>
      <x:c r="O696" s="7" t="str"/>
      <x:c r="P696" s="6" t="str">
        <x:v>Yes</x:v>
      </x:c>
      <x:c r="Q696" s="7" t="str">
        <x:v>Requires identity and manufacturer-scope completion.</x:v>
      </x:c>
    </x:row>
    <x:row r="697">
      <x:c r="A697" s="6" t="str">
        <x:v>SEQ-DEV-0053</x:v>
      </x:c>
      <x:c r="B697" s="6" t="str">
        <x:v>Device Applicability</x:v>
      </x:c>
      <x:c r="C697" s="6" t="str">
        <x:v>DEVX-0053</x:v>
      </x:c>
      <x:c r="D697" s="6" t="str">
        <x:v>SVC000053</x:v>
      </x:c>
      <x:c r="E697" s="6" t="str"/>
      <x:c r="F697" s="6" t="str">
        <x:v>Device-applicability review</x:v>
      </x:c>
      <x:c r="G697" s="6" t="n">
        <x:v>4</x:v>
      </x:c>
      <x:c r="H697" s="6" t="str">
        <x:v>SIDX-0053;MFRX-0053</x:v>
      </x:c>
      <x:c r="I697" s="6" t="str">
        <x:f>IF(H697="","No upstream dependency",IF(ISNUMBER(SEARCH(";",H697)),"Multiple dependencies - verify source queues",IFERROR(XLOOKUP(H697,C2:C1586,J2:J1586),"Dependency not found")))</x:f>
        <x:v>Multiple dependencies - verify source queues</x:v>
      </x:c>
      <x:c r="J697" s="6" t="str">
        <x:v>Not Started</x:v>
      </x:c>
      <x:c r="K697" s="6" t="str">
        <x:v>Normal</x:v>
      </x:c>
      <x:c r="L697" s="6" t="str"/>
      <x:c r="M697" s="6" t="str"/>
      <x:c r="N697" s="6" t="str"/>
      <x:c r="O697" s="7" t="str"/>
      <x:c r="P697" s="6" t="str">
        <x:v>Yes</x:v>
      </x:c>
      <x:c r="Q697" s="7" t="str">
        <x:v>Requires identity and manufacturer-scope completion.</x:v>
      </x:c>
    </x:row>
    <x:row r="698">
      <x:c r="A698" s="6" t="str">
        <x:v>SEQ-DEV-0054</x:v>
      </x:c>
      <x:c r="B698" s="6" t="str">
        <x:v>Device Applicability</x:v>
      </x:c>
      <x:c r="C698" s="6" t="str">
        <x:v>DEVX-0054</x:v>
      </x:c>
      <x:c r="D698" s="6" t="str">
        <x:v>SVC000054</x:v>
      </x:c>
      <x:c r="E698" s="6" t="str"/>
      <x:c r="F698" s="6" t="str">
        <x:v>Device-applicability review</x:v>
      </x:c>
      <x:c r="G698" s="6" t="n">
        <x:v>4</x:v>
      </x:c>
      <x:c r="H698" s="6" t="str">
        <x:v>SIDX-0054;MFRX-0054</x:v>
      </x:c>
      <x:c r="I698" s="6" t="str">
        <x:f>IF(H698="","No upstream dependency",IF(ISNUMBER(SEARCH(";",H698)),"Multiple dependencies - verify source queues",IFERROR(XLOOKUP(H698,C2:C1586,J2:J1586),"Dependency not found")))</x:f>
        <x:v>Multiple dependencies - verify source queues</x:v>
      </x:c>
      <x:c r="J698" s="6" t="str">
        <x:v>Not Started</x:v>
      </x:c>
      <x:c r="K698" s="6" t="str">
        <x:v>Normal</x:v>
      </x:c>
      <x:c r="L698" s="6" t="str"/>
      <x:c r="M698" s="6" t="str"/>
      <x:c r="N698" s="6" t="str"/>
      <x:c r="O698" s="7" t="str"/>
      <x:c r="P698" s="6" t="str">
        <x:v>Yes</x:v>
      </x:c>
      <x:c r="Q698" s="7" t="str">
        <x:v>Requires identity and manufacturer-scope completion.</x:v>
      </x:c>
    </x:row>
    <x:row r="699">
      <x:c r="A699" s="6" t="str">
        <x:v>SEQ-DEV-0055</x:v>
      </x:c>
      <x:c r="B699" s="6" t="str">
        <x:v>Device Applicability</x:v>
      </x:c>
      <x:c r="C699" s="6" t="str">
        <x:v>DEVX-0055</x:v>
      </x:c>
      <x:c r="D699" s="6" t="str">
        <x:v>SVC000055</x:v>
      </x:c>
      <x:c r="E699" s="6" t="str"/>
      <x:c r="F699" s="6" t="str">
        <x:v>Device-applicability review</x:v>
      </x:c>
      <x:c r="G699" s="6" t="n">
        <x:v>4</x:v>
      </x:c>
      <x:c r="H699" s="6" t="str">
        <x:v>SIDX-0055;MFRX-0055</x:v>
      </x:c>
      <x:c r="I699" s="6" t="str">
        <x:f>IF(H699="","No upstream dependency",IF(ISNUMBER(SEARCH(";",H699)),"Multiple dependencies - verify source queues",IFERROR(XLOOKUP(H699,C2:C1586,J2:J1586),"Dependency not found")))</x:f>
        <x:v>Multiple dependencies - verify source queues</x:v>
      </x:c>
      <x:c r="J699" s="6" t="str">
        <x:v>Not Started</x:v>
      </x:c>
      <x:c r="K699" s="6" t="str">
        <x:v>Normal</x:v>
      </x:c>
      <x:c r="L699" s="6" t="str"/>
      <x:c r="M699" s="6" t="str"/>
      <x:c r="N699" s="6" t="str"/>
      <x:c r="O699" s="7" t="str"/>
      <x:c r="P699" s="6" t="str">
        <x:v>Yes</x:v>
      </x:c>
      <x:c r="Q699" s="7" t="str">
        <x:v>Requires identity and manufacturer-scope completion.</x:v>
      </x:c>
    </x:row>
    <x:row r="700">
      <x:c r="A700" s="6" t="str">
        <x:v>SEQ-DEV-0056</x:v>
      </x:c>
      <x:c r="B700" s="6" t="str">
        <x:v>Device Applicability</x:v>
      </x:c>
      <x:c r="C700" s="6" t="str">
        <x:v>DEVX-0056</x:v>
      </x:c>
      <x:c r="D700" s="6" t="str">
        <x:v>SVC000056</x:v>
      </x:c>
      <x:c r="E700" s="6" t="str"/>
      <x:c r="F700" s="6" t="str">
        <x:v>Device-applicability review</x:v>
      </x:c>
      <x:c r="G700" s="6" t="n">
        <x:v>4</x:v>
      </x:c>
      <x:c r="H700" s="6" t="str">
        <x:v>SIDX-0056;MFRX-0056</x:v>
      </x:c>
      <x:c r="I700" s="6" t="str">
        <x:f>IF(H700="","No upstream dependency",IF(ISNUMBER(SEARCH(";",H700)),"Multiple dependencies - verify source queues",IFERROR(XLOOKUP(H700,C2:C1586,J2:J1586),"Dependency not found")))</x:f>
        <x:v>Multiple dependencies - verify source queues</x:v>
      </x:c>
      <x:c r="J700" s="6" t="str">
        <x:v>Not Started</x:v>
      </x:c>
      <x:c r="K700" s="6" t="str">
        <x:v>Normal</x:v>
      </x:c>
      <x:c r="L700" s="6" t="str"/>
      <x:c r="M700" s="6" t="str"/>
      <x:c r="N700" s="6" t="str"/>
      <x:c r="O700" s="7" t="str"/>
      <x:c r="P700" s="6" t="str">
        <x:v>Yes</x:v>
      </x:c>
      <x:c r="Q700" s="7" t="str">
        <x:v>Requires identity and manufacturer-scope completion.</x:v>
      </x:c>
    </x:row>
    <x:row r="701">
      <x:c r="A701" s="6" t="str">
        <x:v>SEQ-DEV-0057</x:v>
      </x:c>
      <x:c r="B701" s="6" t="str">
        <x:v>Device Applicability</x:v>
      </x:c>
      <x:c r="C701" s="6" t="str">
        <x:v>DEVX-0057</x:v>
      </x:c>
      <x:c r="D701" s="6" t="str">
        <x:v>SVC000057</x:v>
      </x:c>
      <x:c r="E701" s="6" t="str"/>
      <x:c r="F701" s="6" t="str">
        <x:v>Device-applicability review</x:v>
      </x:c>
      <x:c r="G701" s="6" t="n">
        <x:v>4</x:v>
      </x:c>
      <x:c r="H701" s="6" t="str">
        <x:v>SIDX-0057;MFRX-0057</x:v>
      </x:c>
      <x:c r="I701" s="6" t="str">
        <x:f>IF(H701="","No upstream dependency",IF(ISNUMBER(SEARCH(";",H701)),"Multiple dependencies - verify source queues",IFERROR(XLOOKUP(H701,C2:C1586,J2:J1586),"Dependency not found")))</x:f>
        <x:v>Multiple dependencies - verify source queues</x:v>
      </x:c>
      <x:c r="J701" s="6" t="str">
        <x:v>Not Started</x:v>
      </x:c>
      <x:c r="K701" s="6" t="str">
        <x:v>Normal</x:v>
      </x:c>
      <x:c r="L701" s="6" t="str"/>
      <x:c r="M701" s="6" t="str"/>
      <x:c r="N701" s="6" t="str"/>
      <x:c r="O701" s="7" t="str"/>
      <x:c r="P701" s="6" t="str">
        <x:v>Yes</x:v>
      </x:c>
      <x:c r="Q701" s="7" t="str">
        <x:v>Requires identity and manufacturer-scope completion.</x:v>
      </x:c>
    </x:row>
    <x:row r="702">
      <x:c r="A702" s="6" t="str">
        <x:v>SEQ-DEV-0058</x:v>
      </x:c>
      <x:c r="B702" s="6" t="str">
        <x:v>Device Applicability</x:v>
      </x:c>
      <x:c r="C702" s="6" t="str">
        <x:v>DEVX-0058</x:v>
      </x:c>
      <x:c r="D702" s="6" t="str">
        <x:v>SVC000058</x:v>
      </x:c>
      <x:c r="E702" s="6" t="str"/>
      <x:c r="F702" s="6" t="str">
        <x:v>Device-applicability review</x:v>
      </x:c>
      <x:c r="G702" s="6" t="n">
        <x:v>4</x:v>
      </x:c>
      <x:c r="H702" s="6" t="str">
        <x:v>SIDX-0058;MFRX-0058</x:v>
      </x:c>
      <x:c r="I702" s="6" t="str">
        <x:f>IF(H702="","No upstream dependency",IF(ISNUMBER(SEARCH(";",H702)),"Multiple dependencies - verify source queues",IFERROR(XLOOKUP(H702,C2:C1586,J2:J1586),"Dependency not found")))</x:f>
        <x:v>Multiple dependencies - verify source queues</x:v>
      </x:c>
      <x:c r="J702" s="6" t="str">
        <x:v>Not Started</x:v>
      </x:c>
      <x:c r="K702" s="6" t="str">
        <x:v>Normal</x:v>
      </x:c>
      <x:c r="L702" s="6" t="str"/>
      <x:c r="M702" s="6" t="str"/>
      <x:c r="N702" s="6" t="str"/>
      <x:c r="O702" s="7" t="str"/>
      <x:c r="P702" s="6" t="str">
        <x:v>Yes</x:v>
      </x:c>
      <x:c r="Q702" s="7" t="str">
        <x:v>Requires identity and manufacturer-scope completion.</x:v>
      </x:c>
    </x:row>
    <x:row r="703">
      <x:c r="A703" s="6" t="str">
        <x:v>SEQ-DEV-0059</x:v>
      </x:c>
      <x:c r="B703" s="6" t="str">
        <x:v>Device Applicability</x:v>
      </x:c>
      <x:c r="C703" s="6" t="str">
        <x:v>DEVX-0059</x:v>
      </x:c>
      <x:c r="D703" s="6" t="str">
        <x:v>SVC000059</x:v>
      </x:c>
      <x:c r="E703" s="6" t="str"/>
      <x:c r="F703" s="6" t="str">
        <x:v>Device-applicability review</x:v>
      </x:c>
      <x:c r="G703" s="6" t="n">
        <x:v>4</x:v>
      </x:c>
      <x:c r="H703" s="6" t="str">
        <x:v>SIDX-0059;MFRX-0059</x:v>
      </x:c>
      <x:c r="I703" s="6" t="str">
        <x:f>IF(H703="","No upstream dependency",IF(ISNUMBER(SEARCH(";",H703)),"Multiple dependencies - verify source queues",IFERROR(XLOOKUP(H703,C2:C1586,J2:J1586),"Dependency not found")))</x:f>
        <x:v>Multiple dependencies - verify source queues</x:v>
      </x:c>
      <x:c r="J703" s="6" t="str">
        <x:v>Not Started</x:v>
      </x:c>
      <x:c r="K703" s="6" t="str">
        <x:v>Normal</x:v>
      </x:c>
      <x:c r="L703" s="6" t="str"/>
      <x:c r="M703" s="6" t="str"/>
      <x:c r="N703" s="6" t="str"/>
      <x:c r="O703" s="7" t="str"/>
      <x:c r="P703" s="6" t="str">
        <x:v>Yes</x:v>
      </x:c>
      <x:c r="Q703" s="7" t="str">
        <x:v>Requires identity and manufacturer-scope completion.</x:v>
      </x:c>
    </x:row>
    <x:row r="704">
      <x:c r="A704" s="6" t="str">
        <x:v>SEQ-DEV-0060</x:v>
      </x:c>
      <x:c r="B704" s="6" t="str">
        <x:v>Device Applicability</x:v>
      </x:c>
      <x:c r="C704" s="6" t="str">
        <x:v>DEVX-0060</x:v>
      </x:c>
      <x:c r="D704" s="6" t="str">
        <x:v>SVC000060</x:v>
      </x:c>
      <x:c r="E704" s="6" t="str"/>
      <x:c r="F704" s="6" t="str">
        <x:v>Device-applicability review</x:v>
      </x:c>
      <x:c r="G704" s="6" t="n">
        <x:v>4</x:v>
      </x:c>
      <x:c r="H704" s="6" t="str">
        <x:v>SIDX-0060;MFRX-0060</x:v>
      </x:c>
      <x:c r="I704" s="6" t="str">
        <x:f>IF(H704="","No upstream dependency",IF(ISNUMBER(SEARCH(";",H704)),"Multiple dependencies - verify source queues",IFERROR(XLOOKUP(H704,C2:C1586,J2:J1586),"Dependency not found")))</x:f>
        <x:v>Multiple dependencies - verify source queues</x:v>
      </x:c>
      <x:c r="J704" s="6" t="str">
        <x:v>Not Started</x:v>
      </x:c>
      <x:c r="K704" s="6" t="str">
        <x:v>Normal</x:v>
      </x:c>
      <x:c r="L704" s="6" t="str"/>
      <x:c r="M704" s="6" t="str"/>
      <x:c r="N704" s="6" t="str"/>
      <x:c r="O704" s="7" t="str"/>
      <x:c r="P704" s="6" t="str">
        <x:v>Yes</x:v>
      </x:c>
      <x:c r="Q704" s="7" t="str">
        <x:v>Requires identity and manufacturer-scope completion.</x:v>
      </x:c>
    </x:row>
    <x:row r="705">
      <x:c r="A705" s="6" t="str">
        <x:v>SEQ-DEV-0061</x:v>
      </x:c>
      <x:c r="B705" s="6" t="str">
        <x:v>Device Applicability</x:v>
      </x:c>
      <x:c r="C705" s="6" t="str">
        <x:v>DEVX-0061</x:v>
      </x:c>
      <x:c r="D705" s="6" t="str">
        <x:v>SVC000061</x:v>
      </x:c>
      <x:c r="E705" s="6" t="str"/>
      <x:c r="F705" s="6" t="str">
        <x:v>Device-applicability review</x:v>
      </x:c>
      <x:c r="G705" s="6" t="n">
        <x:v>4</x:v>
      </x:c>
      <x:c r="H705" s="6" t="str">
        <x:v>SIDX-0061;MFRX-0061</x:v>
      </x:c>
      <x:c r="I705" s="6" t="str">
        <x:f>IF(H705="","No upstream dependency",IF(ISNUMBER(SEARCH(";",H705)),"Multiple dependencies - verify source queues",IFERROR(XLOOKUP(H705,C2:C1586,J2:J1586),"Dependency not found")))</x:f>
        <x:v>Multiple dependencies - verify source queues</x:v>
      </x:c>
      <x:c r="J705" s="6" t="str">
        <x:v>Not Started</x:v>
      </x:c>
      <x:c r="K705" s="6" t="str">
        <x:v>Normal</x:v>
      </x:c>
      <x:c r="L705" s="6" t="str"/>
      <x:c r="M705" s="6" t="str"/>
      <x:c r="N705" s="6" t="str"/>
      <x:c r="O705" s="7" t="str"/>
      <x:c r="P705" s="6" t="str">
        <x:v>Yes</x:v>
      </x:c>
      <x:c r="Q705" s="7" t="str">
        <x:v>Requires identity and manufacturer-scope completion.</x:v>
      </x:c>
    </x:row>
    <x:row r="706">
      <x:c r="A706" s="6" t="str">
        <x:v>SEQ-DEV-0062</x:v>
      </x:c>
      <x:c r="B706" s="6" t="str">
        <x:v>Device Applicability</x:v>
      </x:c>
      <x:c r="C706" s="6" t="str">
        <x:v>DEVX-0062</x:v>
      </x:c>
      <x:c r="D706" s="6" t="str">
        <x:v>SVC000062</x:v>
      </x:c>
      <x:c r="E706" s="6" t="str"/>
      <x:c r="F706" s="6" t="str">
        <x:v>Device-applicability review</x:v>
      </x:c>
      <x:c r="G706" s="6" t="n">
        <x:v>4</x:v>
      </x:c>
      <x:c r="H706" s="6" t="str">
        <x:v>SIDX-0062;MFRX-0062</x:v>
      </x:c>
      <x:c r="I706" s="6" t="str">
        <x:f>IF(H706="","No upstream dependency",IF(ISNUMBER(SEARCH(";",H706)),"Multiple dependencies - verify source queues",IFERROR(XLOOKUP(H706,C2:C1586,J2:J1586),"Dependency not found")))</x:f>
        <x:v>Multiple dependencies - verify source queues</x:v>
      </x:c>
      <x:c r="J706" s="6" t="str">
        <x:v>Not Started</x:v>
      </x:c>
      <x:c r="K706" s="6" t="str">
        <x:v>Normal</x:v>
      </x:c>
      <x:c r="L706" s="6" t="str"/>
      <x:c r="M706" s="6" t="str"/>
      <x:c r="N706" s="6" t="str"/>
      <x:c r="O706" s="7" t="str"/>
      <x:c r="P706" s="6" t="str">
        <x:v>Yes</x:v>
      </x:c>
      <x:c r="Q706" s="7" t="str">
        <x:v>Requires identity and manufacturer-scope completion.</x:v>
      </x:c>
    </x:row>
    <x:row r="707">
      <x:c r="A707" s="6" t="str">
        <x:v>SEQ-DEV-0063</x:v>
      </x:c>
      <x:c r="B707" s="6" t="str">
        <x:v>Device Applicability</x:v>
      </x:c>
      <x:c r="C707" s="6" t="str">
        <x:v>DEVX-0063</x:v>
      </x:c>
      <x:c r="D707" s="6" t="str">
        <x:v>SVC000063</x:v>
      </x:c>
      <x:c r="E707" s="6" t="str"/>
      <x:c r="F707" s="6" t="str">
        <x:v>Device-applicability review</x:v>
      </x:c>
      <x:c r="G707" s="6" t="n">
        <x:v>4</x:v>
      </x:c>
      <x:c r="H707" s="6" t="str">
        <x:v>SIDX-0063;MFRX-0063</x:v>
      </x:c>
      <x:c r="I707" s="6" t="str">
        <x:f>IF(H707="","No upstream dependency",IF(ISNUMBER(SEARCH(";",H707)),"Multiple dependencies - verify source queues",IFERROR(XLOOKUP(H707,C2:C1586,J2:J1586),"Dependency not found")))</x:f>
        <x:v>Multiple dependencies - verify source queues</x:v>
      </x:c>
      <x:c r="J707" s="6" t="str">
        <x:v>Not Started</x:v>
      </x:c>
      <x:c r="K707" s="6" t="str">
        <x:v>Normal</x:v>
      </x:c>
      <x:c r="L707" s="6" t="str"/>
      <x:c r="M707" s="6" t="str"/>
      <x:c r="N707" s="6" t="str"/>
      <x:c r="O707" s="7" t="str"/>
      <x:c r="P707" s="6" t="str">
        <x:v>Yes</x:v>
      </x:c>
      <x:c r="Q707" s="7" t="str">
        <x:v>Requires identity and manufacturer-scope completion.</x:v>
      </x:c>
    </x:row>
    <x:row r="708">
      <x:c r="A708" s="6" t="str">
        <x:v>SEQ-DEV-0064</x:v>
      </x:c>
      <x:c r="B708" s="6" t="str">
        <x:v>Device Applicability</x:v>
      </x:c>
      <x:c r="C708" s="6" t="str">
        <x:v>DEVX-0064</x:v>
      </x:c>
      <x:c r="D708" s="6" t="str">
        <x:v>SVC000064</x:v>
      </x:c>
      <x:c r="E708" s="6" t="str"/>
      <x:c r="F708" s="6" t="str">
        <x:v>Device-applicability review</x:v>
      </x:c>
      <x:c r="G708" s="6" t="n">
        <x:v>4</x:v>
      </x:c>
      <x:c r="H708" s="6" t="str">
        <x:v>SIDX-0064;MFRX-0064</x:v>
      </x:c>
      <x:c r="I708" s="6" t="str">
        <x:f>IF(H708="","No upstream dependency",IF(ISNUMBER(SEARCH(";",H708)),"Multiple dependencies - verify source queues",IFERROR(XLOOKUP(H708,C2:C1586,J2:J1586),"Dependency not found")))</x:f>
        <x:v>Multiple dependencies - verify source queues</x:v>
      </x:c>
      <x:c r="J708" s="6" t="str">
        <x:v>Not Started</x:v>
      </x:c>
      <x:c r="K708" s="6" t="str">
        <x:v>Normal</x:v>
      </x:c>
      <x:c r="L708" s="6" t="str"/>
      <x:c r="M708" s="6" t="str"/>
      <x:c r="N708" s="6" t="str"/>
      <x:c r="O708" s="7" t="str"/>
      <x:c r="P708" s="6" t="str">
        <x:v>Yes</x:v>
      </x:c>
      <x:c r="Q708" s="7" t="str">
        <x:v>Requires identity and manufacturer-scope completion.</x:v>
      </x:c>
    </x:row>
    <x:row r="709">
      <x:c r="A709" s="6" t="str">
        <x:v>SEQ-DEV-0065</x:v>
      </x:c>
      <x:c r="B709" s="6" t="str">
        <x:v>Device Applicability</x:v>
      </x:c>
      <x:c r="C709" s="6" t="str">
        <x:v>DEVX-0065</x:v>
      </x:c>
      <x:c r="D709" s="6" t="str">
        <x:v>SVC000065</x:v>
      </x:c>
      <x:c r="E709" s="6" t="str"/>
      <x:c r="F709" s="6" t="str">
        <x:v>Device-applicability review</x:v>
      </x:c>
      <x:c r="G709" s="6" t="n">
        <x:v>4</x:v>
      </x:c>
      <x:c r="H709" s="6" t="str">
        <x:v>SIDX-0065;MFRX-0065</x:v>
      </x:c>
      <x:c r="I709" s="6" t="str">
        <x:f>IF(H709="","No upstream dependency",IF(ISNUMBER(SEARCH(";",H709)),"Multiple dependencies - verify source queues",IFERROR(XLOOKUP(H709,C2:C1586,J2:J1586),"Dependency not found")))</x:f>
        <x:v>Multiple dependencies - verify source queues</x:v>
      </x:c>
      <x:c r="J709" s="6" t="str">
        <x:v>Not Started</x:v>
      </x:c>
      <x:c r="K709" s="6" t="str">
        <x:v>Normal</x:v>
      </x:c>
      <x:c r="L709" s="6" t="str"/>
      <x:c r="M709" s="6" t="str"/>
      <x:c r="N709" s="6" t="str"/>
      <x:c r="O709" s="7" t="str"/>
      <x:c r="P709" s="6" t="str">
        <x:v>Yes</x:v>
      </x:c>
      <x:c r="Q709" s="7" t="str">
        <x:v>Requires identity and manufacturer-scope completion.</x:v>
      </x:c>
    </x:row>
    <x:row r="710">
      <x:c r="A710" s="6" t="str">
        <x:v>SEQ-DEV-0066</x:v>
      </x:c>
      <x:c r="B710" s="6" t="str">
        <x:v>Device Applicability</x:v>
      </x:c>
      <x:c r="C710" s="6" t="str">
        <x:v>DEVX-0066</x:v>
      </x:c>
      <x:c r="D710" s="6" t="str">
        <x:v>SVC000066</x:v>
      </x:c>
      <x:c r="E710" s="6" t="str"/>
      <x:c r="F710" s="6" t="str">
        <x:v>Device-applicability review</x:v>
      </x:c>
      <x:c r="G710" s="6" t="n">
        <x:v>4</x:v>
      </x:c>
      <x:c r="H710" s="6" t="str">
        <x:v>SIDX-0066;MFRX-0066</x:v>
      </x:c>
      <x:c r="I710" s="6" t="str">
        <x:f>IF(H710="","No upstream dependency",IF(ISNUMBER(SEARCH(";",H710)),"Multiple dependencies - verify source queues",IFERROR(XLOOKUP(H710,C2:C1586,J2:J1586),"Dependency not found")))</x:f>
        <x:v>Multiple dependencies - verify source queues</x:v>
      </x:c>
      <x:c r="J710" s="6" t="str">
        <x:v>Not Started</x:v>
      </x:c>
      <x:c r="K710" s="6" t="str">
        <x:v>Normal</x:v>
      </x:c>
      <x:c r="L710" s="6" t="str"/>
      <x:c r="M710" s="6" t="str"/>
      <x:c r="N710" s="6" t="str"/>
      <x:c r="O710" s="7" t="str"/>
      <x:c r="P710" s="6" t="str">
        <x:v>Yes</x:v>
      </x:c>
      <x:c r="Q710" s="7" t="str">
        <x:v>Requires identity and manufacturer-scope completion.</x:v>
      </x:c>
    </x:row>
    <x:row r="711">
      <x:c r="A711" s="6" t="str">
        <x:v>SEQ-DEV-0067</x:v>
      </x:c>
      <x:c r="B711" s="6" t="str">
        <x:v>Device Applicability</x:v>
      </x:c>
      <x:c r="C711" s="6" t="str">
        <x:v>DEVX-0067</x:v>
      </x:c>
      <x:c r="D711" s="6" t="str">
        <x:v>SVC000067</x:v>
      </x:c>
      <x:c r="E711" s="6" t="str"/>
      <x:c r="F711" s="6" t="str">
        <x:v>Device-applicability review</x:v>
      </x:c>
      <x:c r="G711" s="6" t="n">
        <x:v>4</x:v>
      </x:c>
      <x:c r="H711" s="6" t="str">
        <x:v>SIDX-0067;MFRX-0067</x:v>
      </x:c>
      <x:c r="I711" s="6" t="str">
        <x:f>IF(H711="","No upstream dependency",IF(ISNUMBER(SEARCH(";",H711)),"Multiple dependencies - verify source queues",IFERROR(XLOOKUP(H711,C2:C1586,J2:J1586),"Dependency not found")))</x:f>
        <x:v>Multiple dependencies - verify source queues</x:v>
      </x:c>
      <x:c r="J711" s="6" t="str">
        <x:v>Not Started</x:v>
      </x:c>
      <x:c r="K711" s="6" t="str">
        <x:v>Normal</x:v>
      </x:c>
      <x:c r="L711" s="6" t="str"/>
      <x:c r="M711" s="6" t="str"/>
      <x:c r="N711" s="6" t="str"/>
      <x:c r="O711" s="7" t="str"/>
      <x:c r="P711" s="6" t="str">
        <x:v>Yes</x:v>
      </x:c>
      <x:c r="Q711" s="7" t="str">
        <x:v>Requires identity and manufacturer-scope completion.</x:v>
      </x:c>
    </x:row>
    <x:row r="712">
      <x:c r="A712" s="6" t="str">
        <x:v>SEQ-DEV-0068</x:v>
      </x:c>
      <x:c r="B712" s="6" t="str">
        <x:v>Device Applicability</x:v>
      </x:c>
      <x:c r="C712" s="6" t="str">
        <x:v>DEVX-0068</x:v>
      </x:c>
      <x:c r="D712" s="6" t="str">
        <x:v>SVC000068</x:v>
      </x:c>
      <x:c r="E712" s="6" t="str"/>
      <x:c r="F712" s="6" t="str">
        <x:v>Device-applicability review</x:v>
      </x:c>
      <x:c r="G712" s="6" t="n">
        <x:v>4</x:v>
      </x:c>
      <x:c r="H712" s="6" t="str">
        <x:v>SIDX-0068;MFRX-0068</x:v>
      </x:c>
      <x:c r="I712" s="6" t="str">
        <x:f>IF(H712="","No upstream dependency",IF(ISNUMBER(SEARCH(";",H712)),"Multiple dependencies - verify source queues",IFERROR(XLOOKUP(H712,C2:C1586,J2:J1586),"Dependency not found")))</x:f>
        <x:v>Multiple dependencies - verify source queues</x:v>
      </x:c>
      <x:c r="J712" s="6" t="str">
        <x:v>Not Started</x:v>
      </x:c>
      <x:c r="K712" s="6" t="str">
        <x:v>Normal</x:v>
      </x:c>
      <x:c r="L712" s="6" t="str"/>
      <x:c r="M712" s="6" t="str"/>
      <x:c r="N712" s="6" t="str"/>
      <x:c r="O712" s="7" t="str"/>
      <x:c r="P712" s="6" t="str">
        <x:v>Yes</x:v>
      </x:c>
      <x:c r="Q712" s="7" t="str">
        <x:v>Requires identity and manufacturer-scope completion.</x:v>
      </x:c>
    </x:row>
    <x:row r="713">
      <x:c r="A713" s="6" t="str">
        <x:v>SEQ-DEV-0069</x:v>
      </x:c>
      <x:c r="B713" s="6" t="str">
        <x:v>Device Applicability</x:v>
      </x:c>
      <x:c r="C713" s="6" t="str">
        <x:v>DEVX-0069</x:v>
      </x:c>
      <x:c r="D713" s="6" t="str">
        <x:v>SVC000069</x:v>
      </x:c>
      <x:c r="E713" s="6" t="str"/>
      <x:c r="F713" s="6" t="str">
        <x:v>Device-applicability review</x:v>
      </x:c>
      <x:c r="G713" s="6" t="n">
        <x:v>4</x:v>
      </x:c>
      <x:c r="H713" s="6" t="str">
        <x:v>SIDX-0069;MFRX-0069</x:v>
      </x:c>
      <x:c r="I713" s="6" t="str">
        <x:f>IF(H713="","No upstream dependency",IF(ISNUMBER(SEARCH(";",H713)),"Multiple dependencies - verify source queues",IFERROR(XLOOKUP(H713,C2:C1586,J2:J1586),"Dependency not found")))</x:f>
        <x:v>Multiple dependencies - verify source queues</x:v>
      </x:c>
      <x:c r="J713" s="6" t="str">
        <x:v>Not Started</x:v>
      </x:c>
      <x:c r="K713" s="6" t="str">
        <x:v>Normal</x:v>
      </x:c>
      <x:c r="L713" s="6" t="str"/>
      <x:c r="M713" s="6" t="str"/>
      <x:c r="N713" s="6" t="str"/>
      <x:c r="O713" s="7" t="str"/>
      <x:c r="P713" s="6" t="str">
        <x:v>Yes</x:v>
      </x:c>
      <x:c r="Q713" s="7" t="str">
        <x:v>Requires identity and manufacturer-scope completion.</x:v>
      </x:c>
    </x:row>
    <x:row r="714">
      <x:c r="A714" s="6" t="str">
        <x:v>SEQ-DEV-0070</x:v>
      </x:c>
      <x:c r="B714" s="6" t="str">
        <x:v>Device Applicability</x:v>
      </x:c>
      <x:c r="C714" s="6" t="str">
        <x:v>DEVX-0070</x:v>
      </x:c>
      <x:c r="D714" s="6" t="str">
        <x:v>SVC000070</x:v>
      </x:c>
      <x:c r="E714" s="6" t="str"/>
      <x:c r="F714" s="6" t="str">
        <x:v>Device-applicability review</x:v>
      </x:c>
      <x:c r="G714" s="6" t="n">
        <x:v>4</x:v>
      </x:c>
      <x:c r="H714" s="6" t="str">
        <x:v>SIDX-0070;MFRX-0070</x:v>
      </x:c>
      <x:c r="I714" s="6" t="str">
        <x:f>IF(H714="","No upstream dependency",IF(ISNUMBER(SEARCH(";",H714)),"Multiple dependencies - verify source queues",IFERROR(XLOOKUP(H714,C2:C1586,J2:J1586),"Dependency not found")))</x:f>
        <x:v>Multiple dependencies - verify source queues</x:v>
      </x:c>
      <x:c r="J714" s="6" t="str">
        <x:v>Not Started</x:v>
      </x:c>
      <x:c r="K714" s="6" t="str">
        <x:v>Normal</x:v>
      </x:c>
      <x:c r="L714" s="6" t="str"/>
      <x:c r="M714" s="6" t="str"/>
      <x:c r="N714" s="6" t="str"/>
      <x:c r="O714" s="7" t="str"/>
      <x:c r="P714" s="6" t="str">
        <x:v>Yes</x:v>
      </x:c>
      <x:c r="Q714" s="7" t="str">
        <x:v>Requires identity and manufacturer-scope completion.</x:v>
      </x:c>
    </x:row>
    <x:row r="715">
      <x:c r="A715" s="6" t="str">
        <x:v>SEQ-DEV-0071</x:v>
      </x:c>
      <x:c r="B715" s="6" t="str">
        <x:v>Device Applicability</x:v>
      </x:c>
      <x:c r="C715" s="6" t="str">
        <x:v>DEVX-0071</x:v>
      </x:c>
      <x:c r="D715" s="6" t="str">
        <x:v>SVC000071</x:v>
      </x:c>
      <x:c r="E715" s="6" t="str"/>
      <x:c r="F715" s="6" t="str">
        <x:v>Device-applicability review</x:v>
      </x:c>
      <x:c r="G715" s="6" t="n">
        <x:v>4</x:v>
      </x:c>
      <x:c r="H715" s="6" t="str">
        <x:v>SIDX-0071;MFRX-0071</x:v>
      </x:c>
      <x:c r="I715" s="6" t="str">
        <x:f>IF(H715="","No upstream dependency",IF(ISNUMBER(SEARCH(";",H715)),"Multiple dependencies - verify source queues",IFERROR(XLOOKUP(H715,C2:C1586,J2:J1586),"Dependency not found")))</x:f>
        <x:v>Multiple dependencies - verify source queues</x:v>
      </x:c>
      <x:c r="J715" s="6" t="str">
        <x:v>Not Started</x:v>
      </x:c>
      <x:c r="K715" s="6" t="str">
        <x:v>Normal</x:v>
      </x:c>
      <x:c r="L715" s="6" t="str"/>
      <x:c r="M715" s="6" t="str"/>
      <x:c r="N715" s="6" t="str"/>
      <x:c r="O715" s="7" t="str"/>
      <x:c r="P715" s="6" t="str">
        <x:v>Yes</x:v>
      </x:c>
      <x:c r="Q715" s="7" t="str">
        <x:v>Requires identity and manufacturer-scope completion.</x:v>
      </x:c>
    </x:row>
    <x:row r="716">
      <x:c r="A716" s="6" t="str">
        <x:v>SEQ-DEV-0072</x:v>
      </x:c>
      <x:c r="B716" s="6" t="str">
        <x:v>Device Applicability</x:v>
      </x:c>
      <x:c r="C716" s="6" t="str">
        <x:v>DEVX-0072</x:v>
      </x:c>
      <x:c r="D716" s="6" t="str">
        <x:v>SVC000072</x:v>
      </x:c>
      <x:c r="E716" s="6" t="str"/>
      <x:c r="F716" s="6" t="str">
        <x:v>Device-applicability review</x:v>
      </x:c>
      <x:c r="G716" s="6" t="n">
        <x:v>4</x:v>
      </x:c>
      <x:c r="H716" s="6" t="str">
        <x:v>SIDX-0072;MFRX-0072</x:v>
      </x:c>
      <x:c r="I716" s="6" t="str">
        <x:f>IF(H716="","No upstream dependency",IF(ISNUMBER(SEARCH(";",H716)),"Multiple dependencies - verify source queues",IFERROR(XLOOKUP(H716,C2:C1586,J2:J1586),"Dependency not found")))</x:f>
        <x:v>Multiple dependencies - verify source queues</x:v>
      </x:c>
      <x:c r="J716" s="6" t="str">
        <x:v>Not Started</x:v>
      </x:c>
      <x:c r="K716" s="6" t="str">
        <x:v>Normal</x:v>
      </x:c>
      <x:c r="L716" s="6" t="str"/>
      <x:c r="M716" s="6" t="str"/>
      <x:c r="N716" s="6" t="str"/>
      <x:c r="O716" s="7" t="str"/>
      <x:c r="P716" s="6" t="str">
        <x:v>Yes</x:v>
      </x:c>
      <x:c r="Q716" s="7" t="str">
        <x:v>Requires identity and manufacturer-scope completion.</x:v>
      </x:c>
    </x:row>
    <x:row r="717">
      <x:c r="A717" s="6" t="str">
        <x:v>SEQ-DEV-0073</x:v>
      </x:c>
      <x:c r="B717" s="6" t="str">
        <x:v>Device Applicability</x:v>
      </x:c>
      <x:c r="C717" s="6" t="str">
        <x:v>DEVX-0073</x:v>
      </x:c>
      <x:c r="D717" s="6" t="str">
        <x:v>SVC000073</x:v>
      </x:c>
      <x:c r="E717" s="6" t="str"/>
      <x:c r="F717" s="6" t="str">
        <x:v>Device-applicability review</x:v>
      </x:c>
      <x:c r="G717" s="6" t="n">
        <x:v>4</x:v>
      </x:c>
      <x:c r="H717" s="6" t="str">
        <x:v>SIDX-0073;MFRX-0073</x:v>
      </x:c>
      <x:c r="I717" s="6" t="str">
        <x:f>IF(H717="","No upstream dependency",IF(ISNUMBER(SEARCH(";",H717)),"Multiple dependencies - verify source queues",IFERROR(XLOOKUP(H717,C2:C1586,J2:J1586),"Dependency not found")))</x:f>
        <x:v>Multiple dependencies - verify source queues</x:v>
      </x:c>
      <x:c r="J717" s="6" t="str">
        <x:v>Not Started</x:v>
      </x:c>
      <x:c r="K717" s="6" t="str">
        <x:v>Normal</x:v>
      </x:c>
      <x:c r="L717" s="6" t="str"/>
      <x:c r="M717" s="6" t="str"/>
      <x:c r="N717" s="6" t="str"/>
      <x:c r="O717" s="7" t="str"/>
      <x:c r="P717" s="6" t="str">
        <x:v>Yes</x:v>
      </x:c>
      <x:c r="Q717" s="7" t="str">
        <x:v>Requires identity and manufacturer-scope completion.</x:v>
      </x:c>
    </x:row>
    <x:row r="718">
      <x:c r="A718" s="6" t="str">
        <x:v>SEQ-DEV-0074</x:v>
      </x:c>
      <x:c r="B718" s="6" t="str">
        <x:v>Device Applicability</x:v>
      </x:c>
      <x:c r="C718" s="6" t="str">
        <x:v>DEVX-0074</x:v>
      </x:c>
      <x:c r="D718" s="6" t="str">
        <x:v>SVC000074</x:v>
      </x:c>
      <x:c r="E718" s="6" t="str"/>
      <x:c r="F718" s="6" t="str">
        <x:v>Device-applicability review</x:v>
      </x:c>
      <x:c r="G718" s="6" t="n">
        <x:v>4</x:v>
      </x:c>
      <x:c r="H718" s="6" t="str">
        <x:v>SIDX-0074;MFRX-0074</x:v>
      </x:c>
      <x:c r="I718" s="6" t="str">
        <x:f>IF(H718="","No upstream dependency",IF(ISNUMBER(SEARCH(";",H718)),"Multiple dependencies - verify source queues",IFERROR(XLOOKUP(H718,C2:C1586,J2:J1586),"Dependency not found")))</x:f>
        <x:v>Multiple dependencies - verify source queues</x:v>
      </x:c>
      <x:c r="J718" s="6" t="str">
        <x:v>Not Started</x:v>
      </x:c>
      <x:c r="K718" s="6" t="str">
        <x:v>Normal</x:v>
      </x:c>
      <x:c r="L718" s="6" t="str"/>
      <x:c r="M718" s="6" t="str"/>
      <x:c r="N718" s="6" t="str"/>
      <x:c r="O718" s="7" t="str"/>
      <x:c r="P718" s="6" t="str">
        <x:v>Yes</x:v>
      </x:c>
      <x:c r="Q718" s="7" t="str">
        <x:v>Requires identity and manufacturer-scope completion.</x:v>
      </x:c>
    </x:row>
    <x:row r="719">
      <x:c r="A719" s="6" t="str">
        <x:v>SEQ-DEV-0075</x:v>
      </x:c>
      <x:c r="B719" s="6" t="str">
        <x:v>Device Applicability</x:v>
      </x:c>
      <x:c r="C719" s="6" t="str">
        <x:v>DEVX-0075</x:v>
      </x:c>
      <x:c r="D719" s="6" t="str">
        <x:v>SVC000075</x:v>
      </x:c>
      <x:c r="E719" s="6" t="str"/>
      <x:c r="F719" s="6" t="str">
        <x:v>Device-applicability review</x:v>
      </x:c>
      <x:c r="G719" s="6" t="n">
        <x:v>4</x:v>
      </x:c>
      <x:c r="H719" s="6" t="str">
        <x:v>SIDX-0075;MFRX-0075</x:v>
      </x:c>
      <x:c r="I719" s="6" t="str">
        <x:f>IF(H719="","No upstream dependency",IF(ISNUMBER(SEARCH(";",H719)),"Multiple dependencies - verify source queues",IFERROR(XLOOKUP(H719,C2:C1586,J2:J1586),"Dependency not found")))</x:f>
        <x:v>Multiple dependencies - verify source queues</x:v>
      </x:c>
      <x:c r="J719" s="6" t="str">
        <x:v>Not Started</x:v>
      </x:c>
      <x:c r="K719" s="6" t="str">
        <x:v>Normal</x:v>
      </x:c>
      <x:c r="L719" s="6" t="str"/>
      <x:c r="M719" s="6" t="str"/>
      <x:c r="N719" s="6" t="str"/>
      <x:c r="O719" s="7" t="str"/>
      <x:c r="P719" s="6" t="str">
        <x:v>Yes</x:v>
      </x:c>
      <x:c r="Q719" s="7" t="str">
        <x:v>Requires identity and manufacturer-scope completion.</x:v>
      </x:c>
    </x:row>
    <x:row r="720">
      <x:c r="A720" s="6" t="str">
        <x:v>SEQ-DEV-0076</x:v>
      </x:c>
      <x:c r="B720" s="6" t="str">
        <x:v>Device Applicability</x:v>
      </x:c>
      <x:c r="C720" s="6" t="str">
        <x:v>DEVX-0076</x:v>
      </x:c>
      <x:c r="D720" s="6" t="str">
        <x:v>SVC000076</x:v>
      </x:c>
      <x:c r="E720" s="6" t="str"/>
      <x:c r="F720" s="6" t="str">
        <x:v>Device-applicability review</x:v>
      </x:c>
      <x:c r="G720" s="6" t="n">
        <x:v>4</x:v>
      </x:c>
      <x:c r="H720" s="6" t="str">
        <x:v>SIDX-0076;MFRX-0076</x:v>
      </x:c>
      <x:c r="I720" s="6" t="str">
        <x:f>IF(H720="","No upstream dependency",IF(ISNUMBER(SEARCH(";",H720)),"Multiple dependencies - verify source queues",IFERROR(XLOOKUP(H720,C2:C1586,J2:J1586),"Dependency not found")))</x:f>
        <x:v>Multiple dependencies - verify source queues</x:v>
      </x:c>
      <x:c r="J720" s="6" t="str">
        <x:v>Not Started</x:v>
      </x:c>
      <x:c r="K720" s="6" t="str">
        <x:v>Normal</x:v>
      </x:c>
      <x:c r="L720" s="6" t="str"/>
      <x:c r="M720" s="6" t="str"/>
      <x:c r="N720" s="6" t="str"/>
      <x:c r="O720" s="7" t="str"/>
      <x:c r="P720" s="6" t="str">
        <x:v>Yes</x:v>
      </x:c>
      <x:c r="Q720" s="7" t="str">
        <x:v>Requires identity and manufacturer-scope completion.</x:v>
      </x:c>
    </x:row>
    <x:row r="721">
      <x:c r="A721" s="6" t="str">
        <x:v>SEQ-DEV-0077</x:v>
      </x:c>
      <x:c r="B721" s="6" t="str">
        <x:v>Device Applicability</x:v>
      </x:c>
      <x:c r="C721" s="6" t="str">
        <x:v>DEVX-0077</x:v>
      </x:c>
      <x:c r="D721" s="6" t="str">
        <x:v>SVC000077</x:v>
      </x:c>
      <x:c r="E721" s="6" t="str"/>
      <x:c r="F721" s="6" t="str">
        <x:v>Device-applicability review</x:v>
      </x:c>
      <x:c r="G721" s="6" t="n">
        <x:v>4</x:v>
      </x:c>
      <x:c r="H721" s="6" t="str">
        <x:v>SIDX-0077;MFRX-0077</x:v>
      </x:c>
      <x:c r="I721" s="6" t="str">
        <x:f>IF(H721="","No upstream dependency",IF(ISNUMBER(SEARCH(";",H721)),"Multiple dependencies - verify source queues",IFERROR(XLOOKUP(H721,C2:C1586,J2:J1586),"Dependency not found")))</x:f>
        <x:v>Multiple dependencies - verify source queues</x:v>
      </x:c>
      <x:c r="J721" s="6" t="str">
        <x:v>Not Started</x:v>
      </x:c>
      <x:c r="K721" s="6" t="str">
        <x:v>Normal</x:v>
      </x:c>
      <x:c r="L721" s="6" t="str"/>
      <x:c r="M721" s="6" t="str"/>
      <x:c r="N721" s="6" t="str"/>
      <x:c r="O721" s="7" t="str"/>
      <x:c r="P721" s="6" t="str">
        <x:v>Yes</x:v>
      </x:c>
      <x:c r="Q721" s="7" t="str">
        <x:v>Requires identity and manufacturer-scope completion.</x:v>
      </x:c>
    </x:row>
    <x:row r="722">
      <x:c r="A722" s="6" t="str">
        <x:v>SEQ-DEV-0078</x:v>
      </x:c>
      <x:c r="B722" s="6" t="str">
        <x:v>Device Applicability</x:v>
      </x:c>
      <x:c r="C722" s="6" t="str">
        <x:v>DEVX-0078</x:v>
      </x:c>
      <x:c r="D722" s="6" t="str">
        <x:v>SVC000078</x:v>
      </x:c>
      <x:c r="E722" s="6" t="str"/>
      <x:c r="F722" s="6" t="str">
        <x:v>Device-applicability review</x:v>
      </x:c>
      <x:c r="G722" s="6" t="n">
        <x:v>4</x:v>
      </x:c>
      <x:c r="H722" s="6" t="str">
        <x:v>SIDX-0078;MFRX-0078</x:v>
      </x:c>
      <x:c r="I722" s="6" t="str">
        <x:f>IF(H722="","No upstream dependency",IF(ISNUMBER(SEARCH(";",H722)),"Multiple dependencies - verify source queues",IFERROR(XLOOKUP(H722,C2:C1586,J2:J1586),"Dependency not found")))</x:f>
        <x:v>Multiple dependencies - verify source queues</x:v>
      </x:c>
      <x:c r="J722" s="6" t="str">
        <x:v>Not Started</x:v>
      </x:c>
      <x:c r="K722" s="6" t="str">
        <x:v>Normal</x:v>
      </x:c>
      <x:c r="L722" s="6" t="str"/>
      <x:c r="M722" s="6" t="str"/>
      <x:c r="N722" s="6" t="str"/>
      <x:c r="O722" s="7" t="str"/>
      <x:c r="P722" s="6" t="str">
        <x:v>Yes</x:v>
      </x:c>
      <x:c r="Q722" s="7" t="str">
        <x:v>Requires identity and manufacturer-scope completion.</x:v>
      </x:c>
    </x:row>
    <x:row r="723">
      <x:c r="A723" s="6" t="str">
        <x:v>SEQ-DEV-0079</x:v>
      </x:c>
      <x:c r="B723" s="6" t="str">
        <x:v>Device Applicability</x:v>
      </x:c>
      <x:c r="C723" s="6" t="str">
        <x:v>DEVX-0079</x:v>
      </x:c>
      <x:c r="D723" s="6" t="str">
        <x:v>SVC000079</x:v>
      </x:c>
      <x:c r="E723" s="6" t="str"/>
      <x:c r="F723" s="6" t="str">
        <x:v>Device-applicability review</x:v>
      </x:c>
      <x:c r="G723" s="6" t="n">
        <x:v>4</x:v>
      </x:c>
      <x:c r="H723" s="6" t="str">
        <x:v>SIDX-0079;MFRX-0079</x:v>
      </x:c>
      <x:c r="I723" s="6" t="str">
        <x:f>IF(H723="","No upstream dependency",IF(ISNUMBER(SEARCH(";",H723)),"Multiple dependencies - verify source queues",IFERROR(XLOOKUP(H723,C2:C1586,J2:J1586),"Dependency not found")))</x:f>
        <x:v>Multiple dependencies - verify source queues</x:v>
      </x:c>
      <x:c r="J723" s="6" t="str">
        <x:v>Not Started</x:v>
      </x:c>
      <x:c r="K723" s="6" t="str">
        <x:v>Normal</x:v>
      </x:c>
      <x:c r="L723" s="6" t="str"/>
      <x:c r="M723" s="6" t="str"/>
      <x:c r="N723" s="6" t="str"/>
      <x:c r="O723" s="7" t="str"/>
      <x:c r="P723" s="6" t="str">
        <x:v>Yes</x:v>
      </x:c>
      <x:c r="Q723" s="7" t="str">
        <x:v>Requires identity and manufacturer-scope completion.</x:v>
      </x:c>
    </x:row>
    <x:row r="724">
      <x:c r="A724" s="6" t="str">
        <x:v>SEQ-DEV-0080</x:v>
      </x:c>
      <x:c r="B724" s="6" t="str">
        <x:v>Device Applicability</x:v>
      </x:c>
      <x:c r="C724" s="6" t="str">
        <x:v>DEVX-0080</x:v>
      </x:c>
      <x:c r="D724" s="6" t="str">
        <x:v>SVC000080</x:v>
      </x:c>
      <x:c r="E724" s="6" t="str"/>
      <x:c r="F724" s="6" t="str">
        <x:v>Device-applicability review</x:v>
      </x:c>
      <x:c r="G724" s="6" t="n">
        <x:v>4</x:v>
      </x:c>
      <x:c r="H724" s="6" t="str">
        <x:v>SIDX-0080;MFRX-0080</x:v>
      </x:c>
      <x:c r="I724" s="6" t="str">
        <x:f>IF(H724="","No upstream dependency",IF(ISNUMBER(SEARCH(";",H724)),"Multiple dependencies - verify source queues",IFERROR(XLOOKUP(H724,C2:C1586,J2:J1586),"Dependency not found")))</x:f>
        <x:v>Multiple dependencies - verify source queues</x:v>
      </x:c>
      <x:c r="J724" s="6" t="str">
        <x:v>Not Started</x:v>
      </x:c>
      <x:c r="K724" s="6" t="str">
        <x:v>Normal</x:v>
      </x:c>
      <x:c r="L724" s="6" t="str"/>
      <x:c r="M724" s="6" t="str"/>
      <x:c r="N724" s="6" t="str"/>
      <x:c r="O724" s="7" t="str"/>
      <x:c r="P724" s="6" t="str">
        <x:v>Yes</x:v>
      </x:c>
      <x:c r="Q724" s="7" t="str">
        <x:v>Requires identity and manufacturer-scope completion.</x:v>
      </x:c>
    </x:row>
    <x:row r="725">
      <x:c r="A725" s="6" t="str">
        <x:v>SEQ-DEV-0081</x:v>
      </x:c>
      <x:c r="B725" s="6" t="str">
        <x:v>Device Applicability</x:v>
      </x:c>
      <x:c r="C725" s="6" t="str">
        <x:v>DEVX-0081</x:v>
      </x:c>
      <x:c r="D725" s="6" t="str">
        <x:v>SVC000081</x:v>
      </x:c>
      <x:c r="E725" s="6" t="str"/>
      <x:c r="F725" s="6" t="str">
        <x:v>Device-applicability review</x:v>
      </x:c>
      <x:c r="G725" s="6" t="n">
        <x:v>4</x:v>
      </x:c>
      <x:c r="H725" s="6" t="str">
        <x:v>SIDX-0081;MFRX-0081</x:v>
      </x:c>
      <x:c r="I725" s="6" t="str">
        <x:f>IF(H725="","No upstream dependency",IF(ISNUMBER(SEARCH(";",H725)),"Multiple dependencies - verify source queues",IFERROR(XLOOKUP(H725,C2:C1586,J2:J1586),"Dependency not found")))</x:f>
        <x:v>Multiple dependencies - verify source queues</x:v>
      </x:c>
      <x:c r="J725" s="6" t="str">
        <x:v>Not Started</x:v>
      </x:c>
      <x:c r="K725" s="6" t="str">
        <x:v>Normal</x:v>
      </x:c>
      <x:c r="L725" s="6" t="str"/>
      <x:c r="M725" s="6" t="str"/>
      <x:c r="N725" s="6" t="str"/>
      <x:c r="O725" s="7" t="str"/>
      <x:c r="P725" s="6" t="str">
        <x:v>Yes</x:v>
      </x:c>
      <x:c r="Q725" s="7" t="str">
        <x:v>Requires identity and manufacturer-scope completion.</x:v>
      </x:c>
    </x:row>
    <x:row r="726">
      <x:c r="A726" s="6" t="str">
        <x:v>SEQ-DEV-0082</x:v>
      </x:c>
      <x:c r="B726" s="6" t="str">
        <x:v>Device Applicability</x:v>
      </x:c>
      <x:c r="C726" s="6" t="str">
        <x:v>DEVX-0082</x:v>
      </x:c>
      <x:c r="D726" s="6" t="str">
        <x:v>SVC000082</x:v>
      </x:c>
      <x:c r="E726" s="6" t="str"/>
      <x:c r="F726" s="6" t="str">
        <x:v>Device-applicability review</x:v>
      </x:c>
      <x:c r="G726" s="6" t="n">
        <x:v>4</x:v>
      </x:c>
      <x:c r="H726" s="6" t="str">
        <x:v>SIDX-0082;MFRX-0082</x:v>
      </x:c>
      <x:c r="I726" s="6" t="str">
        <x:f>IF(H726="","No upstream dependency",IF(ISNUMBER(SEARCH(";",H726)),"Multiple dependencies - verify source queues",IFERROR(XLOOKUP(H726,C2:C1586,J2:J1586),"Dependency not found")))</x:f>
        <x:v>Multiple dependencies - verify source queues</x:v>
      </x:c>
      <x:c r="J726" s="6" t="str">
        <x:v>Not Started</x:v>
      </x:c>
      <x:c r="K726" s="6" t="str">
        <x:v>Normal</x:v>
      </x:c>
      <x:c r="L726" s="6" t="str"/>
      <x:c r="M726" s="6" t="str"/>
      <x:c r="N726" s="6" t="str"/>
      <x:c r="O726" s="7" t="str"/>
      <x:c r="P726" s="6" t="str">
        <x:v>Yes</x:v>
      </x:c>
      <x:c r="Q726" s="7" t="str">
        <x:v>Requires identity and manufacturer-scope completion.</x:v>
      </x:c>
    </x:row>
    <x:row r="727">
      <x:c r="A727" s="6" t="str">
        <x:v>SEQ-DEV-0083</x:v>
      </x:c>
      <x:c r="B727" s="6" t="str">
        <x:v>Device Applicability</x:v>
      </x:c>
      <x:c r="C727" s="6" t="str">
        <x:v>DEVX-0083</x:v>
      </x:c>
      <x:c r="D727" s="6" t="str">
        <x:v>SVC000083</x:v>
      </x:c>
      <x:c r="E727" s="6" t="str"/>
      <x:c r="F727" s="6" t="str">
        <x:v>Device-applicability review</x:v>
      </x:c>
      <x:c r="G727" s="6" t="n">
        <x:v>4</x:v>
      </x:c>
      <x:c r="H727" s="6" t="str">
        <x:v>SIDX-0083;MFRX-0083</x:v>
      </x:c>
      <x:c r="I727" s="6" t="str">
        <x:f>IF(H727="","No upstream dependency",IF(ISNUMBER(SEARCH(";",H727)),"Multiple dependencies - verify source queues",IFERROR(XLOOKUP(H727,C2:C1586,J2:J1586),"Dependency not found")))</x:f>
        <x:v>Multiple dependencies - verify source queues</x:v>
      </x:c>
      <x:c r="J727" s="6" t="str">
        <x:v>Not Started</x:v>
      </x:c>
      <x:c r="K727" s="6" t="str">
        <x:v>Normal</x:v>
      </x:c>
      <x:c r="L727" s="6" t="str"/>
      <x:c r="M727" s="6" t="str"/>
      <x:c r="N727" s="6" t="str"/>
      <x:c r="O727" s="7" t="str"/>
      <x:c r="P727" s="6" t="str">
        <x:v>Yes</x:v>
      </x:c>
      <x:c r="Q727" s="7" t="str">
        <x:v>Requires identity and manufacturer-scope completion.</x:v>
      </x:c>
    </x:row>
    <x:row r="728">
      <x:c r="A728" s="6" t="str">
        <x:v>SEQ-DEV-0084</x:v>
      </x:c>
      <x:c r="B728" s="6" t="str">
        <x:v>Device Applicability</x:v>
      </x:c>
      <x:c r="C728" s="6" t="str">
        <x:v>DEVX-0084</x:v>
      </x:c>
      <x:c r="D728" s="6" t="str">
        <x:v>SVC000084</x:v>
      </x:c>
      <x:c r="E728" s="6" t="str"/>
      <x:c r="F728" s="6" t="str">
        <x:v>Device-applicability review</x:v>
      </x:c>
      <x:c r="G728" s="6" t="n">
        <x:v>4</x:v>
      </x:c>
      <x:c r="H728" s="6" t="str">
        <x:v>SIDX-0084;MFRX-0084</x:v>
      </x:c>
      <x:c r="I728" s="6" t="str">
        <x:f>IF(H728="","No upstream dependency",IF(ISNUMBER(SEARCH(";",H728)),"Multiple dependencies - verify source queues",IFERROR(XLOOKUP(H728,C2:C1586,J2:J1586),"Dependency not found")))</x:f>
        <x:v>Multiple dependencies - verify source queues</x:v>
      </x:c>
      <x:c r="J728" s="6" t="str">
        <x:v>Not Started</x:v>
      </x:c>
      <x:c r="K728" s="6" t="str">
        <x:v>Normal</x:v>
      </x:c>
      <x:c r="L728" s="6" t="str"/>
      <x:c r="M728" s="6" t="str"/>
      <x:c r="N728" s="6" t="str"/>
      <x:c r="O728" s="7" t="str"/>
      <x:c r="P728" s="6" t="str">
        <x:v>Yes</x:v>
      </x:c>
      <x:c r="Q728" s="7" t="str">
        <x:v>Requires identity and manufacturer-scope completion.</x:v>
      </x:c>
    </x:row>
    <x:row r="729">
      <x:c r="A729" s="6" t="str">
        <x:v>SEQ-DEV-0085</x:v>
      </x:c>
      <x:c r="B729" s="6" t="str">
        <x:v>Device Applicability</x:v>
      </x:c>
      <x:c r="C729" s="6" t="str">
        <x:v>DEVX-0085</x:v>
      </x:c>
      <x:c r="D729" s="6" t="str">
        <x:v>SVC000085</x:v>
      </x:c>
      <x:c r="E729" s="6" t="str"/>
      <x:c r="F729" s="6" t="str">
        <x:v>Device-applicability review</x:v>
      </x:c>
      <x:c r="G729" s="6" t="n">
        <x:v>4</x:v>
      </x:c>
      <x:c r="H729" s="6" t="str">
        <x:v>SIDX-0085;MFRX-0085</x:v>
      </x:c>
      <x:c r="I729" s="6" t="str">
        <x:f>IF(H729="","No upstream dependency",IF(ISNUMBER(SEARCH(";",H729)),"Multiple dependencies - verify source queues",IFERROR(XLOOKUP(H729,C2:C1586,J2:J1586),"Dependency not found")))</x:f>
        <x:v>Multiple dependencies - verify source queues</x:v>
      </x:c>
      <x:c r="J729" s="6" t="str">
        <x:v>Not Started</x:v>
      </x:c>
      <x:c r="K729" s="6" t="str">
        <x:v>Normal</x:v>
      </x:c>
      <x:c r="L729" s="6" t="str"/>
      <x:c r="M729" s="6" t="str"/>
      <x:c r="N729" s="6" t="str"/>
      <x:c r="O729" s="7" t="str"/>
      <x:c r="P729" s="6" t="str">
        <x:v>Yes</x:v>
      </x:c>
      <x:c r="Q729" s="7" t="str">
        <x:v>Requires identity and manufacturer-scope completion.</x:v>
      </x:c>
    </x:row>
    <x:row r="730">
      <x:c r="A730" s="6" t="str">
        <x:v>SEQ-DEV-0086</x:v>
      </x:c>
      <x:c r="B730" s="6" t="str">
        <x:v>Device Applicability</x:v>
      </x:c>
      <x:c r="C730" s="6" t="str">
        <x:v>DEVX-0086</x:v>
      </x:c>
      <x:c r="D730" s="6" t="str">
        <x:v>SVC000086</x:v>
      </x:c>
      <x:c r="E730" s="6" t="str"/>
      <x:c r="F730" s="6" t="str">
        <x:v>Device-applicability review</x:v>
      </x:c>
      <x:c r="G730" s="6" t="n">
        <x:v>4</x:v>
      </x:c>
      <x:c r="H730" s="6" t="str">
        <x:v>SIDX-0086;MFRX-0086</x:v>
      </x:c>
      <x:c r="I730" s="6" t="str">
        <x:f>IF(H730="","No upstream dependency",IF(ISNUMBER(SEARCH(";",H730)),"Multiple dependencies - verify source queues",IFERROR(XLOOKUP(H730,C2:C1586,J2:J1586),"Dependency not found")))</x:f>
        <x:v>Multiple dependencies - verify source queues</x:v>
      </x:c>
      <x:c r="J730" s="6" t="str">
        <x:v>Not Started</x:v>
      </x:c>
      <x:c r="K730" s="6" t="str">
        <x:v>Normal</x:v>
      </x:c>
      <x:c r="L730" s="6" t="str"/>
      <x:c r="M730" s="6" t="str"/>
      <x:c r="N730" s="6" t="str"/>
      <x:c r="O730" s="7" t="str"/>
      <x:c r="P730" s="6" t="str">
        <x:v>Yes</x:v>
      </x:c>
      <x:c r="Q730" s="7" t="str">
        <x:v>Requires identity and manufacturer-scope completion.</x:v>
      </x:c>
    </x:row>
    <x:row r="731">
      <x:c r="A731" s="6" t="str">
        <x:v>SEQ-DEV-0087</x:v>
      </x:c>
      <x:c r="B731" s="6" t="str">
        <x:v>Device Applicability</x:v>
      </x:c>
      <x:c r="C731" s="6" t="str">
        <x:v>DEVX-0087</x:v>
      </x:c>
      <x:c r="D731" s="6" t="str">
        <x:v>SVC000087</x:v>
      </x:c>
      <x:c r="E731" s="6" t="str"/>
      <x:c r="F731" s="6" t="str">
        <x:v>Device-applicability review</x:v>
      </x:c>
      <x:c r="G731" s="6" t="n">
        <x:v>4</x:v>
      </x:c>
      <x:c r="H731" s="6" t="str">
        <x:v>SIDX-0087;MFRX-0087</x:v>
      </x:c>
      <x:c r="I731" s="6" t="str">
        <x:f>IF(H731="","No upstream dependency",IF(ISNUMBER(SEARCH(";",H731)),"Multiple dependencies - verify source queues",IFERROR(XLOOKUP(H731,C2:C1586,J2:J1586),"Dependency not found")))</x:f>
        <x:v>Multiple dependencies - verify source queues</x:v>
      </x:c>
      <x:c r="J731" s="6" t="str">
        <x:v>Not Started</x:v>
      </x:c>
      <x:c r="K731" s="6" t="str">
        <x:v>Normal</x:v>
      </x:c>
      <x:c r="L731" s="6" t="str"/>
      <x:c r="M731" s="6" t="str"/>
      <x:c r="N731" s="6" t="str"/>
      <x:c r="O731" s="7" t="str"/>
      <x:c r="P731" s="6" t="str">
        <x:v>Yes</x:v>
      </x:c>
      <x:c r="Q731" s="7" t="str">
        <x:v>Requires identity and manufacturer-scope completion.</x:v>
      </x:c>
    </x:row>
    <x:row r="732">
      <x:c r="A732" s="6" t="str">
        <x:v>SEQ-DEV-0088</x:v>
      </x:c>
      <x:c r="B732" s="6" t="str">
        <x:v>Device Applicability</x:v>
      </x:c>
      <x:c r="C732" s="6" t="str">
        <x:v>DEVX-0088</x:v>
      </x:c>
      <x:c r="D732" s="6" t="str">
        <x:v>SVC000088</x:v>
      </x:c>
      <x:c r="E732" s="6" t="str"/>
      <x:c r="F732" s="6" t="str">
        <x:v>Device-applicability review</x:v>
      </x:c>
      <x:c r="G732" s="6" t="n">
        <x:v>4</x:v>
      </x:c>
      <x:c r="H732" s="6" t="str">
        <x:v>SIDX-0088;MFRX-0088</x:v>
      </x:c>
      <x:c r="I732" s="6" t="str">
        <x:f>IF(H732="","No upstream dependency",IF(ISNUMBER(SEARCH(";",H732)),"Multiple dependencies - verify source queues",IFERROR(XLOOKUP(H732,C2:C1586,J2:J1586),"Dependency not found")))</x:f>
        <x:v>Multiple dependencies - verify source queues</x:v>
      </x:c>
      <x:c r="J732" s="6" t="str">
        <x:v>Not Started</x:v>
      </x:c>
      <x:c r="K732" s="6" t="str">
        <x:v>Normal</x:v>
      </x:c>
      <x:c r="L732" s="6" t="str"/>
      <x:c r="M732" s="6" t="str"/>
      <x:c r="N732" s="6" t="str"/>
      <x:c r="O732" s="7" t="str"/>
      <x:c r="P732" s="6" t="str">
        <x:v>Yes</x:v>
      </x:c>
      <x:c r="Q732" s="7" t="str">
        <x:v>Requires identity and manufacturer-scope completion.</x:v>
      </x:c>
    </x:row>
    <x:row r="733">
      <x:c r="A733" s="6" t="str">
        <x:v>SEQ-DEV-0089</x:v>
      </x:c>
      <x:c r="B733" s="6" t="str">
        <x:v>Device Applicability</x:v>
      </x:c>
      <x:c r="C733" s="6" t="str">
        <x:v>DEVX-0089</x:v>
      </x:c>
      <x:c r="D733" s="6" t="str">
        <x:v>SVC000089</x:v>
      </x:c>
      <x:c r="E733" s="6" t="str"/>
      <x:c r="F733" s="6" t="str">
        <x:v>Device-applicability review</x:v>
      </x:c>
      <x:c r="G733" s="6" t="n">
        <x:v>4</x:v>
      </x:c>
      <x:c r="H733" s="6" t="str">
        <x:v>SIDX-0089;MFRX-0089</x:v>
      </x:c>
      <x:c r="I733" s="6" t="str">
        <x:f>IF(H733="","No upstream dependency",IF(ISNUMBER(SEARCH(";",H733)),"Multiple dependencies - verify source queues",IFERROR(XLOOKUP(H733,C2:C1586,J2:J1586),"Dependency not found")))</x:f>
        <x:v>Multiple dependencies - verify source queues</x:v>
      </x:c>
      <x:c r="J733" s="6" t="str">
        <x:v>Not Started</x:v>
      </x:c>
      <x:c r="K733" s="6" t="str">
        <x:v>Normal</x:v>
      </x:c>
      <x:c r="L733" s="6" t="str"/>
      <x:c r="M733" s="6" t="str"/>
      <x:c r="N733" s="6" t="str"/>
      <x:c r="O733" s="7" t="str"/>
      <x:c r="P733" s="6" t="str">
        <x:v>Yes</x:v>
      </x:c>
      <x:c r="Q733" s="7" t="str">
        <x:v>Requires identity and manufacturer-scope completion.</x:v>
      </x:c>
    </x:row>
    <x:row r="734">
      <x:c r="A734" s="6" t="str">
        <x:v>SEQ-DEV-0090</x:v>
      </x:c>
      <x:c r="B734" s="6" t="str">
        <x:v>Device Applicability</x:v>
      </x:c>
      <x:c r="C734" s="6" t="str">
        <x:v>DEVX-0090</x:v>
      </x:c>
      <x:c r="D734" s="6" t="str">
        <x:v>SVC000090</x:v>
      </x:c>
      <x:c r="E734" s="6" t="str"/>
      <x:c r="F734" s="6" t="str">
        <x:v>Device-applicability review</x:v>
      </x:c>
      <x:c r="G734" s="6" t="n">
        <x:v>4</x:v>
      </x:c>
      <x:c r="H734" s="6" t="str">
        <x:v>SIDX-0090;MFRX-0090</x:v>
      </x:c>
      <x:c r="I734" s="6" t="str">
        <x:f>IF(H734="","No upstream dependency",IF(ISNUMBER(SEARCH(";",H734)),"Multiple dependencies - verify source queues",IFERROR(XLOOKUP(H734,C2:C1586,J2:J1586),"Dependency not found")))</x:f>
        <x:v>Multiple dependencies - verify source queues</x:v>
      </x:c>
      <x:c r="J734" s="6" t="str">
        <x:v>Not Started</x:v>
      </x:c>
      <x:c r="K734" s="6" t="str">
        <x:v>Normal</x:v>
      </x:c>
      <x:c r="L734" s="6" t="str"/>
      <x:c r="M734" s="6" t="str"/>
      <x:c r="N734" s="6" t="str"/>
      <x:c r="O734" s="7" t="str"/>
      <x:c r="P734" s="6" t="str">
        <x:v>Yes</x:v>
      </x:c>
      <x:c r="Q734" s="7" t="str">
        <x:v>Requires identity and manufacturer-scope completion.</x:v>
      </x:c>
    </x:row>
    <x:row r="735">
      <x:c r="A735" s="6" t="str">
        <x:v>SEQ-DEV-0091</x:v>
      </x:c>
      <x:c r="B735" s="6" t="str">
        <x:v>Device Applicability</x:v>
      </x:c>
      <x:c r="C735" s="6" t="str">
        <x:v>DEVX-0091</x:v>
      </x:c>
      <x:c r="D735" s="6" t="str">
        <x:v>SVC000091</x:v>
      </x:c>
      <x:c r="E735" s="6" t="str"/>
      <x:c r="F735" s="6" t="str">
        <x:v>Device-applicability review</x:v>
      </x:c>
      <x:c r="G735" s="6" t="n">
        <x:v>4</x:v>
      </x:c>
      <x:c r="H735" s="6" t="str">
        <x:v>SIDX-0091;MFRX-0091</x:v>
      </x:c>
      <x:c r="I735" s="6" t="str">
        <x:f>IF(H735="","No upstream dependency",IF(ISNUMBER(SEARCH(";",H735)),"Multiple dependencies - verify source queues",IFERROR(XLOOKUP(H735,C2:C1586,J2:J1586),"Dependency not found")))</x:f>
        <x:v>Multiple dependencies - verify source queues</x:v>
      </x:c>
      <x:c r="J735" s="6" t="str">
        <x:v>Not Started</x:v>
      </x:c>
      <x:c r="K735" s="6" t="str">
        <x:v>Normal</x:v>
      </x:c>
      <x:c r="L735" s="6" t="str"/>
      <x:c r="M735" s="6" t="str"/>
      <x:c r="N735" s="6" t="str"/>
      <x:c r="O735" s="7" t="str"/>
      <x:c r="P735" s="6" t="str">
        <x:v>Yes</x:v>
      </x:c>
      <x:c r="Q735" s="7" t="str">
        <x:v>Requires identity and manufacturer-scope completion.</x:v>
      </x:c>
    </x:row>
    <x:row r="736">
      <x:c r="A736" s="6" t="str">
        <x:v>SEQ-DEV-0092</x:v>
      </x:c>
      <x:c r="B736" s="6" t="str">
        <x:v>Device Applicability</x:v>
      </x:c>
      <x:c r="C736" s="6" t="str">
        <x:v>DEVX-0092</x:v>
      </x:c>
      <x:c r="D736" s="6" t="str">
        <x:v>SVC000092</x:v>
      </x:c>
      <x:c r="E736" s="6" t="str"/>
      <x:c r="F736" s="6" t="str">
        <x:v>Device-applicability review</x:v>
      </x:c>
      <x:c r="G736" s="6" t="n">
        <x:v>4</x:v>
      </x:c>
      <x:c r="H736" s="6" t="str">
        <x:v>SIDX-0092;MFRX-0092</x:v>
      </x:c>
      <x:c r="I736" s="6" t="str">
        <x:f>IF(H736="","No upstream dependency",IF(ISNUMBER(SEARCH(";",H736)),"Multiple dependencies - verify source queues",IFERROR(XLOOKUP(H736,C2:C1586,J2:J1586),"Dependency not found")))</x:f>
        <x:v>Multiple dependencies - verify source queues</x:v>
      </x:c>
      <x:c r="J736" s="6" t="str">
        <x:v>Not Started</x:v>
      </x:c>
      <x:c r="K736" s="6" t="str">
        <x:v>Normal</x:v>
      </x:c>
      <x:c r="L736" s="6" t="str"/>
      <x:c r="M736" s="6" t="str"/>
      <x:c r="N736" s="6" t="str"/>
      <x:c r="O736" s="7" t="str"/>
      <x:c r="P736" s="6" t="str">
        <x:v>Yes</x:v>
      </x:c>
      <x:c r="Q736" s="7" t="str">
        <x:v>Requires identity and manufacturer-scope completion.</x:v>
      </x:c>
    </x:row>
    <x:row r="737">
      <x:c r="A737" s="6" t="str">
        <x:v>SEQ-DEV-0093</x:v>
      </x:c>
      <x:c r="B737" s="6" t="str">
        <x:v>Device Applicability</x:v>
      </x:c>
      <x:c r="C737" s="6" t="str">
        <x:v>DEVX-0093</x:v>
      </x:c>
      <x:c r="D737" s="6" t="str">
        <x:v>SVC000093</x:v>
      </x:c>
      <x:c r="E737" s="6" t="str"/>
      <x:c r="F737" s="6" t="str">
        <x:v>Device-applicability review</x:v>
      </x:c>
      <x:c r="G737" s="6" t="n">
        <x:v>4</x:v>
      </x:c>
      <x:c r="H737" s="6" t="str">
        <x:v>SIDX-0093;MFRX-0093</x:v>
      </x:c>
      <x:c r="I737" s="6" t="str">
        <x:f>IF(H737="","No upstream dependency",IF(ISNUMBER(SEARCH(";",H737)),"Multiple dependencies - verify source queues",IFERROR(XLOOKUP(H737,C2:C1586,J2:J1586),"Dependency not found")))</x:f>
        <x:v>Multiple dependencies - verify source queues</x:v>
      </x:c>
      <x:c r="J737" s="6" t="str">
        <x:v>Not Started</x:v>
      </x:c>
      <x:c r="K737" s="6" t="str">
        <x:v>Normal</x:v>
      </x:c>
      <x:c r="L737" s="6" t="str"/>
      <x:c r="M737" s="6" t="str"/>
      <x:c r="N737" s="6" t="str"/>
      <x:c r="O737" s="7" t="str"/>
      <x:c r="P737" s="6" t="str">
        <x:v>Yes</x:v>
      </x:c>
      <x:c r="Q737" s="7" t="str">
        <x:v>Requires identity and manufacturer-scope completion.</x:v>
      </x:c>
    </x:row>
    <x:row r="738">
      <x:c r="A738" s="6" t="str">
        <x:v>SEQ-DEV-0094</x:v>
      </x:c>
      <x:c r="B738" s="6" t="str">
        <x:v>Device Applicability</x:v>
      </x:c>
      <x:c r="C738" s="6" t="str">
        <x:v>DEVX-0094</x:v>
      </x:c>
      <x:c r="D738" s="6" t="str">
        <x:v>SVC000094</x:v>
      </x:c>
      <x:c r="E738" s="6" t="str"/>
      <x:c r="F738" s="6" t="str">
        <x:v>Device-applicability review</x:v>
      </x:c>
      <x:c r="G738" s="6" t="n">
        <x:v>4</x:v>
      </x:c>
      <x:c r="H738" s="6" t="str">
        <x:v>SIDX-0094;MFRX-0094</x:v>
      </x:c>
      <x:c r="I738" s="6" t="str">
        <x:f>IF(H738="","No upstream dependency",IF(ISNUMBER(SEARCH(";",H738)),"Multiple dependencies - verify source queues",IFERROR(XLOOKUP(H738,C2:C1586,J2:J1586),"Dependency not found")))</x:f>
        <x:v>Multiple dependencies - verify source queues</x:v>
      </x:c>
      <x:c r="J738" s="6" t="str">
        <x:v>Not Started</x:v>
      </x:c>
      <x:c r="K738" s="6" t="str">
        <x:v>Normal</x:v>
      </x:c>
      <x:c r="L738" s="6" t="str"/>
      <x:c r="M738" s="6" t="str"/>
      <x:c r="N738" s="6" t="str"/>
      <x:c r="O738" s="7" t="str"/>
      <x:c r="P738" s="6" t="str">
        <x:v>Yes</x:v>
      </x:c>
      <x:c r="Q738" s="7" t="str">
        <x:v>Requires identity and manufacturer-scope completion.</x:v>
      </x:c>
    </x:row>
    <x:row r="739">
      <x:c r="A739" s="6" t="str">
        <x:v>SEQ-DEV-0095</x:v>
      </x:c>
      <x:c r="B739" s="6" t="str">
        <x:v>Device Applicability</x:v>
      </x:c>
      <x:c r="C739" s="6" t="str">
        <x:v>DEVX-0095</x:v>
      </x:c>
      <x:c r="D739" s="6" t="str">
        <x:v>SVC000095</x:v>
      </x:c>
      <x:c r="E739" s="6" t="str"/>
      <x:c r="F739" s="6" t="str">
        <x:v>Device-applicability review</x:v>
      </x:c>
      <x:c r="G739" s="6" t="n">
        <x:v>4</x:v>
      </x:c>
      <x:c r="H739" s="6" t="str">
        <x:v>SIDX-0095;MFRX-0095</x:v>
      </x:c>
      <x:c r="I739" s="6" t="str">
        <x:f>IF(H739="","No upstream dependency",IF(ISNUMBER(SEARCH(";",H739)),"Multiple dependencies - verify source queues",IFERROR(XLOOKUP(H739,C2:C1586,J2:J1586),"Dependency not found")))</x:f>
        <x:v>Multiple dependencies - verify source queues</x:v>
      </x:c>
      <x:c r="J739" s="6" t="str">
        <x:v>Not Started</x:v>
      </x:c>
      <x:c r="K739" s="6" t="str">
        <x:v>Normal</x:v>
      </x:c>
      <x:c r="L739" s="6" t="str"/>
      <x:c r="M739" s="6" t="str"/>
      <x:c r="N739" s="6" t="str"/>
      <x:c r="O739" s="7" t="str"/>
      <x:c r="P739" s="6" t="str">
        <x:v>Yes</x:v>
      </x:c>
      <x:c r="Q739" s="7" t="str">
        <x:v>Requires identity and manufacturer-scope completion.</x:v>
      </x:c>
    </x:row>
    <x:row r="740">
      <x:c r="A740" s="6" t="str">
        <x:v>SEQ-DEV-0096</x:v>
      </x:c>
      <x:c r="B740" s="6" t="str">
        <x:v>Device Applicability</x:v>
      </x:c>
      <x:c r="C740" s="6" t="str">
        <x:v>DEVX-0096</x:v>
      </x:c>
      <x:c r="D740" s="6" t="str">
        <x:v>SVC000096</x:v>
      </x:c>
      <x:c r="E740" s="6" t="str"/>
      <x:c r="F740" s="6" t="str">
        <x:v>Device-applicability review</x:v>
      </x:c>
      <x:c r="G740" s="6" t="n">
        <x:v>4</x:v>
      </x:c>
      <x:c r="H740" s="6" t="str">
        <x:v>SIDX-0096;MFRX-0096</x:v>
      </x:c>
      <x:c r="I740" s="6" t="str">
        <x:f>IF(H740="","No upstream dependency",IF(ISNUMBER(SEARCH(";",H740)),"Multiple dependencies - verify source queues",IFERROR(XLOOKUP(H740,C2:C1586,J2:J1586),"Dependency not found")))</x:f>
        <x:v>Multiple dependencies - verify source queues</x:v>
      </x:c>
      <x:c r="J740" s="6" t="str">
        <x:v>Not Started</x:v>
      </x:c>
      <x:c r="K740" s="6" t="str">
        <x:v>Normal</x:v>
      </x:c>
      <x:c r="L740" s="6" t="str"/>
      <x:c r="M740" s="6" t="str"/>
      <x:c r="N740" s="6" t="str"/>
      <x:c r="O740" s="7" t="str"/>
      <x:c r="P740" s="6" t="str">
        <x:v>Yes</x:v>
      </x:c>
      <x:c r="Q740" s="7" t="str">
        <x:v>Requires identity and manufacturer-scope completion.</x:v>
      </x:c>
    </x:row>
    <x:row r="741">
      <x:c r="A741" s="6" t="str">
        <x:v>SEQ-DEV-0097</x:v>
      </x:c>
      <x:c r="B741" s="6" t="str">
        <x:v>Device Applicability</x:v>
      </x:c>
      <x:c r="C741" s="6" t="str">
        <x:v>DEVX-0097</x:v>
      </x:c>
      <x:c r="D741" s="6" t="str">
        <x:v>SVC000097</x:v>
      </x:c>
      <x:c r="E741" s="6" t="str"/>
      <x:c r="F741" s="6" t="str">
        <x:v>Device-applicability review</x:v>
      </x:c>
      <x:c r="G741" s="6" t="n">
        <x:v>4</x:v>
      </x:c>
      <x:c r="H741" s="6" t="str">
        <x:v>SIDX-0097;MFRX-0097</x:v>
      </x:c>
      <x:c r="I741" s="6" t="str">
        <x:f>IF(H741="","No upstream dependency",IF(ISNUMBER(SEARCH(";",H741)),"Multiple dependencies - verify source queues",IFERROR(XLOOKUP(H741,C2:C1586,J2:J1586),"Dependency not found")))</x:f>
        <x:v>Multiple dependencies - verify source queues</x:v>
      </x:c>
      <x:c r="J741" s="6" t="str">
        <x:v>Not Started</x:v>
      </x:c>
      <x:c r="K741" s="6" t="str">
        <x:v>Normal</x:v>
      </x:c>
      <x:c r="L741" s="6" t="str"/>
      <x:c r="M741" s="6" t="str"/>
      <x:c r="N741" s="6" t="str"/>
      <x:c r="O741" s="7" t="str"/>
      <x:c r="P741" s="6" t="str">
        <x:v>Yes</x:v>
      </x:c>
      <x:c r="Q741" s="7" t="str">
        <x:v>Requires identity and manufacturer-scope completion.</x:v>
      </x:c>
    </x:row>
    <x:row r="742">
      <x:c r="A742" s="6" t="str">
        <x:v>SEQ-DEV-0098</x:v>
      </x:c>
      <x:c r="B742" s="6" t="str">
        <x:v>Device Applicability</x:v>
      </x:c>
      <x:c r="C742" s="6" t="str">
        <x:v>DEVX-0098</x:v>
      </x:c>
      <x:c r="D742" s="6" t="str">
        <x:v>SVC000098</x:v>
      </x:c>
      <x:c r="E742" s="6" t="str"/>
      <x:c r="F742" s="6" t="str">
        <x:v>Device-applicability review</x:v>
      </x:c>
      <x:c r="G742" s="6" t="n">
        <x:v>4</x:v>
      </x:c>
      <x:c r="H742" s="6" t="str">
        <x:v>SIDX-0098;MFRX-0098</x:v>
      </x:c>
      <x:c r="I742" s="6" t="str">
        <x:f>IF(H742="","No upstream dependency",IF(ISNUMBER(SEARCH(";",H742)),"Multiple dependencies - verify source queues",IFERROR(XLOOKUP(H742,C2:C1586,J2:J1586),"Dependency not found")))</x:f>
        <x:v>Multiple dependencies - verify source queues</x:v>
      </x:c>
      <x:c r="J742" s="6" t="str">
        <x:v>Not Started</x:v>
      </x:c>
      <x:c r="K742" s="6" t="str">
        <x:v>Normal</x:v>
      </x:c>
      <x:c r="L742" s="6" t="str"/>
      <x:c r="M742" s="6" t="str"/>
      <x:c r="N742" s="6" t="str"/>
      <x:c r="O742" s="7" t="str"/>
      <x:c r="P742" s="6" t="str">
        <x:v>Yes</x:v>
      </x:c>
      <x:c r="Q742" s="7" t="str">
        <x:v>Requires identity and manufacturer-scope completion.</x:v>
      </x:c>
    </x:row>
    <x:row r="743">
      <x:c r="A743" s="6" t="str">
        <x:v>SEQ-DEV-0099</x:v>
      </x:c>
      <x:c r="B743" s="6" t="str">
        <x:v>Device Applicability</x:v>
      </x:c>
      <x:c r="C743" s="6" t="str">
        <x:v>DEVX-0099</x:v>
      </x:c>
      <x:c r="D743" s="6" t="str">
        <x:v>SVC000099</x:v>
      </x:c>
      <x:c r="E743" s="6" t="str"/>
      <x:c r="F743" s="6" t="str">
        <x:v>Device-applicability review</x:v>
      </x:c>
      <x:c r="G743" s="6" t="n">
        <x:v>4</x:v>
      </x:c>
      <x:c r="H743" s="6" t="str">
        <x:v>SIDX-0099;MFRX-0099</x:v>
      </x:c>
      <x:c r="I743" s="6" t="str">
        <x:f>IF(H743="","No upstream dependency",IF(ISNUMBER(SEARCH(";",H743)),"Multiple dependencies - verify source queues",IFERROR(XLOOKUP(H743,C2:C1586,J2:J1586),"Dependency not found")))</x:f>
        <x:v>Multiple dependencies - verify source queues</x:v>
      </x:c>
      <x:c r="J743" s="6" t="str">
        <x:v>Not Started</x:v>
      </x:c>
      <x:c r="K743" s="6" t="str">
        <x:v>Normal</x:v>
      </x:c>
      <x:c r="L743" s="6" t="str"/>
      <x:c r="M743" s="6" t="str"/>
      <x:c r="N743" s="6" t="str"/>
      <x:c r="O743" s="7" t="str"/>
      <x:c r="P743" s="6" t="str">
        <x:v>Yes</x:v>
      </x:c>
      <x:c r="Q743" s="7" t="str">
        <x:v>Requires identity and manufacturer-scope completion.</x:v>
      </x:c>
    </x:row>
    <x:row r="744">
      <x:c r="A744" s="6" t="str">
        <x:v>SEQ-DEV-0100</x:v>
      </x:c>
      <x:c r="B744" s="6" t="str">
        <x:v>Device Applicability</x:v>
      </x:c>
      <x:c r="C744" s="6" t="str">
        <x:v>DEVX-0100</x:v>
      </x:c>
      <x:c r="D744" s="6" t="str">
        <x:v>SVC000100</x:v>
      </x:c>
      <x:c r="E744" s="6" t="str"/>
      <x:c r="F744" s="6" t="str">
        <x:v>Device-applicability review</x:v>
      </x:c>
      <x:c r="G744" s="6" t="n">
        <x:v>4</x:v>
      </x:c>
      <x:c r="H744" s="6" t="str">
        <x:v>SIDX-0100;MFRX-0100</x:v>
      </x:c>
      <x:c r="I744" s="6" t="str">
        <x:f>IF(H744="","No upstream dependency",IF(ISNUMBER(SEARCH(";",H744)),"Multiple dependencies - verify source queues",IFERROR(XLOOKUP(H744,C2:C1586,J2:J1586),"Dependency not found")))</x:f>
        <x:v>Multiple dependencies - verify source queues</x:v>
      </x:c>
      <x:c r="J744" s="6" t="str">
        <x:v>Not Started</x:v>
      </x:c>
      <x:c r="K744" s="6" t="str">
        <x:v>Normal</x:v>
      </x:c>
      <x:c r="L744" s="6" t="str"/>
      <x:c r="M744" s="6" t="str"/>
      <x:c r="N744" s="6" t="str"/>
      <x:c r="O744" s="7" t="str"/>
      <x:c r="P744" s="6" t="str">
        <x:v>Yes</x:v>
      </x:c>
      <x:c r="Q744" s="7" t="str">
        <x:v>Requires identity and manufacturer-scope completion.</x:v>
      </x:c>
    </x:row>
    <x:row r="745">
      <x:c r="A745" s="6" t="str">
        <x:v>SEQ-DEV-0101</x:v>
      </x:c>
      <x:c r="B745" s="6" t="str">
        <x:v>Device Applicability</x:v>
      </x:c>
      <x:c r="C745" s="6" t="str">
        <x:v>DEVX-0101</x:v>
      </x:c>
      <x:c r="D745" s="6" t="str">
        <x:v>SVC000101</x:v>
      </x:c>
      <x:c r="E745" s="6" t="str"/>
      <x:c r="F745" s="6" t="str">
        <x:v>Device-applicability review</x:v>
      </x:c>
      <x:c r="G745" s="6" t="n">
        <x:v>4</x:v>
      </x:c>
      <x:c r="H745" s="6" t="str">
        <x:v>SIDX-0101;MFRX-0101</x:v>
      </x:c>
      <x:c r="I745" s="6" t="str">
        <x:f>IF(H745="","No upstream dependency",IF(ISNUMBER(SEARCH(";",H745)),"Multiple dependencies - verify source queues",IFERROR(XLOOKUP(H745,C2:C1586,J2:J1586),"Dependency not found")))</x:f>
        <x:v>Multiple dependencies - verify source queues</x:v>
      </x:c>
      <x:c r="J745" s="6" t="str">
        <x:v>Not Started</x:v>
      </x:c>
      <x:c r="K745" s="6" t="str">
        <x:v>Normal</x:v>
      </x:c>
      <x:c r="L745" s="6" t="str"/>
      <x:c r="M745" s="6" t="str"/>
      <x:c r="N745" s="6" t="str"/>
      <x:c r="O745" s="7" t="str"/>
      <x:c r="P745" s="6" t="str">
        <x:v>Yes</x:v>
      </x:c>
      <x:c r="Q745" s="7" t="str">
        <x:v>Requires identity and manufacturer-scope completion.</x:v>
      </x:c>
    </x:row>
    <x:row r="746">
      <x:c r="A746" s="6" t="str">
        <x:v>SEQ-DEV-0102</x:v>
      </x:c>
      <x:c r="B746" s="6" t="str">
        <x:v>Device Applicability</x:v>
      </x:c>
      <x:c r="C746" s="6" t="str">
        <x:v>DEVX-0102</x:v>
      </x:c>
      <x:c r="D746" s="6" t="str">
        <x:v>SVC000102</x:v>
      </x:c>
      <x:c r="E746" s="6" t="str"/>
      <x:c r="F746" s="6" t="str">
        <x:v>Device-applicability review</x:v>
      </x:c>
      <x:c r="G746" s="6" t="n">
        <x:v>4</x:v>
      </x:c>
      <x:c r="H746" s="6" t="str">
        <x:v>SIDX-0102;MFRX-0102</x:v>
      </x:c>
      <x:c r="I746" s="6" t="str">
        <x:f>IF(H746="","No upstream dependency",IF(ISNUMBER(SEARCH(";",H746)),"Multiple dependencies - verify source queues",IFERROR(XLOOKUP(H746,C2:C1586,J2:J1586),"Dependency not found")))</x:f>
        <x:v>Multiple dependencies - verify source queues</x:v>
      </x:c>
      <x:c r="J746" s="6" t="str">
        <x:v>Not Started</x:v>
      </x:c>
      <x:c r="K746" s="6" t="str">
        <x:v>Normal</x:v>
      </x:c>
      <x:c r="L746" s="6" t="str"/>
      <x:c r="M746" s="6" t="str"/>
      <x:c r="N746" s="6" t="str"/>
      <x:c r="O746" s="7" t="str"/>
      <x:c r="P746" s="6" t="str">
        <x:v>Yes</x:v>
      </x:c>
      <x:c r="Q746" s="7" t="str">
        <x:v>Requires identity and manufacturer-scope completion.</x:v>
      </x:c>
    </x:row>
    <x:row r="747">
      <x:c r="A747" s="6" t="str">
        <x:v>SEQ-DEV-0103</x:v>
      </x:c>
      <x:c r="B747" s="6" t="str">
        <x:v>Device Applicability</x:v>
      </x:c>
      <x:c r="C747" s="6" t="str">
        <x:v>DEVX-0103</x:v>
      </x:c>
      <x:c r="D747" s="6" t="str">
        <x:v>SVC000103</x:v>
      </x:c>
      <x:c r="E747" s="6" t="str"/>
      <x:c r="F747" s="6" t="str">
        <x:v>Device-applicability review</x:v>
      </x:c>
      <x:c r="G747" s="6" t="n">
        <x:v>4</x:v>
      </x:c>
      <x:c r="H747" s="6" t="str">
        <x:v>SIDX-0103;MFRX-0103</x:v>
      </x:c>
      <x:c r="I747" s="6" t="str">
        <x:f>IF(H747="","No upstream dependency",IF(ISNUMBER(SEARCH(";",H747)),"Multiple dependencies - verify source queues",IFERROR(XLOOKUP(H747,C2:C1586,J2:J1586),"Dependency not found")))</x:f>
        <x:v>Multiple dependencies - verify source queues</x:v>
      </x:c>
      <x:c r="J747" s="6" t="str">
        <x:v>Not Started</x:v>
      </x:c>
      <x:c r="K747" s="6" t="str">
        <x:v>Normal</x:v>
      </x:c>
      <x:c r="L747" s="6" t="str"/>
      <x:c r="M747" s="6" t="str"/>
      <x:c r="N747" s="6" t="str"/>
      <x:c r="O747" s="7" t="str"/>
      <x:c r="P747" s="6" t="str">
        <x:v>Yes</x:v>
      </x:c>
      <x:c r="Q747" s="7" t="str">
        <x:v>Requires identity and manufacturer-scope completion.</x:v>
      </x:c>
    </x:row>
    <x:row r="748">
      <x:c r="A748" s="6" t="str">
        <x:v>SEQ-DEV-0104</x:v>
      </x:c>
      <x:c r="B748" s="6" t="str">
        <x:v>Device Applicability</x:v>
      </x:c>
      <x:c r="C748" s="6" t="str">
        <x:v>DEVX-0104</x:v>
      </x:c>
      <x:c r="D748" s="6" t="str">
        <x:v>SVC000104</x:v>
      </x:c>
      <x:c r="E748" s="6" t="str"/>
      <x:c r="F748" s="6" t="str">
        <x:v>Device-applicability review</x:v>
      </x:c>
      <x:c r="G748" s="6" t="n">
        <x:v>4</x:v>
      </x:c>
      <x:c r="H748" s="6" t="str">
        <x:v>SIDX-0104;MFRX-0104</x:v>
      </x:c>
      <x:c r="I748" s="6" t="str">
        <x:f>IF(H748="","No upstream dependency",IF(ISNUMBER(SEARCH(";",H748)),"Multiple dependencies - verify source queues",IFERROR(XLOOKUP(H748,C2:C1586,J2:J1586),"Dependency not found")))</x:f>
        <x:v>Multiple dependencies - verify source queues</x:v>
      </x:c>
      <x:c r="J748" s="6" t="str">
        <x:v>Not Started</x:v>
      </x:c>
      <x:c r="K748" s="6" t="str">
        <x:v>Normal</x:v>
      </x:c>
      <x:c r="L748" s="6" t="str"/>
      <x:c r="M748" s="6" t="str"/>
      <x:c r="N748" s="6" t="str"/>
      <x:c r="O748" s="7" t="str"/>
      <x:c r="P748" s="6" t="str">
        <x:v>Yes</x:v>
      </x:c>
      <x:c r="Q748" s="7" t="str">
        <x:v>Requires identity and manufacturer-scope completion.</x:v>
      </x:c>
    </x:row>
    <x:row r="749">
      <x:c r="A749" s="6" t="str">
        <x:v>SEQ-DEV-0105</x:v>
      </x:c>
      <x:c r="B749" s="6" t="str">
        <x:v>Device Applicability</x:v>
      </x:c>
      <x:c r="C749" s="6" t="str">
        <x:v>DEVX-0105</x:v>
      </x:c>
      <x:c r="D749" s="6" t="str">
        <x:v>SVC000105</x:v>
      </x:c>
      <x:c r="E749" s="6" t="str"/>
      <x:c r="F749" s="6" t="str">
        <x:v>Device-applicability review</x:v>
      </x:c>
      <x:c r="G749" s="6" t="n">
        <x:v>4</x:v>
      </x:c>
      <x:c r="H749" s="6" t="str">
        <x:v>SIDX-0105;MFRX-0105</x:v>
      </x:c>
      <x:c r="I749" s="6" t="str">
        <x:f>IF(H749="","No upstream dependency",IF(ISNUMBER(SEARCH(";",H749)),"Multiple dependencies - verify source queues",IFERROR(XLOOKUP(H749,C2:C1586,J2:J1586),"Dependency not found")))</x:f>
        <x:v>Multiple dependencies - verify source queues</x:v>
      </x:c>
      <x:c r="J749" s="6" t="str">
        <x:v>Not Started</x:v>
      </x:c>
      <x:c r="K749" s="6" t="str">
        <x:v>Normal</x:v>
      </x:c>
      <x:c r="L749" s="6" t="str"/>
      <x:c r="M749" s="6" t="str"/>
      <x:c r="N749" s="6" t="str"/>
      <x:c r="O749" s="7" t="str"/>
      <x:c r="P749" s="6" t="str">
        <x:v>Yes</x:v>
      </x:c>
      <x:c r="Q749" s="7" t="str">
        <x:v>Requires identity and manufacturer-scope completion.</x:v>
      </x:c>
    </x:row>
    <x:row r="750">
      <x:c r="A750" s="6" t="str">
        <x:v>SEQ-DEV-0106</x:v>
      </x:c>
      <x:c r="B750" s="6" t="str">
        <x:v>Device Applicability</x:v>
      </x:c>
      <x:c r="C750" s="6" t="str">
        <x:v>DEVX-0106</x:v>
      </x:c>
      <x:c r="D750" s="6" t="str">
        <x:v>SVC000106</x:v>
      </x:c>
      <x:c r="E750" s="6" t="str"/>
      <x:c r="F750" s="6" t="str">
        <x:v>Device-applicability review</x:v>
      </x:c>
      <x:c r="G750" s="6" t="n">
        <x:v>4</x:v>
      </x:c>
      <x:c r="H750" s="6" t="str">
        <x:v>SIDX-0106;MFRX-0106</x:v>
      </x:c>
      <x:c r="I750" s="6" t="str">
        <x:f>IF(H750="","No upstream dependency",IF(ISNUMBER(SEARCH(";",H750)),"Multiple dependencies - verify source queues",IFERROR(XLOOKUP(H750,C2:C1586,J2:J1586),"Dependency not found")))</x:f>
        <x:v>Multiple dependencies - verify source queues</x:v>
      </x:c>
      <x:c r="J750" s="6" t="str">
        <x:v>Not Started</x:v>
      </x:c>
      <x:c r="K750" s="6" t="str">
        <x:v>Normal</x:v>
      </x:c>
      <x:c r="L750" s="6" t="str"/>
      <x:c r="M750" s="6" t="str"/>
      <x:c r="N750" s="6" t="str"/>
      <x:c r="O750" s="7" t="str"/>
      <x:c r="P750" s="6" t="str">
        <x:v>Yes</x:v>
      </x:c>
      <x:c r="Q750" s="7" t="str">
        <x:v>Requires identity and manufacturer-scope completion.</x:v>
      </x:c>
    </x:row>
    <x:row r="751">
      <x:c r="A751" s="6" t="str">
        <x:v>SEQ-DEV-0107</x:v>
      </x:c>
      <x:c r="B751" s="6" t="str">
        <x:v>Device Applicability</x:v>
      </x:c>
      <x:c r="C751" s="6" t="str">
        <x:v>DEVX-0107</x:v>
      </x:c>
      <x:c r="D751" s="6" t="str">
        <x:v>SVC000107</x:v>
      </x:c>
      <x:c r="E751" s="6" t="str"/>
      <x:c r="F751" s="6" t="str">
        <x:v>Device-applicability review</x:v>
      </x:c>
      <x:c r="G751" s="6" t="n">
        <x:v>4</x:v>
      </x:c>
      <x:c r="H751" s="6" t="str">
        <x:v>SIDX-0107;MFRX-0107</x:v>
      </x:c>
      <x:c r="I751" s="6" t="str">
        <x:f>IF(H751="","No upstream dependency",IF(ISNUMBER(SEARCH(";",H751)),"Multiple dependencies - verify source queues",IFERROR(XLOOKUP(H751,C2:C1586,J2:J1586),"Dependency not found")))</x:f>
        <x:v>Multiple dependencies - verify source queues</x:v>
      </x:c>
      <x:c r="J751" s="6" t="str">
        <x:v>Not Started</x:v>
      </x:c>
      <x:c r="K751" s="6" t="str">
        <x:v>Normal</x:v>
      </x:c>
      <x:c r="L751" s="6" t="str"/>
      <x:c r="M751" s="6" t="str"/>
      <x:c r="N751" s="6" t="str"/>
      <x:c r="O751" s="7" t="str"/>
      <x:c r="P751" s="6" t="str">
        <x:v>Yes</x:v>
      </x:c>
      <x:c r="Q751" s="7" t="str">
        <x:v>Requires identity and manufacturer-scope completion.</x:v>
      </x:c>
    </x:row>
    <x:row r="752">
      <x:c r="A752" s="6" t="str">
        <x:v>SEQ-DEV-0108</x:v>
      </x:c>
      <x:c r="B752" s="6" t="str">
        <x:v>Device Applicability</x:v>
      </x:c>
      <x:c r="C752" s="6" t="str">
        <x:v>DEVX-0108</x:v>
      </x:c>
      <x:c r="D752" s="6" t="str">
        <x:v>SVC000108</x:v>
      </x:c>
      <x:c r="E752" s="6" t="str"/>
      <x:c r="F752" s="6" t="str">
        <x:v>Device-applicability review</x:v>
      </x:c>
      <x:c r="G752" s="6" t="n">
        <x:v>4</x:v>
      </x:c>
      <x:c r="H752" s="6" t="str">
        <x:v>SIDX-0108;MFRX-0108</x:v>
      </x:c>
      <x:c r="I752" s="6" t="str">
        <x:f>IF(H752="","No upstream dependency",IF(ISNUMBER(SEARCH(";",H752)),"Multiple dependencies - verify source queues",IFERROR(XLOOKUP(H752,C2:C1586,J2:J1586),"Dependency not found")))</x:f>
        <x:v>Multiple dependencies - verify source queues</x:v>
      </x:c>
      <x:c r="J752" s="6" t="str">
        <x:v>Not Started</x:v>
      </x:c>
      <x:c r="K752" s="6" t="str">
        <x:v>Normal</x:v>
      </x:c>
      <x:c r="L752" s="6" t="str"/>
      <x:c r="M752" s="6" t="str"/>
      <x:c r="N752" s="6" t="str"/>
      <x:c r="O752" s="7" t="str"/>
      <x:c r="P752" s="6" t="str">
        <x:v>Yes</x:v>
      </x:c>
      <x:c r="Q752" s="7" t="str">
        <x:v>Requires identity and manufacturer-scope completion.</x:v>
      </x:c>
    </x:row>
    <x:row r="753">
      <x:c r="A753" s="6" t="str">
        <x:v>SEQ-DEV-0109</x:v>
      </x:c>
      <x:c r="B753" s="6" t="str">
        <x:v>Device Applicability</x:v>
      </x:c>
      <x:c r="C753" s="6" t="str">
        <x:v>DEVX-0109</x:v>
      </x:c>
      <x:c r="D753" s="6" t="str">
        <x:v>SVC000109</x:v>
      </x:c>
      <x:c r="E753" s="6" t="str"/>
      <x:c r="F753" s="6" t="str">
        <x:v>Device-applicability review</x:v>
      </x:c>
      <x:c r="G753" s="6" t="n">
        <x:v>4</x:v>
      </x:c>
      <x:c r="H753" s="6" t="str">
        <x:v>SIDX-0109;MFRX-0109</x:v>
      </x:c>
      <x:c r="I753" s="6" t="str">
        <x:f>IF(H753="","No upstream dependency",IF(ISNUMBER(SEARCH(";",H753)),"Multiple dependencies - verify source queues",IFERROR(XLOOKUP(H753,C2:C1586,J2:J1586),"Dependency not found")))</x:f>
        <x:v>Multiple dependencies - verify source queues</x:v>
      </x:c>
      <x:c r="J753" s="6" t="str">
        <x:v>Not Started</x:v>
      </x:c>
      <x:c r="K753" s="6" t="str">
        <x:v>Normal</x:v>
      </x:c>
      <x:c r="L753" s="6" t="str"/>
      <x:c r="M753" s="6" t="str"/>
      <x:c r="N753" s="6" t="str"/>
      <x:c r="O753" s="7" t="str"/>
      <x:c r="P753" s="6" t="str">
        <x:v>Yes</x:v>
      </x:c>
      <x:c r="Q753" s="7" t="str">
        <x:v>Requires identity and manufacturer-scope completion.</x:v>
      </x:c>
    </x:row>
    <x:row r="754">
      <x:c r="A754" s="6" t="str">
        <x:v>SEQ-DEV-0110</x:v>
      </x:c>
      <x:c r="B754" s="6" t="str">
        <x:v>Device Applicability</x:v>
      </x:c>
      <x:c r="C754" s="6" t="str">
        <x:v>DEVX-0110</x:v>
      </x:c>
      <x:c r="D754" s="6" t="str">
        <x:v>SVC000110</x:v>
      </x:c>
      <x:c r="E754" s="6" t="str"/>
      <x:c r="F754" s="6" t="str">
        <x:v>Device-applicability review</x:v>
      </x:c>
      <x:c r="G754" s="6" t="n">
        <x:v>4</x:v>
      </x:c>
      <x:c r="H754" s="6" t="str">
        <x:v>SIDX-0110;MFRX-0110</x:v>
      </x:c>
      <x:c r="I754" s="6" t="str">
        <x:f>IF(H754="","No upstream dependency",IF(ISNUMBER(SEARCH(";",H754)),"Multiple dependencies - verify source queues",IFERROR(XLOOKUP(H754,C2:C1586,J2:J1586),"Dependency not found")))</x:f>
        <x:v>Multiple dependencies - verify source queues</x:v>
      </x:c>
      <x:c r="J754" s="6" t="str">
        <x:v>Not Started</x:v>
      </x:c>
      <x:c r="K754" s="6" t="str">
        <x:v>Normal</x:v>
      </x:c>
      <x:c r="L754" s="6" t="str"/>
      <x:c r="M754" s="6" t="str"/>
      <x:c r="N754" s="6" t="str"/>
      <x:c r="O754" s="7" t="str"/>
      <x:c r="P754" s="6" t="str">
        <x:v>Yes</x:v>
      </x:c>
      <x:c r="Q754" s="7" t="str">
        <x:v>Requires identity and manufacturer-scope completion.</x:v>
      </x:c>
    </x:row>
    <x:row r="755">
      <x:c r="A755" s="6" t="str">
        <x:v>SEQ-DEV-0111</x:v>
      </x:c>
      <x:c r="B755" s="6" t="str">
        <x:v>Device Applicability</x:v>
      </x:c>
      <x:c r="C755" s="6" t="str">
        <x:v>DEVX-0111</x:v>
      </x:c>
      <x:c r="D755" s="6" t="str">
        <x:v>SVC000111</x:v>
      </x:c>
      <x:c r="E755" s="6" t="str"/>
      <x:c r="F755" s="6" t="str">
        <x:v>Device-applicability review</x:v>
      </x:c>
      <x:c r="G755" s="6" t="n">
        <x:v>4</x:v>
      </x:c>
      <x:c r="H755" s="6" t="str">
        <x:v>SIDX-0111;MFRX-0111</x:v>
      </x:c>
      <x:c r="I755" s="6" t="str">
        <x:f>IF(H755="","No upstream dependency",IF(ISNUMBER(SEARCH(";",H755)),"Multiple dependencies - verify source queues",IFERROR(XLOOKUP(H755,C2:C1586,J2:J1586),"Dependency not found")))</x:f>
        <x:v>Multiple dependencies - verify source queues</x:v>
      </x:c>
      <x:c r="J755" s="6" t="str">
        <x:v>Not Started</x:v>
      </x:c>
      <x:c r="K755" s="6" t="str">
        <x:v>Normal</x:v>
      </x:c>
      <x:c r="L755" s="6" t="str"/>
      <x:c r="M755" s="6" t="str"/>
      <x:c r="N755" s="6" t="str"/>
      <x:c r="O755" s="7" t="str"/>
      <x:c r="P755" s="6" t="str">
        <x:v>Yes</x:v>
      </x:c>
      <x:c r="Q755" s="7" t="str">
        <x:v>Requires identity and manufacturer-scope completion.</x:v>
      </x:c>
    </x:row>
    <x:row r="756">
      <x:c r="A756" s="6" t="str">
        <x:v>SEQ-DEV-0112</x:v>
      </x:c>
      <x:c r="B756" s="6" t="str">
        <x:v>Device Applicability</x:v>
      </x:c>
      <x:c r="C756" s="6" t="str">
        <x:v>DEVX-0112</x:v>
      </x:c>
      <x:c r="D756" s="6" t="str">
        <x:v>SVC000112</x:v>
      </x:c>
      <x:c r="E756" s="6" t="str"/>
      <x:c r="F756" s="6" t="str">
        <x:v>Device-applicability review</x:v>
      </x:c>
      <x:c r="G756" s="6" t="n">
        <x:v>4</x:v>
      </x:c>
      <x:c r="H756" s="6" t="str">
        <x:v>SIDX-0112;MFRX-0112</x:v>
      </x:c>
      <x:c r="I756" s="6" t="str">
        <x:f>IF(H756="","No upstream dependency",IF(ISNUMBER(SEARCH(";",H756)),"Multiple dependencies - verify source queues",IFERROR(XLOOKUP(H756,C2:C1586,J2:J1586),"Dependency not found")))</x:f>
        <x:v>Multiple dependencies - verify source queues</x:v>
      </x:c>
      <x:c r="J756" s="6" t="str">
        <x:v>Not Started</x:v>
      </x:c>
      <x:c r="K756" s="6" t="str">
        <x:v>Normal</x:v>
      </x:c>
      <x:c r="L756" s="6" t="str"/>
      <x:c r="M756" s="6" t="str"/>
      <x:c r="N756" s="6" t="str"/>
      <x:c r="O756" s="7" t="str"/>
      <x:c r="P756" s="6" t="str">
        <x:v>Yes</x:v>
      </x:c>
      <x:c r="Q756" s="7" t="str">
        <x:v>Requires identity and manufacturer-scope completion.</x:v>
      </x:c>
    </x:row>
    <x:row r="757">
      <x:c r="A757" s="6" t="str">
        <x:v>SEQ-DEV-0113</x:v>
      </x:c>
      <x:c r="B757" s="6" t="str">
        <x:v>Device Applicability</x:v>
      </x:c>
      <x:c r="C757" s="6" t="str">
        <x:v>DEVX-0113</x:v>
      </x:c>
      <x:c r="D757" s="6" t="str">
        <x:v>SVC000113</x:v>
      </x:c>
      <x:c r="E757" s="6" t="str"/>
      <x:c r="F757" s="6" t="str">
        <x:v>Device-applicability review</x:v>
      </x:c>
      <x:c r="G757" s="6" t="n">
        <x:v>4</x:v>
      </x:c>
      <x:c r="H757" s="6" t="str">
        <x:v>SIDX-0113;MFRX-0113</x:v>
      </x:c>
      <x:c r="I757" s="6" t="str">
        <x:f>IF(H757="","No upstream dependency",IF(ISNUMBER(SEARCH(";",H757)),"Multiple dependencies - verify source queues",IFERROR(XLOOKUP(H757,C2:C1586,J2:J1586),"Dependency not found")))</x:f>
        <x:v>Multiple dependencies - verify source queues</x:v>
      </x:c>
      <x:c r="J757" s="6" t="str">
        <x:v>Not Started</x:v>
      </x:c>
      <x:c r="K757" s="6" t="str">
        <x:v>Normal</x:v>
      </x:c>
      <x:c r="L757" s="6" t="str"/>
      <x:c r="M757" s="6" t="str"/>
      <x:c r="N757" s="6" t="str"/>
      <x:c r="O757" s="7" t="str"/>
      <x:c r="P757" s="6" t="str">
        <x:v>Yes</x:v>
      </x:c>
      <x:c r="Q757" s="7" t="str">
        <x:v>Requires identity and manufacturer-scope completion.</x:v>
      </x:c>
    </x:row>
    <x:row r="758">
      <x:c r="A758" s="6" t="str">
        <x:v>SEQ-DEV-0114</x:v>
      </x:c>
      <x:c r="B758" s="6" t="str">
        <x:v>Device Applicability</x:v>
      </x:c>
      <x:c r="C758" s="6" t="str">
        <x:v>DEVX-0114</x:v>
      </x:c>
      <x:c r="D758" s="6" t="str">
        <x:v>SVC000114</x:v>
      </x:c>
      <x:c r="E758" s="6" t="str"/>
      <x:c r="F758" s="6" t="str">
        <x:v>Device-applicability review</x:v>
      </x:c>
      <x:c r="G758" s="6" t="n">
        <x:v>4</x:v>
      </x:c>
      <x:c r="H758" s="6" t="str">
        <x:v>SIDX-0114;MFRX-0114</x:v>
      </x:c>
      <x:c r="I758" s="6" t="str">
        <x:f>IF(H758="","No upstream dependency",IF(ISNUMBER(SEARCH(";",H758)),"Multiple dependencies - verify source queues",IFERROR(XLOOKUP(H758,C2:C1586,J2:J1586),"Dependency not found")))</x:f>
        <x:v>Multiple dependencies - verify source queues</x:v>
      </x:c>
      <x:c r="J758" s="6" t="str">
        <x:v>Not Started</x:v>
      </x:c>
      <x:c r="K758" s="6" t="str">
        <x:v>Normal</x:v>
      </x:c>
      <x:c r="L758" s="6" t="str"/>
      <x:c r="M758" s="6" t="str"/>
      <x:c r="N758" s="6" t="str"/>
      <x:c r="O758" s="7" t="str"/>
      <x:c r="P758" s="6" t="str">
        <x:v>Yes</x:v>
      </x:c>
      <x:c r="Q758" s="7" t="str">
        <x:v>Requires identity and manufacturer-scope completion.</x:v>
      </x:c>
    </x:row>
    <x:row r="759">
      <x:c r="A759" s="6" t="str">
        <x:v>SEQ-DEV-0115</x:v>
      </x:c>
      <x:c r="B759" s="6" t="str">
        <x:v>Device Applicability</x:v>
      </x:c>
      <x:c r="C759" s="6" t="str">
        <x:v>DEVX-0115</x:v>
      </x:c>
      <x:c r="D759" s="6" t="str">
        <x:v>SVC000115</x:v>
      </x:c>
      <x:c r="E759" s="6" t="str"/>
      <x:c r="F759" s="6" t="str">
        <x:v>Device-applicability review</x:v>
      </x:c>
      <x:c r="G759" s="6" t="n">
        <x:v>4</x:v>
      </x:c>
      <x:c r="H759" s="6" t="str">
        <x:v>SIDX-0115;MFRX-0115</x:v>
      </x:c>
      <x:c r="I759" s="6" t="str">
        <x:f>IF(H759="","No upstream dependency",IF(ISNUMBER(SEARCH(";",H759)),"Multiple dependencies - verify source queues",IFERROR(XLOOKUP(H759,C2:C1586,J2:J1586),"Dependency not found")))</x:f>
        <x:v>Multiple dependencies - verify source queues</x:v>
      </x:c>
      <x:c r="J759" s="6" t="str">
        <x:v>Not Started</x:v>
      </x:c>
      <x:c r="K759" s="6" t="str">
        <x:v>Normal</x:v>
      </x:c>
      <x:c r="L759" s="6" t="str"/>
      <x:c r="M759" s="6" t="str"/>
      <x:c r="N759" s="6" t="str"/>
      <x:c r="O759" s="7" t="str"/>
      <x:c r="P759" s="6" t="str">
        <x:v>Yes</x:v>
      </x:c>
      <x:c r="Q759" s="7" t="str">
        <x:v>Requires identity and manufacturer-scope completion.</x:v>
      </x:c>
    </x:row>
    <x:row r="760">
      <x:c r="A760" s="6" t="str">
        <x:v>SEQ-DEV-0116</x:v>
      </x:c>
      <x:c r="B760" s="6" t="str">
        <x:v>Device Applicability</x:v>
      </x:c>
      <x:c r="C760" s="6" t="str">
        <x:v>DEVX-0116</x:v>
      </x:c>
      <x:c r="D760" s="6" t="str">
        <x:v>SVC000116</x:v>
      </x:c>
      <x:c r="E760" s="6" t="str"/>
      <x:c r="F760" s="6" t="str">
        <x:v>Device-applicability review</x:v>
      </x:c>
      <x:c r="G760" s="6" t="n">
        <x:v>4</x:v>
      </x:c>
      <x:c r="H760" s="6" t="str">
        <x:v>SIDX-0116;MFRX-0116</x:v>
      </x:c>
      <x:c r="I760" s="6" t="str">
        <x:f>IF(H760="","No upstream dependency",IF(ISNUMBER(SEARCH(";",H760)),"Multiple dependencies - verify source queues",IFERROR(XLOOKUP(H760,C2:C1586,J2:J1586),"Dependency not found")))</x:f>
        <x:v>Multiple dependencies - verify source queues</x:v>
      </x:c>
      <x:c r="J760" s="6" t="str">
        <x:v>Not Started</x:v>
      </x:c>
      <x:c r="K760" s="6" t="str">
        <x:v>Normal</x:v>
      </x:c>
      <x:c r="L760" s="6" t="str"/>
      <x:c r="M760" s="6" t="str"/>
      <x:c r="N760" s="6" t="str"/>
      <x:c r="O760" s="7" t="str"/>
      <x:c r="P760" s="6" t="str">
        <x:v>Yes</x:v>
      </x:c>
      <x:c r="Q760" s="7" t="str">
        <x:v>Requires identity and manufacturer-scope completion.</x:v>
      </x:c>
    </x:row>
    <x:row r="761">
      <x:c r="A761" s="6" t="str">
        <x:v>SEQ-DEV-0117</x:v>
      </x:c>
      <x:c r="B761" s="6" t="str">
        <x:v>Device Applicability</x:v>
      </x:c>
      <x:c r="C761" s="6" t="str">
        <x:v>DEVX-0117</x:v>
      </x:c>
      <x:c r="D761" s="6" t="str">
        <x:v>SVC000117</x:v>
      </x:c>
      <x:c r="E761" s="6" t="str"/>
      <x:c r="F761" s="6" t="str">
        <x:v>Device-applicability review</x:v>
      </x:c>
      <x:c r="G761" s="6" t="n">
        <x:v>4</x:v>
      </x:c>
      <x:c r="H761" s="6" t="str">
        <x:v>SIDX-0117;MFRX-0117</x:v>
      </x:c>
      <x:c r="I761" s="6" t="str">
        <x:f>IF(H761="","No upstream dependency",IF(ISNUMBER(SEARCH(";",H761)),"Multiple dependencies - verify source queues",IFERROR(XLOOKUP(H761,C2:C1586,J2:J1586),"Dependency not found")))</x:f>
        <x:v>Multiple dependencies - verify source queues</x:v>
      </x:c>
      <x:c r="J761" s="6" t="str">
        <x:v>Not Started</x:v>
      </x:c>
      <x:c r="K761" s="6" t="str">
        <x:v>Normal</x:v>
      </x:c>
      <x:c r="L761" s="6" t="str"/>
      <x:c r="M761" s="6" t="str"/>
      <x:c r="N761" s="6" t="str"/>
      <x:c r="O761" s="7" t="str"/>
      <x:c r="P761" s="6" t="str">
        <x:v>Yes</x:v>
      </x:c>
      <x:c r="Q761" s="7" t="str">
        <x:v>Requires identity and manufacturer-scope completion.</x:v>
      </x:c>
    </x:row>
    <x:row r="762">
      <x:c r="A762" s="6" t="str">
        <x:v>SEQ-DEV-0118</x:v>
      </x:c>
      <x:c r="B762" s="6" t="str">
        <x:v>Device Applicability</x:v>
      </x:c>
      <x:c r="C762" s="6" t="str">
        <x:v>DEVX-0118</x:v>
      </x:c>
      <x:c r="D762" s="6" t="str">
        <x:v>SVC000118</x:v>
      </x:c>
      <x:c r="E762" s="6" t="str"/>
      <x:c r="F762" s="6" t="str">
        <x:v>Device-applicability review</x:v>
      </x:c>
      <x:c r="G762" s="6" t="n">
        <x:v>4</x:v>
      </x:c>
      <x:c r="H762" s="6" t="str">
        <x:v>SIDX-0118;MFRX-0118</x:v>
      </x:c>
      <x:c r="I762" s="6" t="str">
        <x:f>IF(H762="","No upstream dependency",IF(ISNUMBER(SEARCH(";",H762)),"Multiple dependencies - verify source queues",IFERROR(XLOOKUP(H762,C2:C1586,J2:J1586),"Dependency not found")))</x:f>
        <x:v>Multiple dependencies - verify source queues</x:v>
      </x:c>
      <x:c r="J762" s="6" t="str">
        <x:v>Not Started</x:v>
      </x:c>
      <x:c r="K762" s="6" t="str">
        <x:v>Normal</x:v>
      </x:c>
      <x:c r="L762" s="6" t="str"/>
      <x:c r="M762" s="6" t="str"/>
      <x:c r="N762" s="6" t="str"/>
      <x:c r="O762" s="7" t="str"/>
      <x:c r="P762" s="6" t="str">
        <x:v>Yes</x:v>
      </x:c>
      <x:c r="Q762" s="7" t="str">
        <x:v>Requires identity and manufacturer-scope completion.</x:v>
      </x:c>
    </x:row>
    <x:row r="763">
      <x:c r="A763" s="6" t="str">
        <x:v>SEQ-DEV-0119</x:v>
      </x:c>
      <x:c r="B763" s="6" t="str">
        <x:v>Device Applicability</x:v>
      </x:c>
      <x:c r="C763" s="6" t="str">
        <x:v>DEVX-0119</x:v>
      </x:c>
      <x:c r="D763" s="6" t="str">
        <x:v>SVC000119</x:v>
      </x:c>
      <x:c r="E763" s="6" t="str"/>
      <x:c r="F763" s="6" t="str">
        <x:v>Device-applicability review</x:v>
      </x:c>
      <x:c r="G763" s="6" t="n">
        <x:v>4</x:v>
      </x:c>
      <x:c r="H763" s="6" t="str">
        <x:v>SIDX-0119;MFRX-0119</x:v>
      </x:c>
      <x:c r="I763" s="6" t="str">
        <x:f>IF(H763="","No upstream dependency",IF(ISNUMBER(SEARCH(";",H763)),"Multiple dependencies - verify source queues",IFERROR(XLOOKUP(H763,C2:C1586,J2:J1586),"Dependency not found")))</x:f>
        <x:v>Multiple dependencies - verify source queues</x:v>
      </x:c>
      <x:c r="J763" s="6" t="str">
        <x:v>Not Started</x:v>
      </x:c>
      <x:c r="K763" s="6" t="str">
        <x:v>Normal</x:v>
      </x:c>
      <x:c r="L763" s="6" t="str"/>
      <x:c r="M763" s="6" t="str"/>
      <x:c r="N763" s="6" t="str"/>
      <x:c r="O763" s="7" t="str"/>
      <x:c r="P763" s="6" t="str">
        <x:v>Yes</x:v>
      </x:c>
      <x:c r="Q763" s="7" t="str">
        <x:v>Requires identity and manufacturer-scope completion.</x:v>
      </x:c>
    </x:row>
    <x:row r="764">
      <x:c r="A764" s="6" t="str">
        <x:v>SEQ-DEV-0120</x:v>
      </x:c>
      <x:c r="B764" s="6" t="str">
        <x:v>Device Applicability</x:v>
      </x:c>
      <x:c r="C764" s="6" t="str">
        <x:v>DEVX-0120</x:v>
      </x:c>
      <x:c r="D764" s="6" t="str">
        <x:v>SVC000120</x:v>
      </x:c>
      <x:c r="E764" s="6" t="str"/>
      <x:c r="F764" s="6" t="str">
        <x:v>Device-applicability review</x:v>
      </x:c>
      <x:c r="G764" s="6" t="n">
        <x:v>4</x:v>
      </x:c>
      <x:c r="H764" s="6" t="str">
        <x:v>SIDX-0120;MFRX-0120</x:v>
      </x:c>
      <x:c r="I764" s="6" t="str">
        <x:f>IF(H764="","No upstream dependency",IF(ISNUMBER(SEARCH(";",H764)),"Multiple dependencies - verify source queues",IFERROR(XLOOKUP(H764,C2:C1586,J2:J1586),"Dependency not found")))</x:f>
        <x:v>Multiple dependencies - verify source queues</x:v>
      </x:c>
      <x:c r="J764" s="6" t="str">
        <x:v>Not Started</x:v>
      </x:c>
      <x:c r="K764" s="6" t="str">
        <x:v>Normal</x:v>
      </x:c>
      <x:c r="L764" s="6" t="str"/>
      <x:c r="M764" s="6" t="str"/>
      <x:c r="N764" s="6" t="str"/>
      <x:c r="O764" s="7" t="str"/>
      <x:c r="P764" s="6" t="str">
        <x:v>Yes</x:v>
      </x:c>
      <x:c r="Q764" s="7" t="str">
        <x:v>Requires identity and manufacturer-scope completion.</x:v>
      </x:c>
    </x:row>
    <x:row r="765">
      <x:c r="A765" s="6" t="str">
        <x:v>SEQ-DEV-0121</x:v>
      </x:c>
      <x:c r="B765" s="6" t="str">
        <x:v>Device Applicability</x:v>
      </x:c>
      <x:c r="C765" s="6" t="str">
        <x:v>DEVX-0121</x:v>
      </x:c>
      <x:c r="D765" s="6" t="str">
        <x:v>SVC000121</x:v>
      </x:c>
      <x:c r="E765" s="6" t="str"/>
      <x:c r="F765" s="6" t="str">
        <x:v>Device-applicability review</x:v>
      </x:c>
      <x:c r="G765" s="6" t="n">
        <x:v>4</x:v>
      </x:c>
      <x:c r="H765" s="6" t="str">
        <x:v>SIDX-0121;MFRX-0121</x:v>
      </x:c>
      <x:c r="I765" s="6" t="str">
        <x:f>IF(H765="","No upstream dependency",IF(ISNUMBER(SEARCH(";",H765)),"Multiple dependencies - verify source queues",IFERROR(XLOOKUP(H765,C2:C1586,J2:J1586),"Dependency not found")))</x:f>
        <x:v>Multiple dependencies - verify source queues</x:v>
      </x:c>
      <x:c r="J765" s="6" t="str">
        <x:v>Not Started</x:v>
      </x:c>
      <x:c r="K765" s="6" t="str">
        <x:v>Normal</x:v>
      </x:c>
      <x:c r="L765" s="6" t="str"/>
      <x:c r="M765" s="6" t="str"/>
      <x:c r="N765" s="6" t="str"/>
      <x:c r="O765" s="7" t="str"/>
      <x:c r="P765" s="6" t="str">
        <x:v>Yes</x:v>
      </x:c>
      <x:c r="Q765" s="7" t="str">
        <x:v>Requires identity and manufacturer-scope completion.</x:v>
      </x:c>
    </x:row>
    <x:row r="766">
      <x:c r="A766" s="6" t="str">
        <x:v>SEQ-DEV-0122</x:v>
      </x:c>
      <x:c r="B766" s="6" t="str">
        <x:v>Device Applicability</x:v>
      </x:c>
      <x:c r="C766" s="6" t="str">
        <x:v>DEVX-0122</x:v>
      </x:c>
      <x:c r="D766" s="6" t="str">
        <x:v>SVC000122</x:v>
      </x:c>
      <x:c r="E766" s="6" t="str"/>
      <x:c r="F766" s="6" t="str">
        <x:v>Device-applicability review</x:v>
      </x:c>
      <x:c r="G766" s="6" t="n">
        <x:v>4</x:v>
      </x:c>
      <x:c r="H766" s="6" t="str">
        <x:v>SIDX-0122;MFRX-0122</x:v>
      </x:c>
      <x:c r="I766" s="6" t="str">
        <x:f>IF(H766="","No upstream dependency",IF(ISNUMBER(SEARCH(";",H766)),"Multiple dependencies - verify source queues",IFERROR(XLOOKUP(H766,C2:C1586,J2:J1586),"Dependency not found")))</x:f>
        <x:v>Multiple dependencies - verify source queues</x:v>
      </x:c>
      <x:c r="J766" s="6" t="str">
        <x:v>Not Started</x:v>
      </x:c>
      <x:c r="K766" s="6" t="str">
        <x:v>Normal</x:v>
      </x:c>
      <x:c r="L766" s="6" t="str"/>
      <x:c r="M766" s="6" t="str"/>
      <x:c r="N766" s="6" t="str"/>
      <x:c r="O766" s="7" t="str"/>
      <x:c r="P766" s="6" t="str">
        <x:v>Yes</x:v>
      </x:c>
      <x:c r="Q766" s="7" t="str">
        <x:v>Requires identity and manufacturer-scope completion.</x:v>
      </x:c>
    </x:row>
    <x:row r="767">
      <x:c r="A767" s="6" t="str">
        <x:v>SEQ-DEV-0123</x:v>
      </x:c>
      <x:c r="B767" s="6" t="str">
        <x:v>Device Applicability</x:v>
      </x:c>
      <x:c r="C767" s="6" t="str">
        <x:v>DEVX-0123</x:v>
      </x:c>
      <x:c r="D767" s="6" t="str">
        <x:v>SVC000123</x:v>
      </x:c>
      <x:c r="E767" s="6" t="str"/>
      <x:c r="F767" s="6" t="str">
        <x:v>Device-applicability review</x:v>
      </x:c>
      <x:c r="G767" s="6" t="n">
        <x:v>4</x:v>
      </x:c>
      <x:c r="H767" s="6" t="str">
        <x:v>SIDX-0123;MFRX-0123</x:v>
      </x:c>
      <x:c r="I767" s="6" t="str">
        <x:f>IF(H767="","No upstream dependency",IF(ISNUMBER(SEARCH(";",H767)),"Multiple dependencies - verify source queues",IFERROR(XLOOKUP(H767,C2:C1586,J2:J1586),"Dependency not found")))</x:f>
        <x:v>Multiple dependencies - verify source queues</x:v>
      </x:c>
      <x:c r="J767" s="6" t="str">
        <x:v>Not Started</x:v>
      </x:c>
      <x:c r="K767" s="6" t="str">
        <x:v>Normal</x:v>
      </x:c>
      <x:c r="L767" s="6" t="str"/>
      <x:c r="M767" s="6" t="str"/>
      <x:c r="N767" s="6" t="str"/>
      <x:c r="O767" s="7" t="str"/>
      <x:c r="P767" s="6" t="str">
        <x:v>Yes</x:v>
      </x:c>
      <x:c r="Q767" s="7" t="str">
        <x:v>Requires identity and manufacturer-scope completion.</x:v>
      </x:c>
    </x:row>
    <x:row r="768">
      <x:c r="A768" s="6" t="str">
        <x:v>SEQ-DEV-0124</x:v>
      </x:c>
      <x:c r="B768" s="6" t="str">
        <x:v>Device Applicability</x:v>
      </x:c>
      <x:c r="C768" s="6" t="str">
        <x:v>DEVX-0124</x:v>
      </x:c>
      <x:c r="D768" s="6" t="str">
        <x:v>SVC000124</x:v>
      </x:c>
      <x:c r="E768" s="6" t="str"/>
      <x:c r="F768" s="6" t="str">
        <x:v>Device-applicability review</x:v>
      </x:c>
      <x:c r="G768" s="6" t="n">
        <x:v>4</x:v>
      </x:c>
      <x:c r="H768" s="6" t="str">
        <x:v>SIDX-0124;MFRX-0124</x:v>
      </x:c>
      <x:c r="I768" s="6" t="str">
        <x:f>IF(H768="","No upstream dependency",IF(ISNUMBER(SEARCH(";",H768)),"Multiple dependencies - verify source queues",IFERROR(XLOOKUP(H768,C2:C1586,J2:J1586),"Dependency not found")))</x:f>
        <x:v>Multiple dependencies - verify source queues</x:v>
      </x:c>
      <x:c r="J768" s="6" t="str">
        <x:v>Not Started</x:v>
      </x:c>
      <x:c r="K768" s="6" t="str">
        <x:v>Normal</x:v>
      </x:c>
      <x:c r="L768" s="6" t="str"/>
      <x:c r="M768" s="6" t="str"/>
      <x:c r="N768" s="6" t="str"/>
      <x:c r="O768" s="7" t="str"/>
      <x:c r="P768" s="6" t="str">
        <x:v>Yes</x:v>
      </x:c>
      <x:c r="Q768" s="7" t="str">
        <x:v>Requires identity and manufacturer-scope completion.</x:v>
      </x:c>
    </x:row>
    <x:row r="769">
      <x:c r="A769" s="6" t="str">
        <x:v>SEQ-DEV-0125</x:v>
      </x:c>
      <x:c r="B769" s="6" t="str">
        <x:v>Device Applicability</x:v>
      </x:c>
      <x:c r="C769" s="6" t="str">
        <x:v>DEVX-0125</x:v>
      </x:c>
      <x:c r="D769" s="6" t="str">
        <x:v>SVC000125</x:v>
      </x:c>
      <x:c r="E769" s="6" t="str"/>
      <x:c r="F769" s="6" t="str">
        <x:v>Device-applicability review</x:v>
      </x:c>
      <x:c r="G769" s="6" t="n">
        <x:v>4</x:v>
      </x:c>
      <x:c r="H769" s="6" t="str">
        <x:v>SIDX-0125;MFRX-0125</x:v>
      </x:c>
      <x:c r="I769" s="6" t="str">
        <x:f>IF(H769="","No upstream dependency",IF(ISNUMBER(SEARCH(";",H769)),"Multiple dependencies - verify source queues",IFERROR(XLOOKUP(H769,C2:C1586,J2:J1586),"Dependency not found")))</x:f>
        <x:v>Multiple dependencies - verify source queues</x:v>
      </x:c>
      <x:c r="J769" s="6" t="str">
        <x:v>Not Started</x:v>
      </x:c>
      <x:c r="K769" s="6" t="str">
        <x:v>Normal</x:v>
      </x:c>
      <x:c r="L769" s="6" t="str"/>
      <x:c r="M769" s="6" t="str"/>
      <x:c r="N769" s="6" t="str"/>
      <x:c r="O769" s="7" t="str"/>
      <x:c r="P769" s="6" t="str">
        <x:v>Yes</x:v>
      </x:c>
      <x:c r="Q769" s="7" t="str">
        <x:v>Requires identity and manufacturer-scope completion.</x:v>
      </x:c>
    </x:row>
    <x:row r="770">
      <x:c r="A770" s="6" t="str">
        <x:v>SEQ-DEV-0126</x:v>
      </x:c>
      <x:c r="B770" s="6" t="str">
        <x:v>Device Applicability</x:v>
      </x:c>
      <x:c r="C770" s="6" t="str">
        <x:v>DEVX-0126</x:v>
      </x:c>
      <x:c r="D770" s="6" t="str">
        <x:v>SVC000126</x:v>
      </x:c>
      <x:c r="E770" s="6" t="str"/>
      <x:c r="F770" s="6" t="str">
        <x:v>Device-applicability review</x:v>
      </x:c>
      <x:c r="G770" s="6" t="n">
        <x:v>4</x:v>
      </x:c>
      <x:c r="H770" s="6" t="str">
        <x:v>SIDX-0126;MFRX-0126</x:v>
      </x:c>
      <x:c r="I770" s="6" t="str">
        <x:f>IF(H770="","No upstream dependency",IF(ISNUMBER(SEARCH(";",H770)),"Multiple dependencies - verify source queues",IFERROR(XLOOKUP(H770,C2:C1586,J2:J1586),"Dependency not found")))</x:f>
        <x:v>Multiple dependencies - verify source queues</x:v>
      </x:c>
      <x:c r="J770" s="6" t="str">
        <x:v>Not Started</x:v>
      </x:c>
      <x:c r="K770" s="6" t="str">
        <x:v>Normal</x:v>
      </x:c>
      <x:c r="L770" s="6" t="str"/>
      <x:c r="M770" s="6" t="str"/>
      <x:c r="N770" s="6" t="str"/>
      <x:c r="O770" s="7" t="str"/>
      <x:c r="P770" s="6" t="str">
        <x:v>Yes</x:v>
      </x:c>
      <x:c r="Q770" s="7" t="str">
        <x:v>Requires identity and manufacturer-scope completion.</x:v>
      </x:c>
    </x:row>
    <x:row r="771">
      <x:c r="A771" s="6" t="str">
        <x:v>SEQ-DEV-0127</x:v>
      </x:c>
      <x:c r="B771" s="6" t="str">
        <x:v>Device Applicability</x:v>
      </x:c>
      <x:c r="C771" s="6" t="str">
        <x:v>DEVX-0127</x:v>
      </x:c>
      <x:c r="D771" s="6" t="str">
        <x:v>SVC000127</x:v>
      </x:c>
      <x:c r="E771" s="6" t="str"/>
      <x:c r="F771" s="6" t="str">
        <x:v>Device-applicability review</x:v>
      </x:c>
      <x:c r="G771" s="6" t="n">
        <x:v>4</x:v>
      </x:c>
      <x:c r="H771" s="6" t="str">
        <x:v>SIDX-0127;MFRX-0127</x:v>
      </x:c>
      <x:c r="I771" s="6" t="str">
        <x:f>IF(H771="","No upstream dependency",IF(ISNUMBER(SEARCH(";",H771)),"Multiple dependencies - verify source queues",IFERROR(XLOOKUP(H771,C2:C1586,J2:J1586),"Dependency not found")))</x:f>
        <x:v>Multiple dependencies - verify source queues</x:v>
      </x:c>
      <x:c r="J771" s="6" t="str">
        <x:v>Not Started</x:v>
      </x:c>
      <x:c r="K771" s="6" t="str">
        <x:v>Normal</x:v>
      </x:c>
      <x:c r="L771" s="6" t="str"/>
      <x:c r="M771" s="6" t="str"/>
      <x:c r="N771" s="6" t="str"/>
      <x:c r="O771" s="7" t="str"/>
      <x:c r="P771" s="6" t="str">
        <x:v>Yes</x:v>
      </x:c>
      <x:c r="Q771" s="7" t="str">
        <x:v>Requires identity and manufacturer-scope completion.</x:v>
      </x:c>
    </x:row>
    <x:row r="772">
      <x:c r="A772" s="6" t="str">
        <x:v>SEQ-DEV-0128</x:v>
      </x:c>
      <x:c r="B772" s="6" t="str">
        <x:v>Device Applicability</x:v>
      </x:c>
      <x:c r="C772" s="6" t="str">
        <x:v>DEVX-0128</x:v>
      </x:c>
      <x:c r="D772" s="6" t="str">
        <x:v>SVC000128</x:v>
      </x:c>
      <x:c r="E772" s="6" t="str"/>
      <x:c r="F772" s="6" t="str">
        <x:v>Device-applicability review</x:v>
      </x:c>
      <x:c r="G772" s="6" t="n">
        <x:v>4</x:v>
      </x:c>
      <x:c r="H772" s="6" t="str">
        <x:v>SIDX-0128;MFRX-0128</x:v>
      </x:c>
      <x:c r="I772" s="6" t="str">
        <x:f>IF(H772="","No upstream dependency",IF(ISNUMBER(SEARCH(";",H772)),"Multiple dependencies - verify source queues",IFERROR(XLOOKUP(H772,C2:C1586,J2:J1586),"Dependency not found")))</x:f>
        <x:v>Multiple dependencies - verify source queues</x:v>
      </x:c>
      <x:c r="J772" s="6" t="str">
        <x:v>Not Started</x:v>
      </x:c>
      <x:c r="K772" s="6" t="str">
        <x:v>Normal</x:v>
      </x:c>
      <x:c r="L772" s="6" t="str"/>
      <x:c r="M772" s="6" t="str"/>
      <x:c r="N772" s="6" t="str"/>
      <x:c r="O772" s="7" t="str"/>
      <x:c r="P772" s="6" t="str">
        <x:v>Yes</x:v>
      </x:c>
      <x:c r="Q772" s="7" t="str">
        <x:v>Requires identity and manufacturer-scope completion.</x:v>
      </x:c>
    </x:row>
    <x:row r="773">
      <x:c r="A773" s="6" t="str">
        <x:v>SEQ-DEV-0129</x:v>
      </x:c>
      <x:c r="B773" s="6" t="str">
        <x:v>Device Applicability</x:v>
      </x:c>
      <x:c r="C773" s="6" t="str">
        <x:v>DEVX-0129</x:v>
      </x:c>
      <x:c r="D773" s="6" t="str">
        <x:v>SVC000129</x:v>
      </x:c>
      <x:c r="E773" s="6" t="str"/>
      <x:c r="F773" s="6" t="str">
        <x:v>Device-applicability review</x:v>
      </x:c>
      <x:c r="G773" s="6" t="n">
        <x:v>4</x:v>
      </x:c>
      <x:c r="H773" s="6" t="str">
        <x:v>SIDX-0129;MFRX-0129</x:v>
      </x:c>
      <x:c r="I773" s="6" t="str">
        <x:f>IF(H773="","No upstream dependency",IF(ISNUMBER(SEARCH(";",H773)),"Multiple dependencies - verify source queues",IFERROR(XLOOKUP(H773,C2:C1586,J2:J1586),"Dependency not found")))</x:f>
        <x:v>Multiple dependencies - verify source queues</x:v>
      </x:c>
      <x:c r="J773" s="6" t="str">
        <x:v>Not Started</x:v>
      </x:c>
      <x:c r="K773" s="6" t="str">
        <x:v>Normal</x:v>
      </x:c>
      <x:c r="L773" s="6" t="str"/>
      <x:c r="M773" s="6" t="str"/>
      <x:c r="N773" s="6" t="str"/>
      <x:c r="O773" s="7" t="str"/>
      <x:c r="P773" s="6" t="str">
        <x:v>Yes</x:v>
      </x:c>
      <x:c r="Q773" s="7" t="str">
        <x:v>Requires identity and manufacturer-scope completion.</x:v>
      </x:c>
    </x:row>
    <x:row r="774">
      <x:c r="A774" s="6" t="str">
        <x:v>SEQ-DEV-0130</x:v>
      </x:c>
      <x:c r="B774" s="6" t="str">
        <x:v>Device Applicability</x:v>
      </x:c>
      <x:c r="C774" s="6" t="str">
        <x:v>DEVX-0130</x:v>
      </x:c>
      <x:c r="D774" s="6" t="str">
        <x:v>SVC000130</x:v>
      </x:c>
      <x:c r="E774" s="6" t="str"/>
      <x:c r="F774" s="6" t="str">
        <x:v>Device-applicability review</x:v>
      </x:c>
      <x:c r="G774" s="6" t="n">
        <x:v>4</x:v>
      </x:c>
      <x:c r="H774" s="6" t="str">
        <x:v>SIDX-0130;MFRX-0130</x:v>
      </x:c>
      <x:c r="I774" s="6" t="str">
        <x:f>IF(H774="","No upstream dependency",IF(ISNUMBER(SEARCH(";",H774)),"Multiple dependencies - verify source queues",IFERROR(XLOOKUP(H774,C2:C1586,J2:J1586),"Dependency not found")))</x:f>
        <x:v>Multiple dependencies - verify source queues</x:v>
      </x:c>
      <x:c r="J774" s="6" t="str">
        <x:v>Not Started</x:v>
      </x:c>
      <x:c r="K774" s="6" t="str">
        <x:v>Normal</x:v>
      </x:c>
      <x:c r="L774" s="6" t="str"/>
      <x:c r="M774" s="6" t="str"/>
      <x:c r="N774" s="6" t="str"/>
      <x:c r="O774" s="7" t="str"/>
      <x:c r="P774" s="6" t="str">
        <x:v>Yes</x:v>
      </x:c>
      <x:c r="Q774" s="7" t="str">
        <x:v>Requires identity and manufacturer-scope completion.</x:v>
      </x:c>
    </x:row>
    <x:row r="775">
      <x:c r="A775" s="6" t="str">
        <x:v>SEQ-DEV-0131</x:v>
      </x:c>
      <x:c r="B775" s="6" t="str">
        <x:v>Device Applicability</x:v>
      </x:c>
      <x:c r="C775" s="6" t="str">
        <x:v>DEVX-0131</x:v>
      </x:c>
      <x:c r="D775" s="6" t="str">
        <x:v>SVC000131</x:v>
      </x:c>
      <x:c r="E775" s="6" t="str"/>
      <x:c r="F775" s="6" t="str">
        <x:v>Device-applicability review</x:v>
      </x:c>
      <x:c r="G775" s="6" t="n">
        <x:v>4</x:v>
      </x:c>
      <x:c r="H775" s="6" t="str">
        <x:v>SIDX-0131;MFRX-0131</x:v>
      </x:c>
      <x:c r="I775" s="6" t="str">
        <x:f>IF(H775="","No upstream dependency",IF(ISNUMBER(SEARCH(";",H775)),"Multiple dependencies - verify source queues",IFERROR(XLOOKUP(H775,C2:C1586,J2:J1586),"Dependency not found")))</x:f>
        <x:v>Multiple dependencies - verify source queues</x:v>
      </x:c>
      <x:c r="J775" s="6" t="str">
        <x:v>Not Started</x:v>
      </x:c>
      <x:c r="K775" s="6" t="str">
        <x:v>Normal</x:v>
      </x:c>
      <x:c r="L775" s="6" t="str"/>
      <x:c r="M775" s="6" t="str"/>
      <x:c r="N775" s="6" t="str"/>
      <x:c r="O775" s="7" t="str"/>
      <x:c r="P775" s="6" t="str">
        <x:v>Yes</x:v>
      </x:c>
      <x:c r="Q775" s="7" t="str">
        <x:v>Requires identity and manufacturer-scope completion.</x:v>
      </x:c>
    </x:row>
    <x:row r="776">
      <x:c r="A776" s="6" t="str">
        <x:v>SEQ-DEV-0132</x:v>
      </x:c>
      <x:c r="B776" s="6" t="str">
        <x:v>Device Applicability</x:v>
      </x:c>
      <x:c r="C776" s="6" t="str">
        <x:v>DEVX-0132</x:v>
      </x:c>
      <x:c r="D776" s="6" t="str">
        <x:v>SVC000132</x:v>
      </x:c>
      <x:c r="E776" s="6" t="str"/>
      <x:c r="F776" s="6" t="str">
        <x:v>Device-applicability review</x:v>
      </x:c>
      <x:c r="G776" s="6" t="n">
        <x:v>4</x:v>
      </x:c>
      <x:c r="H776" s="6" t="str">
        <x:v>SIDX-0132;MFRX-0132</x:v>
      </x:c>
      <x:c r="I776" s="6" t="str">
        <x:f>IF(H776="","No upstream dependency",IF(ISNUMBER(SEARCH(";",H776)),"Multiple dependencies - verify source queues",IFERROR(XLOOKUP(H776,C2:C1586,J2:J1586),"Dependency not found")))</x:f>
        <x:v>Multiple dependencies - verify source queues</x:v>
      </x:c>
      <x:c r="J776" s="6" t="str">
        <x:v>Not Started</x:v>
      </x:c>
      <x:c r="K776" s="6" t="str">
        <x:v>Normal</x:v>
      </x:c>
      <x:c r="L776" s="6" t="str"/>
      <x:c r="M776" s="6" t="str"/>
      <x:c r="N776" s="6" t="str"/>
      <x:c r="O776" s="7" t="str"/>
      <x:c r="P776" s="6" t="str">
        <x:v>Yes</x:v>
      </x:c>
      <x:c r="Q776" s="7" t="str">
        <x:v>Requires identity and manufacturer-scope completion.</x:v>
      </x:c>
    </x:row>
    <x:row r="777">
      <x:c r="A777" s="6" t="str">
        <x:v>SEQ-DEV-0133</x:v>
      </x:c>
      <x:c r="B777" s="6" t="str">
        <x:v>Device Applicability</x:v>
      </x:c>
      <x:c r="C777" s="6" t="str">
        <x:v>DEVX-0133</x:v>
      </x:c>
      <x:c r="D777" s="6" t="str">
        <x:v>SVC000133</x:v>
      </x:c>
      <x:c r="E777" s="6" t="str"/>
      <x:c r="F777" s="6" t="str">
        <x:v>Device-applicability review</x:v>
      </x:c>
      <x:c r="G777" s="6" t="n">
        <x:v>4</x:v>
      </x:c>
      <x:c r="H777" s="6" t="str">
        <x:v>SIDX-0133;MFRX-0133</x:v>
      </x:c>
      <x:c r="I777" s="6" t="str">
        <x:f>IF(H777="","No upstream dependency",IF(ISNUMBER(SEARCH(";",H777)),"Multiple dependencies - verify source queues",IFERROR(XLOOKUP(H777,C2:C1586,J2:J1586),"Dependency not found")))</x:f>
        <x:v>Multiple dependencies - verify source queues</x:v>
      </x:c>
      <x:c r="J777" s="6" t="str">
        <x:v>Not Started</x:v>
      </x:c>
      <x:c r="K777" s="6" t="str">
        <x:v>Normal</x:v>
      </x:c>
      <x:c r="L777" s="6" t="str"/>
      <x:c r="M777" s="6" t="str"/>
      <x:c r="N777" s="6" t="str"/>
      <x:c r="O777" s="7" t="str"/>
      <x:c r="P777" s="6" t="str">
        <x:v>Yes</x:v>
      </x:c>
      <x:c r="Q777" s="7" t="str">
        <x:v>Requires identity and manufacturer-scope completion.</x:v>
      </x:c>
    </x:row>
    <x:row r="778">
      <x:c r="A778" s="6" t="str">
        <x:v>SEQ-DEV-0134</x:v>
      </x:c>
      <x:c r="B778" s="6" t="str">
        <x:v>Device Applicability</x:v>
      </x:c>
      <x:c r="C778" s="6" t="str">
        <x:v>DEVX-0134</x:v>
      </x:c>
      <x:c r="D778" s="6" t="str">
        <x:v>SVC000134</x:v>
      </x:c>
      <x:c r="E778" s="6" t="str"/>
      <x:c r="F778" s="6" t="str">
        <x:v>Device-applicability review</x:v>
      </x:c>
      <x:c r="G778" s="6" t="n">
        <x:v>4</x:v>
      </x:c>
      <x:c r="H778" s="6" t="str">
        <x:v>SIDX-0134;MFRX-0134</x:v>
      </x:c>
      <x:c r="I778" s="6" t="str">
        <x:f>IF(H778="","No upstream dependency",IF(ISNUMBER(SEARCH(";",H778)),"Multiple dependencies - verify source queues",IFERROR(XLOOKUP(H778,C2:C1586,J2:J1586),"Dependency not found")))</x:f>
        <x:v>Multiple dependencies - verify source queues</x:v>
      </x:c>
      <x:c r="J778" s="6" t="str">
        <x:v>Not Started</x:v>
      </x:c>
      <x:c r="K778" s="6" t="str">
        <x:v>Normal</x:v>
      </x:c>
      <x:c r="L778" s="6" t="str"/>
      <x:c r="M778" s="6" t="str"/>
      <x:c r="N778" s="6" t="str"/>
      <x:c r="O778" s="7" t="str"/>
      <x:c r="P778" s="6" t="str">
        <x:v>Yes</x:v>
      </x:c>
      <x:c r="Q778" s="7" t="str">
        <x:v>Requires identity and manufacturer-scope completion.</x:v>
      </x:c>
    </x:row>
    <x:row r="779">
      <x:c r="A779" s="6" t="str">
        <x:v>SEQ-DEV-0135</x:v>
      </x:c>
      <x:c r="B779" s="6" t="str">
        <x:v>Device Applicability</x:v>
      </x:c>
      <x:c r="C779" s="6" t="str">
        <x:v>DEVX-0135</x:v>
      </x:c>
      <x:c r="D779" s="6" t="str">
        <x:v>SVC000135</x:v>
      </x:c>
      <x:c r="E779" s="6" t="str"/>
      <x:c r="F779" s="6" t="str">
        <x:v>Device-applicability review</x:v>
      </x:c>
      <x:c r="G779" s="6" t="n">
        <x:v>4</x:v>
      </x:c>
      <x:c r="H779" s="6" t="str">
        <x:v>SIDX-0135;MFRX-0135</x:v>
      </x:c>
      <x:c r="I779" s="6" t="str">
        <x:f>IF(H779="","No upstream dependency",IF(ISNUMBER(SEARCH(";",H779)),"Multiple dependencies - verify source queues",IFERROR(XLOOKUP(H779,C2:C1586,J2:J1586),"Dependency not found")))</x:f>
        <x:v>Multiple dependencies - verify source queues</x:v>
      </x:c>
      <x:c r="J779" s="6" t="str">
        <x:v>Not Started</x:v>
      </x:c>
      <x:c r="K779" s="6" t="str">
        <x:v>Normal</x:v>
      </x:c>
      <x:c r="L779" s="6" t="str"/>
      <x:c r="M779" s="6" t="str"/>
      <x:c r="N779" s="6" t="str"/>
      <x:c r="O779" s="7" t="str"/>
      <x:c r="P779" s="6" t="str">
        <x:v>Yes</x:v>
      </x:c>
      <x:c r="Q779" s="7" t="str">
        <x:v>Requires identity and manufacturer-scope completion.</x:v>
      </x:c>
    </x:row>
    <x:row r="780">
      <x:c r="A780" s="6" t="str">
        <x:v>SEQ-DEV-0136</x:v>
      </x:c>
      <x:c r="B780" s="6" t="str">
        <x:v>Device Applicability</x:v>
      </x:c>
      <x:c r="C780" s="6" t="str">
        <x:v>DEVX-0136</x:v>
      </x:c>
      <x:c r="D780" s="6" t="str">
        <x:v>SVC000136</x:v>
      </x:c>
      <x:c r="E780" s="6" t="str"/>
      <x:c r="F780" s="6" t="str">
        <x:v>Device-applicability review</x:v>
      </x:c>
      <x:c r="G780" s="6" t="n">
        <x:v>4</x:v>
      </x:c>
      <x:c r="H780" s="6" t="str">
        <x:v>SIDX-0136;MFRX-0136</x:v>
      </x:c>
      <x:c r="I780" s="6" t="str">
        <x:f>IF(H780="","No upstream dependency",IF(ISNUMBER(SEARCH(";",H780)),"Multiple dependencies - verify source queues",IFERROR(XLOOKUP(H780,C2:C1586,J2:J1586),"Dependency not found")))</x:f>
        <x:v>Multiple dependencies - verify source queues</x:v>
      </x:c>
      <x:c r="J780" s="6" t="str">
        <x:v>Not Started</x:v>
      </x:c>
      <x:c r="K780" s="6" t="str">
        <x:v>Normal</x:v>
      </x:c>
      <x:c r="L780" s="6" t="str"/>
      <x:c r="M780" s="6" t="str"/>
      <x:c r="N780" s="6" t="str"/>
      <x:c r="O780" s="7" t="str"/>
      <x:c r="P780" s="6" t="str">
        <x:v>Yes</x:v>
      </x:c>
      <x:c r="Q780" s="7" t="str">
        <x:v>Requires identity and manufacturer-scope completion.</x:v>
      </x:c>
    </x:row>
    <x:row r="781">
      <x:c r="A781" s="6" t="str">
        <x:v>SEQ-DEV-0137</x:v>
      </x:c>
      <x:c r="B781" s="6" t="str">
        <x:v>Device Applicability</x:v>
      </x:c>
      <x:c r="C781" s="6" t="str">
        <x:v>DEVX-0137</x:v>
      </x:c>
      <x:c r="D781" s="6" t="str">
        <x:v>SVC000137</x:v>
      </x:c>
      <x:c r="E781" s="6" t="str"/>
      <x:c r="F781" s="6" t="str">
        <x:v>Device-applicability review</x:v>
      </x:c>
      <x:c r="G781" s="6" t="n">
        <x:v>4</x:v>
      </x:c>
      <x:c r="H781" s="6" t="str">
        <x:v>SIDX-0137;MFRX-0137</x:v>
      </x:c>
      <x:c r="I781" s="6" t="str">
        <x:f>IF(H781="","No upstream dependency",IF(ISNUMBER(SEARCH(";",H781)),"Multiple dependencies - verify source queues",IFERROR(XLOOKUP(H781,C2:C1586,J2:J1586),"Dependency not found")))</x:f>
        <x:v>Multiple dependencies - verify source queues</x:v>
      </x:c>
      <x:c r="J781" s="6" t="str">
        <x:v>Not Started</x:v>
      </x:c>
      <x:c r="K781" s="6" t="str">
        <x:v>Normal</x:v>
      </x:c>
      <x:c r="L781" s="6" t="str"/>
      <x:c r="M781" s="6" t="str"/>
      <x:c r="N781" s="6" t="str"/>
      <x:c r="O781" s="7" t="str"/>
      <x:c r="P781" s="6" t="str">
        <x:v>Yes</x:v>
      </x:c>
      <x:c r="Q781" s="7" t="str">
        <x:v>Requires identity and manufacturer-scope completion.</x:v>
      </x:c>
    </x:row>
    <x:row r="782">
      <x:c r="A782" s="6" t="str">
        <x:v>SEQ-DEV-0138</x:v>
      </x:c>
      <x:c r="B782" s="6" t="str">
        <x:v>Device Applicability</x:v>
      </x:c>
      <x:c r="C782" s="6" t="str">
        <x:v>DEVX-0138</x:v>
      </x:c>
      <x:c r="D782" s="6" t="str">
        <x:v>SVC000138</x:v>
      </x:c>
      <x:c r="E782" s="6" t="str"/>
      <x:c r="F782" s="6" t="str">
        <x:v>Device-applicability review</x:v>
      </x:c>
      <x:c r="G782" s="6" t="n">
        <x:v>4</x:v>
      </x:c>
      <x:c r="H782" s="6" t="str">
        <x:v>SIDX-0138;MFRX-0138</x:v>
      </x:c>
      <x:c r="I782" s="6" t="str">
        <x:f>IF(H782="","No upstream dependency",IF(ISNUMBER(SEARCH(";",H782)),"Multiple dependencies - verify source queues",IFERROR(XLOOKUP(H782,C2:C1586,J2:J1586),"Dependency not found")))</x:f>
        <x:v>Multiple dependencies - verify source queues</x:v>
      </x:c>
      <x:c r="J782" s="6" t="str">
        <x:v>Not Started</x:v>
      </x:c>
      <x:c r="K782" s="6" t="str">
        <x:v>Normal</x:v>
      </x:c>
      <x:c r="L782" s="6" t="str"/>
      <x:c r="M782" s="6" t="str"/>
      <x:c r="N782" s="6" t="str"/>
      <x:c r="O782" s="7" t="str"/>
      <x:c r="P782" s="6" t="str">
        <x:v>Yes</x:v>
      </x:c>
      <x:c r="Q782" s="7" t="str">
        <x:v>Requires identity and manufacturer-scope completion.</x:v>
      </x:c>
    </x:row>
    <x:row r="783">
      <x:c r="A783" s="6" t="str">
        <x:v>SEQ-DEV-0139</x:v>
      </x:c>
      <x:c r="B783" s="6" t="str">
        <x:v>Device Applicability</x:v>
      </x:c>
      <x:c r="C783" s="6" t="str">
        <x:v>DEVX-0139</x:v>
      </x:c>
      <x:c r="D783" s="6" t="str">
        <x:v>SVC000139</x:v>
      </x:c>
      <x:c r="E783" s="6" t="str"/>
      <x:c r="F783" s="6" t="str">
        <x:v>Device-applicability review</x:v>
      </x:c>
      <x:c r="G783" s="6" t="n">
        <x:v>4</x:v>
      </x:c>
      <x:c r="H783" s="6" t="str">
        <x:v>SIDX-0139;MFRX-0139</x:v>
      </x:c>
      <x:c r="I783" s="6" t="str">
        <x:f>IF(H783="","No upstream dependency",IF(ISNUMBER(SEARCH(";",H783)),"Multiple dependencies - verify source queues",IFERROR(XLOOKUP(H783,C2:C1586,J2:J1586),"Dependency not found")))</x:f>
        <x:v>Multiple dependencies - verify source queues</x:v>
      </x:c>
      <x:c r="J783" s="6" t="str">
        <x:v>Not Started</x:v>
      </x:c>
      <x:c r="K783" s="6" t="str">
        <x:v>Normal</x:v>
      </x:c>
      <x:c r="L783" s="6" t="str"/>
      <x:c r="M783" s="6" t="str"/>
      <x:c r="N783" s="6" t="str"/>
      <x:c r="O783" s="7" t="str"/>
      <x:c r="P783" s="6" t="str">
        <x:v>Yes</x:v>
      </x:c>
      <x:c r="Q783" s="7" t="str">
        <x:v>Requires identity and manufacturer-scope completion.</x:v>
      </x:c>
    </x:row>
    <x:row r="784">
      <x:c r="A784" s="6" t="str">
        <x:v>SEQ-DEV-0140</x:v>
      </x:c>
      <x:c r="B784" s="6" t="str">
        <x:v>Device Applicability</x:v>
      </x:c>
      <x:c r="C784" s="6" t="str">
        <x:v>DEVX-0140</x:v>
      </x:c>
      <x:c r="D784" s="6" t="str">
        <x:v>SVC000140</x:v>
      </x:c>
      <x:c r="E784" s="6" t="str"/>
      <x:c r="F784" s="6" t="str">
        <x:v>Device-applicability review</x:v>
      </x:c>
      <x:c r="G784" s="6" t="n">
        <x:v>4</x:v>
      </x:c>
      <x:c r="H784" s="6" t="str">
        <x:v>SIDX-0140;MFRX-0140</x:v>
      </x:c>
      <x:c r="I784" s="6" t="str">
        <x:f>IF(H784="","No upstream dependency",IF(ISNUMBER(SEARCH(";",H784)),"Multiple dependencies - verify source queues",IFERROR(XLOOKUP(H784,C2:C1586,J2:J1586),"Dependency not found")))</x:f>
        <x:v>Multiple dependencies - verify source queues</x:v>
      </x:c>
      <x:c r="J784" s="6" t="str">
        <x:v>Not Started</x:v>
      </x:c>
      <x:c r="K784" s="6" t="str">
        <x:v>Normal</x:v>
      </x:c>
      <x:c r="L784" s="6" t="str"/>
      <x:c r="M784" s="6" t="str"/>
      <x:c r="N784" s="6" t="str"/>
      <x:c r="O784" s="7" t="str"/>
      <x:c r="P784" s="6" t="str">
        <x:v>Yes</x:v>
      </x:c>
      <x:c r="Q784" s="7" t="str">
        <x:v>Requires identity and manufacturer-scope completion.</x:v>
      </x:c>
    </x:row>
    <x:row r="785">
      <x:c r="A785" s="6" t="str">
        <x:v>SEQ-DEV-0141</x:v>
      </x:c>
      <x:c r="B785" s="6" t="str">
        <x:v>Device Applicability</x:v>
      </x:c>
      <x:c r="C785" s="6" t="str">
        <x:v>DEVX-0141</x:v>
      </x:c>
      <x:c r="D785" s="6" t="str">
        <x:v>SVC000141</x:v>
      </x:c>
      <x:c r="E785" s="6" t="str"/>
      <x:c r="F785" s="6" t="str">
        <x:v>Device-applicability review</x:v>
      </x:c>
      <x:c r="G785" s="6" t="n">
        <x:v>4</x:v>
      </x:c>
      <x:c r="H785" s="6" t="str">
        <x:v>SIDX-0141;MFRX-0141</x:v>
      </x:c>
      <x:c r="I785" s="6" t="str">
        <x:f>IF(H785="","No upstream dependency",IF(ISNUMBER(SEARCH(";",H785)),"Multiple dependencies - verify source queues",IFERROR(XLOOKUP(H785,C2:C1586,J2:J1586),"Dependency not found")))</x:f>
        <x:v>Multiple dependencies - verify source queues</x:v>
      </x:c>
      <x:c r="J785" s="6" t="str">
        <x:v>Not Started</x:v>
      </x:c>
      <x:c r="K785" s="6" t="str">
        <x:v>Normal</x:v>
      </x:c>
      <x:c r="L785" s="6" t="str"/>
      <x:c r="M785" s="6" t="str"/>
      <x:c r="N785" s="6" t="str"/>
      <x:c r="O785" s="7" t="str"/>
      <x:c r="P785" s="6" t="str">
        <x:v>Yes</x:v>
      </x:c>
      <x:c r="Q785" s="7" t="str">
        <x:v>Requires identity and manufacturer-scope completion.</x:v>
      </x:c>
    </x:row>
    <x:row r="786">
      <x:c r="A786" s="6" t="str">
        <x:v>SEQ-DEV-0142</x:v>
      </x:c>
      <x:c r="B786" s="6" t="str">
        <x:v>Device Applicability</x:v>
      </x:c>
      <x:c r="C786" s="6" t="str">
        <x:v>DEVX-0142</x:v>
      </x:c>
      <x:c r="D786" s="6" t="str">
        <x:v>SVC000142</x:v>
      </x:c>
      <x:c r="E786" s="6" t="str"/>
      <x:c r="F786" s="6" t="str">
        <x:v>Device-applicability review</x:v>
      </x:c>
      <x:c r="G786" s="6" t="n">
        <x:v>4</x:v>
      </x:c>
      <x:c r="H786" s="6" t="str">
        <x:v>SIDX-0142;MFRX-0142</x:v>
      </x:c>
      <x:c r="I786" s="6" t="str">
        <x:f>IF(H786="","No upstream dependency",IF(ISNUMBER(SEARCH(";",H786)),"Multiple dependencies - verify source queues",IFERROR(XLOOKUP(H786,C2:C1586,J2:J1586),"Dependency not found")))</x:f>
        <x:v>Multiple dependencies - verify source queues</x:v>
      </x:c>
      <x:c r="J786" s="6" t="str">
        <x:v>Not Started</x:v>
      </x:c>
      <x:c r="K786" s="6" t="str">
        <x:v>Normal</x:v>
      </x:c>
      <x:c r="L786" s="6" t="str"/>
      <x:c r="M786" s="6" t="str"/>
      <x:c r="N786" s="6" t="str"/>
      <x:c r="O786" s="7" t="str"/>
      <x:c r="P786" s="6" t="str">
        <x:v>Yes</x:v>
      </x:c>
      <x:c r="Q786" s="7" t="str">
        <x:v>Requires identity and manufacturer-scope completion.</x:v>
      </x:c>
    </x:row>
    <x:row r="787">
      <x:c r="A787" s="6" t="str">
        <x:v>SEQ-DEV-0143</x:v>
      </x:c>
      <x:c r="B787" s="6" t="str">
        <x:v>Device Applicability</x:v>
      </x:c>
      <x:c r="C787" s="6" t="str">
        <x:v>DEVX-0143</x:v>
      </x:c>
      <x:c r="D787" s="6" t="str">
        <x:v>SVC000143</x:v>
      </x:c>
      <x:c r="E787" s="6" t="str"/>
      <x:c r="F787" s="6" t="str">
        <x:v>Device-applicability review</x:v>
      </x:c>
      <x:c r="G787" s="6" t="n">
        <x:v>4</x:v>
      </x:c>
      <x:c r="H787" s="6" t="str">
        <x:v>SIDX-0143;MFRX-0143</x:v>
      </x:c>
      <x:c r="I787" s="6" t="str">
        <x:f>IF(H787="","No upstream dependency",IF(ISNUMBER(SEARCH(";",H787)),"Multiple dependencies - verify source queues",IFERROR(XLOOKUP(H787,C2:C1586,J2:J1586),"Dependency not found")))</x:f>
        <x:v>Multiple dependencies - verify source queues</x:v>
      </x:c>
      <x:c r="J787" s="6" t="str">
        <x:v>Not Started</x:v>
      </x:c>
      <x:c r="K787" s="6" t="str">
        <x:v>Normal</x:v>
      </x:c>
      <x:c r="L787" s="6" t="str"/>
      <x:c r="M787" s="6" t="str"/>
      <x:c r="N787" s="6" t="str"/>
      <x:c r="O787" s="7" t="str"/>
      <x:c r="P787" s="6" t="str">
        <x:v>Yes</x:v>
      </x:c>
      <x:c r="Q787" s="7" t="str">
        <x:v>Requires identity and manufacturer-scope completion.</x:v>
      </x:c>
    </x:row>
    <x:row r="788">
      <x:c r="A788" s="6" t="str">
        <x:v>SEQ-DEV-0144</x:v>
      </x:c>
      <x:c r="B788" s="6" t="str">
        <x:v>Device Applicability</x:v>
      </x:c>
      <x:c r="C788" s="6" t="str">
        <x:v>DEVX-0144</x:v>
      </x:c>
      <x:c r="D788" s="6" t="str">
        <x:v>SVC000144</x:v>
      </x:c>
      <x:c r="E788" s="6" t="str"/>
      <x:c r="F788" s="6" t="str">
        <x:v>Device-applicability review</x:v>
      </x:c>
      <x:c r="G788" s="6" t="n">
        <x:v>4</x:v>
      </x:c>
      <x:c r="H788" s="6" t="str">
        <x:v>SIDX-0144;MFRX-0144</x:v>
      </x:c>
      <x:c r="I788" s="6" t="str">
        <x:f>IF(H788="","No upstream dependency",IF(ISNUMBER(SEARCH(";",H788)),"Multiple dependencies - verify source queues",IFERROR(XLOOKUP(H788,C2:C1586,J2:J1586),"Dependency not found")))</x:f>
        <x:v>Multiple dependencies - verify source queues</x:v>
      </x:c>
      <x:c r="J788" s="6" t="str">
        <x:v>Not Started</x:v>
      </x:c>
      <x:c r="K788" s="6" t="str">
        <x:v>Normal</x:v>
      </x:c>
      <x:c r="L788" s="6" t="str"/>
      <x:c r="M788" s="6" t="str"/>
      <x:c r="N788" s="6" t="str"/>
      <x:c r="O788" s="7" t="str"/>
      <x:c r="P788" s="6" t="str">
        <x:v>Yes</x:v>
      </x:c>
      <x:c r="Q788" s="7" t="str">
        <x:v>Requires identity and manufacturer-scope completion.</x:v>
      </x:c>
    </x:row>
    <x:row r="789">
      <x:c r="A789" s="6" t="str">
        <x:v>SEQ-DEV-0145</x:v>
      </x:c>
      <x:c r="B789" s="6" t="str">
        <x:v>Device Applicability</x:v>
      </x:c>
      <x:c r="C789" s="6" t="str">
        <x:v>DEVX-0145</x:v>
      </x:c>
      <x:c r="D789" s="6" t="str">
        <x:v>SVC000145</x:v>
      </x:c>
      <x:c r="E789" s="6" t="str"/>
      <x:c r="F789" s="6" t="str">
        <x:v>Device-applicability review</x:v>
      </x:c>
      <x:c r="G789" s="6" t="n">
        <x:v>4</x:v>
      </x:c>
      <x:c r="H789" s="6" t="str">
        <x:v>SIDX-0145;MFRX-0145</x:v>
      </x:c>
      <x:c r="I789" s="6" t="str">
        <x:f>IF(H789="","No upstream dependency",IF(ISNUMBER(SEARCH(";",H789)),"Multiple dependencies - verify source queues",IFERROR(XLOOKUP(H789,C2:C1586,J2:J1586),"Dependency not found")))</x:f>
        <x:v>Multiple dependencies - verify source queues</x:v>
      </x:c>
      <x:c r="J789" s="6" t="str">
        <x:v>Not Started</x:v>
      </x:c>
      <x:c r="K789" s="6" t="str">
        <x:v>Normal</x:v>
      </x:c>
      <x:c r="L789" s="6" t="str"/>
      <x:c r="M789" s="6" t="str"/>
      <x:c r="N789" s="6" t="str"/>
      <x:c r="O789" s="7" t="str"/>
      <x:c r="P789" s="6" t="str">
        <x:v>Yes</x:v>
      </x:c>
      <x:c r="Q789" s="7" t="str">
        <x:v>Requires identity and manufacturer-scope completion.</x:v>
      </x:c>
    </x:row>
    <x:row r="790">
      <x:c r="A790" s="6" t="str">
        <x:v>SEQ-DEV-0146</x:v>
      </x:c>
      <x:c r="B790" s="6" t="str">
        <x:v>Device Applicability</x:v>
      </x:c>
      <x:c r="C790" s="6" t="str">
        <x:v>DEVX-0146</x:v>
      </x:c>
      <x:c r="D790" s="6" t="str">
        <x:v>SVC000146</x:v>
      </x:c>
      <x:c r="E790" s="6" t="str"/>
      <x:c r="F790" s="6" t="str">
        <x:v>Device-applicability review</x:v>
      </x:c>
      <x:c r="G790" s="6" t="n">
        <x:v>4</x:v>
      </x:c>
      <x:c r="H790" s="6" t="str">
        <x:v>SIDX-0146;MFRX-0146</x:v>
      </x:c>
      <x:c r="I790" s="6" t="str">
        <x:f>IF(H790="","No upstream dependency",IF(ISNUMBER(SEARCH(";",H790)),"Multiple dependencies - verify source queues",IFERROR(XLOOKUP(H790,C2:C1586,J2:J1586),"Dependency not found")))</x:f>
        <x:v>Multiple dependencies - verify source queues</x:v>
      </x:c>
      <x:c r="J790" s="6" t="str">
        <x:v>Not Started</x:v>
      </x:c>
      <x:c r="K790" s="6" t="str">
        <x:v>Normal</x:v>
      </x:c>
      <x:c r="L790" s="6" t="str"/>
      <x:c r="M790" s="6" t="str"/>
      <x:c r="N790" s="6" t="str"/>
      <x:c r="O790" s="7" t="str"/>
      <x:c r="P790" s="6" t="str">
        <x:v>Yes</x:v>
      </x:c>
      <x:c r="Q790" s="7" t="str">
        <x:v>Requires identity and manufacturer-scope completion.</x:v>
      </x:c>
    </x:row>
    <x:row r="791">
      <x:c r="A791" s="6" t="str">
        <x:v>SEQ-DEV-0147</x:v>
      </x:c>
      <x:c r="B791" s="6" t="str">
        <x:v>Device Applicability</x:v>
      </x:c>
      <x:c r="C791" s="6" t="str">
        <x:v>DEVX-0147</x:v>
      </x:c>
      <x:c r="D791" s="6" t="str">
        <x:v>SVC000147</x:v>
      </x:c>
      <x:c r="E791" s="6" t="str"/>
      <x:c r="F791" s="6" t="str">
        <x:v>Device-applicability review</x:v>
      </x:c>
      <x:c r="G791" s="6" t="n">
        <x:v>4</x:v>
      </x:c>
      <x:c r="H791" s="6" t="str">
        <x:v>SIDX-0147;MFRX-0147</x:v>
      </x:c>
      <x:c r="I791" s="6" t="str">
        <x:f>IF(H791="","No upstream dependency",IF(ISNUMBER(SEARCH(";",H791)),"Multiple dependencies - verify source queues",IFERROR(XLOOKUP(H791,C2:C1586,J2:J1586),"Dependency not found")))</x:f>
        <x:v>Multiple dependencies - verify source queues</x:v>
      </x:c>
      <x:c r="J791" s="6" t="str">
        <x:v>Not Started</x:v>
      </x:c>
      <x:c r="K791" s="6" t="str">
        <x:v>Normal</x:v>
      </x:c>
      <x:c r="L791" s="6" t="str"/>
      <x:c r="M791" s="6" t="str"/>
      <x:c r="N791" s="6" t="str"/>
      <x:c r="O791" s="7" t="str"/>
      <x:c r="P791" s="6" t="str">
        <x:v>Yes</x:v>
      </x:c>
      <x:c r="Q791" s="7" t="str">
        <x:v>Requires identity and manufacturer-scope completion.</x:v>
      </x:c>
    </x:row>
    <x:row r="792">
      <x:c r="A792" s="6" t="str">
        <x:v>SEQ-DEV-0148</x:v>
      </x:c>
      <x:c r="B792" s="6" t="str">
        <x:v>Device Applicability</x:v>
      </x:c>
      <x:c r="C792" s="6" t="str">
        <x:v>DEVX-0148</x:v>
      </x:c>
      <x:c r="D792" s="6" t="str">
        <x:v>SVC000148</x:v>
      </x:c>
      <x:c r="E792" s="6" t="str"/>
      <x:c r="F792" s="6" t="str">
        <x:v>Device-applicability review</x:v>
      </x:c>
      <x:c r="G792" s="6" t="n">
        <x:v>4</x:v>
      </x:c>
      <x:c r="H792" s="6" t="str">
        <x:v>SIDX-0148;MFRX-0148</x:v>
      </x:c>
      <x:c r="I792" s="6" t="str">
        <x:f>IF(H792="","No upstream dependency",IF(ISNUMBER(SEARCH(";",H792)),"Multiple dependencies - verify source queues",IFERROR(XLOOKUP(H792,C2:C1586,J2:J1586),"Dependency not found")))</x:f>
        <x:v>Multiple dependencies - verify source queues</x:v>
      </x:c>
      <x:c r="J792" s="6" t="str">
        <x:v>Not Started</x:v>
      </x:c>
      <x:c r="K792" s="6" t="str">
        <x:v>Normal</x:v>
      </x:c>
      <x:c r="L792" s="6" t="str"/>
      <x:c r="M792" s="6" t="str"/>
      <x:c r="N792" s="6" t="str"/>
      <x:c r="O792" s="7" t="str"/>
      <x:c r="P792" s="6" t="str">
        <x:v>Yes</x:v>
      </x:c>
      <x:c r="Q792" s="7" t="str">
        <x:v>Requires identity and manufacturer-scope completion.</x:v>
      </x:c>
    </x:row>
    <x:row r="793">
      <x:c r="A793" s="6" t="str">
        <x:v>SEQ-DEV-0149</x:v>
      </x:c>
      <x:c r="B793" s="6" t="str">
        <x:v>Device Applicability</x:v>
      </x:c>
      <x:c r="C793" s="6" t="str">
        <x:v>DEVX-0149</x:v>
      </x:c>
      <x:c r="D793" s="6" t="str">
        <x:v>SVC000149</x:v>
      </x:c>
      <x:c r="E793" s="6" t="str"/>
      <x:c r="F793" s="6" t="str">
        <x:v>Device-applicability review</x:v>
      </x:c>
      <x:c r="G793" s="6" t="n">
        <x:v>4</x:v>
      </x:c>
      <x:c r="H793" s="6" t="str">
        <x:v>SIDX-0149;MFRX-0149</x:v>
      </x:c>
      <x:c r="I793" s="6" t="str">
        <x:f>IF(H793="","No upstream dependency",IF(ISNUMBER(SEARCH(";",H793)),"Multiple dependencies - verify source queues",IFERROR(XLOOKUP(H793,C2:C1586,J2:J1586),"Dependency not found")))</x:f>
        <x:v>Multiple dependencies - verify source queues</x:v>
      </x:c>
      <x:c r="J793" s="6" t="str">
        <x:v>Not Started</x:v>
      </x:c>
      <x:c r="K793" s="6" t="str">
        <x:v>Normal</x:v>
      </x:c>
      <x:c r="L793" s="6" t="str"/>
      <x:c r="M793" s="6" t="str"/>
      <x:c r="N793" s="6" t="str"/>
      <x:c r="O793" s="7" t="str"/>
      <x:c r="P793" s="6" t="str">
        <x:v>Yes</x:v>
      </x:c>
      <x:c r="Q793" s="7" t="str">
        <x:v>Requires identity and manufacturer-scope completion.</x:v>
      </x:c>
    </x:row>
    <x:row r="794">
      <x:c r="A794" s="6" t="str">
        <x:v>SEQ-DEV-0150</x:v>
      </x:c>
      <x:c r="B794" s="6" t="str">
        <x:v>Device Applicability</x:v>
      </x:c>
      <x:c r="C794" s="6" t="str">
        <x:v>DEVX-0150</x:v>
      </x:c>
      <x:c r="D794" s="6" t="str">
        <x:v>SVC000150</x:v>
      </x:c>
      <x:c r="E794" s="6" t="str"/>
      <x:c r="F794" s="6" t="str">
        <x:v>Device-applicability review</x:v>
      </x:c>
      <x:c r="G794" s="6" t="n">
        <x:v>4</x:v>
      </x:c>
      <x:c r="H794" s="6" t="str">
        <x:v>SIDX-0150;MFRX-0150</x:v>
      </x:c>
      <x:c r="I794" s="6" t="str">
        <x:f>IF(H794="","No upstream dependency",IF(ISNUMBER(SEARCH(";",H794)),"Multiple dependencies - verify source queues",IFERROR(XLOOKUP(H794,C2:C1586,J2:J1586),"Dependency not found")))</x:f>
        <x:v>Multiple dependencies - verify source queues</x:v>
      </x:c>
      <x:c r="J794" s="6" t="str">
        <x:v>Not Started</x:v>
      </x:c>
      <x:c r="K794" s="6" t="str">
        <x:v>Normal</x:v>
      </x:c>
      <x:c r="L794" s="6" t="str"/>
      <x:c r="M794" s="6" t="str"/>
      <x:c r="N794" s="6" t="str"/>
      <x:c r="O794" s="7" t="str"/>
      <x:c r="P794" s="6" t="str">
        <x:v>Yes</x:v>
      </x:c>
      <x:c r="Q794" s="7" t="str">
        <x:v>Requires identity and manufacturer-scope completion.</x:v>
      </x:c>
    </x:row>
    <x:row r="795">
      <x:c r="A795" s="6" t="str">
        <x:v>SEQ-DEV-0151</x:v>
      </x:c>
      <x:c r="B795" s="6" t="str">
        <x:v>Device Applicability</x:v>
      </x:c>
      <x:c r="C795" s="6" t="str">
        <x:v>DEVX-0151</x:v>
      </x:c>
      <x:c r="D795" s="6" t="str">
        <x:v>SVC000151</x:v>
      </x:c>
      <x:c r="E795" s="6" t="str"/>
      <x:c r="F795" s="6" t="str">
        <x:v>Device-applicability review</x:v>
      </x:c>
      <x:c r="G795" s="6" t="n">
        <x:v>4</x:v>
      </x:c>
      <x:c r="H795" s="6" t="str">
        <x:v>SIDX-0151;MFRX-0151</x:v>
      </x:c>
      <x:c r="I795" s="6" t="str">
        <x:f>IF(H795="","No upstream dependency",IF(ISNUMBER(SEARCH(";",H795)),"Multiple dependencies - verify source queues",IFERROR(XLOOKUP(H795,C2:C1586,J2:J1586),"Dependency not found")))</x:f>
        <x:v>Multiple dependencies - verify source queues</x:v>
      </x:c>
      <x:c r="J795" s="6" t="str">
        <x:v>Not Started</x:v>
      </x:c>
      <x:c r="K795" s="6" t="str">
        <x:v>Normal</x:v>
      </x:c>
      <x:c r="L795" s="6" t="str"/>
      <x:c r="M795" s="6" t="str"/>
      <x:c r="N795" s="6" t="str"/>
      <x:c r="O795" s="7" t="str"/>
      <x:c r="P795" s="6" t="str">
        <x:v>Yes</x:v>
      </x:c>
      <x:c r="Q795" s="7" t="str">
        <x:v>Requires identity and manufacturer-scope completion.</x:v>
      </x:c>
    </x:row>
    <x:row r="796">
      <x:c r="A796" s="6" t="str">
        <x:v>SEQ-DEV-0152</x:v>
      </x:c>
      <x:c r="B796" s="6" t="str">
        <x:v>Device Applicability</x:v>
      </x:c>
      <x:c r="C796" s="6" t="str">
        <x:v>DEVX-0152</x:v>
      </x:c>
      <x:c r="D796" s="6" t="str">
        <x:v>SVC000152</x:v>
      </x:c>
      <x:c r="E796" s="6" t="str"/>
      <x:c r="F796" s="6" t="str">
        <x:v>Device-applicability review</x:v>
      </x:c>
      <x:c r="G796" s="6" t="n">
        <x:v>4</x:v>
      </x:c>
      <x:c r="H796" s="6" t="str">
        <x:v>SIDX-0152;MFRX-0152</x:v>
      </x:c>
      <x:c r="I796" s="6" t="str">
        <x:f>IF(H796="","No upstream dependency",IF(ISNUMBER(SEARCH(";",H796)),"Multiple dependencies - verify source queues",IFERROR(XLOOKUP(H796,C2:C1586,J2:J1586),"Dependency not found")))</x:f>
        <x:v>Multiple dependencies - verify source queues</x:v>
      </x:c>
      <x:c r="J796" s="6" t="str">
        <x:v>Not Started</x:v>
      </x:c>
      <x:c r="K796" s="6" t="str">
        <x:v>Normal</x:v>
      </x:c>
      <x:c r="L796" s="6" t="str"/>
      <x:c r="M796" s="6" t="str"/>
      <x:c r="N796" s="6" t="str"/>
      <x:c r="O796" s="7" t="str"/>
      <x:c r="P796" s="6" t="str">
        <x:v>Yes</x:v>
      </x:c>
      <x:c r="Q796" s="7" t="str">
        <x:v>Requires identity and manufacturer-scope completion.</x:v>
      </x:c>
    </x:row>
    <x:row r="797">
      <x:c r="A797" s="6" t="str">
        <x:v>SEQ-DEV-0153</x:v>
      </x:c>
      <x:c r="B797" s="6" t="str">
        <x:v>Device Applicability</x:v>
      </x:c>
      <x:c r="C797" s="6" t="str">
        <x:v>DEVX-0153</x:v>
      </x:c>
      <x:c r="D797" s="6" t="str">
        <x:v>SVC000153</x:v>
      </x:c>
      <x:c r="E797" s="6" t="str"/>
      <x:c r="F797" s="6" t="str">
        <x:v>Device-applicability review</x:v>
      </x:c>
      <x:c r="G797" s="6" t="n">
        <x:v>4</x:v>
      </x:c>
      <x:c r="H797" s="6" t="str">
        <x:v>SIDX-0153;MFRX-0153</x:v>
      </x:c>
      <x:c r="I797" s="6" t="str">
        <x:f>IF(H797="","No upstream dependency",IF(ISNUMBER(SEARCH(";",H797)),"Multiple dependencies - verify source queues",IFERROR(XLOOKUP(H797,C2:C1586,J2:J1586),"Dependency not found")))</x:f>
        <x:v>Multiple dependencies - verify source queues</x:v>
      </x:c>
      <x:c r="J797" s="6" t="str">
        <x:v>Not Started</x:v>
      </x:c>
      <x:c r="K797" s="6" t="str">
        <x:v>Normal</x:v>
      </x:c>
      <x:c r="L797" s="6" t="str"/>
      <x:c r="M797" s="6" t="str"/>
      <x:c r="N797" s="6" t="str"/>
      <x:c r="O797" s="7" t="str"/>
      <x:c r="P797" s="6" t="str">
        <x:v>Yes</x:v>
      </x:c>
      <x:c r="Q797" s="7" t="str">
        <x:v>Requires identity and manufacturer-scope completion.</x:v>
      </x:c>
    </x:row>
    <x:row r="798">
      <x:c r="A798" s="6" t="str">
        <x:v>SEQ-DEV-0154</x:v>
      </x:c>
      <x:c r="B798" s="6" t="str">
        <x:v>Device Applicability</x:v>
      </x:c>
      <x:c r="C798" s="6" t="str">
        <x:v>DEVX-0154</x:v>
      </x:c>
      <x:c r="D798" s="6" t="str">
        <x:v>SVC000154</x:v>
      </x:c>
      <x:c r="E798" s="6" t="str"/>
      <x:c r="F798" s="6" t="str">
        <x:v>Device-applicability review</x:v>
      </x:c>
      <x:c r="G798" s="6" t="n">
        <x:v>4</x:v>
      </x:c>
      <x:c r="H798" s="6" t="str">
        <x:v>SIDX-0154;MFRX-0154</x:v>
      </x:c>
      <x:c r="I798" s="6" t="str">
        <x:f>IF(H798="","No upstream dependency",IF(ISNUMBER(SEARCH(";",H798)),"Multiple dependencies - verify source queues",IFERROR(XLOOKUP(H798,C2:C1586,J2:J1586),"Dependency not found")))</x:f>
        <x:v>Multiple dependencies - verify source queues</x:v>
      </x:c>
      <x:c r="J798" s="6" t="str">
        <x:v>Not Started</x:v>
      </x:c>
      <x:c r="K798" s="6" t="str">
        <x:v>Normal</x:v>
      </x:c>
      <x:c r="L798" s="6" t="str"/>
      <x:c r="M798" s="6" t="str"/>
      <x:c r="N798" s="6" t="str"/>
      <x:c r="O798" s="7" t="str"/>
      <x:c r="P798" s="6" t="str">
        <x:v>Yes</x:v>
      </x:c>
      <x:c r="Q798" s="7" t="str">
        <x:v>Requires identity and manufacturer-scope completion.</x:v>
      </x:c>
    </x:row>
    <x:row r="799">
      <x:c r="A799" s="6" t="str">
        <x:v>SEQ-DEV-0155</x:v>
      </x:c>
      <x:c r="B799" s="6" t="str">
        <x:v>Device Applicability</x:v>
      </x:c>
      <x:c r="C799" s="6" t="str">
        <x:v>DEVX-0155</x:v>
      </x:c>
      <x:c r="D799" s="6" t="str">
        <x:v>SVC000155</x:v>
      </x:c>
      <x:c r="E799" s="6" t="str"/>
      <x:c r="F799" s="6" t="str">
        <x:v>Device-applicability review</x:v>
      </x:c>
      <x:c r="G799" s="6" t="n">
        <x:v>4</x:v>
      </x:c>
      <x:c r="H799" s="6" t="str">
        <x:v>SIDX-0155;MFRX-0155</x:v>
      </x:c>
      <x:c r="I799" s="6" t="str">
        <x:f>IF(H799="","No upstream dependency",IF(ISNUMBER(SEARCH(";",H799)),"Multiple dependencies - verify source queues",IFERROR(XLOOKUP(H799,C2:C1586,J2:J1586),"Dependency not found")))</x:f>
        <x:v>Multiple dependencies - verify source queues</x:v>
      </x:c>
      <x:c r="J799" s="6" t="str">
        <x:v>Not Started</x:v>
      </x:c>
      <x:c r="K799" s="6" t="str">
        <x:v>Normal</x:v>
      </x:c>
      <x:c r="L799" s="6" t="str"/>
      <x:c r="M799" s="6" t="str"/>
      <x:c r="N799" s="6" t="str"/>
      <x:c r="O799" s="7" t="str"/>
      <x:c r="P799" s="6" t="str">
        <x:v>Yes</x:v>
      </x:c>
      <x:c r="Q799" s="7" t="str">
        <x:v>Requires identity and manufacturer-scope completion.</x:v>
      </x:c>
    </x:row>
    <x:row r="800">
      <x:c r="A800" s="6" t="str">
        <x:v>SEQ-DEV-0156</x:v>
      </x:c>
      <x:c r="B800" s="6" t="str">
        <x:v>Device Applicability</x:v>
      </x:c>
      <x:c r="C800" s="6" t="str">
        <x:v>DEVX-0156</x:v>
      </x:c>
      <x:c r="D800" s="6" t="str">
        <x:v>SVC000156</x:v>
      </x:c>
      <x:c r="E800" s="6" t="str"/>
      <x:c r="F800" s="6" t="str">
        <x:v>Device-applicability review</x:v>
      </x:c>
      <x:c r="G800" s="6" t="n">
        <x:v>4</x:v>
      </x:c>
      <x:c r="H800" s="6" t="str">
        <x:v>SIDX-0156;MFRX-0156</x:v>
      </x:c>
      <x:c r="I800" s="6" t="str">
        <x:f>IF(H800="","No upstream dependency",IF(ISNUMBER(SEARCH(";",H800)),"Multiple dependencies - verify source queues",IFERROR(XLOOKUP(H800,C2:C1586,J2:J1586),"Dependency not found")))</x:f>
        <x:v>Multiple dependencies - verify source queues</x:v>
      </x:c>
      <x:c r="J800" s="6" t="str">
        <x:v>Not Started</x:v>
      </x:c>
      <x:c r="K800" s="6" t="str">
        <x:v>Normal</x:v>
      </x:c>
      <x:c r="L800" s="6" t="str"/>
      <x:c r="M800" s="6" t="str"/>
      <x:c r="N800" s="6" t="str"/>
      <x:c r="O800" s="7" t="str"/>
      <x:c r="P800" s="6" t="str">
        <x:v>Yes</x:v>
      </x:c>
      <x:c r="Q800" s="7" t="str">
        <x:v>Requires identity and manufacturer-scope completion.</x:v>
      </x:c>
    </x:row>
    <x:row r="801">
      <x:c r="A801" s="6" t="str">
        <x:v>SEQ-DEV-0157</x:v>
      </x:c>
      <x:c r="B801" s="6" t="str">
        <x:v>Device Applicability</x:v>
      </x:c>
      <x:c r="C801" s="6" t="str">
        <x:v>DEVX-0157</x:v>
      </x:c>
      <x:c r="D801" s="6" t="str">
        <x:v>SVC000157</x:v>
      </x:c>
      <x:c r="E801" s="6" t="str"/>
      <x:c r="F801" s="6" t="str">
        <x:v>Device-applicability review</x:v>
      </x:c>
      <x:c r="G801" s="6" t="n">
        <x:v>4</x:v>
      </x:c>
      <x:c r="H801" s="6" t="str">
        <x:v>SIDX-0157;MFRX-0157</x:v>
      </x:c>
      <x:c r="I801" s="6" t="str">
        <x:f>IF(H801="","No upstream dependency",IF(ISNUMBER(SEARCH(";",H801)),"Multiple dependencies - verify source queues",IFERROR(XLOOKUP(H801,C2:C1586,J2:J1586),"Dependency not found")))</x:f>
        <x:v>Multiple dependencies - verify source queues</x:v>
      </x:c>
      <x:c r="J801" s="6" t="str">
        <x:v>Not Started</x:v>
      </x:c>
      <x:c r="K801" s="6" t="str">
        <x:v>Normal</x:v>
      </x:c>
      <x:c r="L801" s="6" t="str"/>
      <x:c r="M801" s="6" t="str"/>
      <x:c r="N801" s="6" t="str"/>
      <x:c r="O801" s="7" t="str"/>
      <x:c r="P801" s="6" t="str">
        <x:v>Yes</x:v>
      </x:c>
      <x:c r="Q801" s="7" t="str">
        <x:v>Requires identity and manufacturer-scope completion.</x:v>
      </x:c>
    </x:row>
    <x:row r="802">
      <x:c r="A802" s="6" t="str">
        <x:v>SEQ-DEV-0158</x:v>
      </x:c>
      <x:c r="B802" s="6" t="str">
        <x:v>Device Applicability</x:v>
      </x:c>
      <x:c r="C802" s="6" t="str">
        <x:v>DEVX-0158</x:v>
      </x:c>
      <x:c r="D802" s="6" t="str">
        <x:v>SVC000158</x:v>
      </x:c>
      <x:c r="E802" s="6" t="str"/>
      <x:c r="F802" s="6" t="str">
        <x:v>Device-applicability review</x:v>
      </x:c>
      <x:c r="G802" s="6" t="n">
        <x:v>4</x:v>
      </x:c>
      <x:c r="H802" s="6" t="str">
        <x:v>SIDX-0158;MFRX-0158</x:v>
      </x:c>
      <x:c r="I802" s="6" t="str">
        <x:f>IF(H802="","No upstream dependency",IF(ISNUMBER(SEARCH(";",H802)),"Multiple dependencies - verify source queues",IFERROR(XLOOKUP(H802,C2:C1586,J2:J1586),"Dependency not found")))</x:f>
        <x:v>Multiple dependencies - verify source queues</x:v>
      </x:c>
      <x:c r="J802" s="6" t="str">
        <x:v>Not Started</x:v>
      </x:c>
      <x:c r="K802" s="6" t="str">
        <x:v>Normal</x:v>
      </x:c>
      <x:c r="L802" s="6" t="str"/>
      <x:c r="M802" s="6" t="str"/>
      <x:c r="N802" s="6" t="str"/>
      <x:c r="O802" s="7" t="str"/>
      <x:c r="P802" s="6" t="str">
        <x:v>Yes</x:v>
      </x:c>
      <x:c r="Q802" s="7" t="str">
        <x:v>Requires identity and manufacturer-scope completion.</x:v>
      </x:c>
    </x:row>
    <x:row r="803">
      <x:c r="A803" s="6" t="str">
        <x:v>SEQ-DEV-0159</x:v>
      </x:c>
      <x:c r="B803" s="6" t="str">
        <x:v>Device Applicability</x:v>
      </x:c>
      <x:c r="C803" s="6" t="str">
        <x:v>DEVX-0159</x:v>
      </x:c>
      <x:c r="D803" s="6" t="str">
        <x:v>SVC000159</x:v>
      </x:c>
      <x:c r="E803" s="6" t="str"/>
      <x:c r="F803" s="6" t="str">
        <x:v>Device-applicability review</x:v>
      </x:c>
      <x:c r="G803" s="6" t="n">
        <x:v>4</x:v>
      </x:c>
      <x:c r="H803" s="6" t="str">
        <x:v>SIDX-0159;MFRX-0159</x:v>
      </x:c>
      <x:c r="I803" s="6" t="str">
        <x:f>IF(H803="","No upstream dependency",IF(ISNUMBER(SEARCH(";",H803)),"Multiple dependencies - verify source queues",IFERROR(XLOOKUP(H803,C2:C1586,J2:J1586),"Dependency not found")))</x:f>
        <x:v>Multiple dependencies - verify source queues</x:v>
      </x:c>
      <x:c r="J803" s="6" t="str">
        <x:v>Not Started</x:v>
      </x:c>
      <x:c r="K803" s="6" t="str">
        <x:v>Normal</x:v>
      </x:c>
      <x:c r="L803" s="6" t="str"/>
      <x:c r="M803" s="6" t="str"/>
      <x:c r="N803" s="6" t="str"/>
      <x:c r="O803" s="7" t="str"/>
      <x:c r="P803" s="6" t="str">
        <x:v>Yes</x:v>
      </x:c>
      <x:c r="Q803" s="7" t="str">
        <x:v>Requires identity and manufacturer-scope completion.</x:v>
      </x:c>
    </x:row>
    <x:row r="804">
      <x:c r="A804" s="6" t="str">
        <x:v>SEQ-DEV-0160</x:v>
      </x:c>
      <x:c r="B804" s="6" t="str">
        <x:v>Device Applicability</x:v>
      </x:c>
      <x:c r="C804" s="6" t="str">
        <x:v>DEVX-0160</x:v>
      </x:c>
      <x:c r="D804" s="6" t="str">
        <x:v>SVC000160</x:v>
      </x:c>
      <x:c r="E804" s="6" t="str"/>
      <x:c r="F804" s="6" t="str">
        <x:v>Device-applicability review</x:v>
      </x:c>
      <x:c r="G804" s="6" t="n">
        <x:v>4</x:v>
      </x:c>
      <x:c r="H804" s="6" t="str">
        <x:v>SIDX-0160;MFRX-0160</x:v>
      </x:c>
      <x:c r="I804" s="6" t="str">
        <x:f>IF(H804="","No upstream dependency",IF(ISNUMBER(SEARCH(";",H804)),"Multiple dependencies - verify source queues",IFERROR(XLOOKUP(H804,C2:C1586,J2:J1586),"Dependency not found")))</x:f>
        <x:v>Multiple dependencies - verify source queues</x:v>
      </x:c>
      <x:c r="J804" s="6" t="str">
        <x:v>Not Started</x:v>
      </x:c>
      <x:c r="K804" s="6" t="str">
        <x:v>Normal</x:v>
      </x:c>
      <x:c r="L804" s="6" t="str"/>
      <x:c r="M804" s="6" t="str"/>
      <x:c r="N804" s="6" t="str"/>
      <x:c r="O804" s="7" t="str"/>
      <x:c r="P804" s="6" t="str">
        <x:v>Yes</x:v>
      </x:c>
      <x:c r="Q804" s="7" t="str">
        <x:v>Requires identity and manufacturer-scope completion.</x:v>
      </x:c>
    </x:row>
    <x:row r="805">
      <x:c r="A805" s="6" t="str">
        <x:v>SEQ-DEV-0161</x:v>
      </x:c>
      <x:c r="B805" s="6" t="str">
        <x:v>Device Applicability</x:v>
      </x:c>
      <x:c r="C805" s="6" t="str">
        <x:v>DEVX-0161</x:v>
      </x:c>
      <x:c r="D805" s="6" t="str">
        <x:v>SVC000161</x:v>
      </x:c>
      <x:c r="E805" s="6" t="str"/>
      <x:c r="F805" s="6" t="str">
        <x:v>Device-applicability review</x:v>
      </x:c>
      <x:c r="G805" s="6" t="n">
        <x:v>4</x:v>
      </x:c>
      <x:c r="H805" s="6" t="str">
        <x:v>SIDX-0161;MFRX-0161</x:v>
      </x:c>
      <x:c r="I805" s="6" t="str">
        <x:f>IF(H805="","No upstream dependency",IF(ISNUMBER(SEARCH(";",H805)),"Multiple dependencies - verify source queues",IFERROR(XLOOKUP(H805,C2:C1586,J2:J1586),"Dependency not found")))</x:f>
        <x:v>Multiple dependencies - verify source queues</x:v>
      </x:c>
      <x:c r="J805" s="6" t="str">
        <x:v>Not Started</x:v>
      </x:c>
      <x:c r="K805" s="6" t="str">
        <x:v>Normal</x:v>
      </x:c>
      <x:c r="L805" s="6" t="str"/>
      <x:c r="M805" s="6" t="str"/>
      <x:c r="N805" s="6" t="str"/>
      <x:c r="O805" s="7" t="str"/>
      <x:c r="P805" s="6" t="str">
        <x:v>Yes</x:v>
      </x:c>
      <x:c r="Q805" s="7" t="str">
        <x:v>Requires identity and manufacturer-scope completion.</x:v>
      </x:c>
    </x:row>
    <x:row r="806">
      <x:c r="A806" s="6" t="str">
        <x:v>SEQ-DEV-0162</x:v>
      </x:c>
      <x:c r="B806" s="6" t="str">
        <x:v>Device Applicability</x:v>
      </x:c>
      <x:c r="C806" s="6" t="str">
        <x:v>DEVX-0162</x:v>
      </x:c>
      <x:c r="D806" s="6" t="str">
        <x:v>SVC000162</x:v>
      </x:c>
      <x:c r="E806" s="6" t="str"/>
      <x:c r="F806" s="6" t="str">
        <x:v>Device-applicability review</x:v>
      </x:c>
      <x:c r="G806" s="6" t="n">
        <x:v>4</x:v>
      </x:c>
      <x:c r="H806" s="6" t="str">
        <x:v>SIDX-0162;MFRX-0162</x:v>
      </x:c>
      <x:c r="I806" s="6" t="str">
        <x:f>IF(H806="","No upstream dependency",IF(ISNUMBER(SEARCH(";",H806)),"Multiple dependencies - verify source queues",IFERROR(XLOOKUP(H806,C2:C1586,J2:J1586),"Dependency not found")))</x:f>
        <x:v>Multiple dependencies - verify source queues</x:v>
      </x:c>
      <x:c r="J806" s="6" t="str">
        <x:v>Not Started</x:v>
      </x:c>
      <x:c r="K806" s="6" t="str">
        <x:v>Normal</x:v>
      </x:c>
      <x:c r="L806" s="6" t="str"/>
      <x:c r="M806" s="6" t="str"/>
      <x:c r="N806" s="6" t="str"/>
      <x:c r="O806" s="7" t="str"/>
      <x:c r="P806" s="6" t="str">
        <x:v>Yes</x:v>
      </x:c>
      <x:c r="Q806" s="7" t="str">
        <x:v>Requires identity and manufacturer-scope completion.</x:v>
      </x:c>
    </x:row>
    <x:row r="807">
      <x:c r="A807" s="6" t="str">
        <x:v>SEQ-DEV-0163</x:v>
      </x:c>
      <x:c r="B807" s="6" t="str">
        <x:v>Device Applicability</x:v>
      </x:c>
      <x:c r="C807" s="6" t="str">
        <x:v>DEVX-0163</x:v>
      </x:c>
      <x:c r="D807" s="6" t="str">
        <x:v>SVC000163</x:v>
      </x:c>
      <x:c r="E807" s="6" t="str"/>
      <x:c r="F807" s="6" t="str">
        <x:v>Device-applicability review</x:v>
      </x:c>
      <x:c r="G807" s="6" t="n">
        <x:v>4</x:v>
      </x:c>
      <x:c r="H807" s="6" t="str">
        <x:v>SIDX-0163;MFRX-0163</x:v>
      </x:c>
      <x:c r="I807" s="6" t="str">
        <x:f>IF(H807="","No upstream dependency",IF(ISNUMBER(SEARCH(";",H807)),"Multiple dependencies - verify source queues",IFERROR(XLOOKUP(H807,C2:C1586,J2:J1586),"Dependency not found")))</x:f>
        <x:v>Multiple dependencies - verify source queues</x:v>
      </x:c>
      <x:c r="J807" s="6" t="str">
        <x:v>Not Started</x:v>
      </x:c>
      <x:c r="K807" s="6" t="str">
        <x:v>Normal</x:v>
      </x:c>
      <x:c r="L807" s="6" t="str"/>
      <x:c r="M807" s="6" t="str"/>
      <x:c r="N807" s="6" t="str"/>
      <x:c r="O807" s="7" t="str"/>
      <x:c r="P807" s="6" t="str">
        <x:v>Yes</x:v>
      </x:c>
      <x:c r="Q807" s="7" t="str">
        <x:v>Requires identity and manufacturer-scope completion.</x:v>
      </x:c>
    </x:row>
    <x:row r="808">
      <x:c r="A808" s="6" t="str">
        <x:v>SEQ-DEV-0164</x:v>
      </x:c>
      <x:c r="B808" s="6" t="str">
        <x:v>Device Applicability</x:v>
      </x:c>
      <x:c r="C808" s="6" t="str">
        <x:v>DEVX-0164</x:v>
      </x:c>
      <x:c r="D808" s="6" t="str">
        <x:v>SVC000164</x:v>
      </x:c>
      <x:c r="E808" s="6" t="str"/>
      <x:c r="F808" s="6" t="str">
        <x:v>Device-applicability review</x:v>
      </x:c>
      <x:c r="G808" s="6" t="n">
        <x:v>4</x:v>
      </x:c>
      <x:c r="H808" s="6" t="str">
        <x:v>SIDX-0164;MFRX-0164</x:v>
      </x:c>
      <x:c r="I808" s="6" t="str">
        <x:f>IF(H808="","No upstream dependency",IF(ISNUMBER(SEARCH(";",H808)),"Multiple dependencies - verify source queues",IFERROR(XLOOKUP(H808,C2:C1586,J2:J1586),"Dependency not found")))</x:f>
        <x:v>Multiple dependencies - verify source queues</x:v>
      </x:c>
      <x:c r="J808" s="6" t="str">
        <x:v>Not Started</x:v>
      </x:c>
      <x:c r="K808" s="6" t="str">
        <x:v>Normal</x:v>
      </x:c>
      <x:c r="L808" s="6" t="str"/>
      <x:c r="M808" s="6" t="str"/>
      <x:c r="N808" s="6" t="str"/>
      <x:c r="O808" s="7" t="str"/>
      <x:c r="P808" s="6" t="str">
        <x:v>Yes</x:v>
      </x:c>
      <x:c r="Q808" s="7" t="str">
        <x:v>Requires identity and manufacturer-scope completion.</x:v>
      </x:c>
    </x:row>
    <x:row r="809">
      <x:c r="A809" s="6" t="str">
        <x:v>SEQ-DEV-0165</x:v>
      </x:c>
      <x:c r="B809" s="6" t="str">
        <x:v>Device Applicability</x:v>
      </x:c>
      <x:c r="C809" s="6" t="str">
        <x:v>DEVX-0165</x:v>
      </x:c>
      <x:c r="D809" s="6" t="str">
        <x:v>SVC000165</x:v>
      </x:c>
      <x:c r="E809" s="6" t="str"/>
      <x:c r="F809" s="6" t="str">
        <x:v>Device-applicability review</x:v>
      </x:c>
      <x:c r="G809" s="6" t="n">
        <x:v>4</x:v>
      </x:c>
      <x:c r="H809" s="6" t="str">
        <x:v>SIDX-0165;MFRX-0165</x:v>
      </x:c>
      <x:c r="I809" s="6" t="str">
        <x:f>IF(H809="","No upstream dependency",IF(ISNUMBER(SEARCH(";",H809)),"Multiple dependencies - verify source queues",IFERROR(XLOOKUP(H809,C2:C1586,J2:J1586),"Dependency not found")))</x:f>
        <x:v>Multiple dependencies - verify source queues</x:v>
      </x:c>
      <x:c r="J809" s="6" t="str">
        <x:v>Not Started</x:v>
      </x:c>
      <x:c r="K809" s="6" t="str">
        <x:v>Normal</x:v>
      </x:c>
      <x:c r="L809" s="6" t="str"/>
      <x:c r="M809" s="6" t="str"/>
      <x:c r="N809" s="6" t="str"/>
      <x:c r="O809" s="7" t="str"/>
      <x:c r="P809" s="6" t="str">
        <x:v>Yes</x:v>
      </x:c>
      <x:c r="Q809" s="7" t="str">
        <x:v>Requires identity and manufacturer-scope completion.</x:v>
      </x:c>
    </x:row>
    <x:row r="810">
      <x:c r="A810" s="6" t="str">
        <x:v>SEQ-DEV-0166</x:v>
      </x:c>
      <x:c r="B810" s="6" t="str">
        <x:v>Device Applicability</x:v>
      </x:c>
      <x:c r="C810" s="6" t="str">
        <x:v>DEVX-0166</x:v>
      </x:c>
      <x:c r="D810" s="6" t="str">
        <x:v>SVC000166</x:v>
      </x:c>
      <x:c r="E810" s="6" t="str"/>
      <x:c r="F810" s="6" t="str">
        <x:v>Device-applicability review</x:v>
      </x:c>
      <x:c r="G810" s="6" t="n">
        <x:v>4</x:v>
      </x:c>
      <x:c r="H810" s="6" t="str">
        <x:v>SIDX-0166;MFRX-0166</x:v>
      </x:c>
      <x:c r="I810" s="6" t="str">
        <x:f>IF(H810="","No upstream dependency",IF(ISNUMBER(SEARCH(";",H810)),"Multiple dependencies - verify source queues",IFERROR(XLOOKUP(H810,C2:C1586,J2:J1586),"Dependency not found")))</x:f>
        <x:v>Multiple dependencies - verify source queues</x:v>
      </x:c>
      <x:c r="J810" s="6" t="str">
        <x:v>Not Started</x:v>
      </x:c>
      <x:c r="K810" s="6" t="str">
        <x:v>Normal</x:v>
      </x:c>
      <x:c r="L810" s="6" t="str"/>
      <x:c r="M810" s="6" t="str"/>
      <x:c r="N810" s="6" t="str"/>
      <x:c r="O810" s="7" t="str"/>
      <x:c r="P810" s="6" t="str">
        <x:v>Yes</x:v>
      </x:c>
      <x:c r="Q810" s="7" t="str">
        <x:v>Requires identity and manufacturer-scope completion.</x:v>
      </x:c>
    </x:row>
    <x:row r="811">
      <x:c r="A811" s="6" t="str">
        <x:v>SEQ-DEV-0167</x:v>
      </x:c>
      <x:c r="B811" s="6" t="str">
        <x:v>Device Applicability</x:v>
      </x:c>
      <x:c r="C811" s="6" t="str">
        <x:v>DEVX-0167</x:v>
      </x:c>
      <x:c r="D811" s="6" t="str">
        <x:v>SVC000167</x:v>
      </x:c>
      <x:c r="E811" s="6" t="str"/>
      <x:c r="F811" s="6" t="str">
        <x:v>Device-applicability review</x:v>
      </x:c>
      <x:c r="G811" s="6" t="n">
        <x:v>4</x:v>
      </x:c>
      <x:c r="H811" s="6" t="str">
        <x:v>SIDX-0167;MFRX-0167</x:v>
      </x:c>
      <x:c r="I811" s="6" t="str">
        <x:f>IF(H811="","No upstream dependency",IF(ISNUMBER(SEARCH(";",H811)),"Multiple dependencies - verify source queues",IFERROR(XLOOKUP(H811,C2:C1586,J2:J1586),"Dependency not found")))</x:f>
        <x:v>Multiple dependencies - verify source queues</x:v>
      </x:c>
      <x:c r="J811" s="6" t="str">
        <x:v>Not Started</x:v>
      </x:c>
      <x:c r="K811" s="6" t="str">
        <x:v>Normal</x:v>
      </x:c>
      <x:c r="L811" s="6" t="str"/>
      <x:c r="M811" s="6" t="str"/>
      <x:c r="N811" s="6" t="str"/>
      <x:c r="O811" s="7" t="str"/>
      <x:c r="P811" s="6" t="str">
        <x:v>Yes</x:v>
      </x:c>
      <x:c r="Q811" s="7" t="str">
        <x:v>Requires identity and manufacturer-scope completion.</x:v>
      </x:c>
    </x:row>
    <x:row r="812">
      <x:c r="A812" s="6" t="str">
        <x:v>SEQ-DEV-0168</x:v>
      </x:c>
      <x:c r="B812" s="6" t="str">
        <x:v>Device Applicability</x:v>
      </x:c>
      <x:c r="C812" s="6" t="str">
        <x:v>DEVX-0168</x:v>
      </x:c>
      <x:c r="D812" s="6" t="str">
        <x:v>SVC000168</x:v>
      </x:c>
      <x:c r="E812" s="6" t="str"/>
      <x:c r="F812" s="6" t="str">
        <x:v>Device-applicability review</x:v>
      </x:c>
      <x:c r="G812" s="6" t="n">
        <x:v>4</x:v>
      </x:c>
      <x:c r="H812" s="6" t="str">
        <x:v>SIDX-0168;MFRX-0168</x:v>
      </x:c>
      <x:c r="I812" s="6" t="str">
        <x:f>IF(H812="","No upstream dependency",IF(ISNUMBER(SEARCH(";",H812)),"Multiple dependencies - verify source queues",IFERROR(XLOOKUP(H812,C2:C1586,J2:J1586),"Dependency not found")))</x:f>
        <x:v>Multiple dependencies - verify source queues</x:v>
      </x:c>
      <x:c r="J812" s="6" t="str">
        <x:v>Not Started</x:v>
      </x:c>
      <x:c r="K812" s="6" t="str">
        <x:v>Normal</x:v>
      </x:c>
      <x:c r="L812" s="6" t="str"/>
      <x:c r="M812" s="6" t="str"/>
      <x:c r="N812" s="6" t="str"/>
      <x:c r="O812" s="7" t="str"/>
      <x:c r="P812" s="6" t="str">
        <x:v>Yes</x:v>
      </x:c>
      <x:c r="Q812" s="7" t="str">
        <x:v>Requires identity and manufacturer-scope completion.</x:v>
      </x:c>
    </x:row>
    <x:row r="813">
      <x:c r="A813" s="6" t="str">
        <x:v>SEQ-DEV-0169</x:v>
      </x:c>
      <x:c r="B813" s="6" t="str">
        <x:v>Device Applicability</x:v>
      </x:c>
      <x:c r="C813" s="6" t="str">
        <x:v>DEVX-0169</x:v>
      </x:c>
      <x:c r="D813" s="6" t="str">
        <x:v>SVC000169</x:v>
      </x:c>
      <x:c r="E813" s="6" t="str"/>
      <x:c r="F813" s="6" t="str">
        <x:v>Device-applicability review</x:v>
      </x:c>
      <x:c r="G813" s="6" t="n">
        <x:v>4</x:v>
      </x:c>
      <x:c r="H813" s="6" t="str">
        <x:v>SIDX-0169;MFRX-0169</x:v>
      </x:c>
      <x:c r="I813" s="6" t="str">
        <x:f>IF(H813="","No upstream dependency",IF(ISNUMBER(SEARCH(";",H813)),"Multiple dependencies - verify source queues",IFERROR(XLOOKUP(H813,C2:C1586,J2:J1586),"Dependency not found")))</x:f>
        <x:v>Multiple dependencies - verify source queues</x:v>
      </x:c>
      <x:c r="J813" s="6" t="str">
        <x:v>Not Started</x:v>
      </x:c>
      <x:c r="K813" s="6" t="str">
        <x:v>Normal</x:v>
      </x:c>
      <x:c r="L813" s="6" t="str"/>
      <x:c r="M813" s="6" t="str"/>
      <x:c r="N813" s="6" t="str"/>
      <x:c r="O813" s="7" t="str"/>
      <x:c r="P813" s="6" t="str">
        <x:v>Yes</x:v>
      </x:c>
      <x:c r="Q813" s="7" t="str">
        <x:v>Requires identity and manufacturer-scope completion.</x:v>
      </x:c>
    </x:row>
    <x:row r="814">
      <x:c r="A814" s="6" t="str">
        <x:v>SEQ-DEV-0170</x:v>
      </x:c>
      <x:c r="B814" s="6" t="str">
        <x:v>Device Applicability</x:v>
      </x:c>
      <x:c r="C814" s="6" t="str">
        <x:v>DEVX-0170</x:v>
      </x:c>
      <x:c r="D814" s="6" t="str">
        <x:v>SVC000170</x:v>
      </x:c>
      <x:c r="E814" s="6" t="str"/>
      <x:c r="F814" s="6" t="str">
        <x:v>Device-applicability review</x:v>
      </x:c>
      <x:c r="G814" s="6" t="n">
        <x:v>4</x:v>
      </x:c>
      <x:c r="H814" s="6" t="str">
        <x:v>SIDX-0170;MFRX-0170</x:v>
      </x:c>
      <x:c r="I814" s="6" t="str">
        <x:f>IF(H814="","No upstream dependency",IF(ISNUMBER(SEARCH(";",H814)),"Multiple dependencies - verify source queues",IFERROR(XLOOKUP(H814,C2:C1586,J2:J1586),"Dependency not found")))</x:f>
        <x:v>Multiple dependencies - verify source queues</x:v>
      </x:c>
      <x:c r="J814" s="6" t="str">
        <x:v>Not Started</x:v>
      </x:c>
      <x:c r="K814" s="6" t="str">
        <x:v>Normal</x:v>
      </x:c>
      <x:c r="L814" s="6" t="str"/>
      <x:c r="M814" s="6" t="str"/>
      <x:c r="N814" s="6" t="str"/>
      <x:c r="O814" s="7" t="str"/>
      <x:c r="P814" s="6" t="str">
        <x:v>Yes</x:v>
      </x:c>
      <x:c r="Q814" s="7" t="str">
        <x:v>Requires identity and manufacturer-scope completion.</x:v>
      </x:c>
    </x:row>
    <x:row r="815">
      <x:c r="A815" s="6" t="str">
        <x:v>SEQ-DEV-0171</x:v>
      </x:c>
      <x:c r="B815" s="6" t="str">
        <x:v>Device Applicability</x:v>
      </x:c>
      <x:c r="C815" s="6" t="str">
        <x:v>DEVX-0171</x:v>
      </x:c>
      <x:c r="D815" s="6" t="str">
        <x:v>SVC000171</x:v>
      </x:c>
      <x:c r="E815" s="6" t="str"/>
      <x:c r="F815" s="6" t="str">
        <x:v>Device-applicability review</x:v>
      </x:c>
      <x:c r="G815" s="6" t="n">
        <x:v>4</x:v>
      </x:c>
      <x:c r="H815" s="6" t="str">
        <x:v>SIDX-0171;MFRX-0171</x:v>
      </x:c>
      <x:c r="I815" s="6" t="str">
        <x:f>IF(H815="","No upstream dependency",IF(ISNUMBER(SEARCH(";",H815)),"Multiple dependencies - verify source queues",IFERROR(XLOOKUP(H815,C2:C1586,J2:J1586),"Dependency not found")))</x:f>
        <x:v>Multiple dependencies - verify source queues</x:v>
      </x:c>
      <x:c r="J815" s="6" t="str">
        <x:v>Not Started</x:v>
      </x:c>
      <x:c r="K815" s="6" t="str">
        <x:v>Normal</x:v>
      </x:c>
      <x:c r="L815" s="6" t="str"/>
      <x:c r="M815" s="6" t="str"/>
      <x:c r="N815" s="6" t="str"/>
      <x:c r="O815" s="7" t="str"/>
      <x:c r="P815" s="6" t="str">
        <x:v>Yes</x:v>
      </x:c>
      <x:c r="Q815" s="7" t="str">
        <x:v>Requires identity and manufacturer-scope completion.</x:v>
      </x:c>
    </x:row>
    <x:row r="816">
      <x:c r="A816" s="6" t="str">
        <x:v>SEQ-DEV-0172</x:v>
      </x:c>
      <x:c r="B816" s="6" t="str">
        <x:v>Device Applicability</x:v>
      </x:c>
      <x:c r="C816" s="6" t="str">
        <x:v>DEVX-0172</x:v>
      </x:c>
      <x:c r="D816" s="6" t="str">
        <x:v>SVC000172</x:v>
      </x:c>
      <x:c r="E816" s="6" t="str"/>
      <x:c r="F816" s="6" t="str">
        <x:v>Device-applicability review</x:v>
      </x:c>
      <x:c r="G816" s="6" t="n">
        <x:v>4</x:v>
      </x:c>
      <x:c r="H816" s="6" t="str">
        <x:v>SIDX-0172;MFRX-0172</x:v>
      </x:c>
      <x:c r="I816" s="6" t="str">
        <x:f>IF(H816="","No upstream dependency",IF(ISNUMBER(SEARCH(";",H816)),"Multiple dependencies - verify source queues",IFERROR(XLOOKUP(H816,C2:C1586,J2:J1586),"Dependency not found")))</x:f>
        <x:v>Multiple dependencies - verify source queues</x:v>
      </x:c>
      <x:c r="J816" s="6" t="str">
        <x:v>Not Started</x:v>
      </x:c>
      <x:c r="K816" s="6" t="str">
        <x:v>Normal</x:v>
      </x:c>
      <x:c r="L816" s="6" t="str"/>
      <x:c r="M816" s="6" t="str"/>
      <x:c r="N816" s="6" t="str"/>
      <x:c r="O816" s="7" t="str"/>
      <x:c r="P816" s="6" t="str">
        <x:v>Yes</x:v>
      </x:c>
      <x:c r="Q816" s="7" t="str">
        <x:v>Requires identity and manufacturer-scope completion.</x:v>
      </x:c>
    </x:row>
    <x:row r="817">
      <x:c r="A817" s="6" t="str">
        <x:v>SEQ-DEV-0173</x:v>
      </x:c>
      <x:c r="B817" s="6" t="str">
        <x:v>Device Applicability</x:v>
      </x:c>
      <x:c r="C817" s="6" t="str">
        <x:v>DEVX-0173</x:v>
      </x:c>
      <x:c r="D817" s="6" t="str">
        <x:v>SVC000173</x:v>
      </x:c>
      <x:c r="E817" s="6" t="str"/>
      <x:c r="F817" s="6" t="str">
        <x:v>Device-applicability review</x:v>
      </x:c>
      <x:c r="G817" s="6" t="n">
        <x:v>4</x:v>
      </x:c>
      <x:c r="H817" s="6" t="str">
        <x:v>SIDX-0173;MFRX-0173</x:v>
      </x:c>
      <x:c r="I817" s="6" t="str">
        <x:f>IF(H817="","No upstream dependency",IF(ISNUMBER(SEARCH(";",H817)),"Multiple dependencies - verify source queues",IFERROR(XLOOKUP(H817,C2:C1586,J2:J1586),"Dependency not found")))</x:f>
        <x:v>Multiple dependencies - verify source queues</x:v>
      </x:c>
      <x:c r="J817" s="6" t="str">
        <x:v>Not Started</x:v>
      </x:c>
      <x:c r="K817" s="6" t="str">
        <x:v>Normal</x:v>
      </x:c>
      <x:c r="L817" s="6" t="str"/>
      <x:c r="M817" s="6" t="str"/>
      <x:c r="N817" s="6" t="str"/>
      <x:c r="O817" s="7" t="str"/>
      <x:c r="P817" s="6" t="str">
        <x:v>Yes</x:v>
      </x:c>
      <x:c r="Q817" s="7" t="str">
        <x:v>Requires identity and manufacturer-scope completion.</x:v>
      </x:c>
    </x:row>
    <x:row r="818">
      <x:c r="A818" s="6" t="str">
        <x:v>SEQ-DEV-0174</x:v>
      </x:c>
      <x:c r="B818" s="6" t="str">
        <x:v>Device Applicability</x:v>
      </x:c>
      <x:c r="C818" s="6" t="str">
        <x:v>DEVX-0174</x:v>
      </x:c>
      <x:c r="D818" s="6" t="str">
        <x:v>SVC000174</x:v>
      </x:c>
      <x:c r="E818" s="6" t="str"/>
      <x:c r="F818" s="6" t="str">
        <x:v>Device-applicability review</x:v>
      </x:c>
      <x:c r="G818" s="6" t="n">
        <x:v>4</x:v>
      </x:c>
      <x:c r="H818" s="6" t="str">
        <x:v>SIDX-0174;MFRX-0174</x:v>
      </x:c>
      <x:c r="I818" s="6" t="str">
        <x:f>IF(H818="","No upstream dependency",IF(ISNUMBER(SEARCH(";",H818)),"Multiple dependencies - verify source queues",IFERROR(XLOOKUP(H818,C2:C1586,J2:J1586),"Dependency not found")))</x:f>
        <x:v>Multiple dependencies - verify source queues</x:v>
      </x:c>
      <x:c r="J818" s="6" t="str">
        <x:v>Not Started</x:v>
      </x:c>
      <x:c r="K818" s="6" t="str">
        <x:v>Normal</x:v>
      </x:c>
      <x:c r="L818" s="6" t="str"/>
      <x:c r="M818" s="6" t="str"/>
      <x:c r="N818" s="6" t="str"/>
      <x:c r="O818" s="7" t="str"/>
      <x:c r="P818" s="6" t="str">
        <x:v>Yes</x:v>
      </x:c>
      <x:c r="Q818" s="7" t="str">
        <x:v>Requires identity and manufacturer-scope completion.</x:v>
      </x:c>
    </x:row>
    <x:row r="819">
      <x:c r="A819" s="6" t="str">
        <x:v>SEQ-DEV-0175</x:v>
      </x:c>
      <x:c r="B819" s="6" t="str">
        <x:v>Device Applicability</x:v>
      </x:c>
      <x:c r="C819" s="6" t="str">
        <x:v>DEVX-0175</x:v>
      </x:c>
      <x:c r="D819" s="6" t="str">
        <x:v>SVC000175</x:v>
      </x:c>
      <x:c r="E819" s="6" t="str"/>
      <x:c r="F819" s="6" t="str">
        <x:v>Device-applicability review</x:v>
      </x:c>
      <x:c r="G819" s="6" t="n">
        <x:v>4</x:v>
      </x:c>
      <x:c r="H819" s="6" t="str">
        <x:v>SIDX-0175;MFRX-0175</x:v>
      </x:c>
      <x:c r="I819" s="6" t="str">
        <x:f>IF(H819="","No upstream dependency",IF(ISNUMBER(SEARCH(";",H819)),"Multiple dependencies - verify source queues",IFERROR(XLOOKUP(H819,C2:C1586,J2:J1586),"Dependency not found")))</x:f>
        <x:v>Multiple dependencies - verify source queues</x:v>
      </x:c>
      <x:c r="J819" s="6" t="str">
        <x:v>Not Started</x:v>
      </x:c>
      <x:c r="K819" s="6" t="str">
        <x:v>Normal</x:v>
      </x:c>
      <x:c r="L819" s="6" t="str"/>
      <x:c r="M819" s="6" t="str"/>
      <x:c r="N819" s="6" t="str"/>
      <x:c r="O819" s="7" t="str"/>
      <x:c r="P819" s="6" t="str">
        <x:v>Yes</x:v>
      </x:c>
      <x:c r="Q819" s="7" t="str">
        <x:v>Requires identity and manufacturer-scope completion.</x:v>
      </x:c>
    </x:row>
    <x:row r="820">
      <x:c r="A820" s="6" t="str">
        <x:v>SEQ-DEV-0176</x:v>
      </x:c>
      <x:c r="B820" s="6" t="str">
        <x:v>Device Applicability</x:v>
      </x:c>
      <x:c r="C820" s="6" t="str">
        <x:v>DEVX-0176</x:v>
      </x:c>
      <x:c r="D820" s="6" t="str">
        <x:v>SVC000176</x:v>
      </x:c>
      <x:c r="E820" s="6" t="str"/>
      <x:c r="F820" s="6" t="str">
        <x:v>Device-applicability review</x:v>
      </x:c>
      <x:c r="G820" s="6" t="n">
        <x:v>4</x:v>
      </x:c>
      <x:c r="H820" s="6" t="str">
        <x:v>SIDX-0176;MFRX-0176</x:v>
      </x:c>
      <x:c r="I820" s="6" t="str">
        <x:f>IF(H820="","No upstream dependency",IF(ISNUMBER(SEARCH(";",H820)),"Multiple dependencies - verify source queues",IFERROR(XLOOKUP(H820,C2:C1586,J2:J1586),"Dependency not found")))</x:f>
        <x:v>Multiple dependencies - verify source queues</x:v>
      </x:c>
      <x:c r="J820" s="6" t="str">
        <x:v>Not Started</x:v>
      </x:c>
      <x:c r="K820" s="6" t="str">
        <x:v>Normal</x:v>
      </x:c>
      <x:c r="L820" s="6" t="str"/>
      <x:c r="M820" s="6" t="str"/>
      <x:c r="N820" s="6" t="str"/>
      <x:c r="O820" s="7" t="str"/>
      <x:c r="P820" s="6" t="str">
        <x:v>Yes</x:v>
      </x:c>
      <x:c r="Q820" s="7" t="str">
        <x:v>Requires identity and manufacturer-scope completion.</x:v>
      </x:c>
    </x:row>
    <x:row r="821">
      <x:c r="A821" s="6" t="str">
        <x:v>SEQ-DEV-0177</x:v>
      </x:c>
      <x:c r="B821" s="6" t="str">
        <x:v>Device Applicability</x:v>
      </x:c>
      <x:c r="C821" s="6" t="str">
        <x:v>DEVX-0177</x:v>
      </x:c>
      <x:c r="D821" s="6" t="str">
        <x:v>SVC000177</x:v>
      </x:c>
      <x:c r="E821" s="6" t="str"/>
      <x:c r="F821" s="6" t="str">
        <x:v>Device-applicability review</x:v>
      </x:c>
      <x:c r="G821" s="6" t="n">
        <x:v>4</x:v>
      </x:c>
      <x:c r="H821" s="6" t="str">
        <x:v>SIDX-0177;MFRX-0177</x:v>
      </x:c>
      <x:c r="I821" s="6" t="str">
        <x:f>IF(H821="","No upstream dependency",IF(ISNUMBER(SEARCH(";",H821)),"Multiple dependencies - verify source queues",IFERROR(XLOOKUP(H821,C2:C1586,J2:J1586),"Dependency not found")))</x:f>
        <x:v>Multiple dependencies - verify source queues</x:v>
      </x:c>
      <x:c r="J821" s="6" t="str">
        <x:v>Not Started</x:v>
      </x:c>
      <x:c r="K821" s="6" t="str">
        <x:v>Normal</x:v>
      </x:c>
      <x:c r="L821" s="6" t="str"/>
      <x:c r="M821" s="6" t="str"/>
      <x:c r="N821" s="6" t="str"/>
      <x:c r="O821" s="7" t="str"/>
      <x:c r="P821" s="6" t="str">
        <x:v>Yes</x:v>
      </x:c>
      <x:c r="Q821" s="7" t="str">
        <x:v>Requires identity and manufacturer-scope completion.</x:v>
      </x:c>
    </x:row>
    <x:row r="822">
      <x:c r="A822" s="6" t="str">
        <x:v>SEQ-DEV-0178</x:v>
      </x:c>
      <x:c r="B822" s="6" t="str">
        <x:v>Device Applicability</x:v>
      </x:c>
      <x:c r="C822" s="6" t="str">
        <x:v>DEVX-0178</x:v>
      </x:c>
      <x:c r="D822" s="6" t="str">
        <x:v>SVC000178</x:v>
      </x:c>
      <x:c r="E822" s="6" t="str"/>
      <x:c r="F822" s="6" t="str">
        <x:v>Device-applicability review</x:v>
      </x:c>
      <x:c r="G822" s="6" t="n">
        <x:v>4</x:v>
      </x:c>
      <x:c r="H822" s="6" t="str">
        <x:v>SIDX-0178;MFRX-0178</x:v>
      </x:c>
      <x:c r="I822" s="6" t="str">
        <x:f>IF(H822="","No upstream dependency",IF(ISNUMBER(SEARCH(";",H822)),"Multiple dependencies - verify source queues",IFERROR(XLOOKUP(H822,C2:C1586,J2:J1586),"Dependency not found")))</x:f>
        <x:v>Multiple dependencies - verify source queues</x:v>
      </x:c>
      <x:c r="J822" s="6" t="str">
        <x:v>Not Started</x:v>
      </x:c>
      <x:c r="K822" s="6" t="str">
        <x:v>Normal</x:v>
      </x:c>
      <x:c r="L822" s="6" t="str"/>
      <x:c r="M822" s="6" t="str"/>
      <x:c r="N822" s="6" t="str"/>
      <x:c r="O822" s="7" t="str"/>
      <x:c r="P822" s="6" t="str">
        <x:v>Yes</x:v>
      </x:c>
      <x:c r="Q822" s="7" t="str">
        <x:v>Requires identity and manufacturer-scope completion.</x:v>
      </x:c>
    </x:row>
    <x:row r="823">
      <x:c r="A823" s="6" t="str">
        <x:v>SEQ-DEV-0179</x:v>
      </x:c>
      <x:c r="B823" s="6" t="str">
        <x:v>Device Applicability</x:v>
      </x:c>
      <x:c r="C823" s="6" t="str">
        <x:v>DEVX-0179</x:v>
      </x:c>
      <x:c r="D823" s="6" t="str">
        <x:v>SVC000179</x:v>
      </x:c>
      <x:c r="E823" s="6" t="str"/>
      <x:c r="F823" s="6" t="str">
        <x:v>Device-applicability review</x:v>
      </x:c>
      <x:c r="G823" s="6" t="n">
        <x:v>4</x:v>
      </x:c>
      <x:c r="H823" s="6" t="str">
        <x:v>SIDX-0179;MFRX-0179</x:v>
      </x:c>
      <x:c r="I823" s="6" t="str">
        <x:f>IF(H823="","No upstream dependency",IF(ISNUMBER(SEARCH(";",H823)),"Multiple dependencies - verify source queues",IFERROR(XLOOKUP(H823,C2:C1586,J2:J1586),"Dependency not found")))</x:f>
        <x:v>Multiple dependencies - verify source queues</x:v>
      </x:c>
      <x:c r="J823" s="6" t="str">
        <x:v>Not Started</x:v>
      </x:c>
      <x:c r="K823" s="6" t="str">
        <x:v>Normal</x:v>
      </x:c>
      <x:c r="L823" s="6" t="str"/>
      <x:c r="M823" s="6" t="str"/>
      <x:c r="N823" s="6" t="str"/>
      <x:c r="O823" s="7" t="str"/>
      <x:c r="P823" s="6" t="str">
        <x:v>Yes</x:v>
      </x:c>
      <x:c r="Q823" s="7" t="str">
        <x:v>Requires identity and manufacturer-scope completion.</x:v>
      </x:c>
    </x:row>
    <x:row r="824">
      <x:c r="A824" s="6" t="str">
        <x:v>SEQ-DEV-0180</x:v>
      </x:c>
      <x:c r="B824" s="6" t="str">
        <x:v>Device Applicability</x:v>
      </x:c>
      <x:c r="C824" s="6" t="str">
        <x:v>DEVX-0180</x:v>
      </x:c>
      <x:c r="D824" s="6" t="str">
        <x:v>SVC000180</x:v>
      </x:c>
      <x:c r="E824" s="6" t="str"/>
      <x:c r="F824" s="6" t="str">
        <x:v>Device-applicability review</x:v>
      </x:c>
      <x:c r="G824" s="6" t="n">
        <x:v>4</x:v>
      </x:c>
      <x:c r="H824" s="6" t="str">
        <x:v>SIDX-0180;MFRX-0180</x:v>
      </x:c>
      <x:c r="I824" s="6" t="str">
        <x:f>IF(H824="","No upstream dependency",IF(ISNUMBER(SEARCH(";",H824)),"Multiple dependencies - verify source queues",IFERROR(XLOOKUP(H824,C2:C1586,J2:J1586),"Dependency not found")))</x:f>
        <x:v>Multiple dependencies - verify source queues</x:v>
      </x:c>
      <x:c r="J824" s="6" t="str">
        <x:v>Not Started</x:v>
      </x:c>
      <x:c r="K824" s="6" t="str">
        <x:v>Normal</x:v>
      </x:c>
      <x:c r="L824" s="6" t="str"/>
      <x:c r="M824" s="6" t="str"/>
      <x:c r="N824" s="6" t="str"/>
      <x:c r="O824" s="7" t="str"/>
      <x:c r="P824" s="6" t="str">
        <x:v>Yes</x:v>
      </x:c>
      <x:c r="Q824" s="7" t="str">
        <x:v>Requires identity and manufacturer-scope completion.</x:v>
      </x:c>
    </x:row>
    <x:row r="825">
      <x:c r="A825" s="6" t="str">
        <x:v>SEQ-DEV-0181</x:v>
      </x:c>
      <x:c r="B825" s="6" t="str">
        <x:v>Device Applicability</x:v>
      </x:c>
      <x:c r="C825" s="6" t="str">
        <x:v>DEVX-0181</x:v>
      </x:c>
      <x:c r="D825" s="6" t="str">
        <x:v>SVC000181</x:v>
      </x:c>
      <x:c r="E825" s="6" t="str"/>
      <x:c r="F825" s="6" t="str">
        <x:v>Device-applicability review</x:v>
      </x:c>
      <x:c r="G825" s="6" t="n">
        <x:v>4</x:v>
      </x:c>
      <x:c r="H825" s="6" t="str">
        <x:v>SIDX-0181;MFRX-0181</x:v>
      </x:c>
      <x:c r="I825" s="6" t="str">
        <x:f>IF(H825="","No upstream dependency",IF(ISNUMBER(SEARCH(";",H825)),"Multiple dependencies - verify source queues",IFERROR(XLOOKUP(H825,C2:C1586,J2:J1586),"Dependency not found")))</x:f>
        <x:v>Multiple dependencies - verify source queues</x:v>
      </x:c>
      <x:c r="J825" s="6" t="str">
        <x:v>Not Started</x:v>
      </x:c>
      <x:c r="K825" s="6" t="str">
        <x:v>Normal</x:v>
      </x:c>
      <x:c r="L825" s="6" t="str"/>
      <x:c r="M825" s="6" t="str"/>
      <x:c r="N825" s="6" t="str"/>
      <x:c r="O825" s="7" t="str"/>
      <x:c r="P825" s="6" t="str">
        <x:v>Yes</x:v>
      </x:c>
      <x:c r="Q825" s="7" t="str">
        <x:v>Requires identity and manufacturer-scope completion.</x:v>
      </x:c>
    </x:row>
    <x:row r="826">
      <x:c r="A826" s="6" t="str">
        <x:v>SEQ-DEV-0182</x:v>
      </x:c>
      <x:c r="B826" s="6" t="str">
        <x:v>Device Applicability</x:v>
      </x:c>
      <x:c r="C826" s="6" t="str">
        <x:v>DEVX-0182</x:v>
      </x:c>
      <x:c r="D826" s="6" t="str">
        <x:v>SVC000182</x:v>
      </x:c>
      <x:c r="E826" s="6" t="str"/>
      <x:c r="F826" s="6" t="str">
        <x:v>Device-applicability review</x:v>
      </x:c>
      <x:c r="G826" s="6" t="n">
        <x:v>4</x:v>
      </x:c>
      <x:c r="H826" s="6" t="str">
        <x:v>SIDX-0182;MFRX-0182</x:v>
      </x:c>
      <x:c r="I826" s="6" t="str">
        <x:f>IF(H826="","No upstream dependency",IF(ISNUMBER(SEARCH(";",H826)),"Multiple dependencies - verify source queues",IFERROR(XLOOKUP(H826,C2:C1586,J2:J1586),"Dependency not found")))</x:f>
        <x:v>Multiple dependencies - verify source queues</x:v>
      </x:c>
      <x:c r="J826" s="6" t="str">
        <x:v>Not Started</x:v>
      </x:c>
      <x:c r="K826" s="6" t="str">
        <x:v>Normal</x:v>
      </x:c>
      <x:c r="L826" s="6" t="str"/>
      <x:c r="M826" s="6" t="str"/>
      <x:c r="N826" s="6" t="str"/>
      <x:c r="O826" s="7" t="str"/>
      <x:c r="P826" s="6" t="str">
        <x:v>Yes</x:v>
      </x:c>
      <x:c r="Q826" s="7" t="str">
        <x:v>Requires identity and manufacturer-scope completion.</x:v>
      </x:c>
    </x:row>
    <x:row r="827">
      <x:c r="A827" s="6" t="str">
        <x:v>SEQ-DEV-0183</x:v>
      </x:c>
      <x:c r="B827" s="6" t="str">
        <x:v>Device Applicability</x:v>
      </x:c>
      <x:c r="C827" s="6" t="str">
        <x:v>DEVX-0183</x:v>
      </x:c>
      <x:c r="D827" s="6" t="str">
        <x:v>SVC000183</x:v>
      </x:c>
      <x:c r="E827" s="6" t="str"/>
      <x:c r="F827" s="6" t="str">
        <x:v>Device-applicability review</x:v>
      </x:c>
      <x:c r="G827" s="6" t="n">
        <x:v>4</x:v>
      </x:c>
      <x:c r="H827" s="6" t="str">
        <x:v>SIDX-0183;MFRX-0183</x:v>
      </x:c>
      <x:c r="I827" s="6" t="str">
        <x:f>IF(H827="","No upstream dependency",IF(ISNUMBER(SEARCH(";",H827)),"Multiple dependencies - verify source queues",IFERROR(XLOOKUP(H827,C2:C1586,J2:J1586),"Dependency not found")))</x:f>
        <x:v>Multiple dependencies - verify source queues</x:v>
      </x:c>
      <x:c r="J827" s="6" t="str">
        <x:v>Not Started</x:v>
      </x:c>
      <x:c r="K827" s="6" t="str">
        <x:v>Normal</x:v>
      </x:c>
      <x:c r="L827" s="6" t="str"/>
      <x:c r="M827" s="6" t="str"/>
      <x:c r="N827" s="6" t="str"/>
      <x:c r="O827" s="7" t="str"/>
      <x:c r="P827" s="6" t="str">
        <x:v>Yes</x:v>
      </x:c>
      <x:c r="Q827" s="7" t="str">
        <x:v>Requires identity and manufacturer-scope completion.</x:v>
      </x:c>
    </x:row>
    <x:row r="828">
      <x:c r="A828" s="6" t="str">
        <x:v>SEQ-DEV-0184</x:v>
      </x:c>
      <x:c r="B828" s="6" t="str">
        <x:v>Device Applicability</x:v>
      </x:c>
      <x:c r="C828" s="6" t="str">
        <x:v>DEVX-0184</x:v>
      </x:c>
      <x:c r="D828" s="6" t="str">
        <x:v>SVC000184</x:v>
      </x:c>
      <x:c r="E828" s="6" t="str"/>
      <x:c r="F828" s="6" t="str">
        <x:v>Device-applicability review</x:v>
      </x:c>
      <x:c r="G828" s="6" t="n">
        <x:v>4</x:v>
      </x:c>
      <x:c r="H828" s="6" t="str">
        <x:v>SIDX-0184;MFRX-0184</x:v>
      </x:c>
      <x:c r="I828" s="6" t="str">
        <x:f>IF(H828="","No upstream dependency",IF(ISNUMBER(SEARCH(";",H828)),"Multiple dependencies - verify source queues",IFERROR(XLOOKUP(H828,C2:C1586,J2:J1586),"Dependency not found")))</x:f>
        <x:v>Multiple dependencies - verify source queues</x:v>
      </x:c>
      <x:c r="J828" s="6" t="str">
        <x:v>Not Started</x:v>
      </x:c>
      <x:c r="K828" s="6" t="str">
        <x:v>Normal</x:v>
      </x:c>
      <x:c r="L828" s="6" t="str"/>
      <x:c r="M828" s="6" t="str"/>
      <x:c r="N828" s="6" t="str"/>
      <x:c r="O828" s="7" t="str"/>
      <x:c r="P828" s="6" t="str">
        <x:v>Yes</x:v>
      </x:c>
      <x:c r="Q828" s="7" t="str">
        <x:v>Requires identity and manufacturer-scope completion.</x:v>
      </x:c>
    </x:row>
    <x:row r="829">
      <x:c r="A829" s="6" t="str">
        <x:v>SEQ-DEV-0185</x:v>
      </x:c>
      <x:c r="B829" s="6" t="str">
        <x:v>Device Applicability</x:v>
      </x:c>
      <x:c r="C829" s="6" t="str">
        <x:v>DEVX-0185</x:v>
      </x:c>
      <x:c r="D829" s="6" t="str">
        <x:v>SVC000185</x:v>
      </x:c>
      <x:c r="E829" s="6" t="str"/>
      <x:c r="F829" s="6" t="str">
        <x:v>Device-applicability review</x:v>
      </x:c>
      <x:c r="G829" s="6" t="n">
        <x:v>4</x:v>
      </x:c>
      <x:c r="H829" s="6" t="str">
        <x:v>SIDX-0185;MFRX-0185</x:v>
      </x:c>
      <x:c r="I829" s="6" t="str">
        <x:f>IF(H829="","No upstream dependency",IF(ISNUMBER(SEARCH(";",H829)),"Multiple dependencies - verify source queues",IFERROR(XLOOKUP(H829,C2:C1586,J2:J1586),"Dependency not found")))</x:f>
        <x:v>Multiple dependencies - verify source queues</x:v>
      </x:c>
      <x:c r="J829" s="6" t="str">
        <x:v>Not Started</x:v>
      </x:c>
      <x:c r="K829" s="6" t="str">
        <x:v>Normal</x:v>
      </x:c>
      <x:c r="L829" s="6" t="str"/>
      <x:c r="M829" s="6" t="str"/>
      <x:c r="N829" s="6" t="str"/>
      <x:c r="O829" s="7" t="str"/>
      <x:c r="P829" s="6" t="str">
        <x:v>Yes</x:v>
      </x:c>
      <x:c r="Q829" s="7" t="str">
        <x:v>Requires identity and manufacturer-scope completion.</x:v>
      </x:c>
    </x:row>
    <x:row r="830">
      <x:c r="A830" s="6" t="str">
        <x:v>SEQ-DEV-0186</x:v>
      </x:c>
      <x:c r="B830" s="6" t="str">
        <x:v>Device Applicability</x:v>
      </x:c>
      <x:c r="C830" s="6" t="str">
        <x:v>DEVX-0186</x:v>
      </x:c>
      <x:c r="D830" s="6" t="str">
        <x:v>SVC000186</x:v>
      </x:c>
      <x:c r="E830" s="6" t="str"/>
      <x:c r="F830" s="6" t="str">
        <x:v>Device-applicability review</x:v>
      </x:c>
      <x:c r="G830" s="6" t="n">
        <x:v>4</x:v>
      </x:c>
      <x:c r="H830" s="6" t="str">
        <x:v>SIDX-0186;MFRX-0186</x:v>
      </x:c>
      <x:c r="I830" s="6" t="str">
        <x:f>IF(H830="","No upstream dependency",IF(ISNUMBER(SEARCH(";",H830)),"Multiple dependencies - verify source queues",IFERROR(XLOOKUP(H830,C2:C1586,J2:J1586),"Dependency not found")))</x:f>
        <x:v>Multiple dependencies - verify source queues</x:v>
      </x:c>
      <x:c r="J830" s="6" t="str">
        <x:v>Not Started</x:v>
      </x:c>
      <x:c r="K830" s="6" t="str">
        <x:v>Normal</x:v>
      </x:c>
      <x:c r="L830" s="6" t="str"/>
      <x:c r="M830" s="6" t="str"/>
      <x:c r="N830" s="6" t="str"/>
      <x:c r="O830" s="7" t="str"/>
      <x:c r="P830" s="6" t="str">
        <x:v>Yes</x:v>
      </x:c>
      <x:c r="Q830" s="7" t="str">
        <x:v>Requires identity and manufacturer-scope completion.</x:v>
      </x:c>
    </x:row>
    <x:row r="831">
      <x:c r="A831" s="6" t="str">
        <x:v>SEQ-DEV-0187</x:v>
      </x:c>
      <x:c r="B831" s="6" t="str">
        <x:v>Device Applicability</x:v>
      </x:c>
      <x:c r="C831" s="6" t="str">
        <x:v>DEVX-0187</x:v>
      </x:c>
      <x:c r="D831" s="6" t="str">
        <x:v>SVC000187</x:v>
      </x:c>
      <x:c r="E831" s="6" t="str"/>
      <x:c r="F831" s="6" t="str">
        <x:v>Device-applicability review</x:v>
      </x:c>
      <x:c r="G831" s="6" t="n">
        <x:v>4</x:v>
      </x:c>
      <x:c r="H831" s="6" t="str">
        <x:v>SIDX-0187;MFRX-0187</x:v>
      </x:c>
      <x:c r="I831" s="6" t="str">
        <x:f>IF(H831="","No upstream dependency",IF(ISNUMBER(SEARCH(";",H831)),"Multiple dependencies - verify source queues",IFERROR(XLOOKUP(H831,C2:C1586,J2:J1586),"Dependency not found")))</x:f>
        <x:v>Multiple dependencies - verify source queues</x:v>
      </x:c>
      <x:c r="J831" s="6" t="str">
        <x:v>Not Started</x:v>
      </x:c>
      <x:c r="K831" s="6" t="str">
        <x:v>Normal</x:v>
      </x:c>
      <x:c r="L831" s="6" t="str"/>
      <x:c r="M831" s="6" t="str"/>
      <x:c r="N831" s="6" t="str"/>
      <x:c r="O831" s="7" t="str"/>
      <x:c r="P831" s="6" t="str">
        <x:v>Yes</x:v>
      </x:c>
      <x:c r="Q831" s="7" t="str">
        <x:v>Requires identity and manufacturer-scope completion.</x:v>
      </x:c>
    </x:row>
    <x:row r="832">
      <x:c r="A832" s="6" t="str">
        <x:v>SEQ-DEV-0188</x:v>
      </x:c>
      <x:c r="B832" s="6" t="str">
        <x:v>Device Applicability</x:v>
      </x:c>
      <x:c r="C832" s="6" t="str">
        <x:v>DEVX-0188</x:v>
      </x:c>
      <x:c r="D832" s="6" t="str">
        <x:v>SVC000188</x:v>
      </x:c>
      <x:c r="E832" s="6" t="str"/>
      <x:c r="F832" s="6" t="str">
        <x:v>Device-applicability review</x:v>
      </x:c>
      <x:c r="G832" s="6" t="n">
        <x:v>4</x:v>
      </x:c>
      <x:c r="H832" s="6" t="str">
        <x:v>SIDX-0188;MFRX-0188</x:v>
      </x:c>
      <x:c r="I832" s="6" t="str">
        <x:f>IF(H832="","No upstream dependency",IF(ISNUMBER(SEARCH(";",H832)),"Multiple dependencies - verify source queues",IFERROR(XLOOKUP(H832,C2:C1586,J2:J1586),"Dependency not found")))</x:f>
        <x:v>Multiple dependencies - verify source queues</x:v>
      </x:c>
      <x:c r="J832" s="6" t="str">
        <x:v>Not Started</x:v>
      </x:c>
      <x:c r="K832" s="6" t="str">
        <x:v>Normal</x:v>
      </x:c>
      <x:c r="L832" s="6" t="str"/>
      <x:c r="M832" s="6" t="str"/>
      <x:c r="N832" s="6" t="str"/>
      <x:c r="O832" s="7" t="str"/>
      <x:c r="P832" s="6" t="str">
        <x:v>Yes</x:v>
      </x:c>
      <x:c r="Q832" s="7" t="str">
        <x:v>Requires identity and manufacturer-scope completion.</x:v>
      </x:c>
    </x:row>
    <x:row r="833">
      <x:c r="A833" s="6" t="str">
        <x:v>SEQ-DEV-0189</x:v>
      </x:c>
      <x:c r="B833" s="6" t="str">
        <x:v>Device Applicability</x:v>
      </x:c>
      <x:c r="C833" s="6" t="str">
        <x:v>DEVX-0189</x:v>
      </x:c>
      <x:c r="D833" s="6" t="str">
        <x:v>SVC000189</x:v>
      </x:c>
      <x:c r="E833" s="6" t="str"/>
      <x:c r="F833" s="6" t="str">
        <x:v>Device-applicability review</x:v>
      </x:c>
      <x:c r="G833" s="6" t="n">
        <x:v>4</x:v>
      </x:c>
      <x:c r="H833" s="6" t="str">
        <x:v>SIDX-0189;MFRX-0189</x:v>
      </x:c>
      <x:c r="I833" s="6" t="str">
        <x:f>IF(H833="","No upstream dependency",IF(ISNUMBER(SEARCH(";",H833)),"Multiple dependencies - verify source queues",IFERROR(XLOOKUP(H833,C2:C1586,J2:J1586),"Dependency not found")))</x:f>
        <x:v>Multiple dependencies - verify source queues</x:v>
      </x:c>
      <x:c r="J833" s="6" t="str">
        <x:v>Not Started</x:v>
      </x:c>
      <x:c r="K833" s="6" t="str">
        <x:v>Normal</x:v>
      </x:c>
      <x:c r="L833" s="6" t="str"/>
      <x:c r="M833" s="6" t="str"/>
      <x:c r="N833" s="6" t="str"/>
      <x:c r="O833" s="7" t="str"/>
      <x:c r="P833" s="6" t="str">
        <x:v>Yes</x:v>
      </x:c>
      <x:c r="Q833" s="7" t="str">
        <x:v>Requires identity and manufacturer-scope completion.</x:v>
      </x:c>
    </x:row>
    <x:row r="834">
      <x:c r="A834" s="6" t="str">
        <x:v>SEQ-DEV-0190</x:v>
      </x:c>
      <x:c r="B834" s="6" t="str">
        <x:v>Device Applicability</x:v>
      </x:c>
      <x:c r="C834" s="6" t="str">
        <x:v>DEVX-0190</x:v>
      </x:c>
      <x:c r="D834" s="6" t="str">
        <x:v>SVC000190</x:v>
      </x:c>
      <x:c r="E834" s="6" t="str"/>
      <x:c r="F834" s="6" t="str">
        <x:v>Device-applicability review</x:v>
      </x:c>
      <x:c r="G834" s="6" t="n">
        <x:v>4</x:v>
      </x:c>
      <x:c r="H834" s="6" t="str">
        <x:v>SIDX-0190;MFRX-0190</x:v>
      </x:c>
      <x:c r="I834" s="6" t="str">
        <x:f>IF(H834="","No upstream dependency",IF(ISNUMBER(SEARCH(";",H834)),"Multiple dependencies - verify source queues",IFERROR(XLOOKUP(H834,C2:C1586,J2:J1586),"Dependency not found")))</x:f>
        <x:v>Multiple dependencies - verify source queues</x:v>
      </x:c>
      <x:c r="J834" s="6" t="str">
        <x:v>Not Started</x:v>
      </x:c>
      <x:c r="K834" s="6" t="str">
        <x:v>Normal</x:v>
      </x:c>
      <x:c r="L834" s="6" t="str"/>
      <x:c r="M834" s="6" t="str"/>
      <x:c r="N834" s="6" t="str"/>
      <x:c r="O834" s="7" t="str"/>
      <x:c r="P834" s="6" t="str">
        <x:v>Yes</x:v>
      </x:c>
      <x:c r="Q834" s="7" t="str">
        <x:v>Requires identity and manufacturer-scope completion.</x:v>
      </x:c>
    </x:row>
    <x:row r="835">
      <x:c r="A835" s="6" t="str">
        <x:v>SEQ-DEV-0191</x:v>
      </x:c>
      <x:c r="B835" s="6" t="str">
        <x:v>Device Applicability</x:v>
      </x:c>
      <x:c r="C835" s="6" t="str">
        <x:v>DEVX-0191</x:v>
      </x:c>
      <x:c r="D835" s="6" t="str">
        <x:v>SVC000191</x:v>
      </x:c>
      <x:c r="E835" s="6" t="str"/>
      <x:c r="F835" s="6" t="str">
        <x:v>Device-applicability review</x:v>
      </x:c>
      <x:c r="G835" s="6" t="n">
        <x:v>4</x:v>
      </x:c>
      <x:c r="H835" s="6" t="str">
        <x:v>SIDX-0191;MFRX-0191</x:v>
      </x:c>
      <x:c r="I835" s="6" t="str">
        <x:f>IF(H835="","No upstream dependency",IF(ISNUMBER(SEARCH(";",H835)),"Multiple dependencies - verify source queues",IFERROR(XLOOKUP(H835,C2:C1586,J2:J1586),"Dependency not found")))</x:f>
        <x:v>Multiple dependencies - verify source queues</x:v>
      </x:c>
      <x:c r="J835" s="6" t="str">
        <x:v>Not Started</x:v>
      </x:c>
      <x:c r="K835" s="6" t="str">
        <x:v>Normal</x:v>
      </x:c>
      <x:c r="L835" s="6" t="str"/>
      <x:c r="M835" s="6" t="str"/>
      <x:c r="N835" s="6" t="str"/>
      <x:c r="O835" s="7" t="str"/>
      <x:c r="P835" s="6" t="str">
        <x:v>Yes</x:v>
      </x:c>
      <x:c r="Q835" s="7" t="str">
        <x:v>Requires identity and manufacturer-scope completion.</x:v>
      </x:c>
    </x:row>
    <x:row r="836">
      <x:c r="A836" s="6" t="str">
        <x:v>SEQ-DEV-0192</x:v>
      </x:c>
      <x:c r="B836" s="6" t="str">
        <x:v>Device Applicability</x:v>
      </x:c>
      <x:c r="C836" s="6" t="str">
        <x:v>DEVX-0192</x:v>
      </x:c>
      <x:c r="D836" s="6" t="str">
        <x:v>SVC000192</x:v>
      </x:c>
      <x:c r="E836" s="6" t="str"/>
      <x:c r="F836" s="6" t="str">
        <x:v>Device-applicability review</x:v>
      </x:c>
      <x:c r="G836" s="6" t="n">
        <x:v>4</x:v>
      </x:c>
      <x:c r="H836" s="6" t="str">
        <x:v>SIDX-0192;MFRX-0192</x:v>
      </x:c>
      <x:c r="I836" s="6" t="str">
        <x:f>IF(H836="","No upstream dependency",IF(ISNUMBER(SEARCH(";",H836)),"Multiple dependencies - verify source queues",IFERROR(XLOOKUP(H836,C2:C1586,J2:J1586),"Dependency not found")))</x:f>
        <x:v>Multiple dependencies - verify source queues</x:v>
      </x:c>
      <x:c r="J836" s="6" t="str">
        <x:v>Not Started</x:v>
      </x:c>
      <x:c r="K836" s="6" t="str">
        <x:v>Normal</x:v>
      </x:c>
      <x:c r="L836" s="6" t="str"/>
      <x:c r="M836" s="6" t="str"/>
      <x:c r="N836" s="6" t="str"/>
      <x:c r="O836" s="7" t="str"/>
      <x:c r="P836" s="6" t="str">
        <x:v>Yes</x:v>
      </x:c>
      <x:c r="Q836" s="7" t="str">
        <x:v>Requires identity and manufacturer-scope completion.</x:v>
      </x:c>
    </x:row>
    <x:row r="837">
      <x:c r="A837" s="6" t="str">
        <x:v>SEQ-DEV-0193</x:v>
      </x:c>
      <x:c r="B837" s="6" t="str">
        <x:v>Device Applicability</x:v>
      </x:c>
      <x:c r="C837" s="6" t="str">
        <x:v>DEVX-0193</x:v>
      </x:c>
      <x:c r="D837" s="6" t="str">
        <x:v>SVC000193</x:v>
      </x:c>
      <x:c r="E837" s="6" t="str"/>
      <x:c r="F837" s="6" t="str">
        <x:v>Device-applicability review</x:v>
      </x:c>
      <x:c r="G837" s="6" t="n">
        <x:v>4</x:v>
      </x:c>
      <x:c r="H837" s="6" t="str">
        <x:v>SIDX-0193;MFRX-0193</x:v>
      </x:c>
      <x:c r="I837" s="6" t="str">
        <x:f>IF(H837="","No upstream dependency",IF(ISNUMBER(SEARCH(";",H837)),"Multiple dependencies - verify source queues",IFERROR(XLOOKUP(H837,C2:C1586,J2:J1586),"Dependency not found")))</x:f>
        <x:v>Multiple dependencies - verify source queues</x:v>
      </x:c>
      <x:c r="J837" s="6" t="str">
        <x:v>Not Started</x:v>
      </x:c>
      <x:c r="K837" s="6" t="str">
        <x:v>Normal</x:v>
      </x:c>
      <x:c r="L837" s="6" t="str"/>
      <x:c r="M837" s="6" t="str"/>
      <x:c r="N837" s="6" t="str"/>
      <x:c r="O837" s="7" t="str"/>
      <x:c r="P837" s="6" t="str">
        <x:v>Yes</x:v>
      </x:c>
      <x:c r="Q837" s="7" t="str">
        <x:v>Requires identity and manufacturer-scope completion.</x:v>
      </x:c>
    </x:row>
    <x:row r="838">
      <x:c r="A838" s="6" t="str">
        <x:v>SEQ-DEV-0194</x:v>
      </x:c>
      <x:c r="B838" s="6" t="str">
        <x:v>Device Applicability</x:v>
      </x:c>
      <x:c r="C838" s="6" t="str">
        <x:v>DEVX-0194</x:v>
      </x:c>
      <x:c r="D838" s="6" t="str">
        <x:v>SVC000194</x:v>
      </x:c>
      <x:c r="E838" s="6" t="str"/>
      <x:c r="F838" s="6" t="str">
        <x:v>Device-applicability review</x:v>
      </x:c>
      <x:c r="G838" s="6" t="n">
        <x:v>4</x:v>
      </x:c>
      <x:c r="H838" s="6" t="str">
        <x:v>SIDX-0194;MFRX-0194</x:v>
      </x:c>
      <x:c r="I838" s="6" t="str">
        <x:f>IF(H838="","No upstream dependency",IF(ISNUMBER(SEARCH(";",H838)),"Multiple dependencies - verify source queues",IFERROR(XLOOKUP(H838,C2:C1586,J2:J1586),"Dependency not found")))</x:f>
        <x:v>Multiple dependencies - verify source queues</x:v>
      </x:c>
      <x:c r="J838" s="6" t="str">
        <x:v>Not Started</x:v>
      </x:c>
      <x:c r="K838" s="6" t="str">
        <x:v>Normal</x:v>
      </x:c>
      <x:c r="L838" s="6" t="str"/>
      <x:c r="M838" s="6" t="str"/>
      <x:c r="N838" s="6" t="str"/>
      <x:c r="O838" s="7" t="str"/>
      <x:c r="P838" s="6" t="str">
        <x:v>Yes</x:v>
      </x:c>
      <x:c r="Q838" s="7" t="str">
        <x:v>Requires identity and manufacturer-scope completion.</x:v>
      </x:c>
    </x:row>
    <x:row r="839">
      <x:c r="A839" s="6" t="str">
        <x:v>SEQ-DEV-0195</x:v>
      </x:c>
      <x:c r="B839" s="6" t="str">
        <x:v>Device Applicability</x:v>
      </x:c>
      <x:c r="C839" s="6" t="str">
        <x:v>DEVX-0195</x:v>
      </x:c>
      <x:c r="D839" s="6" t="str">
        <x:v>SVC000195</x:v>
      </x:c>
      <x:c r="E839" s="6" t="str"/>
      <x:c r="F839" s="6" t="str">
        <x:v>Device-applicability review</x:v>
      </x:c>
      <x:c r="G839" s="6" t="n">
        <x:v>4</x:v>
      </x:c>
      <x:c r="H839" s="6" t="str">
        <x:v>SIDX-0195;MFRX-0195</x:v>
      </x:c>
      <x:c r="I839" s="6" t="str">
        <x:f>IF(H839="","No upstream dependency",IF(ISNUMBER(SEARCH(";",H839)),"Multiple dependencies - verify source queues",IFERROR(XLOOKUP(H839,C2:C1586,J2:J1586),"Dependency not found")))</x:f>
        <x:v>Multiple dependencies - verify source queues</x:v>
      </x:c>
      <x:c r="J839" s="6" t="str">
        <x:v>Not Started</x:v>
      </x:c>
      <x:c r="K839" s="6" t="str">
        <x:v>Normal</x:v>
      </x:c>
      <x:c r="L839" s="6" t="str"/>
      <x:c r="M839" s="6" t="str"/>
      <x:c r="N839" s="6" t="str"/>
      <x:c r="O839" s="7" t="str"/>
      <x:c r="P839" s="6" t="str">
        <x:v>Yes</x:v>
      </x:c>
      <x:c r="Q839" s="7" t="str">
        <x:v>Requires identity and manufacturer-scope completion.</x:v>
      </x:c>
    </x:row>
    <x:row r="840">
      <x:c r="A840" s="6" t="str">
        <x:v>SEQ-DEV-0196</x:v>
      </x:c>
      <x:c r="B840" s="6" t="str">
        <x:v>Device Applicability</x:v>
      </x:c>
      <x:c r="C840" s="6" t="str">
        <x:v>DEVX-0196</x:v>
      </x:c>
      <x:c r="D840" s="6" t="str">
        <x:v>SVC000196</x:v>
      </x:c>
      <x:c r="E840" s="6" t="str"/>
      <x:c r="F840" s="6" t="str">
        <x:v>Device-applicability review</x:v>
      </x:c>
      <x:c r="G840" s="6" t="n">
        <x:v>4</x:v>
      </x:c>
      <x:c r="H840" s="6" t="str">
        <x:v>SIDX-0196;MFRX-0196</x:v>
      </x:c>
      <x:c r="I840" s="6" t="str">
        <x:f>IF(H840="","No upstream dependency",IF(ISNUMBER(SEARCH(";",H840)),"Multiple dependencies - verify source queues",IFERROR(XLOOKUP(H840,C2:C1586,J2:J1586),"Dependency not found")))</x:f>
        <x:v>Multiple dependencies - verify source queues</x:v>
      </x:c>
      <x:c r="J840" s="6" t="str">
        <x:v>Not Started</x:v>
      </x:c>
      <x:c r="K840" s="6" t="str">
        <x:v>Normal</x:v>
      </x:c>
      <x:c r="L840" s="6" t="str"/>
      <x:c r="M840" s="6" t="str"/>
      <x:c r="N840" s="6" t="str"/>
      <x:c r="O840" s="7" t="str"/>
      <x:c r="P840" s="6" t="str">
        <x:v>Yes</x:v>
      </x:c>
      <x:c r="Q840" s="7" t="str">
        <x:v>Requires identity and manufacturer-scope completion.</x:v>
      </x:c>
    </x:row>
    <x:row r="841">
      <x:c r="A841" s="6" t="str">
        <x:v>SEQ-DEV-0197</x:v>
      </x:c>
      <x:c r="B841" s="6" t="str">
        <x:v>Device Applicability</x:v>
      </x:c>
      <x:c r="C841" s="6" t="str">
        <x:v>DEVX-0197</x:v>
      </x:c>
      <x:c r="D841" s="6" t="str">
        <x:v>SVC000197</x:v>
      </x:c>
      <x:c r="E841" s="6" t="str"/>
      <x:c r="F841" s="6" t="str">
        <x:v>Device-applicability review</x:v>
      </x:c>
      <x:c r="G841" s="6" t="n">
        <x:v>4</x:v>
      </x:c>
      <x:c r="H841" s="6" t="str">
        <x:v>SIDX-0197;MFRX-0197</x:v>
      </x:c>
      <x:c r="I841" s="6" t="str">
        <x:f>IF(H841="","No upstream dependency",IF(ISNUMBER(SEARCH(";",H841)),"Multiple dependencies - verify source queues",IFERROR(XLOOKUP(H841,C2:C1586,J2:J1586),"Dependency not found")))</x:f>
        <x:v>Multiple dependencies - verify source queues</x:v>
      </x:c>
      <x:c r="J841" s="6" t="str">
        <x:v>Not Started</x:v>
      </x:c>
      <x:c r="K841" s="6" t="str">
        <x:v>Normal</x:v>
      </x:c>
      <x:c r="L841" s="6" t="str"/>
      <x:c r="M841" s="6" t="str"/>
      <x:c r="N841" s="6" t="str"/>
      <x:c r="O841" s="7" t="str"/>
      <x:c r="P841" s="6" t="str">
        <x:v>Yes</x:v>
      </x:c>
      <x:c r="Q841" s="7" t="str">
        <x:v>Requires identity and manufacturer-scope completion.</x:v>
      </x:c>
    </x:row>
    <x:row r="842">
      <x:c r="A842" s="6" t="str">
        <x:v>SEQ-DEV-0198</x:v>
      </x:c>
      <x:c r="B842" s="6" t="str">
        <x:v>Device Applicability</x:v>
      </x:c>
      <x:c r="C842" s="6" t="str">
        <x:v>DEVX-0198</x:v>
      </x:c>
      <x:c r="D842" s="6" t="str">
        <x:v>SVC000198</x:v>
      </x:c>
      <x:c r="E842" s="6" t="str"/>
      <x:c r="F842" s="6" t="str">
        <x:v>Device-applicability review</x:v>
      </x:c>
      <x:c r="G842" s="6" t="n">
        <x:v>4</x:v>
      </x:c>
      <x:c r="H842" s="6" t="str">
        <x:v>SIDX-0198;MFRX-0198</x:v>
      </x:c>
      <x:c r="I842" s="6" t="str">
        <x:f>IF(H842="","No upstream dependency",IF(ISNUMBER(SEARCH(";",H842)),"Multiple dependencies - verify source queues",IFERROR(XLOOKUP(H842,C2:C1586,J2:J1586),"Dependency not found")))</x:f>
        <x:v>Multiple dependencies - verify source queues</x:v>
      </x:c>
      <x:c r="J842" s="6" t="str">
        <x:v>Not Started</x:v>
      </x:c>
      <x:c r="K842" s="6" t="str">
        <x:v>Normal</x:v>
      </x:c>
      <x:c r="L842" s="6" t="str"/>
      <x:c r="M842" s="6" t="str"/>
      <x:c r="N842" s="6" t="str"/>
      <x:c r="O842" s="7" t="str"/>
      <x:c r="P842" s="6" t="str">
        <x:v>Yes</x:v>
      </x:c>
      <x:c r="Q842" s="7" t="str">
        <x:v>Requires identity and manufacturer-scope completion.</x:v>
      </x:c>
    </x:row>
    <x:row r="843">
      <x:c r="A843" s="6" t="str">
        <x:v>SEQ-DEV-0199</x:v>
      </x:c>
      <x:c r="B843" s="6" t="str">
        <x:v>Device Applicability</x:v>
      </x:c>
      <x:c r="C843" s="6" t="str">
        <x:v>DEVX-0199</x:v>
      </x:c>
      <x:c r="D843" s="6" t="str">
        <x:v>SVC000199</x:v>
      </x:c>
      <x:c r="E843" s="6" t="str"/>
      <x:c r="F843" s="6" t="str">
        <x:v>Device-applicability review</x:v>
      </x:c>
      <x:c r="G843" s="6" t="n">
        <x:v>4</x:v>
      </x:c>
      <x:c r="H843" s="6" t="str">
        <x:v>SIDX-0199;MFRX-0199</x:v>
      </x:c>
      <x:c r="I843" s="6" t="str">
        <x:f>IF(H843="","No upstream dependency",IF(ISNUMBER(SEARCH(";",H843)),"Multiple dependencies - verify source queues",IFERROR(XLOOKUP(H843,C2:C1586,J2:J1586),"Dependency not found")))</x:f>
        <x:v>Multiple dependencies - verify source queues</x:v>
      </x:c>
      <x:c r="J843" s="6" t="str">
        <x:v>Not Started</x:v>
      </x:c>
      <x:c r="K843" s="6" t="str">
        <x:v>Normal</x:v>
      </x:c>
      <x:c r="L843" s="6" t="str"/>
      <x:c r="M843" s="6" t="str"/>
      <x:c r="N843" s="6" t="str"/>
      <x:c r="O843" s="7" t="str"/>
      <x:c r="P843" s="6" t="str">
        <x:v>Yes</x:v>
      </x:c>
      <x:c r="Q843" s="7" t="str">
        <x:v>Requires identity and manufacturer-scope completion.</x:v>
      </x:c>
    </x:row>
    <x:row r="844">
      <x:c r="A844" s="6" t="str">
        <x:v>SEQ-DEV-0200</x:v>
      </x:c>
      <x:c r="B844" s="6" t="str">
        <x:v>Device Applicability</x:v>
      </x:c>
      <x:c r="C844" s="6" t="str">
        <x:v>DEVX-0200</x:v>
      </x:c>
      <x:c r="D844" s="6" t="str">
        <x:v>SVC000200</x:v>
      </x:c>
      <x:c r="E844" s="6" t="str"/>
      <x:c r="F844" s="6" t="str">
        <x:v>Device-applicability review</x:v>
      </x:c>
      <x:c r="G844" s="6" t="n">
        <x:v>4</x:v>
      </x:c>
      <x:c r="H844" s="6" t="str">
        <x:v>SIDX-0200;MFRX-0200</x:v>
      </x:c>
      <x:c r="I844" s="6" t="str">
        <x:f>IF(H844="","No upstream dependency",IF(ISNUMBER(SEARCH(";",H844)),"Multiple dependencies - verify source queues",IFERROR(XLOOKUP(H844,C2:C1586,J2:J1586),"Dependency not found")))</x:f>
        <x:v>Multiple dependencies - verify source queues</x:v>
      </x:c>
      <x:c r="J844" s="6" t="str">
        <x:v>Not Started</x:v>
      </x:c>
      <x:c r="K844" s="6" t="str">
        <x:v>Normal</x:v>
      </x:c>
      <x:c r="L844" s="6" t="str"/>
      <x:c r="M844" s="6" t="str"/>
      <x:c r="N844" s="6" t="str"/>
      <x:c r="O844" s="7" t="str"/>
      <x:c r="P844" s="6" t="str">
        <x:v>Yes</x:v>
      </x:c>
      <x:c r="Q844" s="7" t="str">
        <x:v>Requires identity and manufacturer-scope completion.</x:v>
      </x:c>
    </x:row>
    <x:row r="845">
      <x:c r="A845" s="6" t="str">
        <x:v>SEQ-DEV-0201</x:v>
      </x:c>
      <x:c r="B845" s="6" t="str">
        <x:v>Device Applicability</x:v>
      </x:c>
      <x:c r="C845" s="6" t="str">
        <x:v>DEVX-0201</x:v>
      </x:c>
      <x:c r="D845" s="6" t="str">
        <x:v>SVC000201</x:v>
      </x:c>
      <x:c r="E845" s="6" t="str"/>
      <x:c r="F845" s="6" t="str">
        <x:v>Device-applicability review</x:v>
      </x:c>
      <x:c r="G845" s="6" t="n">
        <x:v>4</x:v>
      </x:c>
      <x:c r="H845" s="6" t="str">
        <x:v>SIDX-0201;MFRX-0201</x:v>
      </x:c>
      <x:c r="I845" s="6" t="str">
        <x:f>IF(H845="","No upstream dependency",IF(ISNUMBER(SEARCH(";",H845)),"Multiple dependencies - verify source queues",IFERROR(XLOOKUP(H845,C2:C1586,J2:J1586),"Dependency not found")))</x:f>
        <x:v>Multiple dependencies - verify source queues</x:v>
      </x:c>
      <x:c r="J845" s="6" t="str">
        <x:v>Not Started</x:v>
      </x:c>
      <x:c r="K845" s="6" t="str">
        <x:v>Normal</x:v>
      </x:c>
      <x:c r="L845" s="6" t="str"/>
      <x:c r="M845" s="6" t="str"/>
      <x:c r="N845" s="6" t="str"/>
      <x:c r="O845" s="7" t="str"/>
      <x:c r="P845" s="6" t="str">
        <x:v>Yes</x:v>
      </x:c>
      <x:c r="Q845" s="7" t="str">
        <x:v>Requires identity and manufacturer-scope completion.</x:v>
      </x:c>
    </x:row>
    <x:row r="846">
      <x:c r="A846" s="6" t="str">
        <x:v>SEQ-DEV-0202</x:v>
      </x:c>
      <x:c r="B846" s="6" t="str">
        <x:v>Device Applicability</x:v>
      </x:c>
      <x:c r="C846" s="6" t="str">
        <x:v>DEVX-0202</x:v>
      </x:c>
      <x:c r="D846" s="6" t="str">
        <x:v>SVC000202</x:v>
      </x:c>
      <x:c r="E846" s="6" t="str"/>
      <x:c r="F846" s="6" t="str">
        <x:v>Device-applicability review</x:v>
      </x:c>
      <x:c r="G846" s="6" t="n">
        <x:v>4</x:v>
      </x:c>
      <x:c r="H846" s="6" t="str">
        <x:v>SIDX-0202;MFRX-0202</x:v>
      </x:c>
      <x:c r="I846" s="6" t="str">
        <x:f>IF(H846="","No upstream dependency",IF(ISNUMBER(SEARCH(";",H846)),"Multiple dependencies - verify source queues",IFERROR(XLOOKUP(H846,C2:C1586,J2:J1586),"Dependency not found")))</x:f>
        <x:v>Multiple dependencies - verify source queues</x:v>
      </x:c>
      <x:c r="J846" s="6" t="str">
        <x:v>Not Started</x:v>
      </x:c>
      <x:c r="K846" s="6" t="str">
        <x:v>Normal</x:v>
      </x:c>
      <x:c r="L846" s="6" t="str"/>
      <x:c r="M846" s="6" t="str"/>
      <x:c r="N846" s="6" t="str"/>
      <x:c r="O846" s="7" t="str"/>
      <x:c r="P846" s="6" t="str">
        <x:v>Yes</x:v>
      </x:c>
      <x:c r="Q846" s="7" t="str">
        <x:v>Requires identity and manufacturer-scope completion.</x:v>
      </x:c>
    </x:row>
    <x:row r="847">
      <x:c r="A847" s="6" t="str">
        <x:v>SEQ-DEV-0203</x:v>
      </x:c>
      <x:c r="B847" s="6" t="str">
        <x:v>Device Applicability</x:v>
      </x:c>
      <x:c r="C847" s="6" t="str">
        <x:v>DEVX-0203</x:v>
      </x:c>
      <x:c r="D847" s="6" t="str">
        <x:v>SVC000203</x:v>
      </x:c>
      <x:c r="E847" s="6" t="str"/>
      <x:c r="F847" s="6" t="str">
        <x:v>Device-applicability review</x:v>
      </x:c>
      <x:c r="G847" s="6" t="n">
        <x:v>4</x:v>
      </x:c>
      <x:c r="H847" s="6" t="str">
        <x:v>SIDX-0203;MFRX-0203</x:v>
      </x:c>
      <x:c r="I847" s="6" t="str">
        <x:f>IF(H847="","No upstream dependency",IF(ISNUMBER(SEARCH(";",H847)),"Multiple dependencies - verify source queues",IFERROR(XLOOKUP(H847,C2:C1586,J2:J1586),"Dependency not found")))</x:f>
        <x:v>Multiple dependencies - verify source queues</x:v>
      </x:c>
      <x:c r="J847" s="6" t="str">
        <x:v>Not Started</x:v>
      </x:c>
      <x:c r="K847" s="6" t="str">
        <x:v>Normal</x:v>
      </x:c>
      <x:c r="L847" s="6" t="str"/>
      <x:c r="M847" s="6" t="str"/>
      <x:c r="N847" s="6" t="str"/>
      <x:c r="O847" s="7" t="str"/>
      <x:c r="P847" s="6" t="str">
        <x:v>Yes</x:v>
      </x:c>
      <x:c r="Q847" s="7" t="str">
        <x:v>Requires identity and manufacturer-scope completion.</x:v>
      </x:c>
    </x:row>
    <x:row r="848">
      <x:c r="A848" s="6" t="str">
        <x:v>SEQ-DEV-0204</x:v>
      </x:c>
      <x:c r="B848" s="6" t="str">
        <x:v>Device Applicability</x:v>
      </x:c>
      <x:c r="C848" s="6" t="str">
        <x:v>DEVX-0204</x:v>
      </x:c>
      <x:c r="D848" s="6" t="str">
        <x:v>SVC000204</x:v>
      </x:c>
      <x:c r="E848" s="6" t="str"/>
      <x:c r="F848" s="6" t="str">
        <x:v>Device-applicability review</x:v>
      </x:c>
      <x:c r="G848" s="6" t="n">
        <x:v>4</x:v>
      </x:c>
      <x:c r="H848" s="6" t="str">
        <x:v>SIDX-0204;MFRX-0204</x:v>
      </x:c>
      <x:c r="I848" s="6" t="str">
        <x:f>IF(H848="","No upstream dependency",IF(ISNUMBER(SEARCH(";",H848)),"Multiple dependencies - verify source queues",IFERROR(XLOOKUP(H848,C2:C1586,J2:J1586),"Dependency not found")))</x:f>
        <x:v>Multiple dependencies - verify source queues</x:v>
      </x:c>
      <x:c r="J848" s="6" t="str">
        <x:v>Not Started</x:v>
      </x:c>
      <x:c r="K848" s="6" t="str">
        <x:v>Normal</x:v>
      </x:c>
      <x:c r="L848" s="6" t="str"/>
      <x:c r="M848" s="6" t="str"/>
      <x:c r="N848" s="6" t="str"/>
      <x:c r="O848" s="7" t="str"/>
      <x:c r="P848" s="6" t="str">
        <x:v>Yes</x:v>
      </x:c>
      <x:c r="Q848" s="7" t="str">
        <x:v>Requires identity and manufacturer-scope completion.</x:v>
      </x:c>
    </x:row>
    <x:row r="849">
      <x:c r="A849" s="6" t="str">
        <x:v>SEQ-DEV-0205</x:v>
      </x:c>
      <x:c r="B849" s="6" t="str">
        <x:v>Device Applicability</x:v>
      </x:c>
      <x:c r="C849" s="6" t="str">
        <x:v>DEVX-0205</x:v>
      </x:c>
      <x:c r="D849" s="6" t="str">
        <x:v>SVC000205</x:v>
      </x:c>
      <x:c r="E849" s="6" t="str"/>
      <x:c r="F849" s="6" t="str">
        <x:v>Device-applicability review</x:v>
      </x:c>
      <x:c r="G849" s="6" t="n">
        <x:v>4</x:v>
      </x:c>
      <x:c r="H849" s="6" t="str">
        <x:v>SIDX-0205;MFRX-0205</x:v>
      </x:c>
      <x:c r="I849" s="6" t="str">
        <x:f>IF(H849="","No upstream dependency",IF(ISNUMBER(SEARCH(";",H849)),"Multiple dependencies - verify source queues",IFERROR(XLOOKUP(H849,C2:C1586,J2:J1586),"Dependency not found")))</x:f>
        <x:v>Multiple dependencies - verify source queues</x:v>
      </x:c>
      <x:c r="J849" s="6" t="str">
        <x:v>Not Started</x:v>
      </x:c>
      <x:c r="K849" s="6" t="str">
        <x:v>Normal</x:v>
      </x:c>
      <x:c r="L849" s="6" t="str"/>
      <x:c r="M849" s="6" t="str"/>
      <x:c r="N849" s="6" t="str"/>
      <x:c r="O849" s="7" t="str"/>
      <x:c r="P849" s="6" t="str">
        <x:v>Yes</x:v>
      </x:c>
      <x:c r="Q849" s="7" t="str">
        <x:v>Requires identity and manufacturer-scope completion.</x:v>
      </x:c>
    </x:row>
    <x:row r="850">
      <x:c r="A850" s="6" t="str">
        <x:v>SEQ-DEV-0206</x:v>
      </x:c>
      <x:c r="B850" s="6" t="str">
        <x:v>Device Applicability</x:v>
      </x:c>
      <x:c r="C850" s="6" t="str">
        <x:v>DEVX-0206</x:v>
      </x:c>
      <x:c r="D850" s="6" t="str">
        <x:v>SVC000206</x:v>
      </x:c>
      <x:c r="E850" s="6" t="str"/>
      <x:c r="F850" s="6" t="str">
        <x:v>Device-applicability review</x:v>
      </x:c>
      <x:c r="G850" s="6" t="n">
        <x:v>4</x:v>
      </x:c>
      <x:c r="H850" s="6" t="str">
        <x:v>SIDX-0206;MFRX-0206</x:v>
      </x:c>
      <x:c r="I850" s="6" t="str">
        <x:f>IF(H850="","No upstream dependency",IF(ISNUMBER(SEARCH(";",H850)),"Multiple dependencies - verify source queues",IFERROR(XLOOKUP(H850,C2:C1586,J2:J1586),"Dependency not found")))</x:f>
        <x:v>Multiple dependencies - verify source queues</x:v>
      </x:c>
      <x:c r="J850" s="6" t="str">
        <x:v>Not Started</x:v>
      </x:c>
      <x:c r="K850" s="6" t="str">
        <x:v>Normal</x:v>
      </x:c>
      <x:c r="L850" s="6" t="str"/>
      <x:c r="M850" s="6" t="str"/>
      <x:c r="N850" s="6" t="str"/>
      <x:c r="O850" s="7" t="str"/>
      <x:c r="P850" s="6" t="str">
        <x:v>Yes</x:v>
      </x:c>
      <x:c r="Q850" s="7" t="str">
        <x:v>Requires identity and manufacturer-scope completion.</x:v>
      </x:c>
    </x:row>
    <x:row r="851">
      <x:c r="A851" s="6" t="str">
        <x:v>SEQ-DEV-0207</x:v>
      </x:c>
      <x:c r="B851" s="6" t="str">
        <x:v>Device Applicability</x:v>
      </x:c>
      <x:c r="C851" s="6" t="str">
        <x:v>DEVX-0207</x:v>
      </x:c>
      <x:c r="D851" s="6" t="str">
        <x:v>SVC000207</x:v>
      </x:c>
      <x:c r="E851" s="6" t="str"/>
      <x:c r="F851" s="6" t="str">
        <x:v>Device-applicability review</x:v>
      </x:c>
      <x:c r="G851" s="6" t="n">
        <x:v>4</x:v>
      </x:c>
      <x:c r="H851" s="6" t="str">
        <x:v>SIDX-0207;MFRX-0207</x:v>
      </x:c>
      <x:c r="I851" s="6" t="str">
        <x:f>IF(H851="","No upstream dependency",IF(ISNUMBER(SEARCH(";",H851)),"Multiple dependencies - verify source queues",IFERROR(XLOOKUP(H851,C2:C1586,J2:J1586),"Dependency not found")))</x:f>
        <x:v>Multiple dependencies - verify source queues</x:v>
      </x:c>
      <x:c r="J851" s="6" t="str">
        <x:v>Not Started</x:v>
      </x:c>
      <x:c r="K851" s="6" t="str">
        <x:v>Normal</x:v>
      </x:c>
      <x:c r="L851" s="6" t="str"/>
      <x:c r="M851" s="6" t="str"/>
      <x:c r="N851" s="6" t="str"/>
      <x:c r="O851" s="7" t="str"/>
      <x:c r="P851" s="6" t="str">
        <x:v>Yes</x:v>
      </x:c>
      <x:c r="Q851" s="7" t="str">
        <x:v>Requires identity and manufacturer-scope completion.</x:v>
      </x:c>
    </x:row>
    <x:row r="852">
      <x:c r="A852" s="6" t="str">
        <x:v>SEQ-DEV-0208</x:v>
      </x:c>
      <x:c r="B852" s="6" t="str">
        <x:v>Device Applicability</x:v>
      </x:c>
      <x:c r="C852" s="6" t="str">
        <x:v>DEVX-0208</x:v>
      </x:c>
      <x:c r="D852" s="6" t="str">
        <x:v>SVC000208</x:v>
      </x:c>
      <x:c r="E852" s="6" t="str"/>
      <x:c r="F852" s="6" t="str">
        <x:v>Device-applicability review</x:v>
      </x:c>
      <x:c r="G852" s="6" t="n">
        <x:v>4</x:v>
      </x:c>
      <x:c r="H852" s="6" t="str">
        <x:v>SIDX-0208;MFRX-0208</x:v>
      </x:c>
      <x:c r="I852" s="6" t="str">
        <x:f>IF(H852="","No upstream dependency",IF(ISNUMBER(SEARCH(";",H852)),"Multiple dependencies - verify source queues",IFERROR(XLOOKUP(H852,C2:C1586,J2:J1586),"Dependency not found")))</x:f>
        <x:v>Multiple dependencies - verify source queues</x:v>
      </x:c>
      <x:c r="J852" s="6" t="str">
        <x:v>Not Started</x:v>
      </x:c>
      <x:c r="K852" s="6" t="str">
        <x:v>Normal</x:v>
      </x:c>
      <x:c r="L852" s="6" t="str"/>
      <x:c r="M852" s="6" t="str"/>
      <x:c r="N852" s="6" t="str"/>
      <x:c r="O852" s="7" t="str"/>
      <x:c r="P852" s="6" t="str">
        <x:v>Yes</x:v>
      </x:c>
      <x:c r="Q852" s="7" t="str">
        <x:v>Requires identity and manufacturer-scope completion.</x:v>
      </x:c>
    </x:row>
    <x:row r="853">
      <x:c r="A853" s="6" t="str">
        <x:v>SEQ-DEV-0209</x:v>
      </x:c>
      <x:c r="B853" s="6" t="str">
        <x:v>Device Applicability</x:v>
      </x:c>
      <x:c r="C853" s="6" t="str">
        <x:v>DEVX-0209</x:v>
      </x:c>
      <x:c r="D853" s="6" t="str">
        <x:v>SVC000209</x:v>
      </x:c>
      <x:c r="E853" s="6" t="str"/>
      <x:c r="F853" s="6" t="str">
        <x:v>Device-applicability review</x:v>
      </x:c>
      <x:c r="G853" s="6" t="n">
        <x:v>4</x:v>
      </x:c>
      <x:c r="H853" s="6" t="str">
        <x:v>SIDX-0209;MFRX-0209</x:v>
      </x:c>
      <x:c r="I853" s="6" t="str">
        <x:f>IF(H853="","No upstream dependency",IF(ISNUMBER(SEARCH(";",H853)),"Multiple dependencies - verify source queues",IFERROR(XLOOKUP(H853,C2:C1586,J2:J1586),"Dependency not found")))</x:f>
        <x:v>Multiple dependencies - verify source queues</x:v>
      </x:c>
      <x:c r="J853" s="6" t="str">
        <x:v>Not Started</x:v>
      </x:c>
      <x:c r="K853" s="6" t="str">
        <x:v>Normal</x:v>
      </x:c>
      <x:c r="L853" s="6" t="str"/>
      <x:c r="M853" s="6" t="str"/>
      <x:c r="N853" s="6" t="str"/>
      <x:c r="O853" s="7" t="str"/>
      <x:c r="P853" s="6" t="str">
        <x:v>Yes</x:v>
      </x:c>
      <x:c r="Q853" s="7" t="str">
        <x:v>Requires identity and manufacturer-scope completion.</x:v>
      </x:c>
    </x:row>
    <x:row r="854">
      <x:c r="A854" s="6" t="str">
        <x:v>SEQ-DEV-0210</x:v>
      </x:c>
      <x:c r="B854" s="6" t="str">
        <x:v>Device Applicability</x:v>
      </x:c>
      <x:c r="C854" s="6" t="str">
        <x:v>DEVX-0210</x:v>
      </x:c>
      <x:c r="D854" s="6" t="str">
        <x:v>SVC000210</x:v>
      </x:c>
      <x:c r="E854" s="6" t="str"/>
      <x:c r="F854" s="6" t="str">
        <x:v>Device-applicability review</x:v>
      </x:c>
      <x:c r="G854" s="6" t="n">
        <x:v>4</x:v>
      </x:c>
      <x:c r="H854" s="6" t="str">
        <x:v>SIDX-0210;MFRX-0210</x:v>
      </x:c>
      <x:c r="I854" s="6" t="str">
        <x:f>IF(H854="","No upstream dependency",IF(ISNUMBER(SEARCH(";",H854)),"Multiple dependencies - verify source queues",IFERROR(XLOOKUP(H854,C2:C1586,J2:J1586),"Dependency not found")))</x:f>
        <x:v>Multiple dependencies - verify source queues</x:v>
      </x:c>
      <x:c r="J854" s="6" t="str">
        <x:v>Not Started</x:v>
      </x:c>
      <x:c r="K854" s="6" t="str">
        <x:v>Normal</x:v>
      </x:c>
      <x:c r="L854" s="6" t="str"/>
      <x:c r="M854" s="6" t="str"/>
      <x:c r="N854" s="6" t="str"/>
      <x:c r="O854" s="7" t="str"/>
      <x:c r="P854" s="6" t="str">
        <x:v>Yes</x:v>
      </x:c>
      <x:c r="Q854" s="7" t="str">
        <x:v>Requires identity and manufacturer-scope completion.</x:v>
      </x:c>
    </x:row>
    <x:row r="855">
      <x:c r="A855" s="6" t="str">
        <x:v>SEQ-DEV-0211</x:v>
      </x:c>
      <x:c r="B855" s="6" t="str">
        <x:v>Device Applicability</x:v>
      </x:c>
      <x:c r="C855" s="6" t="str">
        <x:v>DEVX-0211</x:v>
      </x:c>
      <x:c r="D855" s="6" t="str">
        <x:v>SVC000211</x:v>
      </x:c>
      <x:c r="E855" s="6" t="str"/>
      <x:c r="F855" s="6" t="str">
        <x:v>Device-applicability review</x:v>
      </x:c>
      <x:c r="G855" s="6" t="n">
        <x:v>4</x:v>
      </x:c>
      <x:c r="H855" s="6" t="str">
        <x:v>SIDX-0211;MFRX-0211</x:v>
      </x:c>
      <x:c r="I855" s="6" t="str">
        <x:f>IF(H855="","No upstream dependency",IF(ISNUMBER(SEARCH(";",H855)),"Multiple dependencies - verify source queues",IFERROR(XLOOKUP(H855,C2:C1586,J2:J1586),"Dependency not found")))</x:f>
        <x:v>Multiple dependencies - verify source queues</x:v>
      </x:c>
      <x:c r="J855" s="6" t="str">
        <x:v>Not Started</x:v>
      </x:c>
      <x:c r="K855" s="6" t="str">
        <x:v>Normal</x:v>
      </x:c>
      <x:c r="L855" s="6" t="str"/>
      <x:c r="M855" s="6" t="str"/>
      <x:c r="N855" s="6" t="str"/>
      <x:c r="O855" s="7" t="str"/>
      <x:c r="P855" s="6" t="str">
        <x:v>Yes</x:v>
      </x:c>
      <x:c r="Q855" s="7" t="str">
        <x:v>Requires identity and manufacturer-scope completion.</x:v>
      </x:c>
    </x:row>
    <x:row r="856">
      <x:c r="A856" s="6" t="str">
        <x:v>SEQ-DEV-0212</x:v>
      </x:c>
      <x:c r="B856" s="6" t="str">
        <x:v>Device Applicability</x:v>
      </x:c>
      <x:c r="C856" s="6" t="str">
        <x:v>DEVX-0212</x:v>
      </x:c>
      <x:c r="D856" s="6" t="str">
        <x:v>SVC000212</x:v>
      </x:c>
      <x:c r="E856" s="6" t="str"/>
      <x:c r="F856" s="6" t="str">
        <x:v>Device-applicability review</x:v>
      </x:c>
      <x:c r="G856" s="6" t="n">
        <x:v>4</x:v>
      </x:c>
      <x:c r="H856" s="6" t="str">
        <x:v>SIDX-0212;MFRX-0212</x:v>
      </x:c>
      <x:c r="I856" s="6" t="str">
        <x:f>IF(H856="","No upstream dependency",IF(ISNUMBER(SEARCH(";",H856)),"Multiple dependencies - verify source queues",IFERROR(XLOOKUP(H856,C2:C1586,J2:J1586),"Dependency not found")))</x:f>
        <x:v>Multiple dependencies - verify source queues</x:v>
      </x:c>
      <x:c r="J856" s="6" t="str">
        <x:v>Not Started</x:v>
      </x:c>
      <x:c r="K856" s="6" t="str">
        <x:v>Normal</x:v>
      </x:c>
      <x:c r="L856" s="6" t="str"/>
      <x:c r="M856" s="6" t="str"/>
      <x:c r="N856" s="6" t="str"/>
      <x:c r="O856" s="7" t="str"/>
      <x:c r="P856" s="6" t="str">
        <x:v>Yes</x:v>
      </x:c>
      <x:c r="Q856" s="7" t="str">
        <x:v>Requires identity and manufacturer-scope completion.</x:v>
      </x:c>
    </x:row>
    <x:row r="857">
      <x:c r="A857" s="6" t="str">
        <x:v>SEQ-DEV-0213</x:v>
      </x:c>
      <x:c r="B857" s="6" t="str">
        <x:v>Device Applicability</x:v>
      </x:c>
      <x:c r="C857" s="6" t="str">
        <x:v>DEVX-0213</x:v>
      </x:c>
      <x:c r="D857" s="6" t="str">
        <x:v>SVC000213</x:v>
      </x:c>
      <x:c r="E857" s="6" t="str"/>
      <x:c r="F857" s="6" t="str">
        <x:v>Device-applicability review</x:v>
      </x:c>
      <x:c r="G857" s="6" t="n">
        <x:v>4</x:v>
      </x:c>
      <x:c r="H857" s="6" t="str">
        <x:v>SIDX-0213;MFRX-0213</x:v>
      </x:c>
      <x:c r="I857" s="6" t="str">
        <x:f>IF(H857="","No upstream dependency",IF(ISNUMBER(SEARCH(";",H857)),"Multiple dependencies - verify source queues",IFERROR(XLOOKUP(H857,C2:C1586,J2:J1586),"Dependency not found")))</x:f>
        <x:v>Multiple dependencies - verify source queues</x:v>
      </x:c>
      <x:c r="J857" s="6" t="str">
        <x:v>Not Started</x:v>
      </x:c>
      <x:c r="K857" s="6" t="str">
        <x:v>Normal</x:v>
      </x:c>
      <x:c r="L857" s="6" t="str"/>
      <x:c r="M857" s="6" t="str"/>
      <x:c r="N857" s="6" t="str"/>
      <x:c r="O857" s="7" t="str"/>
      <x:c r="P857" s="6" t="str">
        <x:v>Yes</x:v>
      </x:c>
      <x:c r="Q857" s="7" t="str">
        <x:v>Requires identity and manufacturer-scope completion.</x:v>
      </x:c>
    </x:row>
    <x:row r="858">
      <x:c r="A858" s="6" t="str">
        <x:v>SEQ-DEV-0214</x:v>
      </x:c>
      <x:c r="B858" s="6" t="str">
        <x:v>Device Applicability</x:v>
      </x:c>
      <x:c r="C858" s="6" t="str">
        <x:v>DEVX-0214</x:v>
      </x:c>
      <x:c r="D858" s="6" t="str">
        <x:v>SVC000214</x:v>
      </x:c>
      <x:c r="E858" s="6" t="str"/>
      <x:c r="F858" s="6" t="str">
        <x:v>Device-applicability review</x:v>
      </x:c>
      <x:c r="G858" s="6" t="n">
        <x:v>4</x:v>
      </x:c>
      <x:c r="H858" s="6" t="str">
        <x:v>SIDX-0214;MFRX-0214</x:v>
      </x:c>
      <x:c r="I858" s="6" t="str">
        <x:f>IF(H858="","No upstream dependency",IF(ISNUMBER(SEARCH(";",H858)),"Multiple dependencies - verify source queues",IFERROR(XLOOKUP(H858,C2:C1586,J2:J1586),"Dependency not found")))</x:f>
        <x:v>Multiple dependencies - verify source queues</x:v>
      </x:c>
      <x:c r="J858" s="6" t="str">
        <x:v>Not Started</x:v>
      </x:c>
      <x:c r="K858" s="6" t="str">
        <x:v>Normal</x:v>
      </x:c>
      <x:c r="L858" s="6" t="str"/>
      <x:c r="M858" s="6" t="str"/>
      <x:c r="N858" s="6" t="str"/>
      <x:c r="O858" s="7" t="str"/>
      <x:c r="P858" s="6" t="str">
        <x:v>Yes</x:v>
      </x:c>
      <x:c r="Q858" s="7" t="str">
        <x:v>Requires identity and manufacturer-scope completion.</x:v>
      </x:c>
    </x:row>
    <x:row r="859">
      <x:c r="A859" s="6" t="str">
        <x:v>SEQ-DEV-0215</x:v>
      </x:c>
      <x:c r="B859" s="6" t="str">
        <x:v>Device Applicability</x:v>
      </x:c>
      <x:c r="C859" s="6" t="str">
        <x:v>DEVX-0215</x:v>
      </x:c>
      <x:c r="D859" s="6" t="str">
        <x:v>SVC000215</x:v>
      </x:c>
      <x:c r="E859" s="6" t="str"/>
      <x:c r="F859" s="6" t="str">
        <x:v>Device-applicability review</x:v>
      </x:c>
      <x:c r="G859" s="6" t="n">
        <x:v>4</x:v>
      </x:c>
      <x:c r="H859" s="6" t="str">
        <x:v>SIDX-0215;MFRX-0215</x:v>
      </x:c>
      <x:c r="I859" s="6" t="str">
        <x:f>IF(H859="","No upstream dependency",IF(ISNUMBER(SEARCH(";",H859)),"Multiple dependencies - verify source queues",IFERROR(XLOOKUP(H859,C2:C1586,J2:J1586),"Dependency not found")))</x:f>
        <x:v>Multiple dependencies - verify source queues</x:v>
      </x:c>
      <x:c r="J859" s="6" t="str">
        <x:v>Not Started</x:v>
      </x:c>
      <x:c r="K859" s="6" t="str">
        <x:v>Normal</x:v>
      </x:c>
      <x:c r="L859" s="6" t="str"/>
      <x:c r="M859" s="6" t="str"/>
      <x:c r="N859" s="6" t="str"/>
      <x:c r="O859" s="7" t="str"/>
      <x:c r="P859" s="6" t="str">
        <x:v>Yes</x:v>
      </x:c>
      <x:c r="Q859" s="7" t="str">
        <x:v>Requires identity and manufacturer-scope completion.</x:v>
      </x:c>
    </x:row>
    <x:row r="860">
      <x:c r="A860" s="6" t="str">
        <x:v>SEQ-DEV-0216</x:v>
      </x:c>
      <x:c r="B860" s="6" t="str">
        <x:v>Device Applicability</x:v>
      </x:c>
      <x:c r="C860" s="6" t="str">
        <x:v>DEVX-0216</x:v>
      </x:c>
      <x:c r="D860" s="6" t="str">
        <x:v>SVC000216</x:v>
      </x:c>
      <x:c r="E860" s="6" t="str"/>
      <x:c r="F860" s="6" t="str">
        <x:v>Device-applicability review</x:v>
      </x:c>
      <x:c r="G860" s="6" t="n">
        <x:v>4</x:v>
      </x:c>
      <x:c r="H860" s="6" t="str">
        <x:v>SIDX-0216;MFRX-0216</x:v>
      </x:c>
      <x:c r="I860" s="6" t="str">
        <x:f>IF(H860="","No upstream dependency",IF(ISNUMBER(SEARCH(";",H860)),"Multiple dependencies - verify source queues",IFERROR(XLOOKUP(H860,C2:C1586,J2:J1586),"Dependency not found")))</x:f>
        <x:v>Multiple dependencies - verify source queues</x:v>
      </x:c>
      <x:c r="J860" s="6" t="str">
        <x:v>Not Started</x:v>
      </x:c>
      <x:c r="K860" s="6" t="str">
        <x:v>Normal</x:v>
      </x:c>
      <x:c r="L860" s="6" t="str"/>
      <x:c r="M860" s="6" t="str"/>
      <x:c r="N860" s="6" t="str"/>
      <x:c r="O860" s="7" t="str"/>
      <x:c r="P860" s="6" t="str">
        <x:v>Yes</x:v>
      </x:c>
      <x:c r="Q860" s="7" t="str">
        <x:v>Requires identity and manufacturer-scope completion.</x:v>
      </x:c>
    </x:row>
    <x:row r="861">
      <x:c r="A861" s="6" t="str">
        <x:v>SEQ-DEV-0217</x:v>
      </x:c>
      <x:c r="B861" s="6" t="str">
        <x:v>Device Applicability</x:v>
      </x:c>
      <x:c r="C861" s="6" t="str">
        <x:v>DEVX-0217</x:v>
      </x:c>
      <x:c r="D861" s="6" t="str">
        <x:v>SVC000217</x:v>
      </x:c>
      <x:c r="E861" s="6" t="str"/>
      <x:c r="F861" s="6" t="str">
        <x:v>Device-applicability review</x:v>
      </x:c>
      <x:c r="G861" s="6" t="n">
        <x:v>4</x:v>
      </x:c>
      <x:c r="H861" s="6" t="str">
        <x:v>SIDX-0217;MFRX-0217</x:v>
      </x:c>
      <x:c r="I861" s="6" t="str">
        <x:f>IF(H861="","No upstream dependency",IF(ISNUMBER(SEARCH(";",H861)),"Multiple dependencies - verify source queues",IFERROR(XLOOKUP(H861,C2:C1586,J2:J1586),"Dependency not found")))</x:f>
        <x:v>Multiple dependencies - verify source queues</x:v>
      </x:c>
      <x:c r="J861" s="6" t="str">
        <x:v>Not Started</x:v>
      </x:c>
      <x:c r="K861" s="6" t="str">
        <x:v>Normal</x:v>
      </x:c>
      <x:c r="L861" s="6" t="str"/>
      <x:c r="M861" s="6" t="str"/>
      <x:c r="N861" s="6" t="str"/>
      <x:c r="O861" s="7" t="str"/>
      <x:c r="P861" s="6" t="str">
        <x:v>Yes</x:v>
      </x:c>
      <x:c r="Q861" s="7" t="str">
        <x:v>Requires identity and manufacturer-scope completion.</x:v>
      </x:c>
    </x:row>
    <x:row r="862">
      <x:c r="A862" s="6" t="str">
        <x:v>SEQ-DEV-0218</x:v>
      </x:c>
      <x:c r="B862" s="6" t="str">
        <x:v>Device Applicability</x:v>
      </x:c>
      <x:c r="C862" s="6" t="str">
        <x:v>DEVX-0218</x:v>
      </x:c>
      <x:c r="D862" s="6" t="str">
        <x:v>SVC000218</x:v>
      </x:c>
      <x:c r="E862" s="6" t="str"/>
      <x:c r="F862" s="6" t="str">
        <x:v>Device-applicability review</x:v>
      </x:c>
      <x:c r="G862" s="6" t="n">
        <x:v>4</x:v>
      </x:c>
      <x:c r="H862" s="6" t="str">
        <x:v>SIDX-0218;MFRX-0218</x:v>
      </x:c>
      <x:c r="I862" s="6" t="str">
        <x:f>IF(H862="","No upstream dependency",IF(ISNUMBER(SEARCH(";",H862)),"Multiple dependencies - verify source queues",IFERROR(XLOOKUP(H862,C2:C1586,J2:J1586),"Dependency not found")))</x:f>
        <x:v>Multiple dependencies - verify source queues</x:v>
      </x:c>
      <x:c r="J862" s="6" t="str">
        <x:v>Not Started</x:v>
      </x:c>
      <x:c r="K862" s="6" t="str">
        <x:v>Normal</x:v>
      </x:c>
      <x:c r="L862" s="6" t="str"/>
      <x:c r="M862" s="6" t="str"/>
      <x:c r="N862" s="6" t="str"/>
      <x:c r="O862" s="7" t="str"/>
      <x:c r="P862" s="6" t="str">
        <x:v>Yes</x:v>
      </x:c>
      <x:c r="Q862" s="7" t="str">
        <x:v>Requires identity and manufacturer-scope completion.</x:v>
      </x:c>
    </x:row>
    <x:row r="863">
      <x:c r="A863" s="6" t="str">
        <x:v>SEQ-DEV-0219</x:v>
      </x:c>
      <x:c r="B863" s="6" t="str">
        <x:v>Device Applicability</x:v>
      </x:c>
      <x:c r="C863" s="6" t="str">
        <x:v>DEVX-0219</x:v>
      </x:c>
      <x:c r="D863" s="6" t="str">
        <x:v>SVC000219</x:v>
      </x:c>
      <x:c r="E863" s="6" t="str"/>
      <x:c r="F863" s="6" t="str">
        <x:v>Device-applicability review</x:v>
      </x:c>
      <x:c r="G863" s="6" t="n">
        <x:v>4</x:v>
      </x:c>
      <x:c r="H863" s="6" t="str">
        <x:v>SIDX-0219;MFRX-0219</x:v>
      </x:c>
      <x:c r="I863" s="6" t="str">
        <x:f>IF(H863="","No upstream dependency",IF(ISNUMBER(SEARCH(";",H863)),"Multiple dependencies - verify source queues",IFERROR(XLOOKUP(H863,C2:C1586,J2:J1586),"Dependency not found")))</x:f>
        <x:v>Multiple dependencies - verify source queues</x:v>
      </x:c>
      <x:c r="J863" s="6" t="str">
        <x:v>Not Started</x:v>
      </x:c>
      <x:c r="K863" s="6" t="str">
        <x:v>Normal</x:v>
      </x:c>
      <x:c r="L863" s="6" t="str"/>
      <x:c r="M863" s="6" t="str"/>
      <x:c r="N863" s="6" t="str"/>
      <x:c r="O863" s="7" t="str"/>
      <x:c r="P863" s="6" t="str">
        <x:v>Yes</x:v>
      </x:c>
      <x:c r="Q863" s="7" t="str">
        <x:v>Requires identity and manufacturer-scope completion.</x:v>
      </x:c>
    </x:row>
    <x:row r="864">
      <x:c r="A864" s="6" t="str">
        <x:v>SEQ-DEV-0220</x:v>
      </x:c>
      <x:c r="B864" s="6" t="str">
        <x:v>Device Applicability</x:v>
      </x:c>
      <x:c r="C864" s="6" t="str">
        <x:v>DEVX-0220</x:v>
      </x:c>
      <x:c r="D864" s="6" t="str">
        <x:v>SVC000220</x:v>
      </x:c>
      <x:c r="E864" s="6" t="str"/>
      <x:c r="F864" s="6" t="str">
        <x:v>Device-applicability review</x:v>
      </x:c>
      <x:c r="G864" s="6" t="n">
        <x:v>4</x:v>
      </x:c>
      <x:c r="H864" s="6" t="str">
        <x:v>SIDX-0220;MFRX-0220</x:v>
      </x:c>
      <x:c r="I864" s="6" t="str">
        <x:f>IF(H864="","No upstream dependency",IF(ISNUMBER(SEARCH(";",H864)),"Multiple dependencies - verify source queues",IFERROR(XLOOKUP(H864,C2:C1586,J2:J1586),"Dependency not found")))</x:f>
        <x:v>Multiple dependencies - verify source queues</x:v>
      </x:c>
      <x:c r="J864" s="6" t="str">
        <x:v>Not Started</x:v>
      </x:c>
      <x:c r="K864" s="6" t="str">
        <x:v>Normal</x:v>
      </x:c>
      <x:c r="L864" s="6" t="str"/>
      <x:c r="M864" s="6" t="str"/>
      <x:c r="N864" s="6" t="str"/>
      <x:c r="O864" s="7" t="str"/>
      <x:c r="P864" s="6" t="str">
        <x:v>Yes</x:v>
      </x:c>
      <x:c r="Q864" s="7" t="str">
        <x:v>Requires identity and manufacturer-scope completion.</x:v>
      </x:c>
    </x:row>
    <x:row r="865">
      <x:c r="A865" s="6" t="str">
        <x:v>SEQ-DEV-0221</x:v>
      </x:c>
      <x:c r="B865" s="6" t="str">
        <x:v>Device Applicability</x:v>
      </x:c>
      <x:c r="C865" s="6" t="str">
        <x:v>DEVX-0221</x:v>
      </x:c>
      <x:c r="D865" s="6" t="str">
        <x:v>SVC000221</x:v>
      </x:c>
      <x:c r="E865" s="6" t="str"/>
      <x:c r="F865" s="6" t="str">
        <x:v>Device-applicability review</x:v>
      </x:c>
      <x:c r="G865" s="6" t="n">
        <x:v>4</x:v>
      </x:c>
      <x:c r="H865" s="6" t="str">
        <x:v>SIDX-0221;MFRX-0221</x:v>
      </x:c>
      <x:c r="I865" s="6" t="str">
        <x:f>IF(H865="","No upstream dependency",IF(ISNUMBER(SEARCH(";",H865)),"Multiple dependencies - verify source queues",IFERROR(XLOOKUP(H865,C2:C1586,J2:J1586),"Dependency not found")))</x:f>
        <x:v>Multiple dependencies - verify source queues</x:v>
      </x:c>
      <x:c r="J865" s="6" t="str">
        <x:v>Not Started</x:v>
      </x:c>
      <x:c r="K865" s="6" t="str">
        <x:v>Normal</x:v>
      </x:c>
      <x:c r="L865" s="6" t="str"/>
      <x:c r="M865" s="6" t="str"/>
      <x:c r="N865" s="6" t="str"/>
      <x:c r="O865" s="7" t="str"/>
      <x:c r="P865" s="6" t="str">
        <x:v>Yes</x:v>
      </x:c>
      <x:c r="Q865" s="7" t="str">
        <x:v>Requires identity and manufacturer-scope completion.</x:v>
      </x:c>
    </x:row>
    <x:row r="866">
      <x:c r="A866" s="6" t="str">
        <x:v>SEQ-DEV-0222</x:v>
      </x:c>
      <x:c r="B866" s="6" t="str">
        <x:v>Device Applicability</x:v>
      </x:c>
      <x:c r="C866" s="6" t="str">
        <x:v>DEVX-0222</x:v>
      </x:c>
      <x:c r="D866" s="6" t="str">
        <x:v>SVC000222</x:v>
      </x:c>
      <x:c r="E866" s="6" t="str"/>
      <x:c r="F866" s="6" t="str">
        <x:v>Device-applicability review</x:v>
      </x:c>
      <x:c r="G866" s="6" t="n">
        <x:v>4</x:v>
      </x:c>
      <x:c r="H866" s="6" t="str">
        <x:v>SIDX-0222;MFRX-0222</x:v>
      </x:c>
      <x:c r="I866" s="6" t="str">
        <x:f>IF(H866="","No upstream dependency",IF(ISNUMBER(SEARCH(";",H866)),"Multiple dependencies - verify source queues",IFERROR(XLOOKUP(H866,C2:C1586,J2:J1586),"Dependency not found")))</x:f>
        <x:v>Multiple dependencies - verify source queues</x:v>
      </x:c>
      <x:c r="J866" s="6" t="str">
        <x:v>Not Started</x:v>
      </x:c>
      <x:c r="K866" s="6" t="str">
        <x:v>Normal</x:v>
      </x:c>
      <x:c r="L866" s="6" t="str"/>
      <x:c r="M866" s="6" t="str"/>
      <x:c r="N866" s="6" t="str"/>
      <x:c r="O866" s="7" t="str"/>
      <x:c r="P866" s="6" t="str">
        <x:v>Yes</x:v>
      </x:c>
      <x:c r="Q866" s="7" t="str">
        <x:v>Requires identity and manufacturer-scope completion.</x:v>
      </x:c>
    </x:row>
    <x:row r="867">
      <x:c r="A867" s="6" t="str">
        <x:v>SEQ-DEV-0223</x:v>
      </x:c>
      <x:c r="B867" s="6" t="str">
        <x:v>Device Applicability</x:v>
      </x:c>
      <x:c r="C867" s="6" t="str">
        <x:v>DEVX-0223</x:v>
      </x:c>
      <x:c r="D867" s="6" t="str">
        <x:v>SVC000223</x:v>
      </x:c>
      <x:c r="E867" s="6" t="str"/>
      <x:c r="F867" s="6" t="str">
        <x:v>Device-applicability review</x:v>
      </x:c>
      <x:c r="G867" s="6" t="n">
        <x:v>4</x:v>
      </x:c>
      <x:c r="H867" s="6" t="str">
        <x:v>SIDX-0223;MFRX-0223</x:v>
      </x:c>
      <x:c r="I867" s="6" t="str">
        <x:f>IF(H867="","No upstream dependency",IF(ISNUMBER(SEARCH(";",H867)),"Multiple dependencies - verify source queues",IFERROR(XLOOKUP(H867,C2:C1586,J2:J1586),"Dependency not found")))</x:f>
        <x:v>Multiple dependencies - verify source queues</x:v>
      </x:c>
      <x:c r="J867" s="6" t="str">
        <x:v>Not Started</x:v>
      </x:c>
      <x:c r="K867" s="6" t="str">
        <x:v>Normal</x:v>
      </x:c>
      <x:c r="L867" s="6" t="str"/>
      <x:c r="M867" s="6" t="str"/>
      <x:c r="N867" s="6" t="str"/>
      <x:c r="O867" s="7" t="str"/>
      <x:c r="P867" s="6" t="str">
        <x:v>Yes</x:v>
      </x:c>
      <x:c r="Q867" s="7" t="str">
        <x:v>Requires identity and manufacturer-scope completion.</x:v>
      </x:c>
    </x:row>
    <x:row r="868">
      <x:c r="A868" s="6" t="str">
        <x:v>SEQ-DEV-0224</x:v>
      </x:c>
      <x:c r="B868" s="6" t="str">
        <x:v>Device Applicability</x:v>
      </x:c>
      <x:c r="C868" s="6" t="str">
        <x:v>DEVX-0224</x:v>
      </x:c>
      <x:c r="D868" s="6" t="str">
        <x:v>SVC000224</x:v>
      </x:c>
      <x:c r="E868" s="6" t="str"/>
      <x:c r="F868" s="6" t="str">
        <x:v>Device-applicability review</x:v>
      </x:c>
      <x:c r="G868" s="6" t="n">
        <x:v>4</x:v>
      </x:c>
      <x:c r="H868" s="6" t="str">
        <x:v>SIDX-0224;MFRX-0224</x:v>
      </x:c>
      <x:c r="I868" s="6" t="str">
        <x:f>IF(H868="","No upstream dependency",IF(ISNUMBER(SEARCH(";",H868)),"Multiple dependencies - verify source queues",IFERROR(XLOOKUP(H868,C2:C1586,J2:J1586),"Dependency not found")))</x:f>
        <x:v>Multiple dependencies - verify source queues</x:v>
      </x:c>
      <x:c r="J868" s="6" t="str">
        <x:v>Not Started</x:v>
      </x:c>
      <x:c r="K868" s="6" t="str">
        <x:v>Normal</x:v>
      </x:c>
      <x:c r="L868" s="6" t="str"/>
      <x:c r="M868" s="6" t="str"/>
      <x:c r="N868" s="6" t="str"/>
      <x:c r="O868" s="7" t="str"/>
      <x:c r="P868" s="6" t="str">
        <x:v>Yes</x:v>
      </x:c>
      <x:c r="Q868" s="7" t="str">
        <x:v>Requires identity and manufacturer-scope completion.</x:v>
      </x:c>
    </x:row>
    <x:row r="869">
      <x:c r="A869" s="6" t="str">
        <x:v>SEQ-DEV-0225</x:v>
      </x:c>
      <x:c r="B869" s="6" t="str">
        <x:v>Device Applicability</x:v>
      </x:c>
      <x:c r="C869" s="6" t="str">
        <x:v>DEVX-0225</x:v>
      </x:c>
      <x:c r="D869" s="6" t="str">
        <x:v>SVC000225</x:v>
      </x:c>
      <x:c r="E869" s="6" t="str"/>
      <x:c r="F869" s="6" t="str">
        <x:v>Device-applicability review</x:v>
      </x:c>
      <x:c r="G869" s="6" t="n">
        <x:v>4</x:v>
      </x:c>
      <x:c r="H869" s="6" t="str">
        <x:v>SIDX-0225;MFRX-0225</x:v>
      </x:c>
      <x:c r="I869" s="6" t="str">
        <x:f>IF(H869="","No upstream dependency",IF(ISNUMBER(SEARCH(";",H869)),"Multiple dependencies - verify source queues",IFERROR(XLOOKUP(H869,C2:C1586,J2:J1586),"Dependency not found")))</x:f>
        <x:v>Multiple dependencies - verify source queues</x:v>
      </x:c>
      <x:c r="J869" s="6" t="str">
        <x:v>Not Started</x:v>
      </x:c>
      <x:c r="K869" s="6" t="str">
        <x:v>Normal</x:v>
      </x:c>
      <x:c r="L869" s="6" t="str"/>
      <x:c r="M869" s="6" t="str"/>
      <x:c r="N869" s="6" t="str"/>
      <x:c r="O869" s="7" t="str"/>
      <x:c r="P869" s="6" t="str">
        <x:v>Yes</x:v>
      </x:c>
      <x:c r="Q869" s="7" t="str">
        <x:v>Requires identity and manufacturer-scope completion.</x:v>
      </x:c>
    </x:row>
    <x:row r="870">
      <x:c r="A870" s="6" t="str">
        <x:v>SEQ-DEV-0226</x:v>
      </x:c>
      <x:c r="B870" s="6" t="str">
        <x:v>Device Applicability</x:v>
      </x:c>
      <x:c r="C870" s="6" t="str">
        <x:v>DEVX-0226</x:v>
      </x:c>
      <x:c r="D870" s="6" t="str">
        <x:v>SVC000226</x:v>
      </x:c>
      <x:c r="E870" s="6" t="str"/>
      <x:c r="F870" s="6" t="str">
        <x:v>Device-applicability review</x:v>
      </x:c>
      <x:c r="G870" s="6" t="n">
        <x:v>4</x:v>
      </x:c>
      <x:c r="H870" s="6" t="str">
        <x:v>SIDX-0226;MFRX-0226</x:v>
      </x:c>
      <x:c r="I870" s="6" t="str">
        <x:f>IF(H870="","No upstream dependency",IF(ISNUMBER(SEARCH(";",H870)),"Multiple dependencies - verify source queues",IFERROR(XLOOKUP(H870,C2:C1586,J2:J1586),"Dependency not found")))</x:f>
        <x:v>Multiple dependencies - verify source queues</x:v>
      </x:c>
      <x:c r="J870" s="6" t="str">
        <x:v>Not Started</x:v>
      </x:c>
      <x:c r="K870" s="6" t="str">
        <x:v>Normal</x:v>
      </x:c>
      <x:c r="L870" s="6" t="str"/>
      <x:c r="M870" s="6" t="str"/>
      <x:c r="N870" s="6" t="str"/>
      <x:c r="O870" s="7" t="str"/>
      <x:c r="P870" s="6" t="str">
        <x:v>Yes</x:v>
      </x:c>
      <x:c r="Q870" s="7" t="str">
        <x:v>Requires identity and manufacturer-scope completion.</x:v>
      </x:c>
    </x:row>
    <x:row r="871">
      <x:c r="A871" s="6" t="str">
        <x:v>SEQ-DEV-0227</x:v>
      </x:c>
      <x:c r="B871" s="6" t="str">
        <x:v>Device Applicability</x:v>
      </x:c>
      <x:c r="C871" s="6" t="str">
        <x:v>DEVX-0227</x:v>
      </x:c>
      <x:c r="D871" s="6" t="str">
        <x:v>SVC000227</x:v>
      </x:c>
      <x:c r="E871" s="6" t="str"/>
      <x:c r="F871" s="6" t="str">
        <x:v>Device-applicability review</x:v>
      </x:c>
      <x:c r="G871" s="6" t="n">
        <x:v>4</x:v>
      </x:c>
      <x:c r="H871" s="6" t="str">
        <x:v>SIDX-0227;MFRX-0227</x:v>
      </x:c>
      <x:c r="I871" s="6" t="str">
        <x:f>IF(H871="","No upstream dependency",IF(ISNUMBER(SEARCH(";",H871)),"Multiple dependencies - verify source queues",IFERROR(XLOOKUP(H871,C2:C1586,J2:J1586),"Dependency not found")))</x:f>
        <x:v>Multiple dependencies - verify source queues</x:v>
      </x:c>
      <x:c r="J871" s="6" t="str">
        <x:v>Not Started</x:v>
      </x:c>
      <x:c r="K871" s="6" t="str">
        <x:v>Normal</x:v>
      </x:c>
      <x:c r="L871" s="6" t="str"/>
      <x:c r="M871" s="6" t="str"/>
      <x:c r="N871" s="6" t="str"/>
      <x:c r="O871" s="7" t="str"/>
      <x:c r="P871" s="6" t="str">
        <x:v>Yes</x:v>
      </x:c>
      <x:c r="Q871" s="7" t="str">
        <x:v>Requires identity and manufacturer-scope completion.</x:v>
      </x:c>
    </x:row>
    <x:row r="872">
      <x:c r="A872" s="6" t="str">
        <x:v>SEQ-DEV-0228</x:v>
      </x:c>
      <x:c r="B872" s="6" t="str">
        <x:v>Device Applicability</x:v>
      </x:c>
      <x:c r="C872" s="6" t="str">
        <x:v>DEVX-0228</x:v>
      </x:c>
      <x:c r="D872" s="6" t="str">
        <x:v>SVC000228</x:v>
      </x:c>
      <x:c r="E872" s="6" t="str"/>
      <x:c r="F872" s="6" t="str">
        <x:v>Device-applicability review</x:v>
      </x:c>
      <x:c r="G872" s="6" t="n">
        <x:v>4</x:v>
      </x:c>
      <x:c r="H872" s="6" t="str">
        <x:v>SIDX-0228;MFRX-0228</x:v>
      </x:c>
      <x:c r="I872" s="6" t="str">
        <x:f>IF(H872="","No upstream dependency",IF(ISNUMBER(SEARCH(";",H872)),"Multiple dependencies - verify source queues",IFERROR(XLOOKUP(H872,C2:C1586,J2:J1586),"Dependency not found")))</x:f>
        <x:v>Multiple dependencies - verify source queues</x:v>
      </x:c>
      <x:c r="J872" s="6" t="str">
        <x:v>Not Started</x:v>
      </x:c>
      <x:c r="K872" s="6" t="str">
        <x:v>Normal</x:v>
      </x:c>
      <x:c r="L872" s="6" t="str"/>
      <x:c r="M872" s="6" t="str"/>
      <x:c r="N872" s="6" t="str"/>
      <x:c r="O872" s="7" t="str"/>
      <x:c r="P872" s="6" t="str">
        <x:v>Yes</x:v>
      </x:c>
      <x:c r="Q872" s="7" t="str">
        <x:v>Requires identity and manufacturer-scope completion.</x:v>
      </x:c>
    </x:row>
    <x:row r="873">
      <x:c r="A873" s="6" t="str">
        <x:v>SEQ-DEV-0229</x:v>
      </x:c>
      <x:c r="B873" s="6" t="str">
        <x:v>Device Applicability</x:v>
      </x:c>
      <x:c r="C873" s="6" t="str">
        <x:v>DEVX-0229</x:v>
      </x:c>
      <x:c r="D873" s="6" t="str">
        <x:v>SVC000229</x:v>
      </x:c>
      <x:c r="E873" s="6" t="str"/>
      <x:c r="F873" s="6" t="str">
        <x:v>Device-applicability review</x:v>
      </x:c>
      <x:c r="G873" s="6" t="n">
        <x:v>4</x:v>
      </x:c>
      <x:c r="H873" s="6" t="str">
        <x:v>SIDX-0229;MFRX-0229</x:v>
      </x:c>
      <x:c r="I873" s="6" t="str">
        <x:f>IF(H873="","No upstream dependency",IF(ISNUMBER(SEARCH(";",H873)),"Multiple dependencies - verify source queues",IFERROR(XLOOKUP(H873,C2:C1586,J2:J1586),"Dependency not found")))</x:f>
        <x:v>Multiple dependencies - verify source queues</x:v>
      </x:c>
      <x:c r="J873" s="6" t="str">
        <x:v>Not Started</x:v>
      </x:c>
      <x:c r="K873" s="6" t="str">
        <x:v>Normal</x:v>
      </x:c>
      <x:c r="L873" s="6" t="str"/>
      <x:c r="M873" s="6" t="str"/>
      <x:c r="N873" s="6" t="str"/>
      <x:c r="O873" s="7" t="str"/>
      <x:c r="P873" s="6" t="str">
        <x:v>Yes</x:v>
      </x:c>
      <x:c r="Q873" s="7" t="str">
        <x:v>Requires identity and manufacturer-scope completion.</x:v>
      </x:c>
    </x:row>
    <x:row r="874">
      <x:c r="A874" s="6" t="str">
        <x:v>SEQ-DEV-0230</x:v>
      </x:c>
      <x:c r="B874" s="6" t="str">
        <x:v>Device Applicability</x:v>
      </x:c>
      <x:c r="C874" s="6" t="str">
        <x:v>DEVX-0230</x:v>
      </x:c>
      <x:c r="D874" s="6" t="str">
        <x:v>SVC000230</x:v>
      </x:c>
      <x:c r="E874" s="6" t="str"/>
      <x:c r="F874" s="6" t="str">
        <x:v>Device-applicability review</x:v>
      </x:c>
      <x:c r="G874" s="6" t="n">
        <x:v>4</x:v>
      </x:c>
      <x:c r="H874" s="6" t="str">
        <x:v>SIDX-0230;MFRX-0230</x:v>
      </x:c>
      <x:c r="I874" s="6" t="str">
        <x:f>IF(H874="","No upstream dependency",IF(ISNUMBER(SEARCH(";",H874)),"Multiple dependencies - verify source queues",IFERROR(XLOOKUP(H874,C2:C1586,J2:J1586),"Dependency not found")))</x:f>
        <x:v>Multiple dependencies - verify source queues</x:v>
      </x:c>
      <x:c r="J874" s="6" t="str">
        <x:v>Not Started</x:v>
      </x:c>
      <x:c r="K874" s="6" t="str">
        <x:v>Normal</x:v>
      </x:c>
      <x:c r="L874" s="6" t="str"/>
      <x:c r="M874" s="6" t="str"/>
      <x:c r="N874" s="6" t="str"/>
      <x:c r="O874" s="7" t="str"/>
      <x:c r="P874" s="6" t="str">
        <x:v>Yes</x:v>
      </x:c>
      <x:c r="Q874" s="7" t="str">
        <x:v>Requires identity and manufacturer-scope completion.</x:v>
      </x:c>
    </x:row>
    <x:row r="875">
      <x:c r="A875" s="6" t="str">
        <x:v>SEQ-DEV-0231</x:v>
      </x:c>
      <x:c r="B875" s="6" t="str">
        <x:v>Device Applicability</x:v>
      </x:c>
      <x:c r="C875" s="6" t="str">
        <x:v>DEVX-0231</x:v>
      </x:c>
      <x:c r="D875" s="6" t="str">
        <x:v>SVC000231</x:v>
      </x:c>
      <x:c r="E875" s="6" t="str"/>
      <x:c r="F875" s="6" t="str">
        <x:v>Device-applicability review</x:v>
      </x:c>
      <x:c r="G875" s="6" t="n">
        <x:v>4</x:v>
      </x:c>
      <x:c r="H875" s="6" t="str">
        <x:v>SIDX-0231;MFRX-0231</x:v>
      </x:c>
      <x:c r="I875" s="6" t="str">
        <x:f>IF(H875="","No upstream dependency",IF(ISNUMBER(SEARCH(";",H875)),"Multiple dependencies - verify source queues",IFERROR(XLOOKUP(H875,C2:C1586,J2:J1586),"Dependency not found")))</x:f>
        <x:v>Multiple dependencies - verify source queues</x:v>
      </x:c>
      <x:c r="J875" s="6" t="str">
        <x:v>Not Started</x:v>
      </x:c>
      <x:c r="K875" s="6" t="str">
        <x:v>Normal</x:v>
      </x:c>
      <x:c r="L875" s="6" t="str"/>
      <x:c r="M875" s="6" t="str"/>
      <x:c r="N875" s="6" t="str"/>
      <x:c r="O875" s="7" t="str"/>
      <x:c r="P875" s="6" t="str">
        <x:v>Yes</x:v>
      </x:c>
      <x:c r="Q875" s="7" t="str">
        <x:v>Requires identity and manufacturer-scope completion.</x:v>
      </x:c>
    </x:row>
    <x:row r="876">
      <x:c r="A876" s="6" t="str">
        <x:v>SEQ-DEV-0232</x:v>
      </x:c>
      <x:c r="B876" s="6" t="str">
        <x:v>Device Applicability</x:v>
      </x:c>
      <x:c r="C876" s="6" t="str">
        <x:v>DEVX-0232</x:v>
      </x:c>
      <x:c r="D876" s="6" t="str">
        <x:v>SVC000232</x:v>
      </x:c>
      <x:c r="E876" s="6" t="str"/>
      <x:c r="F876" s="6" t="str">
        <x:v>Device-applicability review</x:v>
      </x:c>
      <x:c r="G876" s="6" t="n">
        <x:v>4</x:v>
      </x:c>
      <x:c r="H876" s="6" t="str">
        <x:v>SIDX-0232;MFRX-0232</x:v>
      </x:c>
      <x:c r="I876" s="6" t="str">
        <x:f>IF(H876="","No upstream dependency",IF(ISNUMBER(SEARCH(";",H876)),"Multiple dependencies - verify source queues",IFERROR(XLOOKUP(H876,C2:C1586,J2:J1586),"Dependency not found")))</x:f>
        <x:v>Multiple dependencies - verify source queues</x:v>
      </x:c>
      <x:c r="J876" s="6" t="str">
        <x:v>Not Started</x:v>
      </x:c>
      <x:c r="K876" s="6" t="str">
        <x:v>Normal</x:v>
      </x:c>
      <x:c r="L876" s="6" t="str"/>
      <x:c r="M876" s="6" t="str"/>
      <x:c r="N876" s="6" t="str"/>
      <x:c r="O876" s="7" t="str"/>
      <x:c r="P876" s="6" t="str">
        <x:v>Yes</x:v>
      </x:c>
      <x:c r="Q876" s="7" t="str">
        <x:v>Requires identity and manufacturer-scope completion.</x:v>
      </x:c>
    </x:row>
    <x:row r="877">
      <x:c r="A877" s="6" t="str">
        <x:v>SEQ-DEV-0233</x:v>
      </x:c>
      <x:c r="B877" s="6" t="str">
        <x:v>Device Applicability</x:v>
      </x:c>
      <x:c r="C877" s="6" t="str">
        <x:v>DEVX-0233</x:v>
      </x:c>
      <x:c r="D877" s="6" t="str">
        <x:v>SVC000233</x:v>
      </x:c>
      <x:c r="E877" s="6" t="str"/>
      <x:c r="F877" s="6" t="str">
        <x:v>Device-applicability review</x:v>
      </x:c>
      <x:c r="G877" s="6" t="n">
        <x:v>4</x:v>
      </x:c>
      <x:c r="H877" s="6" t="str">
        <x:v>SIDX-0233;MFRX-0233</x:v>
      </x:c>
      <x:c r="I877" s="6" t="str">
        <x:f>IF(H877="","No upstream dependency",IF(ISNUMBER(SEARCH(";",H877)),"Multiple dependencies - verify source queues",IFERROR(XLOOKUP(H877,C2:C1586,J2:J1586),"Dependency not found")))</x:f>
        <x:v>Multiple dependencies - verify source queues</x:v>
      </x:c>
      <x:c r="J877" s="6" t="str">
        <x:v>Not Started</x:v>
      </x:c>
      <x:c r="K877" s="6" t="str">
        <x:v>Normal</x:v>
      </x:c>
      <x:c r="L877" s="6" t="str"/>
      <x:c r="M877" s="6" t="str"/>
      <x:c r="N877" s="6" t="str"/>
      <x:c r="O877" s="7" t="str"/>
      <x:c r="P877" s="6" t="str">
        <x:v>Yes</x:v>
      </x:c>
      <x:c r="Q877" s="7" t="str">
        <x:v>Requires identity and manufacturer-scope completion.</x:v>
      </x:c>
    </x:row>
    <x:row r="878">
      <x:c r="A878" s="6" t="str">
        <x:v>SEQ-DEV-0234</x:v>
      </x:c>
      <x:c r="B878" s="6" t="str">
        <x:v>Device Applicability</x:v>
      </x:c>
      <x:c r="C878" s="6" t="str">
        <x:v>DEVX-0234</x:v>
      </x:c>
      <x:c r="D878" s="6" t="str">
        <x:v>SVC000234</x:v>
      </x:c>
      <x:c r="E878" s="6" t="str"/>
      <x:c r="F878" s="6" t="str">
        <x:v>Device-applicability review</x:v>
      </x:c>
      <x:c r="G878" s="6" t="n">
        <x:v>4</x:v>
      </x:c>
      <x:c r="H878" s="6" t="str">
        <x:v>SIDX-0234;MFRX-0234</x:v>
      </x:c>
      <x:c r="I878" s="6" t="str">
        <x:f>IF(H878="","No upstream dependency",IF(ISNUMBER(SEARCH(";",H878)),"Multiple dependencies - verify source queues",IFERROR(XLOOKUP(H878,C2:C1586,J2:J1586),"Dependency not found")))</x:f>
        <x:v>Multiple dependencies - verify source queues</x:v>
      </x:c>
      <x:c r="J878" s="6" t="str">
        <x:v>Not Started</x:v>
      </x:c>
      <x:c r="K878" s="6" t="str">
        <x:v>Normal</x:v>
      </x:c>
      <x:c r="L878" s="6" t="str"/>
      <x:c r="M878" s="6" t="str"/>
      <x:c r="N878" s="6" t="str"/>
      <x:c r="O878" s="7" t="str"/>
      <x:c r="P878" s="6" t="str">
        <x:v>Yes</x:v>
      </x:c>
      <x:c r="Q878" s="7" t="str">
        <x:v>Requires identity and manufacturer-scope completion.</x:v>
      </x:c>
    </x:row>
    <x:row r="879">
      <x:c r="A879" s="6" t="str">
        <x:v>SEQ-DEV-0235</x:v>
      </x:c>
      <x:c r="B879" s="6" t="str">
        <x:v>Device Applicability</x:v>
      </x:c>
      <x:c r="C879" s="6" t="str">
        <x:v>DEVX-0235</x:v>
      </x:c>
      <x:c r="D879" s="6" t="str">
        <x:v>SVC000235</x:v>
      </x:c>
      <x:c r="E879" s="6" t="str"/>
      <x:c r="F879" s="6" t="str">
        <x:v>Device-applicability review</x:v>
      </x:c>
      <x:c r="G879" s="6" t="n">
        <x:v>4</x:v>
      </x:c>
      <x:c r="H879" s="6" t="str">
        <x:v>SIDX-0235;MFRX-0235</x:v>
      </x:c>
      <x:c r="I879" s="6" t="str">
        <x:f>IF(H879="","No upstream dependency",IF(ISNUMBER(SEARCH(";",H879)),"Multiple dependencies - verify source queues",IFERROR(XLOOKUP(H879,C2:C1586,J2:J1586),"Dependency not found")))</x:f>
        <x:v>Multiple dependencies - verify source queues</x:v>
      </x:c>
      <x:c r="J879" s="6" t="str">
        <x:v>Not Started</x:v>
      </x:c>
      <x:c r="K879" s="6" t="str">
        <x:v>Normal</x:v>
      </x:c>
      <x:c r="L879" s="6" t="str"/>
      <x:c r="M879" s="6" t="str"/>
      <x:c r="N879" s="6" t="str"/>
      <x:c r="O879" s="7" t="str"/>
      <x:c r="P879" s="6" t="str">
        <x:v>Yes</x:v>
      </x:c>
      <x:c r="Q879" s="7" t="str">
        <x:v>Requires identity and manufacturer-scope completion.</x:v>
      </x:c>
    </x:row>
    <x:row r="880">
      <x:c r="A880" s="6" t="str">
        <x:v>SEQ-DEV-0236</x:v>
      </x:c>
      <x:c r="B880" s="6" t="str">
        <x:v>Device Applicability</x:v>
      </x:c>
      <x:c r="C880" s="6" t="str">
        <x:v>DEVX-0236</x:v>
      </x:c>
      <x:c r="D880" s="6" t="str">
        <x:v>SVC000236</x:v>
      </x:c>
      <x:c r="E880" s="6" t="str"/>
      <x:c r="F880" s="6" t="str">
        <x:v>Device-applicability review</x:v>
      </x:c>
      <x:c r="G880" s="6" t="n">
        <x:v>4</x:v>
      </x:c>
      <x:c r="H880" s="6" t="str">
        <x:v>SIDX-0236;MFRX-0236</x:v>
      </x:c>
      <x:c r="I880" s="6" t="str">
        <x:f>IF(H880="","No upstream dependency",IF(ISNUMBER(SEARCH(";",H880)),"Multiple dependencies - verify source queues",IFERROR(XLOOKUP(H880,C2:C1586,J2:J1586),"Dependency not found")))</x:f>
        <x:v>Multiple dependencies - verify source queues</x:v>
      </x:c>
      <x:c r="J880" s="6" t="str">
        <x:v>Not Started</x:v>
      </x:c>
      <x:c r="K880" s="6" t="str">
        <x:v>Normal</x:v>
      </x:c>
      <x:c r="L880" s="6" t="str"/>
      <x:c r="M880" s="6" t="str"/>
      <x:c r="N880" s="6" t="str"/>
      <x:c r="O880" s="7" t="str"/>
      <x:c r="P880" s="6" t="str">
        <x:v>Yes</x:v>
      </x:c>
      <x:c r="Q880" s="7" t="str">
        <x:v>Requires identity and manufacturer-scope completion.</x:v>
      </x:c>
    </x:row>
    <x:row r="881">
      <x:c r="A881" s="6" t="str">
        <x:v>SEQ-DEV-0237</x:v>
      </x:c>
      <x:c r="B881" s="6" t="str">
        <x:v>Device Applicability</x:v>
      </x:c>
      <x:c r="C881" s="6" t="str">
        <x:v>DEVX-0237</x:v>
      </x:c>
      <x:c r="D881" s="6" t="str">
        <x:v>SVC000237</x:v>
      </x:c>
      <x:c r="E881" s="6" t="str"/>
      <x:c r="F881" s="6" t="str">
        <x:v>Device-applicability review</x:v>
      </x:c>
      <x:c r="G881" s="6" t="n">
        <x:v>4</x:v>
      </x:c>
      <x:c r="H881" s="6" t="str">
        <x:v>SIDX-0237;MFRX-0237</x:v>
      </x:c>
      <x:c r="I881" s="6" t="str">
        <x:f>IF(H881="","No upstream dependency",IF(ISNUMBER(SEARCH(";",H881)),"Multiple dependencies - verify source queues",IFERROR(XLOOKUP(H881,C2:C1586,J2:J1586),"Dependency not found")))</x:f>
        <x:v>Multiple dependencies - verify source queues</x:v>
      </x:c>
      <x:c r="J881" s="6" t="str">
        <x:v>Not Started</x:v>
      </x:c>
      <x:c r="K881" s="6" t="str">
        <x:v>Normal</x:v>
      </x:c>
      <x:c r="L881" s="6" t="str"/>
      <x:c r="M881" s="6" t="str"/>
      <x:c r="N881" s="6" t="str"/>
      <x:c r="O881" s="7" t="str"/>
      <x:c r="P881" s="6" t="str">
        <x:v>Yes</x:v>
      </x:c>
      <x:c r="Q881" s="7" t="str">
        <x:v>Requires identity and manufacturer-scope completion.</x:v>
      </x:c>
    </x:row>
    <x:row r="882">
      <x:c r="A882" s="6" t="str">
        <x:v>SEQ-DEV-0238</x:v>
      </x:c>
      <x:c r="B882" s="6" t="str">
        <x:v>Device Applicability</x:v>
      </x:c>
      <x:c r="C882" s="6" t="str">
        <x:v>DEVX-0238</x:v>
      </x:c>
      <x:c r="D882" s="6" t="str">
        <x:v>SVC000238</x:v>
      </x:c>
      <x:c r="E882" s="6" t="str"/>
      <x:c r="F882" s="6" t="str">
        <x:v>Device-applicability review</x:v>
      </x:c>
      <x:c r="G882" s="6" t="n">
        <x:v>4</x:v>
      </x:c>
      <x:c r="H882" s="6" t="str">
        <x:v>SIDX-0238;MFRX-0238</x:v>
      </x:c>
      <x:c r="I882" s="6" t="str">
        <x:f>IF(H882="","No upstream dependency",IF(ISNUMBER(SEARCH(";",H882)),"Multiple dependencies - verify source queues",IFERROR(XLOOKUP(H882,C2:C1586,J2:J1586),"Dependency not found")))</x:f>
        <x:v>Multiple dependencies - verify source queues</x:v>
      </x:c>
      <x:c r="J882" s="6" t="str">
        <x:v>Not Started</x:v>
      </x:c>
      <x:c r="K882" s="6" t="str">
        <x:v>Normal</x:v>
      </x:c>
      <x:c r="L882" s="6" t="str"/>
      <x:c r="M882" s="6" t="str"/>
      <x:c r="N882" s="6" t="str"/>
      <x:c r="O882" s="7" t="str"/>
      <x:c r="P882" s="6" t="str">
        <x:v>Yes</x:v>
      </x:c>
      <x:c r="Q882" s="7" t="str">
        <x:v>Requires identity and manufacturer-scope completion.</x:v>
      </x:c>
    </x:row>
    <x:row r="883">
      <x:c r="A883" s="6" t="str">
        <x:v>SEQ-DEV-0239</x:v>
      </x:c>
      <x:c r="B883" s="6" t="str">
        <x:v>Device Applicability</x:v>
      </x:c>
      <x:c r="C883" s="6" t="str">
        <x:v>DEVX-0239</x:v>
      </x:c>
      <x:c r="D883" s="6" t="str">
        <x:v>SVC000239</x:v>
      </x:c>
      <x:c r="E883" s="6" t="str"/>
      <x:c r="F883" s="6" t="str">
        <x:v>Device-applicability review</x:v>
      </x:c>
      <x:c r="G883" s="6" t="n">
        <x:v>4</x:v>
      </x:c>
      <x:c r="H883" s="6" t="str">
        <x:v>SIDX-0239;MFRX-0239</x:v>
      </x:c>
      <x:c r="I883" s="6" t="str">
        <x:f>IF(H883="","No upstream dependency",IF(ISNUMBER(SEARCH(";",H883)),"Multiple dependencies - verify source queues",IFERROR(XLOOKUP(H883,C2:C1586,J2:J1586),"Dependency not found")))</x:f>
        <x:v>Multiple dependencies - verify source queues</x:v>
      </x:c>
      <x:c r="J883" s="6" t="str">
        <x:v>Not Started</x:v>
      </x:c>
      <x:c r="K883" s="6" t="str">
        <x:v>Normal</x:v>
      </x:c>
      <x:c r="L883" s="6" t="str"/>
      <x:c r="M883" s="6" t="str"/>
      <x:c r="N883" s="6" t="str"/>
      <x:c r="O883" s="7" t="str"/>
      <x:c r="P883" s="6" t="str">
        <x:v>Yes</x:v>
      </x:c>
      <x:c r="Q883" s="7" t="str">
        <x:v>Requires identity and manufacturer-scope completion.</x:v>
      </x:c>
    </x:row>
    <x:row r="884">
      <x:c r="A884" s="6" t="str">
        <x:v>SEQ-DEV-0240</x:v>
      </x:c>
      <x:c r="B884" s="6" t="str">
        <x:v>Device Applicability</x:v>
      </x:c>
      <x:c r="C884" s="6" t="str">
        <x:v>DEVX-0240</x:v>
      </x:c>
      <x:c r="D884" s="6" t="str">
        <x:v>SVC000240</x:v>
      </x:c>
      <x:c r="E884" s="6" t="str"/>
      <x:c r="F884" s="6" t="str">
        <x:v>Device-applicability review</x:v>
      </x:c>
      <x:c r="G884" s="6" t="n">
        <x:v>4</x:v>
      </x:c>
      <x:c r="H884" s="6" t="str">
        <x:v>SIDX-0240;MFRX-0240</x:v>
      </x:c>
      <x:c r="I884" s="6" t="str">
        <x:f>IF(H884="","No upstream dependency",IF(ISNUMBER(SEARCH(";",H884)),"Multiple dependencies - verify source queues",IFERROR(XLOOKUP(H884,C2:C1586,J2:J1586),"Dependency not found")))</x:f>
        <x:v>Multiple dependencies - verify source queues</x:v>
      </x:c>
      <x:c r="J884" s="6" t="str">
        <x:v>Not Started</x:v>
      </x:c>
      <x:c r="K884" s="6" t="str">
        <x:v>Normal</x:v>
      </x:c>
      <x:c r="L884" s="6" t="str"/>
      <x:c r="M884" s="6" t="str"/>
      <x:c r="N884" s="6" t="str"/>
      <x:c r="O884" s="7" t="str"/>
      <x:c r="P884" s="6" t="str">
        <x:v>Yes</x:v>
      </x:c>
      <x:c r="Q884" s="7" t="str">
        <x:v>Requires identity and manufacturer-scope completion.</x:v>
      </x:c>
    </x:row>
    <x:row r="885">
      <x:c r="A885" s="6" t="str">
        <x:v>SEQ-DEV-0241</x:v>
      </x:c>
      <x:c r="B885" s="6" t="str">
        <x:v>Device Applicability</x:v>
      </x:c>
      <x:c r="C885" s="6" t="str">
        <x:v>DEVX-0241</x:v>
      </x:c>
      <x:c r="D885" s="6" t="str">
        <x:v>SVC000241</x:v>
      </x:c>
      <x:c r="E885" s="6" t="str"/>
      <x:c r="F885" s="6" t="str">
        <x:v>Device-applicability review</x:v>
      </x:c>
      <x:c r="G885" s="6" t="n">
        <x:v>4</x:v>
      </x:c>
      <x:c r="H885" s="6" t="str">
        <x:v>SIDX-0241;MFRX-0241</x:v>
      </x:c>
      <x:c r="I885" s="6" t="str">
        <x:f>IF(H885="","No upstream dependency",IF(ISNUMBER(SEARCH(";",H885)),"Multiple dependencies - verify source queues",IFERROR(XLOOKUP(H885,C2:C1586,J2:J1586),"Dependency not found")))</x:f>
        <x:v>Multiple dependencies - verify source queues</x:v>
      </x:c>
      <x:c r="J885" s="6" t="str">
        <x:v>Not Started</x:v>
      </x:c>
      <x:c r="K885" s="6" t="str">
        <x:v>Normal</x:v>
      </x:c>
      <x:c r="L885" s="6" t="str"/>
      <x:c r="M885" s="6" t="str"/>
      <x:c r="N885" s="6" t="str"/>
      <x:c r="O885" s="7" t="str"/>
      <x:c r="P885" s="6" t="str">
        <x:v>Yes</x:v>
      </x:c>
      <x:c r="Q885" s="7" t="str">
        <x:v>Requires identity and manufacturer-scope completion.</x:v>
      </x:c>
    </x:row>
    <x:row r="886">
      <x:c r="A886" s="6" t="str">
        <x:v>SEQ-DEV-0242</x:v>
      </x:c>
      <x:c r="B886" s="6" t="str">
        <x:v>Device Applicability</x:v>
      </x:c>
      <x:c r="C886" s="6" t="str">
        <x:v>DEVX-0242</x:v>
      </x:c>
      <x:c r="D886" s="6" t="str">
        <x:v>SVC000242</x:v>
      </x:c>
      <x:c r="E886" s="6" t="str"/>
      <x:c r="F886" s="6" t="str">
        <x:v>Device-applicability review</x:v>
      </x:c>
      <x:c r="G886" s="6" t="n">
        <x:v>4</x:v>
      </x:c>
      <x:c r="H886" s="6" t="str">
        <x:v>SIDX-0242;MFRX-0242</x:v>
      </x:c>
      <x:c r="I886" s="6" t="str">
        <x:f>IF(H886="","No upstream dependency",IF(ISNUMBER(SEARCH(";",H886)),"Multiple dependencies - verify source queues",IFERROR(XLOOKUP(H886,C2:C1586,J2:J1586),"Dependency not found")))</x:f>
        <x:v>Multiple dependencies - verify source queues</x:v>
      </x:c>
      <x:c r="J886" s="6" t="str">
        <x:v>Not Started</x:v>
      </x:c>
      <x:c r="K886" s="6" t="str">
        <x:v>Normal</x:v>
      </x:c>
      <x:c r="L886" s="6" t="str"/>
      <x:c r="M886" s="6" t="str"/>
      <x:c r="N886" s="6" t="str"/>
      <x:c r="O886" s="7" t="str"/>
      <x:c r="P886" s="6" t="str">
        <x:v>Yes</x:v>
      </x:c>
      <x:c r="Q886" s="7" t="str">
        <x:v>Requires identity and manufacturer-scope completion.</x:v>
      </x:c>
    </x:row>
    <x:row r="887">
      <x:c r="A887" s="6" t="str">
        <x:v>SEQ-DEV-0243</x:v>
      </x:c>
      <x:c r="B887" s="6" t="str">
        <x:v>Device Applicability</x:v>
      </x:c>
      <x:c r="C887" s="6" t="str">
        <x:v>DEVX-0243</x:v>
      </x:c>
      <x:c r="D887" s="6" t="str">
        <x:v>SVC000243</x:v>
      </x:c>
      <x:c r="E887" s="6" t="str"/>
      <x:c r="F887" s="6" t="str">
        <x:v>Device-applicability review</x:v>
      </x:c>
      <x:c r="G887" s="6" t="n">
        <x:v>4</x:v>
      </x:c>
      <x:c r="H887" s="6" t="str">
        <x:v>SIDX-0243;MFRX-0243</x:v>
      </x:c>
      <x:c r="I887" s="6" t="str">
        <x:f>IF(H887="","No upstream dependency",IF(ISNUMBER(SEARCH(";",H887)),"Multiple dependencies - verify source queues",IFERROR(XLOOKUP(H887,C2:C1586,J2:J1586),"Dependency not found")))</x:f>
        <x:v>Multiple dependencies - verify source queues</x:v>
      </x:c>
      <x:c r="J887" s="6" t="str">
        <x:v>Not Started</x:v>
      </x:c>
      <x:c r="K887" s="6" t="str">
        <x:v>Normal</x:v>
      </x:c>
      <x:c r="L887" s="6" t="str"/>
      <x:c r="M887" s="6" t="str"/>
      <x:c r="N887" s="6" t="str"/>
      <x:c r="O887" s="7" t="str"/>
      <x:c r="P887" s="6" t="str">
        <x:v>Yes</x:v>
      </x:c>
      <x:c r="Q887" s="7" t="str">
        <x:v>Requires identity and manufacturer-scope completion.</x:v>
      </x:c>
    </x:row>
    <x:row r="888">
      <x:c r="A888" s="6" t="str">
        <x:v>SEQ-DEV-0244</x:v>
      </x:c>
      <x:c r="B888" s="6" t="str">
        <x:v>Device Applicability</x:v>
      </x:c>
      <x:c r="C888" s="6" t="str">
        <x:v>DEVX-0244</x:v>
      </x:c>
      <x:c r="D888" s="6" t="str">
        <x:v>SVC000244</x:v>
      </x:c>
      <x:c r="E888" s="6" t="str"/>
      <x:c r="F888" s="6" t="str">
        <x:v>Device-applicability review</x:v>
      </x:c>
      <x:c r="G888" s="6" t="n">
        <x:v>4</x:v>
      </x:c>
      <x:c r="H888" s="6" t="str">
        <x:v>SIDX-0244;MFRX-0244</x:v>
      </x:c>
      <x:c r="I888" s="6" t="str">
        <x:f>IF(H888="","No upstream dependency",IF(ISNUMBER(SEARCH(";",H888)),"Multiple dependencies - verify source queues",IFERROR(XLOOKUP(H888,C2:C1586,J2:J1586),"Dependency not found")))</x:f>
        <x:v>Multiple dependencies - verify source queues</x:v>
      </x:c>
      <x:c r="J888" s="6" t="str">
        <x:v>Not Started</x:v>
      </x:c>
      <x:c r="K888" s="6" t="str">
        <x:v>Normal</x:v>
      </x:c>
      <x:c r="L888" s="6" t="str"/>
      <x:c r="M888" s="6" t="str"/>
      <x:c r="N888" s="6" t="str"/>
      <x:c r="O888" s="7" t="str"/>
      <x:c r="P888" s="6" t="str">
        <x:v>Yes</x:v>
      </x:c>
      <x:c r="Q888" s="7" t="str">
        <x:v>Requires identity and manufacturer-scope completion.</x:v>
      </x:c>
    </x:row>
    <x:row r="889">
      <x:c r="A889" s="6" t="str">
        <x:v>SEQ-DEV-0245</x:v>
      </x:c>
      <x:c r="B889" s="6" t="str">
        <x:v>Device Applicability</x:v>
      </x:c>
      <x:c r="C889" s="6" t="str">
        <x:v>DEVX-0245</x:v>
      </x:c>
      <x:c r="D889" s="6" t="str">
        <x:v>SVC000245</x:v>
      </x:c>
      <x:c r="E889" s="6" t="str"/>
      <x:c r="F889" s="6" t="str">
        <x:v>Device-applicability review</x:v>
      </x:c>
      <x:c r="G889" s="6" t="n">
        <x:v>4</x:v>
      </x:c>
      <x:c r="H889" s="6" t="str">
        <x:v>SIDX-0245;MFRX-0245</x:v>
      </x:c>
      <x:c r="I889" s="6" t="str">
        <x:f>IF(H889="","No upstream dependency",IF(ISNUMBER(SEARCH(";",H889)),"Multiple dependencies - verify source queues",IFERROR(XLOOKUP(H889,C2:C1586,J2:J1586),"Dependency not found")))</x:f>
        <x:v>Multiple dependencies - verify source queues</x:v>
      </x:c>
      <x:c r="J889" s="6" t="str">
        <x:v>Not Started</x:v>
      </x:c>
      <x:c r="K889" s="6" t="str">
        <x:v>Normal</x:v>
      </x:c>
      <x:c r="L889" s="6" t="str"/>
      <x:c r="M889" s="6" t="str"/>
      <x:c r="N889" s="6" t="str"/>
      <x:c r="O889" s="7" t="str"/>
      <x:c r="P889" s="6" t="str">
        <x:v>Yes</x:v>
      </x:c>
      <x:c r="Q889" s="7" t="str">
        <x:v>Requires identity and manufacturer-scope completion.</x:v>
      </x:c>
    </x:row>
    <x:row r="890">
      <x:c r="A890" s="6" t="str">
        <x:v>SEQ-DEV-0246</x:v>
      </x:c>
      <x:c r="B890" s="6" t="str">
        <x:v>Device Applicability</x:v>
      </x:c>
      <x:c r="C890" s="6" t="str">
        <x:v>DEVX-0246</x:v>
      </x:c>
      <x:c r="D890" s="6" t="str">
        <x:v>SVC000246</x:v>
      </x:c>
      <x:c r="E890" s="6" t="str"/>
      <x:c r="F890" s="6" t="str">
        <x:v>Device-applicability review</x:v>
      </x:c>
      <x:c r="G890" s="6" t="n">
        <x:v>4</x:v>
      </x:c>
      <x:c r="H890" s="6" t="str">
        <x:v>SIDX-0246;MFRX-0246</x:v>
      </x:c>
      <x:c r="I890" s="6" t="str">
        <x:f>IF(H890="","No upstream dependency",IF(ISNUMBER(SEARCH(";",H890)),"Multiple dependencies - verify source queues",IFERROR(XLOOKUP(H890,C2:C1586,J2:J1586),"Dependency not found")))</x:f>
        <x:v>Multiple dependencies - verify source queues</x:v>
      </x:c>
      <x:c r="J890" s="6" t="str">
        <x:v>Not Started</x:v>
      </x:c>
      <x:c r="K890" s="6" t="str">
        <x:v>Normal</x:v>
      </x:c>
      <x:c r="L890" s="6" t="str"/>
      <x:c r="M890" s="6" t="str"/>
      <x:c r="N890" s="6" t="str"/>
      <x:c r="O890" s="7" t="str"/>
      <x:c r="P890" s="6" t="str">
        <x:v>Yes</x:v>
      </x:c>
      <x:c r="Q890" s="7" t="str">
        <x:v>Requires identity and manufacturer-scope completion.</x:v>
      </x:c>
    </x:row>
    <x:row r="891">
      <x:c r="A891" s="6" t="str">
        <x:v>SEQ-DEV-0247</x:v>
      </x:c>
      <x:c r="B891" s="6" t="str">
        <x:v>Device Applicability</x:v>
      </x:c>
      <x:c r="C891" s="6" t="str">
        <x:v>DEVX-0247</x:v>
      </x:c>
      <x:c r="D891" s="6" t="str">
        <x:v>SVC000247</x:v>
      </x:c>
      <x:c r="E891" s="6" t="str"/>
      <x:c r="F891" s="6" t="str">
        <x:v>Device-applicability review</x:v>
      </x:c>
      <x:c r="G891" s="6" t="n">
        <x:v>4</x:v>
      </x:c>
      <x:c r="H891" s="6" t="str">
        <x:v>SIDX-0247;MFRX-0247</x:v>
      </x:c>
      <x:c r="I891" s="6" t="str">
        <x:f>IF(H891="","No upstream dependency",IF(ISNUMBER(SEARCH(";",H891)),"Multiple dependencies - verify source queues",IFERROR(XLOOKUP(H891,C2:C1586,J2:J1586),"Dependency not found")))</x:f>
        <x:v>Multiple dependencies - verify source queues</x:v>
      </x:c>
      <x:c r="J891" s="6" t="str">
        <x:v>Not Started</x:v>
      </x:c>
      <x:c r="K891" s="6" t="str">
        <x:v>Normal</x:v>
      </x:c>
      <x:c r="L891" s="6" t="str"/>
      <x:c r="M891" s="6" t="str"/>
      <x:c r="N891" s="6" t="str"/>
      <x:c r="O891" s="7" t="str"/>
      <x:c r="P891" s="6" t="str">
        <x:v>Yes</x:v>
      </x:c>
      <x:c r="Q891" s="7" t="str">
        <x:v>Requires identity and manufacturer-scope completion.</x:v>
      </x:c>
    </x:row>
    <x:row r="892">
      <x:c r="A892" s="6" t="str">
        <x:v>SEQ-DEV-0248</x:v>
      </x:c>
      <x:c r="B892" s="6" t="str">
        <x:v>Device Applicability</x:v>
      </x:c>
      <x:c r="C892" s="6" t="str">
        <x:v>DEVX-0248</x:v>
      </x:c>
      <x:c r="D892" s="6" t="str">
        <x:v>SVC000248</x:v>
      </x:c>
      <x:c r="E892" s="6" t="str"/>
      <x:c r="F892" s="6" t="str">
        <x:v>Device-applicability review</x:v>
      </x:c>
      <x:c r="G892" s="6" t="n">
        <x:v>4</x:v>
      </x:c>
      <x:c r="H892" s="6" t="str">
        <x:v>SIDX-0248;MFRX-0248</x:v>
      </x:c>
      <x:c r="I892" s="6" t="str">
        <x:f>IF(H892="","No upstream dependency",IF(ISNUMBER(SEARCH(";",H892)),"Multiple dependencies - verify source queues",IFERROR(XLOOKUP(H892,C2:C1586,J2:J1586),"Dependency not found")))</x:f>
        <x:v>Multiple dependencies - verify source queues</x:v>
      </x:c>
      <x:c r="J892" s="6" t="str">
        <x:v>Not Started</x:v>
      </x:c>
      <x:c r="K892" s="6" t="str">
        <x:v>Normal</x:v>
      </x:c>
      <x:c r="L892" s="6" t="str"/>
      <x:c r="M892" s="6" t="str"/>
      <x:c r="N892" s="6" t="str"/>
      <x:c r="O892" s="7" t="str"/>
      <x:c r="P892" s="6" t="str">
        <x:v>Yes</x:v>
      </x:c>
      <x:c r="Q892" s="7" t="str">
        <x:v>Requires identity and manufacturer-scope completion.</x:v>
      </x:c>
    </x:row>
    <x:row r="893">
      <x:c r="A893" s="6" t="str">
        <x:v>SEQ-DEV-0249</x:v>
      </x:c>
      <x:c r="B893" s="6" t="str">
        <x:v>Device Applicability</x:v>
      </x:c>
      <x:c r="C893" s="6" t="str">
        <x:v>DEVX-0249</x:v>
      </x:c>
      <x:c r="D893" s="6" t="str">
        <x:v>SVC000249</x:v>
      </x:c>
      <x:c r="E893" s="6" t="str"/>
      <x:c r="F893" s="6" t="str">
        <x:v>Device-applicability review</x:v>
      </x:c>
      <x:c r="G893" s="6" t="n">
        <x:v>4</x:v>
      </x:c>
      <x:c r="H893" s="6" t="str">
        <x:v>SIDX-0249;MFRX-0249</x:v>
      </x:c>
      <x:c r="I893" s="6" t="str">
        <x:f>IF(H893="","No upstream dependency",IF(ISNUMBER(SEARCH(";",H893)),"Multiple dependencies - verify source queues",IFERROR(XLOOKUP(H893,C2:C1586,J2:J1586),"Dependency not found")))</x:f>
        <x:v>Multiple dependencies - verify source queues</x:v>
      </x:c>
      <x:c r="J893" s="6" t="str">
        <x:v>Not Started</x:v>
      </x:c>
      <x:c r="K893" s="6" t="str">
        <x:v>Normal</x:v>
      </x:c>
      <x:c r="L893" s="6" t="str"/>
      <x:c r="M893" s="6" t="str"/>
      <x:c r="N893" s="6" t="str"/>
      <x:c r="O893" s="7" t="str"/>
      <x:c r="P893" s="6" t="str">
        <x:v>Yes</x:v>
      </x:c>
      <x:c r="Q893" s="7" t="str">
        <x:v>Requires identity and manufacturer-scope completion.</x:v>
      </x:c>
    </x:row>
    <x:row r="894">
      <x:c r="A894" s="6" t="str">
        <x:v>SEQ-DEV-0250</x:v>
      </x:c>
      <x:c r="B894" s="6" t="str">
        <x:v>Device Applicability</x:v>
      </x:c>
      <x:c r="C894" s="6" t="str">
        <x:v>DEVX-0250</x:v>
      </x:c>
      <x:c r="D894" s="6" t="str">
        <x:v>SVC000250</x:v>
      </x:c>
      <x:c r="E894" s="6" t="str"/>
      <x:c r="F894" s="6" t="str">
        <x:v>Device-applicability review</x:v>
      </x:c>
      <x:c r="G894" s="6" t="n">
        <x:v>4</x:v>
      </x:c>
      <x:c r="H894" s="6" t="str">
        <x:v>SIDX-0250;MFRX-0250</x:v>
      </x:c>
      <x:c r="I894" s="6" t="str">
        <x:f>IF(H894="","No upstream dependency",IF(ISNUMBER(SEARCH(";",H894)),"Multiple dependencies - verify source queues",IFERROR(XLOOKUP(H894,C2:C1586,J2:J1586),"Dependency not found")))</x:f>
        <x:v>Multiple dependencies - verify source queues</x:v>
      </x:c>
      <x:c r="J894" s="6" t="str">
        <x:v>Not Started</x:v>
      </x:c>
      <x:c r="K894" s="6" t="str">
        <x:v>Normal</x:v>
      </x:c>
      <x:c r="L894" s="6" t="str"/>
      <x:c r="M894" s="6" t="str"/>
      <x:c r="N894" s="6" t="str"/>
      <x:c r="O894" s="7" t="str"/>
      <x:c r="P894" s="6" t="str">
        <x:v>Yes</x:v>
      </x:c>
      <x:c r="Q894" s="7" t="str">
        <x:v>Requires identity and manufacturer-scope completion.</x:v>
      </x:c>
    </x:row>
    <x:row r="895">
      <x:c r="A895" s="6" t="str">
        <x:v>SEQ-DEV-0251</x:v>
      </x:c>
      <x:c r="B895" s="6" t="str">
        <x:v>Device Applicability</x:v>
      </x:c>
      <x:c r="C895" s="6" t="str">
        <x:v>DEVX-0251</x:v>
      </x:c>
      <x:c r="D895" s="6" t="str">
        <x:v>SVC000251</x:v>
      </x:c>
      <x:c r="E895" s="6" t="str"/>
      <x:c r="F895" s="6" t="str">
        <x:v>Device-applicability review</x:v>
      </x:c>
      <x:c r="G895" s="6" t="n">
        <x:v>4</x:v>
      </x:c>
      <x:c r="H895" s="6" t="str">
        <x:v>SIDX-0251;MFRX-0251</x:v>
      </x:c>
      <x:c r="I895" s="6" t="str">
        <x:f>IF(H895="","No upstream dependency",IF(ISNUMBER(SEARCH(";",H895)),"Multiple dependencies - verify source queues",IFERROR(XLOOKUP(H895,C2:C1586,J2:J1586),"Dependency not found")))</x:f>
        <x:v>Multiple dependencies - verify source queues</x:v>
      </x:c>
      <x:c r="J895" s="6" t="str">
        <x:v>Not Started</x:v>
      </x:c>
      <x:c r="K895" s="6" t="str">
        <x:v>Normal</x:v>
      </x:c>
      <x:c r="L895" s="6" t="str"/>
      <x:c r="M895" s="6" t="str"/>
      <x:c r="N895" s="6" t="str"/>
      <x:c r="O895" s="7" t="str"/>
      <x:c r="P895" s="6" t="str">
        <x:v>Yes</x:v>
      </x:c>
      <x:c r="Q895" s="7" t="str">
        <x:v>Requires identity and manufacturer-scope completion.</x:v>
      </x:c>
    </x:row>
    <x:row r="896">
      <x:c r="A896" s="6" t="str">
        <x:v>SEQ-DEV-0252</x:v>
      </x:c>
      <x:c r="B896" s="6" t="str">
        <x:v>Device Applicability</x:v>
      </x:c>
      <x:c r="C896" s="6" t="str">
        <x:v>DEVX-0252</x:v>
      </x:c>
      <x:c r="D896" s="6" t="str">
        <x:v>SVC000252</x:v>
      </x:c>
      <x:c r="E896" s="6" t="str"/>
      <x:c r="F896" s="6" t="str">
        <x:v>Device-applicability review</x:v>
      </x:c>
      <x:c r="G896" s="6" t="n">
        <x:v>4</x:v>
      </x:c>
      <x:c r="H896" s="6" t="str">
        <x:v>SIDX-0252;MFRX-0252</x:v>
      </x:c>
      <x:c r="I896" s="6" t="str">
        <x:f>IF(H896="","No upstream dependency",IF(ISNUMBER(SEARCH(";",H896)),"Multiple dependencies - verify source queues",IFERROR(XLOOKUP(H896,C2:C1586,J2:J1586),"Dependency not found")))</x:f>
        <x:v>Multiple dependencies - verify source queues</x:v>
      </x:c>
      <x:c r="J896" s="6" t="str">
        <x:v>Not Started</x:v>
      </x:c>
      <x:c r="K896" s="6" t="str">
        <x:v>Normal</x:v>
      </x:c>
      <x:c r="L896" s="6" t="str"/>
      <x:c r="M896" s="6" t="str"/>
      <x:c r="N896" s="6" t="str"/>
      <x:c r="O896" s="7" t="str"/>
      <x:c r="P896" s="6" t="str">
        <x:v>Yes</x:v>
      </x:c>
      <x:c r="Q896" s="7" t="str">
        <x:v>Requires identity and manufacturer-scope completion.</x:v>
      </x:c>
    </x:row>
    <x:row r="897">
      <x:c r="A897" s="6" t="str">
        <x:v>SEQ-DEV-0253</x:v>
      </x:c>
      <x:c r="B897" s="6" t="str">
        <x:v>Device Applicability</x:v>
      </x:c>
      <x:c r="C897" s="6" t="str">
        <x:v>DEVX-0253</x:v>
      </x:c>
      <x:c r="D897" s="6" t="str">
        <x:v>SVC000253</x:v>
      </x:c>
      <x:c r="E897" s="6" t="str"/>
      <x:c r="F897" s="6" t="str">
        <x:v>Device-applicability review</x:v>
      </x:c>
      <x:c r="G897" s="6" t="n">
        <x:v>4</x:v>
      </x:c>
      <x:c r="H897" s="6" t="str">
        <x:v>SIDX-0253;MFRX-0253</x:v>
      </x:c>
      <x:c r="I897" s="6" t="str">
        <x:f>IF(H897="","No upstream dependency",IF(ISNUMBER(SEARCH(";",H897)),"Multiple dependencies - verify source queues",IFERROR(XLOOKUP(H897,C2:C1586,J2:J1586),"Dependency not found")))</x:f>
        <x:v>Multiple dependencies - verify source queues</x:v>
      </x:c>
      <x:c r="J897" s="6" t="str">
        <x:v>Not Started</x:v>
      </x:c>
      <x:c r="K897" s="6" t="str">
        <x:v>Normal</x:v>
      </x:c>
      <x:c r="L897" s="6" t="str"/>
      <x:c r="M897" s="6" t="str"/>
      <x:c r="N897" s="6" t="str"/>
      <x:c r="O897" s="7" t="str"/>
      <x:c r="P897" s="6" t="str">
        <x:v>Yes</x:v>
      </x:c>
      <x:c r="Q897" s="7" t="str">
        <x:v>Requires identity and manufacturer-scope completion.</x:v>
      </x:c>
    </x:row>
    <x:row r="898">
      <x:c r="A898" s="6" t="str">
        <x:v>SEQ-DEV-0254</x:v>
      </x:c>
      <x:c r="B898" s="6" t="str">
        <x:v>Device Applicability</x:v>
      </x:c>
      <x:c r="C898" s="6" t="str">
        <x:v>DEVX-0254</x:v>
      </x:c>
      <x:c r="D898" s="6" t="str">
        <x:v>SVC000254</x:v>
      </x:c>
      <x:c r="E898" s="6" t="str"/>
      <x:c r="F898" s="6" t="str">
        <x:v>Device-applicability review</x:v>
      </x:c>
      <x:c r="G898" s="6" t="n">
        <x:v>4</x:v>
      </x:c>
      <x:c r="H898" s="6" t="str">
        <x:v>SIDX-0254;MFRX-0254</x:v>
      </x:c>
      <x:c r="I898" s="6" t="str">
        <x:f>IF(H898="","No upstream dependency",IF(ISNUMBER(SEARCH(";",H898)),"Multiple dependencies - verify source queues",IFERROR(XLOOKUP(H898,C2:C1586,J2:J1586),"Dependency not found")))</x:f>
        <x:v>Multiple dependencies - verify source queues</x:v>
      </x:c>
      <x:c r="J898" s="6" t="str">
        <x:v>Not Started</x:v>
      </x:c>
      <x:c r="K898" s="6" t="str">
        <x:v>Normal</x:v>
      </x:c>
      <x:c r="L898" s="6" t="str"/>
      <x:c r="M898" s="6" t="str"/>
      <x:c r="N898" s="6" t="str"/>
      <x:c r="O898" s="7" t="str"/>
      <x:c r="P898" s="6" t="str">
        <x:v>Yes</x:v>
      </x:c>
      <x:c r="Q898" s="7" t="str">
        <x:v>Requires identity and manufacturer-scope completion.</x:v>
      </x:c>
    </x:row>
    <x:row r="899">
      <x:c r="A899" s="6" t="str">
        <x:v>SEQ-DEV-0255</x:v>
      </x:c>
      <x:c r="B899" s="6" t="str">
        <x:v>Device Applicability</x:v>
      </x:c>
      <x:c r="C899" s="6" t="str">
        <x:v>DEVX-0255</x:v>
      </x:c>
      <x:c r="D899" s="6" t="str">
        <x:v>SVC000255</x:v>
      </x:c>
      <x:c r="E899" s="6" t="str"/>
      <x:c r="F899" s="6" t="str">
        <x:v>Device-applicability review</x:v>
      </x:c>
      <x:c r="G899" s="6" t="n">
        <x:v>4</x:v>
      </x:c>
      <x:c r="H899" s="6" t="str">
        <x:v>SIDX-0255;MFRX-0255</x:v>
      </x:c>
      <x:c r="I899" s="6" t="str">
        <x:f>IF(H899="","No upstream dependency",IF(ISNUMBER(SEARCH(";",H899)),"Multiple dependencies - verify source queues",IFERROR(XLOOKUP(H899,C2:C1586,J2:J1586),"Dependency not found")))</x:f>
        <x:v>Multiple dependencies - verify source queues</x:v>
      </x:c>
      <x:c r="J899" s="6" t="str">
        <x:v>Not Started</x:v>
      </x:c>
      <x:c r="K899" s="6" t="str">
        <x:v>Normal</x:v>
      </x:c>
      <x:c r="L899" s="6" t="str"/>
      <x:c r="M899" s="6" t="str"/>
      <x:c r="N899" s="6" t="str"/>
      <x:c r="O899" s="7" t="str"/>
      <x:c r="P899" s="6" t="str">
        <x:v>Yes</x:v>
      </x:c>
      <x:c r="Q899" s="7" t="str">
        <x:v>Requires identity and manufacturer-scope completion.</x:v>
      </x:c>
    </x:row>
    <x:row r="900">
      <x:c r="A900" s="6" t="str">
        <x:v>SEQ-DEV-0256</x:v>
      </x:c>
      <x:c r="B900" s="6" t="str">
        <x:v>Device Applicability</x:v>
      </x:c>
      <x:c r="C900" s="6" t="str">
        <x:v>DEVX-0256</x:v>
      </x:c>
      <x:c r="D900" s="6" t="str">
        <x:v>SVC000256</x:v>
      </x:c>
      <x:c r="E900" s="6" t="str"/>
      <x:c r="F900" s="6" t="str">
        <x:v>Device-applicability review</x:v>
      </x:c>
      <x:c r="G900" s="6" t="n">
        <x:v>4</x:v>
      </x:c>
      <x:c r="H900" s="6" t="str">
        <x:v>SIDX-0256;MFRX-0256</x:v>
      </x:c>
      <x:c r="I900" s="6" t="str">
        <x:f>IF(H900="","No upstream dependency",IF(ISNUMBER(SEARCH(";",H900)),"Multiple dependencies - verify source queues",IFERROR(XLOOKUP(H900,C2:C1586,J2:J1586),"Dependency not found")))</x:f>
        <x:v>Multiple dependencies - verify source queues</x:v>
      </x:c>
      <x:c r="J900" s="6" t="str">
        <x:v>Not Started</x:v>
      </x:c>
      <x:c r="K900" s="6" t="str">
        <x:v>Normal</x:v>
      </x:c>
      <x:c r="L900" s="6" t="str"/>
      <x:c r="M900" s="6" t="str"/>
      <x:c r="N900" s="6" t="str"/>
      <x:c r="O900" s="7" t="str"/>
      <x:c r="P900" s="6" t="str">
        <x:v>Yes</x:v>
      </x:c>
      <x:c r="Q900" s="7" t="str">
        <x:v>Requires identity and manufacturer-scope completion.</x:v>
      </x:c>
    </x:row>
    <x:row r="901">
      <x:c r="A901" s="6" t="str">
        <x:v>SEQ-DEV-0257</x:v>
      </x:c>
      <x:c r="B901" s="6" t="str">
        <x:v>Device Applicability</x:v>
      </x:c>
      <x:c r="C901" s="6" t="str">
        <x:v>DEVX-0257</x:v>
      </x:c>
      <x:c r="D901" s="6" t="str">
        <x:v>SVC000257</x:v>
      </x:c>
      <x:c r="E901" s="6" t="str"/>
      <x:c r="F901" s="6" t="str">
        <x:v>Device-applicability review</x:v>
      </x:c>
      <x:c r="G901" s="6" t="n">
        <x:v>4</x:v>
      </x:c>
      <x:c r="H901" s="6" t="str">
        <x:v>SIDX-0257;MFRX-0257</x:v>
      </x:c>
      <x:c r="I901" s="6" t="str">
        <x:f>IF(H901="","No upstream dependency",IF(ISNUMBER(SEARCH(";",H901)),"Multiple dependencies - verify source queues",IFERROR(XLOOKUP(H901,C2:C1586,J2:J1586),"Dependency not found")))</x:f>
        <x:v>Multiple dependencies - verify source queues</x:v>
      </x:c>
      <x:c r="J901" s="6" t="str">
        <x:v>Not Started</x:v>
      </x:c>
      <x:c r="K901" s="6" t="str">
        <x:v>Normal</x:v>
      </x:c>
      <x:c r="L901" s="6" t="str"/>
      <x:c r="M901" s="6" t="str"/>
      <x:c r="N901" s="6" t="str"/>
      <x:c r="O901" s="7" t="str"/>
      <x:c r="P901" s="6" t="str">
        <x:v>Yes</x:v>
      </x:c>
      <x:c r="Q901" s="7" t="str">
        <x:v>Requires identity and manufacturer-scope completion.</x:v>
      </x:c>
    </x:row>
    <x:row r="902">
      <x:c r="A902" s="6" t="str">
        <x:v>SEQ-DEV-0258</x:v>
      </x:c>
      <x:c r="B902" s="6" t="str">
        <x:v>Device Applicability</x:v>
      </x:c>
      <x:c r="C902" s="6" t="str">
        <x:v>DEVX-0258</x:v>
      </x:c>
      <x:c r="D902" s="6" t="str">
        <x:v>SVC000258</x:v>
      </x:c>
      <x:c r="E902" s="6" t="str"/>
      <x:c r="F902" s="6" t="str">
        <x:v>Device-applicability review</x:v>
      </x:c>
      <x:c r="G902" s="6" t="n">
        <x:v>4</x:v>
      </x:c>
      <x:c r="H902" s="6" t="str">
        <x:v>SIDX-0258;MFRX-0258</x:v>
      </x:c>
      <x:c r="I902" s="6" t="str">
        <x:f>IF(H902="","No upstream dependency",IF(ISNUMBER(SEARCH(";",H902)),"Multiple dependencies - verify source queues",IFERROR(XLOOKUP(H902,C2:C1586,J2:J1586),"Dependency not found")))</x:f>
        <x:v>Multiple dependencies - verify source queues</x:v>
      </x:c>
      <x:c r="J902" s="6" t="str">
        <x:v>Not Started</x:v>
      </x:c>
      <x:c r="K902" s="6" t="str">
        <x:v>Normal</x:v>
      </x:c>
      <x:c r="L902" s="6" t="str"/>
      <x:c r="M902" s="6" t="str"/>
      <x:c r="N902" s="6" t="str"/>
      <x:c r="O902" s="7" t="str"/>
      <x:c r="P902" s="6" t="str">
        <x:v>Yes</x:v>
      </x:c>
      <x:c r="Q902" s="7" t="str">
        <x:v>Requires identity and manufacturer-scope completion.</x:v>
      </x:c>
    </x:row>
    <x:row r="903">
      <x:c r="A903" s="6" t="str">
        <x:v>SEQ-DEV-0259</x:v>
      </x:c>
      <x:c r="B903" s="6" t="str">
        <x:v>Device Applicability</x:v>
      </x:c>
      <x:c r="C903" s="6" t="str">
        <x:v>DEVX-0259</x:v>
      </x:c>
      <x:c r="D903" s="6" t="str">
        <x:v>SVC000259</x:v>
      </x:c>
      <x:c r="E903" s="6" t="str"/>
      <x:c r="F903" s="6" t="str">
        <x:v>Device-applicability review</x:v>
      </x:c>
      <x:c r="G903" s="6" t="n">
        <x:v>4</x:v>
      </x:c>
      <x:c r="H903" s="6" t="str">
        <x:v>SIDX-0259;MFRX-0259</x:v>
      </x:c>
      <x:c r="I903" s="6" t="str">
        <x:f>IF(H903="","No upstream dependency",IF(ISNUMBER(SEARCH(";",H903)),"Multiple dependencies - verify source queues",IFERROR(XLOOKUP(H903,C2:C1586,J2:J1586),"Dependency not found")))</x:f>
        <x:v>Multiple dependencies - verify source queues</x:v>
      </x:c>
      <x:c r="J903" s="6" t="str">
        <x:v>Not Started</x:v>
      </x:c>
      <x:c r="K903" s="6" t="str">
        <x:v>Normal</x:v>
      </x:c>
      <x:c r="L903" s="6" t="str"/>
      <x:c r="M903" s="6" t="str"/>
      <x:c r="N903" s="6" t="str"/>
      <x:c r="O903" s="7" t="str"/>
      <x:c r="P903" s="6" t="str">
        <x:v>Yes</x:v>
      </x:c>
      <x:c r="Q903" s="7" t="str">
        <x:v>Requires identity and manufacturer-scope completion.</x:v>
      </x:c>
    </x:row>
    <x:row r="904">
      <x:c r="A904" s="6" t="str">
        <x:v>SEQ-DEV-0260</x:v>
      </x:c>
      <x:c r="B904" s="6" t="str">
        <x:v>Device Applicability</x:v>
      </x:c>
      <x:c r="C904" s="6" t="str">
        <x:v>DEVX-0260</x:v>
      </x:c>
      <x:c r="D904" s="6" t="str">
        <x:v>SVC000260</x:v>
      </x:c>
      <x:c r="E904" s="6" t="str"/>
      <x:c r="F904" s="6" t="str">
        <x:v>Device-applicability review</x:v>
      </x:c>
      <x:c r="G904" s="6" t="n">
        <x:v>4</x:v>
      </x:c>
      <x:c r="H904" s="6" t="str">
        <x:v>SIDX-0260;MFRX-0260</x:v>
      </x:c>
      <x:c r="I904" s="6" t="str">
        <x:f>IF(H904="","No upstream dependency",IF(ISNUMBER(SEARCH(";",H904)),"Multiple dependencies - verify source queues",IFERROR(XLOOKUP(H904,C2:C1586,J2:J1586),"Dependency not found")))</x:f>
        <x:v>Multiple dependencies - verify source queues</x:v>
      </x:c>
      <x:c r="J904" s="6" t="str">
        <x:v>Not Started</x:v>
      </x:c>
      <x:c r="K904" s="6" t="str">
        <x:v>Normal</x:v>
      </x:c>
      <x:c r="L904" s="6" t="str"/>
      <x:c r="M904" s="6" t="str"/>
      <x:c r="N904" s="6" t="str"/>
      <x:c r="O904" s="7" t="str"/>
      <x:c r="P904" s="6" t="str">
        <x:v>Yes</x:v>
      </x:c>
      <x:c r="Q904" s="7" t="str">
        <x:v>Requires identity and manufacturer-scope completion.</x:v>
      </x:c>
    </x:row>
    <x:row r="905">
      <x:c r="A905" s="6" t="str">
        <x:v>SEQ-DEV-0261</x:v>
      </x:c>
      <x:c r="B905" s="6" t="str">
        <x:v>Device Applicability</x:v>
      </x:c>
      <x:c r="C905" s="6" t="str">
        <x:v>DEVX-0261</x:v>
      </x:c>
      <x:c r="D905" s="6" t="str">
        <x:v>SVC000261</x:v>
      </x:c>
      <x:c r="E905" s="6" t="str"/>
      <x:c r="F905" s="6" t="str">
        <x:v>Device-applicability review</x:v>
      </x:c>
      <x:c r="G905" s="6" t="n">
        <x:v>4</x:v>
      </x:c>
      <x:c r="H905" s="6" t="str">
        <x:v>SIDX-0261;MFRX-0261</x:v>
      </x:c>
      <x:c r="I905" s="6" t="str">
        <x:f>IF(H905="","No upstream dependency",IF(ISNUMBER(SEARCH(";",H905)),"Multiple dependencies - verify source queues",IFERROR(XLOOKUP(H905,C2:C1586,J2:J1586),"Dependency not found")))</x:f>
        <x:v>Multiple dependencies - verify source queues</x:v>
      </x:c>
      <x:c r="J905" s="6" t="str">
        <x:v>Not Started</x:v>
      </x:c>
      <x:c r="K905" s="6" t="str">
        <x:v>Normal</x:v>
      </x:c>
      <x:c r="L905" s="6" t="str"/>
      <x:c r="M905" s="6" t="str"/>
      <x:c r="N905" s="6" t="str"/>
      <x:c r="O905" s="7" t="str"/>
      <x:c r="P905" s="6" t="str">
        <x:v>Yes</x:v>
      </x:c>
      <x:c r="Q905" s="7" t="str">
        <x:v>Requires identity and manufacturer-scope completion.</x:v>
      </x:c>
    </x:row>
    <x:row r="906">
      <x:c r="A906" s="6" t="str">
        <x:v>SEQ-DEV-0262</x:v>
      </x:c>
      <x:c r="B906" s="6" t="str">
        <x:v>Device Applicability</x:v>
      </x:c>
      <x:c r="C906" s="6" t="str">
        <x:v>DEVX-0262</x:v>
      </x:c>
      <x:c r="D906" s="6" t="str">
        <x:v>SVC000262</x:v>
      </x:c>
      <x:c r="E906" s="6" t="str"/>
      <x:c r="F906" s="6" t="str">
        <x:v>Device-applicability review</x:v>
      </x:c>
      <x:c r="G906" s="6" t="n">
        <x:v>4</x:v>
      </x:c>
      <x:c r="H906" s="6" t="str">
        <x:v>SIDX-0262;MFRX-0262</x:v>
      </x:c>
      <x:c r="I906" s="6" t="str">
        <x:f>IF(H906="","No upstream dependency",IF(ISNUMBER(SEARCH(";",H906)),"Multiple dependencies - verify source queues",IFERROR(XLOOKUP(H906,C2:C1586,J2:J1586),"Dependency not found")))</x:f>
        <x:v>Multiple dependencies - verify source queues</x:v>
      </x:c>
      <x:c r="J906" s="6" t="str">
        <x:v>Not Started</x:v>
      </x:c>
      <x:c r="K906" s="6" t="str">
        <x:v>Normal</x:v>
      </x:c>
      <x:c r="L906" s="6" t="str"/>
      <x:c r="M906" s="6" t="str"/>
      <x:c r="N906" s="6" t="str"/>
      <x:c r="O906" s="7" t="str"/>
      <x:c r="P906" s="6" t="str">
        <x:v>Yes</x:v>
      </x:c>
      <x:c r="Q906" s="7" t="str">
        <x:v>Requires identity and manufacturer-scope completion.</x:v>
      </x:c>
    </x:row>
    <x:row r="907">
      <x:c r="A907" s="6" t="str">
        <x:v>SEQ-DEV-0263</x:v>
      </x:c>
      <x:c r="B907" s="6" t="str">
        <x:v>Device Applicability</x:v>
      </x:c>
      <x:c r="C907" s="6" t="str">
        <x:v>DEVX-0263</x:v>
      </x:c>
      <x:c r="D907" s="6" t="str">
        <x:v>SVC000263</x:v>
      </x:c>
      <x:c r="E907" s="6" t="str"/>
      <x:c r="F907" s="6" t="str">
        <x:v>Device-applicability review</x:v>
      </x:c>
      <x:c r="G907" s="6" t="n">
        <x:v>4</x:v>
      </x:c>
      <x:c r="H907" s="6" t="str">
        <x:v>SIDX-0263;MFRX-0263</x:v>
      </x:c>
      <x:c r="I907" s="6" t="str">
        <x:f>IF(H907="","No upstream dependency",IF(ISNUMBER(SEARCH(";",H907)),"Multiple dependencies - verify source queues",IFERROR(XLOOKUP(H907,C2:C1586,J2:J1586),"Dependency not found")))</x:f>
        <x:v>Multiple dependencies - verify source queues</x:v>
      </x:c>
      <x:c r="J907" s="6" t="str">
        <x:v>Not Started</x:v>
      </x:c>
      <x:c r="K907" s="6" t="str">
        <x:v>Normal</x:v>
      </x:c>
      <x:c r="L907" s="6" t="str"/>
      <x:c r="M907" s="6" t="str"/>
      <x:c r="N907" s="6" t="str"/>
      <x:c r="O907" s="7" t="str"/>
      <x:c r="P907" s="6" t="str">
        <x:v>Yes</x:v>
      </x:c>
      <x:c r="Q907" s="7" t="str">
        <x:v>Requires identity and manufacturer-scope completion.</x:v>
      </x:c>
    </x:row>
    <x:row r="908">
      <x:c r="A908" s="6" t="str">
        <x:v>SEQ-DEV-0264</x:v>
      </x:c>
      <x:c r="B908" s="6" t="str">
        <x:v>Device Applicability</x:v>
      </x:c>
      <x:c r="C908" s="6" t="str">
        <x:v>DEVX-0264</x:v>
      </x:c>
      <x:c r="D908" s="6" t="str">
        <x:v>SVC000264</x:v>
      </x:c>
      <x:c r="E908" s="6" t="str"/>
      <x:c r="F908" s="6" t="str">
        <x:v>Device-applicability review</x:v>
      </x:c>
      <x:c r="G908" s="6" t="n">
        <x:v>4</x:v>
      </x:c>
      <x:c r="H908" s="6" t="str">
        <x:v>SIDX-0264;MFRX-0264</x:v>
      </x:c>
      <x:c r="I908" s="6" t="str">
        <x:f>IF(H908="","No upstream dependency",IF(ISNUMBER(SEARCH(";",H908)),"Multiple dependencies - verify source queues",IFERROR(XLOOKUP(H908,C2:C1586,J2:J1586),"Dependency not found")))</x:f>
        <x:v>Multiple dependencies - verify source queues</x:v>
      </x:c>
      <x:c r="J908" s="6" t="str">
        <x:v>Not Started</x:v>
      </x:c>
      <x:c r="K908" s="6" t="str">
        <x:v>Normal</x:v>
      </x:c>
      <x:c r="L908" s="6" t="str"/>
      <x:c r="M908" s="6" t="str"/>
      <x:c r="N908" s="6" t="str"/>
      <x:c r="O908" s="7" t="str"/>
      <x:c r="P908" s="6" t="str">
        <x:v>Yes</x:v>
      </x:c>
      <x:c r="Q908" s="7" t="str">
        <x:v>Requires identity and manufacturer-scope completion.</x:v>
      </x:c>
    </x:row>
    <x:row r="909">
      <x:c r="A909" s="6" t="str">
        <x:v>SEQ-DEV-0265</x:v>
      </x:c>
      <x:c r="B909" s="6" t="str">
        <x:v>Device Applicability</x:v>
      </x:c>
      <x:c r="C909" s="6" t="str">
        <x:v>DEVX-0265</x:v>
      </x:c>
      <x:c r="D909" s="6" t="str">
        <x:v>SVC000265</x:v>
      </x:c>
      <x:c r="E909" s="6" t="str"/>
      <x:c r="F909" s="6" t="str">
        <x:v>Device-applicability review</x:v>
      </x:c>
      <x:c r="G909" s="6" t="n">
        <x:v>4</x:v>
      </x:c>
      <x:c r="H909" s="6" t="str">
        <x:v>SIDX-0265;MFRX-0265</x:v>
      </x:c>
      <x:c r="I909" s="6" t="str">
        <x:f>IF(H909="","No upstream dependency",IF(ISNUMBER(SEARCH(";",H909)),"Multiple dependencies - verify source queues",IFERROR(XLOOKUP(H909,C2:C1586,J2:J1586),"Dependency not found")))</x:f>
        <x:v>Multiple dependencies - verify source queues</x:v>
      </x:c>
      <x:c r="J909" s="6" t="str">
        <x:v>Not Started</x:v>
      </x:c>
      <x:c r="K909" s="6" t="str">
        <x:v>Normal</x:v>
      </x:c>
      <x:c r="L909" s="6" t="str"/>
      <x:c r="M909" s="6" t="str"/>
      <x:c r="N909" s="6" t="str"/>
      <x:c r="O909" s="7" t="str"/>
      <x:c r="P909" s="6" t="str">
        <x:v>Yes</x:v>
      </x:c>
      <x:c r="Q909" s="7" t="str">
        <x:v>Requires identity and manufacturer-scope completion.</x:v>
      </x:c>
    </x:row>
    <x:row r="910">
      <x:c r="A910" s="6" t="str">
        <x:v>SEQ-DEV-0266</x:v>
      </x:c>
      <x:c r="B910" s="6" t="str">
        <x:v>Device Applicability</x:v>
      </x:c>
      <x:c r="C910" s="6" t="str">
        <x:v>DEVX-0266</x:v>
      </x:c>
      <x:c r="D910" s="6" t="str">
        <x:v>SVC000266</x:v>
      </x:c>
      <x:c r="E910" s="6" t="str"/>
      <x:c r="F910" s="6" t="str">
        <x:v>Device-applicability review</x:v>
      </x:c>
      <x:c r="G910" s="6" t="n">
        <x:v>4</x:v>
      </x:c>
      <x:c r="H910" s="6" t="str">
        <x:v>SIDX-0266;MFRX-0266</x:v>
      </x:c>
      <x:c r="I910" s="6" t="str">
        <x:f>IF(H910="","No upstream dependency",IF(ISNUMBER(SEARCH(";",H910)),"Multiple dependencies - verify source queues",IFERROR(XLOOKUP(H910,C2:C1586,J2:J1586),"Dependency not found")))</x:f>
        <x:v>Multiple dependencies - verify source queues</x:v>
      </x:c>
      <x:c r="J910" s="6" t="str">
        <x:v>Not Started</x:v>
      </x:c>
      <x:c r="K910" s="6" t="str">
        <x:v>Normal</x:v>
      </x:c>
      <x:c r="L910" s="6" t="str"/>
      <x:c r="M910" s="6" t="str"/>
      <x:c r="N910" s="6" t="str"/>
      <x:c r="O910" s="7" t="str"/>
      <x:c r="P910" s="6" t="str">
        <x:v>Yes</x:v>
      </x:c>
      <x:c r="Q910" s="7" t="str">
        <x:v>Requires identity and manufacturer-scope completion.</x:v>
      </x:c>
    </x:row>
    <x:row r="911">
      <x:c r="A911" s="6" t="str">
        <x:v>SEQ-DEV-0267</x:v>
      </x:c>
      <x:c r="B911" s="6" t="str">
        <x:v>Device Applicability</x:v>
      </x:c>
      <x:c r="C911" s="6" t="str">
        <x:v>DEVX-0267</x:v>
      </x:c>
      <x:c r="D911" s="6" t="str">
        <x:v>SVC000267</x:v>
      </x:c>
      <x:c r="E911" s="6" t="str"/>
      <x:c r="F911" s="6" t="str">
        <x:v>Device-applicability review</x:v>
      </x:c>
      <x:c r="G911" s="6" t="n">
        <x:v>4</x:v>
      </x:c>
      <x:c r="H911" s="6" t="str">
        <x:v>SIDX-0267;MFRX-0267</x:v>
      </x:c>
      <x:c r="I911" s="6" t="str">
        <x:f>IF(H911="","No upstream dependency",IF(ISNUMBER(SEARCH(";",H911)),"Multiple dependencies - verify source queues",IFERROR(XLOOKUP(H911,C2:C1586,J2:J1586),"Dependency not found")))</x:f>
        <x:v>Multiple dependencies - verify source queues</x:v>
      </x:c>
      <x:c r="J911" s="6" t="str">
        <x:v>Not Started</x:v>
      </x:c>
      <x:c r="K911" s="6" t="str">
        <x:v>Normal</x:v>
      </x:c>
      <x:c r="L911" s="6" t="str"/>
      <x:c r="M911" s="6" t="str"/>
      <x:c r="N911" s="6" t="str"/>
      <x:c r="O911" s="7" t="str"/>
      <x:c r="P911" s="6" t="str">
        <x:v>Yes</x:v>
      </x:c>
      <x:c r="Q911" s="7" t="str">
        <x:v>Requires identity and manufacturer-scope completion.</x:v>
      </x:c>
    </x:row>
    <x:row r="912">
      <x:c r="A912" s="6" t="str">
        <x:v>SEQ-DEV-0268</x:v>
      </x:c>
      <x:c r="B912" s="6" t="str">
        <x:v>Device Applicability</x:v>
      </x:c>
      <x:c r="C912" s="6" t="str">
        <x:v>DEVX-0268</x:v>
      </x:c>
      <x:c r="D912" s="6" t="str">
        <x:v>SVC000268</x:v>
      </x:c>
      <x:c r="E912" s="6" t="str"/>
      <x:c r="F912" s="6" t="str">
        <x:v>Device-applicability review</x:v>
      </x:c>
      <x:c r="G912" s="6" t="n">
        <x:v>4</x:v>
      </x:c>
      <x:c r="H912" s="6" t="str">
        <x:v>SIDX-0268;MFRX-0268</x:v>
      </x:c>
      <x:c r="I912" s="6" t="str">
        <x:f>IF(H912="","No upstream dependency",IF(ISNUMBER(SEARCH(";",H912)),"Multiple dependencies - verify source queues",IFERROR(XLOOKUP(H912,C2:C1586,J2:J1586),"Dependency not found")))</x:f>
        <x:v>Multiple dependencies - verify source queues</x:v>
      </x:c>
      <x:c r="J912" s="6" t="str">
        <x:v>Not Started</x:v>
      </x:c>
      <x:c r="K912" s="6" t="str">
        <x:v>Normal</x:v>
      </x:c>
      <x:c r="L912" s="6" t="str"/>
      <x:c r="M912" s="6" t="str"/>
      <x:c r="N912" s="6" t="str"/>
      <x:c r="O912" s="7" t="str"/>
      <x:c r="P912" s="6" t="str">
        <x:v>Yes</x:v>
      </x:c>
      <x:c r="Q912" s="7" t="str">
        <x:v>Requires identity and manufacturer-scope completion.</x:v>
      </x:c>
    </x:row>
    <x:row r="913">
      <x:c r="A913" s="6" t="str">
        <x:v>SEQ-DEV-0269</x:v>
      </x:c>
      <x:c r="B913" s="6" t="str">
        <x:v>Device Applicability</x:v>
      </x:c>
      <x:c r="C913" s="6" t="str">
        <x:v>DEVX-0269</x:v>
      </x:c>
      <x:c r="D913" s="6" t="str">
        <x:v>SVC000269</x:v>
      </x:c>
      <x:c r="E913" s="6" t="str"/>
      <x:c r="F913" s="6" t="str">
        <x:v>Device-applicability review</x:v>
      </x:c>
      <x:c r="G913" s="6" t="n">
        <x:v>4</x:v>
      </x:c>
      <x:c r="H913" s="6" t="str">
        <x:v>SIDX-0269;MFRX-0269</x:v>
      </x:c>
      <x:c r="I913" s="6" t="str">
        <x:f>IF(H913="","No upstream dependency",IF(ISNUMBER(SEARCH(";",H913)),"Multiple dependencies - verify source queues",IFERROR(XLOOKUP(H913,C2:C1586,J2:J1586),"Dependency not found")))</x:f>
        <x:v>Multiple dependencies - verify source queues</x:v>
      </x:c>
      <x:c r="J913" s="6" t="str">
        <x:v>Not Started</x:v>
      </x:c>
      <x:c r="K913" s="6" t="str">
        <x:v>Normal</x:v>
      </x:c>
      <x:c r="L913" s="6" t="str"/>
      <x:c r="M913" s="6" t="str"/>
      <x:c r="N913" s="6" t="str"/>
      <x:c r="O913" s="7" t="str"/>
      <x:c r="P913" s="6" t="str">
        <x:v>Yes</x:v>
      </x:c>
      <x:c r="Q913" s="7" t="str">
        <x:v>Requires identity and manufacturer-scope completion.</x:v>
      </x:c>
    </x:row>
    <x:row r="914">
      <x:c r="A914" s="6" t="str">
        <x:v>SEQ-DEV-0270</x:v>
      </x:c>
      <x:c r="B914" s="6" t="str">
        <x:v>Device Applicability</x:v>
      </x:c>
      <x:c r="C914" s="6" t="str">
        <x:v>DEVX-0270</x:v>
      </x:c>
      <x:c r="D914" s="6" t="str">
        <x:v>SVC000270</x:v>
      </x:c>
      <x:c r="E914" s="6" t="str"/>
      <x:c r="F914" s="6" t="str">
        <x:v>Device-applicability review</x:v>
      </x:c>
      <x:c r="G914" s="6" t="n">
        <x:v>4</x:v>
      </x:c>
      <x:c r="H914" s="6" t="str">
        <x:v>SIDX-0270;MFRX-0270</x:v>
      </x:c>
      <x:c r="I914" s="6" t="str">
        <x:f>IF(H914="","No upstream dependency",IF(ISNUMBER(SEARCH(";",H914)),"Multiple dependencies - verify source queues",IFERROR(XLOOKUP(H914,C2:C1586,J2:J1586),"Dependency not found")))</x:f>
        <x:v>Multiple dependencies - verify source queues</x:v>
      </x:c>
      <x:c r="J914" s="6" t="str">
        <x:v>Not Started</x:v>
      </x:c>
      <x:c r="K914" s="6" t="str">
        <x:v>Normal</x:v>
      </x:c>
      <x:c r="L914" s="6" t="str"/>
      <x:c r="M914" s="6" t="str"/>
      <x:c r="N914" s="6" t="str"/>
      <x:c r="O914" s="7" t="str"/>
      <x:c r="P914" s="6" t="str">
        <x:v>Yes</x:v>
      </x:c>
      <x:c r="Q914" s="7" t="str">
        <x:v>Requires identity and manufacturer-scope completion.</x:v>
      </x:c>
    </x:row>
    <x:row r="915">
      <x:c r="A915" s="6" t="str">
        <x:v>SEQ-DEV-0271</x:v>
      </x:c>
      <x:c r="B915" s="6" t="str">
        <x:v>Device Applicability</x:v>
      </x:c>
      <x:c r="C915" s="6" t="str">
        <x:v>DEVX-0271</x:v>
      </x:c>
      <x:c r="D915" s="6" t="str">
        <x:v>SVC000271</x:v>
      </x:c>
      <x:c r="E915" s="6" t="str"/>
      <x:c r="F915" s="6" t="str">
        <x:v>Device-applicability review</x:v>
      </x:c>
      <x:c r="G915" s="6" t="n">
        <x:v>4</x:v>
      </x:c>
      <x:c r="H915" s="6" t="str">
        <x:v>SIDX-0271;MFRX-0271</x:v>
      </x:c>
      <x:c r="I915" s="6" t="str">
        <x:f>IF(H915="","No upstream dependency",IF(ISNUMBER(SEARCH(";",H915)),"Multiple dependencies - verify source queues",IFERROR(XLOOKUP(H915,C2:C1586,J2:J1586),"Dependency not found")))</x:f>
        <x:v>Multiple dependencies - verify source queues</x:v>
      </x:c>
      <x:c r="J915" s="6" t="str">
        <x:v>Not Started</x:v>
      </x:c>
      <x:c r="K915" s="6" t="str">
        <x:v>Normal</x:v>
      </x:c>
      <x:c r="L915" s="6" t="str"/>
      <x:c r="M915" s="6" t="str"/>
      <x:c r="N915" s="6" t="str"/>
      <x:c r="O915" s="7" t="str"/>
      <x:c r="P915" s="6" t="str">
        <x:v>Yes</x:v>
      </x:c>
      <x:c r="Q915" s="7" t="str">
        <x:v>Requires identity and manufacturer-scope completion.</x:v>
      </x:c>
    </x:row>
    <x:row r="916">
      <x:c r="A916" s="6" t="str">
        <x:v>SEQ-DEV-0272</x:v>
      </x:c>
      <x:c r="B916" s="6" t="str">
        <x:v>Device Applicability</x:v>
      </x:c>
      <x:c r="C916" s="6" t="str">
        <x:v>DEVX-0272</x:v>
      </x:c>
      <x:c r="D916" s="6" t="str">
        <x:v>SVC000272</x:v>
      </x:c>
      <x:c r="E916" s="6" t="str"/>
      <x:c r="F916" s="6" t="str">
        <x:v>Device-applicability review</x:v>
      </x:c>
      <x:c r="G916" s="6" t="n">
        <x:v>4</x:v>
      </x:c>
      <x:c r="H916" s="6" t="str">
        <x:v>SIDX-0272;MFRX-0272</x:v>
      </x:c>
      <x:c r="I916" s="6" t="str">
        <x:f>IF(H916="","No upstream dependency",IF(ISNUMBER(SEARCH(";",H916)),"Multiple dependencies - verify source queues",IFERROR(XLOOKUP(H916,C2:C1586,J2:J1586),"Dependency not found")))</x:f>
        <x:v>Multiple dependencies - verify source queues</x:v>
      </x:c>
      <x:c r="J916" s="6" t="str">
        <x:v>Not Started</x:v>
      </x:c>
      <x:c r="K916" s="6" t="str">
        <x:v>Normal</x:v>
      </x:c>
      <x:c r="L916" s="6" t="str"/>
      <x:c r="M916" s="6" t="str"/>
      <x:c r="N916" s="6" t="str"/>
      <x:c r="O916" s="7" t="str"/>
      <x:c r="P916" s="6" t="str">
        <x:v>Yes</x:v>
      </x:c>
      <x:c r="Q916" s="7" t="str">
        <x:v>Requires identity and manufacturer-scope completion.</x:v>
      </x:c>
    </x:row>
    <x:row r="917">
      <x:c r="A917" s="6" t="str">
        <x:v>SEQ-DEV-0273</x:v>
      </x:c>
      <x:c r="B917" s="6" t="str">
        <x:v>Device Applicability</x:v>
      </x:c>
      <x:c r="C917" s="6" t="str">
        <x:v>DEVX-0273</x:v>
      </x:c>
      <x:c r="D917" s="6" t="str">
        <x:v>SVC000273</x:v>
      </x:c>
      <x:c r="E917" s="6" t="str"/>
      <x:c r="F917" s="6" t="str">
        <x:v>Device-applicability review</x:v>
      </x:c>
      <x:c r="G917" s="6" t="n">
        <x:v>4</x:v>
      </x:c>
      <x:c r="H917" s="6" t="str">
        <x:v>SIDX-0273;MFRX-0273</x:v>
      </x:c>
      <x:c r="I917" s="6" t="str">
        <x:f>IF(H917="","No upstream dependency",IF(ISNUMBER(SEARCH(";",H917)),"Multiple dependencies - verify source queues",IFERROR(XLOOKUP(H917,C2:C1586,J2:J1586),"Dependency not found")))</x:f>
        <x:v>Multiple dependencies - verify source queues</x:v>
      </x:c>
      <x:c r="J917" s="6" t="str">
        <x:v>Not Started</x:v>
      </x:c>
      <x:c r="K917" s="6" t="str">
        <x:v>Normal</x:v>
      </x:c>
      <x:c r="L917" s="6" t="str"/>
      <x:c r="M917" s="6" t="str"/>
      <x:c r="N917" s="6" t="str"/>
      <x:c r="O917" s="7" t="str"/>
      <x:c r="P917" s="6" t="str">
        <x:v>Yes</x:v>
      </x:c>
      <x:c r="Q917" s="7" t="str">
        <x:v>Requires identity and manufacturer-scope completion.</x:v>
      </x:c>
    </x:row>
    <x:row r="918">
      <x:c r="A918" s="6" t="str">
        <x:v>SEQ-DEV-0274</x:v>
      </x:c>
      <x:c r="B918" s="6" t="str">
        <x:v>Device Applicability</x:v>
      </x:c>
      <x:c r="C918" s="6" t="str">
        <x:v>DEVX-0274</x:v>
      </x:c>
      <x:c r="D918" s="6" t="str">
        <x:v>SVC000274</x:v>
      </x:c>
      <x:c r="E918" s="6" t="str"/>
      <x:c r="F918" s="6" t="str">
        <x:v>Device-applicability review</x:v>
      </x:c>
      <x:c r="G918" s="6" t="n">
        <x:v>4</x:v>
      </x:c>
      <x:c r="H918" s="6" t="str">
        <x:v>SIDX-0274;MFRX-0274</x:v>
      </x:c>
      <x:c r="I918" s="6" t="str">
        <x:f>IF(H918="","No upstream dependency",IF(ISNUMBER(SEARCH(";",H918)),"Multiple dependencies - verify source queues",IFERROR(XLOOKUP(H918,C2:C1586,J2:J1586),"Dependency not found")))</x:f>
        <x:v>Multiple dependencies - verify source queues</x:v>
      </x:c>
      <x:c r="J918" s="6" t="str">
        <x:v>Not Started</x:v>
      </x:c>
      <x:c r="K918" s="6" t="str">
        <x:v>Normal</x:v>
      </x:c>
      <x:c r="L918" s="6" t="str"/>
      <x:c r="M918" s="6" t="str"/>
      <x:c r="N918" s="6" t="str"/>
      <x:c r="O918" s="7" t="str"/>
      <x:c r="P918" s="6" t="str">
        <x:v>Yes</x:v>
      </x:c>
      <x:c r="Q918" s="7" t="str">
        <x:v>Requires identity and manufacturer-scope completion.</x:v>
      </x:c>
    </x:row>
    <x:row r="919">
      <x:c r="A919" s="6" t="str">
        <x:v>SEQ-DEV-0275</x:v>
      </x:c>
      <x:c r="B919" s="6" t="str">
        <x:v>Device Applicability</x:v>
      </x:c>
      <x:c r="C919" s="6" t="str">
        <x:v>DEVX-0275</x:v>
      </x:c>
      <x:c r="D919" s="6" t="str">
        <x:v>SVC000275</x:v>
      </x:c>
      <x:c r="E919" s="6" t="str"/>
      <x:c r="F919" s="6" t="str">
        <x:v>Device-applicability review</x:v>
      </x:c>
      <x:c r="G919" s="6" t="n">
        <x:v>4</x:v>
      </x:c>
      <x:c r="H919" s="6" t="str">
        <x:v>SIDX-0275;MFRX-0275</x:v>
      </x:c>
      <x:c r="I919" s="6" t="str">
        <x:f>IF(H919="","No upstream dependency",IF(ISNUMBER(SEARCH(";",H919)),"Multiple dependencies - verify source queues",IFERROR(XLOOKUP(H919,C2:C1586,J2:J1586),"Dependency not found")))</x:f>
        <x:v>Multiple dependencies - verify source queues</x:v>
      </x:c>
      <x:c r="J919" s="6" t="str">
        <x:v>Not Started</x:v>
      </x:c>
      <x:c r="K919" s="6" t="str">
        <x:v>Normal</x:v>
      </x:c>
      <x:c r="L919" s="6" t="str"/>
      <x:c r="M919" s="6" t="str"/>
      <x:c r="N919" s="6" t="str"/>
      <x:c r="O919" s="7" t="str"/>
      <x:c r="P919" s="6" t="str">
        <x:v>Yes</x:v>
      </x:c>
      <x:c r="Q919" s="7" t="str">
        <x:v>Requires identity and manufacturer-scope completion.</x:v>
      </x:c>
    </x:row>
    <x:row r="920">
      <x:c r="A920" s="6" t="str">
        <x:v>SEQ-DEV-0276</x:v>
      </x:c>
      <x:c r="B920" s="6" t="str">
        <x:v>Device Applicability</x:v>
      </x:c>
      <x:c r="C920" s="6" t="str">
        <x:v>DEVX-0276</x:v>
      </x:c>
      <x:c r="D920" s="6" t="str">
        <x:v>SVC000276</x:v>
      </x:c>
      <x:c r="E920" s="6" t="str"/>
      <x:c r="F920" s="6" t="str">
        <x:v>Device-applicability review</x:v>
      </x:c>
      <x:c r="G920" s="6" t="n">
        <x:v>4</x:v>
      </x:c>
      <x:c r="H920" s="6" t="str">
        <x:v>SIDX-0276;MFRX-0276</x:v>
      </x:c>
      <x:c r="I920" s="6" t="str">
        <x:f>IF(H920="","No upstream dependency",IF(ISNUMBER(SEARCH(";",H920)),"Multiple dependencies - verify source queues",IFERROR(XLOOKUP(H920,C2:C1586,J2:J1586),"Dependency not found")))</x:f>
        <x:v>Multiple dependencies - verify source queues</x:v>
      </x:c>
      <x:c r="J920" s="6" t="str">
        <x:v>Not Started</x:v>
      </x:c>
      <x:c r="K920" s="6" t="str">
        <x:v>Normal</x:v>
      </x:c>
      <x:c r="L920" s="6" t="str"/>
      <x:c r="M920" s="6" t="str"/>
      <x:c r="N920" s="6" t="str"/>
      <x:c r="O920" s="7" t="str"/>
      <x:c r="P920" s="6" t="str">
        <x:v>Yes</x:v>
      </x:c>
      <x:c r="Q920" s="7" t="str">
        <x:v>Requires identity and manufacturer-scope completion.</x:v>
      </x:c>
    </x:row>
    <x:row r="921">
      <x:c r="A921" s="6" t="str">
        <x:v>SEQ-DEV-0277</x:v>
      </x:c>
      <x:c r="B921" s="6" t="str">
        <x:v>Device Applicability</x:v>
      </x:c>
      <x:c r="C921" s="6" t="str">
        <x:v>DEVX-0277</x:v>
      </x:c>
      <x:c r="D921" s="6" t="str">
        <x:v>SVC000277</x:v>
      </x:c>
      <x:c r="E921" s="6" t="str"/>
      <x:c r="F921" s="6" t="str">
        <x:v>Device-applicability review</x:v>
      </x:c>
      <x:c r="G921" s="6" t="n">
        <x:v>4</x:v>
      </x:c>
      <x:c r="H921" s="6" t="str">
        <x:v>SIDX-0277;MFRX-0277</x:v>
      </x:c>
      <x:c r="I921" s="6" t="str">
        <x:f>IF(H921="","No upstream dependency",IF(ISNUMBER(SEARCH(";",H921)),"Multiple dependencies - verify source queues",IFERROR(XLOOKUP(H921,C2:C1586,J2:J1586),"Dependency not found")))</x:f>
        <x:v>Multiple dependencies - verify source queues</x:v>
      </x:c>
      <x:c r="J921" s="6" t="str">
        <x:v>Not Started</x:v>
      </x:c>
      <x:c r="K921" s="6" t="str">
        <x:v>Normal</x:v>
      </x:c>
      <x:c r="L921" s="6" t="str"/>
      <x:c r="M921" s="6" t="str"/>
      <x:c r="N921" s="6" t="str"/>
      <x:c r="O921" s="7" t="str"/>
      <x:c r="P921" s="6" t="str">
        <x:v>Yes</x:v>
      </x:c>
      <x:c r="Q921" s="7" t="str">
        <x:v>Requires identity and manufacturer-scope completion.</x:v>
      </x:c>
    </x:row>
    <x:row r="922">
      <x:c r="A922" s="6" t="str">
        <x:v>SEQ-DEV-0278</x:v>
      </x:c>
      <x:c r="B922" s="6" t="str">
        <x:v>Device Applicability</x:v>
      </x:c>
      <x:c r="C922" s="6" t="str">
        <x:v>DEVX-0278</x:v>
      </x:c>
      <x:c r="D922" s="6" t="str">
        <x:v>SVC000278</x:v>
      </x:c>
      <x:c r="E922" s="6" t="str"/>
      <x:c r="F922" s="6" t="str">
        <x:v>Device-applicability review</x:v>
      </x:c>
      <x:c r="G922" s="6" t="n">
        <x:v>4</x:v>
      </x:c>
      <x:c r="H922" s="6" t="str">
        <x:v>SIDX-0278;MFRX-0278</x:v>
      </x:c>
      <x:c r="I922" s="6" t="str">
        <x:f>IF(H922="","No upstream dependency",IF(ISNUMBER(SEARCH(";",H922)),"Multiple dependencies - verify source queues",IFERROR(XLOOKUP(H922,C2:C1586,J2:J1586),"Dependency not found")))</x:f>
        <x:v>Multiple dependencies - verify source queues</x:v>
      </x:c>
      <x:c r="J922" s="6" t="str">
        <x:v>Not Started</x:v>
      </x:c>
      <x:c r="K922" s="6" t="str">
        <x:v>Normal</x:v>
      </x:c>
      <x:c r="L922" s="6" t="str"/>
      <x:c r="M922" s="6" t="str"/>
      <x:c r="N922" s="6" t="str"/>
      <x:c r="O922" s="7" t="str"/>
      <x:c r="P922" s="6" t="str">
        <x:v>Yes</x:v>
      </x:c>
      <x:c r="Q922" s="7" t="str">
        <x:v>Requires identity and manufacturer-scope completion.</x:v>
      </x:c>
    </x:row>
    <x:row r="923">
      <x:c r="A923" s="6" t="str">
        <x:v>SEQ-DEV-0279</x:v>
      </x:c>
      <x:c r="B923" s="6" t="str">
        <x:v>Device Applicability</x:v>
      </x:c>
      <x:c r="C923" s="6" t="str">
        <x:v>DEVX-0279</x:v>
      </x:c>
      <x:c r="D923" s="6" t="str">
        <x:v>SVC000279</x:v>
      </x:c>
      <x:c r="E923" s="6" t="str"/>
      <x:c r="F923" s="6" t="str">
        <x:v>Device-applicability review</x:v>
      </x:c>
      <x:c r="G923" s="6" t="n">
        <x:v>4</x:v>
      </x:c>
      <x:c r="H923" s="6" t="str">
        <x:v>SIDX-0279;MFRX-0279</x:v>
      </x:c>
      <x:c r="I923" s="6" t="str">
        <x:f>IF(H923="","No upstream dependency",IF(ISNUMBER(SEARCH(";",H923)),"Multiple dependencies - verify source queues",IFERROR(XLOOKUP(H923,C2:C1586,J2:J1586),"Dependency not found")))</x:f>
        <x:v>Multiple dependencies - verify source queues</x:v>
      </x:c>
      <x:c r="J923" s="6" t="str">
        <x:v>Not Started</x:v>
      </x:c>
      <x:c r="K923" s="6" t="str">
        <x:v>Normal</x:v>
      </x:c>
      <x:c r="L923" s="6" t="str"/>
      <x:c r="M923" s="6" t="str"/>
      <x:c r="N923" s="6" t="str"/>
      <x:c r="O923" s="7" t="str"/>
      <x:c r="P923" s="6" t="str">
        <x:v>Yes</x:v>
      </x:c>
      <x:c r="Q923" s="7" t="str">
        <x:v>Requires identity and manufacturer-scope completion.</x:v>
      </x:c>
    </x:row>
    <x:row r="924">
      <x:c r="A924" s="6" t="str">
        <x:v>SEQ-DEV-0280</x:v>
      </x:c>
      <x:c r="B924" s="6" t="str">
        <x:v>Device Applicability</x:v>
      </x:c>
      <x:c r="C924" s="6" t="str">
        <x:v>DEVX-0280</x:v>
      </x:c>
      <x:c r="D924" s="6" t="str">
        <x:v>SVC000280</x:v>
      </x:c>
      <x:c r="E924" s="6" t="str"/>
      <x:c r="F924" s="6" t="str">
        <x:v>Device-applicability review</x:v>
      </x:c>
      <x:c r="G924" s="6" t="n">
        <x:v>4</x:v>
      </x:c>
      <x:c r="H924" s="6" t="str">
        <x:v>SIDX-0280;MFRX-0280</x:v>
      </x:c>
      <x:c r="I924" s="6" t="str">
        <x:f>IF(H924="","No upstream dependency",IF(ISNUMBER(SEARCH(";",H924)),"Multiple dependencies - verify source queues",IFERROR(XLOOKUP(H924,C2:C1586,J2:J1586),"Dependency not found")))</x:f>
        <x:v>Multiple dependencies - verify source queues</x:v>
      </x:c>
      <x:c r="J924" s="6" t="str">
        <x:v>Not Started</x:v>
      </x:c>
      <x:c r="K924" s="6" t="str">
        <x:v>Normal</x:v>
      </x:c>
      <x:c r="L924" s="6" t="str"/>
      <x:c r="M924" s="6" t="str"/>
      <x:c r="N924" s="6" t="str"/>
      <x:c r="O924" s="7" t="str"/>
      <x:c r="P924" s="6" t="str">
        <x:v>Yes</x:v>
      </x:c>
      <x:c r="Q924" s="7" t="str">
        <x:v>Requires identity and manufacturer-scope completion.</x:v>
      </x:c>
    </x:row>
    <x:row r="925">
      <x:c r="A925" s="6" t="str">
        <x:v>SEQ-DEV-0281</x:v>
      </x:c>
      <x:c r="B925" s="6" t="str">
        <x:v>Device Applicability</x:v>
      </x:c>
      <x:c r="C925" s="6" t="str">
        <x:v>DEVX-0281</x:v>
      </x:c>
      <x:c r="D925" s="6" t="str">
        <x:v>SVC000281</x:v>
      </x:c>
      <x:c r="E925" s="6" t="str"/>
      <x:c r="F925" s="6" t="str">
        <x:v>Device-applicability review</x:v>
      </x:c>
      <x:c r="G925" s="6" t="n">
        <x:v>4</x:v>
      </x:c>
      <x:c r="H925" s="6" t="str">
        <x:v>SIDX-0281;MFRX-0281</x:v>
      </x:c>
      <x:c r="I925" s="6" t="str">
        <x:f>IF(H925="","No upstream dependency",IF(ISNUMBER(SEARCH(";",H925)),"Multiple dependencies - verify source queues",IFERROR(XLOOKUP(H925,C2:C1586,J2:J1586),"Dependency not found")))</x:f>
        <x:v>Multiple dependencies - verify source queues</x:v>
      </x:c>
      <x:c r="J925" s="6" t="str">
        <x:v>Not Started</x:v>
      </x:c>
      <x:c r="K925" s="6" t="str">
        <x:v>Normal</x:v>
      </x:c>
      <x:c r="L925" s="6" t="str"/>
      <x:c r="M925" s="6" t="str"/>
      <x:c r="N925" s="6" t="str"/>
      <x:c r="O925" s="7" t="str"/>
      <x:c r="P925" s="6" t="str">
        <x:v>Yes</x:v>
      </x:c>
      <x:c r="Q925" s="7" t="str">
        <x:v>Requires identity and manufacturer-scope completion.</x:v>
      </x:c>
    </x:row>
    <x:row r="926">
      <x:c r="A926" s="6" t="str">
        <x:v>SEQ-DEV-0282</x:v>
      </x:c>
      <x:c r="B926" s="6" t="str">
        <x:v>Device Applicability</x:v>
      </x:c>
      <x:c r="C926" s="6" t="str">
        <x:v>DEVX-0282</x:v>
      </x:c>
      <x:c r="D926" s="6" t="str">
        <x:v>SVC000282</x:v>
      </x:c>
      <x:c r="E926" s="6" t="str"/>
      <x:c r="F926" s="6" t="str">
        <x:v>Device-applicability review</x:v>
      </x:c>
      <x:c r="G926" s="6" t="n">
        <x:v>4</x:v>
      </x:c>
      <x:c r="H926" s="6" t="str">
        <x:v>SIDX-0282;MFRX-0282</x:v>
      </x:c>
      <x:c r="I926" s="6" t="str">
        <x:f>IF(H926="","No upstream dependency",IF(ISNUMBER(SEARCH(";",H926)),"Multiple dependencies - verify source queues",IFERROR(XLOOKUP(H926,C2:C1586,J2:J1586),"Dependency not found")))</x:f>
        <x:v>Multiple dependencies - verify source queues</x:v>
      </x:c>
      <x:c r="J926" s="6" t="str">
        <x:v>Not Started</x:v>
      </x:c>
      <x:c r="K926" s="6" t="str">
        <x:v>Normal</x:v>
      </x:c>
      <x:c r="L926" s="6" t="str"/>
      <x:c r="M926" s="6" t="str"/>
      <x:c r="N926" s="6" t="str"/>
      <x:c r="O926" s="7" t="str"/>
      <x:c r="P926" s="6" t="str">
        <x:v>Yes</x:v>
      </x:c>
      <x:c r="Q926" s="7" t="str">
        <x:v>Requires identity and manufacturer-scope completion.</x:v>
      </x:c>
    </x:row>
    <x:row r="927">
      <x:c r="A927" s="6" t="str">
        <x:v>SEQ-DEV-0283</x:v>
      </x:c>
      <x:c r="B927" s="6" t="str">
        <x:v>Device Applicability</x:v>
      </x:c>
      <x:c r="C927" s="6" t="str">
        <x:v>DEVX-0283</x:v>
      </x:c>
      <x:c r="D927" s="6" t="str">
        <x:v>SVC000283</x:v>
      </x:c>
      <x:c r="E927" s="6" t="str"/>
      <x:c r="F927" s="6" t="str">
        <x:v>Device-applicability review</x:v>
      </x:c>
      <x:c r="G927" s="6" t="n">
        <x:v>4</x:v>
      </x:c>
      <x:c r="H927" s="6" t="str">
        <x:v>SIDX-0283;MFRX-0283</x:v>
      </x:c>
      <x:c r="I927" s="6" t="str">
        <x:f>IF(H927="","No upstream dependency",IF(ISNUMBER(SEARCH(";",H927)),"Multiple dependencies - verify source queues",IFERROR(XLOOKUP(H927,C2:C1586,J2:J1586),"Dependency not found")))</x:f>
        <x:v>Multiple dependencies - verify source queues</x:v>
      </x:c>
      <x:c r="J927" s="6" t="str">
        <x:v>Not Started</x:v>
      </x:c>
      <x:c r="K927" s="6" t="str">
        <x:v>Normal</x:v>
      </x:c>
      <x:c r="L927" s="6" t="str"/>
      <x:c r="M927" s="6" t="str"/>
      <x:c r="N927" s="6" t="str"/>
      <x:c r="O927" s="7" t="str"/>
      <x:c r="P927" s="6" t="str">
        <x:v>Yes</x:v>
      </x:c>
      <x:c r="Q927" s="7" t="str">
        <x:v>Requires identity and manufacturer-scope completion.</x:v>
      </x:c>
    </x:row>
    <x:row r="928">
      <x:c r="A928" s="6" t="str">
        <x:v>SEQ-DEV-0284</x:v>
      </x:c>
      <x:c r="B928" s="6" t="str">
        <x:v>Device Applicability</x:v>
      </x:c>
      <x:c r="C928" s="6" t="str">
        <x:v>DEVX-0284</x:v>
      </x:c>
      <x:c r="D928" s="6" t="str">
        <x:v>SVC000284</x:v>
      </x:c>
      <x:c r="E928" s="6" t="str"/>
      <x:c r="F928" s="6" t="str">
        <x:v>Device-applicability review</x:v>
      </x:c>
      <x:c r="G928" s="6" t="n">
        <x:v>4</x:v>
      </x:c>
      <x:c r="H928" s="6" t="str">
        <x:v>SIDX-0284;MFRX-0284</x:v>
      </x:c>
      <x:c r="I928" s="6" t="str">
        <x:f>IF(H928="","No upstream dependency",IF(ISNUMBER(SEARCH(";",H928)),"Multiple dependencies - verify source queues",IFERROR(XLOOKUP(H928,C2:C1586,J2:J1586),"Dependency not found")))</x:f>
        <x:v>Multiple dependencies - verify source queues</x:v>
      </x:c>
      <x:c r="J928" s="6" t="str">
        <x:v>Not Started</x:v>
      </x:c>
      <x:c r="K928" s="6" t="str">
        <x:v>Normal</x:v>
      </x:c>
      <x:c r="L928" s="6" t="str"/>
      <x:c r="M928" s="6" t="str"/>
      <x:c r="N928" s="6" t="str"/>
      <x:c r="O928" s="7" t="str"/>
      <x:c r="P928" s="6" t="str">
        <x:v>Yes</x:v>
      </x:c>
      <x:c r="Q928" s="7" t="str">
        <x:v>Requires identity and manufacturer-scope completion.</x:v>
      </x:c>
    </x:row>
    <x:row r="929">
      <x:c r="A929" s="6" t="str">
        <x:v>SEQ-DEV-0285</x:v>
      </x:c>
      <x:c r="B929" s="6" t="str">
        <x:v>Device Applicability</x:v>
      </x:c>
      <x:c r="C929" s="6" t="str">
        <x:v>DEVX-0285</x:v>
      </x:c>
      <x:c r="D929" s="6" t="str">
        <x:v>SVC000285</x:v>
      </x:c>
      <x:c r="E929" s="6" t="str"/>
      <x:c r="F929" s="6" t="str">
        <x:v>Device-applicability review</x:v>
      </x:c>
      <x:c r="G929" s="6" t="n">
        <x:v>4</x:v>
      </x:c>
      <x:c r="H929" s="6" t="str">
        <x:v>SIDX-0285;MFRX-0285</x:v>
      </x:c>
      <x:c r="I929" s="6" t="str">
        <x:f>IF(H929="","No upstream dependency",IF(ISNUMBER(SEARCH(";",H929)),"Multiple dependencies - verify source queues",IFERROR(XLOOKUP(H929,C2:C1586,J2:J1586),"Dependency not found")))</x:f>
        <x:v>Multiple dependencies - verify source queues</x:v>
      </x:c>
      <x:c r="J929" s="6" t="str">
        <x:v>Not Started</x:v>
      </x:c>
      <x:c r="K929" s="6" t="str">
        <x:v>Normal</x:v>
      </x:c>
      <x:c r="L929" s="6" t="str"/>
      <x:c r="M929" s="6" t="str"/>
      <x:c r="N929" s="6" t="str"/>
      <x:c r="O929" s="7" t="str"/>
      <x:c r="P929" s="6" t="str">
        <x:v>Yes</x:v>
      </x:c>
      <x:c r="Q929" s="7" t="str">
        <x:v>Requires identity and manufacturer-scope completion.</x:v>
      </x:c>
    </x:row>
    <x:row r="930">
      <x:c r="A930" s="6" t="str">
        <x:v>SEQ-DEV-0286</x:v>
      </x:c>
      <x:c r="B930" s="6" t="str">
        <x:v>Device Applicability</x:v>
      </x:c>
      <x:c r="C930" s="6" t="str">
        <x:v>DEVX-0286</x:v>
      </x:c>
      <x:c r="D930" s="6" t="str">
        <x:v>SVC000286</x:v>
      </x:c>
      <x:c r="E930" s="6" t="str"/>
      <x:c r="F930" s="6" t="str">
        <x:v>Device-applicability review</x:v>
      </x:c>
      <x:c r="G930" s="6" t="n">
        <x:v>4</x:v>
      </x:c>
      <x:c r="H930" s="6" t="str">
        <x:v>SIDX-0286;MFRX-0286</x:v>
      </x:c>
      <x:c r="I930" s="6" t="str">
        <x:f>IF(H930="","No upstream dependency",IF(ISNUMBER(SEARCH(";",H930)),"Multiple dependencies - verify source queues",IFERROR(XLOOKUP(H930,C2:C1586,J2:J1586),"Dependency not found")))</x:f>
        <x:v>Multiple dependencies - verify source queues</x:v>
      </x:c>
      <x:c r="J930" s="6" t="str">
        <x:v>Not Started</x:v>
      </x:c>
      <x:c r="K930" s="6" t="str">
        <x:v>Normal</x:v>
      </x:c>
      <x:c r="L930" s="6" t="str"/>
      <x:c r="M930" s="6" t="str"/>
      <x:c r="N930" s="6" t="str"/>
      <x:c r="O930" s="7" t="str"/>
      <x:c r="P930" s="6" t="str">
        <x:v>Yes</x:v>
      </x:c>
      <x:c r="Q930" s="7" t="str">
        <x:v>Requires identity and manufacturer-scope completion.</x:v>
      </x:c>
    </x:row>
    <x:row r="931">
      <x:c r="A931" s="6" t="str">
        <x:v>SEQ-DEV-0287</x:v>
      </x:c>
      <x:c r="B931" s="6" t="str">
        <x:v>Device Applicability</x:v>
      </x:c>
      <x:c r="C931" s="6" t="str">
        <x:v>DEVX-0287</x:v>
      </x:c>
      <x:c r="D931" s="6" t="str">
        <x:v>SVC000287</x:v>
      </x:c>
      <x:c r="E931" s="6" t="str"/>
      <x:c r="F931" s="6" t="str">
        <x:v>Device-applicability review</x:v>
      </x:c>
      <x:c r="G931" s="6" t="n">
        <x:v>4</x:v>
      </x:c>
      <x:c r="H931" s="6" t="str">
        <x:v>SIDX-0287;MFRX-0287</x:v>
      </x:c>
      <x:c r="I931" s="6" t="str">
        <x:f>IF(H931="","No upstream dependency",IF(ISNUMBER(SEARCH(";",H931)),"Multiple dependencies - verify source queues",IFERROR(XLOOKUP(H931,C2:C1586,J2:J1586),"Dependency not found")))</x:f>
        <x:v>Multiple dependencies - verify source queues</x:v>
      </x:c>
      <x:c r="J931" s="6" t="str">
        <x:v>Not Started</x:v>
      </x:c>
      <x:c r="K931" s="6" t="str">
        <x:v>Normal</x:v>
      </x:c>
      <x:c r="L931" s="6" t="str"/>
      <x:c r="M931" s="6" t="str"/>
      <x:c r="N931" s="6" t="str"/>
      <x:c r="O931" s="7" t="str"/>
      <x:c r="P931" s="6" t="str">
        <x:v>Yes</x:v>
      </x:c>
      <x:c r="Q931" s="7" t="str">
        <x:v>Requires identity and manufacturer-scope completion.</x:v>
      </x:c>
    </x:row>
    <x:row r="932">
      <x:c r="A932" s="6" t="str">
        <x:v>SEQ-DEV-0288</x:v>
      </x:c>
      <x:c r="B932" s="6" t="str">
        <x:v>Device Applicability</x:v>
      </x:c>
      <x:c r="C932" s="6" t="str">
        <x:v>DEVX-0288</x:v>
      </x:c>
      <x:c r="D932" s="6" t="str">
        <x:v>SVC000288</x:v>
      </x:c>
      <x:c r="E932" s="6" t="str"/>
      <x:c r="F932" s="6" t="str">
        <x:v>Device-applicability review</x:v>
      </x:c>
      <x:c r="G932" s="6" t="n">
        <x:v>4</x:v>
      </x:c>
      <x:c r="H932" s="6" t="str">
        <x:v>SIDX-0288;MFRX-0288</x:v>
      </x:c>
      <x:c r="I932" s="6" t="str">
        <x:f>IF(H932="","No upstream dependency",IF(ISNUMBER(SEARCH(";",H932)),"Multiple dependencies - verify source queues",IFERROR(XLOOKUP(H932,C2:C1586,J2:J1586),"Dependency not found")))</x:f>
        <x:v>Multiple dependencies - verify source queues</x:v>
      </x:c>
      <x:c r="J932" s="6" t="str">
        <x:v>Not Started</x:v>
      </x:c>
      <x:c r="K932" s="6" t="str">
        <x:v>Normal</x:v>
      </x:c>
      <x:c r="L932" s="6" t="str"/>
      <x:c r="M932" s="6" t="str"/>
      <x:c r="N932" s="6" t="str"/>
      <x:c r="O932" s="7" t="str"/>
      <x:c r="P932" s="6" t="str">
        <x:v>Yes</x:v>
      </x:c>
      <x:c r="Q932" s="7" t="str">
        <x:v>Requires identity and manufacturer-scope completion.</x:v>
      </x:c>
    </x:row>
    <x:row r="933">
      <x:c r="A933" s="6" t="str">
        <x:v>SEQ-DEV-0289</x:v>
      </x:c>
      <x:c r="B933" s="6" t="str">
        <x:v>Device Applicability</x:v>
      </x:c>
      <x:c r="C933" s="6" t="str">
        <x:v>DEVX-0289</x:v>
      </x:c>
      <x:c r="D933" s="6" t="str">
        <x:v>SVC000289</x:v>
      </x:c>
      <x:c r="E933" s="6" t="str"/>
      <x:c r="F933" s="6" t="str">
        <x:v>Device-applicability review</x:v>
      </x:c>
      <x:c r="G933" s="6" t="n">
        <x:v>4</x:v>
      </x:c>
      <x:c r="H933" s="6" t="str">
        <x:v>SIDX-0289;MFRX-0289</x:v>
      </x:c>
      <x:c r="I933" s="6" t="str">
        <x:f>IF(H933="","No upstream dependency",IF(ISNUMBER(SEARCH(";",H933)),"Multiple dependencies - verify source queues",IFERROR(XLOOKUP(H933,C2:C1586,J2:J1586),"Dependency not found")))</x:f>
        <x:v>Multiple dependencies - verify source queues</x:v>
      </x:c>
      <x:c r="J933" s="6" t="str">
        <x:v>Not Started</x:v>
      </x:c>
      <x:c r="K933" s="6" t="str">
        <x:v>Normal</x:v>
      </x:c>
      <x:c r="L933" s="6" t="str"/>
      <x:c r="M933" s="6" t="str"/>
      <x:c r="N933" s="6" t="str"/>
      <x:c r="O933" s="7" t="str"/>
      <x:c r="P933" s="6" t="str">
        <x:v>Yes</x:v>
      </x:c>
      <x:c r="Q933" s="7" t="str">
        <x:v>Requires identity and manufacturer-scope completion.</x:v>
      </x:c>
    </x:row>
    <x:row r="934">
      <x:c r="A934" s="6" t="str">
        <x:v>SEQ-DEV-0290</x:v>
      </x:c>
      <x:c r="B934" s="6" t="str">
        <x:v>Device Applicability</x:v>
      </x:c>
      <x:c r="C934" s="6" t="str">
        <x:v>DEVX-0290</x:v>
      </x:c>
      <x:c r="D934" s="6" t="str">
        <x:v>SVC000290</x:v>
      </x:c>
      <x:c r="E934" s="6" t="str"/>
      <x:c r="F934" s="6" t="str">
        <x:v>Device-applicability review</x:v>
      </x:c>
      <x:c r="G934" s="6" t="n">
        <x:v>4</x:v>
      </x:c>
      <x:c r="H934" s="6" t="str">
        <x:v>SIDX-0290;MFRX-0290</x:v>
      </x:c>
      <x:c r="I934" s="6" t="str">
        <x:f>IF(H934="","No upstream dependency",IF(ISNUMBER(SEARCH(";",H934)),"Multiple dependencies - verify source queues",IFERROR(XLOOKUP(H934,C2:C1586,J2:J1586),"Dependency not found")))</x:f>
        <x:v>Multiple dependencies - verify source queues</x:v>
      </x:c>
      <x:c r="J934" s="6" t="str">
        <x:v>Not Started</x:v>
      </x:c>
      <x:c r="K934" s="6" t="str">
        <x:v>Normal</x:v>
      </x:c>
      <x:c r="L934" s="6" t="str"/>
      <x:c r="M934" s="6" t="str"/>
      <x:c r="N934" s="6" t="str"/>
      <x:c r="O934" s="7" t="str"/>
      <x:c r="P934" s="6" t="str">
        <x:v>Yes</x:v>
      </x:c>
      <x:c r="Q934" s="7" t="str">
        <x:v>Requires identity and manufacturer-scope completion.</x:v>
      </x:c>
    </x:row>
    <x:row r="935">
      <x:c r="A935" s="6" t="str">
        <x:v>SEQ-DEV-0291</x:v>
      </x:c>
      <x:c r="B935" s="6" t="str">
        <x:v>Device Applicability</x:v>
      </x:c>
      <x:c r="C935" s="6" t="str">
        <x:v>DEVX-0291</x:v>
      </x:c>
      <x:c r="D935" s="6" t="str">
        <x:v>SVC000291</x:v>
      </x:c>
      <x:c r="E935" s="6" t="str"/>
      <x:c r="F935" s="6" t="str">
        <x:v>Device-applicability review</x:v>
      </x:c>
      <x:c r="G935" s="6" t="n">
        <x:v>4</x:v>
      </x:c>
      <x:c r="H935" s="6" t="str">
        <x:v>SIDX-0291;MFRX-0291</x:v>
      </x:c>
      <x:c r="I935" s="6" t="str">
        <x:f>IF(H935="","No upstream dependency",IF(ISNUMBER(SEARCH(";",H935)),"Multiple dependencies - verify source queues",IFERROR(XLOOKUP(H935,C2:C1586,J2:J1586),"Dependency not found")))</x:f>
        <x:v>Multiple dependencies - verify source queues</x:v>
      </x:c>
      <x:c r="J935" s="6" t="str">
        <x:v>Not Started</x:v>
      </x:c>
      <x:c r="K935" s="6" t="str">
        <x:v>Normal</x:v>
      </x:c>
      <x:c r="L935" s="6" t="str"/>
      <x:c r="M935" s="6" t="str"/>
      <x:c r="N935" s="6" t="str"/>
      <x:c r="O935" s="7" t="str"/>
      <x:c r="P935" s="6" t="str">
        <x:v>Yes</x:v>
      </x:c>
      <x:c r="Q935" s="7" t="str">
        <x:v>Requires identity and manufacturer-scope completion.</x:v>
      </x:c>
    </x:row>
    <x:row r="936">
      <x:c r="A936" s="6" t="str">
        <x:v>SEQ-DEV-0292</x:v>
      </x:c>
      <x:c r="B936" s="6" t="str">
        <x:v>Device Applicability</x:v>
      </x:c>
      <x:c r="C936" s="6" t="str">
        <x:v>DEVX-0292</x:v>
      </x:c>
      <x:c r="D936" s="6" t="str">
        <x:v>SVC000292</x:v>
      </x:c>
      <x:c r="E936" s="6" t="str"/>
      <x:c r="F936" s="6" t="str">
        <x:v>Device-applicability review</x:v>
      </x:c>
      <x:c r="G936" s="6" t="n">
        <x:v>4</x:v>
      </x:c>
      <x:c r="H936" s="6" t="str">
        <x:v>SIDX-0292;MFRX-0292</x:v>
      </x:c>
      <x:c r="I936" s="6" t="str">
        <x:f>IF(H936="","No upstream dependency",IF(ISNUMBER(SEARCH(";",H936)),"Multiple dependencies - verify source queues",IFERROR(XLOOKUP(H936,C2:C1586,J2:J1586),"Dependency not found")))</x:f>
        <x:v>Multiple dependencies - verify source queues</x:v>
      </x:c>
      <x:c r="J936" s="6" t="str">
        <x:v>Not Started</x:v>
      </x:c>
      <x:c r="K936" s="6" t="str">
        <x:v>Normal</x:v>
      </x:c>
      <x:c r="L936" s="6" t="str"/>
      <x:c r="M936" s="6" t="str"/>
      <x:c r="N936" s="6" t="str"/>
      <x:c r="O936" s="7" t="str"/>
      <x:c r="P936" s="6" t="str">
        <x:v>Yes</x:v>
      </x:c>
      <x:c r="Q936" s="7" t="str">
        <x:v>Requires identity and manufacturer-scope completion.</x:v>
      </x:c>
    </x:row>
    <x:row r="937">
      <x:c r="A937" s="6" t="str">
        <x:v>SEQ-DEV-0293</x:v>
      </x:c>
      <x:c r="B937" s="6" t="str">
        <x:v>Device Applicability</x:v>
      </x:c>
      <x:c r="C937" s="6" t="str">
        <x:v>DEVX-0293</x:v>
      </x:c>
      <x:c r="D937" s="6" t="str">
        <x:v>SVC000293</x:v>
      </x:c>
      <x:c r="E937" s="6" t="str"/>
      <x:c r="F937" s="6" t="str">
        <x:v>Device-applicability review</x:v>
      </x:c>
      <x:c r="G937" s="6" t="n">
        <x:v>4</x:v>
      </x:c>
      <x:c r="H937" s="6" t="str">
        <x:v>SIDX-0293;MFRX-0293</x:v>
      </x:c>
      <x:c r="I937" s="6" t="str">
        <x:f>IF(H937="","No upstream dependency",IF(ISNUMBER(SEARCH(";",H937)),"Multiple dependencies - verify source queues",IFERROR(XLOOKUP(H937,C2:C1586,J2:J1586),"Dependency not found")))</x:f>
        <x:v>Multiple dependencies - verify source queues</x:v>
      </x:c>
      <x:c r="J937" s="6" t="str">
        <x:v>Not Started</x:v>
      </x:c>
      <x:c r="K937" s="6" t="str">
        <x:v>Normal</x:v>
      </x:c>
      <x:c r="L937" s="6" t="str"/>
      <x:c r="M937" s="6" t="str"/>
      <x:c r="N937" s="6" t="str"/>
      <x:c r="O937" s="7" t="str"/>
      <x:c r="P937" s="6" t="str">
        <x:v>Yes</x:v>
      </x:c>
      <x:c r="Q937" s="7" t="str">
        <x:v>Requires identity and manufacturer-scope completion.</x:v>
      </x:c>
    </x:row>
    <x:row r="938">
      <x:c r="A938" s="6" t="str">
        <x:v>SEQ-DEV-0294</x:v>
      </x:c>
      <x:c r="B938" s="6" t="str">
        <x:v>Device Applicability</x:v>
      </x:c>
      <x:c r="C938" s="6" t="str">
        <x:v>DEVX-0294</x:v>
      </x:c>
      <x:c r="D938" s="6" t="str">
        <x:v>SVC000294</x:v>
      </x:c>
      <x:c r="E938" s="6" t="str"/>
      <x:c r="F938" s="6" t="str">
        <x:v>Device-applicability review</x:v>
      </x:c>
      <x:c r="G938" s="6" t="n">
        <x:v>4</x:v>
      </x:c>
      <x:c r="H938" s="6" t="str">
        <x:v>SIDX-0294;MFRX-0294</x:v>
      </x:c>
      <x:c r="I938" s="6" t="str">
        <x:f>IF(H938="","No upstream dependency",IF(ISNUMBER(SEARCH(";",H938)),"Multiple dependencies - verify source queues",IFERROR(XLOOKUP(H938,C2:C1586,J2:J1586),"Dependency not found")))</x:f>
        <x:v>Multiple dependencies - verify source queues</x:v>
      </x:c>
      <x:c r="J938" s="6" t="str">
        <x:v>Not Started</x:v>
      </x:c>
      <x:c r="K938" s="6" t="str">
        <x:v>Normal</x:v>
      </x:c>
      <x:c r="L938" s="6" t="str"/>
      <x:c r="M938" s="6" t="str"/>
      <x:c r="N938" s="6" t="str"/>
      <x:c r="O938" s="7" t="str"/>
      <x:c r="P938" s="6" t="str">
        <x:v>Yes</x:v>
      </x:c>
      <x:c r="Q938" s="7" t="str">
        <x:v>Requires identity and manufacturer-scope completion.</x:v>
      </x:c>
    </x:row>
    <x:row r="939">
      <x:c r="A939" s="6" t="str">
        <x:v>SEQ-DEV-0295</x:v>
      </x:c>
      <x:c r="B939" s="6" t="str">
        <x:v>Device Applicability</x:v>
      </x:c>
      <x:c r="C939" s="6" t="str">
        <x:v>DEVX-0295</x:v>
      </x:c>
      <x:c r="D939" s="6" t="str">
        <x:v>SVC000295</x:v>
      </x:c>
      <x:c r="E939" s="6" t="str"/>
      <x:c r="F939" s="6" t="str">
        <x:v>Device-applicability review</x:v>
      </x:c>
      <x:c r="G939" s="6" t="n">
        <x:v>4</x:v>
      </x:c>
      <x:c r="H939" s="6" t="str">
        <x:v>SIDX-0295;MFRX-0295</x:v>
      </x:c>
      <x:c r="I939" s="6" t="str">
        <x:f>IF(H939="","No upstream dependency",IF(ISNUMBER(SEARCH(";",H939)),"Multiple dependencies - verify source queues",IFERROR(XLOOKUP(H939,C2:C1586,J2:J1586),"Dependency not found")))</x:f>
        <x:v>Multiple dependencies - verify source queues</x:v>
      </x:c>
      <x:c r="J939" s="6" t="str">
        <x:v>Not Started</x:v>
      </x:c>
      <x:c r="K939" s="6" t="str">
        <x:v>Normal</x:v>
      </x:c>
      <x:c r="L939" s="6" t="str"/>
      <x:c r="M939" s="6" t="str"/>
      <x:c r="N939" s="6" t="str"/>
      <x:c r="O939" s="7" t="str"/>
      <x:c r="P939" s="6" t="str">
        <x:v>Yes</x:v>
      </x:c>
      <x:c r="Q939" s="7" t="str">
        <x:v>Requires identity and manufacturer-scope completion.</x:v>
      </x:c>
    </x:row>
    <x:row r="940">
      <x:c r="A940" s="6" t="str">
        <x:v>SEQ-DEV-0296</x:v>
      </x:c>
      <x:c r="B940" s="6" t="str">
        <x:v>Device Applicability</x:v>
      </x:c>
      <x:c r="C940" s="6" t="str">
        <x:v>DEVX-0296</x:v>
      </x:c>
      <x:c r="D940" s="6" t="str">
        <x:v>SVC000296</x:v>
      </x:c>
      <x:c r="E940" s="6" t="str"/>
      <x:c r="F940" s="6" t="str">
        <x:v>Device-applicability review</x:v>
      </x:c>
      <x:c r="G940" s="6" t="n">
        <x:v>4</x:v>
      </x:c>
      <x:c r="H940" s="6" t="str">
        <x:v>SIDX-0296;MFRX-0296</x:v>
      </x:c>
      <x:c r="I940" s="6" t="str">
        <x:f>IF(H940="","No upstream dependency",IF(ISNUMBER(SEARCH(";",H940)),"Multiple dependencies - verify source queues",IFERROR(XLOOKUP(H940,C2:C1586,J2:J1586),"Dependency not found")))</x:f>
        <x:v>Multiple dependencies - verify source queues</x:v>
      </x:c>
      <x:c r="J940" s="6" t="str">
        <x:v>Not Started</x:v>
      </x:c>
      <x:c r="K940" s="6" t="str">
        <x:v>Normal</x:v>
      </x:c>
      <x:c r="L940" s="6" t="str"/>
      <x:c r="M940" s="6" t="str"/>
      <x:c r="N940" s="6" t="str"/>
      <x:c r="O940" s="7" t="str"/>
      <x:c r="P940" s="6" t="str">
        <x:v>Yes</x:v>
      </x:c>
      <x:c r="Q940" s="7" t="str">
        <x:v>Requires identity and manufacturer-scope completion.</x:v>
      </x:c>
    </x:row>
    <x:row r="941">
      <x:c r="A941" s="6" t="str">
        <x:v>SEQ-DEV-0297</x:v>
      </x:c>
      <x:c r="B941" s="6" t="str">
        <x:v>Device Applicability</x:v>
      </x:c>
      <x:c r="C941" s="6" t="str">
        <x:v>DEVX-0297</x:v>
      </x:c>
      <x:c r="D941" s="6" t="str">
        <x:v>SVC000297</x:v>
      </x:c>
      <x:c r="E941" s="6" t="str"/>
      <x:c r="F941" s="6" t="str">
        <x:v>Device-applicability review</x:v>
      </x:c>
      <x:c r="G941" s="6" t="n">
        <x:v>4</x:v>
      </x:c>
      <x:c r="H941" s="6" t="str">
        <x:v>SIDX-0297;MFRX-0297</x:v>
      </x:c>
      <x:c r="I941" s="6" t="str">
        <x:f>IF(H941="","No upstream dependency",IF(ISNUMBER(SEARCH(";",H941)),"Multiple dependencies - verify source queues",IFERROR(XLOOKUP(H941,C2:C1586,J2:J1586),"Dependency not found")))</x:f>
        <x:v>Multiple dependencies - verify source queues</x:v>
      </x:c>
      <x:c r="J941" s="6" t="str">
        <x:v>Not Started</x:v>
      </x:c>
      <x:c r="K941" s="6" t="str">
        <x:v>Normal</x:v>
      </x:c>
      <x:c r="L941" s="6" t="str"/>
      <x:c r="M941" s="6" t="str"/>
      <x:c r="N941" s="6" t="str"/>
      <x:c r="O941" s="7" t="str"/>
      <x:c r="P941" s="6" t="str">
        <x:v>Yes</x:v>
      </x:c>
      <x:c r="Q941" s="7" t="str">
        <x:v>Requires identity and manufacturer-scope completion.</x:v>
      </x:c>
    </x:row>
    <x:row r="942">
      <x:c r="A942" s="6" t="str">
        <x:v>SEQ-DEV-0298</x:v>
      </x:c>
      <x:c r="B942" s="6" t="str">
        <x:v>Device Applicability</x:v>
      </x:c>
      <x:c r="C942" s="6" t="str">
        <x:v>DEVX-0298</x:v>
      </x:c>
      <x:c r="D942" s="6" t="str">
        <x:v>SVC000298</x:v>
      </x:c>
      <x:c r="E942" s="6" t="str"/>
      <x:c r="F942" s="6" t="str">
        <x:v>Device-applicability review</x:v>
      </x:c>
      <x:c r="G942" s="6" t="n">
        <x:v>4</x:v>
      </x:c>
      <x:c r="H942" s="6" t="str">
        <x:v>SIDX-0298;MFRX-0298</x:v>
      </x:c>
      <x:c r="I942" s="6" t="str">
        <x:f>IF(H942="","No upstream dependency",IF(ISNUMBER(SEARCH(";",H942)),"Multiple dependencies - verify source queues",IFERROR(XLOOKUP(H942,C2:C1586,J2:J1586),"Dependency not found")))</x:f>
        <x:v>Multiple dependencies - verify source queues</x:v>
      </x:c>
      <x:c r="J942" s="6" t="str">
        <x:v>Not Started</x:v>
      </x:c>
      <x:c r="K942" s="6" t="str">
        <x:v>Normal</x:v>
      </x:c>
      <x:c r="L942" s="6" t="str"/>
      <x:c r="M942" s="6" t="str"/>
      <x:c r="N942" s="6" t="str"/>
      <x:c r="O942" s="7" t="str"/>
      <x:c r="P942" s="6" t="str">
        <x:v>Yes</x:v>
      </x:c>
      <x:c r="Q942" s="7" t="str">
        <x:v>Requires identity and manufacturer-scope completion.</x:v>
      </x:c>
    </x:row>
    <x:row r="943">
      <x:c r="A943" s="6" t="str">
        <x:v>SEQ-DEV-0299</x:v>
      </x:c>
      <x:c r="B943" s="6" t="str">
        <x:v>Device Applicability</x:v>
      </x:c>
      <x:c r="C943" s="6" t="str">
        <x:v>DEVX-0299</x:v>
      </x:c>
      <x:c r="D943" s="6" t="str">
        <x:v>SVC000299</x:v>
      </x:c>
      <x:c r="E943" s="6" t="str"/>
      <x:c r="F943" s="6" t="str">
        <x:v>Device-applicability review</x:v>
      </x:c>
      <x:c r="G943" s="6" t="n">
        <x:v>4</x:v>
      </x:c>
      <x:c r="H943" s="6" t="str">
        <x:v>SIDX-0299;MFRX-0299</x:v>
      </x:c>
      <x:c r="I943" s="6" t="str">
        <x:f>IF(H943="","No upstream dependency",IF(ISNUMBER(SEARCH(";",H943)),"Multiple dependencies - verify source queues",IFERROR(XLOOKUP(H943,C2:C1586,J2:J1586),"Dependency not found")))</x:f>
        <x:v>Multiple dependencies - verify source queues</x:v>
      </x:c>
      <x:c r="J943" s="6" t="str">
        <x:v>Not Started</x:v>
      </x:c>
      <x:c r="K943" s="6" t="str">
        <x:v>Normal</x:v>
      </x:c>
      <x:c r="L943" s="6" t="str"/>
      <x:c r="M943" s="6" t="str"/>
      <x:c r="N943" s="6" t="str"/>
      <x:c r="O943" s="7" t="str"/>
      <x:c r="P943" s="6" t="str">
        <x:v>Yes</x:v>
      </x:c>
      <x:c r="Q943" s="7" t="str">
        <x:v>Requires identity and manufacturer-scope completion.</x:v>
      </x:c>
    </x:row>
    <x:row r="944">
      <x:c r="A944" s="6" t="str">
        <x:v>SEQ-DEV-0300</x:v>
      </x:c>
      <x:c r="B944" s="6" t="str">
        <x:v>Device Applicability</x:v>
      </x:c>
      <x:c r="C944" s="6" t="str">
        <x:v>DEVX-0300</x:v>
      </x:c>
      <x:c r="D944" s="6" t="str">
        <x:v>SVC000300</x:v>
      </x:c>
      <x:c r="E944" s="6" t="str"/>
      <x:c r="F944" s="6" t="str">
        <x:v>Device-applicability review</x:v>
      </x:c>
      <x:c r="G944" s="6" t="n">
        <x:v>4</x:v>
      </x:c>
      <x:c r="H944" s="6" t="str">
        <x:v>SIDX-0300;MFRX-0300</x:v>
      </x:c>
      <x:c r="I944" s="6" t="str">
        <x:f>IF(H944="","No upstream dependency",IF(ISNUMBER(SEARCH(";",H944)),"Multiple dependencies - verify source queues",IFERROR(XLOOKUP(H944,C2:C1586,J2:J1586),"Dependency not found")))</x:f>
        <x:v>Multiple dependencies - verify source queues</x:v>
      </x:c>
      <x:c r="J944" s="6" t="str">
        <x:v>Not Started</x:v>
      </x:c>
      <x:c r="K944" s="6" t="str">
        <x:v>Normal</x:v>
      </x:c>
      <x:c r="L944" s="6" t="str"/>
      <x:c r="M944" s="6" t="str"/>
      <x:c r="N944" s="6" t="str"/>
      <x:c r="O944" s="7" t="str"/>
      <x:c r="P944" s="6" t="str">
        <x:v>Yes</x:v>
      </x:c>
      <x:c r="Q944" s="7" t="str">
        <x:v>Requires identity and manufacturer-scope completion.</x:v>
      </x:c>
    </x:row>
    <x:row r="945">
      <x:c r="A945" s="6" t="str">
        <x:v>SEQ-DEV-0301</x:v>
      </x:c>
      <x:c r="B945" s="6" t="str">
        <x:v>Device Applicability</x:v>
      </x:c>
      <x:c r="C945" s="6" t="str">
        <x:v>DEVX-0301</x:v>
      </x:c>
      <x:c r="D945" s="6" t="str">
        <x:v>SVC000301</x:v>
      </x:c>
      <x:c r="E945" s="6" t="str"/>
      <x:c r="F945" s="6" t="str">
        <x:v>Device-applicability review</x:v>
      </x:c>
      <x:c r="G945" s="6" t="n">
        <x:v>4</x:v>
      </x:c>
      <x:c r="H945" s="6" t="str">
        <x:v>SIDX-0301;MFRX-0301</x:v>
      </x:c>
      <x:c r="I945" s="6" t="str">
        <x:f>IF(H945="","No upstream dependency",IF(ISNUMBER(SEARCH(";",H945)),"Multiple dependencies - verify source queues",IFERROR(XLOOKUP(H945,C2:C1586,J2:J1586),"Dependency not found")))</x:f>
        <x:v>Multiple dependencies - verify source queues</x:v>
      </x:c>
      <x:c r="J945" s="6" t="str">
        <x:v>Not Started</x:v>
      </x:c>
      <x:c r="K945" s="6" t="str">
        <x:v>Normal</x:v>
      </x:c>
      <x:c r="L945" s="6" t="str"/>
      <x:c r="M945" s="6" t="str"/>
      <x:c r="N945" s="6" t="str"/>
      <x:c r="O945" s="7" t="str"/>
      <x:c r="P945" s="6" t="str">
        <x:v>Yes</x:v>
      </x:c>
      <x:c r="Q945" s="7" t="str">
        <x:v>Requires identity and manufacturer-scope completion.</x:v>
      </x:c>
    </x:row>
    <x:row r="946">
      <x:c r="A946" s="6" t="str">
        <x:v>SEQ-DEV-0302</x:v>
      </x:c>
      <x:c r="B946" s="6" t="str">
        <x:v>Device Applicability</x:v>
      </x:c>
      <x:c r="C946" s="6" t="str">
        <x:v>DEVX-0302</x:v>
      </x:c>
      <x:c r="D946" s="6" t="str">
        <x:v>SVC000302</x:v>
      </x:c>
      <x:c r="E946" s="6" t="str"/>
      <x:c r="F946" s="6" t="str">
        <x:v>Device-applicability review</x:v>
      </x:c>
      <x:c r="G946" s="6" t="n">
        <x:v>4</x:v>
      </x:c>
      <x:c r="H946" s="6" t="str">
        <x:v>SIDX-0302;MFRX-0302</x:v>
      </x:c>
      <x:c r="I946" s="6" t="str">
        <x:f>IF(H946="","No upstream dependency",IF(ISNUMBER(SEARCH(";",H946)),"Multiple dependencies - verify source queues",IFERROR(XLOOKUP(H946,C2:C1586,J2:J1586),"Dependency not found")))</x:f>
        <x:v>Multiple dependencies - verify source queues</x:v>
      </x:c>
      <x:c r="J946" s="6" t="str">
        <x:v>Not Started</x:v>
      </x:c>
      <x:c r="K946" s="6" t="str">
        <x:v>Normal</x:v>
      </x:c>
      <x:c r="L946" s="6" t="str"/>
      <x:c r="M946" s="6" t="str"/>
      <x:c r="N946" s="6" t="str"/>
      <x:c r="O946" s="7" t="str"/>
      <x:c r="P946" s="6" t="str">
        <x:v>Yes</x:v>
      </x:c>
      <x:c r="Q946" s="7" t="str">
        <x:v>Requires identity and manufacturer-scope completion.</x:v>
      </x:c>
    </x:row>
    <x:row r="947">
      <x:c r="A947" s="6" t="str">
        <x:v>SEQ-DEV-0303</x:v>
      </x:c>
      <x:c r="B947" s="6" t="str">
        <x:v>Device Applicability</x:v>
      </x:c>
      <x:c r="C947" s="6" t="str">
        <x:v>DEVX-0303</x:v>
      </x:c>
      <x:c r="D947" s="6" t="str">
        <x:v>SVC000303</x:v>
      </x:c>
      <x:c r="E947" s="6" t="str"/>
      <x:c r="F947" s="6" t="str">
        <x:v>Device-applicability review</x:v>
      </x:c>
      <x:c r="G947" s="6" t="n">
        <x:v>4</x:v>
      </x:c>
      <x:c r="H947" s="6" t="str">
        <x:v>SIDX-0303;MFRX-0303</x:v>
      </x:c>
      <x:c r="I947" s="6" t="str">
        <x:f>IF(H947="","No upstream dependency",IF(ISNUMBER(SEARCH(";",H947)),"Multiple dependencies - verify source queues",IFERROR(XLOOKUP(H947,C2:C1586,J2:J1586),"Dependency not found")))</x:f>
        <x:v>Multiple dependencies - verify source queues</x:v>
      </x:c>
      <x:c r="J947" s="6" t="str">
        <x:v>Not Started</x:v>
      </x:c>
      <x:c r="K947" s="6" t="str">
        <x:v>Normal</x:v>
      </x:c>
      <x:c r="L947" s="6" t="str"/>
      <x:c r="M947" s="6" t="str"/>
      <x:c r="N947" s="6" t="str"/>
      <x:c r="O947" s="7" t="str"/>
      <x:c r="P947" s="6" t="str">
        <x:v>Yes</x:v>
      </x:c>
      <x:c r="Q947" s="7" t="str">
        <x:v>Requires identity and manufacturer-scope completion.</x:v>
      </x:c>
    </x:row>
    <x:row r="948">
      <x:c r="A948" s="6" t="str">
        <x:v>SEQ-DEV-0304</x:v>
      </x:c>
      <x:c r="B948" s="6" t="str">
        <x:v>Device Applicability</x:v>
      </x:c>
      <x:c r="C948" s="6" t="str">
        <x:v>DEVX-0304</x:v>
      </x:c>
      <x:c r="D948" s="6" t="str">
        <x:v>SVC000304</x:v>
      </x:c>
      <x:c r="E948" s="6" t="str"/>
      <x:c r="F948" s="6" t="str">
        <x:v>Device-applicability review</x:v>
      </x:c>
      <x:c r="G948" s="6" t="n">
        <x:v>4</x:v>
      </x:c>
      <x:c r="H948" s="6" t="str">
        <x:v>SIDX-0304;MFRX-0304</x:v>
      </x:c>
      <x:c r="I948" s="6" t="str">
        <x:f>IF(H948="","No upstream dependency",IF(ISNUMBER(SEARCH(";",H948)),"Multiple dependencies - verify source queues",IFERROR(XLOOKUP(H948,C2:C1586,J2:J1586),"Dependency not found")))</x:f>
        <x:v>Multiple dependencies - verify source queues</x:v>
      </x:c>
      <x:c r="J948" s="6" t="str">
        <x:v>Not Started</x:v>
      </x:c>
      <x:c r="K948" s="6" t="str">
        <x:v>Normal</x:v>
      </x:c>
      <x:c r="L948" s="6" t="str"/>
      <x:c r="M948" s="6" t="str"/>
      <x:c r="N948" s="6" t="str"/>
      <x:c r="O948" s="7" t="str"/>
      <x:c r="P948" s="6" t="str">
        <x:v>Yes</x:v>
      </x:c>
      <x:c r="Q948" s="7" t="str">
        <x:v>Requires identity and manufacturer-scope completion.</x:v>
      </x:c>
    </x:row>
    <x:row r="949">
      <x:c r="A949" s="6" t="str">
        <x:v>SEQ-DEV-0305</x:v>
      </x:c>
      <x:c r="B949" s="6" t="str">
        <x:v>Device Applicability</x:v>
      </x:c>
      <x:c r="C949" s="6" t="str">
        <x:v>DEVX-0305</x:v>
      </x:c>
      <x:c r="D949" s="6" t="str">
        <x:v>SVC000305</x:v>
      </x:c>
      <x:c r="E949" s="6" t="str"/>
      <x:c r="F949" s="6" t="str">
        <x:v>Device-applicability review</x:v>
      </x:c>
      <x:c r="G949" s="6" t="n">
        <x:v>4</x:v>
      </x:c>
      <x:c r="H949" s="6" t="str">
        <x:v>SIDX-0305;MFRX-0305</x:v>
      </x:c>
      <x:c r="I949" s="6" t="str">
        <x:f>IF(H949="","No upstream dependency",IF(ISNUMBER(SEARCH(";",H949)),"Multiple dependencies - verify source queues",IFERROR(XLOOKUP(H949,C2:C1586,J2:J1586),"Dependency not found")))</x:f>
        <x:v>Multiple dependencies - verify source queues</x:v>
      </x:c>
      <x:c r="J949" s="6" t="str">
        <x:v>Not Started</x:v>
      </x:c>
      <x:c r="K949" s="6" t="str">
        <x:v>Normal</x:v>
      </x:c>
      <x:c r="L949" s="6" t="str"/>
      <x:c r="M949" s="6" t="str"/>
      <x:c r="N949" s="6" t="str"/>
      <x:c r="O949" s="7" t="str"/>
      <x:c r="P949" s="6" t="str">
        <x:v>Yes</x:v>
      </x:c>
      <x:c r="Q949" s="7" t="str">
        <x:v>Requires identity and manufacturer-scope completion.</x:v>
      </x:c>
    </x:row>
    <x:row r="950">
      <x:c r="A950" s="6" t="str">
        <x:v>SEQ-DEV-0306</x:v>
      </x:c>
      <x:c r="B950" s="6" t="str">
        <x:v>Device Applicability</x:v>
      </x:c>
      <x:c r="C950" s="6" t="str">
        <x:v>DEVX-0306</x:v>
      </x:c>
      <x:c r="D950" s="6" t="str">
        <x:v>SVC000306</x:v>
      </x:c>
      <x:c r="E950" s="6" t="str"/>
      <x:c r="F950" s="6" t="str">
        <x:v>Device-applicability review</x:v>
      </x:c>
      <x:c r="G950" s="6" t="n">
        <x:v>4</x:v>
      </x:c>
      <x:c r="H950" s="6" t="str">
        <x:v>SIDX-0306;MFRX-0306</x:v>
      </x:c>
      <x:c r="I950" s="6" t="str">
        <x:f>IF(H950="","No upstream dependency",IF(ISNUMBER(SEARCH(";",H950)),"Multiple dependencies - verify source queues",IFERROR(XLOOKUP(H950,C2:C1586,J2:J1586),"Dependency not found")))</x:f>
        <x:v>Multiple dependencies - verify source queues</x:v>
      </x:c>
      <x:c r="J950" s="6" t="str">
        <x:v>Not Started</x:v>
      </x:c>
      <x:c r="K950" s="6" t="str">
        <x:v>Normal</x:v>
      </x:c>
      <x:c r="L950" s="6" t="str"/>
      <x:c r="M950" s="6" t="str"/>
      <x:c r="N950" s="6" t="str"/>
      <x:c r="O950" s="7" t="str"/>
      <x:c r="P950" s="6" t="str">
        <x:v>Yes</x:v>
      </x:c>
      <x:c r="Q950" s="7" t="str">
        <x:v>Requires identity and manufacturer-scope completion.</x:v>
      </x:c>
    </x:row>
    <x:row r="951">
      <x:c r="A951" s="6" t="str">
        <x:v>SEQ-DEV-0307</x:v>
      </x:c>
      <x:c r="B951" s="6" t="str">
        <x:v>Device Applicability</x:v>
      </x:c>
      <x:c r="C951" s="6" t="str">
        <x:v>DEVX-0307</x:v>
      </x:c>
      <x:c r="D951" s="6" t="str">
        <x:v>SVC000307</x:v>
      </x:c>
      <x:c r="E951" s="6" t="str"/>
      <x:c r="F951" s="6" t="str">
        <x:v>Device-applicability review</x:v>
      </x:c>
      <x:c r="G951" s="6" t="n">
        <x:v>4</x:v>
      </x:c>
      <x:c r="H951" s="6" t="str">
        <x:v>SIDX-0307;MFRX-0307</x:v>
      </x:c>
      <x:c r="I951" s="6" t="str">
        <x:f>IF(H951="","No upstream dependency",IF(ISNUMBER(SEARCH(";",H951)),"Multiple dependencies - verify source queues",IFERROR(XLOOKUP(H951,C2:C1586,J2:J1586),"Dependency not found")))</x:f>
        <x:v>Multiple dependencies - verify source queues</x:v>
      </x:c>
      <x:c r="J951" s="6" t="str">
        <x:v>Not Started</x:v>
      </x:c>
      <x:c r="K951" s="6" t="str">
        <x:v>Normal</x:v>
      </x:c>
      <x:c r="L951" s="6" t="str"/>
      <x:c r="M951" s="6" t="str"/>
      <x:c r="N951" s="6" t="str"/>
      <x:c r="O951" s="7" t="str"/>
      <x:c r="P951" s="6" t="str">
        <x:v>Yes</x:v>
      </x:c>
      <x:c r="Q951" s="7" t="str">
        <x:v>Requires identity and manufacturer-scope completion.</x:v>
      </x:c>
    </x:row>
    <x:row r="952">
      <x:c r="A952" s="6" t="str">
        <x:v>SEQ-DEV-0308</x:v>
      </x:c>
      <x:c r="B952" s="6" t="str">
        <x:v>Device Applicability</x:v>
      </x:c>
      <x:c r="C952" s="6" t="str">
        <x:v>DEVX-0308</x:v>
      </x:c>
      <x:c r="D952" s="6" t="str">
        <x:v>SVC000308</x:v>
      </x:c>
      <x:c r="E952" s="6" t="str"/>
      <x:c r="F952" s="6" t="str">
        <x:v>Device-applicability review</x:v>
      </x:c>
      <x:c r="G952" s="6" t="n">
        <x:v>4</x:v>
      </x:c>
      <x:c r="H952" s="6" t="str">
        <x:v>SIDX-0308;MFRX-0308</x:v>
      </x:c>
      <x:c r="I952" s="6" t="str">
        <x:f>IF(H952="","No upstream dependency",IF(ISNUMBER(SEARCH(";",H952)),"Multiple dependencies - verify source queues",IFERROR(XLOOKUP(H952,C2:C1586,J2:J1586),"Dependency not found")))</x:f>
        <x:v>Multiple dependencies - verify source queues</x:v>
      </x:c>
      <x:c r="J952" s="6" t="str">
        <x:v>Not Started</x:v>
      </x:c>
      <x:c r="K952" s="6" t="str">
        <x:v>Normal</x:v>
      </x:c>
      <x:c r="L952" s="6" t="str"/>
      <x:c r="M952" s="6" t="str"/>
      <x:c r="N952" s="6" t="str"/>
      <x:c r="O952" s="7" t="str"/>
      <x:c r="P952" s="6" t="str">
        <x:v>Yes</x:v>
      </x:c>
      <x:c r="Q952" s="7" t="str">
        <x:v>Requires identity and manufacturer-scope completion.</x:v>
      </x:c>
    </x:row>
    <x:row r="953">
      <x:c r="A953" s="6" t="str">
        <x:v>SEQ-DEV-0309</x:v>
      </x:c>
      <x:c r="B953" s="6" t="str">
        <x:v>Device Applicability</x:v>
      </x:c>
      <x:c r="C953" s="6" t="str">
        <x:v>DEVX-0309</x:v>
      </x:c>
      <x:c r="D953" s="6" t="str">
        <x:v>SVC000309</x:v>
      </x:c>
      <x:c r="E953" s="6" t="str"/>
      <x:c r="F953" s="6" t="str">
        <x:v>Device-applicability review</x:v>
      </x:c>
      <x:c r="G953" s="6" t="n">
        <x:v>4</x:v>
      </x:c>
      <x:c r="H953" s="6" t="str">
        <x:v>SIDX-0309;MFRX-0309</x:v>
      </x:c>
      <x:c r="I953" s="6" t="str">
        <x:f>IF(H953="","No upstream dependency",IF(ISNUMBER(SEARCH(";",H953)),"Multiple dependencies - verify source queues",IFERROR(XLOOKUP(H953,C2:C1586,J2:J1586),"Dependency not found")))</x:f>
        <x:v>Multiple dependencies - verify source queues</x:v>
      </x:c>
      <x:c r="J953" s="6" t="str">
        <x:v>Not Started</x:v>
      </x:c>
      <x:c r="K953" s="6" t="str">
        <x:v>Normal</x:v>
      </x:c>
      <x:c r="L953" s="6" t="str"/>
      <x:c r="M953" s="6" t="str"/>
      <x:c r="N953" s="6" t="str"/>
      <x:c r="O953" s="7" t="str"/>
      <x:c r="P953" s="6" t="str">
        <x:v>Yes</x:v>
      </x:c>
      <x:c r="Q953" s="7" t="str">
        <x:v>Requires identity and manufacturer-scope completion.</x:v>
      </x:c>
    </x:row>
    <x:row r="954">
      <x:c r="A954" s="6" t="str">
        <x:v>SEQ-DEV-0310</x:v>
      </x:c>
      <x:c r="B954" s="6" t="str">
        <x:v>Device Applicability</x:v>
      </x:c>
      <x:c r="C954" s="6" t="str">
        <x:v>DEVX-0310</x:v>
      </x:c>
      <x:c r="D954" s="6" t="str">
        <x:v>SVC000310</x:v>
      </x:c>
      <x:c r="E954" s="6" t="str"/>
      <x:c r="F954" s="6" t="str">
        <x:v>Device-applicability review</x:v>
      </x:c>
      <x:c r="G954" s="6" t="n">
        <x:v>4</x:v>
      </x:c>
      <x:c r="H954" s="6" t="str">
        <x:v>SIDX-0310;MFRX-0310</x:v>
      </x:c>
      <x:c r="I954" s="6" t="str">
        <x:f>IF(H954="","No upstream dependency",IF(ISNUMBER(SEARCH(";",H954)),"Multiple dependencies - verify source queues",IFERROR(XLOOKUP(H954,C2:C1586,J2:J1586),"Dependency not found")))</x:f>
        <x:v>Multiple dependencies - verify source queues</x:v>
      </x:c>
      <x:c r="J954" s="6" t="str">
        <x:v>Not Started</x:v>
      </x:c>
      <x:c r="K954" s="6" t="str">
        <x:v>Normal</x:v>
      </x:c>
      <x:c r="L954" s="6" t="str"/>
      <x:c r="M954" s="6" t="str"/>
      <x:c r="N954" s="6" t="str"/>
      <x:c r="O954" s="7" t="str"/>
      <x:c r="P954" s="6" t="str">
        <x:v>Yes</x:v>
      </x:c>
      <x:c r="Q954" s="7" t="str">
        <x:v>Requires identity and manufacturer-scope completion.</x:v>
      </x:c>
    </x:row>
    <x:row r="955">
      <x:c r="A955" s="6" t="str">
        <x:v>SEQ-DEV-0311</x:v>
      </x:c>
      <x:c r="B955" s="6" t="str">
        <x:v>Device Applicability</x:v>
      </x:c>
      <x:c r="C955" s="6" t="str">
        <x:v>DEVX-0311</x:v>
      </x:c>
      <x:c r="D955" s="6" t="str">
        <x:v>SVC000311</x:v>
      </x:c>
      <x:c r="E955" s="6" t="str"/>
      <x:c r="F955" s="6" t="str">
        <x:v>Device-applicability review</x:v>
      </x:c>
      <x:c r="G955" s="6" t="n">
        <x:v>4</x:v>
      </x:c>
      <x:c r="H955" s="6" t="str">
        <x:v>SIDX-0311;MFRX-0311</x:v>
      </x:c>
      <x:c r="I955" s="6" t="str">
        <x:f>IF(H955="","No upstream dependency",IF(ISNUMBER(SEARCH(";",H955)),"Multiple dependencies - verify source queues",IFERROR(XLOOKUP(H955,C2:C1586,J2:J1586),"Dependency not found")))</x:f>
        <x:v>Multiple dependencies - verify source queues</x:v>
      </x:c>
      <x:c r="J955" s="6" t="str">
        <x:v>Not Started</x:v>
      </x:c>
      <x:c r="K955" s="6" t="str">
        <x:v>Normal</x:v>
      </x:c>
      <x:c r="L955" s="6" t="str"/>
      <x:c r="M955" s="6" t="str"/>
      <x:c r="N955" s="6" t="str"/>
      <x:c r="O955" s="7" t="str"/>
      <x:c r="P955" s="6" t="str">
        <x:v>Yes</x:v>
      </x:c>
      <x:c r="Q955" s="7" t="str">
        <x:v>Requires identity and manufacturer-scope completion.</x:v>
      </x:c>
    </x:row>
    <x:row r="956">
      <x:c r="A956" s="6" t="str">
        <x:v>SEQ-DEV-0312</x:v>
      </x:c>
      <x:c r="B956" s="6" t="str">
        <x:v>Device Applicability</x:v>
      </x:c>
      <x:c r="C956" s="6" t="str">
        <x:v>DEVX-0312</x:v>
      </x:c>
      <x:c r="D956" s="6" t="str">
        <x:v>SVC000312</x:v>
      </x:c>
      <x:c r="E956" s="6" t="str"/>
      <x:c r="F956" s="6" t="str">
        <x:v>Device-applicability review</x:v>
      </x:c>
      <x:c r="G956" s="6" t="n">
        <x:v>4</x:v>
      </x:c>
      <x:c r="H956" s="6" t="str">
        <x:v>SIDX-0312;MFRX-0312</x:v>
      </x:c>
      <x:c r="I956" s="6" t="str">
        <x:f>IF(H956="","No upstream dependency",IF(ISNUMBER(SEARCH(";",H956)),"Multiple dependencies - verify source queues",IFERROR(XLOOKUP(H956,C2:C1586,J2:J1586),"Dependency not found")))</x:f>
        <x:v>Multiple dependencies - verify source queues</x:v>
      </x:c>
      <x:c r="J956" s="6" t="str">
        <x:v>Not Started</x:v>
      </x:c>
      <x:c r="K956" s="6" t="str">
        <x:v>Normal</x:v>
      </x:c>
      <x:c r="L956" s="6" t="str"/>
      <x:c r="M956" s="6" t="str"/>
      <x:c r="N956" s="6" t="str"/>
      <x:c r="O956" s="7" t="str"/>
      <x:c r="P956" s="6" t="str">
        <x:v>Yes</x:v>
      </x:c>
      <x:c r="Q956" s="7" t="str">
        <x:v>Requires identity and manufacturer-scope completion.</x:v>
      </x:c>
    </x:row>
    <x:row r="957">
      <x:c r="A957" s="6" t="str">
        <x:v>SEQ-DEV-0313</x:v>
      </x:c>
      <x:c r="B957" s="6" t="str">
        <x:v>Device Applicability</x:v>
      </x:c>
      <x:c r="C957" s="6" t="str">
        <x:v>DEVX-0313</x:v>
      </x:c>
      <x:c r="D957" s="6" t="str">
        <x:v>SVC000313</x:v>
      </x:c>
      <x:c r="E957" s="6" t="str"/>
      <x:c r="F957" s="6" t="str">
        <x:v>Device-applicability review</x:v>
      </x:c>
      <x:c r="G957" s="6" t="n">
        <x:v>4</x:v>
      </x:c>
      <x:c r="H957" s="6" t="str">
        <x:v>SIDX-0313;MFRX-0313</x:v>
      </x:c>
      <x:c r="I957" s="6" t="str">
        <x:f>IF(H957="","No upstream dependency",IF(ISNUMBER(SEARCH(";",H957)),"Multiple dependencies - verify source queues",IFERROR(XLOOKUP(H957,C2:C1586,J2:J1586),"Dependency not found")))</x:f>
        <x:v>Multiple dependencies - verify source queues</x:v>
      </x:c>
      <x:c r="J957" s="6" t="str">
        <x:v>Not Started</x:v>
      </x:c>
      <x:c r="K957" s="6" t="str">
        <x:v>Normal</x:v>
      </x:c>
      <x:c r="L957" s="6" t="str"/>
      <x:c r="M957" s="6" t="str"/>
      <x:c r="N957" s="6" t="str"/>
      <x:c r="O957" s="7" t="str"/>
      <x:c r="P957" s="6" t="str">
        <x:v>Yes</x:v>
      </x:c>
      <x:c r="Q957" s="7" t="str">
        <x:v>Requires identity and manufacturer-scope completion.</x:v>
      </x:c>
    </x:row>
    <x:row r="958">
      <x:c r="A958" s="6" t="str">
        <x:v>SEQ-DEV-0314</x:v>
      </x:c>
      <x:c r="B958" s="6" t="str">
        <x:v>Device Applicability</x:v>
      </x:c>
      <x:c r="C958" s="6" t="str">
        <x:v>DEVX-0314</x:v>
      </x:c>
      <x:c r="D958" s="6" t="str">
        <x:v>SVC000314</x:v>
      </x:c>
      <x:c r="E958" s="6" t="str"/>
      <x:c r="F958" s="6" t="str">
        <x:v>Device-applicability review</x:v>
      </x:c>
      <x:c r="G958" s="6" t="n">
        <x:v>4</x:v>
      </x:c>
      <x:c r="H958" s="6" t="str">
        <x:v>SIDX-0314;MFRX-0314</x:v>
      </x:c>
      <x:c r="I958" s="6" t="str">
        <x:f>IF(H958="","No upstream dependency",IF(ISNUMBER(SEARCH(";",H958)),"Multiple dependencies - verify source queues",IFERROR(XLOOKUP(H958,C2:C1586,J2:J1586),"Dependency not found")))</x:f>
        <x:v>Multiple dependencies - verify source queues</x:v>
      </x:c>
      <x:c r="J958" s="6" t="str">
        <x:v>Not Started</x:v>
      </x:c>
      <x:c r="K958" s="6" t="str">
        <x:v>Normal</x:v>
      </x:c>
      <x:c r="L958" s="6" t="str"/>
      <x:c r="M958" s="6" t="str"/>
      <x:c r="N958" s="6" t="str"/>
      <x:c r="O958" s="7" t="str"/>
      <x:c r="P958" s="6" t="str">
        <x:v>Yes</x:v>
      </x:c>
      <x:c r="Q958" s="7" t="str">
        <x:v>Requires identity and manufacturer-scope completion.</x:v>
      </x:c>
    </x:row>
    <x:row r="959">
      <x:c r="A959" s="6" t="str">
        <x:v>SEQ-PRT-0001</x:v>
      </x:c>
      <x:c r="B959" s="6" t="str">
        <x:v>Part Requirement</x:v>
      </x:c>
      <x:c r="C959" s="6" t="str">
        <x:v>PRTX-0001</x:v>
      </x:c>
      <x:c r="D959" s="6" t="str">
        <x:v>SVC000001</x:v>
      </x:c>
      <x:c r="E959" s="6" t="str"/>
      <x:c r="F959" s="6" t="str">
        <x:v>Part-requirement review</x:v>
      </x:c>
      <x:c r="G959" s="6" t="n">
        <x:v>5</x:v>
      </x:c>
      <x:c r="H959" s="6" t="str">
        <x:v>SIDX-0001</x:v>
      </x:c>
      <x:c r="I959" s="6" t="str">
        <x:f>IF(H959="","No upstream dependency",IF(ISNUMBER(SEARCH(";",H959)),"Multiple dependencies - verify source queues",IFERROR(XLOOKUP(H959,C2:C1586,J2:J1586),"Dependency not found")))</x:f>
        <x:v>Not Started</x:v>
      </x:c>
      <x:c r="J959" s="6" t="str">
        <x:v>Not Started</x:v>
      </x:c>
      <x:c r="K959" s="6" t="str">
        <x:v>Normal</x:v>
      </x:c>
      <x:c r="L959" s="6" t="str"/>
      <x:c r="M959" s="6" t="str"/>
      <x:c r="N959" s="6" t="str"/>
      <x:c r="O959" s="7" t="str"/>
      <x:c r="P959" s="6" t="str">
        <x:v>Yes</x:v>
      </x:c>
      <x:c r="Q959" s="7" t="str">
        <x:v>Requires stable service identity.</x:v>
      </x:c>
    </x:row>
    <x:row r="960">
      <x:c r="A960" s="6" t="str">
        <x:v>SEQ-PRT-0002</x:v>
      </x:c>
      <x:c r="B960" s="6" t="str">
        <x:v>Part Requirement</x:v>
      </x:c>
      <x:c r="C960" s="6" t="str">
        <x:v>PRTX-0002</x:v>
      </x:c>
      <x:c r="D960" s="6" t="str">
        <x:v>SVC000002</x:v>
      </x:c>
      <x:c r="E960" s="6" t="str"/>
      <x:c r="F960" s="6" t="str">
        <x:v>Part-requirement review</x:v>
      </x:c>
      <x:c r="G960" s="6" t="n">
        <x:v>5</x:v>
      </x:c>
      <x:c r="H960" s="6" t="str">
        <x:v>SIDX-0002</x:v>
      </x:c>
      <x:c r="I960" s="6" t="str">
        <x:f>IF(H960="","No upstream dependency",IF(ISNUMBER(SEARCH(";",H960)),"Multiple dependencies - verify source queues",IFERROR(XLOOKUP(H960,C2:C1586,J2:J1586),"Dependency not found")))</x:f>
        <x:v>Not Started</x:v>
      </x:c>
      <x:c r="J960" s="6" t="str">
        <x:v>Not Started</x:v>
      </x:c>
      <x:c r="K960" s="6" t="str">
        <x:v>Normal</x:v>
      </x:c>
      <x:c r="L960" s="6" t="str"/>
      <x:c r="M960" s="6" t="str"/>
      <x:c r="N960" s="6" t="str"/>
      <x:c r="O960" s="7" t="str"/>
      <x:c r="P960" s="6" t="str">
        <x:v>Yes</x:v>
      </x:c>
      <x:c r="Q960" s="7" t="str">
        <x:v>Requires stable service identity.</x:v>
      </x:c>
    </x:row>
    <x:row r="961">
      <x:c r="A961" s="6" t="str">
        <x:v>SEQ-PRT-0003</x:v>
      </x:c>
      <x:c r="B961" s="6" t="str">
        <x:v>Part Requirement</x:v>
      </x:c>
      <x:c r="C961" s="6" t="str">
        <x:v>PRTX-0003</x:v>
      </x:c>
      <x:c r="D961" s="6" t="str">
        <x:v>SVC000003</x:v>
      </x:c>
      <x:c r="E961" s="6" t="str"/>
      <x:c r="F961" s="6" t="str">
        <x:v>Part-requirement review</x:v>
      </x:c>
      <x:c r="G961" s="6" t="n">
        <x:v>5</x:v>
      </x:c>
      <x:c r="H961" s="6" t="str">
        <x:v>SIDX-0003</x:v>
      </x:c>
      <x:c r="I961" s="6" t="str">
        <x:f>IF(H961="","No upstream dependency",IF(ISNUMBER(SEARCH(";",H961)),"Multiple dependencies - verify source queues",IFERROR(XLOOKUP(H961,C2:C1586,J2:J1586),"Dependency not found")))</x:f>
        <x:v>Not Started</x:v>
      </x:c>
      <x:c r="J961" s="6" t="str">
        <x:v>Not Started</x:v>
      </x:c>
      <x:c r="K961" s="6" t="str">
        <x:v>Normal</x:v>
      </x:c>
      <x:c r="L961" s="6" t="str"/>
      <x:c r="M961" s="6" t="str"/>
      <x:c r="N961" s="6" t="str"/>
      <x:c r="O961" s="7" t="str"/>
      <x:c r="P961" s="6" t="str">
        <x:v>Yes</x:v>
      </x:c>
      <x:c r="Q961" s="7" t="str">
        <x:v>Requires stable service identity.</x:v>
      </x:c>
    </x:row>
    <x:row r="962">
      <x:c r="A962" s="6" t="str">
        <x:v>SEQ-PRT-0004</x:v>
      </x:c>
      <x:c r="B962" s="6" t="str">
        <x:v>Part Requirement</x:v>
      </x:c>
      <x:c r="C962" s="6" t="str">
        <x:v>PRTX-0004</x:v>
      </x:c>
      <x:c r="D962" s="6" t="str">
        <x:v>SVC000004</x:v>
      </x:c>
      <x:c r="E962" s="6" t="str"/>
      <x:c r="F962" s="6" t="str">
        <x:v>Part-requirement review</x:v>
      </x:c>
      <x:c r="G962" s="6" t="n">
        <x:v>5</x:v>
      </x:c>
      <x:c r="H962" s="6" t="str">
        <x:v>SIDX-0004</x:v>
      </x:c>
      <x:c r="I962" s="6" t="str">
        <x:f>IF(H962="","No upstream dependency",IF(ISNUMBER(SEARCH(";",H962)),"Multiple dependencies - verify source queues",IFERROR(XLOOKUP(H962,C2:C1586,J2:J1586),"Dependency not found")))</x:f>
        <x:v>Not Started</x:v>
      </x:c>
      <x:c r="J962" s="6" t="str">
        <x:v>Not Started</x:v>
      </x:c>
      <x:c r="K962" s="6" t="str">
        <x:v>Normal</x:v>
      </x:c>
      <x:c r="L962" s="6" t="str"/>
      <x:c r="M962" s="6" t="str"/>
      <x:c r="N962" s="6" t="str"/>
      <x:c r="O962" s="7" t="str"/>
      <x:c r="P962" s="6" t="str">
        <x:v>Yes</x:v>
      </x:c>
      <x:c r="Q962" s="7" t="str">
        <x:v>Requires stable service identity.</x:v>
      </x:c>
    </x:row>
    <x:row r="963">
      <x:c r="A963" s="6" t="str">
        <x:v>SEQ-PRT-0005</x:v>
      </x:c>
      <x:c r="B963" s="6" t="str">
        <x:v>Part Requirement</x:v>
      </x:c>
      <x:c r="C963" s="6" t="str">
        <x:v>PRTX-0005</x:v>
      </x:c>
      <x:c r="D963" s="6" t="str">
        <x:v>SVC000005</x:v>
      </x:c>
      <x:c r="E963" s="6" t="str"/>
      <x:c r="F963" s="6" t="str">
        <x:v>Part-requirement review</x:v>
      </x:c>
      <x:c r="G963" s="6" t="n">
        <x:v>5</x:v>
      </x:c>
      <x:c r="H963" s="6" t="str">
        <x:v>SIDX-0005</x:v>
      </x:c>
      <x:c r="I963" s="6" t="str">
        <x:f>IF(H963="","No upstream dependency",IF(ISNUMBER(SEARCH(";",H963)),"Multiple dependencies - verify source queues",IFERROR(XLOOKUP(H963,C2:C1586,J2:J1586),"Dependency not found")))</x:f>
        <x:v>Not Started</x:v>
      </x:c>
      <x:c r="J963" s="6" t="str">
        <x:v>Not Started</x:v>
      </x:c>
      <x:c r="K963" s="6" t="str">
        <x:v>Normal</x:v>
      </x:c>
      <x:c r="L963" s="6" t="str"/>
      <x:c r="M963" s="6" t="str"/>
      <x:c r="N963" s="6" t="str"/>
      <x:c r="O963" s="7" t="str"/>
      <x:c r="P963" s="6" t="str">
        <x:v>Yes</x:v>
      </x:c>
      <x:c r="Q963" s="7" t="str">
        <x:v>Requires stable service identity.</x:v>
      </x:c>
    </x:row>
    <x:row r="964">
      <x:c r="A964" s="6" t="str">
        <x:v>SEQ-PRT-0006</x:v>
      </x:c>
      <x:c r="B964" s="6" t="str">
        <x:v>Part Requirement</x:v>
      </x:c>
      <x:c r="C964" s="6" t="str">
        <x:v>PRTX-0006</x:v>
      </x:c>
      <x:c r="D964" s="6" t="str">
        <x:v>SVC000006</x:v>
      </x:c>
      <x:c r="E964" s="6" t="str"/>
      <x:c r="F964" s="6" t="str">
        <x:v>Part-requirement review</x:v>
      </x:c>
      <x:c r="G964" s="6" t="n">
        <x:v>5</x:v>
      </x:c>
      <x:c r="H964" s="6" t="str">
        <x:v>SIDX-0006</x:v>
      </x:c>
      <x:c r="I964" s="6" t="str">
        <x:f>IF(H964="","No upstream dependency",IF(ISNUMBER(SEARCH(";",H964)),"Multiple dependencies - verify source queues",IFERROR(XLOOKUP(H964,C2:C1586,J2:J1586),"Dependency not found")))</x:f>
        <x:v>Not Started</x:v>
      </x:c>
      <x:c r="J964" s="6" t="str">
        <x:v>Not Started</x:v>
      </x:c>
      <x:c r="K964" s="6" t="str">
        <x:v>Normal</x:v>
      </x:c>
      <x:c r="L964" s="6" t="str"/>
      <x:c r="M964" s="6" t="str"/>
      <x:c r="N964" s="6" t="str"/>
      <x:c r="O964" s="7" t="str"/>
      <x:c r="P964" s="6" t="str">
        <x:v>Yes</x:v>
      </x:c>
      <x:c r="Q964" s="7" t="str">
        <x:v>Requires stable service identity.</x:v>
      </x:c>
    </x:row>
    <x:row r="965">
      <x:c r="A965" s="6" t="str">
        <x:v>SEQ-PRT-0007</x:v>
      </x:c>
      <x:c r="B965" s="6" t="str">
        <x:v>Part Requirement</x:v>
      </x:c>
      <x:c r="C965" s="6" t="str">
        <x:v>PRTX-0007</x:v>
      </x:c>
      <x:c r="D965" s="6" t="str">
        <x:v>SVC000007</x:v>
      </x:c>
      <x:c r="E965" s="6" t="str"/>
      <x:c r="F965" s="6" t="str">
        <x:v>Part-requirement review</x:v>
      </x:c>
      <x:c r="G965" s="6" t="n">
        <x:v>5</x:v>
      </x:c>
      <x:c r="H965" s="6" t="str">
        <x:v>SIDX-0007</x:v>
      </x:c>
      <x:c r="I965" s="6" t="str">
        <x:f>IF(H965="","No upstream dependency",IF(ISNUMBER(SEARCH(";",H965)),"Multiple dependencies - verify source queues",IFERROR(XLOOKUP(H965,C2:C1586,J2:J1586),"Dependency not found")))</x:f>
        <x:v>Not Started</x:v>
      </x:c>
      <x:c r="J965" s="6" t="str">
        <x:v>Not Started</x:v>
      </x:c>
      <x:c r="K965" s="6" t="str">
        <x:v>Normal</x:v>
      </x:c>
      <x:c r="L965" s="6" t="str"/>
      <x:c r="M965" s="6" t="str"/>
      <x:c r="N965" s="6" t="str"/>
      <x:c r="O965" s="7" t="str"/>
      <x:c r="P965" s="6" t="str">
        <x:v>Yes</x:v>
      </x:c>
      <x:c r="Q965" s="7" t="str">
        <x:v>Requires stable service identity.</x:v>
      </x:c>
    </x:row>
    <x:row r="966">
      <x:c r="A966" s="6" t="str">
        <x:v>SEQ-PRT-0008</x:v>
      </x:c>
      <x:c r="B966" s="6" t="str">
        <x:v>Part Requirement</x:v>
      </x:c>
      <x:c r="C966" s="6" t="str">
        <x:v>PRTX-0008</x:v>
      </x:c>
      <x:c r="D966" s="6" t="str">
        <x:v>SVC000008</x:v>
      </x:c>
      <x:c r="E966" s="6" t="str"/>
      <x:c r="F966" s="6" t="str">
        <x:v>Part-requirement review</x:v>
      </x:c>
      <x:c r="G966" s="6" t="n">
        <x:v>5</x:v>
      </x:c>
      <x:c r="H966" s="6" t="str">
        <x:v>SIDX-0008</x:v>
      </x:c>
      <x:c r="I966" s="6" t="str">
        <x:f>IF(H966="","No upstream dependency",IF(ISNUMBER(SEARCH(";",H966)),"Multiple dependencies - verify source queues",IFERROR(XLOOKUP(H966,C2:C1586,J2:J1586),"Dependency not found")))</x:f>
        <x:v>Not Started</x:v>
      </x:c>
      <x:c r="J966" s="6" t="str">
        <x:v>Not Started</x:v>
      </x:c>
      <x:c r="K966" s="6" t="str">
        <x:v>Normal</x:v>
      </x:c>
      <x:c r="L966" s="6" t="str"/>
      <x:c r="M966" s="6" t="str"/>
      <x:c r="N966" s="6" t="str"/>
      <x:c r="O966" s="7" t="str"/>
      <x:c r="P966" s="6" t="str">
        <x:v>Yes</x:v>
      </x:c>
      <x:c r="Q966" s="7" t="str">
        <x:v>Requires stable service identity.</x:v>
      </x:c>
    </x:row>
    <x:row r="967">
      <x:c r="A967" s="6" t="str">
        <x:v>SEQ-PRT-0009</x:v>
      </x:c>
      <x:c r="B967" s="6" t="str">
        <x:v>Part Requirement</x:v>
      </x:c>
      <x:c r="C967" s="6" t="str">
        <x:v>PRTX-0009</x:v>
      </x:c>
      <x:c r="D967" s="6" t="str">
        <x:v>SVC000009</x:v>
      </x:c>
      <x:c r="E967" s="6" t="str"/>
      <x:c r="F967" s="6" t="str">
        <x:v>Part-requirement review</x:v>
      </x:c>
      <x:c r="G967" s="6" t="n">
        <x:v>5</x:v>
      </x:c>
      <x:c r="H967" s="6" t="str">
        <x:v>SIDX-0009</x:v>
      </x:c>
      <x:c r="I967" s="6" t="str">
        <x:f>IF(H967="","No upstream dependency",IF(ISNUMBER(SEARCH(";",H967)),"Multiple dependencies - verify source queues",IFERROR(XLOOKUP(H967,C2:C1586,J2:J1586),"Dependency not found")))</x:f>
        <x:v>Not Started</x:v>
      </x:c>
      <x:c r="J967" s="6" t="str">
        <x:v>Not Started</x:v>
      </x:c>
      <x:c r="K967" s="6" t="str">
        <x:v>Normal</x:v>
      </x:c>
      <x:c r="L967" s="6" t="str"/>
      <x:c r="M967" s="6" t="str"/>
      <x:c r="N967" s="6" t="str"/>
      <x:c r="O967" s="7" t="str"/>
      <x:c r="P967" s="6" t="str">
        <x:v>Yes</x:v>
      </x:c>
      <x:c r="Q967" s="7" t="str">
        <x:v>Requires stable service identity.</x:v>
      </x:c>
    </x:row>
    <x:row r="968">
      <x:c r="A968" s="6" t="str">
        <x:v>SEQ-PRT-0010</x:v>
      </x:c>
      <x:c r="B968" s="6" t="str">
        <x:v>Part Requirement</x:v>
      </x:c>
      <x:c r="C968" s="6" t="str">
        <x:v>PRTX-0010</x:v>
      </x:c>
      <x:c r="D968" s="6" t="str">
        <x:v>SVC000010</x:v>
      </x:c>
      <x:c r="E968" s="6" t="str"/>
      <x:c r="F968" s="6" t="str">
        <x:v>Part-requirement review</x:v>
      </x:c>
      <x:c r="G968" s="6" t="n">
        <x:v>5</x:v>
      </x:c>
      <x:c r="H968" s="6" t="str">
        <x:v>SIDX-0010</x:v>
      </x:c>
      <x:c r="I968" s="6" t="str">
        <x:f>IF(H968="","No upstream dependency",IF(ISNUMBER(SEARCH(";",H968)),"Multiple dependencies - verify source queues",IFERROR(XLOOKUP(H968,C2:C1586,J2:J1586),"Dependency not found")))</x:f>
        <x:v>Not Started</x:v>
      </x:c>
      <x:c r="J968" s="6" t="str">
        <x:v>Not Started</x:v>
      </x:c>
      <x:c r="K968" s="6" t="str">
        <x:v>Normal</x:v>
      </x:c>
      <x:c r="L968" s="6" t="str"/>
      <x:c r="M968" s="6" t="str"/>
      <x:c r="N968" s="6" t="str"/>
      <x:c r="O968" s="7" t="str"/>
      <x:c r="P968" s="6" t="str">
        <x:v>Yes</x:v>
      </x:c>
      <x:c r="Q968" s="7" t="str">
        <x:v>Requires stable service identity.</x:v>
      </x:c>
    </x:row>
    <x:row r="969">
      <x:c r="A969" s="6" t="str">
        <x:v>SEQ-PRT-0011</x:v>
      </x:c>
      <x:c r="B969" s="6" t="str">
        <x:v>Part Requirement</x:v>
      </x:c>
      <x:c r="C969" s="6" t="str">
        <x:v>PRTX-0011</x:v>
      </x:c>
      <x:c r="D969" s="6" t="str">
        <x:v>SVC000011</x:v>
      </x:c>
      <x:c r="E969" s="6" t="str"/>
      <x:c r="F969" s="6" t="str">
        <x:v>Part-requirement review</x:v>
      </x:c>
      <x:c r="G969" s="6" t="n">
        <x:v>5</x:v>
      </x:c>
      <x:c r="H969" s="6" t="str">
        <x:v>SIDX-0011</x:v>
      </x:c>
      <x:c r="I969" s="6" t="str">
        <x:f>IF(H969="","No upstream dependency",IF(ISNUMBER(SEARCH(";",H969)),"Multiple dependencies - verify source queues",IFERROR(XLOOKUP(H969,C2:C1586,J2:J1586),"Dependency not found")))</x:f>
        <x:v>Not Started</x:v>
      </x:c>
      <x:c r="J969" s="6" t="str">
        <x:v>Not Started</x:v>
      </x:c>
      <x:c r="K969" s="6" t="str">
        <x:v>Normal</x:v>
      </x:c>
      <x:c r="L969" s="6" t="str"/>
      <x:c r="M969" s="6" t="str"/>
      <x:c r="N969" s="6" t="str"/>
      <x:c r="O969" s="7" t="str"/>
      <x:c r="P969" s="6" t="str">
        <x:v>Yes</x:v>
      </x:c>
      <x:c r="Q969" s="7" t="str">
        <x:v>Requires stable service identity.</x:v>
      </x:c>
    </x:row>
    <x:row r="970">
      <x:c r="A970" s="6" t="str">
        <x:v>SEQ-PRT-0012</x:v>
      </x:c>
      <x:c r="B970" s="6" t="str">
        <x:v>Part Requirement</x:v>
      </x:c>
      <x:c r="C970" s="6" t="str">
        <x:v>PRTX-0012</x:v>
      </x:c>
      <x:c r="D970" s="6" t="str">
        <x:v>SVC000012</x:v>
      </x:c>
      <x:c r="E970" s="6" t="str"/>
      <x:c r="F970" s="6" t="str">
        <x:v>Part-requirement review</x:v>
      </x:c>
      <x:c r="G970" s="6" t="n">
        <x:v>5</x:v>
      </x:c>
      <x:c r="H970" s="6" t="str">
        <x:v>SIDX-0012</x:v>
      </x:c>
      <x:c r="I970" s="6" t="str">
        <x:f>IF(H970="","No upstream dependency",IF(ISNUMBER(SEARCH(";",H970)),"Multiple dependencies - verify source queues",IFERROR(XLOOKUP(H970,C2:C1586,J2:J1586),"Dependency not found")))</x:f>
        <x:v>Not Started</x:v>
      </x:c>
      <x:c r="J970" s="6" t="str">
        <x:v>Not Started</x:v>
      </x:c>
      <x:c r="K970" s="6" t="str">
        <x:v>Normal</x:v>
      </x:c>
      <x:c r="L970" s="6" t="str"/>
      <x:c r="M970" s="6" t="str"/>
      <x:c r="N970" s="6" t="str"/>
      <x:c r="O970" s="7" t="str"/>
      <x:c r="P970" s="6" t="str">
        <x:v>Yes</x:v>
      </x:c>
      <x:c r="Q970" s="7" t="str">
        <x:v>Requires stable service identity.</x:v>
      </x:c>
    </x:row>
    <x:row r="971">
      <x:c r="A971" s="6" t="str">
        <x:v>SEQ-PRT-0013</x:v>
      </x:c>
      <x:c r="B971" s="6" t="str">
        <x:v>Part Requirement</x:v>
      </x:c>
      <x:c r="C971" s="6" t="str">
        <x:v>PRTX-0013</x:v>
      </x:c>
      <x:c r="D971" s="6" t="str">
        <x:v>SVC000013</x:v>
      </x:c>
      <x:c r="E971" s="6" t="str"/>
      <x:c r="F971" s="6" t="str">
        <x:v>Part-requirement review</x:v>
      </x:c>
      <x:c r="G971" s="6" t="n">
        <x:v>5</x:v>
      </x:c>
      <x:c r="H971" s="6" t="str">
        <x:v>SIDX-0013</x:v>
      </x:c>
      <x:c r="I971" s="6" t="str">
        <x:f>IF(H971="","No upstream dependency",IF(ISNUMBER(SEARCH(";",H971)),"Multiple dependencies - verify source queues",IFERROR(XLOOKUP(H971,C2:C1586,J2:J1586),"Dependency not found")))</x:f>
        <x:v>Not Started</x:v>
      </x:c>
      <x:c r="J971" s="6" t="str">
        <x:v>Not Started</x:v>
      </x:c>
      <x:c r="K971" s="6" t="str">
        <x:v>Normal</x:v>
      </x:c>
      <x:c r="L971" s="6" t="str"/>
      <x:c r="M971" s="6" t="str"/>
      <x:c r="N971" s="6" t="str"/>
      <x:c r="O971" s="7" t="str"/>
      <x:c r="P971" s="6" t="str">
        <x:v>Yes</x:v>
      </x:c>
      <x:c r="Q971" s="7" t="str">
        <x:v>Requires stable service identity.</x:v>
      </x:c>
    </x:row>
    <x:row r="972">
      <x:c r="A972" s="6" t="str">
        <x:v>SEQ-PRT-0014</x:v>
      </x:c>
      <x:c r="B972" s="6" t="str">
        <x:v>Part Requirement</x:v>
      </x:c>
      <x:c r="C972" s="6" t="str">
        <x:v>PRTX-0014</x:v>
      </x:c>
      <x:c r="D972" s="6" t="str">
        <x:v>SVC000014</x:v>
      </x:c>
      <x:c r="E972" s="6" t="str"/>
      <x:c r="F972" s="6" t="str">
        <x:v>Part-requirement review</x:v>
      </x:c>
      <x:c r="G972" s="6" t="n">
        <x:v>5</x:v>
      </x:c>
      <x:c r="H972" s="6" t="str">
        <x:v>SIDX-0014</x:v>
      </x:c>
      <x:c r="I972" s="6" t="str">
        <x:f>IF(H972="","No upstream dependency",IF(ISNUMBER(SEARCH(";",H972)),"Multiple dependencies - verify source queues",IFERROR(XLOOKUP(H972,C2:C1586,J2:J1586),"Dependency not found")))</x:f>
        <x:v>Not Started</x:v>
      </x:c>
      <x:c r="J972" s="6" t="str">
        <x:v>Not Started</x:v>
      </x:c>
      <x:c r="K972" s="6" t="str">
        <x:v>Normal</x:v>
      </x:c>
      <x:c r="L972" s="6" t="str"/>
      <x:c r="M972" s="6" t="str"/>
      <x:c r="N972" s="6" t="str"/>
      <x:c r="O972" s="7" t="str"/>
      <x:c r="P972" s="6" t="str">
        <x:v>Yes</x:v>
      </x:c>
      <x:c r="Q972" s="7" t="str">
        <x:v>Requires stable service identity.</x:v>
      </x:c>
    </x:row>
    <x:row r="973">
      <x:c r="A973" s="6" t="str">
        <x:v>SEQ-PRT-0015</x:v>
      </x:c>
      <x:c r="B973" s="6" t="str">
        <x:v>Part Requirement</x:v>
      </x:c>
      <x:c r="C973" s="6" t="str">
        <x:v>PRTX-0015</x:v>
      </x:c>
      <x:c r="D973" s="6" t="str">
        <x:v>SVC000015</x:v>
      </x:c>
      <x:c r="E973" s="6" t="str"/>
      <x:c r="F973" s="6" t="str">
        <x:v>Part-requirement review</x:v>
      </x:c>
      <x:c r="G973" s="6" t="n">
        <x:v>5</x:v>
      </x:c>
      <x:c r="H973" s="6" t="str">
        <x:v>SIDX-0015</x:v>
      </x:c>
      <x:c r="I973" s="6" t="str">
        <x:f>IF(H973="","No upstream dependency",IF(ISNUMBER(SEARCH(";",H973)),"Multiple dependencies - verify source queues",IFERROR(XLOOKUP(H973,C2:C1586,J2:J1586),"Dependency not found")))</x:f>
        <x:v>Not Started</x:v>
      </x:c>
      <x:c r="J973" s="6" t="str">
        <x:v>Not Started</x:v>
      </x:c>
      <x:c r="K973" s="6" t="str">
        <x:v>Normal</x:v>
      </x:c>
      <x:c r="L973" s="6" t="str"/>
      <x:c r="M973" s="6" t="str"/>
      <x:c r="N973" s="6" t="str"/>
      <x:c r="O973" s="7" t="str"/>
      <x:c r="P973" s="6" t="str">
        <x:v>Yes</x:v>
      </x:c>
      <x:c r="Q973" s="7" t="str">
        <x:v>Requires stable service identity.</x:v>
      </x:c>
    </x:row>
    <x:row r="974">
      <x:c r="A974" s="6" t="str">
        <x:v>SEQ-PRT-0016</x:v>
      </x:c>
      <x:c r="B974" s="6" t="str">
        <x:v>Part Requirement</x:v>
      </x:c>
      <x:c r="C974" s="6" t="str">
        <x:v>PRTX-0016</x:v>
      </x:c>
      <x:c r="D974" s="6" t="str">
        <x:v>SVC000016</x:v>
      </x:c>
      <x:c r="E974" s="6" t="str"/>
      <x:c r="F974" s="6" t="str">
        <x:v>Part-requirement review</x:v>
      </x:c>
      <x:c r="G974" s="6" t="n">
        <x:v>5</x:v>
      </x:c>
      <x:c r="H974" s="6" t="str">
        <x:v>SIDX-0016</x:v>
      </x:c>
      <x:c r="I974" s="6" t="str">
        <x:f>IF(H974="","No upstream dependency",IF(ISNUMBER(SEARCH(";",H974)),"Multiple dependencies - verify source queues",IFERROR(XLOOKUP(H974,C2:C1586,J2:J1586),"Dependency not found")))</x:f>
        <x:v>Not Started</x:v>
      </x:c>
      <x:c r="J974" s="6" t="str">
        <x:v>Not Started</x:v>
      </x:c>
      <x:c r="K974" s="6" t="str">
        <x:v>Normal</x:v>
      </x:c>
      <x:c r="L974" s="6" t="str"/>
      <x:c r="M974" s="6" t="str"/>
      <x:c r="N974" s="6" t="str"/>
      <x:c r="O974" s="7" t="str"/>
      <x:c r="P974" s="6" t="str">
        <x:v>Yes</x:v>
      </x:c>
      <x:c r="Q974" s="7" t="str">
        <x:v>Requires stable service identity.</x:v>
      </x:c>
    </x:row>
    <x:row r="975">
      <x:c r="A975" s="6" t="str">
        <x:v>SEQ-PRT-0017</x:v>
      </x:c>
      <x:c r="B975" s="6" t="str">
        <x:v>Part Requirement</x:v>
      </x:c>
      <x:c r="C975" s="6" t="str">
        <x:v>PRTX-0017</x:v>
      </x:c>
      <x:c r="D975" s="6" t="str">
        <x:v>SVC000017</x:v>
      </x:c>
      <x:c r="E975" s="6" t="str"/>
      <x:c r="F975" s="6" t="str">
        <x:v>Part-requirement review</x:v>
      </x:c>
      <x:c r="G975" s="6" t="n">
        <x:v>5</x:v>
      </x:c>
      <x:c r="H975" s="6" t="str">
        <x:v>SIDX-0017</x:v>
      </x:c>
      <x:c r="I975" s="6" t="str">
        <x:f>IF(H975="","No upstream dependency",IF(ISNUMBER(SEARCH(";",H975)),"Multiple dependencies - verify source queues",IFERROR(XLOOKUP(H975,C2:C1586,J2:J1586),"Dependency not found")))</x:f>
        <x:v>Not Started</x:v>
      </x:c>
      <x:c r="J975" s="6" t="str">
        <x:v>Not Started</x:v>
      </x:c>
      <x:c r="K975" s="6" t="str">
        <x:v>Normal</x:v>
      </x:c>
      <x:c r="L975" s="6" t="str"/>
      <x:c r="M975" s="6" t="str"/>
      <x:c r="N975" s="6" t="str"/>
      <x:c r="O975" s="7" t="str"/>
      <x:c r="P975" s="6" t="str">
        <x:v>Yes</x:v>
      </x:c>
      <x:c r="Q975" s="7" t="str">
        <x:v>Requires stable service identity.</x:v>
      </x:c>
    </x:row>
    <x:row r="976">
      <x:c r="A976" s="6" t="str">
        <x:v>SEQ-PRT-0018</x:v>
      </x:c>
      <x:c r="B976" s="6" t="str">
        <x:v>Part Requirement</x:v>
      </x:c>
      <x:c r="C976" s="6" t="str">
        <x:v>PRTX-0018</x:v>
      </x:c>
      <x:c r="D976" s="6" t="str">
        <x:v>SVC000018</x:v>
      </x:c>
      <x:c r="E976" s="6" t="str"/>
      <x:c r="F976" s="6" t="str">
        <x:v>Part-requirement review</x:v>
      </x:c>
      <x:c r="G976" s="6" t="n">
        <x:v>5</x:v>
      </x:c>
      <x:c r="H976" s="6" t="str">
        <x:v>SIDX-0018</x:v>
      </x:c>
      <x:c r="I976" s="6" t="str">
        <x:f>IF(H976="","No upstream dependency",IF(ISNUMBER(SEARCH(";",H976)),"Multiple dependencies - verify source queues",IFERROR(XLOOKUP(H976,C2:C1586,J2:J1586),"Dependency not found")))</x:f>
        <x:v>Not Started</x:v>
      </x:c>
      <x:c r="J976" s="6" t="str">
        <x:v>Not Started</x:v>
      </x:c>
      <x:c r="K976" s="6" t="str">
        <x:v>Normal</x:v>
      </x:c>
      <x:c r="L976" s="6" t="str"/>
      <x:c r="M976" s="6" t="str"/>
      <x:c r="N976" s="6" t="str"/>
      <x:c r="O976" s="7" t="str"/>
      <x:c r="P976" s="6" t="str">
        <x:v>Yes</x:v>
      </x:c>
      <x:c r="Q976" s="7" t="str">
        <x:v>Requires stable service identity.</x:v>
      </x:c>
    </x:row>
    <x:row r="977">
      <x:c r="A977" s="6" t="str">
        <x:v>SEQ-PRT-0019</x:v>
      </x:c>
      <x:c r="B977" s="6" t="str">
        <x:v>Part Requirement</x:v>
      </x:c>
      <x:c r="C977" s="6" t="str">
        <x:v>PRTX-0019</x:v>
      </x:c>
      <x:c r="D977" s="6" t="str">
        <x:v>SVC000019</x:v>
      </x:c>
      <x:c r="E977" s="6" t="str"/>
      <x:c r="F977" s="6" t="str">
        <x:v>Part-requirement review</x:v>
      </x:c>
      <x:c r="G977" s="6" t="n">
        <x:v>5</x:v>
      </x:c>
      <x:c r="H977" s="6" t="str">
        <x:v>SIDX-0019</x:v>
      </x:c>
      <x:c r="I977" s="6" t="str">
        <x:f>IF(H977="","No upstream dependency",IF(ISNUMBER(SEARCH(";",H977)),"Multiple dependencies - verify source queues",IFERROR(XLOOKUP(H977,C2:C1586,J2:J1586),"Dependency not found")))</x:f>
        <x:v>Not Started</x:v>
      </x:c>
      <x:c r="J977" s="6" t="str">
        <x:v>Not Started</x:v>
      </x:c>
      <x:c r="K977" s="6" t="str">
        <x:v>Normal</x:v>
      </x:c>
      <x:c r="L977" s="6" t="str"/>
      <x:c r="M977" s="6" t="str"/>
      <x:c r="N977" s="6" t="str"/>
      <x:c r="O977" s="7" t="str"/>
      <x:c r="P977" s="6" t="str">
        <x:v>Yes</x:v>
      </x:c>
      <x:c r="Q977" s="7" t="str">
        <x:v>Requires stable service identity.</x:v>
      </x:c>
    </x:row>
    <x:row r="978">
      <x:c r="A978" s="6" t="str">
        <x:v>SEQ-PRT-0020</x:v>
      </x:c>
      <x:c r="B978" s="6" t="str">
        <x:v>Part Requirement</x:v>
      </x:c>
      <x:c r="C978" s="6" t="str">
        <x:v>PRTX-0020</x:v>
      </x:c>
      <x:c r="D978" s="6" t="str">
        <x:v>SVC000020</x:v>
      </x:c>
      <x:c r="E978" s="6" t="str"/>
      <x:c r="F978" s="6" t="str">
        <x:v>Part-requirement review</x:v>
      </x:c>
      <x:c r="G978" s="6" t="n">
        <x:v>5</x:v>
      </x:c>
      <x:c r="H978" s="6" t="str">
        <x:v>SIDX-0020</x:v>
      </x:c>
      <x:c r="I978" s="6" t="str">
        <x:f>IF(H978="","No upstream dependency",IF(ISNUMBER(SEARCH(";",H978)),"Multiple dependencies - verify source queues",IFERROR(XLOOKUP(H978,C2:C1586,J2:J1586),"Dependency not found")))</x:f>
        <x:v>Not Started</x:v>
      </x:c>
      <x:c r="J978" s="6" t="str">
        <x:v>Not Started</x:v>
      </x:c>
      <x:c r="K978" s="6" t="str">
        <x:v>Normal</x:v>
      </x:c>
      <x:c r="L978" s="6" t="str"/>
      <x:c r="M978" s="6" t="str"/>
      <x:c r="N978" s="6" t="str"/>
      <x:c r="O978" s="7" t="str"/>
      <x:c r="P978" s="6" t="str">
        <x:v>Yes</x:v>
      </x:c>
      <x:c r="Q978" s="7" t="str">
        <x:v>Requires stable service identity.</x:v>
      </x:c>
    </x:row>
    <x:row r="979">
      <x:c r="A979" s="6" t="str">
        <x:v>SEQ-PRT-0021</x:v>
      </x:c>
      <x:c r="B979" s="6" t="str">
        <x:v>Part Requirement</x:v>
      </x:c>
      <x:c r="C979" s="6" t="str">
        <x:v>PRTX-0021</x:v>
      </x:c>
      <x:c r="D979" s="6" t="str">
        <x:v>SVC000021</x:v>
      </x:c>
      <x:c r="E979" s="6" t="str"/>
      <x:c r="F979" s="6" t="str">
        <x:v>Part-requirement review</x:v>
      </x:c>
      <x:c r="G979" s="6" t="n">
        <x:v>5</x:v>
      </x:c>
      <x:c r="H979" s="6" t="str">
        <x:v>SIDX-0021</x:v>
      </x:c>
      <x:c r="I979" s="6" t="str">
        <x:f>IF(H979="","No upstream dependency",IF(ISNUMBER(SEARCH(";",H979)),"Multiple dependencies - verify source queues",IFERROR(XLOOKUP(H979,C2:C1586,J2:J1586),"Dependency not found")))</x:f>
        <x:v>Not Started</x:v>
      </x:c>
      <x:c r="J979" s="6" t="str">
        <x:v>Not Started</x:v>
      </x:c>
      <x:c r="K979" s="6" t="str">
        <x:v>Normal</x:v>
      </x:c>
      <x:c r="L979" s="6" t="str"/>
      <x:c r="M979" s="6" t="str"/>
      <x:c r="N979" s="6" t="str"/>
      <x:c r="O979" s="7" t="str"/>
      <x:c r="P979" s="6" t="str">
        <x:v>Yes</x:v>
      </x:c>
      <x:c r="Q979" s="7" t="str">
        <x:v>Requires stable service identity.</x:v>
      </x:c>
    </x:row>
    <x:row r="980">
      <x:c r="A980" s="6" t="str">
        <x:v>SEQ-PRT-0022</x:v>
      </x:c>
      <x:c r="B980" s="6" t="str">
        <x:v>Part Requirement</x:v>
      </x:c>
      <x:c r="C980" s="6" t="str">
        <x:v>PRTX-0022</x:v>
      </x:c>
      <x:c r="D980" s="6" t="str">
        <x:v>SVC000022</x:v>
      </x:c>
      <x:c r="E980" s="6" t="str"/>
      <x:c r="F980" s="6" t="str">
        <x:v>Part-requirement review</x:v>
      </x:c>
      <x:c r="G980" s="6" t="n">
        <x:v>5</x:v>
      </x:c>
      <x:c r="H980" s="6" t="str">
        <x:v>SIDX-0022</x:v>
      </x:c>
      <x:c r="I980" s="6" t="str">
        <x:f>IF(H980="","No upstream dependency",IF(ISNUMBER(SEARCH(";",H980)),"Multiple dependencies - verify source queues",IFERROR(XLOOKUP(H980,C2:C1586,J2:J1586),"Dependency not found")))</x:f>
        <x:v>Not Started</x:v>
      </x:c>
      <x:c r="J980" s="6" t="str">
        <x:v>Not Started</x:v>
      </x:c>
      <x:c r="K980" s="6" t="str">
        <x:v>Normal</x:v>
      </x:c>
      <x:c r="L980" s="6" t="str"/>
      <x:c r="M980" s="6" t="str"/>
      <x:c r="N980" s="6" t="str"/>
      <x:c r="O980" s="7" t="str"/>
      <x:c r="P980" s="6" t="str">
        <x:v>Yes</x:v>
      </x:c>
      <x:c r="Q980" s="7" t="str">
        <x:v>Requires stable service identity.</x:v>
      </x:c>
    </x:row>
    <x:row r="981">
      <x:c r="A981" s="6" t="str">
        <x:v>SEQ-PRT-0023</x:v>
      </x:c>
      <x:c r="B981" s="6" t="str">
        <x:v>Part Requirement</x:v>
      </x:c>
      <x:c r="C981" s="6" t="str">
        <x:v>PRTX-0023</x:v>
      </x:c>
      <x:c r="D981" s="6" t="str">
        <x:v>SVC000023</x:v>
      </x:c>
      <x:c r="E981" s="6" t="str"/>
      <x:c r="F981" s="6" t="str">
        <x:v>Part-requirement review</x:v>
      </x:c>
      <x:c r="G981" s="6" t="n">
        <x:v>5</x:v>
      </x:c>
      <x:c r="H981" s="6" t="str">
        <x:v>SIDX-0023</x:v>
      </x:c>
      <x:c r="I981" s="6" t="str">
        <x:f>IF(H981="","No upstream dependency",IF(ISNUMBER(SEARCH(";",H981)),"Multiple dependencies - verify source queues",IFERROR(XLOOKUP(H981,C2:C1586,J2:J1586),"Dependency not found")))</x:f>
        <x:v>Not Started</x:v>
      </x:c>
      <x:c r="J981" s="6" t="str">
        <x:v>Not Started</x:v>
      </x:c>
      <x:c r="K981" s="6" t="str">
        <x:v>Normal</x:v>
      </x:c>
      <x:c r="L981" s="6" t="str"/>
      <x:c r="M981" s="6" t="str"/>
      <x:c r="N981" s="6" t="str"/>
      <x:c r="O981" s="7" t="str"/>
      <x:c r="P981" s="6" t="str">
        <x:v>Yes</x:v>
      </x:c>
      <x:c r="Q981" s="7" t="str">
        <x:v>Requires stable service identity.</x:v>
      </x:c>
    </x:row>
    <x:row r="982">
      <x:c r="A982" s="6" t="str">
        <x:v>SEQ-PRT-0024</x:v>
      </x:c>
      <x:c r="B982" s="6" t="str">
        <x:v>Part Requirement</x:v>
      </x:c>
      <x:c r="C982" s="6" t="str">
        <x:v>PRTX-0024</x:v>
      </x:c>
      <x:c r="D982" s="6" t="str">
        <x:v>SVC000024</x:v>
      </x:c>
      <x:c r="E982" s="6" t="str"/>
      <x:c r="F982" s="6" t="str">
        <x:v>Part-requirement review</x:v>
      </x:c>
      <x:c r="G982" s="6" t="n">
        <x:v>5</x:v>
      </x:c>
      <x:c r="H982" s="6" t="str">
        <x:v>SIDX-0024</x:v>
      </x:c>
      <x:c r="I982" s="6" t="str">
        <x:f>IF(H982="","No upstream dependency",IF(ISNUMBER(SEARCH(";",H982)),"Multiple dependencies - verify source queues",IFERROR(XLOOKUP(H982,C2:C1586,J2:J1586),"Dependency not found")))</x:f>
        <x:v>Not Started</x:v>
      </x:c>
      <x:c r="J982" s="6" t="str">
        <x:v>Not Started</x:v>
      </x:c>
      <x:c r="K982" s="6" t="str">
        <x:v>Normal</x:v>
      </x:c>
      <x:c r="L982" s="6" t="str"/>
      <x:c r="M982" s="6" t="str"/>
      <x:c r="N982" s="6" t="str"/>
      <x:c r="O982" s="7" t="str"/>
      <x:c r="P982" s="6" t="str">
        <x:v>Yes</x:v>
      </x:c>
      <x:c r="Q982" s="7" t="str">
        <x:v>Requires stable service identity.</x:v>
      </x:c>
    </x:row>
    <x:row r="983">
      <x:c r="A983" s="6" t="str">
        <x:v>SEQ-PRT-0025</x:v>
      </x:c>
      <x:c r="B983" s="6" t="str">
        <x:v>Part Requirement</x:v>
      </x:c>
      <x:c r="C983" s="6" t="str">
        <x:v>PRTX-0025</x:v>
      </x:c>
      <x:c r="D983" s="6" t="str">
        <x:v>SVC000025</x:v>
      </x:c>
      <x:c r="E983" s="6" t="str"/>
      <x:c r="F983" s="6" t="str">
        <x:v>Part-requirement review</x:v>
      </x:c>
      <x:c r="G983" s="6" t="n">
        <x:v>5</x:v>
      </x:c>
      <x:c r="H983" s="6" t="str">
        <x:v>SIDX-0025</x:v>
      </x:c>
      <x:c r="I983" s="6" t="str">
        <x:f>IF(H983="","No upstream dependency",IF(ISNUMBER(SEARCH(";",H983)),"Multiple dependencies - verify source queues",IFERROR(XLOOKUP(H983,C2:C1586,J2:J1586),"Dependency not found")))</x:f>
        <x:v>Not Started</x:v>
      </x:c>
      <x:c r="J983" s="6" t="str">
        <x:v>Not Started</x:v>
      </x:c>
      <x:c r="K983" s="6" t="str">
        <x:v>Normal</x:v>
      </x:c>
      <x:c r="L983" s="6" t="str"/>
      <x:c r="M983" s="6" t="str"/>
      <x:c r="N983" s="6" t="str"/>
      <x:c r="O983" s="7" t="str"/>
      <x:c r="P983" s="6" t="str">
        <x:v>Yes</x:v>
      </x:c>
      <x:c r="Q983" s="7" t="str">
        <x:v>Requires stable service identity.</x:v>
      </x:c>
    </x:row>
    <x:row r="984">
      <x:c r="A984" s="6" t="str">
        <x:v>SEQ-PRT-0026</x:v>
      </x:c>
      <x:c r="B984" s="6" t="str">
        <x:v>Part Requirement</x:v>
      </x:c>
      <x:c r="C984" s="6" t="str">
        <x:v>PRTX-0026</x:v>
      </x:c>
      <x:c r="D984" s="6" t="str">
        <x:v>SVC000026</x:v>
      </x:c>
      <x:c r="E984" s="6" t="str"/>
      <x:c r="F984" s="6" t="str">
        <x:v>Part-requirement review</x:v>
      </x:c>
      <x:c r="G984" s="6" t="n">
        <x:v>5</x:v>
      </x:c>
      <x:c r="H984" s="6" t="str">
        <x:v>SIDX-0026</x:v>
      </x:c>
      <x:c r="I984" s="6" t="str">
        <x:f>IF(H984="","No upstream dependency",IF(ISNUMBER(SEARCH(";",H984)),"Multiple dependencies - verify source queues",IFERROR(XLOOKUP(H984,C2:C1586,J2:J1586),"Dependency not found")))</x:f>
        <x:v>Not Started</x:v>
      </x:c>
      <x:c r="J984" s="6" t="str">
        <x:v>Not Started</x:v>
      </x:c>
      <x:c r="K984" s="6" t="str">
        <x:v>Normal</x:v>
      </x:c>
      <x:c r="L984" s="6" t="str"/>
      <x:c r="M984" s="6" t="str"/>
      <x:c r="N984" s="6" t="str"/>
      <x:c r="O984" s="7" t="str"/>
      <x:c r="P984" s="6" t="str">
        <x:v>Yes</x:v>
      </x:c>
      <x:c r="Q984" s="7" t="str">
        <x:v>Requires stable service identity.</x:v>
      </x:c>
    </x:row>
    <x:row r="985">
      <x:c r="A985" s="6" t="str">
        <x:v>SEQ-PRT-0027</x:v>
      </x:c>
      <x:c r="B985" s="6" t="str">
        <x:v>Part Requirement</x:v>
      </x:c>
      <x:c r="C985" s="6" t="str">
        <x:v>PRTX-0027</x:v>
      </x:c>
      <x:c r="D985" s="6" t="str">
        <x:v>SVC000027</x:v>
      </x:c>
      <x:c r="E985" s="6" t="str"/>
      <x:c r="F985" s="6" t="str">
        <x:v>Part-requirement review</x:v>
      </x:c>
      <x:c r="G985" s="6" t="n">
        <x:v>5</x:v>
      </x:c>
      <x:c r="H985" s="6" t="str">
        <x:v>SIDX-0027</x:v>
      </x:c>
      <x:c r="I985" s="6" t="str">
        <x:f>IF(H985="","No upstream dependency",IF(ISNUMBER(SEARCH(";",H985)),"Multiple dependencies - verify source queues",IFERROR(XLOOKUP(H985,C2:C1586,J2:J1586),"Dependency not found")))</x:f>
        <x:v>Not Started</x:v>
      </x:c>
      <x:c r="J985" s="6" t="str">
        <x:v>Not Started</x:v>
      </x:c>
      <x:c r="K985" s="6" t="str">
        <x:v>Normal</x:v>
      </x:c>
      <x:c r="L985" s="6" t="str"/>
      <x:c r="M985" s="6" t="str"/>
      <x:c r="N985" s="6" t="str"/>
      <x:c r="O985" s="7" t="str"/>
      <x:c r="P985" s="6" t="str">
        <x:v>Yes</x:v>
      </x:c>
      <x:c r="Q985" s="7" t="str">
        <x:v>Requires stable service identity.</x:v>
      </x:c>
    </x:row>
    <x:row r="986">
      <x:c r="A986" s="6" t="str">
        <x:v>SEQ-PRT-0028</x:v>
      </x:c>
      <x:c r="B986" s="6" t="str">
        <x:v>Part Requirement</x:v>
      </x:c>
      <x:c r="C986" s="6" t="str">
        <x:v>PRTX-0028</x:v>
      </x:c>
      <x:c r="D986" s="6" t="str">
        <x:v>SVC000028</x:v>
      </x:c>
      <x:c r="E986" s="6" t="str"/>
      <x:c r="F986" s="6" t="str">
        <x:v>Part-requirement review</x:v>
      </x:c>
      <x:c r="G986" s="6" t="n">
        <x:v>5</x:v>
      </x:c>
      <x:c r="H986" s="6" t="str">
        <x:v>SIDX-0028</x:v>
      </x:c>
      <x:c r="I986" s="6" t="str">
        <x:f>IF(H986="","No upstream dependency",IF(ISNUMBER(SEARCH(";",H986)),"Multiple dependencies - verify source queues",IFERROR(XLOOKUP(H986,C2:C1586,J2:J1586),"Dependency not found")))</x:f>
        <x:v>Not Started</x:v>
      </x:c>
      <x:c r="J986" s="6" t="str">
        <x:v>Not Started</x:v>
      </x:c>
      <x:c r="K986" s="6" t="str">
        <x:v>Normal</x:v>
      </x:c>
      <x:c r="L986" s="6" t="str"/>
      <x:c r="M986" s="6" t="str"/>
      <x:c r="N986" s="6" t="str"/>
      <x:c r="O986" s="7" t="str"/>
      <x:c r="P986" s="6" t="str">
        <x:v>Yes</x:v>
      </x:c>
      <x:c r="Q986" s="7" t="str">
        <x:v>Requires stable service identity.</x:v>
      </x:c>
    </x:row>
    <x:row r="987">
      <x:c r="A987" s="6" t="str">
        <x:v>SEQ-PRT-0029</x:v>
      </x:c>
      <x:c r="B987" s="6" t="str">
        <x:v>Part Requirement</x:v>
      </x:c>
      <x:c r="C987" s="6" t="str">
        <x:v>PRTX-0029</x:v>
      </x:c>
      <x:c r="D987" s="6" t="str">
        <x:v>SVC000029</x:v>
      </x:c>
      <x:c r="E987" s="6" t="str"/>
      <x:c r="F987" s="6" t="str">
        <x:v>Part-requirement review</x:v>
      </x:c>
      <x:c r="G987" s="6" t="n">
        <x:v>5</x:v>
      </x:c>
      <x:c r="H987" s="6" t="str">
        <x:v>SIDX-0029</x:v>
      </x:c>
      <x:c r="I987" s="6" t="str">
        <x:f>IF(H987="","No upstream dependency",IF(ISNUMBER(SEARCH(";",H987)),"Multiple dependencies - verify source queues",IFERROR(XLOOKUP(H987,C2:C1586,J2:J1586),"Dependency not found")))</x:f>
        <x:v>Not Started</x:v>
      </x:c>
      <x:c r="J987" s="6" t="str">
        <x:v>Not Started</x:v>
      </x:c>
      <x:c r="K987" s="6" t="str">
        <x:v>Normal</x:v>
      </x:c>
      <x:c r="L987" s="6" t="str"/>
      <x:c r="M987" s="6" t="str"/>
      <x:c r="N987" s="6" t="str"/>
      <x:c r="O987" s="7" t="str"/>
      <x:c r="P987" s="6" t="str">
        <x:v>Yes</x:v>
      </x:c>
      <x:c r="Q987" s="7" t="str">
        <x:v>Requires stable service identity.</x:v>
      </x:c>
    </x:row>
    <x:row r="988">
      <x:c r="A988" s="6" t="str">
        <x:v>SEQ-PRT-0030</x:v>
      </x:c>
      <x:c r="B988" s="6" t="str">
        <x:v>Part Requirement</x:v>
      </x:c>
      <x:c r="C988" s="6" t="str">
        <x:v>PRTX-0030</x:v>
      </x:c>
      <x:c r="D988" s="6" t="str">
        <x:v>SVC000030</x:v>
      </x:c>
      <x:c r="E988" s="6" t="str"/>
      <x:c r="F988" s="6" t="str">
        <x:v>Part-requirement review</x:v>
      </x:c>
      <x:c r="G988" s="6" t="n">
        <x:v>5</x:v>
      </x:c>
      <x:c r="H988" s="6" t="str">
        <x:v>SIDX-0030</x:v>
      </x:c>
      <x:c r="I988" s="6" t="str">
        <x:f>IF(H988="","No upstream dependency",IF(ISNUMBER(SEARCH(";",H988)),"Multiple dependencies - verify source queues",IFERROR(XLOOKUP(H988,C2:C1586,J2:J1586),"Dependency not found")))</x:f>
        <x:v>Not Started</x:v>
      </x:c>
      <x:c r="J988" s="6" t="str">
        <x:v>Not Started</x:v>
      </x:c>
      <x:c r="K988" s="6" t="str">
        <x:v>Normal</x:v>
      </x:c>
      <x:c r="L988" s="6" t="str"/>
      <x:c r="M988" s="6" t="str"/>
      <x:c r="N988" s="6" t="str"/>
      <x:c r="O988" s="7" t="str"/>
      <x:c r="P988" s="6" t="str">
        <x:v>Yes</x:v>
      </x:c>
      <x:c r="Q988" s="7" t="str">
        <x:v>Requires stable service identity.</x:v>
      </x:c>
    </x:row>
    <x:row r="989">
      <x:c r="A989" s="6" t="str">
        <x:v>SEQ-PRT-0031</x:v>
      </x:c>
      <x:c r="B989" s="6" t="str">
        <x:v>Part Requirement</x:v>
      </x:c>
      <x:c r="C989" s="6" t="str">
        <x:v>PRTX-0031</x:v>
      </x:c>
      <x:c r="D989" s="6" t="str">
        <x:v>SVC000031</x:v>
      </x:c>
      <x:c r="E989" s="6" t="str"/>
      <x:c r="F989" s="6" t="str">
        <x:v>Part-requirement review</x:v>
      </x:c>
      <x:c r="G989" s="6" t="n">
        <x:v>5</x:v>
      </x:c>
      <x:c r="H989" s="6" t="str">
        <x:v>SIDX-0031</x:v>
      </x:c>
      <x:c r="I989" s="6" t="str">
        <x:f>IF(H989="","No upstream dependency",IF(ISNUMBER(SEARCH(";",H989)),"Multiple dependencies - verify source queues",IFERROR(XLOOKUP(H989,C2:C1586,J2:J1586),"Dependency not found")))</x:f>
        <x:v>Not Started</x:v>
      </x:c>
      <x:c r="J989" s="6" t="str">
        <x:v>Not Started</x:v>
      </x:c>
      <x:c r="K989" s="6" t="str">
        <x:v>Normal</x:v>
      </x:c>
      <x:c r="L989" s="6" t="str"/>
      <x:c r="M989" s="6" t="str"/>
      <x:c r="N989" s="6" t="str"/>
      <x:c r="O989" s="7" t="str"/>
      <x:c r="P989" s="6" t="str">
        <x:v>Yes</x:v>
      </x:c>
      <x:c r="Q989" s="7" t="str">
        <x:v>Requires stable service identity.</x:v>
      </x:c>
    </x:row>
    <x:row r="990">
      <x:c r="A990" s="6" t="str">
        <x:v>SEQ-PRT-0032</x:v>
      </x:c>
      <x:c r="B990" s="6" t="str">
        <x:v>Part Requirement</x:v>
      </x:c>
      <x:c r="C990" s="6" t="str">
        <x:v>PRTX-0032</x:v>
      </x:c>
      <x:c r="D990" s="6" t="str">
        <x:v>SVC000032</x:v>
      </x:c>
      <x:c r="E990" s="6" t="str"/>
      <x:c r="F990" s="6" t="str">
        <x:v>Part-requirement review</x:v>
      </x:c>
      <x:c r="G990" s="6" t="n">
        <x:v>5</x:v>
      </x:c>
      <x:c r="H990" s="6" t="str">
        <x:v>SIDX-0032</x:v>
      </x:c>
      <x:c r="I990" s="6" t="str">
        <x:f>IF(H990="","No upstream dependency",IF(ISNUMBER(SEARCH(";",H990)),"Multiple dependencies - verify source queues",IFERROR(XLOOKUP(H990,C2:C1586,J2:J1586),"Dependency not found")))</x:f>
        <x:v>Not Started</x:v>
      </x:c>
      <x:c r="J990" s="6" t="str">
        <x:v>Not Started</x:v>
      </x:c>
      <x:c r="K990" s="6" t="str">
        <x:v>Normal</x:v>
      </x:c>
      <x:c r="L990" s="6" t="str"/>
      <x:c r="M990" s="6" t="str"/>
      <x:c r="N990" s="6" t="str"/>
      <x:c r="O990" s="7" t="str"/>
      <x:c r="P990" s="6" t="str">
        <x:v>Yes</x:v>
      </x:c>
      <x:c r="Q990" s="7" t="str">
        <x:v>Requires stable service identity.</x:v>
      </x:c>
    </x:row>
    <x:row r="991">
      <x:c r="A991" s="6" t="str">
        <x:v>SEQ-PRT-0033</x:v>
      </x:c>
      <x:c r="B991" s="6" t="str">
        <x:v>Part Requirement</x:v>
      </x:c>
      <x:c r="C991" s="6" t="str">
        <x:v>PRTX-0033</x:v>
      </x:c>
      <x:c r="D991" s="6" t="str">
        <x:v>SVC000033</x:v>
      </x:c>
      <x:c r="E991" s="6" t="str"/>
      <x:c r="F991" s="6" t="str">
        <x:v>Part-requirement review</x:v>
      </x:c>
      <x:c r="G991" s="6" t="n">
        <x:v>5</x:v>
      </x:c>
      <x:c r="H991" s="6" t="str">
        <x:v>SIDX-0033</x:v>
      </x:c>
      <x:c r="I991" s="6" t="str">
        <x:f>IF(H991="","No upstream dependency",IF(ISNUMBER(SEARCH(";",H991)),"Multiple dependencies - verify source queues",IFERROR(XLOOKUP(H991,C2:C1586,J2:J1586),"Dependency not found")))</x:f>
        <x:v>Not Started</x:v>
      </x:c>
      <x:c r="J991" s="6" t="str">
        <x:v>Not Started</x:v>
      </x:c>
      <x:c r="K991" s="6" t="str">
        <x:v>Normal</x:v>
      </x:c>
      <x:c r="L991" s="6" t="str"/>
      <x:c r="M991" s="6" t="str"/>
      <x:c r="N991" s="6" t="str"/>
      <x:c r="O991" s="7" t="str"/>
      <x:c r="P991" s="6" t="str">
        <x:v>Yes</x:v>
      </x:c>
      <x:c r="Q991" s="7" t="str">
        <x:v>Requires stable service identity.</x:v>
      </x:c>
    </x:row>
    <x:row r="992">
      <x:c r="A992" s="6" t="str">
        <x:v>SEQ-PRT-0034</x:v>
      </x:c>
      <x:c r="B992" s="6" t="str">
        <x:v>Part Requirement</x:v>
      </x:c>
      <x:c r="C992" s="6" t="str">
        <x:v>PRTX-0034</x:v>
      </x:c>
      <x:c r="D992" s="6" t="str">
        <x:v>SVC000034</x:v>
      </x:c>
      <x:c r="E992" s="6" t="str"/>
      <x:c r="F992" s="6" t="str">
        <x:v>Part-requirement review</x:v>
      </x:c>
      <x:c r="G992" s="6" t="n">
        <x:v>5</x:v>
      </x:c>
      <x:c r="H992" s="6" t="str">
        <x:v>SIDX-0034</x:v>
      </x:c>
      <x:c r="I992" s="6" t="str">
        <x:f>IF(H992="","No upstream dependency",IF(ISNUMBER(SEARCH(";",H992)),"Multiple dependencies - verify source queues",IFERROR(XLOOKUP(H992,C2:C1586,J2:J1586),"Dependency not found")))</x:f>
        <x:v>Not Started</x:v>
      </x:c>
      <x:c r="J992" s="6" t="str">
        <x:v>Not Started</x:v>
      </x:c>
      <x:c r="K992" s="6" t="str">
        <x:v>Normal</x:v>
      </x:c>
      <x:c r="L992" s="6" t="str"/>
      <x:c r="M992" s="6" t="str"/>
      <x:c r="N992" s="6" t="str"/>
      <x:c r="O992" s="7" t="str"/>
      <x:c r="P992" s="6" t="str">
        <x:v>Yes</x:v>
      </x:c>
      <x:c r="Q992" s="7" t="str">
        <x:v>Requires stable service identity.</x:v>
      </x:c>
    </x:row>
    <x:row r="993">
      <x:c r="A993" s="6" t="str">
        <x:v>SEQ-PRT-0035</x:v>
      </x:c>
      <x:c r="B993" s="6" t="str">
        <x:v>Part Requirement</x:v>
      </x:c>
      <x:c r="C993" s="6" t="str">
        <x:v>PRTX-0035</x:v>
      </x:c>
      <x:c r="D993" s="6" t="str">
        <x:v>SVC000035</x:v>
      </x:c>
      <x:c r="E993" s="6" t="str"/>
      <x:c r="F993" s="6" t="str">
        <x:v>Part-requirement review</x:v>
      </x:c>
      <x:c r="G993" s="6" t="n">
        <x:v>5</x:v>
      </x:c>
      <x:c r="H993" s="6" t="str">
        <x:v>SIDX-0035</x:v>
      </x:c>
      <x:c r="I993" s="6" t="str">
        <x:f>IF(H993="","No upstream dependency",IF(ISNUMBER(SEARCH(";",H993)),"Multiple dependencies - verify source queues",IFERROR(XLOOKUP(H993,C2:C1586,J2:J1586),"Dependency not found")))</x:f>
        <x:v>Not Started</x:v>
      </x:c>
      <x:c r="J993" s="6" t="str">
        <x:v>Not Started</x:v>
      </x:c>
      <x:c r="K993" s="6" t="str">
        <x:v>Normal</x:v>
      </x:c>
      <x:c r="L993" s="6" t="str"/>
      <x:c r="M993" s="6" t="str"/>
      <x:c r="N993" s="6" t="str"/>
      <x:c r="O993" s="7" t="str"/>
      <x:c r="P993" s="6" t="str">
        <x:v>Yes</x:v>
      </x:c>
      <x:c r="Q993" s="7" t="str">
        <x:v>Requires stable service identity.</x:v>
      </x:c>
    </x:row>
    <x:row r="994">
      <x:c r="A994" s="6" t="str">
        <x:v>SEQ-PRT-0036</x:v>
      </x:c>
      <x:c r="B994" s="6" t="str">
        <x:v>Part Requirement</x:v>
      </x:c>
      <x:c r="C994" s="6" t="str">
        <x:v>PRTX-0036</x:v>
      </x:c>
      <x:c r="D994" s="6" t="str">
        <x:v>SVC000036</x:v>
      </x:c>
      <x:c r="E994" s="6" t="str"/>
      <x:c r="F994" s="6" t="str">
        <x:v>Part-requirement review</x:v>
      </x:c>
      <x:c r="G994" s="6" t="n">
        <x:v>5</x:v>
      </x:c>
      <x:c r="H994" s="6" t="str">
        <x:v>SIDX-0036</x:v>
      </x:c>
      <x:c r="I994" s="6" t="str">
        <x:f>IF(H994="","No upstream dependency",IF(ISNUMBER(SEARCH(";",H994)),"Multiple dependencies - verify source queues",IFERROR(XLOOKUP(H994,C2:C1586,J2:J1586),"Dependency not found")))</x:f>
        <x:v>Not Started</x:v>
      </x:c>
      <x:c r="J994" s="6" t="str">
        <x:v>Not Started</x:v>
      </x:c>
      <x:c r="K994" s="6" t="str">
        <x:v>Normal</x:v>
      </x:c>
      <x:c r="L994" s="6" t="str"/>
      <x:c r="M994" s="6" t="str"/>
      <x:c r="N994" s="6" t="str"/>
      <x:c r="O994" s="7" t="str"/>
      <x:c r="P994" s="6" t="str">
        <x:v>Yes</x:v>
      </x:c>
      <x:c r="Q994" s="7" t="str">
        <x:v>Requires stable service identity.</x:v>
      </x:c>
    </x:row>
    <x:row r="995">
      <x:c r="A995" s="6" t="str">
        <x:v>SEQ-PRT-0037</x:v>
      </x:c>
      <x:c r="B995" s="6" t="str">
        <x:v>Part Requirement</x:v>
      </x:c>
      <x:c r="C995" s="6" t="str">
        <x:v>PRTX-0037</x:v>
      </x:c>
      <x:c r="D995" s="6" t="str">
        <x:v>SVC000037</x:v>
      </x:c>
      <x:c r="E995" s="6" t="str"/>
      <x:c r="F995" s="6" t="str">
        <x:v>Part-requirement review</x:v>
      </x:c>
      <x:c r="G995" s="6" t="n">
        <x:v>5</x:v>
      </x:c>
      <x:c r="H995" s="6" t="str">
        <x:v>SIDX-0037</x:v>
      </x:c>
      <x:c r="I995" s="6" t="str">
        <x:f>IF(H995="","No upstream dependency",IF(ISNUMBER(SEARCH(";",H995)),"Multiple dependencies - verify source queues",IFERROR(XLOOKUP(H995,C2:C1586,J2:J1586),"Dependency not found")))</x:f>
        <x:v>Not Started</x:v>
      </x:c>
      <x:c r="J995" s="6" t="str">
        <x:v>Not Started</x:v>
      </x:c>
      <x:c r="K995" s="6" t="str">
        <x:v>Normal</x:v>
      </x:c>
      <x:c r="L995" s="6" t="str"/>
      <x:c r="M995" s="6" t="str"/>
      <x:c r="N995" s="6" t="str"/>
      <x:c r="O995" s="7" t="str"/>
      <x:c r="P995" s="6" t="str">
        <x:v>Yes</x:v>
      </x:c>
      <x:c r="Q995" s="7" t="str">
        <x:v>Requires stable service identity.</x:v>
      </x:c>
    </x:row>
    <x:row r="996">
      <x:c r="A996" s="6" t="str">
        <x:v>SEQ-PRT-0038</x:v>
      </x:c>
      <x:c r="B996" s="6" t="str">
        <x:v>Part Requirement</x:v>
      </x:c>
      <x:c r="C996" s="6" t="str">
        <x:v>PRTX-0038</x:v>
      </x:c>
      <x:c r="D996" s="6" t="str">
        <x:v>SVC000038</x:v>
      </x:c>
      <x:c r="E996" s="6" t="str"/>
      <x:c r="F996" s="6" t="str">
        <x:v>Part-requirement review</x:v>
      </x:c>
      <x:c r="G996" s="6" t="n">
        <x:v>5</x:v>
      </x:c>
      <x:c r="H996" s="6" t="str">
        <x:v>SIDX-0038</x:v>
      </x:c>
      <x:c r="I996" s="6" t="str">
        <x:f>IF(H996="","No upstream dependency",IF(ISNUMBER(SEARCH(";",H996)),"Multiple dependencies - verify source queues",IFERROR(XLOOKUP(H996,C2:C1586,J2:J1586),"Dependency not found")))</x:f>
        <x:v>Not Started</x:v>
      </x:c>
      <x:c r="J996" s="6" t="str">
        <x:v>Not Started</x:v>
      </x:c>
      <x:c r="K996" s="6" t="str">
        <x:v>Normal</x:v>
      </x:c>
      <x:c r="L996" s="6" t="str"/>
      <x:c r="M996" s="6" t="str"/>
      <x:c r="N996" s="6" t="str"/>
      <x:c r="O996" s="7" t="str"/>
      <x:c r="P996" s="6" t="str">
        <x:v>Yes</x:v>
      </x:c>
      <x:c r="Q996" s="7" t="str">
        <x:v>Requires stable service identity.</x:v>
      </x:c>
    </x:row>
    <x:row r="997">
      <x:c r="A997" s="6" t="str">
        <x:v>SEQ-PRT-0039</x:v>
      </x:c>
      <x:c r="B997" s="6" t="str">
        <x:v>Part Requirement</x:v>
      </x:c>
      <x:c r="C997" s="6" t="str">
        <x:v>PRTX-0039</x:v>
      </x:c>
      <x:c r="D997" s="6" t="str">
        <x:v>SVC000039</x:v>
      </x:c>
      <x:c r="E997" s="6" t="str"/>
      <x:c r="F997" s="6" t="str">
        <x:v>Part-requirement review</x:v>
      </x:c>
      <x:c r="G997" s="6" t="n">
        <x:v>5</x:v>
      </x:c>
      <x:c r="H997" s="6" t="str">
        <x:v>SIDX-0039</x:v>
      </x:c>
      <x:c r="I997" s="6" t="str">
        <x:f>IF(H997="","No upstream dependency",IF(ISNUMBER(SEARCH(";",H997)),"Multiple dependencies - verify source queues",IFERROR(XLOOKUP(H997,C2:C1586,J2:J1586),"Dependency not found")))</x:f>
        <x:v>Not Started</x:v>
      </x:c>
      <x:c r="J997" s="6" t="str">
        <x:v>Not Started</x:v>
      </x:c>
      <x:c r="K997" s="6" t="str">
        <x:v>Normal</x:v>
      </x:c>
      <x:c r="L997" s="6" t="str"/>
      <x:c r="M997" s="6" t="str"/>
      <x:c r="N997" s="6" t="str"/>
      <x:c r="O997" s="7" t="str"/>
      <x:c r="P997" s="6" t="str">
        <x:v>Yes</x:v>
      </x:c>
      <x:c r="Q997" s="7" t="str">
        <x:v>Requires stable service identity.</x:v>
      </x:c>
    </x:row>
    <x:row r="998">
      <x:c r="A998" s="6" t="str">
        <x:v>SEQ-PRT-0040</x:v>
      </x:c>
      <x:c r="B998" s="6" t="str">
        <x:v>Part Requirement</x:v>
      </x:c>
      <x:c r="C998" s="6" t="str">
        <x:v>PRTX-0040</x:v>
      </x:c>
      <x:c r="D998" s="6" t="str">
        <x:v>SVC000040</x:v>
      </x:c>
      <x:c r="E998" s="6" t="str"/>
      <x:c r="F998" s="6" t="str">
        <x:v>Part-requirement review</x:v>
      </x:c>
      <x:c r="G998" s="6" t="n">
        <x:v>5</x:v>
      </x:c>
      <x:c r="H998" s="6" t="str">
        <x:v>SIDX-0040</x:v>
      </x:c>
      <x:c r="I998" s="6" t="str">
        <x:f>IF(H998="","No upstream dependency",IF(ISNUMBER(SEARCH(";",H998)),"Multiple dependencies - verify source queues",IFERROR(XLOOKUP(H998,C2:C1586,J2:J1586),"Dependency not found")))</x:f>
        <x:v>Not Started</x:v>
      </x:c>
      <x:c r="J998" s="6" t="str">
        <x:v>Not Started</x:v>
      </x:c>
      <x:c r="K998" s="6" t="str">
        <x:v>Normal</x:v>
      </x:c>
      <x:c r="L998" s="6" t="str"/>
      <x:c r="M998" s="6" t="str"/>
      <x:c r="N998" s="6" t="str"/>
      <x:c r="O998" s="7" t="str"/>
      <x:c r="P998" s="6" t="str">
        <x:v>Yes</x:v>
      </x:c>
      <x:c r="Q998" s="7" t="str">
        <x:v>Requires stable service identity.</x:v>
      </x:c>
    </x:row>
    <x:row r="999">
      <x:c r="A999" s="6" t="str">
        <x:v>SEQ-PRT-0041</x:v>
      </x:c>
      <x:c r="B999" s="6" t="str">
        <x:v>Part Requirement</x:v>
      </x:c>
      <x:c r="C999" s="6" t="str">
        <x:v>PRTX-0041</x:v>
      </x:c>
      <x:c r="D999" s="6" t="str">
        <x:v>SVC000041</x:v>
      </x:c>
      <x:c r="E999" s="6" t="str"/>
      <x:c r="F999" s="6" t="str">
        <x:v>Part-requirement review</x:v>
      </x:c>
      <x:c r="G999" s="6" t="n">
        <x:v>5</x:v>
      </x:c>
      <x:c r="H999" s="6" t="str">
        <x:v>SIDX-0041</x:v>
      </x:c>
      <x:c r="I999" s="6" t="str">
        <x:f>IF(H999="","No upstream dependency",IF(ISNUMBER(SEARCH(";",H999)),"Multiple dependencies - verify source queues",IFERROR(XLOOKUP(H999,C2:C1586,J2:J1586),"Dependency not found")))</x:f>
        <x:v>Not Started</x:v>
      </x:c>
      <x:c r="J999" s="6" t="str">
        <x:v>Not Started</x:v>
      </x:c>
      <x:c r="K999" s="6" t="str">
        <x:v>Normal</x:v>
      </x:c>
      <x:c r="L999" s="6" t="str"/>
      <x:c r="M999" s="6" t="str"/>
      <x:c r="N999" s="6" t="str"/>
      <x:c r="O999" s="7" t="str"/>
      <x:c r="P999" s="6" t="str">
        <x:v>Yes</x:v>
      </x:c>
      <x:c r="Q999" s="7" t="str">
        <x:v>Requires stable service identity.</x:v>
      </x:c>
    </x:row>
    <x:row r="1000">
      <x:c r="A1000" s="6" t="str">
        <x:v>SEQ-PRT-0042</x:v>
      </x:c>
      <x:c r="B1000" s="6" t="str">
        <x:v>Part Requirement</x:v>
      </x:c>
      <x:c r="C1000" s="6" t="str">
        <x:v>PRTX-0042</x:v>
      </x:c>
      <x:c r="D1000" s="6" t="str">
        <x:v>SVC000042</x:v>
      </x:c>
      <x:c r="E1000" s="6" t="str"/>
      <x:c r="F1000" s="6" t="str">
        <x:v>Part-requirement review</x:v>
      </x:c>
      <x:c r="G1000" s="6" t="n">
        <x:v>5</x:v>
      </x:c>
      <x:c r="H1000" s="6" t="str">
        <x:v>SIDX-0042</x:v>
      </x:c>
      <x:c r="I1000" s="6" t="str">
        <x:f>IF(H1000="","No upstream dependency",IF(ISNUMBER(SEARCH(";",H1000)),"Multiple dependencies - verify source queues",IFERROR(XLOOKUP(H1000,C2:C1586,J2:J1586),"Dependency not found")))</x:f>
        <x:v>Not Started</x:v>
      </x:c>
      <x:c r="J1000" s="6" t="str">
        <x:v>Not Started</x:v>
      </x:c>
      <x:c r="K1000" s="6" t="str">
        <x:v>Normal</x:v>
      </x:c>
      <x:c r="L1000" s="6" t="str"/>
      <x:c r="M1000" s="6" t="str"/>
      <x:c r="N1000" s="6" t="str"/>
      <x:c r="O1000" s="7" t="str"/>
      <x:c r="P1000" s="6" t="str">
        <x:v>Yes</x:v>
      </x:c>
      <x:c r="Q1000" s="7" t="str">
        <x:v>Requires stable service identity.</x:v>
      </x:c>
    </x:row>
    <x:row r="1001">
      <x:c r="A1001" s="6" t="str">
        <x:v>SEQ-PRT-0043</x:v>
      </x:c>
      <x:c r="B1001" s="6" t="str">
        <x:v>Part Requirement</x:v>
      </x:c>
      <x:c r="C1001" s="6" t="str">
        <x:v>PRTX-0043</x:v>
      </x:c>
      <x:c r="D1001" s="6" t="str">
        <x:v>SVC000043</x:v>
      </x:c>
      <x:c r="E1001" s="6" t="str"/>
      <x:c r="F1001" s="6" t="str">
        <x:v>Part-requirement review</x:v>
      </x:c>
      <x:c r="G1001" s="6" t="n">
        <x:v>5</x:v>
      </x:c>
      <x:c r="H1001" s="6" t="str">
        <x:v>SIDX-0043</x:v>
      </x:c>
      <x:c r="I1001" s="6" t="str">
        <x:f>IF(H1001="","No upstream dependency",IF(ISNUMBER(SEARCH(";",H1001)),"Multiple dependencies - verify source queues",IFERROR(XLOOKUP(H1001,C2:C1586,J2:J1586),"Dependency not found")))</x:f>
        <x:v>Not Started</x:v>
      </x:c>
      <x:c r="J1001" s="6" t="str">
        <x:v>Not Started</x:v>
      </x:c>
      <x:c r="K1001" s="6" t="str">
        <x:v>Normal</x:v>
      </x:c>
      <x:c r="L1001" s="6" t="str"/>
      <x:c r="M1001" s="6" t="str"/>
      <x:c r="N1001" s="6" t="str"/>
      <x:c r="O1001" s="7" t="str"/>
      <x:c r="P1001" s="6" t="str">
        <x:v>Yes</x:v>
      </x:c>
      <x:c r="Q1001" s="7" t="str">
        <x:v>Requires stable service identity.</x:v>
      </x:c>
    </x:row>
    <x:row r="1002">
      <x:c r="A1002" s="6" t="str">
        <x:v>SEQ-PRT-0044</x:v>
      </x:c>
      <x:c r="B1002" s="6" t="str">
        <x:v>Part Requirement</x:v>
      </x:c>
      <x:c r="C1002" s="6" t="str">
        <x:v>PRTX-0044</x:v>
      </x:c>
      <x:c r="D1002" s="6" t="str">
        <x:v>SVC000044</x:v>
      </x:c>
      <x:c r="E1002" s="6" t="str"/>
      <x:c r="F1002" s="6" t="str">
        <x:v>Part-requirement review</x:v>
      </x:c>
      <x:c r="G1002" s="6" t="n">
        <x:v>5</x:v>
      </x:c>
      <x:c r="H1002" s="6" t="str">
        <x:v>SIDX-0044</x:v>
      </x:c>
      <x:c r="I1002" s="6" t="str">
        <x:f>IF(H1002="","No upstream dependency",IF(ISNUMBER(SEARCH(";",H1002)),"Multiple dependencies - verify source queues",IFERROR(XLOOKUP(H1002,C2:C1586,J2:J1586),"Dependency not found")))</x:f>
        <x:v>Not Started</x:v>
      </x:c>
      <x:c r="J1002" s="6" t="str">
        <x:v>Not Started</x:v>
      </x:c>
      <x:c r="K1002" s="6" t="str">
        <x:v>Normal</x:v>
      </x:c>
      <x:c r="L1002" s="6" t="str"/>
      <x:c r="M1002" s="6" t="str"/>
      <x:c r="N1002" s="6" t="str"/>
      <x:c r="O1002" s="7" t="str"/>
      <x:c r="P1002" s="6" t="str">
        <x:v>Yes</x:v>
      </x:c>
      <x:c r="Q1002" s="7" t="str">
        <x:v>Requires stable service identity.</x:v>
      </x:c>
    </x:row>
    <x:row r="1003">
      <x:c r="A1003" s="6" t="str">
        <x:v>SEQ-PRT-0045</x:v>
      </x:c>
      <x:c r="B1003" s="6" t="str">
        <x:v>Part Requirement</x:v>
      </x:c>
      <x:c r="C1003" s="6" t="str">
        <x:v>PRTX-0045</x:v>
      </x:c>
      <x:c r="D1003" s="6" t="str">
        <x:v>SVC000045</x:v>
      </x:c>
      <x:c r="E1003" s="6" t="str"/>
      <x:c r="F1003" s="6" t="str">
        <x:v>Part-requirement review</x:v>
      </x:c>
      <x:c r="G1003" s="6" t="n">
        <x:v>5</x:v>
      </x:c>
      <x:c r="H1003" s="6" t="str">
        <x:v>SIDX-0045</x:v>
      </x:c>
      <x:c r="I1003" s="6" t="str">
        <x:f>IF(H1003="","No upstream dependency",IF(ISNUMBER(SEARCH(";",H1003)),"Multiple dependencies - verify source queues",IFERROR(XLOOKUP(H1003,C2:C1586,J2:J1586),"Dependency not found")))</x:f>
        <x:v>Not Started</x:v>
      </x:c>
      <x:c r="J1003" s="6" t="str">
        <x:v>Not Started</x:v>
      </x:c>
      <x:c r="K1003" s="6" t="str">
        <x:v>Normal</x:v>
      </x:c>
      <x:c r="L1003" s="6" t="str"/>
      <x:c r="M1003" s="6" t="str"/>
      <x:c r="N1003" s="6" t="str"/>
      <x:c r="O1003" s="7" t="str"/>
      <x:c r="P1003" s="6" t="str">
        <x:v>Yes</x:v>
      </x:c>
      <x:c r="Q1003" s="7" t="str">
        <x:v>Requires stable service identity.</x:v>
      </x:c>
    </x:row>
    <x:row r="1004">
      <x:c r="A1004" s="6" t="str">
        <x:v>SEQ-PRT-0046</x:v>
      </x:c>
      <x:c r="B1004" s="6" t="str">
        <x:v>Part Requirement</x:v>
      </x:c>
      <x:c r="C1004" s="6" t="str">
        <x:v>PRTX-0046</x:v>
      </x:c>
      <x:c r="D1004" s="6" t="str">
        <x:v>SVC000046</x:v>
      </x:c>
      <x:c r="E1004" s="6" t="str"/>
      <x:c r="F1004" s="6" t="str">
        <x:v>Part-requirement review</x:v>
      </x:c>
      <x:c r="G1004" s="6" t="n">
        <x:v>5</x:v>
      </x:c>
      <x:c r="H1004" s="6" t="str">
        <x:v>SIDX-0046</x:v>
      </x:c>
      <x:c r="I1004" s="6" t="str">
        <x:f>IF(H1004="","No upstream dependency",IF(ISNUMBER(SEARCH(";",H1004)),"Multiple dependencies - verify source queues",IFERROR(XLOOKUP(H1004,C2:C1586,J2:J1586),"Dependency not found")))</x:f>
        <x:v>Not Started</x:v>
      </x:c>
      <x:c r="J1004" s="6" t="str">
        <x:v>Not Started</x:v>
      </x:c>
      <x:c r="K1004" s="6" t="str">
        <x:v>Normal</x:v>
      </x:c>
      <x:c r="L1004" s="6" t="str"/>
      <x:c r="M1004" s="6" t="str"/>
      <x:c r="N1004" s="6" t="str"/>
      <x:c r="O1004" s="7" t="str"/>
      <x:c r="P1004" s="6" t="str">
        <x:v>Yes</x:v>
      </x:c>
      <x:c r="Q1004" s="7" t="str">
        <x:v>Requires stable service identity.</x:v>
      </x:c>
    </x:row>
    <x:row r="1005">
      <x:c r="A1005" s="6" t="str">
        <x:v>SEQ-PRT-0047</x:v>
      </x:c>
      <x:c r="B1005" s="6" t="str">
        <x:v>Part Requirement</x:v>
      </x:c>
      <x:c r="C1005" s="6" t="str">
        <x:v>PRTX-0047</x:v>
      </x:c>
      <x:c r="D1005" s="6" t="str">
        <x:v>SVC000047</x:v>
      </x:c>
      <x:c r="E1005" s="6" t="str"/>
      <x:c r="F1005" s="6" t="str">
        <x:v>Part-requirement review</x:v>
      </x:c>
      <x:c r="G1005" s="6" t="n">
        <x:v>5</x:v>
      </x:c>
      <x:c r="H1005" s="6" t="str">
        <x:v>SIDX-0047</x:v>
      </x:c>
      <x:c r="I1005" s="6" t="str">
        <x:f>IF(H1005="","No upstream dependency",IF(ISNUMBER(SEARCH(";",H1005)),"Multiple dependencies - verify source queues",IFERROR(XLOOKUP(H1005,C2:C1586,J2:J1586),"Dependency not found")))</x:f>
        <x:v>Not Started</x:v>
      </x:c>
      <x:c r="J1005" s="6" t="str">
        <x:v>Not Started</x:v>
      </x:c>
      <x:c r="K1005" s="6" t="str">
        <x:v>Normal</x:v>
      </x:c>
      <x:c r="L1005" s="6" t="str"/>
      <x:c r="M1005" s="6" t="str"/>
      <x:c r="N1005" s="6" t="str"/>
      <x:c r="O1005" s="7" t="str"/>
      <x:c r="P1005" s="6" t="str">
        <x:v>Yes</x:v>
      </x:c>
      <x:c r="Q1005" s="7" t="str">
        <x:v>Requires stable service identity.</x:v>
      </x:c>
    </x:row>
    <x:row r="1006">
      <x:c r="A1006" s="6" t="str">
        <x:v>SEQ-PRT-0048</x:v>
      </x:c>
      <x:c r="B1006" s="6" t="str">
        <x:v>Part Requirement</x:v>
      </x:c>
      <x:c r="C1006" s="6" t="str">
        <x:v>PRTX-0048</x:v>
      </x:c>
      <x:c r="D1006" s="6" t="str">
        <x:v>SVC000048</x:v>
      </x:c>
      <x:c r="E1006" s="6" t="str"/>
      <x:c r="F1006" s="6" t="str">
        <x:v>Part-requirement review</x:v>
      </x:c>
      <x:c r="G1006" s="6" t="n">
        <x:v>5</x:v>
      </x:c>
      <x:c r="H1006" s="6" t="str">
        <x:v>SIDX-0048</x:v>
      </x:c>
      <x:c r="I1006" s="6" t="str">
        <x:f>IF(H1006="","No upstream dependency",IF(ISNUMBER(SEARCH(";",H1006)),"Multiple dependencies - verify source queues",IFERROR(XLOOKUP(H1006,C2:C1586,J2:J1586),"Dependency not found")))</x:f>
        <x:v>Not Started</x:v>
      </x:c>
      <x:c r="J1006" s="6" t="str">
        <x:v>Not Started</x:v>
      </x:c>
      <x:c r="K1006" s="6" t="str">
        <x:v>Normal</x:v>
      </x:c>
      <x:c r="L1006" s="6" t="str"/>
      <x:c r="M1006" s="6" t="str"/>
      <x:c r="N1006" s="6" t="str"/>
      <x:c r="O1006" s="7" t="str"/>
      <x:c r="P1006" s="6" t="str">
        <x:v>Yes</x:v>
      </x:c>
      <x:c r="Q1006" s="7" t="str">
        <x:v>Requires stable service identity.</x:v>
      </x:c>
    </x:row>
    <x:row r="1007">
      <x:c r="A1007" s="6" t="str">
        <x:v>SEQ-PRT-0049</x:v>
      </x:c>
      <x:c r="B1007" s="6" t="str">
        <x:v>Part Requirement</x:v>
      </x:c>
      <x:c r="C1007" s="6" t="str">
        <x:v>PRTX-0049</x:v>
      </x:c>
      <x:c r="D1007" s="6" t="str">
        <x:v>SVC000049</x:v>
      </x:c>
      <x:c r="E1007" s="6" t="str"/>
      <x:c r="F1007" s="6" t="str">
        <x:v>Part-requirement review</x:v>
      </x:c>
      <x:c r="G1007" s="6" t="n">
        <x:v>5</x:v>
      </x:c>
      <x:c r="H1007" s="6" t="str">
        <x:v>SIDX-0049</x:v>
      </x:c>
      <x:c r="I1007" s="6" t="str">
        <x:f>IF(H1007="","No upstream dependency",IF(ISNUMBER(SEARCH(";",H1007)),"Multiple dependencies - verify source queues",IFERROR(XLOOKUP(H1007,C2:C1586,J2:J1586),"Dependency not found")))</x:f>
        <x:v>Not Started</x:v>
      </x:c>
      <x:c r="J1007" s="6" t="str">
        <x:v>Not Started</x:v>
      </x:c>
      <x:c r="K1007" s="6" t="str">
        <x:v>Normal</x:v>
      </x:c>
      <x:c r="L1007" s="6" t="str"/>
      <x:c r="M1007" s="6" t="str"/>
      <x:c r="N1007" s="6" t="str"/>
      <x:c r="O1007" s="7" t="str"/>
      <x:c r="P1007" s="6" t="str">
        <x:v>Yes</x:v>
      </x:c>
      <x:c r="Q1007" s="7" t="str">
        <x:v>Requires stable service identity.</x:v>
      </x:c>
    </x:row>
    <x:row r="1008">
      <x:c r="A1008" s="6" t="str">
        <x:v>SEQ-PRT-0050</x:v>
      </x:c>
      <x:c r="B1008" s="6" t="str">
        <x:v>Part Requirement</x:v>
      </x:c>
      <x:c r="C1008" s="6" t="str">
        <x:v>PRTX-0050</x:v>
      </x:c>
      <x:c r="D1008" s="6" t="str">
        <x:v>SVC000050</x:v>
      </x:c>
      <x:c r="E1008" s="6" t="str"/>
      <x:c r="F1008" s="6" t="str">
        <x:v>Part-requirement review</x:v>
      </x:c>
      <x:c r="G1008" s="6" t="n">
        <x:v>5</x:v>
      </x:c>
      <x:c r="H1008" s="6" t="str">
        <x:v>SIDX-0050</x:v>
      </x:c>
      <x:c r="I1008" s="6" t="str">
        <x:f>IF(H1008="","No upstream dependency",IF(ISNUMBER(SEARCH(";",H1008)),"Multiple dependencies - verify source queues",IFERROR(XLOOKUP(H1008,C2:C1586,J2:J1586),"Dependency not found")))</x:f>
        <x:v>Not Started</x:v>
      </x:c>
      <x:c r="J1008" s="6" t="str">
        <x:v>Not Started</x:v>
      </x:c>
      <x:c r="K1008" s="6" t="str">
        <x:v>Normal</x:v>
      </x:c>
      <x:c r="L1008" s="6" t="str"/>
      <x:c r="M1008" s="6" t="str"/>
      <x:c r="N1008" s="6" t="str"/>
      <x:c r="O1008" s="7" t="str"/>
      <x:c r="P1008" s="6" t="str">
        <x:v>Yes</x:v>
      </x:c>
      <x:c r="Q1008" s="7" t="str">
        <x:v>Requires stable service identity.</x:v>
      </x:c>
    </x:row>
    <x:row r="1009">
      <x:c r="A1009" s="6" t="str">
        <x:v>SEQ-PRT-0051</x:v>
      </x:c>
      <x:c r="B1009" s="6" t="str">
        <x:v>Part Requirement</x:v>
      </x:c>
      <x:c r="C1009" s="6" t="str">
        <x:v>PRTX-0051</x:v>
      </x:c>
      <x:c r="D1009" s="6" t="str">
        <x:v>SVC000051</x:v>
      </x:c>
      <x:c r="E1009" s="6" t="str"/>
      <x:c r="F1009" s="6" t="str">
        <x:v>Part-requirement review</x:v>
      </x:c>
      <x:c r="G1009" s="6" t="n">
        <x:v>5</x:v>
      </x:c>
      <x:c r="H1009" s="6" t="str">
        <x:v>SIDX-0051</x:v>
      </x:c>
      <x:c r="I1009" s="6" t="str">
        <x:f>IF(H1009="","No upstream dependency",IF(ISNUMBER(SEARCH(";",H1009)),"Multiple dependencies - verify source queues",IFERROR(XLOOKUP(H1009,C2:C1586,J2:J1586),"Dependency not found")))</x:f>
        <x:v>Not Started</x:v>
      </x:c>
      <x:c r="J1009" s="6" t="str">
        <x:v>Not Started</x:v>
      </x:c>
      <x:c r="K1009" s="6" t="str">
        <x:v>Normal</x:v>
      </x:c>
      <x:c r="L1009" s="6" t="str"/>
      <x:c r="M1009" s="6" t="str"/>
      <x:c r="N1009" s="6" t="str"/>
      <x:c r="O1009" s="7" t="str"/>
      <x:c r="P1009" s="6" t="str">
        <x:v>Yes</x:v>
      </x:c>
      <x:c r="Q1009" s="7" t="str">
        <x:v>Requires stable service identity.</x:v>
      </x:c>
    </x:row>
    <x:row r="1010">
      <x:c r="A1010" s="6" t="str">
        <x:v>SEQ-PRT-0052</x:v>
      </x:c>
      <x:c r="B1010" s="6" t="str">
        <x:v>Part Requirement</x:v>
      </x:c>
      <x:c r="C1010" s="6" t="str">
        <x:v>PRTX-0052</x:v>
      </x:c>
      <x:c r="D1010" s="6" t="str">
        <x:v>SVC000052</x:v>
      </x:c>
      <x:c r="E1010" s="6" t="str"/>
      <x:c r="F1010" s="6" t="str">
        <x:v>Part-requirement review</x:v>
      </x:c>
      <x:c r="G1010" s="6" t="n">
        <x:v>5</x:v>
      </x:c>
      <x:c r="H1010" s="6" t="str">
        <x:v>SIDX-0052</x:v>
      </x:c>
      <x:c r="I1010" s="6" t="str">
        <x:f>IF(H1010="","No upstream dependency",IF(ISNUMBER(SEARCH(";",H1010)),"Multiple dependencies - verify source queues",IFERROR(XLOOKUP(H1010,C2:C1586,J2:J1586),"Dependency not found")))</x:f>
        <x:v>Not Started</x:v>
      </x:c>
      <x:c r="J1010" s="6" t="str">
        <x:v>Not Started</x:v>
      </x:c>
      <x:c r="K1010" s="6" t="str">
        <x:v>Normal</x:v>
      </x:c>
      <x:c r="L1010" s="6" t="str"/>
      <x:c r="M1010" s="6" t="str"/>
      <x:c r="N1010" s="6" t="str"/>
      <x:c r="O1010" s="7" t="str"/>
      <x:c r="P1010" s="6" t="str">
        <x:v>Yes</x:v>
      </x:c>
      <x:c r="Q1010" s="7" t="str">
        <x:v>Requires stable service identity.</x:v>
      </x:c>
    </x:row>
    <x:row r="1011">
      <x:c r="A1011" s="6" t="str">
        <x:v>SEQ-PRT-0053</x:v>
      </x:c>
      <x:c r="B1011" s="6" t="str">
        <x:v>Part Requirement</x:v>
      </x:c>
      <x:c r="C1011" s="6" t="str">
        <x:v>PRTX-0053</x:v>
      </x:c>
      <x:c r="D1011" s="6" t="str">
        <x:v>SVC000053</x:v>
      </x:c>
      <x:c r="E1011" s="6" t="str"/>
      <x:c r="F1011" s="6" t="str">
        <x:v>Part-requirement review</x:v>
      </x:c>
      <x:c r="G1011" s="6" t="n">
        <x:v>5</x:v>
      </x:c>
      <x:c r="H1011" s="6" t="str">
        <x:v>SIDX-0053</x:v>
      </x:c>
      <x:c r="I1011" s="6" t="str">
        <x:f>IF(H1011="","No upstream dependency",IF(ISNUMBER(SEARCH(";",H1011)),"Multiple dependencies - verify source queues",IFERROR(XLOOKUP(H1011,C2:C1586,J2:J1586),"Dependency not found")))</x:f>
        <x:v>Not Started</x:v>
      </x:c>
      <x:c r="J1011" s="6" t="str">
        <x:v>Not Started</x:v>
      </x:c>
      <x:c r="K1011" s="6" t="str">
        <x:v>Normal</x:v>
      </x:c>
      <x:c r="L1011" s="6" t="str"/>
      <x:c r="M1011" s="6" t="str"/>
      <x:c r="N1011" s="6" t="str"/>
      <x:c r="O1011" s="7" t="str"/>
      <x:c r="P1011" s="6" t="str">
        <x:v>Yes</x:v>
      </x:c>
      <x:c r="Q1011" s="7" t="str">
        <x:v>Requires stable service identity.</x:v>
      </x:c>
    </x:row>
    <x:row r="1012">
      <x:c r="A1012" s="6" t="str">
        <x:v>SEQ-PRT-0054</x:v>
      </x:c>
      <x:c r="B1012" s="6" t="str">
        <x:v>Part Requirement</x:v>
      </x:c>
      <x:c r="C1012" s="6" t="str">
        <x:v>PRTX-0054</x:v>
      </x:c>
      <x:c r="D1012" s="6" t="str">
        <x:v>SVC000054</x:v>
      </x:c>
      <x:c r="E1012" s="6" t="str"/>
      <x:c r="F1012" s="6" t="str">
        <x:v>Part-requirement review</x:v>
      </x:c>
      <x:c r="G1012" s="6" t="n">
        <x:v>5</x:v>
      </x:c>
      <x:c r="H1012" s="6" t="str">
        <x:v>SIDX-0054</x:v>
      </x:c>
      <x:c r="I1012" s="6" t="str">
        <x:f>IF(H1012="","No upstream dependency",IF(ISNUMBER(SEARCH(";",H1012)),"Multiple dependencies - verify source queues",IFERROR(XLOOKUP(H1012,C2:C1586,J2:J1586),"Dependency not found")))</x:f>
        <x:v>Not Started</x:v>
      </x:c>
      <x:c r="J1012" s="6" t="str">
        <x:v>Not Started</x:v>
      </x:c>
      <x:c r="K1012" s="6" t="str">
        <x:v>Normal</x:v>
      </x:c>
      <x:c r="L1012" s="6" t="str"/>
      <x:c r="M1012" s="6" t="str"/>
      <x:c r="N1012" s="6" t="str"/>
      <x:c r="O1012" s="7" t="str"/>
      <x:c r="P1012" s="6" t="str">
        <x:v>Yes</x:v>
      </x:c>
      <x:c r="Q1012" s="7" t="str">
        <x:v>Requires stable service identity.</x:v>
      </x:c>
    </x:row>
    <x:row r="1013">
      <x:c r="A1013" s="6" t="str">
        <x:v>SEQ-PRT-0055</x:v>
      </x:c>
      <x:c r="B1013" s="6" t="str">
        <x:v>Part Requirement</x:v>
      </x:c>
      <x:c r="C1013" s="6" t="str">
        <x:v>PRTX-0055</x:v>
      </x:c>
      <x:c r="D1013" s="6" t="str">
        <x:v>SVC000055</x:v>
      </x:c>
      <x:c r="E1013" s="6" t="str"/>
      <x:c r="F1013" s="6" t="str">
        <x:v>Part-requirement review</x:v>
      </x:c>
      <x:c r="G1013" s="6" t="n">
        <x:v>5</x:v>
      </x:c>
      <x:c r="H1013" s="6" t="str">
        <x:v>SIDX-0055</x:v>
      </x:c>
      <x:c r="I1013" s="6" t="str">
        <x:f>IF(H1013="","No upstream dependency",IF(ISNUMBER(SEARCH(";",H1013)),"Multiple dependencies - verify source queues",IFERROR(XLOOKUP(H1013,C2:C1586,J2:J1586),"Dependency not found")))</x:f>
        <x:v>Not Started</x:v>
      </x:c>
      <x:c r="J1013" s="6" t="str">
        <x:v>Not Started</x:v>
      </x:c>
      <x:c r="K1013" s="6" t="str">
        <x:v>Normal</x:v>
      </x:c>
      <x:c r="L1013" s="6" t="str"/>
      <x:c r="M1013" s="6" t="str"/>
      <x:c r="N1013" s="6" t="str"/>
      <x:c r="O1013" s="7" t="str"/>
      <x:c r="P1013" s="6" t="str">
        <x:v>Yes</x:v>
      </x:c>
      <x:c r="Q1013" s="7" t="str">
        <x:v>Requires stable service identity.</x:v>
      </x:c>
    </x:row>
    <x:row r="1014">
      <x:c r="A1014" s="6" t="str">
        <x:v>SEQ-PRT-0056</x:v>
      </x:c>
      <x:c r="B1014" s="6" t="str">
        <x:v>Part Requirement</x:v>
      </x:c>
      <x:c r="C1014" s="6" t="str">
        <x:v>PRTX-0056</x:v>
      </x:c>
      <x:c r="D1014" s="6" t="str">
        <x:v>SVC000056</x:v>
      </x:c>
      <x:c r="E1014" s="6" t="str"/>
      <x:c r="F1014" s="6" t="str">
        <x:v>Part-requirement review</x:v>
      </x:c>
      <x:c r="G1014" s="6" t="n">
        <x:v>5</x:v>
      </x:c>
      <x:c r="H1014" s="6" t="str">
        <x:v>SIDX-0056</x:v>
      </x:c>
      <x:c r="I1014" s="6" t="str">
        <x:f>IF(H1014="","No upstream dependency",IF(ISNUMBER(SEARCH(";",H1014)),"Multiple dependencies - verify source queues",IFERROR(XLOOKUP(H1014,C2:C1586,J2:J1586),"Dependency not found")))</x:f>
        <x:v>Not Started</x:v>
      </x:c>
      <x:c r="J1014" s="6" t="str">
        <x:v>Not Started</x:v>
      </x:c>
      <x:c r="K1014" s="6" t="str">
        <x:v>Normal</x:v>
      </x:c>
      <x:c r="L1014" s="6" t="str"/>
      <x:c r="M1014" s="6" t="str"/>
      <x:c r="N1014" s="6" t="str"/>
      <x:c r="O1014" s="7" t="str"/>
      <x:c r="P1014" s="6" t="str">
        <x:v>Yes</x:v>
      </x:c>
      <x:c r="Q1014" s="7" t="str">
        <x:v>Requires stable service identity.</x:v>
      </x:c>
    </x:row>
    <x:row r="1015">
      <x:c r="A1015" s="6" t="str">
        <x:v>SEQ-PRT-0057</x:v>
      </x:c>
      <x:c r="B1015" s="6" t="str">
        <x:v>Part Requirement</x:v>
      </x:c>
      <x:c r="C1015" s="6" t="str">
        <x:v>PRTX-0057</x:v>
      </x:c>
      <x:c r="D1015" s="6" t="str">
        <x:v>SVC000057</x:v>
      </x:c>
      <x:c r="E1015" s="6" t="str"/>
      <x:c r="F1015" s="6" t="str">
        <x:v>Part-requirement review</x:v>
      </x:c>
      <x:c r="G1015" s="6" t="n">
        <x:v>5</x:v>
      </x:c>
      <x:c r="H1015" s="6" t="str">
        <x:v>SIDX-0057</x:v>
      </x:c>
      <x:c r="I1015" s="6" t="str">
        <x:f>IF(H1015="","No upstream dependency",IF(ISNUMBER(SEARCH(";",H1015)),"Multiple dependencies - verify source queues",IFERROR(XLOOKUP(H1015,C2:C1586,J2:J1586),"Dependency not found")))</x:f>
        <x:v>Not Started</x:v>
      </x:c>
      <x:c r="J1015" s="6" t="str">
        <x:v>Not Started</x:v>
      </x:c>
      <x:c r="K1015" s="6" t="str">
        <x:v>Normal</x:v>
      </x:c>
      <x:c r="L1015" s="6" t="str"/>
      <x:c r="M1015" s="6" t="str"/>
      <x:c r="N1015" s="6" t="str"/>
      <x:c r="O1015" s="7" t="str"/>
      <x:c r="P1015" s="6" t="str">
        <x:v>Yes</x:v>
      </x:c>
      <x:c r="Q1015" s="7" t="str">
        <x:v>Requires stable service identity.</x:v>
      </x:c>
    </x:row>
    <x:row r="1016">
      <x:c r="A1016" s="6" t="str">
        <x:v>SEQ-PRT-0058</x:v>
      </x:c>
      <x:c r="B1016" s="6" t="str">
        <x:v>Part Requirement</x:v>
      </x:c>
      <x:c r="C1016" s="6" t="str">
        <x:v>PRTX-0058</x:v>
      </x:c>
      <x:c r="D1016" s="6" t="str">
        <x:v>SVC000058</x:v>
      </x:c>
      <x:c r="E1016" s="6" t="str"/>
      <x:c r="F1016" s="6" t="str">
        <x:v>Part-requirement review</x:v>
      </x:c>
      <x:c r="G1016" s="6" t="n">
        <x:v>5</x:v>
      </x:c>
      <x:c r="H1016" s="6" t="str">
        <x:v>SIDX-0058</x:v>
      </x:c>
      <x:c r="I1016" s="6" t="str">
        <x:f>IF(H1016="","No upstream dependency",IF(ISNUMBER(SEARCH(";",H1016)),"Multiple dependencies - verify source queues",IFERROR(XLOOKUP(H1016,C2:C1586,J2:J1586),"Dependency not found")))</x:f>
        <x:v>Not Started</x:v>
      </x:c>
      <x:c r="J1016" s="6" t="str">
        <x:v>Not Started</x:v>
      </x:c>
      <x:c r="K1016" s="6" t="str">
        <x:v>Normal</x:v>
      </x:c>
      <x:c r="L1016" s="6" t="str"/>
      <x:c r="M1016" s="6" t="str"/>
      <x:c r="N1016" s="6" t="str"/>
      <x:c r="O1016" s="7" t="str"/>
      <x:c r="P1016" s="6" t="str">
        <x:v>Yes</x:v>
      </x:c>
      <x:c r="Q1016" s="7" t="str">
        <x:v>Requires stable service identity.</x:v>
      </x:c>
    </x:row>
    <x:row r="1017">
      <x:c r="A1017" s="6" t="str">
        <x:v>SEQ-PRT-0059</x:v>
      </x:c>
      <x:c r="B1017" s="6" t="str">
        <x:v>Part Requirement</x:v>
      </x:c>
      <x:c r="C1017" s="6" t="str">
        <x:v>PRTX-0059</x:v>
      </x:c>
      <x:c r="D1017" s="6" t="str">
        <x:v>SVC000059</x:v>
      </x:c>
      <x:c r="E1017" s="6" t="str"/>
      <x:c r="F1017" s="6" t="str">
        <x:v>Part-requirement review</x:v>
      </x:c>
      <x:c r="G1017" s="6" t="n">
        <x:v>5</x:v>
      </x:c>
      <x:c r="H1017" s="6" t="str">
        <x:v>SIDX-0059</x:v>
      </x:c>
      <x:c r="I1017" s="6" t="str">
        <x:f>IF(H1017="","No upstream dependency",IF(ISNUMBER(SEARCH(";",H1017)),"Multiple dependencies - verify source queues",IFERROR(XLOOKUP(H1017,C2:C1586,J2:J1586),"Dependency not found")))</x:f>
        <x:v>Not Started</x:v>
      </x:c>
      <x:c r="J1017" s="6" t="str">
        <x:v>Not Started</x:v>
      </x:c>
      <x:c r="K1017" s="6" t="str">
        <x:v>Normal</x:v>
      </x:c>
      <x:c r="L1017" s="6" t="str"/>
      <x:c r="M1017" s="6" t="str"/>
      <x:c r="N1017" s="6" t="str"/>
      <x:c r="O1017" s="7" t="str"/>
      <x:c r="P1017" s="6" t="str">
        <x:v>Yes</x:v>
      </x:c>
      <x:c r="Q1017" s="7" t="str">
        <x:v>Requires stable service identity.</x:v>
      </x:c>
    </x:row>
    <x:row r="1018">
      <x:c r="A1018" s="6" t="str">
        <x:v>SEQ-PRT-0060</x:v>
      </x:c>
      <x:c r="B1018" s="6" t="str">
        <x:v>Part Requirement</x:v>
      </x:c>
      <x:c r="C1018" s="6" t="str">
        <x:v>PRTX-0060</x:v>
      </x:c>
      <x:c r="D1018" s="6" t="str">
        <x:v>SVC000060</x:v>
      </x:c>
      <x:c r="E1018" s="6" t="str"/>
      <x:c r="F1018" s="6" t="str">
        <x:v>Part-requirement review</x:v>
      </x:c>
      <x:c r="G1018" s="6" t="n">
        <x:v>5</x:v>
      </x:c>
      <x:c r="H1018" s="6" t="str">
        <x:v>SIDX-0060</x:v>
      </x:c>
      <x:c r="I1018" s="6" t="str">
        <x:f>IF(H1018="","No upstream dependency",IF(ISNUMBER(SEARCH(";",H1018)),"Multiple dependencies - verify source queues",IFERROR(XLOOKUP(H1018,C2:C1586,J2:J1586),"Dependency not found")))</x:f>
        <x:v>Not Started</x:v>
      </x:c>
      <x:c r="J1018" s="6" t="str">
        <x:v>Not Started</x:v>
      </x:c>
      <x:c r="K1018" s="6" t="str">
        <x:v>Normal</x:v>
      </x:c>
      <x:c r="L1018" s="6" t="str"/>
      <x:c r="M1018" s="6" t="str"/>
      <x:c r="N1018" s="6" t="str"/>
      <x:c r="O1018" s="7" t="str"/>
      <x:c r="P1018" s="6" t="str">
        <x:v>Yes</x:v>
      </x:c>
      <x:c r="Q1018" s="7" t="str">
        <x:v>Requires stable service identity.</x:v>
      </x:c>
    </x:row>
    <x:row r="1019">
      <x:c r="A1019" s="6" t="str">
        <x:v>SEQ-PRT-0061</x:v>
      </x:c>
      <x:c r="B1019" s="6" t="str">
        <x:v>Part Requirement</x:v>
      </x:c>
      <x:c r="C1019" s="6" t="str">
        <x:v>PRTX-0061</x:v>
      </x:c>
      <x:c r="D1019" s="6" t="str">
        <x:v>SVC000061</x:v>
      </x:c>
      <x:c r="E1019" s="6" t="str"/>
      <x:c r="F1019" s="6" t="str">
        <x:v>Part-requirement review</x:v>
      </x:c>
      <x:c r="G1019" s="6" t="n">
        <x:v>5</x:v>
      </x:c>
      <x:c r="H1019" s="6" t="str">
        <x:v>SIDX-0061</x:v>
      </x:c>
      <x:c r="I1019" s="6" t="str">
        <x:f>IF(H1019="","No upstream dependency",IF(ISNUMBER(SEARCH(";",H1019)),"Multiple dependencies - verify source queues",IFERROR(XLOOKUP(H1019,C2:C1586,J2:J1586),"Dependency not found")))</x:f>
        <x:v>Not Started</x:v>
      </x:c>
      <x:c r="J1019" s="6" t="str">
        <x:v>Not Started</x:v>
      </x:c>
      <x:c r="K1019" s="6" t="str">
        <x:v>Normal</x:v>
      </x:c>
      <x:c r="L1019" s="6" t="str"/>
      <x:c r="M1019" s="6" t="str"/>
      <x:c r="N1019" s="6" t="str"/>
      <x:c r="O1019" s="7" t="str"/>
      <x:c r="P1019" s="6" t="str">
        <x:v>Yes</x:v>
      </x:c>
      <x:c r="Q1019" s="7" t="str">
        <x:v>Requires stable service identity.</x:v>
      </x:c>
    </x:row>
    <x:row r="1020">
      <x:c r="A1020" s="6" t="str">
        <x:v>SEQ-PRT-0062</x:v>
      </x:c>
      <x:c r="B1020" s="6" t="str">
        <x:v>Part Requirement</x:v>
      </x:c>
      <x:c r="C1020" s="6" t="str">
        <x:v>PRTX-0062</x:v>
      </x:c>
      <x:c r="D1020" s="6" t="str">
        <x:v>SVC000062</x:v>
      </x:c>
      <x:c r="E1020" s="6" t="str"/>
      <x:c r="F1020" s="6" t="str">
        <x:v>Part-requirement review</x:v>
      </x:c>
      <x:c r="G1020" s="6" t="n">
        <x:v>5</x:v>
      </x:c>
      <x:c r="H1020" s="6" t="str">
        <x:v>SIDX-0062</x:v>
      </x:c>
      <x:c r="I1020" s="6" t="str">
        <x:f>IF(H1020="","No upstream dependency",IF(ISNUMBER(SEARCH(";",H1020)),"Multiple dependencies - verify source queues",IFERROR(XLOOKUP(H1020,C2:C1586,J2:J1586),"Dependency not found")))</x:f>
        <x:v>Not Started</x:v>
      </x:c>
      <x:c r="J1020" s="6" t="str">
        <x:v>Not Started</x:v>
      </x:c>
      <x:c r="K1020" s="6" t="str">
        <x:v>Normal</x:v>
      </x:c>
      <x:c r="L1020" s="6" t="str"/>
      <x:c r="M1020" s="6" t="str"/>
      <x:c r="N1020" s="6" t="str"/>
      <x:c r="O1020" s="7" t="str"/>
      <x:c r="P1020" s="6" t="str">
        <x:v>Yes</x:v>
      </x:c>
      <x:c r="Q1020" s="7" t="str">
        <x:v>Requires stable service identity.</x:v>
      </x:c>
    </x:row>
    <x:row r="1021">
      <x:c r="A1021" s="6" t="str">
        <x:v>SEQ-PRT-0063</x:v>
      </x:c>
      <x:c r="B1021" s="6" t="str">
        <x:v>Part Requirement</x:v>
      </x:c>
      <x:c r="C1021" s="6" t="str">
        <x:v>PRTX-0063</x:v>
      </x:c>
      <x:c r="D1021" s="6" t="str">
        <x:v>SVC000063</x:v>
      </x:c>
      <x:c r="E1021" s="6" t="str"/>
      <x:c r="F1021" s="6" t="str">
        <x:v>Part-requirement review</x:v>
      </x:c>
      <x:c r="G1021" s="6" t="n">
        <x:v>5</x:v>
      </x:c>
      <x:c r="H1021" s="6" t="str">
        <x:v>SIDX-0063</x:v>
      </x:c>
      <x:c r="I1021" s="6" t="str">
        <x:f>IF(H1021="","No upstream dependency",IF(ISNUMBER(SEARCH(";",H1021)),"Multiple dependencies - verify source queues",IFERROR(XLOOKUP(H1021,C2:C1586,J2:J1586),"Dependency not found")))</x:f>
        <x:v>Not Started</x:v>
      </x:c>
      <x:c r="J1021" s="6" t="str">
        <x:v>Not Started</x:v>
      </x:c>
      <x:c r="K1021" s="6" t="str">
        <x:v>Normal</x:v>
      </x:c>
      <x:c r="L1021" s="6" t="str"/>
      <x:c r="M1021" s="6" t="str"/>
      <x:c r="N1021" s="6" t="str"/>
      <x:c r="O1021" s="7" t="str"/>
      <x:c r="P1021" s="6" t="str">
        <x:v>Yes</x:v>
      </x:c>
      <x:c r="Q1021" s="7" t="str">
        <x:v>Requires stable service identity.</x:v>
      </x:c>
    </x:row>
    <x:row r="1022">
      <x:c r="A1022" s="6" t="str">
        <x:v>SEQ-PRT-0064</x:v>
      </x:c>
      <x:c r="B1022" s="6" t="str">
        <x:v>Part Requirement</x:v>
      </x:c>
      <x:c r="C1022" s="6" t="str">
        <x:v>PRTX-0064</x:v>
      </x:c>
      <x:c r="D1022" s="6" t="str">
        <x:v>SVC000064</x:v>
      </x:c>
      <x:c r="E1022" s="6" t="str"/>
      <x:c r="F1022" s="6" t="str">
        <x:v>Part-requirement review</x:v>
      </x:c>
      <x:c r="G1022" s="6" t="n">
        <x:v>5</x:v>
      </x:c>
      <x:c r="H1022" s="6" t="str">
        <x:v>SIDX-0064</x:v>
      </x:c>
      <x:c r="I1022" s="6" t="str">
        <x:f>IF(H1022="","No upstream dependency",IF(ISNUMBER(SEARCH(";",H1022)),"Multiple dependencies - verify source queues",IFERROR(XLOOKUP(H1022,C2:C1586,J2:J1586),"Dependency not found")))</x:f>
        <x:v>Not Started</x:v>
      </x:c>
      <x:c r="J1022" s="6" t="str">
        <x:v>Not Started</x:v>
      </x:c>
      <x:c r="K1022" s="6" t="str">
        <x:v>Normal</x:v>
      </x:c>
      <x:c r="L1022" s="6" t="str"/>
      <x:c r="M1022" s="6" t="str"/>
      <x:c r="N1022" s="6" t="str"/>
      <x:c r="O1022" s="7" t="str"/>
      <x:c r="P1022" s="6" t="str">
        <x:v>Yes</x:v>
      </x:c>
      <x:c r="Q1022" s="7" t="str">
        <x:v>Requires stable service identity.</x:v>
      </x:c>
    </x:row>
    <x:row r="1023">
      <x:c r="A1023" s="6" t="str">
        <x:v>SEQ-PRT-0065</x:v>
      </x:c>
      <x:c r="B1023" s="6" t="str">
        <x:v>Part Requirement</x:v>
      </x:c>
      <x:c r="C1023" s="6" t="str">
        <x:v>PRTX-0065</x:v>
      </x:c>
      <x:c r="D1023" s="6" t="str">
        <x:v>SVC000065</x:v>
      </x:c>
      <x:c r="E1023" s="6" t="str"/>
      <x:c r="F1023" s="6" t="str">
        <x:v>Part-requirement review</x:v>
      </x:c>
      <x:c r="G1023" s="6" t="n">
        <x:v>5</x:v>
      </x:c>
      <x:c r="H1023" s="6" t="str">
        <x:v>SIDX-0065</x:v>
      </x:c>
      <x:c r="I1023" s="6" t="str">
        <x:f>IF(H1023="","No upstream dependency",IF(ISNUMBER(SEARCH(";",H1023)),"Multiple dependencies - verify source queues",IFERROR(XLOOKUP(H1023,C2:C1586,J2:J1586),"Dependency not found")))</x:f>
        <x:v>Not Started</x:v>
      </x:c>
      <x:c r="J1023" s="6" t="str">
        <x:v>Not Started</x:v>
      </x:c>
      <x:c r="K1023" s="6" t="str">
        <x:v>Normal</x:v>
      </x:c>
      <x:c r="L1023" s="6" t="str"/>
      <x:c r="M1023" s="6" t="str"/>
      <x:c r="N1023" s="6" t="str"/>
      <x:c r="O1023" s="7" t="str"/>
      <x:c r="P1023" s="6" t="str">
        <x:v>Yes</x:v>
      </x:c>
      <x:c r="Q1023" s="7" t="str">
        <x:v>Requires stable service identity.</x:v>
      </x:c>
    </x:row>
    <x:row r="1024">
      <x:c r="A1024" s="6" t="str">
        <x:v>SEQ-PRT-0066</x:v>
      </x:c>
      <x:c r="B1024" s="6" t="str">
        <x:v>Part Requirement</x:v>
      </x:c>
      <x:c r="C1024" s="6" t="str">
        <x:v>PRTX-0066</x:v>
      </x:c>
      <x:c r="D1024" s="6" t="str">
        <x:v>SVC000066</x:v>
      </x:c>
      <x:c r="E1024" s="6" t="str"/>
      <x:c r="F1024" s="6" t="str">
        <x:v>Part-requirement review</x:v>
      </x:c>
      <x:c r="G1024" s="6" t="n">
        <x:v>5</x:v>
      </x:c>
      <x:c r="H1024" s="6" t="str">
        <x:v>SIDX-0066</x:v>
      </x:c>
      <x:c r="I1024" s="6" t="str">
        <x:f>IF(H1024="","No upstream dependency",IF(ISNUMBER(SEARCH(";",H1024)),"Multiple dependencies - verify source queues",IFERROR(XLOOKUP(H1024,C2:C1586,J2:J1586),"Dependency not found")))</x:f>
        <x:v>Not Started</x:v>
      </x:c>
      <x:c r="J1024" s="6" t="str">
        <x:v>Not Started</x:v>
      </x:c>
      <x:c r="K1024" s="6" t="str">
        <x:v>Normal</x:v>
      </x:c>
      <x:c r="L1024" s="6" t="str"/>
      <x:c r="M1024" s="6" t="str"/>
      <x:c r="N1024" s="6" t="str"/>
      <x:c r="O1024" s="7" t="str"/>
      <x:c r="P1024" s="6" t="str">
        <x:v>Yes</x:v>
      </x:c>
      <x:c r="Q1024" s="7" t="str">
        <x:v>Requires stable service identity.</x:v>
      </x:c>
    </x:row>
    <x:row r="1025">
      <x:c r="A1025" s="6" t="str">
        <x:v>SEQ-PRT-0067</x:v>
      </x:c>
      <x:c r="B1025" s="6" t="str">
        <x:v>Part Requirement</x:v>
      </x:c>
      <x:c r="C1025" s="6" t="str">
        <x:v>PRTX-0067</x:v>
      </x:c>
      <x:c r="D1025" s="6" t="str">
        <x:v>SVC000067</x:v>
      </x:c>
      <x:c r="E1025" s="6" t="str"/>
      <x:c r="F1025" s="6" t="str">
        <x:v>Part-requirement review</x:v>
      </x:c>
      <x:c r="G1025" s="6" t="n">
        <x:v>5</x:v>
      </x:c>
      <x:c r="H1025" s="6" t="str">
        <x:v>SIDX-0067</x:v>
      </x:c>
      <x:c r="I1025" s="6" t="str">
        <x:f>IF(H1025="","No upstream dependency",IF(ISNUMBER(SEARCH(";",H1025)),"Multiple dependencies - verify source queues",IFERROR(XLOOKUP(H1025,C2:C1586,J2:J1586),"Dependency not found")))</x:f>
        <x:v>Not Started</x:v>
      </x:c>
      <x:c r="J1025" s="6" t="str">
        <x:v>Not Started</x:v>
      </x:c>
      <x:c r="K1025" s="6" t="str">
        <x:v>Normal</x:v>
      </x:c>
      <x:c r="L1025" s="6" t="str"/>
      <x:c r="M1025" s="6" t="str"/>
      <x:c r="N1025" s="6" t="str"/>
      <x:c r="O1025" s="7" t="str"/>
      <x:c r="P1025" s="6" t="str">
        <x:v>Yes</x:v>
      </x:c>
      <x:c r="Q1025" s="7" t="str">
        <x:v>Requires stable service identity.</x:v>
      </x:c>
    </x:row>
    <x:row r="1026">
      <x:c r="A1026" s="6" t="str">
        <x:v>SEQ-PRT-0068</x:v>
      </x:c>
      <x:c r="B1026" s="6" t="str">
        <x:v>Part Requirement</x:v>
      </x:c>
      <x:c r="C1026" s="6" t="str">
        <x:v>PRTX-0068</x:v>
      </x:c>
      <x:c r="D1026" s="6" t="str">
        <x:v>SVC000068</x:v>
      </x:c>
      <x:c r="E1026" s="6" t="str"/>
      <x:c r="F1026" s="6" t="str">
        <x:v>Part-requirement review</x:v>
      </x:c>
      <x:c r="G1026" s="6" t="n">
        <x:v>5</x:v>
      </x:c>
      <x:c r="H1026" s="6" t="str">
        <x:v>SIDX-0068</x:v>
      </x:c>
      <x:c r="I1026" s="6" t="str">
        <x:f>IF(H1026="","No upstream dependency",IF(ISNUMBER(SEARCH(";",H1026)),"Multiple dependencies - verify source queues",IFERROR(XLOOKUP(H1026,C2:C1586,J2:J1586),"Dependency not found")))</x:f>
        <x:v>Not Started</x:v>
      </x:c>
      <x:c r="J1026" s="6" t="str">
        <x:v>Not Started</x:v>
      </x:c>
      <x:c r="K1026" s="6" t="str">
        <x:v>Normal</x:v>
      </x:c>
      <x:c r="L1026" s="6" t="str"/>
      <x:c r="M1026" s="6" t="str"/>
      <x:c r="N1026" s="6" t="str"/>
      <x:c r="O1026" s="7" t="str"/>
      <x:c r="P1026" s="6" t="str">
        <x:v>Yes</x:v>
      </x:c>
      <x:c r="Q1026" s="7" t="str">
        <x:v>Requires stable service identity.</x:v>
      </x:c>
    </x:row>
    <x:row r="1027">
      <x:c r="A1027" s="6" t="str">
        <x:v>SEQ-PRT-0069</x:v>
      </x:c>
      <x:c r="B1027" s="6" t="str">
        <x:v>Part Requirement</x:v>
      </x:c>
      <x:c r="C1027" s="6" t="str">
        <x:v>PRTX-0069</x:v>
      </x:c>
      <x:c r="D1027" s="6" t="str">
        <x:v>SVC000069</x:v>
      </x:c>
      <x:c r="E1027" s="6" t="str"/>
      <x:c r="F1027" s="6" t="str">
        <x:v>Part-requirement review</x:v>
      </x:c>
      <x:c r="G1027" s="6" t="n">
        <x:v>5</x:v>
      </x:c>
      <x:c r="H1027" s="6" t="str">
        <x:v>SIDX-0069</x:v>
      </x:c>
      <x:c r="I1027" s="6" t="str">
        <x:f>IF(H1027="","No upstream dependency",IF(ISNUMBER(SEARCH(";",H1027)),"Multiple dependencies - verify source queues",IFERROR(XLOOKUP(H1027,C2:C1586,J2:J1586),"Dependency not found")))</x:f>
        <x:v>Not Started</x:v>
      </x:c>
      <x:c r="J1027" s="6" t="str">
        <x:v>Not Started</x:v>
      </x:c>
      <x:c r="K1027" s="6" t="str">
        <x:v>Normal</x:v>
      </x:c>
      <x:c r="L1027" s="6" t="str"/>
      <x:c r="M1027" s="6" t="str"/>
      <x:c r="N1027" s="6" t="str"/>
      <x:c r="O1027" s="7" t="str"/>
      <x:c r="P1027" s="6" t="str">
        <x:v>Yes</x:v>
      </x:c>
      <x:c r="Q1027" s="7" t="str">
        <x:v>Requires stable service identity.</x:v>
      </x:c>
    </x:row>
    <x:row r="1028">
      <x:c r="A1028" s="6" t="str">
        <x:v>SEQ-PRT-0070</x:v>
      </x:c>
      <x:c r="B1028" s="6" t="str">
        <x:v>Part Requirement</x:v>
      </x:c>
      <x:c r="C1028" s="6" t="str">
        <x:v>PRTX-0070</x:v>
      </x:c>
      <x:c r="D1028" s="6" t="str">
        <x:v>SVC000070</x:v>
      </x:c>
      <x:c r="E1028" s="6" t="str"/>
      <x:c r="F1028" s="6" t="str">
        <x:v>Part-requirement review</x:v>
      </x:c>
      <x:c r="G1028" s="6" t="n">
        <x:v>5</x:v>
      </x:c>
      <x:c r="H1028" s="6" t="str">
        <x:v>SIDX-0070</x:v>
      </x:c>
      <x:c r="I1028" s="6" t="str">
        <x:f>IF(H1028="","No upstream dependency",IF(ISNUMBER(SEARCH(";",H1028)),"Multiple dependencies - verify source queues",IFERROR(XLOOKUP(H1028,C2:C1586,J2:J1586),"Dependency not found")))</x:f>
        <x:v>Not Started</x:v>
      </x:c>
      <x:c r="J1028" s="6" t="str">
        <x:v>Not Started</x:v>
      </x:c>
      <x:c r="K1028" s="6" t="str">
        <x:v>Normal</x:v>
      </x:c>
      <x:c r="L1028" s="6" t="str"/>
      <x:c r="M1028" s="6" t="str"/>
      <x:c r="N1028" s="6" t="str"/>
      <x:c r="O1028" s="7" t="str"/>
      <x:c r="P1028" s="6" t="str">
        <x:v>Yes</x:v>
      </x:c>
      <x:c r="Q1028" s="7" t="str">
        <x:v>Requires stable service identity.</x:v>
      </x:c>
    </x:row>
    <x:row r="1029">
      <x:c r="A1029" s="6" t="str">
        <x:v>SEQ-PRT-0071</x:v>
      </x:c>
      <x:c r="B1029" s="6" t="str">
        <x:v>Part Requirement</x:v>
      </x:c>
      <x:c r="C1029" s="6" t="str">
        <x:v>PRTX-0071</x:v>
      </x:c>
      <x:c r="D1029" s="6" t="str">
        <x:v>SVC000071</x:v>
      </x:c>
      <x:c r="E1029" s="6" t="str"/>
      <x:c r="F1029" s="6" t="str">
        <x:v>Part-requirement review</x:v>
      </x:c>
      <x:c r="G1029" s="6" t="n">
        <x:v>5</x:v>
      </x:c>
      <x:c r="H1029" s="6" t="str">
        <x:v>SIDX-0071</x:v>
      </x:c>
      <x:c r="I1029" s="6" t="str">
        <x:f>IF(H1029="","No upstream dependency",IF(ISNUMBER(SEARCH(";",H1029)),"Multiple dependencies - verify source queues",IFERROR(XLOOKUP(H1029,C2:C1586,J2:J1586),"Dependency not found")))</x:f>
        <x:v>Not Started</x:v>
      </x:c>
      <x:c r="J1029" s="6" t="str">
        <x:v>Not Started</x:v>
      </x:c>
      <x:c r="K1029" s="6" t="str">
        <x:v>Normal</x:v>
      </x:c>
      <x:c r="L1029" s="6" t="str"/>
      <x:c r="M1029" s="6" t="str"/>
      <x:c r="N1029" s="6" t="str"/>
      <x:c r="O1029" s="7" t="str"/>
      <x:c r="P1029" s="6" t="str">
        <x:v>Yes</x:v>
      </x:c>
      <x:c r="Q1029" s="7" t="str">
        <x:v>Requires stable service identity.</x:v>
      </x:c>
    </x:row>
    <x:row r="1030">
      <x:c r="A1030" s="6" t="str">
        <x:v>SEQ-PRT-0072</x:v>
      </x:c>
      <x:c r="B1030" s="6" t="str">
        <x:v>Part Requirement</x:v>
      </x:c>
      <x:c r="C1030" s="6" t="str">
        <x:v>PRTX-0072</x:v>
      </x:c>
      <x:c r="D1030" s="6" t="str">
        <x:v>SVC000072</x:v>
      </x:c>
      <x:c r="E1030" s="6" t="str"/>
      <x:c r="F1030" s="6" t="str">
        <x:v>Part-requirement review</x:v>
      </x:c>
      <x:c r="G1030" s="6" t="n">
        <x:v>5</x:v>
      </x:c>
      <x:c r="H1030" s="6" t="str">
        <x:v>SIDX-0072</x:v>
      </x:c>
      <x:c r="I1030" s="6" t="str">
        <x:f>IF(H1030="","No upstream dependency",IF(ISNUMBER(SEARCH(";",H1030)),"Multiple dependencies - verify source queues",IFERROR(XLOOKUP(H1030,C2:C1586,J2:J1586),"Dependency not found")))</x:f>
        <x:v>Not Started</x:v>
      </x:c>
      <x:c r="J1030" s="6" t="str">
        <x:v>Not Started</x:v>
      </x:c>
      <x:c r="K1030" s="6" t="str">
        <x:v>Normal</x:v>
      </x:c>
      <x:c r="L1030" s="6" t="str"/>
      <x:c r="M1030" s="6" t="str"/>
      <x:c r="N1030" s="6" t="str"/>
      <x:c r="O1030" s="7" t="str"/>
      <x:c r="P1030" s="6" t="str">
        <x:v>Yes</x:v>
      </x:c>
      <x:c r="Q1030" s="7" t="str">
        <x:v>Requires stable service identity.</x:v>
      </x:c>
    </x:row>
    <x:row r="1031">
      <x:c r="A1031" s="6" t="str">
        <x:v>SEQ-PRT-0073</x:v>
      </x:c>
      <x:c r="B1031" s="6" t="str">
        <x:v>Part Requirement</x:v>
      </x:c>
      <x:c r="C1031" s="6" t="str">
        <x:v>PRTX-0073</x:v>
      </x:c>
      <x:c r="D1031" s="6" t="str">
        <x:v>SVC000073</x:v>
      </x:c>
      <x:c r="E1031" s="6" t="str"/>
      <x:c r="F1031" s="6" t="str">
        <x:v>Part-requirement review</x:v>
      </x:c>
      <x:c r="G1031" s="6" t="n">
        <x:v>5</x:v>
      </x:c>
      <x:c r="H1031" s="6" t="str">
        <x:v>SIDX-0073</x:v>
      </x:c>
      <x:c r="I1031" s="6" t="str">
        <x:f>IF(H1031="","No upstream dependency",IF(ISNUMBER(SEARCH(";",H1031)),"Multiple dependencies - verify source queues",IFERROR(XLOOKUP(H1031,C2:C1586,J2:J1586),"Dependency not found")))</x:f>
        <x:v>Not Started</x:v>
      </x:c>
      <x:c r="J1031" s="6" t="str">
        <x:v>Not Started</x:v>
      </x:c>
      <x:c r="K1031" s="6" t="str">
        <x:v>Normal</x:v>
      </x:c>
      <x:c r="L1031" s="6" t="str"/>
      <x:c r="M1031" s="6" t="str"/>
      <x:c r="N1031" s="6" t="str"/>
      <x:c r="O1031" s="7" t="str"/>
      <x:c r="P1031" s="6" t="str">
        <x:v>Yes</x:v>
      </x:c>
      <x:c r="Q1031" s="7" t="str">
        <x:v>Requires stable service identity.</x:v>
      </x:c>
    </x:row>
    <x:row r="1032">
      <x:c r="A1032" s="6" t="str">
        <x:v>SEQ-PRT-0074</x:v>
      </x:c>
      <x:c r="B1032" s="6" t="str">
        <x:v>Part Requirement</x:v>
      </x:c>
      <x:c r="C1032" s="6" t="str">
        <x:v>PRTX-0074</x:v>
      </x:c>
      <x:c r="D1032" s="6" t="str">
        <x:v>SVC000074</x:v>
      </x:c>
      <x:c r="E1032" s="6" t="str"/>
      <x:c r="F1032" s="6" t="str">
        <x:v>Part-requirement review</x:v>
      </x:c>
      <x:c r="G1032" s="6" t="n">
        <x:v>5</x:v>
      </x:c>
      <x:c r="H1032" s="6" t="str">
        <x:v>SIDX-0074</x:v>
      </x:c>
      <x:c r="I1032" s="6" t="str">
        <x:f>IF(H1032="","No upstream dependency",IF(ISNUMBER(SEARCH(";",H1032)),"Multiple dependencies - verify source queues",IFERROR(XLOOKUP(H1032,C2:C1586,J2:J1586),"Dependency not found")))</x:f>
        <x:v>Not Started</x:v>
      </x:c>
      <x:c r="J1032" s="6" t="str">
        <x:v>Not Started</x:v>
      </x:c>
      <x:c r="K1032" s="6" t="str">
        <x:v>Normal</x:v>
      </x:c>
      <x:c r="L1032" s="6" t="str"/>
      <x:c r="M1032" s="6" t="str"/>
      <x:c r="N1032" s="6" t="str"/>
      <x:c r="O1032" s="7" t="str"/>
      <x:c r="P1032" s="6" t="str">
        <x:v>Yes</x:v>
      </x:c>
      <x:c r="Q1032" s="7" t="str">
        <x:v>Requires stable service identity.</x:v>
      </x:c>
    </x:row>
    <x:row r="1033">
      <x:c r="A1033" s="6" t="str">
        <x:v>SEQ-PRT-0075</x:v>
      </x:c>
      <x:c r="B1033" s="6" t="str">
        <x:v>Part Requirement</x:v>
      </x:c>
      <x:c r="C1033" s="6" t="str">
        <x:v>PRTX-0075</x:v>
      </x:c>
      <x:c r="D1033" s="6" t="str">
        <x:v>SVC000075</x:v>
      </x:c>
      <x:c r="E1033" s="6" t="str"/>
      <x:c r="F1033" s="6" t="str">
        <x:v>Part-requirement review</x:v>
      </x:c>
      <x:c r="G1033" s="6" t="n">
        <x:v>5</x:v>
      </x:c>
      <x:c r="H1033" s="6" t="str">
        <x:v>SIDX-0075</x:v>
      </x:c>
      <x:c r="I1033" s="6" t="str">
        <x:f>IF(H1033="","No upstream dependency",IF(ISNUMBER(SEARCH(";",H1033)),"Multiple dependencies - verify source queues",IFERROR(XLOOKUP(H1033,C2:C1586,J2:J1586),"Dependency not found")))</x:f>
        <x:v>Not Started</x:v>
      </x:c>
      <x:c r="J1033" s="6" t="str">
        <x:v>Not Started</x:v>
      </x:c>
      <x:c r="K1033" s="6" t="str">
        <x:v>Normal</x:v>
      </x:c>
      <x:c r="L1033" s="6" t="str"/>
      <x:c r="M1033" s="6" t="str"/>
      <x:c r="N1033" s="6" t="str"/>
      <x:c r="O1033" s="7" t="str"/>
      <x:c r="P1033" s="6" t="str">
        <x:v>Yes</x:v>
      </x:c>
      <x:c r="Q1033" s="7" t="str">
        <x:v>Requires stable service identity.</x:v>
      </x:c>
    </x:row>
    <x:row r="1034">
      <x:c r="A1034" s="6" t="str">
        <x:v>SEQ-PRT-0076</x:v>
      </x:c>
      <x:c r="B1034" s="6" t="str">
        <x:v>Part Requirement</x:v>
      </x:c>
      <x:c r="C1034" s="6" t="str">
        <x:v>PRTX-0076</x:v>
      </x:c>
      <x:c r="D1034" s="6" t="str">
        <x:v>SVC000076</x:v>
      </x:c>
      <x:c r="E1034" s="6" t="str"/>
      <x:c r="F1034" s="6" t="str">
        <x:v>Part-requirement review</x:v>
      </x:c>
      <x:c r="G1034" s="6" t="n">
        <x:v>5</x:v>
      </x:c>
      <x:c r="H1034" s="6" t="str">
        <x:v>SIDX-0076</x:v>
      </x:c>
      <x:c r="I1034" s="6" t="str">
        <x:f>IF(H1034="","No upstream dependency",IF(ISNUMBER(SEARCH(";",H1034)),"Multiple dependencies - verify source queues",IFERROR(XLOOKUP(H1034,C2:C1586,J2:J1586),"Dependency not found")))</x:f>
        <x:v>Not Started</x:v>
      </x:c>
      <x:c r="J1034" s="6" t="str">
        <x:v>Not Started</x:v>
      </x:c>
      <x:c r="K1034" s="6" t="str">
        <x:v>Normal</x:v>
      </x:c>
      <x:c r="L1034" s="6" t="str"/>
      <x:c r="M1034" s="6" t="str"/>
      <x:c r="N1034" s="6" t="str"/>
      <x:c r="O1034" s="7" t="str"/>
      <x:c r="P1034" s="6" t="str">
        <x:v>Yes</x:v>
      </x:c>
      <x:c r="Q1034" s="7" t="str">
        <x:v>Requires stable service identity.</x:v>
      </x:c>
    </x:row>
    <x:row r="1035">
      <x:c r="A1035" s="6" t="str">
        <x:v>SEQ-PRT-0077</x:v>
      </x:c>
      <x:c r="B1035" s="6" t="str">
        <x:v>Part Requirement</x:v>
      </x:c>
      <x:c r="C1035" s="6" t="str">
        <x:v>PRTX-0077</x:v>
      </x:c>
      <x:c r="D1035" s="6" t="str">
        <x:v>SVC000077</x:v>
      </x:c>
      <x:c r="E1035" s="6" t="str"/>
      <x:c r="F1035" s="6" t="str">
        <x:v>Part-requirement review</x:v>
      </x:c>
      <x:c r="G1035" s="6" t="n">
        <x:v>5</x:v>
      </x:c>
      <x:c r="H1035" s="6" t="str">
        <x:v>SIDX-0077</x:v>
      </x:c>
      <x:c r="I1035" s="6" t="str">
        <x:f>IF(H1035="","No upstream dependency",IF(ISNUMBER(SEARCH(";",H1035)),"Multiple dependencies - verify source queues",IFERROR(XLOOKUP(H1035,C2:C1586,J2:J1586),"Dependency not found")))</x:f>
        <x:v>Not Started</x:v>
      </x:c>
      <x:c r="J1035" s="6" t="str">
        <x:v>Not Started</x:v>
      </x:c>
      <x:c r="K1035" s="6" t="str">
        <x:v>Normal</x:v>
      </x:c>
      <x:c r="L1035" s="6" t="str"/>
      <x:c r="M1035" s="6" t="str"/>
      <x:c r="N1035" s="6" t="str"/>
      <x:c r="O1035" s="7" t="str"/>
      <x:c r="P1035" s="6" t="str">
        <x:v>Yes</x:v>
      </x:c>
      <x:c r="Q1035" s="7" t="str">
        <x:v>Requires stable service identity.</x:v>
      </x:c>
    </x:row>
    <x:row r="1036">
      <x:c r="A1036" s="6" t="str">
        <x:v>SEQ-PRT-0078</x:v>
      </x:c>
      <x:c r="B1036" s="6" t="str">
        <x:v>Part Requirement</x:v>
      </x:c>
      <x:c r="C1036" s="6" t="str">
        <x:v>PRTX-0078</x:v>
      </x:c>
      <x:c r="D1036" s="6" t="str">
        <x:v>SVC000078</x:v>
      </x:c>
      <x:c r="E1036" s="6" t="str"/>
      <x:c r="F1036" s="6" t="str">
        <x:v>Part-requirement review</x:v>
      </x:c>
      <x:c r="G1036" s="6" t="n">
        <x:v>5</x:v>
      </x:c>
      <x:c r="H1036" s="6" t="str">
        <x:v>SIDX-0078</x:v>
      </x:c>
      <x:c r="I1036" s="6" t="str">
        <x:f>IF(H1036="","No upstream dependency",IF(ISNUMBER(SEARCH(";",H1036)),"Multiple dependencies - verify source queues",IFERROR(XLOOKUP(H1036,C2:C1586,J2:J1586),"Dependency not found")))</x:f>
        <x:v>Not Started</x:v>
      </x:c>
      <x:c r="J1036" s="6" t="str">
        <x:v>Not Started</x:v>
      </x:c>
      <x:c r="K1036" s="6" t="str">
        <x:v>Normal</x:v>
      </x:c>
      <x:c r="L1036" s="6" t="str"/>
      <x:c r="M1036" s="6" t="str"/>
      <x:c r="N1036" s="6" t="str"/>
      <x:c r="O1036" s="7" t="str"/>
      <x:c r="P1036" s="6" t="str">
        <x:v>Yes</x:v>
      </x:c>
      <x:c r="Q1036" s="7" t="str">
        <x:v>Requires stable service identity.</x:v>
      </x:c>
    </x:row>
    <x:row r="1037">
      <x:c r="A1037" s="6" t="str">
        <x:v>SEQ-PRT-0079</x:v>
      </x:c>
      <x:c r="B1037" s="6" t="str">
        <x:v>Part Requirement</x:v>
      </x:c>
      <x:c r="C1037" s="6" t="str">
        <x:v>PRTX-0079</x:v>
      </x:c>
      <x:c r="D1037" s="6" t="str">
        <x:v>SVC000079</x:v>
      </x:c>
      <x:c r="E1037" s="6" t="str"/>
      <x:c r="F1037" s="6" t="str">
        <x:v>Part-requirement review</x:v>
      </x:c>
      <x:c r="G1037" s="6" t="n">
        <x:v>5</x:v>
      </x:c>
      <x:c r="H1037" s="6" t="str">
        <x:v>SIDX-0079</x:v>
      </x:c>
      <x:c r="I1037" s="6" t="str">
        <x:f>IF(H1037="","No upstream dependency",IF(ISNUMBER(SEARCH(";",H1037)),"Multiple dependencies - verify source queues",IFERROR(XLOOKUP(H1037,C2:C1586,J2:J1586),"Dependency not found")))</x:f>
        <x:v>Not Started</x:v>
      </x:c>
      <x:c r="J1037" s="6" t="str">
        <x:v>Not Started</x:v>
      </x:c>
      <x:c r="K1037" s="6" t="str">
        <x:v>Normal</x:v>
      </x:c>
      <x:c r="L1037" s="6" t="str"/>
      <x:c r="M1037" s="6" t="str"/>
      <x:c r="N1037" s="6" t="str"/>
      <x:c r="O1037" s="7" t="str"/>
      <x:c r="P1037" s="6" t="str">
        <x:v>Yes</x:v>
      </x:c>
      <x:c r="Q1037" s="7" t="str">
        <x:v>Requires stable service identity.</x:v>
      </x:c>
    </x:row>
    <x:row r="1038">
      <x:c r="A1038" s="6" t="str">
        <x:v>SEQ-PRT-0080</x:v>
      </x:c>
      <x:c r="B1038" s="6" t="str">
        <x:v>Part Requirement</x:v>
      </x:c>
      <x:c r="C1038" s="6" t="str">
        <x:v>PRTX-0080</x:v>
      </x:c>
      <x:c r="D1038" s="6" t="str">
        <x:v>SVC000080</x:v>
      </x:c>
      <x:c r="E1038" s="6" t="str"/>
      <x:c r="F1038" s="6" t="str">
        <x:v>Part-requirement review</x:v>
      </x:c>
      <x:c r="G1038" s="6" t="n">
        <x:v>5</x:v>
      </x:c>
      <x:c r="H1038" s="6" t="str">
        <x:v>SIDX-0080</x:v>
      </x:c>
      <x:c r="I1038" s="6" t="str">
        <x:f>IF(H1038="","No upstream dependency",IF(ISNUMBER(SEARCH(";",H1038)),"Multiple dependencies - verify source queues",IFERROR(XLOOKUP(H1038,C2:C1586,J2:J1586),"Dependency not found")))</x:f>
        <x:v>Not Started</x:v>
      </x:c>
      <x:c r="J1038" s="6" t="str">
        <x:v>Not Started</x:v>
      </x:c>
      <x:c r="K1038" s="6" t="str">
        <x:v>Normal</x:v>
      </x:c>
      <x:c r="L1038" s="6" t="str"/>
      <x:c r="M1038" s="6" t="str"/>
      <x:c r="N1038" s="6" t="str"/>
      <x:c r="O1038" s="7" t="str"/>
      <x:c r="P1038" s="6" t="str">
        <x:v>Yes</x:v>
      </x:c>
      <x:c r="Q1038" s="7" t="str">
        <x:v>Requires stable service identity.</x:v>
      </x:c>
    </x:row>
    <x:row r="1039">
      <x:c r="A1039" s="6" t="str">
        <x:v>SEQ-PRT-0081</x:v>
      </x:c>
      <x:c r="B1039" s="6" t="str">
        <x:v>Part Requirement</x:v>
      </x:c>
      <x:c r="C1039" s="6" t="str">
        <x:v>PRTX-0081</x:v>
      </x:c>
      <x:c r="D1039" s="6" t="str">
        <x:v>SVC000081</x:v>
      </x:c>
      <x:c r="E1039" s="6" t="str"/>
      <x:c r="F1039" s="6" t="str">
        <x:v>Part-requirement review</x:v>
      </x:c>
      <x:c r="G1039" s="6" t="n">
        <x:v>5</x:v>
      </x:c>
      <x:c r="H1039" s="6" t="str">
        <x:v>SIDX-0081</x:v>
      </x:c>
      <x:c r="I1039" s="6" t="str">
        <x:f>IF(H1039="","No upstream dependency",IF(ISNUMBER(SEARCH(";",H1039)),"Multiple dependencies - verify source queues",IFERROR(XLOOKUP(H1039,C2:C1586,J2:J1586),"Dependency not found")))</x:f>
        <x:v>Not Started</x:v>
      </x:c>
      <x:c r="J1039" s="6" t="str">
        <x:v>Not Started</x:v>
      </x:c>
      <x:c r="K1039" s="6" t="str">
        <x:v>Normal</x:v>
      </x:c>
      <x:c r="L1039" s="6" t="str"/>
      <x:c r="M1039" s="6" t="str"/>
      <x:c r="N1039" s="6" t="str"/>
      <x:c r="O1039" s="7" t="str"/>
      <x:c r="P1039" s="6" t="str">
        <x:v>Yes</x:v>
      </x:c>
      <x:c r="Q1039" s="7" t="str">
        <x:v>Requires stable service identity.</x:v>
      </x:c>
    </x:row>
    <x:row r="1040">
      <x:c r="A1040" s="6" t="str">
        <x:v>SEQ-PRT-0082</x:v>
      </x:c>
      <x:c r="B1040" s="6" t="str">
        <x:v>Part Requirement</x:v>
      </x:c>
      <x:c r="C1040" s="6" t="str">
        <x:v>PRTX-0082</x:v>
      </x:c>
      <x:c r="D1040" s="6" t="str">
        <x:v>SVC000082</x:v>
      </x:c>
      <x:c r="E1040" s="6" t="str"/>
      <x:c r="F1040" s="6" t="str">
        <x:v>Part-requirement review</x:v>
      </x:c>
      <x:c r="G1040" s="6" t="n">
        <x:v>5</x:v>
      </x:c>
      <x:c r="H1040" s="6" t="str">
        <x:v>SIDX-0082</x:v>
      </x:c>
      <x:c r="I1040" s="6" t="str">
        <x:f>IF(H1040="","No upstream dependency",IF(ISNUMBER(SEARCH(";",H1040)),"Multiple dependencies - verify source queues",IFERROR(XLOOKUP(H1040,C2:C1586,J2:J1586),"Dependency not found")))</x:f>
        <x:v>Not Started</x:v>
      </x:c>
      <x:c r="J1040" s="6" t="str">
        <x:v>Not Started</x:v>
      </x:c>
      <x:c r="K1040" s="6" t="str">
        <x:v>Normal</x:v>
      </x:c>
      <x:c r="L1040" s="6" t="str"/>
      <x:c r="M1040" s="6" t="str"/>
      <x:c r="N1040" s="6" t="str"/>
      <x:c r="O1040" s="7" t="str"/>
      <x:c r="P1040" s="6" t="str">
        <x:v>Yes</x:v>
      </x:c>
      <x:c r="Q1040" s="7" t="str">
        <x:v>Requires stable service identity.</x:v>
      </x:c>
    </x:row>
    <x:row r="1041">
      <x:c r="A1041" s="6" t="str">
        <x:v>SEQ-PRT-0083</x:v>
      </x:c>
      <x:c r="B1041" s="6" t="str">
        <x:v>Part Requirement</x:v>
      </x:c>
      <x:c r="C1041" s="6" t="str">
        <x:v>PRTX-0083</x:v>
      </x:c>
      <x:c r="D1041" s="6" t="str">
        <x:v>SVC000083</x:v>
      </x:c>
      <x:c r="E1041" s="6" t="str"/>
      <x:c r="F1041" s="6" t="str">
        <x:v>Part-requirement review</x:v>
      </x:c>
      <x:c r="G1041" s="6" t="n">
        <x:v>5</x:v>
      </x:c>
      <x:c r="H1041" s="6" t="str">
        <x:v>SIDX-0083</x:v>
      </x:c>
      <x:c r="I1041" s="6" t="str">
        <x:f>IF(H1041="","No upstream dependency",IF(ISNUMBER(SEARCH(";",H1041)),"Multiple dependencies - verify source queues",IFERROR(XLOOKUP(H1041,C2:C1586,J2:J1586),"Dependency not found")))</x:f>
        <x:v>Not Started</x:v>
      </x:c>
      <x:c r="J1041" s="6" t="str">
        <x:v>Not Started</x:v>
      </x:c>
      <x:c r="K1041" s="6" t="str">
        <x:v>Normal</x:v>
      </x:c>
      <x:c r="L1041" s="6" t="str"/>
      <x:c r="M1041" s="6" t="str"/>
      <x:c r="N1041" s="6" t="str"/>
      <x:c r="O1041" s="7" t="str"/>
      <x:c r="P1041" s="6" t="str">
        <x:v>Yes</x:v>
      </x:c>
      <x:c r="Q1041" s="7" t="str">
        <x:v>Requires stable service identity.</x:v>
      </x:c>
    </x:row>
    <x:row r="1042">
      <x:c r="A1042" s="6" t="str">
        <x:v>SEQ-PRT-0084</x:v>
      </x:c>
      <x:c r="B1042" s="6" t="str">
        <x:v>Part Requirement</x:v>
      </x:c>
      <x:c r="C1042" s="6" t="str">
        <x:v>PRTX-0084</x:v>
      </x:c>
      <x:c r="D1042" s="6" t="str">
        <x:v>SVC000084</x:v>
      </x:c>
      <x:c r="E1042" s="6" t="str"/>
      <x:c r="F1042" s="6" t="str">
        <x:v>Part-requirement review</x:v>
      </x:c>
      <x:c r="G1042" s="6" t="n">
        <x:v>5</x:v>
      </x:c>
      <x:c r="H1042" s="6" t="str">
        <x:v>SIDX-0084</x:v>
      </x:c>
      <x:c r="I1042" s="6" t="str">
        <x:f>IF(H1042="","No upstream dependency",IF(ISNUMBER(SEARCH(";",H1042)),"Multiple dependencies - verify source queues",IFERROR(XLOOKUP(H1042,C2:C1586,J2:J1586),"Dependency not found")))</x:f>
        <x:v>Not Started</x:v>
      </x:c>
      <x:c r="J1042" s="6" t="str">
        <x:v>Not Started</x:v>
      </x:c>
      <x:c r="K1042" s="6" t="str">
        <x:v>Normal</x:v>
      </x:c>
      <x:c r="L1042" s="6" t="str"/>
      <x:c r="M1042" s="6" t="str"/>
      <x:c r="N1042" s="6" t="str"/>
      <x:c r="O1042" s="7" t="str"/>
      <x:c r="P1042" s="6" t="str">
        <x:v>Yes</x:v>
      </x:c>
      <x:c r="Q1042" s="7" t="str">
        <x:v>Requires stable service identity.</x:v>
      </x:c>
    </x:row>
    <x:row r="1043">
      <x:c r="A1043" s="6" t="str">
        <x:v>SEQ-PRT-0085</x:v>
      </x:c>
      <x:c r="B1043" s="6" t="str">
        <x:v>Part Requirement</x:v>
      </x:c>
      <x:c r="C1043" s="6" t="str">
        <x:v>PRTX-0085</x:v>
      </x:c>
      <x:c r="D1043" s="6" t="str">
        <x:v>SVC000085</x:v>
      </x:c>
      <x:c r="E1043" s="6" t="str"/>
      <x:c r="F1043" s="6" t="str">
        <x:v>Part-requirement review</x:v>
      </x:c>
      <x:c r="G1043" s="6" t="n">
        <x:v>5</x:v>
      </x:c>
      <x:c r="H1043" s="6" t="str">
        <x:v>SIDX-0085</x:v>
      </x:c>
      <x:c r="I1043" s="6" t="str">
        <x:f>IF(H1043="","No upstream dependency",IF(ISNUMBER(SEARCH(";",H1043)),"Multiple dependencies - verify source queues",IFERROR(XLOOKUP(H1043,C2:C1586,J2:J1586),"Dependency not found")))</x:f>
        <x:v>Not Started</x:v>
      </x:c>
      <x:c r="J1043" s="6" t="str">
        <x:v>Not Started</x:v>
      </x:c>
      <x:c r="K1043" s="6" t="str">
        <x:v>Normal</x:v>
      </x:c>
      <x:c r="L1043" s="6" t="str"/>
      <x:c r="M1043" s="6" t="str"/>
      <x:c r="N1043" s="6" t="str"/>
      <x:c r="O1043" s="7" t="str"/>
      <x:c r="P1043" s="6" t="str">
        <x:v>Yes</x:v>
      </x:c>
      <x:c r="Q1043" s="7" t="str">
        <x:v>Requires stable service identity.</x:v>
      </x:c>
    </x:row>
    <x:row r="1044">
      <x:c r="A1044" s="6" t="str">
        <x:v>SEQ-PRT-0086</x:v>
      </x:c>
      <x:c r="B1044" s="6" t="str">
        <x:v>Part Requirement</x:v>
      </x:c>
      <x:c r="C1044" s="6" t="str">
        <x:v>PRTX-0086</x:v>
      </x:c>
      <x:c r="D1044" s="6" t="str">
        <x:v>SVC000086</x:v>
      </x:c>
      <x:c r="E1044" s="6" t="str"/>
      <x:c r="F1044" s="6" t="str">
        <x:v>Part-requirement review</x:v>
      </x:c>
      <x:c r="G1044" s="6" t="n">
        <x:v>5</x:v>
      </x:c>
      <x:c r="H1044" s="6" t="str">
        <x:v>SIDX-0086</x:v>
      </x:c>
      <x:c r="I1044" s="6" t="str">
        <x:f>IF(H1044="","No upstream dependency",IF(ISNUMBER(SEARCH(";",H1044)),"Multiple dependencies - verify source queues",IFERROR(XLOOKUP(H1044,C2:C1586,J2:J1586),"Dependency not found")))</x:f>
        <x:v>Not Started</x:v>
      </x:c>
      <x:c r="J1044" s="6" t="str">
        <x:v>Not Started</x:v>
      </x:c>
      <x:c r="K1044" s="6" t="str">
        <x:v>Normal</x:v>
      </x:c>
      <x:c r="L1044" s="6" t="str"/>
      <x:c r="M1044" s="6" t="str"/>
      <x:c r="N1044" s="6" t="str"/>
      <x:c r="O1044" s="7" t="str"/>
      <x:c r="P1044" s="6" t="str">
        <x:v>Yes</x:v>
      </x:c>
      <x:c r="Q1044" s="7" t="str">
        <x:v>Requires stable service identity.</x:v>
      </x:c>
    </x:row>
    <x:row r="1045">
      <x:c r="A1045" s="6" t="str">
        <x:v>SEQ-PRT-0087</x:v>
      </x:c>
      <x:c r="B1045" s="6" t="str">
        <x:v>Part Requirement</x:v>
      </x:c>
      <x:c r="C1045" s="6" t="str">
        <x:v>PRTX-0087</x:v>
      </x:c>
      <x:c r="D1045" s="6" t="str">
        <x:v>SVC000087</x:v>
      </x:c>
      <x:c r="E1045" s="6" t="str"/>
      <x:c r="F1045" s="6" t="str">
        <x:v>Part-requirement review</x:v>
      </x:c>
      <x:c r="G1045" s="6" t="n">
        <x:v>5</x:v>
      </x:c>
      <x:c r="H1045" s="6" t="str">
        <x:v>SIDX-0087</x:v>
      </x:c>
      <x:c r="I1045" s="6" t="str">
        <x:f>IF(H1045="","No upstream dependency",IF(ISNUMBER(SEARCH(";",H1045)),"Multiple dependencies - verify source queues",IFERROR(XLOOKUP(H1045,C2:C1586,J2:J1586),"Dependency not found")))</x:f>
        <x:v>Not Started</x:v>
      </x:c>
      <x:c r="J1045" s="6" t="str">
        <x:v>Not Started</x:v>
      </x:c>
      <x:c r="K1045" s="6" t="str">
        <x:v>Normal</x:v>
      </x:c>
      <x:c r="L1045" s="6" t="str"/>
      <x:c r="M1045" s="6" t="str"/>
      <x:c r="N1045" s="6" t="str"/>
      <x:c r="O1045" s="7" t="str"/>
      <x:c r="P1045" s="6" t="str">
        <x:v>Yes</x:v>
      </x:c>
      <x:c r="Q1045" s="7" t="str">
        <x:v>Requires stable service identity.</x:v>
      </x:c>
    </x:row>
    <x:row r="1046">
      <x:c r="A1046" s="6" t="str">
        <x:v>SEQ-PRT-0088</x:v>
      </x:c>
      <x:c r="B1046" s="6" t="str">
        <x:v>Part Requirement</x:v>
      </x:c>
      <x:c r="C1046" s="6" t="str">
        <x:v>PRTX-0088</x:v>
      </x:c>
      <x:c r="D1046" s="6" t="str">
        <x:v>SVC000088</x:v>
      </x:c>
      <x:c r="E1046" s="6" t="str"/>
      <x:c r="F1046" s="6" t="str">
        <x:v>Part-requirement review</x:v>
      </x:c>
      <x:c r="G1046" s="6" t="n">
        <x:v>5</x:v>
      </x:c>
      <x:c r="H1046" s="6" t="str">
        <x:v>SIDX-0088</x:v>
      </x:c>
      <x:c r="I1046" s="6" t="str">
        <x:f>IF(H1046="","No upstream dependency",IF(ISNUMBER(SEARCH(";",H1046)),"Multiple dependencies - verify source queues",IFERROR(XLOOKUP(H1046,C2:C1586,J2:J1586),"Dependency not found")))</x:f>
        <x:v>Not Started</x:v>
      </x:c>
      <x:c r="J1046" s="6" t="str">
        <x:v>Not Started</x:v>
      </x:c>
      <x:c r="K1046" s="6" t="str">
        <x:v>Normal</x:v>
      </x:c>
      <x:c r="L1046" s="6" t="str"/>
      <x:c r="M1046" s="6" t="str"/>
      <x:c r="N1046" s="6" t="str"/>
      <x:c r="O1046" s="7" t="str"/>
      <x:c r="P1046" s="6" t="str">
        <x:v>Yes</x:v>
      </x:c>
      <x:c r="Q1046" s="7" t="str">
        <x:v>Requires stable service identity.</x:v>
      </x:c>
    </x:row>
    <x:row r="1047">
      <x:c r="A1047" s="6" t="str">
        <x:v>SEQ-PRT-0089</x:v>
      </x:c>
      <x:c r="B1047" s="6" t="str">
        <x:v>Part Requirement</x:v>
      </x:c>
      <x:c r="C1047" s="6" t="str">
        <x:v>PRTX-0089</x:v>
      </x:c>
      <x:c r="D1047" s="6" t="str">
        <x:v>SVC000089</x:v>
      </x:c>
      <x:c r="E1047" s="6" t="str"/>
      <x:c r="F1047" s="6" t="str">
        <x:v>Part-requirement review</x:v>
      </x:c>
      <x:c r="G1047" s="6" t="n">
        <x:v>5</x:v>
      </x:c>
      <x:c r="H1047" s="6" t="str">
        <x:v>SIDX-0089</x:v>
      </x:c>
      <x:c r="I1047" s="6" t="str">
        <x:f>IF(H1047="","No upstream dependency",IF(ISNUMBER(SEARCH(";",H1047)),"Multiple dependencies - verify source queues",IFERROR(XLOOKUP(H1047,C2:C1586,J2:J1586),"Dependency not found")))</x:f>
        <x:v>Not Started</x:v>
      </x:c>
      <x:c r="J1047" s="6" t="str">
        <x:v>Not Started</x:v>
      </x:c>
      <x:c r="K1047" s="6" t="str">
        <x:v>Normal</x:v>
      </x:c>
      <x:c r="L1047" s="6" t="str"/>
      <x:c r="M1047" s="6" t="str"/>
      <x:c r="N1047" s="6" t="str"/>
      <x:c r="O1047" s="7" t="str"/>
      <x:c r="P1047" s="6" t="str">
        <x:v>Yes</x:v>
      </x:c>
      <x:c r="Q1047" s="7" t="str">
        <x:v>Requires stable service identity.</x:v>
      </x:c>
    </x:row>
    <x:row r="1048">
      <x:c r="A1048" s="6" t="str">
        <x:v>SEQ-PRT-0090</x:v>
      </x:c>
      <x:c r="B1048" s="6" t="str">
        <x:v>Part Requirement</x:v>
      </x:c>
      <x:c r="C1048" s="6" t="str">
        <x:v>PRTX-0090</x:v>
      </x:c>
      <x:c r="D1048" s="6" t="str">
        <x:v>SVC000090</x:v>
      </x:c>
      <x:c r="E1048" s="6" t="str"/>
      <x:c r="F1048" s="6" t="str">
        <x:v>Part-requirement review</x:v>
      </x:c>
      <x:c r="G1048" s="6" t="n">
        <x:v>5</x:v>
      </x:c>
      <x:c r="H1048" s="6" t="str">
        <x:v>SIDX-0090</x:v>
      </x:c>
      <x:c r="I1048" s="6" t="str">
        <x:f>IF(H1048="","No upstream dependency",IF(ISNUMBER(SEARCH(";",H1048)),"Multiple dependencies - verify source queues",IFERROR(XLOOKUP(H1048,C2:C1586,J2:J1586),"Dependency not found")))</x:f>
        <x:v>Not Started</x:v>
      </x:c>
      <x:c r="J1048" s="6" t="str">
        <x:v>Not Started</x:v>
      </x:c>
      <x:c r="K1048" s="6" t="str">
        <x:v>Normal</x:v>
      </x:c>
      <x:c r="L1048" s="6" t="str"/>
      <x:c r="M1048" s="6" t="str"/>
      <x:c r="N1048" s="6" t="str"/>
      <x:c r="O1048" s="7" t="str"/>
      <x:c r="P1048" s="6" t="str">
        <x:v>Yes</x:v>
      </x:c>
      <x:c r="Q1048" s="7" t="str">
        <x:v>Requires stable service identity.</x:v>
      </x:c>
    </x:row>
    <x:row r="1049">
      <x:c r="A1049" s="6" t="str">
        <x:v>SEQ-PRT-0091</x:v>
      </x:c>
      <x:c r="B1049" s="6" t="str">
        <x:v>Part Requirement</x:v>
      </x:c>
      <x:c r="C1049" s="6" t="str">
        <x:v>PRTX-0091</x:v>
      </x:c>
      <x:c r="D1049" s="6" t="str">
        <x:v>SVC000091</x:v>
      </x:c>
      <x:c r="E1049" s="6" t="str"/>
      <x:c r="F1049" s="6" t="str">
        <x:v>Part-requirement review</x:v>
      </x:c>
      <x:c r="G1049" s="6" t="n">
        <x:v>5</x:v>
      </x:c>
      <x:c r="H1049" s="6" t="str">
        <x:v>SIDX-0091</x:v>
      </x:c>
      <x:c r="I1049" s="6" t="str">
        <x:f>IF(H1049="","No upstream dependency",IF(ISNUMBER(SEARCH(";",H1049)),"Multiple dependencies - verify source queues",IFERROR(XLOOKUP(H1049,C2:C1586,J2:J1586),"Dependency not found")))</x:f>
        <x:v>Not Started</x:v>
      </x:c>
      <x:c r="J1049" s="6" t="str">
        <x:v>Not Started</x:v>
      </x:c>
      <x:c r="K1049" s="6" t="str">
        <x:v>Normal</x:v>
      </x:c>
      <x:c r="L1049" s="6" t="str"/>
      <x:c r="M1049" s="6" t="str"/>
      <x:c r="N1049" s="6" t="str"/>
      <x:c r="O1049" s="7" t="str"/>
      <x:c r="P1049" s="6" t="str">
        <x:v>Yes</x:v>
      </x:c>
      <x:c r="Q1049" s="7" t="str">
        <x:v>Requires stable service identity.</x:v>
      </x:c>
    </x:row>
    <x:row r="1050">
      <x:c r="A1050" s="6" t="str">
        <x:v>SEQ-PRT-0092</x:v>
      </x:c>
      <x:c r="B1050" s="6" t="str">
        <x:v>Part Requirement</x:v>
      </x:c>
      <x:c r="C1050" s="6" t="str">
        <x:v>PRTX-0092</x:v>
      </x:c>
      <x:c r="D1050" s="6" t="str">
        <x:v>SVC000092</x:v>
      </x:c>
      <x:c r="E1050" s="6" t="str"/>
      <x:c r="F1050" s="6" t="str">
        <x:v>Part-requirement review</x:v>
      </x:c>
      <x:c r="G1050" s="6" t="n">
        <x:v>5</x:v>
      </x:c>
      <x:c r="H1050" s="6" t="str">
        <x:v>SIDX-0092</x:v>
      </x:c>
      <x:c r="I1050" s="6" t="str">
        <x:f>IF(H1050="","No upstream dependency",IF(ISNUMBER(SEARCH(";",H1050)),"Multiple dependencies - verify source queues",IFERROR(XLOOKUP(H1050,C2:C1586,J2:J1586),"Dependency not found")))</x:f>
        <x:v>Not Started</x:v>
      </x:c>
      <x:c r="J1050" s="6" t="str">
        <x:v>Not Started</x:v>
      </x:c>
      <x:c r="K1050" s="6" t="str">
        <x:v>Normal</x:v>
      </x:c>
      <x:c r="L1050" s="6" t="str"/>
      <x:c r="M1050" s="6" t="str"/>
      <x:c r="N1050" s="6" t="str"/>
      <x:c r="O1050" s="7" t="str"/>
      <x:c r="P1050" s="6" t="str">
        <x:v>Yes</x:v>
      </x:c>
      <x:c r="Q1050" s="7" t="str">
        <x:v>Requires stable service identity.</x:v>
      </x:c>
    </x:row>
    <x:row r="1051">
      <x:c r="A1051" s="6" t="str">
        <x:v>SEQ-PRT-0093</x:v>
      </x:c>
      <x:c r="B1051" s="6" t="str">
        <x:v>Part Requirement</x:v>
      </x:c>
      <x:c r="C1051" s="6" t="str">
        <x:v>PRTX-0093</x:v>
      </x:c>
      <x:c r="D1051" s="6" t="str">
        <x:v>SVC000093</x:v>
      </x:c>
      <x:c r="E1051" s="6" t="str"/>
      <x:c r="F1051" s="6" t="str">
        <x:v>Part-requirement review</x:v>
      </x:c>
      <x:c r="G1051" s="6" t="n">
        <x:v>5</x:v>
      </x:c>
      <x:c r="H1051" s="6" t="str">
        <x:v>SIDX-0093</x:v>
      </x:c>
      <x:c r="I1051" s="6" t="str">
        <x:f>IF(H1051="","No upstream dependency",IF(ISNUMBER(SEARCH(";",H1051)),"Multiple dependencies - verify source queues",IFERROR(XLOOKUP(H1051,C2:C1586,J2:J1586),"Dependency not found")))</x:f>
        <x:v>Not Started</x:v>
      </x:c>
      <x:c r="J1051" s="6" t="str">
        <x:v>Not Started</x:v>
      </x:c>
      <x:c r="K1051" s="6" t="str">
        <x:v>Normal</x:v>
      </x:c>
      <x:c r="L1051" s="6" t="str"/>
      <x:c r="M1051" s="6" t="str"/>
      <x:c r="N1051" s="6" t="str"/>
      <x:c r="O1051" s="7" t="str"/>
      <x:c r="P1051" s="6" t="str">
        <x:v>Yes</x:v>
      </x:c>
      <x:c r="Q1051" s="7" t="str">
        <x:v>Requires stable service identity.</x:v>
      </x:c>
    </x:row>
    <x:row r="1052">
      <x:c r="A1052" s="6" t="str">
        <x:v>SEQ-PRT-0094</x:v>
      </x:c>
      <x:c r="B1052" s="6" t="str">
        <x:v>Part Requirement</x:v>
      </x:c>
      <x:c r="C1052" s="6" t="str">
        <x:v>PRTX-0094</x:v>
      </x:c>
      <x:c r="D1052" s="6" t="str">
        <x:v>SVC000094</x:v>
      </x:c>
      <x:c r="E1052" s="6" t="str"/>
      <x:c r="F1052" s="6" t="str">
        <x:v>Part-requirement review</x:v>
      </x:c>
      <x:c r="G1052" s="6" t="n">
        <x:v>5</x:v>
      </x:c>
      <x:c r="H1052" s="6" t="str">
        <x:v>SIDX-0094</x:v>
      </x:c>
      <x:c r="I1052" s="6" t="str">
        <x:f>IF(H1052="","No upstream dependency",IF(ISNUMBER(SEARCH(";",H1052)),"Multiple dependencies - verify source queues",IFERROR(XLOOKUP(H1052,C2:C1586,J2:J1586),"Dependency not found")))</x:f>
        <x:v>Not Started</x:v>
      </x:c>
      <x:c r="J1052" s="6" t="str">
        <x:v>Not Started</x:v>
      </x:c>
      <x:c r="K1052" s="6" t="str">
        <x:v>Normal</x:v>
      </x:c>
      <x:c r="L1052" s="6" t="str"/>
      <x:c r="M1052" s="6" t="str"/>
      <x:c r="N1052" s="6" t="str"/>
      <x:c r="O1052" s="7" t="str"/>
      <x:c r="P1052" s="6" t="str">
        <x:v>Yes</x:v>
      </x:c>
      <x:c r="Q1052" s="7" t="str">
        <x:v>Requires stable service identity.</x:v>
      </x:c>
    </x:row>
    <x:row r="1053">
      <x:c r="A1053" s="6" t="str">
        <x:v>SEQ-PRT-0095</x:v>
      </x:c>
      <x:c r="B1053" s="6" t="str">
        <x:v>Part Requirement</x:v>
      </x:c>
      <x:c r="C1053" s="6" t="str">
        <x:v>PRTX-0095</x:v>
      </x:c>
      <x:c r="D1053" s="6" t="str">
        <x:v>SVC000095</x:v>
      </x:c>
      <x:c r="E1053" s="6" t="str"/>
      <x:c r="F1053" s="6" t="str">
        <x:v>Part-requirement review</x:v>
      </x:c>
      <x:c r="G1053" s="6" t="n">
        <x:v>5</x:v>
      </x:c>
      <x:c r="H1053" s="6" t="str">
        <x:v>SIDX-0095</x:v>
      </x:c>
      <x:c r="I1053" s="6" t="str">
        <x:f>IF(H1053="","No upstream dependency",IF(ISNUMBER(SEARCH(";",H1053)),"Multiple dependencies - verify source queues",IFERROR(XLOOKUP(H1053,C2:C1586,J2:J1586),"Dependency not found")))</x:f>
        <x:v>Not Started</x:v>
      </x:c>
      <x:c r="J1053" s="6" t="str">
        <x:v>Not Started</x:v>
      </x:c>
      <x:c r="K1053" s="6" t="str">
        <x:v>Normal</x:v>
      </x:c>
      <x:c r="L1053" s="6" t="str"/>
      <x:c r="M1053" s="6" t="str"/>
      <x:c r="N1053" s="6" t="str"/>
      <x:c r="O1053" s="7" t="str"/>
      <x:c r="P1053" s="6" t="str">
        <x:v>Yes</x:v>
      </x:c>
      <x:c r="Q1053" s="7" t="str">
        <x:v>Requires stable service identity.</x:v>
      </x:c>
    </x:row>
    <x:row r="1054">
      <x:c r="A1054" s="6" t="str">
        <x:v>SEQ-PRT-0096</x:v>
      </x:c>
      <x:c r="B1054" s="6" t="str">
        <x:v>Part Requirement</x:v>
      </x:c>
      <x:c r="C1054" s="6" t="str">
        <x:v>PRTX-0096</x:v>
      </x:c>
      <x:c r="D1054" s="6" t="str">
        <x:v>SVC000096</x:v>
      </x:c>
      <x:c r="E1054" s="6" t="str"/>
      <x:c r="F1054" s="6" t="str">
        <x:v>Part-requirement review</x:v>
      </x:c>
      <x:c r="G1054" s="6" t="n">
        <x:v>5</x:v>
      </x:c>
      <x:c r="H1054" s="6" t="str">
        <x:v>SIDX-0096</x:v>
      </x:c>
      <x:c r="I1054" s="6" t="str">
        <x:f>IF(H1054="","No upstream dependency",IF(ISNUMBER(SEARCH(";",H1054)),"Multiple dependencies - verify source queues",IFERROR(XLOOKUP(H1054,C2:C1586,J2:J1586),"Dependency not found")))</x:f>
        <x:v>Not Started</x:v>
      </x:c>
      <x:c r="J1054" s="6" t="str">
        <x:v>Not Started</x:v>
      </x:c>
      <x:c r="K1054" s="6" t="str">
        <x:v>Normal</x:v>
      </x:c>
      <x:c r="L1054" s="6" t="str"/>
      <x:c r="M1054" s="6" t="str"/>
      <x:c r="N1054" s="6" t="str"/>
      <x:c r="O1054" s="7" t="str"/>
      <x:c r="P1054" s="6" t="str">
        <x:v>Yes</x:v>
      </x:c>
      <x:c r="Q1054" s="7" t="str">
        <x:v>Requires stable service identity.</x:v>
      </x:c>
    </x:row>
    <x:row r="1055">
      <x:c r="A1055" s="6" t="str">
        <x:v>SEQ-PRT-0097</x:v>
      </x:c>
      <x:c r="B1055" s="6" t="str">
        <x:v>Part Requirement</x:v>
      </x:c>
      <x:c r="C1055" s="6" t="str">
        <x:v>PRTX-0097</x:v>
      </x:c>
      <x:c r="D1055" s="6" t="str">
        <x:v>SVC000097</x:v>
      </x:c>
      <x:c r="E1055" s="6" t="str"/>
      <x:c r="F1055" s="6" t="str">
        <x:v>Part-requirement review</x:v>
      </x:c>
      <x:c r="G1055" s="6" t="n">
        <x:v>5</x:v>
      </x:c>
      <x:c r="H1055" s="6" t="str">
        <x:v>SIDX-0097</x:v>
      </x:c>
      <x:c r="I1055" s="6" t="str">
        <x:f>IF(H1055="","No upstream dependency",IF(ISNUMBER(SEARCH(";",H1055)),"Multiple dependencies - verify source queues",IFERROR(XLOOKUP(H1055,C2:C1586,J2:J1586),"Dependency not found")))</x:f>
        <x:v>Not Started</x:v>
      </x:c>
      <x:c r="J1055" s="6" t="str">
        <x:v>Not Started</x:v>
      </x:c>
      <x:c r="K1055" s="6" t="str">
        <x:v>Normal</x:v>
      </x:c>
      <x:c r="L1055" s="6" t="str"/>
      <x:c r="M1055" s="6" t="str"/>
      <x:c r="N1055" s="6" t="str"/>
      <x:c r="O1055" s="7" t="str"/>
      <x:c r="P1055" s="6" t="str">
        <x:v>Yes</x:v>
      </x:c>
      <x:c r="Q1055" s="7" t="str">
        <x:v>Requires stable service identity.</x:v>
      </x:c>
    </x:row>
    <x:row r="1056">
      <x:c r="A1056" s="6" t="str">
        <x:v>SEQ-PRT-0098</x:v>
      </x:c>
      <x:c r="B1056" s="6" t="str">
        <x:v>Part Requirement</x:v>
      </x:c>
      <x:c r="C1056" s="6" t="str">
        <x:v>PRTX-0098</x:v>
      </x:c>
      <x:c r="D1056" s="6" t="str">
        <x:v>SVC000098</x:v>
      </x:c>
      <x:c r="E1056" s="6" t="str"/>
      <x:c r="F1056" s="6" t="str">
        <x:v>Part-requirement review</x:v>
      </x:c>
      <x:c r="G1056" s="6" t="n">
        <x:v>5</x:v>
      </x:c>
      <x:c r="H1056" s="6" t="str">
        <x:v>SIDX-0098</x:v>
      </x:c>
      <x:c r="I1056" s="6" t="str">
        <x:f>IF(H1056="","No upstream dependency",IF(ISNUMBER(SEARCH(";",H1056)),"Multiple dependencies - verify source queues",IFERROR(XLOOKUP(H1056,C2:C1586,J2:J1586),"Dependency not found")))</x:f>
        <x:v>Not Started</x:v>
      </x:c>
      <x:c r="J1056" s="6" t="str">
        <x:v>Not Started</x:v>
      </x:c>
      <x:c r="K1056" s="6" t="str">
        <x:v>Normal</x:v>
      </x:c>
      <x:c r="L1056" s="6" t="str"/>
      <x:c r="M1056" s="6" t="str"/>
      <x:c r="N1056" s="6" t="str"/>
      <x:c r="O1056" s="7" t="str"/>
      <x:c r="P1056" s="6" t="str">
        <x:v>Yes</x:v>
      </x:c>
      <x:c r="Q1056" s="7" t="str">
        <x:v>Requires stable service identity.</x:v>
      </x:c>
    </x:row>
    <x:row r="1057">
      <x:c r="A1057" s="6" t="str">
        <x:v>SEQ-PRT-0099</x:v>
      </x:c>
      <x:c r="B1057" s="6" t="str">
        <x:v>Part Requirement</x:v>
      </x:c>
      <x:c r="C1057" s="6" t="str">
        <x:v>PRTX-0099</x:v>
      </x:c>
      <x:c r="D1057" s="6" t="str">
        <x:v>SVC000099</x:v>
      </x:c>
      <x:c r="E1057" s="6" t="str"/>
      <x:c r="F1057" s="6" t="str">
        <x:v>Part-requirement review</x:v>
      </x:c>
      <x:c r="G1057" s="6" t="n">
        <x:v>5</x:v>
      </x:c>
      <x:c r="H1057" s="6" t="str">
        <x:v>SIDX-0099</x:v>
      </x:c>
      <x:c r="I1057" s="6" t="str">
        <x:f>IF(H1057="","No upstream dependency",IF(ISNUMBER(SEARCH(";",H1057)),"Multiple dependencies - verify source queues",IFERROR(XLOOKUP(H1057,C2:C1586,J2:J1586),"Dependency not found")))</x:f>
        <x:v>Not Started</x:v>
      </x:c>
      <x:c r="J1057" s="6" t="str">
        <x:v>Not Started</x:v>
      </x:c>
      <x:c r="K1057" s="6" t="str">
        <x:v>Normal</x:v>
      </x:c>
      <x:c r="L1057" s="6" t="str"/>
      <x:c r="M1057" s="6" t="str"/>
      <x:c r="N1057" s="6" t="str"/>
      <x:c r="O1057" s="7" t="str"/>
      <x:c r="P1057" s="6" t="str">
        <x:v>Yes</x:v>
      </x:c>
      <x:c r="Q1057" s="7" t="str">
        <x:v>Requires stable service identity.</x:v>
      </x:c>
    </x:row>
    <x:row r="1058">
      <x:c r="A1058" s="6" t="str">
        <x:v>SEQ-PRT-0100</x:v>
      </x:c>
      <x:c r="B1058" s="6" t="str">
        <x:v>Part Requirement</x:v>
      </x:c>
      <x:c r="C1058" s="6" t="str">
        <x:v>PRTX-0100</x:v>
      </x:c>
      <x:c r="D1058" s="6" t="str">
        <x:v>SVC000100</x:v>
      </x:c>
      <x:c r="E1058" s="6" t="str"/>
      <x:c r="F1058" s="6" t="str">
        <x:v>Part-requirement review</x:v>
      </x:c>
      <x:c r="G1058" s="6" t="n">
        <x:v>5</x:v>
      </x:c>
      <x:c r="H1058" s="6" t="str">
        <x:v>SIDX-0100</x:v>
      </x:c>
      <x:c r="I1058" s="6" t="str">
        <x:f>IF(H1058="","No upstream dependency",IF(ISNUMBER(SEARCH(";",H1058)),"Multiple dependencies - verify source queues",IFERROR(XLOOKUP(H1058,C2:C1586,J2:J1586),"Dependency not found")))</x:f>
        <x:v>Not Started</x:v>
      </x:c>
      <x:c r="J1058" s="6" t="str">
        <x:v>Not Started</x:v>
      </x:c>
      <x:c r="K1058" s="6" t="str">
        <x:v>Normal</x:v>
      </x:c>
      <x:c r="L1058" s="6" t="str"/>
      <x:c r="M1058" s="6" t="str"/>
      <x:c r="N1058" s="6" t="str"/>
      <x:c r="O1058" s="7" t="str"/>
      <x:c r="P1058" s="6" t="str">
        <x:v>Yes</x:v>
      </x:c>
      <x:c r="Q1058" s="7" t="str">
        <x:v>Requires stable service identity.</x:v>
      </x:c>
    </x:row>
    <x:row r="1059">
      <x:c r="A1059" s="6" t="str">
        <x:v>SEQ-PRT-0101</x:v>
      </x:c>
      <x:c r="B1059" s="6" t="str">
        <x:v>Part Requirement</x:v>
      </x:c>
      <x:c r="C1059" s="6" t="str">
        <x:v>PRTX-0101</x:v>
      </x:c>
      <x:c r="D1059" s="6" t="str">
        <x:v>SVC000101</x:v>
      </x:c>
      <x:c r="E1059" s="6" t="str"/>
      <x:c r="F1059" s="6" t="str">
        <x:v>Part-requirement review</x:v>
      </x:c>
      <x:c r="G1059" s="6" t="n">
        <x:v>5</x:v>
      </x:c>
      <x:c r="H1059" s="6" t="str">
        <x:v>SIDX-0101</x:v>
      </x:c>
      <x:c r="I1059" s="6" t="str">
        <x:f>IF(H1059="","No upstream dependency",IF(ISNUMBER(SEARCH(";",H1059)),"Multiple dependencies - verify source queues",IFERROR(XLOOKUP(H1059,C2:C1586,J2:J1586),"Dependency not found")))</x:f>
        <x:v>Not Started</x:v>
      </x:c>
      <x:c r="J1059" s="6" t="str">
        <x:v>Not Started</x:v>
      </x:c>
      <x:c r="K1059" s="6" t="str">
        <x:v>Normal</x:v>
      </x:c>
      <x:c r="L1059" s="6" t="str"/>
      <x:c r="M1059" s="6" t="str"/>
      <x:c r="N1059" s="6" t="str"/>
      <x:c r="O1059" s="7" t="str"/>
      <x:c r="P1059" s="6" t="str">
        <x:v>Yes</x:v>
      </x:c>
      <x:c r="Q1059" s="7" t="str">
        <x:v>Requires stable service identity.</x:v>
      </x:c>
    </x:row>
    <x:row r="1060">
      <x:c r="A1060" s="6" t="str">
        <x:v>SEQ-PRT-0102</x:v>
      </x:c>
      <x:c r="B1060" s="6" t="str">
        <x:v>Part Requirement</x:v>
      </x:c>
      <x:c r="C1060" s="6" t="str">
        <x:v>PRTX-0102</x:v>
      </x:c>
      <x:c r="D1060" s="6" t="str">
        <x:v>SVC000102</x:v>
      </x:c>
      <x:c r="E1060" s="6" t="str"/>
      <x:c r="F1060" s="6" t="str">
        <x:v>Part-requirement review</x:v>
      </x:c>
      <x:c r="G1060" s="6" t="n">
        <x:v>5</x:v>
      </x:c>
      <x:c r="H1060" s="6" t="str">
        <x:v>SIDX-0102</x:v>
      </x:c>
      <x:c r="I1060" s="6" t="str">
        <x:f>IF(H1060="","No upstream dependency",IF(ISNUMBER(SEARCH(";",H1060)),"Multiple dependencies - verify source queues",IFERROR(XLOOKUP(H1060,C2:C1586,J2:J1586),"Dependency not found")))</x:f>
        <x:v>Not Started</x:v>
      </x:c>
      <x:c r="J1060" s="6" t="str">
        <x:v>Not Started</x:v>
      </x:c>
      <x:c r="K1060" s="6" t="str">
        <x:v>Normal</x:v>
      </x:c>
      <x:c r="L1060" s="6" t="str"/>
      <x:c r="M1060" s="6" t="str"/>
      <x:c r="N1060" s="6" t="str"/>
      <x:c r="O1060" s="7" t="str"/>
      <x:c r="P1060" s="6" t="str">
        <x:v>Yes</x:v>
      </x:c>
      <x:c r="Q1060" s="7" t="str">
        <x:v>Requires stable service identity.</x:v>
      </x:c>
    </x:row>
    <x:row r="1061">
      <x:c r="A1061" s="6" t="str">
        <x:v>SEQ-PRT-0103</x:v>
      </x:c>
      <x:c r="B1061" s="6" t="str">
        <x:v>Part Requirement</x:v>
      </x:c>
      <x:c r="C1061" s="6" t="str">
        <x:v>PRTX-0103</x:v>
      </x:c>
      <x:c r="D1061" s="6" t="str">
        <x:v>SVC000103</x:v>
      </x:c>
      <x:c r="E1061" s="6" t="str"/>
      <x:c r="F1061" s="6" t="str">
        <x:v>Part-requirement review</x:v>
      </x:c>
      <x:c r="G1061" s="6" t="n">
        <x:v>5</x:v>
      </x:c>
      <x:c r="H1061" s="6" t="str">
        <x:v>SIDX-0103</x:v>
      </x:c>
      <x:c r="I1061" s="6" t="str">
        <x:f>IF(H1061="","No upstream dependency",IF(ISNUMBER(SEARCH(";",H1061)),"Multiple dependencies - verify source queues",IFERROR(XLOOKUP(H1061,C2:C1586,J2:J1586),"Dependency not found")))</x:f>
        <x:v>Not Started</x:v>
      </x:c>
      <x:c r="J1061" s="6" t="str">
        <x:v>Not Started</x:v>
      </x:c>
      <x:c r="K1061" s="6" t="str">
        <x:v>Normal</x:v>
      </x:c>
      <x:c r="L1061" s="6" t="str"/>
      <x:c r="M1061" s="6" t="str"/>
      <x:c r="N1061" s="6" t="str"/>
      <x:c r="O1061" s="7" t="str"/>
      <x:c r="P1061" s="6" t="str">
        <x:v>Yes</x:v>
      </x:c>
      <x:c r="Q1061" s="7" t="str">
        <x:v>Requires stable service identity.</x:v>
      </x:c>
    </x:row>
    <x:row r="1062">
      <x:c r="A1062" s="6" t="str">
        <x:v>SEQ-PRT-0104</x:v>
      </x:c>
      <x:c r="B1062" s="6" t="str">
        <x:v>Part Requirement</x:v>
      </x:c>
      <x:c r="C1062" s="6" t="str">
        <x:v>PRTX-0104</x:v>
      </x:c>
      <x:c r="D1062" s="6" t="str">
        <x:v>SVC000104</x:v>
      </x:c>
      <x:c r="E1062" s="6" t="str"/>
      <x:c r="F1062" s="6" t="str">
        <x:v>Part-requirement review</x:v>
      </x:c>
      <x:c r="G1062" s="6" t="n">
        <x:v>5</x:v>
      </x:c>
      <x:c r="H1062" s="6" t="str">
        <x:v>SIDX-0104</x:v>
      </x:c>
      <x:c r="I1062" s="6" t="str">
        <x:f>IF(H1062="","No upstream dependency",IF(ISNUMBER(SEARCH(";",H1062)),"Multiple dependencies - verify source queues",IFERROR(XLOOKUP(H1062,C2:C1586,J2:J1586),"Dependency not found")))</x:f>
        <x:v>Not Started</x:v>
      </x:c>
      <x:c r="J1062" s="6" t="str">
        <x:v>Not Started</x:v>
      </x:c>
      <x:c r="K1062" s="6" t="str">
        <x:v>Normal</x:v>
      </x:c>
      <x:c r="L1062" s="6" t="str"/>
      <x:c r="M1062" s="6" t="str"/>
      <x:c r="N1062" s="6" t="str"/>
      <x:c r="O1062" s="7" t="str"/>
      <x:c r="P1062" s="6" t="str">
        <x:v>Yes</x:v>
      </x:c>
      <x:c r="Q1062" s="7" t="str">
        <x:v>Requires stable service identity.</x:v>
      </x:c>
    </x:row>
    <x:row r="1063">
      <x:c r="A1063" s="6" t="str">
        <x:v>SEQ-PRT-0105</x:v>
      </x:c>
      <x:c r="B1063" s="6" t="str">
        <x:v>Part Requirement</x:v>
      </x:c>
      <x:c r="C1063" s="6" t="str">
        <x:v>PRTX-0105</x:v>
      </x:c>
      <x:c r="D1063" s="6" t="str">
        <x:v>SVC000105</x:v>
      </x:c>
      <x:c r="E1063" s="6" t="str"/>
      <x:c r="F1063" s="6" t="str">
        <x:v>Part-requirement review</x:v>
      </x:c>
      <x:c r="G1063" s="6" t="n">
        <x:v>5</x:v>
      </x:c>
      <x:c r="H1063" s="6" t="str">
        <x:v>SIDX-0105</x:v>
      </x:c>
      <x:c r="I1063" s="6" t="str">
        <x:f>IF(H1063="","No upstream dependency",IF(ISNUMBER(SEARCH(";",H1063)),"Multiple dependencies - verify source queues",IFERROR(XLOOKUP(H1063,C2:C1586,J2:J1586),"Dependency not found")))</x:f>
        <x:v>Not Started</x:v>
      </x:c>
      <x:c r="J1063" s="6" t="str">
        <x:v>Not Started</x:v>
      </x:c>
      <x:c r="K1063" s="6" t="str">
        <x:v>Normal</x:v>
      </x:c>
      <x:c r="L1063" s="6" t="str"/>
      <x:c r="M1063" s="6" t="str"/>
      <x:c r="N1063" s="6" t="str"/>
      <x:c r="O1063" s="7" t="str"/>
      <x:c r="P1063" s="6" t="str">
        <x:v>Yes</x:v>
      </x:c>
      <x:c r="Q1063" s="7" t="str">
        <x:v>Requires stable service identity.</x:v>
      </x:c>
    </x:row>
    <x:row r="1064">
      <x:c r="A1064" s="6" t="str">
        <x:v>SEQ-PRT-0106</x:v>
      </x:c>
      <x:c r="B1064" s="6" t="str">
        <x:v>Part Requirement</x:v>
      </x:c>
      <x:c r="C1064" s="6" t="str">
        <x:v>PRTX-0106</x:v>
      </x:c>
      <x:c r="D1064" s="6" t="str">
        <x:v>SVC000106</x:v>
      </x:c>
      <x:c r="E1064" s="6" t="str"/>
      <x:c r="F1064" s="6" t="str">
        <x:v>Part-requirement review</x:v>
      </x:c>
      <x:c r="G1064" s="6" t="n">
        <x:v>5</x:v>
      </x:c>
      <x:c r="H1064" s="6" t="str">
        <x:v>SIDX-0106</x:v>
      </x:c>
      <x:c r="I1064" s="6" t="str">
        <x:f>IF(H1064="","No upstream dependency",IF(ISNUMBER(SEARCH(";",H1064)),"Multiple dependencies - verify source queues",IFERROR(XLOOKUP(H1064,C2:C1586,J2:J1586),"Dependency not found")))</x:f>
        <x:v>Not Started</x:v>
      </x:c>
      <x:c r="J1064" s="6" t="str">
        <x:v>Not Started</x:v>
      </x:c>
      <x:c r="K1064" s="6" t="str">
        <x:v>Normal</x:v>
      </x:c>
      <x:c r="L1064" s="6" t="str"/>
      <x:c r="M1064" s="6" t="str"/>
      <x:c r="N1064" s="6" t="str"/>
      <x:c r="O1064" s="7" t="str"/>
      <x:c r="P1064" s="6" t="str">
        <x:v>Yes</x:v>
      </x:c>
      <x:c r="Q1064" s="7" t="str">
        <x:v>Requires stable service identity.</x:v>
      </x:c>
    </x:row>
    <x:row r="1065">
      <x:c r="A1065" s="6" t="str">
        <x:v>SEQ-PRT-0107</x:v>
      </x:c>
      <x:c r="B1065" s="6" t="str">
        <x:v>Part Requirement</x:v>
      </x:c>
      <x:c r="C1065" s="6" t="str">
        <x:v>PRTX-0107</x:v>
      </x:c>
      <x:c r="D1065" s="6" t="str">
        <x:v>SVC000107</x:v>
      </x:c>
      <x:c r="E1065" s="6" t="str"/>
      <x:c r="F1065" s="6" t="str">
        <x:v>Part-requirement review</x:v>
      </x:c>
      <x:c r="G1065" s="6" t="n">
        <x:v>5</x:v>
      </x:c>
      <x:c r="H1065" s="6" t="str">
        <x:v>SIDX-0107</x:v>
      </x:c>
      <x:c r="I1065" s="6" t="str">
        <x:f>IF(H1065="","No upstream dependency",IF(ISNUMBER(SEARCH(";",H1065)),"Multiple dependencies - verify source queues",IFERROR(XLOOKUP(H1065,C2:C1586,J2:J1586),"Dependency not found")))</x:f>
        <x:v>Not Started</x:v>
      </x:c>
      <x:c r="J1065" s="6" t="str">
        <x:v>Not Started</x:v>
      </x:c>
      <x:c r="K1065" s="6" t="str">
        <x:v>Normal</x:v>
      </x:c>
      <x:c r="L1065" s="6" t="str"/>
      <x:c r="M1065" s="6" t="str"/>
      <x:c r="N1065" s="6" t="str"/>
      <x:c r="O1065" s="7" t="str"/>
      <x:c r="P1065" s="6" t="str">
        <x:v>Yes</x:v>
      </x:c>
      <x:c r="Q1065" s="7" t="str">
        <x:v>Requires stable service identity.</x:v>
      </x:c>
    </x:row>
    <x:row r="1066">
      <x:c r="A1066" s="6" t="str">
        <x:v>SEQ-PRT-0108</x:v>
      </x:c>
      <x:c r="B1066" s="6" t="str">
        <x:v>Part Requirement</x:v>
      </x:c>
      <x:c r="C1066" s="6" t="str">
        <x:v>PRTX-0108</x:v>
      </x:c>
      <x:c r="D1066" s="6" t="str">
        <x:v>SVC000108</x:v>
      </x:c>
      <x:c r="E1066" s="6" t="str"/>
      <x:c r="F1066" s="6" t="str">
        <x:v>Part-requirement review</x:v>
      </x:c>
      <x:c r="G1066" s="6" t="n">
        <x:v>5</x:v>
      </x:c>
      <x:c r="H1066" s="6" t="str">
        <x:v>SIDX-0108</x:v>
      </x:c>
      <x:c r="I1066" s="6" t="str">
        <x:f>IF(H1066="","No upstream dependency",IF(ISNUMBER(SEARCH(";",H1066)),"Multiple dependencies - verify source queues",IFERROR(XLOOKUP(H1066,C2:C1586,J2:J1586),"Dependency not found")))</x:f>
        <x:v>Not Started</x:v>
      </x:c>
      <x:c r="J1066" s="6" t="str">
        <x:v>Not Started</x:v>
      </x:c>
      <x:c r="K1066" s="6" t="str">
        <x:v>Normal</x:v>
      </x:c>
      <x:c r="L1066" s="6" t="str"/>
      <x:c r="M1066" s="6" t="str"/>
      <x:c r="N1066" s="6" t="str"/>
      <x:c r="O1066" s="7" t="str"/>
      <x:c r="P1066" s="6" t="str">
        <x:v>Yes</x:v>
      </x:c>
      <x:c r="Q1066" s="7" t="str">
        <x:v>Requires stable service identity.</x:v>
      </x:c>
    </x:row>
    <x:row r="1067">
      <x:c r="A1067" s="6" t="str">
        <x:v>SEQ-PRT-0109</x:v>
      </x:c>
      <x:c r="B1067" s="6" t="str">
        <x:v>Part Requirement</x:v>
      </x:c>
      <x:c r="C1067" s="6" t="str">
        <x:v>PRTX-0109</x:v>
      </x:c>
      <x:c r="D1067" s="6" t="str">
        <x:v>SVC000109</x:v>
      </x:c>
      <x:c r="E1067" s="6" t="str"/>
      <x:c r="F1067" s="6" t="str">
        <x:v>Part-requirement review</x:v>
      </x:c>
      <x:c r="G1067" s="6" t="n">
        <x:v>5</x:v>
      </x:c>
      <x:c r="H1067" s="6" t="str">
        <x:v>SIDX-0109</x:v>
      </x:c>
      <x:c r="I1067" s="6" t="str">
        <x:f>IF(H1067="","No upstream dependency",IF(ISNUMBER(SEARCH(";",H1067)),"Multiple dependencies - verify source queues",IFERROR(XLOOKUP(H1067,C2:C1586,J2:J1586),"Dependency not found")))</x:f>
        <x:v>Not Started</x:v>
      </x:c>
      <x:c r="J1067" s="6" t="str">
        <x:v>Not Started</x:v>
      </x:c>
      <x:c r="K1067" s="6" t="str">
        <x:v>Normal</x:v>
      </x:c>
      <x:c r="L1067" s="6" t="str"/>
      <x:c r="M1067" s="6" t="str"/>
      <x:c r="N1067" s="6" t="str"/>
      <x:c r="O1067" s="7" t="str"/>
      <x:c r="P1067" s="6" t="str">
        <x:v>Yes</x:v>
      </x:c>
      <x:c r="Q1067" s="7" t="str">
        <x:v>Requires stable service identity.</x:v>
      </x:c>
    </x:row>
    <x:row r="1068">
      <x:c r="A1068" s="6" t="str">
        <x:v>SEQ-PRT-0110</x:v>
      </x:c>
      <x:c r="B1068" s="6" t="str">
        <x:v>Part Requirement</x:v>
      </x:c>
      <x:c r="C1068" s="6" t="str">
        <x:v>PRTX-0110</x:v>
      </x:c>
      <x:c r="D1068" s="6" t="str">
        <x:v>SVC000110</x:v>
      </x:c>
      <x:c r="E1068" s="6" t="str"/>
      <x:c r="F1068" s="6" t="str">
        <x:v>Part-requirement review</x:v>
      </x:c>
      <x:c r="G1068" s="6" t="n">
        <x:v>5</x:v>
      </x:c>
      <x:c r="H1068" s="6" t="str">
        <x:v>SIDX-0110</x:v>
      </x:c>
      <x:c r="I1068" s="6" t="str">
        <x:f>IF(H1068="","No upstream dependency",IF(ISNUMBER(SEARCH(";",H1068)),"Multiple dependencies - verify source queues",IFERROR(XLOOKUP(H1068,C2:C1586,J2:J1586),"Dependency not found")))</x:f>
        <x:v>Not Started</x:v>
      </x:c>
      <x:c r="J1068" s="6" t="str">
        <x:v>Not Started</x:v>
      </x:c>
      <x:c r="K1068" s="6" t="str">
        <x:v>Normal</x:v>
      </x:c>
      <x:c r="L1068" s="6" t="str"/>
      <x:c r="M1068" s="6" t="str"/>
      <x:c r="N1068" s="6" t="str"/>
      <x:c r="O1068" s="7" t="str"/>
      <x:c r="P1068" s="6" t="str">
        <x:v>Yes</x:v>
      </x:c>
      <x:c r="Q1068" s="7" t="str">
        <x:v>Requires stable service identity.</x:v>
      </x:c>
    </x:row>
    <x:row r="1069">
      <x:c r="A1069" s="6" t="str">
        <x:v>SEQ-PRT-0111</x:v>
      </x:c>
      <x:c r="B1069" s="6" t="str">
        <x:v>Part Requirement</x:v>
      </x:c>
      <x:c r="C1069" s="6" t="str">
        <x:v>PRTX-0111</x:v>
      </x:c>
      <x:c r="D1069" s="6" t="str">
        <x:v>SVC000111</x:v>
      </x:c>
      <x:c r="E1069" s="6" t="str"/>
      <x:c r="F1069" s="6" t="str">
        <x:v>Part-requirement review</x:v>
      </x:c>
      <x:c r="G1069" s="6" t="n">
        <x:v>5</x:v>
      </x:c>
      <x:c r="H1069" s="6" t="str">
        <x:v>SIDX-0111</x:v>
      </x:c>
      <x:c r="I1069" s="6" t="str">
        <x:f>IF(H1069="","No upstream dependency",IF(ISNUMBER(SEARCH(";",H1069)),"Multiple dependencies - verify source queues",IFERROR(XLOOKUP(H1069,C2:C1586,J2:J1586),"Dependency not found")))</x:f>
        <x:v>Not Started</x:v>
      </x:c>
      <x:c r="J1069" s="6" t="str">
        <x:v>Not Started</x:v>
      </x:c>
      <x:c r="K1069" s="6" t="str">
        <x:v>Normal</x:v>
      </x:c>
      <x:c r="L1069" s="6" t="str"/>
      <x:c r="M1069" s="6" t="str"/>
      <x:c r="N1069" s="6" t="str"/>
      <x:c r="O1069" s="7" t="str"/>
      <x:c r="P1069" s="6" t="str">
        <x:v>Yes</x:v>
      </x:c>
      <x:c r="Q1069" s="7" t="str">
        <x:v>Requires stable service identity.</x:v>
      </x:c>
    </x:row>
    <x:row r="1070">
      <x:c r="A1070" s="6" t="str">
        <x:v>SEQ-PRT-0112</x:v>
      </x:c>
      <x:c r="B1070" s="6" t="str">
        <x:v>Part Requirement</x:v>
      </x:c>
      <x:c r="C1070" s="6" t="str">
        <x:v>PRTX-0112</x:v>
      </x:c>
      <x:c r="D1070" s="6" t="str">
        <x:v>SVC000112</x:v>
      </x:c>
      <x:c r="E1070" s="6" t="str"/>
      <x:c r="F1070" s="6" t="str">
        <x:v>Part-requirement review</x:v>
      </x:c>
      <x:c r="G1070" s="6" t="n">
        <x:v>5</x:v>
      </x:c>
      <x:c r="H1070" s="6" t="str">
        <x:v>SIDX-0112</x:v>
      </x:c>
      <x:c r="I1070" s="6" t="str">
        <x:f>IF(H1070="","No upstream dependency",IF(ISNUMBER(SEARCH(";",H1070)),"Multiple dependencies - verify source queues",IFERROR(XLOOKUP(H1070,C2:C1586,J2:J1586),"Dependency not found")))</x:f>
        <x:v>Not Started</x:v>
      </x:c>
      <x:c r="J1070" s="6" t="str">
        <x:v>Not Started</x:v>
      </x:c>
      <x:c r="K1070" s="6" t="str">
        <x:v>Normal</x:v>
      </x:c>
      <x:c r="L1070" s="6" t="str"/>
      <x:c r="M1070" s="6" t="str"/>
      <x:c r="N1070" s="6" t="str"/>
      <x:c r="O1070" s="7" t="str"/>
      <x:c r="P1070" s="6" t="str">
        <x:v>Yes</x:v>
      </x:c>
      <x:c r="Q1070" s="7" t="str">
        <x:v>Requires stable service identity.</x:v>
      </x:c>
    </x:row>
    <x:row r="1071">
      <x:c r="A1071" s="6" t="str">
        <x:v>SEQ-PRT-0113</x:v>
      </x:c>
      <x:c r="B1071" s="6" t="str">
        <x:v>Part Requirement</x:v>
      </x:c>
      <x:c r="C1071" s="6" t="str">
        <x:v>PRTX-0113</x:v>
      </x:c>
      <x:c r="D1071" s="6" t="str">
        <x:v>SVC000113</x:v>
      </x:c>
      <x:c r="E1071" s="6" t="str"/>
      <x:c r="F1071" s="6" t="str">
        <x:v>Part-requirement review</x:v>
      </x:c>
      <x:c r="G1071" s="6" t="n">
        <x:v>5</x:v>
      </x:c>
      <x:c r="H1071" s="6" t="str">
        <x:v>SIDX-0113</x:v>
      </x:c>
      <x:c r="I1071" s="6" t="str">
        <x:f>IF(H1071="","No upstream dependency",IF(ISNUMBER(SEARCH(";",H1071)),"Multiple dependencies - verify source queues",IFERROR(XLOOKUP(H1071,C2:C1586,J2:J1586),"Dependency not found")))</x:f>
        <x:v>Not Started</x:v>
      </x:c>
      <x:c r="J1071" s="6" t="str">
        <x:v>Not Started</x:v>
      </x:c>
      <x:c r="K1071" s="6" t="str">
        <x:v>Normal</x:v>
      </x:c>
      <x:c r="L1071" s="6" t="str"/>
      <x:c r="M1071" s="6" t="str"/>
      <x:c r="N1071" s="6" t="str"/>
      <x:c r="O1071" s="7" t="str"/>
      <x:c r="P1071" s="6" t="str">
        <x:v>Yes</x:v>
      </x:c>
      <x:c r="Q1071" s="7" t="str">
        <x:v>Requires stable service identity.</x:v>
      </x:c>
    </x:row>
    <x:row r="1072">
      <x:c r="A1072" s="6" t="str">
        <x:v>SEQ-PRT-0114</x:v>
      </x:c>
      <x:c r="B1072" s="6" t="str">
        <x:v>Part Requirement</x:v>
      </x:c>
      <x:c r="C1072" s="6" t="str">
        <x:v>PRTX-0114</x:v>
      </x:c>
      <x:c r="D1072" s="6" t="str">
        <x:v>SVC000114</x:v>
      </x:c>
      <x:c r="E1072" s="6" t="str"/>
      <x:c r="F1072" s="6" t="str">
        <x:v>Part-requirement review</x:v>
      </x:c>
      <x:c r="G1072" s="6" t="n">
        <x:v>5</x:v>
      </x:c>
      <x:c r="H1072" s="6" t="str">
        <x:v>SIDX-0114</x:v>
      </x:c>
      <x:c r="I1072" s="6" t="str">
        <x:f>IF(H1072="","No upstream dependency",IF(ISNUMBER(SEARCH(";",H1072)),"Multiple dependencies - verify source queues",IFERROR(XLOOKUP(H1072,C2:C1586,J2:J1586),"Dependency not found")))</x:f>
        <x:v>Not Started</x:v>
      </x:c>
      <x:c r="J1072" s="6" t="str">
        <x:v>Not Started</x:v>
      </x:c>
      <x:c r="K1072" s="6" t="str">
        <x:v>Normal</x:v>
      </x:c>
      <x:c r="L1072" s="6" t="str"/>
      <x:c r="M1072" s="6" t="str"/>
      <x:c r="N1072" s="6" t="str"/>
      <x:c r="O1072" s="7" t="str"/>
      <x:c r="P1072" s="6" t="str">
        <x:v>Yes</x:v>
      </x:c>
      <x:c r="Q1072" s="7" t="str">
        <x:v>Requires stable service identity.</x:v>
      </x:c>
    </x:row>
    <x:row r="1073">
      <x:c r="A1073" s="6" t="str">
        <x:v>SEQ-PRT-0115</x:v>
      </x:c>
      <x:c r="B1073" s="6" t="str">
        <x:v>Part Requirement</x:v>
      </x:c>
      <x:c r="C1073" s="6" t="str">
        <x:v>PRTX-0115</x:v>
      </x:c>
      <x:c r="D1073" s="6" t="str">
        <x:v>SVC000115</x:v>
      </x:c>
      <x:c r="E1073" s="6" t="str"/>
      <x:c r="F1073" s="6" t="str">
        <x:v>Part-requirement review</x:v>
      </x:c>
      <x:c r="G1073" s="6" t="n">
        <x:v>5</x:v>
      </x:c>
      <x:c r="H1073" s="6" t="str">
        <x:v>SIDX-0115</x:v>
      </x:c>
      <x:c r="I1073" s="6" t="str">
        <x:f>IF(H1073="","No upstream dependency",IF(ISNUMBER(SEARCH(";",H1073)),"Multiple dependencies - verify source queues",IFERROR(XLOOKUP(H1073,C2:C1586,J2:J1586),"Dependency not found")))</x:f>
        <x:v>Not Started</x:v>
      </x:c>
      <x:c r="J1073" s="6" t="str">
        <x:v>Not Started</x:v>
      </x:c>
      <x:c r="K1073" s="6" t="str">
        <x:v>Normal</x:v>
      </x:c>
      <x:c r="L1073" s="6" t="str"/>
      <x:c r="M1073" s="6" t="str"/>
      <x:c r="N1073" s="6" t="str"/>
      <x:c r="O1073" s="7" t="str"/>
      <x:c r="P1073" s="6" t="str">
        <x:v>Yes</x:v>
      </x:c>
      <x:c r="Q1073" s="7" t="str">
        <x:v>Requires stable service identity.</x:v>
      </x:c>
    </x:row>
    <x:row r="1074">
      <x:c r="A1074" s="6" t="str">
        <x:v>SEQ-PRT-0116</x:v>
      </x:c>
      <x:c r="B1074" s="6" t="str">
        <x:v>Part Requirement</x:v>
      </x:c>
      <x:c r="C1074" s="6" t="str">
        <x:v>PRTX-0116</x:v>
      </x:c>
      <x:c r="D1074" s="6" t="str">
        <x:v>SVC000116</x:v>
      </x:c>
      <x:c r="E1074" s="6" t="str"/>
      <x:c r="F1074" s="6" t="str">
        <x:v>Part-requirement review</x:v>
      </x:c>
      <x:c r="G1074" s="6" t="n">
        <x:v>5</x:v>
      </x:c>
      <x:c r="H1074" s="6" t="str">
        <x:v>SIDX-0116</x:v>
      </x:c>
      <x:c r="I1074" s="6" t="str">
        <x:f>IF(H1074="","No upstream dependency",IF(ISNUMBER(SEARCH(";",H1074)),"Multiple dependencies - verify source queues",IFERROR(XLOOKUP(H1074,C2:C1586,J2:J1586),"Dependency not found")))</x:f>
        <x:v>Not Started</x:v>
      </x:c>
      <x:c r="J1074" s="6" t="str">
        <x:v>Not Started</x:v>
      </x:c>
      <x:c r="K1074" s="6" t="str">
        <x:v>Normal</x:v>
      </x:c>
      <x:c r="L1074" s="6" t="str"/>
      <x:c r="M1074" s="6" t="str"/>
      <x:c r="N1074" s="6" t="str"/>
      <x:c r="O1074" s="7" t="str"/>
      <x:c r="P1074" s="6" t="str">
        <x:v>Yes</x:v>
      </x:c>
      <x:c r="Q1074" s="7" t="str">
        <x:v>Requires stable service identity.</x:v>
      </x:c>
    </x:row>
    <x:row r="1075">
      <x:c r="A1075" s="6" t="str">
        <x:v>SEQ-PRT-0117</x:v>
      </x:c>
      <x:c r="B1075" s="6" t="str">
        <x:v>Part Requirement</x:v>
      </x:c>
      <x:c r="C1075" s="6" t="str">
        <x:v>PRTX-0117</x:v>
      </x:c>
      <x:c r="D1075" s="6" t="str">
        <x:v>SVC000117</x:v>
      </x:c>
      <x:c r="E1075" s="6" t="str"/>
      <x:c r="F1075" s="6" t="str">
        <x:v>Part-requirement review</x:v>
      </x:c>
      <x:c r="G1075" s="6" t="n">
        <x:v>5</x:v>
      </x:c>
      <x:c r="H1075" s="6" t="str">
        <x:v>SIDX-0117</x:v>
      </x:c>
      <x:c r="I1075" s="6" t="str">
        <x:f>IF(H1075="","No upstream dependency",IF(ISNUMBER(SEARCH(";",H1075)),"Multiple dependencies - verify source queues",IFERROR(XLOOKUP(H1075,C2:C1586,J2:J1586),"Dependency not found")))</x:f>
        <x:v>Not Started</x:v>
      </x:c>
      <x:c r="J1075" s="6" t="str">
        <x:v>Not Started</x:v>
      </x:c>
      <x:c r="K1075" s="6" t="str">
        <x:v>Normal</x:v>
      </x:c>
      <x:c r="L1075" s="6" t="str"/>
      <x:c r="M1075" s="6" t="str"/>
      <x:c r="N1075" s="6" t="str"/>
      <x:c r="O1075" s="7" t="str"/>
      <x:c r="P1075" s="6" t="str">
        <x:v>Yes</x:v>
      </x:c>
      <x:c r="Q1075" s="7" t="str">
        <x:v>Requires stable service identity.</x:v>
      </x:c>
    </x:row>
    <x:row r="1076">
      <x:c r="A1076" s="6" t="str">
        <x:v>SEQ-PRT-0118</x:v>
      </x:c>
      <x:c r="B1076" s="6" t="str">
        <x:v>Part Requirement</x:v>
      </x:c>
      <x:c r="C1076" s="6" t="str">
        <x:v>PRTX-0118</x:v>
      </x:c>
      <x:c r="D1076" s="6" t="str">
        <x:v>SVC000118</x:v>
      </x:c>
      <x:c r="E1076" s="6" t="str"/>
      <x:c r="F1076" s="6" t="str">
        <x:v>Part-requirement review</x:v>
      </x:c>
      <x:c r="G1076" s="6" t="n">
        <x:v>5</x:v>
      </x:c>
      <x:c r="H1076" s="6" t="str">
        <x:v>SIDX-0118</x:v>
      </x:c>
      <x:c r="I1076" s="6" t="str">
        <x:f>IF(H1076="","No upstream dependency",IF(ISNUMBER(SEARCH(";",H1076)),"Multiple dependencies - verify source queues",IFERROR(XLOOKUP(H1076,C2:C1586,J2:J1586),"Dependency not found")))</x:f>
        <x:v>Not Started</x:v>
      </x:c>
      <x:c r="J1076" s="6" t="str">
        <x:v>Not Started</x:v>
      </x:c>
      <x:c r="K1076" s="6" t="str">
        <x:v>Normal</x:v>
      </x:c>
      <x:c r="L1076" s="6" t="str"/>
      <x:c r="M1076" s="6" t="str"/>
      <x:c r="N1076" s="6" t="str"/>
      <x:c r="O1076" s="7" t="str"/>
      <x:c r="P1076" s="6" t="str">
        <x:v>Yes</x:v>
      </x:c>
      <x:c r="Q1076" s="7" t="str">
        <x:v>Requires stable service identity.</x:v>
      </x:c>
    </x:row>
    <x:row r="1077">
      <x:c r="A1077" s="6" t="str">
        <x:v>SEQ-PRT-0119</x:v>
      </x:c>
      <x:c r="B1077" s="6" t="str">
        <x:v>Part Requirement</x:v>
      </x:c>
      <x:c r="C1077" s="6" t="str">
        <x:v>PRTX-0119</x:v>
      </x:c>
      <x:c r="D1077" s="6" t="str">
        <x:v>SVC000119</x:v>
      </x:c>
      <x:c r="E1077" s="6" t="str"/>
      <x:c r="F1077" s="6" t="str">
        <x:v>Part-requirement review</x:v>
      </x:c>
      <x:c r="G1077" s="6" t="n">
        <x:v>5</x:v>
      </x:c>
      <x:c r="H1077" s="6" t="str">
        <x:v>SIDX-0119</x:v>
      </x:c>
      <x:c r="I1077" s="6" t="str">
        <x:f>IF(H1077="","No upstream dependency",IF(ISNUMBER(SEARCH(";",H1077)),"Multiple dependencies - verify source queues",IFERROR(XLOOKUP(H1077,C2:C1586,J2:J1586),"Dependency not found")))</x:f>
        <x:v>Not Started</x:v>
      </x:c>
      <x:c r="J1077" s="6" t="str">
        <x:v>Not Started</x:v>
      </x:c>
      <x:c r="K1077" s="6" t="str">
        <x:v>Normal</x:v>
      </x:c>
      <x:c r="L1077" s="6" t="str"/>
      <x:c r="M1077" s="6" t="str"/>
      <x:c r="N1077" s="6" t="str"/>
      <x:c r="O1077" s="7" t="str"/>
      <x:c r="P1077" s="6" t="str">
        <x:v>Yes</x:v>
      </x:c>
      <x:c r="Q1077" s="7" t="str">
        <x:v>Requires stable service identity.</x:v>
      </x:c>
    </x:row>
    <x:row r="1078">
      <x:c r="A1078" s="6" t="str">
        <x:v>SEQ-PRT-0120</x:v>
      </x:c>
      <x:c r="B1078" s="6" t="str">
        <x:v>Part Requirement</x:v>
      </x:c>
      <x:c r="C1078" s="6" t="str">
        <x:v>PRTX-0120</x:v>
      </x:c>
      <x:c r="D1078" s="6" t="str">
        <x:v>SVC000120</x:v>
      </x:c>
      <x:c r="E1078" s="6" t="str"/>
      <x:c r="F1078" s="6" t="str">
        <x:v>Part-requirement review</x:v>
      </x:c>
      <x:c r="G1078" s="6" t="n">
        <x:v>5</x:v>
      </x:c>
      <x:c r="H1078" s="6" t="str">
        <x:v>SIDX-0120</x:v>
      </x:c>
      <x:c r="I1078" s="6" t="str">
        <x:f>IF(H1078="","No upstream dependency",IF(ISNUMBER(SEARCH(";",H1078)),"Multiple dependencies - verify source queues",IFERROR(XLOOKUP(H1078,C2:C1586,J2:J1586),"Dependency not found")))</x:f>
        <x:v>Not Started</x:v>
      </x:c>
      <x:c r="J1078" s="6" t="str">
        <x:v>Not Started</x:v>
      </x:c>
      <x:c r="K1078" s="6" t="str">
        <x:v>Normal</x:v>
      </x:c>
      <x:c r="L1078" s="6" t="str"/>
      <x:c r="M1078" s="6" t="str"/>
      <x:c r="N1078" s="6" t="str"/>
      <x:c r="O1078" s="7" t="str"/>
      <x:c r="P1078" s="6" t="str">
        <x:v>Yes</x:v>
      </x:c>
      <x:c r="Q1078" s="7" t="str">
        <x:v>Requires stable service identity.</x:v>
      </x:c>
    </x:row>
    <x:row r="1079">
      <x:c r="A1079" s="6" t="str">
        <x:v>SEQ-PRT-0121</x:v>
      </x:c>
      <x:c r="B1079" s="6" t="str">
        <x:v>Part Requirement</x:v>
      </x:c>
      <x:c r="C1079" s="6" t="str">
        <x:v>PRTX-0121</x:v>
      </x:c>
      <x:c r="D1079" s="6" t="str">
        <x:v>SVC000121</x:v>
      </x:c>
      <x:c r="E1079" s="6" t="str"/>
      <x:c r="F1079" s="6" t="str">
        <x:v>Part-requirement review</x:v>
      </x:c>
      <x:c r="G1079" s="6" t="n">
        <x:v>5</x:v>
      </x:c>
      <x:c r="H1079" s="6" t="str">
        <x:v>SIDX-0121</x:v>
      </x:c>
      <x:c r="I1079" s="6" t="str">
        <x:f>IF(H1079="","No upstream dependency",IF(ISNUMBER(SEARCH(";",H1079)),"Multiple dependencies - verify source queues",IFERROR(XLOOKUP(H1079,C2:C1586,J2:J1586),"Dependency not found")))</x:f>
        <x:v>Not Started</x:v>
      </x:c>
      <x:c r="J1079" s="6" t="str">
        <x:v>Not Started</x:v>
      </x:c>
      <x:c r="K1079" s="6" t="str">
        <x:v>Normal</x:v>
      </x:c>
      <x:c r="L1079" s="6" t="str"/>
      <x:c r="M1079" s="6" t="str"/>
      <x:c r="N1079" s="6" t="str"/>
      <x:c r="O1079" s="7" t="str"/>
      <x:c r="P1079" s="6" t="str">
        <x:v>Yes</x:v>
      </x:c>
      <x:c r="Q1079" s="7" t="str">
        <x:v>Requires stable service identity.</x:v>
      </x:c>
    </x:row>
    <x:row r="1080">
      <x:c r="A1080" s="6" t="str">
        <x:v>SEQ-PRT-0122</x:v>
      </x:c>
      <x:c r="B1080" s="6" t="str">
        <x:v>Part Requirement</x:v>
      </x:c>
      <x:c r="C1080" s="6" t="str">
        <x:v>PRTX-0122</x:v>
      </x:c>
      <x:c r="D1080" s="6" t="str">
        <x:v>SVC000122</x:v>
      </x:c>
      <x:c r="E1080" s="6" t="str"/>
      <x:c r="F1080" s="6" t="str">
        <x:v>Part-requirement review</x:v>
      </x:c>
      <x:c r="G1080" s="6" t="n">
        <x:v>5</x:v>
      </x:c>
      <x:c r="H1080" s="6" t="str">
        <x:v>SIDX-0122</x:v>
      </x:c>
      <x:c r="I1080" s="6" t="str">
        <x:f>IF(H1080="","No upstream dependency",IF(ISNUMBER(SEARCH(";",H1080)),"Multiple dependencies - verify source queues",IFERROR(XLOOKUP(H1080,C2:C1586,J2:J1586),"Dependency not found")))</x:f>
        <x:v>Not Started</x:v>
      </x:c>
      <x:c r="J1080" s="6" t="str">
        <x:v>Not Started</x:v>
      </x:c>
      <x:c r="K1080" s="6" t="str">
        <x:v>Normal</x:v>
      </x:c>
      <x:c r="L1080" s="6" t="str"/>
      <x:c r="M1080" s="6" t="str"/>
      <x:c r="N1080" s="6" t="str"/>
      <x:c r="O1080" s="7" t="str"/>
      <x:c r="P1080" s="6" t="str">
        <x:v>Yes</x:v>
      </x:c>
      <x:c r="Q1080" s="7" t="str">
        <x:v>Requires stable service identity.</x:v>
      </x:c>
    </x:row>
    <x:row r="1081">
      <x:c r="A1081" s="6" t="str">
        <x:v>SEQ-PRT-0123</x:v>
      </x:c>
      <x:c r="B1081" s="6" t="str">
        <x:v>Part Requirement</x:v>
      </x:c>
      <x:c r="C1081" s="6" t="str">
        <x:v>PRTX-0123</x:v>
      </x:c>
      <x:c r="D1081" s="6" t="str">
        <x:v>SVC000123</x:v>
      </x:c>
      <x:c r="E1081" s="6" t="str"/>
      <x:c r="F1081" s="6" t="str">
        <x:v>Part-requirement review</x:v>
      </x:c>
      <x:c r="G1081" s="6" t="n">
        <x:v>5</x:v>
      </x:c>
      <x:c r="H1081" s="6" t="str">
        <x:v>SIDX-0123</x:v>
      </x:c>
      <x:c r="I1081" s="6" t="str">
        <x:f>IF(H1081="","No upstream dependency",IF(ISNUMBER(SEARCH(";",H1081)),"Multiple dependencies - verify source queues",IFERROR(XLOOKUP(H1081,C2:C1586,J2:J1586),"Dependency not found")))</x:f>
        <x:v>Not Started</x:v>
      </x:c>
      <x:c r="J1081" s="6" t="str">
        <x:v>Not Started</x:v>
      </x:c>
      <x:c r="K1081" s="6" t="str">
        <x:v>Normal</x:v>
      </x:c>
      <x:c r="L1081" s="6" t="str"/>
      <x:c r="M1081" s="6" t="str"/>
      <x:c r="N1081" s="6" t="str"/>
      <x:c r="O1081" s="7" t="str"/>
      <x:c r="P1081" s="6" t="str">
        <x:v>Yes</x:v>
      </x:c>
      <x:c r="Q1081" s="7" t="str">
        <x:v>Requires stable service identity.</x:v>
      </x:c>
    </x:row>
    <x:row r="1082">
      <x:c r="A1082" s="6" t="str">
        <x:v>SEQ-PRT-0124</x:v>
      </x:c>
      <x:c r="B1082" s="6" t="str">
        <x:v>Part Requirement</x:v>
      </x:c>
      <x:c r="C1082" s="6" t="str">
        <x:v>PRTX-0124</x:v>
      </x:c>
      <x:c r="D1082" s="6" t="str">
        <x:v>SVC000124</x:v>
      </x:c>
      <x:c r="E1082" s="6" t="str"/>
      <x:c r="F1082" s="6" t="str">
        <x:v>Part-requirement review</x:v>
      </x:c>
      <x:c r="G1082" s="6" t="n">
        <x:v>5</x:v>
      </x:c>
      <x:c r="H1082" s="6" t="str">
        <x:v>SIDX-0124</x:v>
      </x:c>
      <x:c r="I1082" s="6" t="str">
        <x:f>IF(H1082="","No upstream dependency",IF(ISNUMBER(SEARCH(";",H1082)),"Multiple dependencies - verify source queues",IFERROR(XLOOKUP(H1082,C2:C1586,J2:J1586),"Dependency not found")))</x:f>
        <x:v>Not Started</x:v>
      </x:c>
      <x:c r="J1082" s="6" t="str">
        <x:v>Not Started</x:v>
      </x:c>
      <x:c r="K1082" s="6" t="str">
        <x:v>Normal</x:v>
      </x:c>
      <x:c r="L1082" s="6" t="str"/>
      <x:c r="M1082" s="6" t="str"/>
      <x:c r="N1082" s="6" t="str"/>
      <x:c r="O1082" s="7" t="str"/>
      <x:c r="P1082" s="6" t="str">
        <x:v>Yes</x:v>
      </x:c>
      <x:c r="Q1082" s="7" t="str">
        <x:v>Requires stable service identity.</x:v>
      </x:c>
    </x:row>
    <x:row r="1083">
      <x:c r="A1083" s="6" t="str">
        <x:v>SEQ-PRT-0125</x:v>
      </x:c>
      <x:c r="B1083" s="6" t="str">
        <x:v>Part Requirement</x:v>
      </x:c>
      <x:c r="C1083" s="6" t="str">
        <x:v>PRTX-0125</x:v>
      </x:c>
      <x:c r="D1083" s="6" t="str">
        <x:v>SVC000125</x:v>
      </x:c>
      <x:c r="E1083" s="6" t="str"/>
      <x:c r="F1083" s="6" t="str">
        <x:v>Part-requirement review</x:v>
      </x:c>
      <x:c r="G1083" s="6" t="n">
        <x:v>5</x:v>
      </x:c>
      <x:c r="H1083" s="6" t="str">
        <x:v>SIDX-0125</x:v>
      </x:c>
      <x:c r="I1083" s="6" t="str">
        <x:f>IF(H1083="","No upstream dependency",IF(ISNUMBER(SEARCH(";",H1083)),"Multiple dependencies - verify source queues",IFERROR(XLOOKUP(H1083,C2:C1586,J2:J1586),"Dependency not found")))</x:f>
        <x:v>Not Started</x:v>
      </x:c>
      <x:c r="J1083" s="6" t="str">
        <x:v>Not Started</x:v>
      </x:c>
      <x:c r="K1083" s="6" t="str">
        <x:v>Normal</x:v>
      </x:c>
      <x:c r="L1083" s="6" t="str"/>
      <x:c r="M1083" s="6" t="str"/>
      <x:c r="N1083" s="6" t="str"/>
      <x:c r="O1083" s="7" t="str"/>
      <x:c r="P1083" s="6" t="str">
        <x:v>Yes</x:v>
      </x:c>
      <x:c r="Q1083" s="7" t="str">
        <x:v>Requires stable service identity.</x:v>
      </x:c>
    </x:row>
    <x:row r="1084">
      <x:c r="A1084" s="6" t="str">
        <x:v>SEQ-PRT-0126</x:v>
      </x:c>
      <x:c r="B1084" s="6" t="str">
        <x:v>Part Requirement</x:v>
      </x:c>
      <x:c r="C1084" s="6" t="str">
        <x:v>PRTX-0126</x:v>
      </x:c>
      <x:c r="D1084" s="6" t="str">
        <x:v>SVC000126</x:v>
      </x:c>
      <x:c r="E1084" s="6" t="str"/>
      <x:c r="F1084" s="6" t="str">
        <x:v>Part-requirement review</x:v>
      </x:c>
      <x:c r="G1084" s="6" t="n">
        <x:v>5</x:v>
      </x:c>
      <x:c r="H1084" s="6" t="str">
        <x:v>SIDX-0126</x:v>
      </x:c>
      <x:c r="I1084" s="6" t="str">
        <x:f>IF(H1084="","No upstream dependency",IF(ISNUMBER(SEARCH(";",H1084)),"Multiple dependencies - verify source queues",IFERROR(XLOOKUP(H1084,C2:C1586,J2:J1586),"Dependency not found")))</x:f>
        <x:v>Not Started</x:v>
      </x:c>
      <x:c r="J1084" s="6" t="str">
        <x:v>Not Started</x:v>
      </x:c>
      <x:c r="K1084" s="6" t="str">
        <x:v>Normal</x:v>
      </x:c>
      <x:c r="L1084" s="6" t="str"/>
      <x:c r="M1084" s="6" t="str"/>
      <x:c r="N1084" s="6" t="str"/>
      <x:c r="O1084" s="7" t="str"/>
      <x:c r="P1084" s="6" t="str">
        <x:v>Yes</x:v>
      </x:c>
      <x:c r="Q1084" s="7" t="str">
        <x:v>Requires stable service identity.</x:v>
      </x:c>
    </x:row>
    <x:row r="1085">
      <x:c r="A1085" s="6" t="str">
        <x:v>SEQ-PRT-0127</x:v>
      </x:c>
      <x:c r="B1085" s="6" t="str">
        <x:v>Part Requirement</x:v>
      </x:c>
      <x:c r="C1085" s="6" t="str">
        <x:v>PRTX-0127</x:v>
      </x:c>
      <x:c r="D1085" s="6" t="str">
        <x:v>SVC000127</x:v>
      </x:c>
      <x:c r="E1085" s="6" t="str"/>
      <x:c r="F1085" s="6" t="str">
        <x:v>Part-requirement review</x:v>
      </x:c>
      <x:c r="G1085" s="6" t="n">
        <x:v>5</x:v>
      </x:c>
      <x:c r="H1085" s="6" t="str">
        <x:v>SIDX-0127</x:v>
      </x:c>
      <x:c r="I1085" s="6" t="str">
        <x:f>IF(H1085="","No upstream dependency",IF(ISNUMBER(SEARCH(";",H1085)),"Multiple dependencies - verify source queues",IFERROR(XLOOKUP(H1085,C2:C1586,J2:J1586),"Dependency not found")))</x:f>
        <x:v>Not Started</x:v>
      </x:c>
      <x:c r="J1085" s="6" t="str">
        <x:v>Not Started</x:v>
      </x:c>
      <x:c r="K1085" s="6" t="str">
        <x:v>Normal</x:v>
      </x:c>
      <x:c r="L1085" s="6" t="str"/>
      <x:c r="M1085" s="6" t="str"/>
      <x:c r="N1085" s="6" t="str"/>
      <x:c r="O1085" s="7" t="str"/>
      <x:c r="P1085" s="6" t="str">
        <x:v>Yes</x:v>
      </x:c>
      <x:c r="Q1085" s="7" t="str">
        <x:v>Requires stable service identity.</x:v>
      </x:c>
    </x:row>
    <x:row r="1086">
      <x:c r="A1086" s="6" t="str">
        <x:v>SEQ-PRT-0128</x:v>
      </x:c>
      <x:c r="B1086" s="6" t="str">
        <x:v>Part Requirement</x:v>
      </x:c>
      <x:c r="C1086" s="6" t="str">
        <x:v>PRTX-0128</x:v>
      </x:c>
      <x:c r="D1086" s="6" t="str">
        <x:v>SVC000128</x:v>
      </x:c>
      <x:c r="E1086" s="6" t="str"/>
      <x:c r="F1086" s="6" t="str">
        <x:v>Part-requirement review</x:v>
      </x:c>
      <x:c r="G1086" s="6" t="n">
        <x:v>5</x:v>
      </x:c>
      <x:c r="H1086" s="6" t="str">
        <x:v>SIDX-0128</x:v>
      </x:c>
      <x:c r="I1086" s="6" t="str">
        <x:f>IF(H1086="","No upstream dependency",IF(ISNUMBER(SEARCH(";",H1086)),"Multiple dependencies - verify source queues",IFERROR(XLOOKUP(H1086,C2:C1586,J2:J1586),"Dependency not found")))</x:f>
        <x:v>Not Started</x:v>
      </x:c>
      <x:c r="J1086" s="6" t="str">
        <x:v>Not Started</x:v>
      </x:c>
      <x:c r="K1086" s="6" t="str">
        <x:v>Normal</x:v>
      </x:c>
      <x:c r="L1086" s="6" t="str"/>
      <x:c r="M1086" s="6" t="str"/>
      <x:c r="N1086" s="6" t="str"/>
      <x:c r="O1086" s="7" t="str"/>
      <x:c r="P1086" s="6" t="str">
        <x:v>Yes</x:v>
      </x:c>
      <x:c r="Q1086" s="7" t="str">
        <x:v>Requires stable service identity.</x:v>
      </x:c>
    </x:row>
    <x:row r="1087">
      <x:c r="A1087" s="6" t="str">
        <x:v>SEQ-PRT-0129</x:v>
      </x:c>
      <x:c r="B1087" s="6" t="str">
        <x:v>Part Requirement</x:v>
      </x:c>
      <x:c r="C1087" s="6" t="str">
        <x:v>PRTX-0129</x:v>
      </x:c>
      <x:c r="D1087" s="6" t="str">
        <x:v>SVC000129</x:v>
      </x:c>
      <x:c r="E1087" s="6" t="str"/>
      <x:c r="F1087" s="6" t="str">
        <x:v>Part-requirement review</x:v>
      </x:c>
      <x:c r="G1087" s="6" t="n">
        <x:v>5</x:v>
      </x:c>
      <x:c r="H1087" s="6" t="str">
        <x:v>SIDX-0129</x:v>
      </x:c>
      <x:c r="I1087" s="6" t="str">
        <x:f>IF(H1087="","No upstream dependency",IF(ISNUMBER(SEARCH(";",H1087)),"Multiple dependencies - verify source queues",IFERROR(XLOOKUP(H1087,C2:C1586,J2:J1586),"Dependency not found")))</x:f>
        <x:v>Not Started</x:v>
      </x:c>
      <x:c r="J1087" s="6" t="str">
        <x:v>Not Started</x:v>
      </x:c>
      <x:c r="K1087" s="6" t="str">
        <x:v>Normal</x:v>
      </x:c>
      <x:c r="L1087" s="6" t="str"/>
      <x:c r="M1087" s="6" t="str"/>
      <x:c r="N1087" s="6" t="str"/>
      <x:c r="O1087" s="7" t="str"/>
      <x:c r="P1087" s="6" t="str">
        <x:v>Yes</x:v>
      </x:c>
      <x:c r="Q1087" s="7" t="str">
        <x:v>Requires stable service identity.</x:v>
      </x:c>
    </x:row>
    <x:row r="1088">
      <x:c r="A1088" s="6" t="str">
        <x:v>SEQ-PRT-0130</x:v>
      </x:c>
      <x:c r="B1088" s="6" t="str">
        <x:v>Part Requirement</x:v>
      </x:c>
      <x:c r="C1088" s="6" t="str">
        <x:v>PRTX-0130</x:v>
      </x:c>
      <x:c r="D1088" s="6" t="str">
        <x:v>SVC000130</x:v>
      </x:c>
      <x:c r="E1088" s="6" t="str"/>
      <x:c r="F1088" s="6" t="str">
        <x:v>Part-requirement review</x:v>
      </x:c>
      <x:c r="G1088" s="6" t="n">
        <x:v>5</x:v>
      </x:c>
      <x:c r="H1088" s="6" t="str">
        <x:v>SIDX-0130</x:v>
      </x:c>
      <x:c r="I1088" s="6" t="str">
        <x:f>IF(H1088="","No upstream dependency",IF(ISNUMBER(SEARCH(";",H1088)),"Multiple dependencies - verify source queues",IFERROR(XLOOKUP(H1088,C2:C1586,J2:J1586),"Dependency not found")))</x:f>
        <x:v>Not Started</x:v>
      </x:c>
      <x:c r="J1088" s="6" t="str">
        <x:v>Not Started</x:v>
      </x:c>
      <x:c r="K1088" s="6" t="str">
        <x:v>Normal</x:v>
      </x:c>
      <x:c r="L1088" s="6" t="str"/>
      <x:c r="M1088" s="6" t="str"/>
      <x:c r="N1088" s="6" t="str"/>
      <x:c r="O1088" s="7" t="str"/>
      <x:c r="P1088" s="6" t="str">
        <x:v>Yes</x:v>
      </x:c>
      <x:c r="Q1088" s="7" t="str">
        <x:v>Requires stable service identity.</x:v>
      </x:c>
    </x:row>
    <x:row r="1089">
      <x:c r="A1089" s="6" t="str">
        <x:v>SEQ-PRT-0131</x:v>
      </x:c>
      <x:c r="B1089" s="6" t="str">
        <x:v>Part Requirement</x:v>
      </x:c>
      <x:c r="C1089" s="6" t="str">
        <x:v>PRTX-0131</x:v>
      </x:c>
      <x:c r="D1089" s="6" t="str">
        <x:v>SVC000131</x:v>
      </x:c>
      <x:c r="E1089" s="6" t="str"/>
      <x:c r="F1089" s="6" t="str">
        <x:v>Part-requirement review</x:v>
      </x:c>
      <x:c r="G1089" s="6" t="n">
        <x:v>5</x:v>
      </x:c>
      <x:c r="H1089" s="6" t="str">
        <x:v>SIDX-0131</x:v>
      </x:c>
      <x:c r="I1089" s="6" t="str">
        <x:f>IF(H1089="","No upstream dependency",IF(ISNUMBER(SEARCH(";",H1089)),"Multiple dependencies - verify source queues",IFERROR(XLOOKUP(H1089,C2:C1586,J2:J1586),"Dependency not found")))</x:f>
        <x:v>Not Started</x:v>
      </x:c>
      <x:c r="J1089" s="6" t="str">
        <x:v>Not Started</x:v>
      </x:c>
      <x:c r="K1089" s="6" t="str">
        <x:v>Normal</x:v>
      </x:c>
      <x:c r="L1089" s="6" t="str"/>
      <x:c r="M1089" s="6" t="str"/>
      <x:c r="N1089" s="6" t="str"/>
      <x:c r="O1089" s="7" t="str"/>
      <x:c r="P1089" s="6" t="str">
        <x:v>Yes</x:v>
      </x:c>
      <x:c r="Q1089" s="7" t="str">
        <x:v>Requires stable service identity.</x:v>
      </x:c>
    </x:row>
    <x:row r="1090">
      <x:c r="A1090" s="6" t="str">
        <x:v>SEQ-PRT-0132</x:v>
      </x:c>
      <x:c r="B1090" s="6" t="str">
        <x:v>Part Requirement</x:v>
      </x:c>
      <x:c r="C1090" s="6" t="str">
        <x:v>PRTX-0132</x:v>
      </x:c>
      <x:c r="D1090" s="6" t="str">
        <x:v>SVC000132</x:v>
      </x:c>
      <x:c r="E1090" s="6" t="str"/>
      <x:c r="F1090" s="6" t="str">
        <x:v>Part-requirement review</x:v>
      </x:c>
      <x:c r="G1090" s="6" t="n">
        <x:v>5</x:v>
      </x:c>
      <x:c r="H1090" s="6" t="str">
        <x:v>SIDX-0132</x:v>
      </x:c>
      <x:c r="I1090" s="6" t="str">
        <x:f>IF(H1090="","No upstream dependency",IF(ISNUMBER(SEARCH(";",H1090)),"Multiple dependencies - verify source queues",IFERROR(XLOOKUP(H1090,C2:C1586,J2:J1586),"Dependency not found")))</x:f>
        <x:v>Not Started</x:v>
      </x:c>
      <x:c r="J1090" s="6" t="str">
        <x:v>Not Started</x:v>
      </x:c>
      <x:c r="K1090" s="6" t="str">
        <x:v>Normal</x:v>
      </x:c>
      <x:c r="L1090" s="6" t="str"/>
      <x:c r="M1090" s="6" t="str"/>
      <x:c r="N1090" s="6" t="str"/>
      <x:c r="O1090" s="7" t="str"/>
      <x:c r="P1090" s="6" t="str">
        <x:v>Yes</x:v>
      </x:c>
      <x:c r="Q1090" s="7" t="str">
        <x:v>Requires stable service identity.</x:v>
      </x:c>
    </x:row>
    <x:row r="1091">
      <x:c r="A1091" s="6" t="str">
        <x:v>SEQ-PRT-0133</x:v>
      </x:c>
      <x:c r="B1091" s="6" t="str">
        <x:v>Part Requirement</x:v>
      </x:c>
      <x:c r="C1091" s="6" t="str">
        <x:v>PRTX-0133</x:v>
      </x:c>
      <x:c r="D1091" s="6" t="str">
        <x:v>SVC000133</x:v>
      </x:c>
      <x:c r="E1091" s="6" t="str"/>
      <x:c r="F1091" s="6" t="str">
        <x:v>Part-requirement review</x:v>
      </x:c>
      <x:c r="G1091" s="6" t="n">
        <x:v>5</x:v>
      </x:c>
      <x:c r="H1091" s="6" t="str">
        <x:v>SIDX-0133</x:v>
      </x:c>
      <x:c r="I1091" s="6" t="str">
        <x:f>IF(H1091="","No upstream dependency",IF(ISNUMBER(SEARCH(";",H1091)),"Multiple dependencies - verify source queues",IFERROR(XLOOKUP(H1091,C2:C1586,J2:J1586),"Dependency not found")))</x:f>
        <x:v>Not Started</x:v>
      </x:c>
      <x:c r="J1091" s="6" t="str">
        <x:v>Not Started</x:v>
      </x:c>
      <x:c r="K1091" s="6" t="str">
        <x:v>Normal</x:v>
      </x:c>
      <x:c r="L1091" s="6" t="str"/>
      <x:c r="M1091" s="6" t="str"/>
      <x:c r="N1091" s="6" t="str"/>
      <x:c r="O1091" s="7" t="str"/>
      <x:c r="P1091" s="6" t="str">
        <x:v>Yes</x:v>
      </x:c>
      <x:c r="Q1091" s="7" t="str">
        <x:v>Requires stable service identity.</x:v>
      </x:c>
    </x:row>
    <x:row r="1092">
      <x:c r="A1092" s="6" t="str">
        <x:v>SEQ-PRT-0134</x:v>
      </x:c>
      <x:c r="B1092" s="6" t="str">
        <x:v>Part Requirement</x:v>
      </x:c>
      <x:c r="C1092" s="6" t="str">
        <x:v>PRTX-0134</x:v>
      </x:c>
      <x:c r="D1092" s="6" t="str">
        <x:v>SVC000134</x:v>
      </x:c>
      <x:c r="E1092" s="6" t="str"/>
      <x:c r="F1092" s="6" t="str">
        <x:v>Part-requirement review</x:v>
      </x:c>
      <x:c r="G1092" s="6" t="n">
        <x:v>5</x:v>
      </x:c>
      <x:c r="H1092" s="6" t="str">
        <x:v>SIDX-0134</x:v>
      </x:c>
      <x:c r="I1092" s="6" t="str">
        <x:f>IF(H1092="","No upstream dependency",IF(ISNUMBER(SEARCH(";",H1092)),"Multiple dependencies - verify source queues",IFERROR(XLOOKUP(H1092,C2:C1586,J2:J1586),"Dependency not found")))</x:f>
        <x:v>Not Started</x:v>
      </x:c>
      <x:c r="J1092" s="6" t="str">
        <x:v>Not Started</x:v>
      </x:c>
      <x:c r="K1092" s="6" t="str">
        <x:v>Normal</x:v>
      </x:c>
      <x:c r="L1092" s="6" t="str"/>
      <x:c r="M1092" s="6" t="str"/>
      <x:c r="N1092" s="6" t="str"/>
      <x:c r="O1092" s="7" t="str"/>
      <x:c r="P1092" s="6" t="str">
        <x:v>Yes</x:v>
      </x:c>
      <x:c r="Q1092" s="7" t="str">
        <x:v>Requires stable service identity.</x:v>
      </x:c>
    </x:row>
    <x:row r="1093">
      <x:c r="A1093" s="6" t="str">
        <x:v>SEQ-PRT-0135</x:v>
      </x:c>
      <x:c r="B1093" s="6" t="str">
        <x:v>Part Requirement</x:v>
      </x:c>
      <x:c r="C1093" s="6" t="str">
        <x:v>PRTX-0135</x:v>
      </x:c>
      <x:c r="D1093" s="6" t="str">
        <x:v>SVC000135</x:v>
      </x:c>
      <x:c r="E1093" s="6" t="str"/>
      <x:c r="F1093" s="6" t="str">
        <x:v>Part-requirement review</x:v>
      </x:c>
      <x:c r="G1093" s="6" t="n">
        <x:v>5</x:v>
      </x:c>
      <x:c r="H1093" s="6" t="str">
        <x:v>SIDX-0135</x:v>
      </x:c>
      <x:c r="I1093" s="6" t="str">
        <x:f>IF(H1093="","No upstream dependency",IF(ISNUMBER(SEARCH(";",H1093)),"Multiple dependencies - verify source queues",IFERROR(XLOOKUP(H1093,C2:C1586,J2:J1586),"Dependency not found")))</x:f>
        <x:v>Not Started</x:v>
      </x:c>
      <x:c r="J1093" s="6" t="str">
        <x:v>Not Started</x:v>
      </x:c>
      <x:c r="K1093" s="6" t="str">
        <x:v>Normal</x:v>
      </x:c>
      <x:c r="L1093" s="6" t="str"/>
      <x:c r="M1093" s="6" t="str"/>
      <x:c r="N1093" s="6" t="str"/>
      <x:c r="O1093" s="7" t="str"/>
      <x:c r="P1093" s="6" t="str">
        <x:v>Yes</x:v>
      </x:c>
      <x:c r="Q1093" s="7" t="str">
        <x:v>Requires stable service identity.</x:v>
      </x:c>
    </x:row>
    <x:row r="1094">
      <x:c r="A1094" s="6" t="str">
        <x:v>SEQ-PRT-0136</x:v>
      </x:c>
      <x:c r="B1094" s="6" t="str">
        <x:v>Part Requirement</x:v>
      </x:c>
      <x:c r="C1094" s="6" t="str">
        <x:v>PRTX-0136</x:v>
      </x:c>
      <x:c r="D1094" s="6" t="str">
        <x:v>SVC000136</x:v>
      </x:c>
      <x:c r="E1094" s="6" t="str"/>
      <x:c r="F1094" s="6" t="str">
        <x:v>Part-requirement review</x:v>
      </x:c>
      <x:c r="G1094" s="6" t="n">
        <x:v>5</x:v>
      </x:c>
      <x:c r="H1094" s="6" t="str">
        <x:v>SIDX-0136</x:v>
      </x:c>
      <x:c r="I1094" s="6" t="str">
        <x:f>IF(H1094="","No upstream dependency",IF(ISNUMBER(SEARCH(";",H1094)),"Multiple dependencies - verify source queues",IFERROR(XLOOKUP(H1094,C2:C1586,J2:J1586),"Dependency not found")))</x:f>
        <x:v>Not Started</x:v>
      </x:c>
      <x:c r="J1094" s="6" t="str">
        <x:v>Not Started</x:v>
      </x:c>
      <x:c r="K1094" s="6" t="str">
        <x:v>Normal</x:v>
      </x:c>
      <x:c r="L1094" s="6" t="str"/>
      <x:c r="M1094" s="6" t="str"/>
      <x:c r="N1094" s="6" t="str"/>
      <x:c r="O1094" s="7" t="str"/>
      <x:c r="P1094" s="6" t="str">
        <x:v>Yes</x:v>
      </x:c>
      <x:c r="Q1094" s="7" t="str">
        <x:v>Requires stable service identity.</x:v>
      </x:c>
    </x:row>
    <x:row r="1095">
      <x:c r="A1095" s="6" t="str">
        <x:v>SEQ-PRT-0137</x:v>
      </x:c>
      <x:c r="B1095" s="6" t="str">
        <x:v>Part Requirement</x:v>
      </x:c>
      <x:c r="C1095" s="6" t="str">
        <x:v>PRTX-0137</x:v>
      </x:c>
      <x:c r="D1095" s="6" t="str">
        <x:v>SVC000137</x:v>
      </x:c>
      <x:c r="E1095" s="6" t="str"/>
      <x:c r="F1095" s="6" t="str">
        <x:v>Part-requirement review</x:v>
      </x:c>
      <x:c r="G1095" s="6" t="n">
        <x:v>5</x:v>
      </x:c>
      <x:c r="H1095" s="6" t="str">
        <x:v>SIDX-0137</x:v>
      </x:c>
      <x:c r="I1095" s="6" t="str">
        <x:f>IF(H1095="","No upstream dependency",IF(ISNUMBER(SEARCH(";",H1095)),"Multiple dependencies - verify source queues",IFERROR(XLOOKUP(H1095,C2:C1586,J2:J1586),"Dependency not found")))</x:f>
        <x:v>Not Started</x:v>
      </x:c>
      <x:c r="J1095" s="6" t="str">
        <x:v>Not Started</x:v>
      </x:c>
      <x:c r="K1095" s="6" t="str">
        <x:v>Normal</x:v>
      </x:c>
      <x:c r="L1095" s="6" t="str"/>
      <x:c r="M1095" s="6" t="str"/>
      <x:c r="N1095" s="6" t="str"/>
      <x:c r="O1095" s="7" t="str"/>
      <x:c r="P1095" s="6" t="str">
        <x:v>Yes</x:v>
      </x:c>
      <x:c r="Q1095" s="7" t="str">
        <x:v>Requires stable service identity.</x:v>
      </x:c>
    </x:row>
    <x:row r="1096">
      <x:c r="A1096" s="6" t="str">
        <x:v>SEQ-PRT-0138</x:v>
      </x:c>
      <x:c r="B1096" s="6" t="str">
        <x:v>Part Requirement</x:v>
      </x:c>
      <x:c r="C1096" s="6" t="str">
        <x:v>PRTX-0138</x:v>
      </x:c>
      <x:c r="D1096" s="6" t="str">
        <x:v>SVC000138</x:v>
      </x:c>
      <x:c r="E1096" s="6" t="str"/>
      <x:c r="F1096" s="6" t="str">
        <x:v>Part-requirement review</x:v>
      </x:c>
      <x:c r="G1096" s="6" t="n">
        <x:v>5</x:v>
      </x:c>
      <x:c r="H1096" s="6" t="str">
        <x:v>SIDX-0138</x:v>
      </x:c>
      <x:c r="I1096" s="6" t="str">
        <x:f>IF(H1096="","No upstream dependency",IF(ISNUMBER(SEARCH(";",H1096)),"Multiple dependencies - verify source queues",IFERROR(XLOOKUP(H1096,C2:C1586,J2:J1586),"Dependency not found")))</x:f>
        <x:v>Not Started</x:v>
      </x:c>
      <x:c r="J1096" s="6" t="str">
        <x:v>Not Started</x:v>
      </x:c>
      <x:c r="K1096" s="6" t="str">
        <x:v>Normal</x:v>
      </x:c>
      <x:c r="L1096" s="6" t="str"/>
      <x:c r="M1096" s="6" t="str"/>
      <x:c r="N1096" s="6" t="str"/>
      <x:c r="O1096" s="7" t="str"/>
      <x:c r="P1096" s="6" t="str">
        <x:v>Yes</x:v>
      </x:c>
      <x:c r="Q1096" s="7" t="str">
        <x:v>Requires stable service identity.</x:v>
      </x:c>
    </x:row>
    <x:row r="1097">
      <x:c r="A1097" s="6" t="str">
        <x:v>SEQ-PRT-0139</x:v>
      </x:c>
      <x:c r="B1097" s="6" t="str">
        <x:v>Part Requirement</x:v>
      </x:c>
      <x:c r="C1097" s="6" t="str">
        <x:v>PRTX-0139</x:v>
      </x:c>
      <x:c r="D1097" s="6" t="str">
        <x:v>SVC000139</x:v>
      </x:c>
      <x:c r="E1097" s="6" t="str"/>
      <x:c r="F1097" s="6" t="str">
        <x:v>Part-requirement review</x:v>
      </x:c>
      <x:c r="G1097" s="6" t="n">
        <x:v>5</x:v>
      </x:c>
      <x:c r="H1097" s="6" t="str">
        <x:v>SIDX-0139</x:v>
      </x:c>
      <x:c r="I1097" s="6" t="str">
        <x:f>IF(H1097="","No upstream dependency",IF(ISNUMBER(SEARCH(";",H1097)),"Multiple dependencies - verify source queues",IFERROR(XLOOKUP(H1097,C2:C1586,J2:J1586),"Dependency not found")))</x:f>
        <x:v>Not Started</x:v>
      </x:c>
      <x:c r="J1097" s="6" t="str">
        <x:v>Not Started</x:v>
      </x:c>
      <x:c r="K1097" s="6" t="str">
        <x:v>Normal</x:v>
      </x:c>
      <x:c r="L1097" s="6" t="str"/>
      <x:c r="M1097" s="6" t="str"/>
      <x:c r="N1097" s="6" t="str"/>
      <x:c r="O1097" s="7" t="str"/>
      <x:c r="P1097" s="6" t="str">
        <x:v>Yes</x:v>
      </x:c>
      <x:c r="Q1097" s="7" t="str">
        <x:v>Requires stable service identity.</x:v>
      </x:c>
    </x:row>
    <x:row r="1098">
      <x:c r="A1098" s="6" t="str">
        <x:v>SEQ-PRT-0140</x:v>
      </x:c>
      <x:c r="B1098" s="6" t="str">
        <x:v>Part Requirement</x:v>
      </x:c>
      <x:c r="C1098" s="6" t="str">
        <x:v>PRTX-0140</x:v>
      </x:c>
      <x:c r="D1098" s="6" t="str">
        <x:v>SVC000140</x:v>
      </x:c>
      <x:c r="E1098" s="6" t="str"/>
      <x:c r="F1098" s="6" t="str">
        <x:v>Part-requirement review</x:v>
      </x:c>
      <x:c r="G1098" s="6" t="n">
        <x:v>5</x:v>
      </x:c>
      <x:c r="H1098" s="6" t="str">
        <x:v>SIDX-0140</x:v>
      </x:c>
      <x:c r="I1098" s="6" t="str">
        <x:f>IF(H1098="","No upstream dependency",IF(ISNUMBER(SEARCH(";",H1098)),"Multiple dependencies - verify source queues",IFERROR(XLOOKUP(H1098,C2:C1586,J2:J1586),"Dependency not found")))</x:f>
        <x:v>Not Started</x:v>
      </x:c>
      <x:c r="J1098" s="6" t="str">
        <x:v>Not Started</x:v>
      </x:c>
      <x:c r="K1098" s="6" t="str">
        <x:v>Normal</x:v>
      </x:c>
      <x:c r="L1098" s="6" t="str"/>
      <x:c r="M1098" s="6" t="str"/>
      <x:c r="N1098" s="6" t="str"/>
      <x:c r="O1098" s="7" t="str"/>
      <x:c r="P1098" s="6" t="str">
        <x:v>Yes</x:v>
      </x:c>
      <x:c r="Q1098" s="7" t="str">
        <x:v>Requires stable service identity.</x:v>
      </x:c>
    </x:row>
    <x:row r="1099">
      <x:c r="A1099" s="6" t="str">
        <x:v>SEQ-PRT-0141</x:v>
      </x:c>
      <x:c r="B1099" s="6" t="str">
        <x:v>Part Requirement</x:v>
      </x:c>
      <x:c r="C1099" s="6" t="str">
        <x:v>PRTX-0141</x:v>
      </x:c>
      <x:c r="D1099" s="6" t="str">
        <x:v>SVC000141</x:v>
      </x:c>
      <x:c r="E1099" s="6" t="str"/>
      <x:c r="F1099" s="6" t="str">
        <x:v>Part-requirement review</x:v>
      </x:c>
      <x:c r="G1099" s="6" t="n">
        <x:v>5</x:v>
      </x:c>
      <x:c r="H1099" s="6" t="str">
        <x:v>SIDX-0141</x:v>
      </x:c>
      <x:c r="I1099" s="6" t="str">
        <x:f>IF(H1099="","No upstream dependency",IF(ISNUMBER(SEARCH(";",H1099)),"Multiple dependencies - verify source queues",IFERROR(XLOOKUP(H1099,C2:C1586,J2:J1586),"Dependency not found")))</x:f>
        <x:v>Not Started</x:v>
      </x:c>
      <x:c r="J1099" s="6" t="str">
        <x:v>Not Started</x:v>
      </x:c>
      <x:c r="K1099" s="6" t="str">
        <x:v>Normal</x:v>
      </x:c>
      <x:c r="L1099" s="6" t="str"/>
      <x:c r="M1099" s="6" t="str"/>
      <x:c r="N1099" s="6" t="str"/>
      <x:c r="O1099" s="7" t="str"/>
      <x:c r="P1099" s="6" t="str">
        <x:v>Yes</x:v>
      </x:c>
      <x:c r="Q1099" s="7" t="str">
        <x:v>Requires stable service identity.</x:v>
      </x:c>
    </x:row>
    <x:row r="1100">
      <x:c r="A1100" s="6" t="str">
        <x:v>SEQ-PRT-0142</x:v>
      </x:c>
      <x:c r="B1100" s="6" t="str">
        <x:v>Part Requirement</x:v>
      </x:c>
      <x:c r="C1100" s="6" t="str">
        <x:v>PRTX-0142</x:v>
      </x:c>
      <x:c r="D1100" s="6" t="str">
        <x:v>SVC000142</x:v>
      </x:c>
      <x:c r="E1100" s="6" t="str"/>
      <x:c r="F1100" s="6" t="str">
        <x:v>Part-requirement review</x:v>
      </x:c>
      <x:c r="G1100" s="6" t="n">
        <x:v>5</x:v>
      </x:c>
      <x:c r="H1100" s="6" t="str">
        <x:v>SIDX-0142</x:v>
      </x:c>
      <x:c r="I1100" s="6" t="str">
        <x:f>IF(H1100="","No upstream dependency",IF(ISNUMBER(SEARCH(";",H1100)),"Multiple dependencies - verify source queues",IFERROR(XLOOKUP(H1100,C2:C1586,J2:J1586),"Dependency not found")))</x:f>
        <x:v>Not Started</x:v>
      </x:c>
      <x:c r="J1100" s="6" t="str">
        <x:v>Not Started</x:v>
      </x:c>
      <x:c r="K1100" s="6" t="str">
        <x:v>Normal</x:v>
      </x:c>
      <x:c r="L1100" s="6" t="str"/>
      <x:c r="M1100" s="6" t="str"/>
      <x:c r="N1100" s="6" t="str"/>
      <x:c r="O1100" s="7" t="str"/>
      <x:c r="P1100" s="6" t="str">
        <x:v>Yes</x:v>
      </x:c>
      <x:c r="Q1100" s="7" t="str">
        <x:v>Requires stable service identity.</x:v>
      </x:c>
    </x:row>
    <x:row r="1101">
      <x:c r="A1101" s="6" t="str">
        <x:v>SEQ-PRT-0143</x:v>
      </x:c>
      <x:c r="B1101" s="6" t="str">
        <x:v>Part Requirement</x:v>
      </x:c>
      <x:c r="C1101" s="6" t="str">
        <x:v>PRTX-0143</x:v>
      </x:c>
      <x:c r="D1101" s="6" t="str">
        <x:v>SVC000143</x:v>
      </x:c>
      <x:c r="E1101" s="6" t="str"/>
      <x:c r="F1101" s="6" t="str">
        <x:v>Part-requirement review</x:v>
      </x:c>
      <x:c r="G1101" s="6" t="n">
        <x:v>5</x:v>
      </x:c>
      <x:c r="H1101" s="6" t="str">
        <x:v>SIDX-0143</x:v>
      </x:c>
      <x:c r="I1101" s="6" t="str">
        <x:f>IF(H1101="","No upstream dependency",IF(ISNUMBER(SEARCH(";",H1101)),"Multiple dependencies - verify source queues",IFERROR(XLOOKUP(H1101,C2:C1586,J2:J1586),"Dependency not found")))</x:f>
        <x:v>Not Started</x:v>
      </x:c>
      <x:c r="J1101" s="6" t="str">
        <x:v>Not Started</x:v>
      </x:c>
      <x:c r="K1101" s="6" t="str">
        <x:v>Normal</x:v>
      </x:c>
      <x:c r="L1101" s="6" t="str"/>
      <x:c r="M1101" s="6" t="str"/>
      <x:c r="N1101" s="6" t="str"/>
      <x:c r="O1101" s="7" t="str"/>
      <x:c r="P1101" s="6" t="str">
        <x:v>Yes</x:v>
      </x:c>
      <x:c r="Q1101" s="7" t="str">
        <x:v>Requires stable service identity.</x:v>
      </x:c>
    </x:row>
    <x:row r="1102">
      <x:c r="A1102" s="6" t="str">
        <x:v>SEQ-PRT-0144</x:v>
      </x:c>
      <x:c r="B1102" s="6" t="str">
        <x:v>Part Requirement</x:v>
      </x:c>
      <x:c r="C1102" s="6" t="str">
        <x:v>PRTX-0144</x:v>
      </x:c>
      <x:c r="D1102" s="6" t="str">
        <x:v>SVC000144</x:v>
      </x:c>
      <x:c r="E1102" s="6" t="str"/>
      <x:c r="F1102" s="6" t="str">
        <x:v>Part-requirement review</x:v>
      </x:c>
      <x:c r="G1102" s="6" t="n">
        <x:v>5</x:v>
      </x:c>
      <x:c r="H1102" s="6" t="str">
        <x:v>SIDX-0144</x:v>
      </x:c>
      <x:c r="I1102" s="6" t="str">
        <x:f>IF(H1102="","No upstream dependency",IF(ISNUMBER(SEARCH(";",H1102)),"Multiple dependencies - verify source queues",IFERROR(XLOOKUP(H1102,C2:C1586,J2:J1586),"Dependency not found")))</x:f>
        <x:v>Not Started</x:v>
      </x:c>
      <x:c r="J1102" s="6" t="str">
        <x:v>Not Started</x:v>
      </x:c>
      <x:c r="K1102" s="6" t="str">
        <x:v>Normal</x:v>
      </x:c>
      <x:c r="L1102" s="6" t="str"/>
      <x:c r="M1102" s="6" t="str"/>
      <x:c r="N1102" s="6" t="str"/>
      <x:c r="O1102" s="7" t="str"/>
      <x:c r="P1102" s="6" t="str">
        <x:v>Yes</x:v>
      </x:c>
      <x:c r="Q1102" s="7" t="str">
        <x:v>Requires stable service identity.</x:v>
      </x:c>
    </x:row>
    <x:row r="1103">
      <x:c r="A1103" s="6" t="str">
        <x:v>SEQ-PRT-0145</x:v>
      </x:c>
      <x:c r="B1103" s="6" t="str">
        <x:v>Part Requirement</x:v>
      </x:c>
      <x:c r="C1103" s="6" t="str">
        <x:v>PRTX-0145</x:v>
      </x:c>
      <x:c r="D1103" s="6" t="str">
        <x:v>SVC000145</x:v>
      </x:c>
      <x:c r="E1103" s="6" t="str"/>
      <x:c r="F1103" s="6" t="str">
        <x:v>Part-requirement review</x:v>
      </x:c>
      <x:c r="G1103" s="6" t="n">
        <x:v>5</x:v>
      </x:c>
      <x:c r="H1103" s="6" t="str">
        <x:v>SIDX-0145</x:v>
      </x:c>
      <x:c r="I1103" s="6" t="str">
        <x:f>IF(H1103="","No upstream dependency",IF(ISNUMBER(SEARCH(";",H1103)),"Multiple dependencies - verify source queues",IFERROR(XLOOKUP(H1103,C2:C1586,J2:J1586),"Dependency not found")))</x:f>
        <x:v>Not Started</x:v>
      </x:c>
      <x:c r="J1103" s="6" t="str">
        <x:v>Not Started</x:v>
      </x:c>
      <x:c r="K1103" s="6" t="str">
        <x:v>Normal</x:v>
      </x:c>
      <x:c r="L1103" s="6" t="str"/>
      <x:c r="M1103" s="6" t="str"/>
      <x:c r="N1103" s="6" t="str"/>
      <x:c r="O1103" s="7" t="str"/>
      <x:c r="P1103" s="6" t="str">
        <x:v>Yes</x:v>
      </x:c>
      <x:c r="Q1103" s="7" t="str">
        <x:v>Requires stable service identity.</x:v>
      </x:c>
    </x:row>
    <x:row r="1104">
      <x:c r="A1104" s="6" t="str">
        <x:v>SEQ-PRT-0146</x:v>
      </x:c>
      <x:c r="B1104" s="6" t="str">
        <x:v>Part Requirement</x:v>
      </x:c>
      <x:c r="C1104" s="6" t="str">
        <x:v>PRTX-0146</x:v>
      </x:c>
      <x:c r="D1104" s="6" t="str">
        <x:v>SVC000146</x:v>
      </x:c>
      <x:c r="E1104" s="6" t="str"/>
      <x:c r="F1104" s="6" t="str">
        <x:v>Part-requirement review</x:v>
      </x:c>
      <x:c r="G1104" s="6" t="n">
        <x:v>5</x:v>
      </x:c>
      <x:c r="H1104" s="6" t="str">
        <x:v>SIDX-0146</x:v>
      </x:c>
      <x:c r="I1104" s="6" t="str">
        <x:f>IF(H1104="","No upstream dependency",IF(ISNUMBER(SEARCH(";",H1104)),"Multiple dependencies - verify source queues",IFERROR(XLOOKUP(H1104,C2:C1586,J2:J1586),"Dependency not found")))</x:f>
        <x:v>Not Started</x:v>
      </x:c>
      <x:c r="J1104" s="6" t="str">
        <x:v>Not Started</x:v>
      </x:c>
      <x:c r="K1104" s="6" t="str">
        <x:v>Normal</x:v>
      </x:c>
      <x:c r="L1104" s="6" t="str"/>
      <x:c r="M1104" s="6" t="str"/>
      <x:c r="N1104" s="6" t="str"/>
      <x:c r="O1104" s="7" t="str"/>
      <x:c r="P1104" s="6" t="str">
        <x:v>Yes</x:v>
      </x:c>
      <x:c r="Q1104" s="7" t="str">
        <x:v>Requires stable service identity.</x:v>
      </x:c>
    </x:row>
    <x:row r="1105">
      <x:c r="A1105" s="6" t="str">
        <x:v>SEQ-PRT-0147</x:v>
      </x:c>
      <x:c r="B1105" s="6" t="str">
        <x:v>Part Requirement</x:v>
      </x:c>
      <x:c r="C1105" s="6" t="str">
        <x:v>PRTX-0147</x:v>
      </x:c>
      <x:c r="D1105" s="6" t="str">
        <x:v>SVC000147</x:v>
      </x:c>
      <x:c r="E1105" s="6" t="str"/>
      <x:c r="F1105" s="6" t="str">
        <x:v>Part-requirement review</x:v>
      </x:c>
      <x:c r="G1105" s="6" t="n">
        <x:v>5</x:v>
      </x:c>
      <x:c r="H1105" s="6" t="str">
        <x:v>SIDX-0147</x:v>
      </x:c>
      <x:c r="I1105" s="6" t="str">
        <x:f>IF(H1105="","No upstream dependency",IF(ISNUMBER(SEARCH(";",H1105)),"Multiple dependencies - verify source queues",IFERROR(XLOOKUP(H1105,C2:C1586,J2:J1586),"Dependency not found")))</x:f>
        <x:v>Not Started</x:v>
      </x:c>
      <x:c r="J1105" s="6" t="str">
        <x:v>Not Started</x:v>
      </x:c>
      <x:c r="K1105" s="6" t="str">
        <x:v>Normal</x:v>
      </x:c>
      <x:c r="L1105" s="6" t="str"/>
      <x:c r="M1105" s="6" t="str"/>
      <x:c r="N1105" s="6" t="str"/>
      <x:c r="O1105" s="7" t="str"/>
      <x:c r="P1105" s="6" t="str">
        <x:v>Yes</x:v>
      </x:c>
      <x:c r="Q1105" s="7" t="str">
        <x:v>Requires stable service identity.</x:v>
      </x:c>
    </x:row>
    <x:row r="1106">
      <x:c r="A1106" s="6" t="str">
        <x:v>SEQ-PRT-0148</x:v>
      </x:c>
      <x:c r="B1106" s="6" t="str">
        <x:v>Part Requirement</x:v>
      </x:c>
      <x:c r="C1106" s="6" t="str">
        <x:v>PRTX-0148</x:v>
      </x:c>
      <x:c r="D1106" s="6" t="str">
        <x:v>SVC000148</x:v>
      </x:c>
      <x:c r="E1106" s="6" t="str"/>
      <x:c r="F1106" s="6" t="str">
        <x:v>Part-requirement review</x:v>
      </x:c>
      <x:c r="G1106" s="6" t="n">
        <x:v>5</x:v>
      </x:c>
      <x:c r="H1106" s="6" t="str">
        <x:v>SIDX-0148</x:v>
      </x:c>
      <x:c r="I1106" s="6" t="str">
        <x:f>IF(H1106="","No upstream dependency",IF(ISNUMBER(SEARCH(";",H1106)),"Multiple dependencies - verify source queues",IFERROR(XLOOKUP(H1106,C2:C1586,J2:J1586),"Dependency not found")))</x:f>
        <x:v>Not Started</x:v>
      </x:c>
      <x:c r="J1106" s="6" t="str">
        <x:v>Not Started</x:v>
      </x:c>
      <x:c r="K1106" s="6" t="str">
        <x:v>Normal</x:v>
      </x:c>
      <x:c r="L1106" s="6" t="str"/>
      <x:c r="M1106" s="6" t="str"/>
      <x:c r="N1106" s="6" t="str"/>
      <x:c r="O1106" s="7" t="str"/>
      <x:c r="P1106" s="6" t="str">
        <x:v>Yes</x:v>
      </x:c>
      <x:c r="Q1106" s="7" t="str">
        <x:v>Requires stable service identity.</x:v>
      </x:c>
    </x:row>
    <x:row r="1107">
      <x:c r="A1107" s="6" t="str">
        <x:v>SEQ-PRT-0149</x:v>
      </x:c>
      <x:c r="B1107" s="6" t="str">
        <x:v>Part Requirement</x:v>
      </x:c>
      <x:c r="C1107" s="6" t="str">
        <x:v>PRTX-0149</x:v>
      </x:c>
      <x:c r="D1107" s="6" t="str">
        <x:v>SVC000149</x:v>
      </x:c>
      <x:c r="E1107" s="6" t="str"/>
      <x:c r="F1107" s="6" t="str">
        <x:v>Part-requirement review</x:v>
      </x:c>
      <x:c r="G1107" s="6" t="n">
        <x:v>5</x:v>
      </x:c>
      <x:c r="H1107" s="6" t="str">
        <x:v>SIDX-0149</x:v>
      </x:c>
      <x:c r="I1107" s="6" t="str">
        <x:f>IF(H1107="","No upstream dependency",IF(ISNUMBER(SEARCH(";",H1107)),"Multiple dependencies - verify source queues",IFERROR(XLOOKUP(H1107,C2:C1586,J2:J1586),"Dependency not found")))</x:f>
        <x:v>Not Started</x:v>
      </x:c>
      <x:c r="J1107" s="6" t="str">
        <x:v>Not Started</x:v>
      </x:c>
      <x:c r="K1107" s="6" t="str">
        <x:v>Normal</x:v>
      </x:c>
      <x:c r="L1107" s="6" t="str"/>
      <x:c r="M1107" s="6" t="str"/>
      <x:c r="N1107" s="6" t="str"/>
      <x:c r="O1107" s="7" t="str"/>
      <x:c r="P1107" s="6" t="str">
        <x:v>Yes</x:v>
      </x:c>
      <x:c r="Q1107" s="7" t="str">
        <x:v>Requires stable service identity.</x:v>
      </x:c>
    </x:row>
    <x:row r="1108">
      <x:c r="A1108" s="6" t="str">
        <x:v>SEQ-PRT-0150</x:v>
      </x:c>
      <x:c r="B1108" s="6" t="str">
        <x:v>Part Requirement</x:v>
      </x:c>
      <x:c r="C1108" s="6" t="str">
        <x:v>PRTX-0150</x:v>
      </x:c>
      <x:c r="D1108" s="6" t="str">
        <x:v>SVC000150</x:v>
      </x:c>
      <x:c r="E1108" s="6" t="str"/>
      <x:c r="F1108" s="6" t="str">
        <x:v>Part-requirement review</x:v>
      </x:c>
      <x:c r="G1108" s="6" t="n">
        <x:v>5</x:v>
      </x:c>
      <x:c r="H1108" s="6" t="str">
        <x:v>SIDX-0150</x:v>
      </x:c>
      <x:c r="I1108" s="6" t="str">
        <x:f>IF(H1108="","No upstream dependency",IF(ISNUMBER(SEARCH(";",H1108)),"Multiple dependencies - verify source queues",IFERROR(XLOOKUP(H1108,C2:C1586,J2:J1586),"Dependency not found")))</x:f>
        <x:v>Not Started</x:v>
      </x:c>
      <x:c r="J1108" s="6" t="str">
        <x:v>Not Started</x:v>
      </x:c>
      <x:c r="K1108" s="6" t="str">
        <x:v>Normal</x:v>
      </x:c>
      <x:c r="L1108" s="6" t="str"/>
      <x:c r="M1108" s="6" t="str"/>
      <x:c r="N1108" s="6" t="str"/>
      <x:c r="O1108" s="7" t="str"/>
      <x:c r="P1108" s="6" t="str">
        <x:v>Yes</x:v>
      </x:c>
      <x:c r="Q1108" s="7" t="str">
        <x:v>Requires stable service identity.</x:v>
      </x:c>
    </x:row>
    <x:row r="1109">
      <x:c r="A1109" s="6" t="str">
        <x:v>SEQ-PRT-0151</x:v>
      </x:c>
      <x:c r="B1109" s="6" t="str">
        <x:v>Part Requirement</x:v>
      </x:c>
      <x:c r="C1109" s="6" t="str">
        <x:v>PRTX-0151</x:v>
      </x:c>
      <x:c r="D1109" s="6" t="str">
        <x:v>SVC000151</x:v>
      </x:c>
      <x:c r="E1109" s="6" t="str"/>
      <x:c r="F1109" s="6" t="str">
        <x:v>Part-requirement review</x:v>
      </x:c>
      <x:c r="G1109" s="6" t="n">
        <x:v>5</x:v>
      </x:c>
      <x:c r="H1109" s="6" t="str">
        <x:v>SIDX-0151</x:v>
      </x:c>
      <x:c r="I1109" s="6" t="str">
        <x:f>IF(H1109="","No upstream dependency",IF(ISNUMBER(SEARCH(";",H1109)),"Multiple dependencies - verify source queues",IFERROR(XLOOKUP(H1109,C2:C1586,J2:J1586),"Dependency not found")))</x:f>
        <x:v>Not Started</x:v>
      </x:c>
      <x:c r="J1109" s="6" t="str">
        <x:v>Not Started</x:v>
      </x:c>
      <x:c r="K1109" s="6" t="str">
        <x:v>Normal</x:v>
      </x:c>
      <x:c r="L1109" s="6" t="str"/>
      <x:c r="M1109" s="6" t="str"/>
      <x:c r="N1109" s="6" t="str"/>
      <x:c r="O1109" s="7" t="str"/>
      <x:c r="P1109" s="6" t="str">
        <x:v>Yes</x:v>
      </x:c>
      <x:c r="Q1109" s="7" t="str">
        <x:v>Requires stable service identity.</x:v>
      </x:c>
    </x:row>
    <x:row r="1110">
      <x:c r="A1110" s="6" t="str">
        <x:v>SEQ-PRT-0152</x:v>
      </x:c>
      <x:c r="B1110" s="6" t="str">
        <x:v>Part Requirement</x:v>
      </x:c>
      <x:c r="C1110" s="6" t="str">
        <x:v>PRTX-0152</x:v>
      </x:c>
      <x:c r="D1110" s="6" t="str">
        <x:v>SVC000152</x:v>
      </x:c>
      <x:c r="E1110" s="6" t="str"/>
      <x:c r="F1110" s="6" t="str">
        <x:v>Part-requirement review</x:v>
      </x:c>
      <x:c r="G1110" s="6" t="n">
        <x:v>5</x:v>
      </x:c>
      <x:c r="H1110" s="6" t="str">
        <x:v>SIDX-0152</x:v>
      </x:c>
      <x:c r="I1110" s="6" t="str">
        <x:f>IF(H1110="","No upstream dependency",IF(ISNUMBER(SEARCH(";",H1110)),"Multiple dependencies - verify source queues",IFERROR(XLOOKUP(H1110,C2:C1586,J2:J1586),"Dependency not found")))</x:f>
        <x:v>Not Started</x:v>
      </x:c>
      <x:c r="J1110" s="6" t="str">
        <x:v>Not Started</x:v>
      </x:c>
      <x:c r="K1110" s="6" t="str">
        <x:v>Normal</x:v>
      </x:c>
      <x:c r="L1110" s="6" t="str"/>
      <x:c r="M1110" s="6" t="str"/>
      <x:c r="N1110" s="6" t="str"/>
      <x:c r="O1110" s="7" t="str"/>
      <x:c r="P1110" s="6" t="str">
        <x:v>Yes</x:v>
      </x:c>
      <x:c r="Q1110" s="7" t="str">
        <x:v>Requires stable service identity.</x:v>
      </x:c>
    </x:row>
    <x:row r="1111">
      <x:c r="A1111" s="6" t="str">
        <x:v>SEQ-PRT-0153</x:v>
      </x:c>
      <x:c r="B1111" s="6" t="str">
        <x:v>Part Requirement</x:v>
      </x:c>
      <x:c r="C1111" s="6" t="str">
        <x:v>PRTX-0153</x:v>
      </x:c>
      <x:c r="D1111" s="6" t="str">
        <x:v>SVC000153</x:v>
      </x:c>
      <x:c r="E1111" s="6" t="str"/>
      <x:c r="F1111" s="6" t="str">
        <x:v>Part-requirement review</x:v>
      </x:c>
      <x:c r="G1111" s="6" t="n">
        <x:v>5</x:v>
      </x:c>
      <x:c r="H1111" s="6" t="str">
        <x:v>SIDX-0153</x:v>
      </x:c>
      <x:c r="I1111" s="6" t="str">
        <x:f>IF(H1111="","No upstream dependency",IF(ISNUMBER(SEARCH(";",H1111)),"Multiple dependencies - verify source queues",IFERROR(XLOOKUP(H1111,C2:C1586,J2:J1586),"Dependency not found")))</x:f>
        <x:v>Not Started</x:v>
      </x:c>
      <x:c r="J1111" s="6" t="str">
        <x:v>Not Started</x:v>
      </x:c>
      <x:c r="K1111" s="6" t="str">
        <x:v>Normal</x:v>
      </x:c>
      <x:c r="L1111" s="6" t="str"/>
      <x:c r="M1111" s="6" t="str"/>
      <x:c r="N1111" s="6" t="str"/>
      <x:c r="O1111" s="7" t="str"/>
      <x:c r="P1111" s="6" t="str">
        <x:v>Yes</x:v>
      </x:c>
      <x:c r="Q1111" s="7" t="str">
        <x:v>Requires stable service identity.</x:v>
      </x:c>
    </x:row>
    <x:row r="1112">
      <x:c r="A1112" s="6" t="str">
        <x:v>SEQ-PRT-0154</x:v>
      </x:c>
      <x:c r="B1112" s="6" t="str">
        <x:v>Part Requirement</x:v>
      </x:c>
      <x:c r="C1112" s="6" t="str">
        <x:v>PRTX-0154</x:v>
      </x:c>
      <x:c r="D1112" s="6" t="str">
        <x:v>SVC000154</x:v>
      </x:c>
      <x:c r="E1112" s="6" t="str"/>
      <x:c r="F1112" s="6" t="str">
        <x:v>Part-requirement review</x:v>
      </x:c>
      <x:c r="G1112" s="6" t="n">
        <x:v>5</x:v>
      </x:c>
      <x:c r="H1112" s="6" t="str">
        <x:v>SIDX-0154</x:v>
      </x:c>
      <x:c r="I1112" s="6" t="str">
        <x:f>IF(H1112="","No upstream dependency",IF(ISNUMBER(SEARCH(";",H1112)),"Multiple dependencies - verify source queues",IFERROR(XLOOKUP(H1112,C2:C1586,J2:J1586),"Dependency not found")))</x:f>
        <x:v>Not Started</x:v>
      </x:c>
      <x:c r="J1112" s="6" t="str">
        <x:v>Not Started</x:v>
      </x:c>
      <x:c r="K1112" s="6" t="str">
        <x:v>Normal</x:v>
      </x:c>
      <x:c r="L1112" s="6" t="str"/>
      <x:c r="M1112" s="6" t="str"/>
      <x:c r="N1112" s="6" t="str"/>
      <x:c r="O1112" s="7" t="str"/>
      <x:c r="P1112" s="6" t="str">
        <x:v>Yes</x:v>
      </x:c>
      <x:c r="Q1112" s="7" t="str">
        <x:v>Requires stable service identity.</x:v>
      </x:c>
    </x:row>
    <x:row r="1113">
      <x:c r="A1113" s="6" t="str">
        <x:v>SEQ-PRT-0155</x:v>
      </x:c>
      <x:c r="B1113" s="6" t="str">
        <x:v>Part Requirement</x:v>
      </x:c>
      <x:c r="C1113" s="6" t="str">
        <x:v>PRTX-0155</x:v>
      </x:c>
      <x:c r="D1113" s="6" t="str">
        <x:v>SVC000155</x:v>
      </x:c>
      <x:c r="E1113" s="6" t="str"/>
      <x:c r="F1113" s="6" t="str">
        <x:v>Part-requirement review</x:v>
      </x:c>
      <x:c r="G1113" s="6" t="n">
        <x:v>5</x:v>
      </x:c>
      <x:c r="H1113" s="6" t="str">
        <x:v>SIDX-0155</x:v>
      </x:c>
      <x:c r="I1113" s="6" t="str">
        <x:f>IF(H1113="","No upstream dependency",IF(ISNUMBER(SEARCH(";",H1113)),"Multiple dependencies - verify source queues",IFERROR(XLOOKUP(H1113,C2:C1586,J2:J1586),"Dependency not found")))</x:f>
        <x:v>Not Started</x:v>
      </x:c>
      <x:c r="J1113" s="6" t="str">
        <x:v>Not Started</x:v>
      </x:c>
      <x:c r="K1113" s="6" t="str">
        <x:v>Normal</x:v>
      </x:c>
      <x:c r="L1113" s="6" t="str"/>
      <x:c r="M1113" s="6" t="str"/>
      <x:c r="N1113" s="6" t="str"/>
      <x:c r="O1113" s="7" t="str"/>
      <x:c r="P1113" s="6" t="str">
        <x:v>Yes</x:v>
      </x:c>
      <x:c r="Q1113" s="7" t="str">
        <x:v>Requires stable service identity.</x:v>
      </x:c>
    </x:row>
    <x:row r="1114">
      <x:c r="A1114" s="6" t="str">
        <x:v>SEQ-PRT-0156</x:v>
      </x:c>
      <x:c r="B1114" s="6" t="str">
        <x:v>Part Requirement</x:v>
      </x:c>
      <x:c r="C1114" s="6" t="str">
        <x:v>PRTX-0156</x:v>
      </x:c>
      <x:c r="D1114" s="6" t="str">
        <x:v>SVC000156</x:v>
      </x:c>
      <x:c r="E1114" s="6" t="str"/>
      <x:c r="F1114" s="6" t="str">
        <x:v>Part-requirement review</x:v>
      </x:c>
      <x:c r="G1114" s="6" t="n">
        <x:v>5</x:v>
      </x:c>
      <x:c r="H1114" s="6" t="str">
        <x:v>SIDX-0156</x:v>
      </x:c>
      <x:c r="I1114" s="6" t="str">
        <x:f>IF(H1114="","No upstream dependency",IF(ISNUMBER(SEARCH(";",H1114)),"Multiple dependencies - verify source queues",IFERROR(XLOOKUP(H1114,C2:C1586,J2:J1586),"Dependency not found")))</x:f>
        <x:v>Not Started</x:v>
      </x:c>
      <x:c r="J1114" s="6" t="str">
        <x:v>Not Started</x:v>
      </x:c>
      <x:c r="K1114" s="6" t="str">
        <x:v>Normal</x:v>
      </x:c>
      <x:c r="L1114" s="6" t="str"/>
      <x:c r="M1114" s="6" t="str"/>
      <x:c r="N1114" s="6" t="str"/>
      <x:c r="O1114" s="7" t="str"/>
      <x:c r="P1114" s="6" t="str">
        <x:v>Yes</x:v>
      </x:c>
      <x:c r="Q1114" s="7" t="str">
        <x:v>Requires stable service identity.</x:v>
      </x:c>
    </x:row>
    <x:row r="1115">
      <x:c r="A1115" s="6" t="str">
        <x:v>SEQ-PRT-0157</x:v>
      </x:c>
      <x:c r="B1115" s="6" t="str">
        <x:v>Part Requirement</x:v>
      </x:c>
      <x:c r="C1115" s="6" t="str">
        <x:v>PRTX-0157</x:v>
      </x:c>
      <x:c r="D1115" s="6" t="str">
        <x:v>SVC000157</x:v>
      </x:c>
      <x:c r="E1115" s="6" t="str"/>
      <x:c r="F1115" s="6" t="str">
        <x:v>Part-requirement review</x:v>
      </x:c>
      <x:c r="G1115" s="6" t="n">
        <x:v>5</x:v>
      </x:c>
      <x:c r="H1115" s="6" t="str">
        <x:v>SIDX-0157</x:v>
      </x:c>
      <x:c r="I1115" s="6" t="str">
        <x:f>IF(H1115="","No upstream dependency",IF(ISNUMBER(SEARCH(";",H1115)),"Multiple dependencies - verify source queues",IFERROR(XLOOKUP(H1115,C2:C1586,J2:J1586),"Dependency not found")))</x:f>
        <x:v>Not Started</x:v>
      </x:c>
      <x:c r="J1115" s="6" t="str">
        <x:v>Not Started</x:v>
      </x:c>
      <x:c r="K1115" s="6" t="str">
        <x:v>Normal</x:v>
      </x:c>
      <x:c r="L1115" s="6" t="str"/>
      <x:c r="M1115" s="6" t="str"/>
      <x:c r="N1115" s="6" t="str"/>
      <x:c r="O1115" s="7" t="str"/>
      <x:c r="P1115" s="6" t="str">
        <x:v>Yes</x:v>
      </x:c>
      <x:c r="Q1115" s="7" t="str">
        <x:v>Requires stable service identity.</x:v>
      </x:c>
    </x:row>
    <x:row r="1116">
      <x:c r="A1116" s="6" t="str">
        <x:v>SEQ-PRT-0158</x:v>
      </x:c>
      <x:c r="B1116" s="6" t="str">
        <x:v>Part Requirement</x:v>
      </x:c>
      <x:c r="C1116" s="6" t="str">
        <x:v>PRTX-0158</x:v>
      </x:c>
      <x:c r="D1116" s="6" t="str">
        <x:v>SVC000158</x:v>
      </x:c>
      <x:c r="E1116" s="6" t="str"/>
      <x:c r="F1116" s="6" t="str">
        <x:v>Part-requirement review</x:v>
      </x:c>
      <x:c r="G1116" s="6" t="n">
        <x:v>5</x:v>
      </x:c>
      <x:c r="H1116" s="6" t="str">
        <x:v>SIDX-0158</x:v>
      </x:c>
      <x:c r="I1116" s="6" t="str">
        <x:f>IF(H1116="","No upstream dependency",IF(ISNUMBER(SEARCH(";",H1116)),"Multiple dependencies - verify source queues",IFERROR(XLOOKUP(H1116,C2:C1586,J2:J1586),"Dependency not found")))</x:f>
        <x:v>Not Started</x:v>
      </x:c>
      <x:c r="J1116" s="6" t="str">
        <x:v>Not Started</x:v>
      </x:c>
      <x:c r="K1116" s="6" t="str">
        <x:v>Normal</x:v>
      </x:c>
      <x:c r="L1116" s="6" t="str"/>
      <x:c r="M1116" s="6" t="str"/>
      <x:c r="N1116" s="6" t="str"/>
      <x:c r="O1116" s="7" t="str"/>
      <x:c r="P1116" s="6" t="str">
        <x:v>Yes</x:v>
      </x:c>
      <x:c r="Q1116" s="7" t="str">
        <x:v>Requires stable service identity.</x:v>
      </x:c>
    </x:row>
    <x:row r="1117">
      <x:c r="A1117" s="6" t="str">
        <x:v>SEQ-PRT-0159</x:v>
      </x:c>
      <x:c r="B1117" s="6" t="str">
        <x:v>Part Requirement</x:v>
      </x:c>
      <x:c r="C1117" s="6" t="str">
        <x:v>PRTX-0159</x:v>
      </x:c>
      <x:c r="D1117" s="6" t="str">
        <x:v>SVC000159</x:v>
      </x:c>
      <x:c r="E1117" s="6" t="str"/>
      <x:c r="F1117" s="6" t="str">
        <x:v>Part-requirement review</x:v>
      </x:c>
      <x:c r="G1117" s="6" t="n">
        <x:v>5</x:v>
      </x:c>
      <x:c r="H1117" s="6" t="str">
        <x:v>SIDX-0159</x:v>
      </x:c>
      <x:c r="I1117" s="6" t="str">
        <x:f>IF(H1117="","No upstream dependency",IF(ISNUMBER(SEARCH(";",H1117)),"Multiple dependencies - verify source queues",IFERROR(XLOOKUP(H1117,C2:C1586,J2:J1586),"Dependency not found")))</x:f>
        <x:v>Not Started</x:v>
      </x:c>
      <x:c r="J1117" s="6" t="str">
        <x:v>Not Started</x:v>
      </x:c>
      <x:c r="K1117" s="6" t="str">
        <x:v>Normal</x:v>
      </x:c>
      <x:c r="L1117" s="6" t="str"/>
      <x:c r="M1117" s="6" t="str"/>
      <x:c r="N1117" s="6" t="str"/>
      <x:c r="O1117" s="7" t="str"/>
      <x:c r="P1117" s="6" t="str">
        <x:v>Yes</x:v>
      </x:c>
      <x:c r="Q1117" s="7" t="str">
        <x:v>Requires stable service identity.</x:v>
      </x:c>
    </x:row>
    <x:row r="1118">
      <x:c r="A1118" s="6" t="str">
        <x:v>SEQ-PRT-0160</x:v>
      </x:c>
      <x:c r="B1118" s="6" t="str">
        <x:v>Part Requirement</x:v>
      </x:c>
      <x:c r="C1118" s="6" t="str">
        <x:v>PRTX-0160</x:v>
      </x:c>
      <x:c r="D1118" s="6" t="str">
        <x:v>SVC000160</x:v>
      </x:c>
      <x:c r="E1118" s="6" t="str"/>
      <x:c r="F1118" s="6" t="str">
        <x:v>Part-requirement review</x:v>
      </x:c>
      <x:c r="G1118" s="6" t="n">
        <x:v>5</x:v>
      </x:c>
      <x:c r="H1118" s="6" t="str">
        <x:v>SIDX-0160</x:v>
      </x:c>
      <x:c r="I1118" s="6" t="str">
        <x:f>IF(H1118="","No upstream dependency",IF(ISNUMBER(SEARCH(";",H1118)),"Multiple dependencies - verify source queues",IFERROR(XLOOKUP(H1118,C2:C1586,J2:J1586),"Dependency not found")))</x:f>
        <x:v>Not Started</x:v>
      </x:c>
      <x:c r="J1118" s="6" t="str">
        <x:v>Not Started</x:v>
      </x:c>
      <x:c r="K1118" s="6" t="str">
        <x:v>Normal</x:v>
      </x:c>
      <x:c r="L1118" s="6" t="str"/>
      <x:c r="M1118" s="6" t="str"/>
      <x:c r="N1118" s="6" t="str"/>
      <x:c r="O1118" s="7" t="str"/>
      <x:c r="P1118" s="6" t="str">
        <x:v>Yes</x:v>
      </x:c>
      <x:c r="Q1118" s="7" t="str">
        <x:v>Requires stable service identity.</x:v>
      </x:c>
    </x:row>
    <x:row r="1119">
      <x:c r="A1119" s="6" t="str">
        <x:v>SEQ-PRT-0161</x:v>
      </x:c>
      <x:c r="B1119" s="6" t="str">
        <x:v>Part Requirement</x:v>
      </x:c>
      <x:c r="C1119" s="6" t="str">
        <x:v>PRTX-0161</x:v>
      </x:c>
      <x:c r="D1119" s="6" t="str">
        <x:v>SVC000161</x:v>
      </x:c>
      <x:c r="E1119" s="6" t="str"/>
      <x:c r="F1119" s="6" t="str">
        <x:v>Part-requirement review</x:v>
      </x:c>
      <x:c r="G1119" s="6" t="n">
        <x:v>5</x:v>
      </x:c>
      <x:c r="H1119" s="6" t="str">
        <x:v>SIDX-0161</x:v>
      </x:c>
      <x:c r="I1119" s="6" t="str">
        <x:f>IF(H1119="","No upstream dependency",IF(ISNUMBER(SEARCH(";",H1119)),"Multiple dependencies - verify source queues",IFERROR(XLOOKUP(H1119,C2:C1586,J2:J1586),"Dependency not found")))</x:f>
        <x:v>Not Started</x:v>
      </x:c>
      <x:c r="J1119" s="6" t="str">
        <x:v>Not Started</x:v>
      </x:c>
      <x:c r="K1119" s="6" t="str">
        <x:v>Normal</x:v>
      </x:c>
      <x:c r="L1119" s="6" t="str"/>
      <x:c r="M1119" s="6" t="str"/>
      <x:c r="N1119" s="6" t="str"/>
      <x:c r="O1119" s="7" t="str"/>
      <x:c r="P1119" s="6" t="str">
        <x:v>Yes</x:v>
      </x:c>
      <x:c r="Q1119" s="7" t="str">
        <x:v>Requires stable service identity.</x:v>
      </x:c>
    </x:row>
    <x:row r="1120">
      <x:c r="A1120" s="6" t="str">
        <x:v>SEQ-PRT-0162</x:v>
      </x:c>
      <x:c r="B1120" s="6" t="str">
        <x:v>Part Requirement</x:v>
      </x:c>
      <x:c r="C1120" s="6" t="str">
        <x:v>PRTX-0162</x:v>
      </x:c>
      <x:c r="D1120" s="6" t="str">
        <x:v>SVC000162</x:v>
      </x:c>
      <x:c r="E1120" s="6" t="str"/>
      <x:c r="F1120" s="6" t="str">
        <x:v>Part-requirement review</x:v>
      </x:c>
      <x:c r="G1120" s="6" t="n">
        <x:v>5</x:v>
      </x:c>
      <x:c r="H1120" s="6" t="str">
        <x:v>SIDX-0162</x:v>
      </x:c>
      <x:c r="I1120" s="6" t="str">
        <x:f>IF(H1120="","No upstream dependency",IF(ISNUMBER(SEARCH(";",H1120)),"Multiple dependencies - verify source queues",IFERROR(XLOOKUP(H1120,C2:C1586,J2:J1586),"Dependency not found")))</x:f>
        <x:v>Not Started</x:v>
      </x:c>
      <x:c r="J1120" s="6" t="str">
        <x:v>Not Started</x:v>
      </x:c>
      <x:c r="K1120" s="6" t="str">
        <x:v>Normal</x:v>
      </x:c>
      <x:c r="L1120" s="6" t="str"/>
      <x:c r="M1120" s="6" t="str"/>
      <x:c r="N1120" s="6" t="str"/>
      <x:c r="O1120" s="7" t="str"/>
      <x:c r="P1120" s="6" t="str">
        <x:v>Yes</x:v>
      </x:c>
      <x:c r="Q1120" s="7" t="str">
        <x:v>Requires stable service identity.</x:v>
      </x:c>
    </x:row>
    <x:row r="1121">
      <x:c r="A1121" s="6" t="str">
        <x:v>SEQ-PRT-0163</x:v>
      </x:c>
      <x:c r="B1121" s="6" t="str">
        <x:v>Part Requirement</x:v>
      </x:c>
      <x:c r="C1121" s="6" t="str">
        <x:v>PRTX-0163</x:v>
      </x:c>
      <x:c r="D1121" s="6" t="str">
        <x:v>SVC000163</x:v>
      </x:c>
      <x:c r="E1121" s="6" t="str"/>
      <x:c r="F1121" s="6" t="str">
        <x:v>Part-requirement review</x:v>
      </x:c>
      <x:c r="G1121" s="6" t="n">
        <x:v>5</x:v>
      </x:c>
      <x:c r="H1121" s="6" t="str">
        <x:v>SIDX-0163</x:v>
      </x:c>
      <x:c r="I1121" s="6" t="str">
        <x:f>IF(H1121="","No upstream dependency",IF(ISNUMBER(SEARCH(";",H1121)),"Multiple dependencies - verify source queues",IFERROR(XLOOKUP(H1121,C2:C1586,J2:J1586),"Dependency not found")))</x:f>
        <x:v>Not Started</x:v>
      </x:c>
      <x:c r="J1121" s="6" t="str">
        <x:v>Not Started</x:v>
      </x:c>
      <x:c r="K1121" s="6" t="str">
        <x:v>Normal</x:v>
      </x:c>
      <x:c r="L1121" s="6" t="str"/>
      <x:c r="M1121" s="6" t="str"/>
      <x:c r="N1121" s="6" t="str"/>
      <x:c r="O1121" s="7" t="str"/>
      <x:c r="P1121" s="6" t="str">
        <x:v>Yes</x:v>
      </x:c>
      <x:c r="Q1121" s="7" t="str">
        <x:v>Requires stable service identity.</x:v>
      </x:c>
    </x:row>
    <x:row r="1122">
      <x:c r="A1122" s="6" t="str">
        <x:v>SEQ-PRT-0164</x:v>
      </x:c>
      <x:c r="B1122" s="6" t="str">
        <x:v>Part Requirement</x:v>
      </x:c>
      <x:c r="C1122" s="6" t="str">
        <x:v>PRTX-0164</x:v>
      </x:c>
      <x:c r="D1122" s="6" t="str">
        <x:v>SVC000164</x:v>
      </x:c>
      <x:c r="E1122" s="6" t="str"/>
      <x:c r="F1122" s="6" t="str">
        <x:v>Part-requirement review</x:v>
      </x:c>
      <x:c r="G1122" s="6" t="n">
        <x:v>5</x:v>
      </x:c>
      <x:c r="H1122" s="6" t="str">
        <x:v>SIDX-0164</x:v>
      </x:c>
      <x:c r="I1122" s="6" t="str">
        <x:f>IF(H1122="","No upstream dependency",IF(ISNUMBER(SEARCH(";",H1122)),"Multiple dependencies - verify source queues",IFERROR(XLOOKUP(H1122,C2:C1586,J2:J1586),"Dependency not found")))</x:f>
        <x:v>Not Started</x:v>
      </x:c>
      <x:c r="J1122" s="6" t="str">
        <x:v>Not Started</x:v>
      </x:c>
      <x:c r="K1122" s="6" t="str">
        <x:v>Normal</x:v>
      </x:c>
      <x:c r="L1122" s="6" t="str"/>
      <x:c r="M1122" s="6" t="str"/>
      <x:c r="N1122" s="6" t="str"/>
      <x:c r="O1122" s="7" t="str"/>
      <x:c r="P1122" s="6" t="str">
        <x:v>Yes</x:v>
      </x:c>
      <x:c r="Q1122" s="7" t="str">
        <x:v>Requires stable service identity.</x:v>
      </x:c>
    </x:row>
    <x:row r="1123">
      <x:c r="A1123" s="6" t="str">
        <x:v>SEQ-PRT-0165</x:v>
      </x:c>
      <x:c r="B1123" s="6" t="str">
        <x:v>Part Requirement</x:v>
      </x:c>
      <x:c r="C1123" s="6" t="str">
        <x:v>PRTX-0165</x:v>
      </x:c>
      <x:c r="D1123" s="6" t="str">
        <x:v>SVC000165</x:v>
      </x:c>
      <x:c r="E1123" s="6" t="str"/>
      <x:c r="F1123" s="6" t="str">
        <x:v>Part-requirement review</x:v>
      </x:c>
      <x:c r="G1123" s="6" t="n">
        <x:v>5</x:v>
      </x:c>
      <x:c r="H1123" s="6" t="str">
        <x:v>SIDX-0165</x:v>
      </x:c>
      <x:c r="I1123" s="6" t="str">
        <x:f>IF(H1123="","No upstream dependency",IF(ISNUMBER(SEARCH(";",H1123)),"Multiple dependencies - verify source queues",IFERROR(XLOOKUP(H1123,C2:C1586,J2:J1586),"Dependency not found")))</x:f>
        <x:v>Not Started</x:v>
      </x:c>
      <x:c r="J1123" s="6" t="str">
        <x:v>Not Started</x:v>
      </x:c>
      <x:c r="K1123" s="6" t="str">
        <x:v>Normal</x:v>
      </x:c>
      <x:c r="L1123" s="6" t="str"/>
      <x:c r="M1123" s="6" t="str"/>
      <x:c r="N1123" s="6" t="str"/>
      <x:c r="O1123" s="7" t="str"/>
      <x:c r="P1123" s="6" t="str">
        <x:v>Yes</x:v>
      </x:c>
      <x:c r="Q1123" s="7" t="str">
        <x:v>Requires stable service identity.</x:v>
      </x:c>
    </x:row>
    <x:row r="1124">
      <x:c r="A1124" s="6" t="str">
        <x:v>SEQ-PRT-0166</x:v>
      </x:c>
      <x:c r="B1124" s="6" t="str">
        <x:v>Part Requirement</x:v>
      </x:c>
      <x:c r="C1124" s="6" t="str">
        <x:v>PRTX-0166</x:v>
      </x:c>
      <x:c r="D1124" s="6" t="str">
        <x:v>SVC000166</x:v>
      </x:c>
      <x:c r="E1124" s="6" t="str"/>
      <x:c r="F1124" s="6" t="str">
        <x:v>Part-requirement review</x:v>
      </x:c>
      <x:c r="G1124" s="6" t="n">
        <x:v>5</x:v>
      </x:c>
      <x:c r="H1124" s="6" t="str">
        <x:v>SIDX-0166</x:v>
      </x:c>
      <x:c r="I1124" s="6" t="str">
        <x:f>IF(H1124="","No upstream dependency",IF(ISNUMBER(SEARCH(";",H1124)),"Multiple dependencies - verify source queues",IFERROR(XLOOKUP(H1124,C2:C1586,J2:J1586),"Dependency not found")))</x:f>
        <x:v>Not Started</x:v>
      </x:c>
      <x:c r="J1124" s="6" t="str">
        <x:v>Not Started</x:v>
      </x:c>
      <x:c r="K1124" s="6" t="str">
        <x:v>Normal</x:v>
      </x:c>
      <x:c r="L1124" s="6" t="str"/>
      <x:c r="M1124" s="6" t="str"/>
      <x:c r="N1124" s="6" t="str"/>
      <x:c r="O1124" s="7" t="str"/>
      <x:c r="P1124" s="6" t="str">
        <x:v>Yes</x:v>
      </x:c>
      <x:c r="Q1124" s="7" t="str">
        <x:v>Requires stable service identity.</x:v>
      </x:c>
    </x:row>
    <x:row r="1125">
      <x:c r="A1125" s="6" t="str">
        <x:v>SEQ-PRT-0167</x:v>
      </x:c>
      <x:c r="B1125" s="6" t="str">
        <x:v>Part Requirement</x:v>
      </x:c>
      <x:c r="C1125" s="6" t="str">
        <x:v>PRTX-0167</x:v>
      </x:c>
      <x:c r="D1125" s="6" t="str">
        <x:v>SVC000167</x:v>
      </x:c>
      <x:c r="E1125" s="6" t="str"/>
      <x:c r="F1125" s="6" t="str">
        <x:v>Part-requirement review</x:v>
      </x:c>
      <x:c r="G1125" s="6" t="n">
        <x:v>5</x:v>
      </x:c>
      <x:c r="H1125" s="6" t="str">
        <x:v>SIDX-0167</x:v>
      </x:c>
      <x:c r="I1125" s="6" t="str">
        <x:f>IF(H1125="","No upstream dependency",IF(ISNUMBER(SEARCH(";",H1125)),"Multiple dependencies - verify source queues",IFERROR(XLOOKUP(H1125,C2:C1586,J2:J1586),"Dependency not found")))</x:f>
        <x:v>Not Started</x:v>
      </x:c>
      <x:c r="J1125" s="6" t="str">
        <x:v>Not Started</x:v>
      </x:c>
      <x:c r="K1125" s="6" t="str">
        <x:v>Normal</x:v>
      </x:c>
      <x:c r="L1125" s="6" t="str"/>
      <x:c r="M1125" s="6" t="str"/>
      <x:c r="N1125" s="6" t="str"/>
      <x:c r="O1125" s="7" t="str"/>
      <x:c r="P1125" s="6" t="str">
        <x:v>Yes</x:v>
      </x:c>
      <x:c r="Q1125" s="7" t="str">
        <x:v>Requires stable service identity.</x:v>
      </x:c>
    </x:row>
    <x:row r="1126">
      <x:c r="A1126" s="6" t="str">
        <x:v>SEQ-PRT-0168</x:v>
      </x:c>
      <x:c r="B1126" s="6" t="str">
        <x:v>Part Requirement</x:v>
      </x:c>
      <x:c r="C1126" s="6" t="str">
        <x:v>PRTX-0168</x:v>
      </x:c>
      <x:c r="D1126" s="6" t="str">
        <x:v>SVC000168</x:v>
      </x:c>
      <x:c r="E1126" s="6" t="str"/>
      <x:c r="F1126" s="6" t="str">
        <x:v>Part-requirement review</x:v>
      </x:c>
      <x:c r="G1126" s="6" t="n">
        <x:v>5</x:v>
      </x:c>
      <x:c r="H1126" s="6" t="str">
        <x:v>SIDX-0168</x:v>
      </x:c>
      <x:c r="I1126" s="6" t="str">
        <x:f>IF(H1126="","No upstream dependency",IF(ISNUMBER(SEARCH(";",H1126)),"Multiple dependencies - verify source queues",IFERROR(XLOOKUP(H1126,C2:C1586,J2:J1586),"Dependency not found")))</x:f>
        <x:v>Not Started</x:v>
      </x:c>
      <x:c r="J1126" s="6" t="str">
        <x:v>Not Started</x:v>
      </x:c>
      <x:c r="K1126" s="6" t="str">
        <x:v>Normal</x:v>
      </x:c>
      <x:c r="L1126" s="6" t="str"/>
      <x:c r="M1126" s="6" t="str"/>
      <x:c r="N1126" s="6" t="str"/>
      <x:c r="O1126" s="7" t="str"/>
      <x:c r="P1126" s="6" t="str">
        <x:v>Yes</x:v>
      </x:c>
      <x:c r="Q1126" s="7" t="str">
        <x:v>Requires stable service identity.</x:v>
      </x:c>
    </x:row>
    <x:row r="1127">
      <x:c r="A1127" s="6" t="str">
        <x:v>SEQ-PRT-0169</x:v>
      </x:c>
      <x:c r="B1127" s="6" t="str">
        <x:v>Part Requirement</x:v>
      </x:c>
      <x:c r="C1127" s="6" t="str">
        <x:v>PRTX-0169</x:v>
      </x:c>
      <x:c r="D1127" s="6" t="str">
        <x:v>SVC000169</x:v>
      </x:c>
      <x:c r="E1127" s="6" t="str"/>
      <x:c r="F1127" s="6" t="str">
        <x:v>Part-requirement review</x:v>
      </x:c>
      <x:c r="G1127" s="6" t="n">
        <x:v>5</x:v>
      </x:c>
      <x:c r="H1127" s="6" t="str">
        <x:v>SIDX-0169</x:v>
      </x:c>
      <x:c r="I1127" s="6" t="str">
        <x:f>IF(H1127="","No upstream dependency",IF(ISNUMBER(SEARCH(";",H1127)),"Multiple dependencies - verify source queues",IFERROR(XLOOKUP(H1127,C2:C1586,J2:J1586),"Dependency not found")))</x:f>
        <x:v>Not Started</x:v>
      </x:c>
      <x:c r="J1127" s="6" t="str">
        <x:v>Not Started</x:v>
      </x:c>
      <x:c r="K1127" s="6" t="str">
        <x:v>Normal</x:v>
      </x:c>
      <x:c r="L1127" s="6" t="str"/>
      <x:c r="M1127" s="6" t="str"/>
      <x:c r="N1127" s="6" t="str"/>
      <x:c r="O1127" s="7" t="str"/>
      <x:c r="P1127" s="6" t="str">
        <x:v>Yes</x:v>
      </x:c>
      <x:c r="Q1127" s="7" t="str">
        <x:v>Requires stable service identity.</x:v>
      </x:c>
    </x:row>
    <x:row r="1128">
      <x:c r="A1128" s="6" t="str">
        <x:v>SEQ-PRT-0170</x:v>
      </x:c>
      <x:c r="B1128" s="6" t="str">
        <x:v>Part Requirement</x:v>
      </x:c>
      <x:c r="C1128" s="6" t="str">
        <x:v>PRTX-0170</x:v>
      </x:c>
      <x:c r="D1128" s="6" t="str">
        <x:v>SVC000170</x:v>
      </x:c>
      <x:c r="E1128" s="6" t="str"/>
      <x:c r="F1128" s="6" t="str">
        <x:v>Part-requirement review</x:v>
      </x:c>
      <x:c r="G1128" s="6" t="n">
        <x:v>5</x:v>
      </x:c>
      <x:c r="H1128" s="6" t="str">
        <x:v>SIDX-0170</x:v>
      </x:c>
      <x:c r="I1128" s="6" t="str">
        <x:f>IF(H1128="","No upstream dependency",IF(ISNUMBER(SEARCH(";",H1128)),"Multiple dependencies - verify source queues",IFERROR(XLOOKUP(H1128,C2:C1586,J2:J1586),"Dependency not found")))</x:f>
        <x:v>Not Started</x:v>
      </x:c>
      <x:c r="J1128" s="6" t="str">
        <x:v>Not Started</x:v>
      </x:c>
      <x:c r="K1128" s="6" t="str">
        <x:v>Normal</x:v>
      </x:c>
      <x:c r="L1128" s="6" t="str"/>
      <x:c r="M1128" s="6" t="str"/>
      <x:c r="N1128" s="6" t="str"/>
      <x:c r="O1128" s="7" t="str"/>
      <x:c r="P1128" s="6" t="str">
        <x:v>Yes</x:v>
      </x:c>
      <x:c r="Q1128" s="7" t="str">
        <x:v>Requires stable service identity.</x:v>
      </x:c>
    </x:row>
    <x:row r="1129">
      <x:c r="A1129" s="6" t="str">
        <x:v>SEQ-PRT-0171</x:v>
      </x:c>
      <x:c r="B1129" s="6" t="str">
        <x:v>Part Requirement</x:v>
      </x:c>
      <x:c r="C1129" s="6" t="str">
        <x:v>PRTX-0171</x:v>
      </x:c>
      <x:c r="D1129" s="6" t="str">
        <x:v>SVC000171</x:v>
      </x:c>
      <x:c r="E1129" s="6" t="str"/>
      <x:c r="F1129" s="6" t="str">
        <x:v>Part-requirement review</x:v>
      </x:c>
      <x:c r="G1129" s="6" t="n">
        <x:v>5</x:v>
      </x:c>
      <x:c r="H1129" s="6" t="str">
        <x:v>SIDX-0171</x:v>
      </x:c>
      <x:c r="I1129" s="6" t="str">
        <x:f>IF(H1129="","No upstream dependency",IF(ISNUMBER(SEARCH(";",H1129)),"Multiple dependencies - verify source queues",IFERROR(XLOOKUP(H1129,C2:C1586,J2:J1586),"Dependency not found")))</x:f>
        <x:v>Not Started</x:v>
      </x:c>
      <x:c r="J1129" s="6" t="str">
        <x:v>Not Started</x:v>
      </x:c>
      <x:c r="K1129" s="6" t="str">
        <x:v>Normal</x:v>
      </x:c>
      <x:c r="L1129" s="6" t="str"/>
      <x:c r="M1129" s="6" t="str"/>
      <x:c r="N1129" s="6" t="str"/>
      <x:c r="O1129" s="7" t="str"/>
      <x:c r="P1129" s="6" t="str">
        <x:v>Yes</x:v>
      </x:c>
      <x:c r="Q1129" s="7" t="str">
        <x:v>Requires stable service identity.</x:v>
      </x:c>
    </x:row>
    <x:row r="1130">
      <x:c r="A1130" s="6" t="str">
        <x:v>SEQ-PRT-0172</x:v>
      </x:c>
      <x:c r="B1130" s="6" t="str">
        <x:v>Part Requirement</x:v>
      </x:c>
      <x:c r="C1130" s="6" t="str">
        <x:v>PRTX-0172</x:v>
      </x:c>
      <x:c r="D1130" s="6" t="str">
        <x:v>SVC000172</x:v>
      </x:c>
      <x:c r="E1130" s="6" t="str"/>
      <x:c r="F1130" s="6" t="str">
        <x:v>Part-requirement review</x:v>
      </x:c>
      <x:c r="G1130" s="6" t="n">
        <x:v>5</x:v>
      </x:c>
      <x:c r="H1130" s="6" t="str">
        <x:v>SIDX-0172</x:v>
      </x:c>
      <x:c r="I1130" s="6" t="str">
        <x:f>IF(H1130="","No upstream dependency",IF(ISNUMBER(SEARCH(";",H1130)),"Multiple dependencies - verify source queues",IFERROR(XLOOKUP(H1130,C2:C1586,J2:J1586),"Dependency not found")))</x:f>
        <x:v>Not Started</x:v>
      </x:c>
      <x:c r="J1130" s="6" t="str">
        <x:v>Not Started</x:v>
      </x:c>
      <x:c r="K1130" s="6" t="str">
        <x:v>Normal</x:v>
      </x:c>
      <x:c r="L1130" s="6" t="str"/>
      <x:c r="M1130" s="6" t="str"/>
      <x:c r="N1130" s="6" t="str"/>
      <x:c r="O1130" s="7" t="str"/>
      <x:c r="P1130" s="6" t="str">
        <x:v>Yes</x:v>
      </x:c>
      <x:c r="Q1130" s="7" t="str">
        <x:v>Requires stable service identity.</x:v>
      </x:c>
    </x:row>
    <x:row r="1131">
      <x:c r="A1131" s="6" t="str">
        <x:v>SEQ-PRT-0173</x:v>
      </x:c>
      <x:c r="B1131" s="6" t="str">
        <x:v>Part Requirement</x:v>
      </x:c>
      <x:c r="C1131" s="6" t="str">
        <x:v>PRTX-0173</x:v>
      </x:c>
      <x:c r="D1131" s="6" t="str">
        <x:v>SVC000173</x:v>
      </x:c>
      <x:c r="E1131" s="6" t="str"/>
      <x:c r="F1131" s="6" t="str">
        <x:v>Part-requirement review</x:v>
      </x:c>
      <x:c r="G1131" s="6" t="n">
        <x:v>5</x:v>
      </x:c>
      <x:c r="H1131" s="6" t="str">
        <x:v>SIDX-0173</x:v>
      </x:c>
      <x:c r="I1131" s="6" t="str">
        <x:f>IF(H1131="","No upstream dependency",IF(ISNUMBER(SEARCH(";",H1131)),"Multiple dependencies - verify source queues",IFERROR(XLOOKUP(H1131,C2:C1586,J2:J1586),"Dependency not found")))</x:f>
        <x:v>Not Started</x:v>
      </x:c>
      <x:c r="J1131" s="6" t="str">
        <x:v>Not Started</x:v>
      </x:c>
      <x:c r="K1131" s="6" t="str">
        <x:v>Normal</x:v>
      </x:c>
      <x:c r="L1131" s="6" t="str"/>
      <x:c r="M1131" s="6" t="str"/>
      <x:c r="N1131" s="6" t="str"/>
      <x:c r="O1131" s="7" t="str"/>
      <x:c r="P1131" s="6" t="str">
        <x:v>Yes</x:v>
      </x:c>
      <x:c r="Q1131" s="7" t="str">
        <x:v>Requires stable service identity.</x:v>
      </x:c>
    </x:row>
    <x:row r="1132">
      <x:c r="A1132" s="6" t="str">
        <x:v>SEQ-PRT-0174</x:v>
      </x:c>
      <x:c r="B1132" s="6" t="str">
        <x:v>Part Requirement</x:v>
      </x:c>
      <x:c r="C1132" s="6" t="str">
        <x:v>PRTX-0174</x:v>
      </x:c>
      <x:c r="D1132" s="6" t="str">
        <x:v>SVC000174</x:v>
      </x:c>
      <x:c r="E1132" s="6" t="str"/>
      <x:c r="F1132" s="6" t="str">
        <x:v>Part-requirement review</x:v>
      </x:c>
      <x:c r="G1132" s="6" t="n">
        <x:v>5</x:v>
      </x:c>
      <x:c r="H1132" s="6" t="str">
        <x:v>SIDX-0174</x:v>
      </x:c>
      <x:c r="I1132" s="6" t="str">
        <x:f>IF(H1132="","No upstream dependency",IF(ISNUMBER(SEARCH(";",H1132)),"Multiple dependencies - verify source queues",IFERROR(XLOOKUP(H1132,C2:C1586,J2:J1586),"Dependency not found")))</x:f>
        <x:v>Not Started</x:v>
      </x:c>
      <x:c r="J1132" s="6" t="str">
        <x:v>Not Started</x:v>
      </x:c>
      <x:c r="K1132" s="6" t="str">
        <x:v>Normal</x:v>
      </x:c>
      <x:c r="L1132" s="6" t="str"/>
      <x:c r="M1132" s="6" t="str"/>
      <x:c r="N1132" s="6" t="str"/>
      <x:c r="O1132" s="7" t="str"/>
      <x:c r="P1132" s="6" t="str">
        <x:v>Yes</x:v>
      </x:c>
      <x:c r="Q1132" s="7" t="str">
        <x:v>Requires stable service identity.</x:v>
      </x:c>
    </x:row>
    <x:row r="1133">
      <x:c r="A1133" s="6" t="str">
        <x:v>SEQ-PRT-0175</x:v>
      </x:c>
      <x:c r="B1133" s="6" t="str">
        <x:v>Part Requirement</x:v>
      </x:c>
      <x:c r="C1133" s="6" t="str">
        <x:v>PRTX-0175</x:v>
      </x:c>
      <x:c r="D1133" s="6" t="str">
        <x:v>SVC000175</x:v>
      </x:c>
      <x:c r="E1133" s="6" t="str"/>
      <x:c r="F1133" s="6" t="str">
        <x:v>Part-requirement review</x:v>
      </x:c>
      <x:c r="G1133" s="6" t="n">
        <x:v>5</x:v>
      </x:c>
      <x:c r="H1133" s="6" t="str">
        <x:v>SIDX-0175</x:v>
      </x:c>
      <x:c r="I1133" s="6" t="str">
        <x:f>IF(H1133="","No upstream dependency",IF(ISNUMBER(SEARCH(";",H1133)),"Multiple dependencies - verify source queues",IFERROR(XLOOKUP(H1133,C2:C1586,J2:J1586),"Dependency not found")))</x:f>
        <x:v>Not Started</x:v>
      </x:c>
      <x:c r="J1133" s="6" t="str">
        <x:v>Not Started</x:v>
      </x:c>
      <x:c r="K1133" s="6" t="str">
        <x:v>Normal</x:v>
      </x:c>
      <x:c r="L1133" s="6" t="str"/>
      <x:c r="M1133" s="6" t="str"/>
      <x:c r="N1133" s="6" t="str"/>
      <x:c r="O1133" s="7" t="str"/>
      <x:c r="P1133" s="6" t="str">
        <x:v>Yes</x:v>
      </x:c>
      <x:c r="Q1133" s="7" t="str">
        <x:v>Requires stable service identity.</x:v>
      </x:c>
    </x:row>
    <x:row r="1134">
      <x:c r="A1134" s="6" t="str">
        <x:v>SEQ-PRT-0176</x:v>
      </x:c>
      <x:c r="B1134" s="6" t="str">
        <x:v>Part Requirement</x:v>
      </x:c>
      <x:c r="C1134" s="6" t="str">
        <x:v>PRTX-0176</x:v>
      </x:c>
      <x:c r="D1134" s="6" t="str">
        <x:v>SVC000176</x:v>
      </x:c>
      <x:c r="E1134" s="6" t="str"/>
      <x:c r="F1134" s="6" t="str">
        <x:v>Part-requirement review</x:v>
      </x:c>
      <x:c r="G1134" s="6" t="n">
        <x:v>5</x:v>
      </x:c>
      <x:c r="H1134" s="6" t="str">
        <x:v>SIDX-0176</x:v>
      </x:c>
      <x:c r="I1134" s="6" t="str">
        <x:f>IF(H1134="","No upstream dependency",IF(ISNUMBER(SEARCH(";",H1134)),"Multiple dependencies - verify source queues",IFERROR(XLOOKUP(H1134,C2:C1586,J2:J1586),"Dependency not found")))</x:f>
        <x:v>Not Started</x:v>
      </x:c>
      <x:c r="J1134" s="6" t="str">
        <x:v>Not Started</x:v>
      </x:c>
      <x:c r="K1134" s="6" t="str">
        <x:v>Normal</x:v>
      </x:c>
      <x:c r="L1134" s="6" t="str"/>
      <x:c r="M1134" s="6" t="str"/>
      <x:c r="N1134" s="6" t="str"/>
      <x:c r="O1134" s="7" t="str"/>
      <x:c r="P1134" s="6" t="str">
        <x:v>Yes</x:v>
      </x:c>
      <x:c r="Q1134" s="7" t="str">
        <x:v>Requires stable service identity.</x:v>
      </x:c>
    </x:row>
    <x:row r="1135">
      <x:c r="A1135" s="6" t="str">
        <x:v>SEQ-PRT-0177</x:v>
      </x:c>
      <x:c r="B1135" s="6" t="str">
        <x:v>Part Requirement</x:v>
      </x:c>
      <x:c r="C1135" s="6" t="str">
        <x:v>PRTX-0177</x:v>
      </x:c>
      <x:c r="D1135" s="6" t="str">
        <x:v>SVC000177</x:v>
      </x:c>
      <x:c r="E1135" s="6" t="str"/>
      <x:c r="F1135" s="6" t="str">
        <x:v>Part-requirement review</x:v>
      </x:c>
      <x:c r="G1135" s="6" t="n">
        <x:v>5</x:v>
      </x:c>
      <x:c r="H1135" s="6" t="str">
        <x:v>SIDX-0177</x:v>
      </x:c>
      <x:c r="I1135" s="6" t="str">
        <x:f>IF(H1135="","No upstream dependency",IF(ISNUMBER(SEARCH(";",H1135)),"Multiple dependencies - verify source queues",IFERROR(XLOOKUP(H1135,C2:C1586,J2:J1586),"Dependency not found")))</x:f>
        <x:v>Not Started</x:v>
      </x:c>
      <x:c r="J1135" s="6" t="str">
        <x:v>Not Started</x:v>
      </x:c>
      <x:c r="K1135" s="6" t="str">
        <x:v>Normal</x:v>
      </x:c>
      <x:c r="L1135" s="6" t="str"/>
      <x:c r="M1135" s="6" t="str"/>
      <x:c r="N1135" s="6" t="str"/>
      <x:c r="O1135" s="7" t="str"/>
      <x:c r="P1135" s="6" t="str">
        <x:v>Yes</x:v>
      </x:c>
      <x:c r="Q1135" s="7" t="str">
        <x:v>Requires stable service identity.</x:v>
      </x:c>
    </x:row>
    <x:row r="1136">
      <x:c r="A1136" s="6" t="str">
        <x:v>SEQ-PRT-0178</x:v>
      </x:c>
      <x:c r="B1136" s="6" t="str">
        <x:v>Part Requirement</x:v>
      </x:c>
      <x:c r="C1136" s="6" t="str">
        <x:v>PRTX-0178</x:v>
      </x:c>
      <x:c r="D1136" s="6" t="str">
        <x:v>SVC000178</x:v>
      </x:c>
      <x:c r="E1136" s="6" t="str"/>
      <x:c r="F1136" s="6" t="str">
        <x:v>Part-requirement review</x:v>
      </x:c>
      <x:c r="G1136" s="6" t="n">
        <x:v>5</x:v>
      </x:c>
      <x:c r="H1136" s="6" t="str">
        <x:v>SIDX-0178</x:v>
      </x:c>
      <x:c r="I1136" s="6" t="str">
        <x:f>IF(H1136="","No upstream dependency",IF(ISNUMBER(SEARCH(";",H1136)),"Multiple dependencies - verify source queues",IFERROR(XLOOKUP(H1136,C2:C1586,J2:J1586),"Dependency not found")))</x:f>
        <x:v>Not Started</x:v>
      </x:c>
      <x:c r="J1136" s="6" t="str">
        <x:v>Not Started</x:v>
      </x:c>
      <x:c r="K1136" s="6" t="str">
        <x:v>Normal</x:v>
      </x:c>
      <x:c r="L1136" s="6" t="str"/>
      <x:c r="M1136" s="6" t="str"/>
      <x:c r="N1136" s="6" t="str"/>
      <x:c r="O1136" s="7" t="str"/>
      <x:c r="P1136" s="6" t="str">
        <x:v>Yes</x:v>
      </x:c>
      <x:c r="Q1136" s="7" t="str">
        <x:v>Requires stable service identity.</x:v>
      </x:c>
    </x:row>
    <x:row r="1137">
      <x:c r="A1137" s="6" t="str">
        <x:v>SEQ-PRT-0179</x:v>
      </x:c>
      <x:c r="B1137" s="6" t="str">
        <x:v>Part Requirement</x:v>
      </x:c>
      <x:c r="C1137" s="6" t="str">
        <x:v>PRTX-0179</x:v>
      </x:c>
      <x:c r="D1137" s="6" t="str">
        <x:v>SVC000179</x:v>
      </x:c>
      <x:c r="E1137" s="6" t="str"/>
      <x:c r="F1137" s="6" t="str">
        <x:v>Part-requirement review</x:v>
      </x:c>
      <x:c r="G1137" s="6" t="n">
        <x:v>5</x:v>
      </x:c>
      <x:c r="H1137" s="6" t="str">
        <x:v>SIDX-0179</x:v>
      </x:c>
      <x:c r="I1137" s="6" t="str">
        <x:f>IF(H1137="","No upstream dependency",IF(ISNUMBER(SEARCH(";",H1137)),"Multiple dependencies - verify source queues",IFERROR(XLOOKUP(H1137,C2:C1586,J2:J1586),"Dependency not found")))</x:f>
        <x:v>Not Started</x:v>
      </x:c>
      <x:c r="J1137" s="6" t="str">
        <x:v>Not Started</x:v>
      </x:c>
      <x:c r="K1137" s="6" t="str">
        <x:v>Normal</x:v>
      </x:c>
      <x:c r="L1137" s="6" t="str"/>
      <x:c r="M1137" s="6" t="str"/>
      <x:c r="N1137" s="6" t="str"/>
      <x:c r="O1137" s="7" t="str"/>
      <x:c r="P1137" s="6" t="str">
        <x:v>Yes</x:v>
      </x:c>
      <x:c r="Q1137" s="7" t="str">
        <x:v>Requires stable service identity.</x:v>
      </x:c>
    </x:row>
    <x:row r="1138">
      <x:c r="A1138" s="6" t="str">
        <x:v>SEQ-PRT-0180</x:v>
      </x:c>
      <x:c r="B1138" s="6" t="str">
        <x:v>Part Requirement</x:v>
      </x:c>
      <x:c r="C1138" s="6" t="str">
        <x:v>PRTX-0180</x:v>
      </x:c>
      <x:c r="D1138" s="6" t="str">
        <x:v>SVC000180</x:v>
      </x:c>
      <x:c r="E1138" s="6" t="str"/>
      <x:c r="F1138" s="6" t="str">
        <x:v>Part-requirement review</x:v>
      </x:c>
      <x:c r="G1138" s="6" t="n">
        <x:v>5</x:v>
      </x:c>
      <x:c r="H1138" s="6" t="str">
        <x:v>SIDX-0180</x:v>
      </x:c>
      <x:c r="I1138" s="6" t="str">
        <x:f>IF(H1138="","No upstream dependency",IF(ISNUMBER(SEARCH(";",H1138)),"Multiple dependencies - verify source queues",IFERROR(XLOOKUP(H1138,C2:C1586,J2:J1586),"Dependency not found")))</x:f>
        <x:v>Not Started</x:v>
      </x:c>
      <x:c r="J1138" s="6" t="str">
        <x:v>Not Started</x:v>
      </x:c>
      <x:c r="K1138" s="6" t="str">
        <x:v>Normal</x:v>
      </x:c>
      <x:c r="L1138" s="6" t="str"/>
      <x:c r="M1138" s="6" t="str"/>
      <x:c r="N1138" s="6" t="str"/>
      <x:c r="O1138" s="7" t="str"/>
      <x:c r="P1138" s="6" t="str">
        <x:v>Yes</x:v>
      </x:c>
      <x:c r="Q1138" s="7" t="str">
        <x:v>Requires stable service identity.</x:v>
      </x:c>
    </x:row>
    <x:row r="1139">
      <x:c r="A1139" s="6" t="str">
        <x:v>SEQ-PRT-0181</x:v>
      </x:c>
      <x:c r="B1139" s="6" t="str">
        <x:v>Part Requirement</x:v>
      </x:c>
      <x:c r="C1139" s="6" t="str">
        <x:v>PRTX-0181</x:v>
      </x:c>
      <x:c r="D1139" s="6" t="str">
        <x:v>SVC000181</x:v>
      </x:c>
      <x:c r="E1139" s="6" t="str"/>
      <x:c r="F1139" s="6" t="str">
        <x:v>Part-requirement review</x:v>
      </x:c>
      <x:c r="G1139" s="6" t="n">
        <x:v>5</x:v>
      </x:c>
      <x:c r="H1139" s="6" t="str">
        <x:v>SIDX-0181</x:v>
      </x:c>
      <x:c r="I1139" s="6" t="str">
        <x:f>IF(H1139="","No upstream dependency",IF(ISNUMBER(SEARCH(";",H1139)),"Multiple dependencies - verify source queues",IFERROR(XLOOKUP(H1139,C2:C1586,J2:J1586),"Dependency not found")))</x:f>
        <x:v>Not Started</x:v>
      </x:c>
      <x:c r="J1139" s="6" t="str">
        <x:v>Not Started</x:v>
      </x:c>
      <x:c r="K1139" s="6" t="str">
        <x:v>Normal</x:v>
      </x:c>
      <x:c r="L1139" s="6" t="str"/>
      <x:c r="M1139" s="6" t="str"/>
      <x:c r="N1139" s="6" t="str"/>
      <x:c r="O1139" s="7" t="str"/>
      <x:c r="P1139" s="6" t="str">
        <x:v>Yes</x:v>
      </x:c>
      <x:c r="Q1139" s="7" t="str">
        <x:v>Requires stable service identity.</x:v>
      </x:c>
    </x:row>
    <x:row r="1140">
      <x:c r="A1140" s="6" t="str">
        <x:v>SEQ-PRT-0182</x:v>
      </x:c>
      <x:c r="B1140" s="6" t="str">
        <x:v>Part Requirement</x:v>
      </x:c>
      <x:c r="C1140" s="6" t="str">
        <x:v>PRTX-0182</x:v>
      </x:c>
      <x:c r="D1140" s="6" t="str">
        <x:v>SVC000182</x:v>
      </x:c>
      <x:c r="E1140" s="6" t="str"/>
      <x:c r="F1140" s="6" t="str">
        <x:v>Part-requirement review</x:v>
      </x:c>
      <x:c r="G1140" s="6" t="n">
        <x:v>5</x:v>
      </x:c>
      <x:c r="H1140" s="6" t="str">
        <x:v>SIDX-0182</x:v>
      </x:c>
      <x:c r="I1140" s="6" t="str">
        <x:f>IF(H1140="","No upstream dependency",IF(ISNUMBER(SEARCH(";",H1140)),"Multiple dependencies - verify source queues",IFERROR(XLOOKUP(H1140,C2:C1586,J2:J1586),"Dependency not found")))</x:f>
        <x:v>Not Started</x:v>
      </x:c>
      <x:c r="J1140" s="6" t="str">
        <x:v>Not Started</x:v>
      </x:c>
      <x:c r="K1140" s="6" t="str">
        <x:v>Normal</x:v>
      </x:c>
      <x:c r="L1140" s="6" t="str"/>
      <x:c r="M1140" s="6" t="str"/>
      <x:c r="N1140" s="6" t="str"/>
      <x:c r="O1140" s="7" t="str"/>
      <x:c r="P1140" s="6" t="str">
        <x:v>Yes</x:v>
      </x:c>
      <x:c r="Q1140" s="7" t="str">
        <x:v>Requires stable service identity.</x:v>
      </x:c>
    </x:row>
    <x:row r="1141">
      <x:c r="A1141" s="6" t="str">
        <x:v>SEQ-PRT-0183</x:v>
      </x:c>
      <x:c r="B1141" s="6" t="str">
        <x:v>Part Requirement</x:v>
      </x:c>
      <x:c r="C1141" s="6" t="str">
        <x:v>PRTX-0183</x:v>
      </x:c>
      <x:c r="D1141" s="6" t="str">
        <x:v>SVC000183</x:v>
      </x:c>
      <x:c r="E1141" s="6" t="str"/>
      <x:c r="F1141" s="6" t="str">
        <x:v>Part-requirement review</x:v>
      </x:c>
      <x:c r="G1141" s="6" t="n">
        <x:v>5</x:v>
      </x:c>
      <x:c r="H1141" s="6" t="str">
        <x:v>SIDX-0183</x:v>
      </x:c>
      <x:c r="I1141" s="6" t="str">
        <x:f>IF(H1141="","No upstream dependency",IF(ISNUMBER(SEARCH(";",H1141)),"Multiple dependencies - verify source queues",IFERROR(XLOOKUP(H1141,C2:C1586,J2:J1586),"Dependency not found")))</x:f>
        <x:v>Not Started</x:v>
      </x:c>
      <x:c r="J1141" s="6" t="str">
        <x:v>Not Started</x:v>
      </x:c>
      <x:c r="K1141" s="6" t="str">
        <x:v>Normal</x:v>
      </x:c>
      <x:c r="L1141" s="6" t="str"/>
      <x:c r="M1141" s="6" t="str"/>
      <x:c r="N1141" s="6" t="str"/>
      <x:c r="O1141" s="7" t="str"/>
      <x:c r="P1141" s="6" t="str">
        <x:v>Yes</x:v>
      </x:c>
      <x:c r="Q1141" s="7" t="str">
        <x:v>Requires stable service identity.</x:v>
      </x:c>
    </x:row>
    <x:row r="1142">
      <x:c r="A1142" s="6" t="str">
        <x:v>SEQ-PRT-0184</x:v>
      </x:c>
      <x:c r="B1142" s="6" t="str">
        <x:v>Part Requirement</x:v>
      </x:c>
      <x:c r="C1142" s="6" t="str">
        <x:v>PRTX-0184</x:v>
      </x:c>
      <x:c r="D1142" s="6" t="str">
        <x:v>SVC000184</x:v>
      </x:c>
      <x:c r="E1142" s="6" t="str"/>
      <x:c r="F1142" s="6" t="str">
        <x:v>Part-requirement review</x:v>
      </x:c>
      <x:c r="G1142" s="6" t="n">
        <x:v>5</x:v>
      </x:c>
      <x:c r="H1142" s="6" t="str">
        <x:v>SIDX-0184</x:v>
      </x:c>
      <x:c r="I1142" s="6" t="str">
        <x:f>IF(H1142="","No upstream dependency",IF(ISNUMBER(SEARCH(";",H1142)),"Multiple dependencies - verify source queues",IFERROR(XLOOKUP(H1142,C2:C1586,J2:J1586),"Dependency not found")))</x:f>
        <x:v>Not Started</x:v>
      </x:c>
      <x:c r="J1142" s="6" t="str">
        <x:v>Not Started</x:v>
      </x:c>
      <x:c r="K1142" s="6" t="str">
        <x:v>Normal</x:v>
      </x:c>
      <x:c r="L1142" s="6" t="str"/>
      <x:c r="M1142" s="6" t="str"/>
      <x:c r="N1142" s="6" t="str"/>
      <x:c r="O1142" s="7" t="str"/>
      <x:c r="P1142" s="6" t="str">
        <x:v>Yes</x:v>
      </x:c>
      <x:c r="Q1142" s="7" t="str">
        <x:v>Requires stable service identity.</x:v>
      </x:c>
    </x:row>
    <x:row r="1143">
      <x:c r="A1143" s="6" t="str">
        <x:v>SEQ-PRT-0185</x:v>
      </x:c>
      <x:c r="B1143" s="6" t="str">
        <x:v>Part Requirement</x:v>
      </x:c>
      <x:c r="C1143" s="6" t="str">
        <x:v>PRTX-0185</x:v>
      </x:c>
      <x:c r="D1143" s="6" t="str">
        <x:v>SVC000185</x:v>
      </x:c>
      <x:c r="E1143" s="6" t="str"/>
      <x:c r="F1143" s="6" t="str">
        <x:v>Part-requirement review</x:v>
      </x:c>
      <x:c r="G1143" s="6" t="n">
        <x:v>5</x:v>
      </x:c>
      <x:c r="H1143" s="6" t="str">
        <x:v>SIDX-0185</x:v>
      </x:c>
      <x:c r="I1143" s="6" t="str">
        <x:f>IF(H1143="","No upstream dependency",IF(ISNUMBER(SEARCH(";",H1143)),"Multiple dependencies - verify source queues",IFERROR(XLOOKUP(H1143,C2:C1586,J2:J1586),"Dependency not found")))</x:f>
        <x:v>Not Started</x:v>
      </x:c>
      <x:c r="J1143" s="6" t="str">
        <x:v>Not Started</x:v>
      </x:c>
      <x:c r="K1143" s="6" t="str">
        <x:v>Normal</x:v>
      </x:c>
      <x:c r="L1143" s="6" t="str"/>
      <x:c r="M1143" s="6" t="str"/>
      <x:c r="N1143" s="6" t="str"/>
      <x:c r="O1143" s="7" t="str"/>
      <x:c r="P1143" s="6" t="str">
        <x:v>Yes</x:v>
      </x:c>
      <x:c r="Q1143" s="7" t="str">
        <x:v>Requires stable service identity.</x:v>
      </x:c>
    </x:row>
    <x:row r="1144">
      <x:c r="A1144" s="6" t="str">
        <x:v>SEQ-PRT-0186</x:v>
      </x:c>
      <x:c r="B1144" s="6" t="str">
        <x:v>Part Requirement</x:v>
      </x:c>
      <x:c r="C1144" s="6" t="str">
        <x:v>PRTX-0186</x:v>
      </x:c>
      <x:c r="D1144" s="6" t="str">
        <x:v>SVC000186</x:v>
      </x:c>
      <x:c r="E1144" s="6" t="str"/>
      <x:c r="F1144" s="6" t="str">
        <x:v>Part-requirement review</x:v>
      </x:c>
      <x:c r="G1144" s="6" t="n">
        <x:v>5</x:v>
      </x:c>
      <x:c r="H1144" s="6" t="str">
        <x:v>SIDX-0186</x:v>
      </x:c>
      <x:c r="I1144" s="6" t="str">
        <x:f>IF(H1144="","No upstream dependency",IF(ISNUMBER(SEARCH(";",H1144)),"Multiple dependencies - verify source queues",IFERROR(XLOOKUP(H1144,C2:C1586,J2:J1586),"Dependency not found")))</x:f>
        <x:v>Not Started</x:v>
      </x:c>
      <x:c r="J1144" s="6" t="str">
        <x:v>Not Started</x:v>
      </x:c>
      <x:c r="K1144" s="6" t="str">
        <x:v>Normal</x:v>
      </x:c>
      <x:c r="L1144" s="6" t="str"/>
      <x:c r="M1144" s="6" t="str"/>
      <x:c r="N1144" s="6" t="str"/>
      <x:c r="O1144" s="7" t="str"/>
      <x:c r="P1144" s="6" t="str">
        <x:v>Yes</x:v>
      </x:c>
      <x:c r="Q1144" s="7" t="str">
        <x:v>Requires stable service identity.</x:v>
      </x:c>
    </x:row>
    <x:row r="1145">
      <x:c r="A1145" s="6" t="str">
        <x:v>SEQ-PRT-0187</x:v>
      </x:c>
      <x:c r="B1145" s="6" t="str">
        <x:v>Part Requirement</x:v>
      </x:c>
      <x:c r="C1145" s="6" t="str">
        <x:v>PRTX-0187</x:v>
      </x:c>
      <x:c r="D1145" s="6" t="str">
        <x:v>SVC000187</x:v>
      </x:c>
      <x:c r="E1145" s="6" t="str"/>
      <x:c r="F1145" s="6" t="str">
        <x:v>Part-requirement review</x:v>
      </x:c>
      <x:c r="G1145" s="6" t="n">
        <x:v>5</x:v>
      </x:c>
      <x:c r="H1145" s="6" t="str">
        <x:v>SIDX-0187</x:v>
      </x:c>
      <x:c r="I1145" s="6" t="str">
        <x:f>IF(H1145="","No upstream dependency",IF(ISNUMBER(SEARCH(";",H1145)),"Multiple dependencies - verify source queues",IFERROR(XLOOKUP(H1145,C2:C1586,J2:J1586),"Dependency not found")))</x:f>
        <x:v>Not Started</x:v>
      </x:c>
      <x:c r="J1145" s="6" t="str">
        <x:v>Not Started</x:v>
      </x:c>
      <x:c r="K1145" s="6" t="str">
        <x:v>Normal</x:v>
      </x:c>
      <x:c r="L1145" s="6" t="str"/>
      <x:c r="M1145" s="6" t="str"/>
      <x:c r="N1145" s="6" t="str"/>
      <x:c r="O1145" s="7" t="str"/>
      <x:c r="P1145" s="6" t="str">
        <x:v>Yes</x:v>
      </x:c>
      <x:c r="Q1145" s="7" t="str">
        <x:v>Requires stable service identity.</x:v>
      </x:c>
    </x:row>
    <x:row r="1146">
      <x:c r="A1146" s="6" t="str">
        <x:v>SEQ-PRT-0188</x:v>
      </x:c>
      <x:c r="B1146" s="6" t="str">
        <x:v>Part Requirement</x:v>
      </x:c>
      <x:c r="C1146" s="6" t="str">
        <x:v>PRTX-0188</x:v>
      </x:c>
      <x:c r="D1146" s="6" t="str">
        <x:v>SVC000188</x:v>
      </x:c>
      <x:c r="E1146" s="6" t="str"/>
      <x:c r="F1146" s="6" t="str">
        <x:v>Part-requirement review</x:v>
      </x:c>
      <x:c r="G1146" s="6" t="n">
        <x:v>5</x:v>
      </x:c>
      <x:c r="H1146" s="6" t="str">
        <x:v>SIDX-0188</x:v>
      </x:c>
      <x:c r="I1146" s="6" t="str">
        <x:f>IF(H1146="","No upstream dependency",IF(ISNUMBER(SEARCH(";",H1146)),"Multiple dependencies - verify source queues",IFERROR(XLOOKUP(H1146,C2:C1586,J2:J1586),"Dependency not found")))</x:f>
        <x:v>Not Started</x:v>
      </x:c>
      <x:c r="J1146" s="6" t="str">
        <x:v>Not Started</x:v>
      </x:c>
      <x:c r="K1146" s="6" t="str">
        <x:v>Normal</x:v>
      </x:c>
      <x:c r="L1146" s="6" t="str"/>
      <x:c r="M1146" s="6" t="str"/>
      <x:c r="N1146" s="6" t="str"/>
      <x:c r="O1146" s="7" t="str"/>
      <x:c r="P1146" s="6" t="str">
        <x:v>Yes</x:v>
      </x:c>
      <x:c r="Q1146" s="7" t="str">
        <x:v>Requires stable service identity.</x:v>
      </x:c>
    </x:row>
    <x:row r="1147">
      <x:c r="A1147" s="6" t="str">
        <x:v>SEQ-PRT-0189</x:v>
      </x:c>
      <x:c r="B1147" s="6" t="str">
        <x:v>Part Requirement</x:v>
      </x:c>
      <x:c r="C1147" s="6" t="str">
        <x:v>PRTX-0189</x:v>
      </x:c>
      <x:c r="D1147" s="6" t="str">
        <x:v>SVC000189</x:v>
      </x:c>
      <x:c r="E1147" s="6" t="str"/>
      <x:c r="F1147" s="6" t="str">
        <x:v>Part-requirement review</x:v>
      </x:c>
      <x:c r="G1147" s="6" t="n">
        <x:v>5</x:v>
      </x:c>
      <x:c r="H1147" s="6" t="str">
        <x:v>SIDX-0189</x:v>
      </x:c>
      <x:c r="I1147" s="6" t="str">
        <x:f>IF(H1147="","No upstream dependency",IF(ISNUMBER(SEARCH(";",H1147)),"Multiple dependencies - verify source queues",IFERROR(XLOOKUP(H1147,C2:C1586,J2:J1586),"Dependency not found")))</x:f>
        <x:v>Not Started</x:v>
      </x:c>
      <x:c r="J1147" s="6" t="str">
        <x:v>Not Started</x:v>
      </x:c>
      <x:c r="K1147" s="6" t="str">
        <x:v>Normal</x:v>
      </x:c>
      <x:c r="L1147" s="6" t="str"/>
      <x:c r="M1147" s="6" t="str"/>
      <x:c r="N1147" s="6" t="str"/>
      <x:c r="O1147" s="7" t="str"/>
      <x:c r="P1147" s="6" t="str">
        <x:v>Yes</x:v>
      </x:c>
      <x:c r="Q1147" s="7" t="str">
        <x:v>Requires stable service identity.</x:v>
      </x:c>
    </x:row>
    <x:row r="1148">
      <x:c r="A1148" s="6" t="str">
        <x:v>SEQ-PRT-0190</x:v>
      </x:c>
      <x:c r="B1148" s="6" t="str">
        <x:v>Part Requirement</x:v>
      </x:c>
      <x:c r="C1148" s="6" t="str">
        <x:v>PRTX-0190</x:v>
      </x:c>
      <x:c r="D1148" s="6" t="str">
        <x:v>SVC000190</x:v>
      </x:c>
      <x:c r="E1148" s="6" t="str"/>
      <x:c r="F1148" s="6" t="str">
        <x:v>Part-requirement review</x:v>
      </x:c>
      <x:c r="G1148" s="6" t="n">
        <x:v>5</x:v>
      </x:c>
      <x:c r="H1148" s="6" t="str">
        <x:v>SIDX-0190</x:v>
      </x:c>
      <x:c r="I1148" s="6" t="str">
        <x:f>IF(H1148="","No upstream dependency",IF(ISNUMBER(SEARCH(";",H1148)),"Multiple dependencies - verify source queues",IFERROR(XLOOKUP(H1148,C2:C1586,J2:J1586),"Dependency not found")))</x:f>
        <x:v>Not Started</x:v>
      </x:c>
      <x:c r="J1148" s="6" t="str">
        <x:v>Not Started</x:v>
      </x:c>
      <x:c r="K1148" s="6" t="str">
        <x:v>Normal</x:v>
      </x:c>
      <x:c r="L1148" s="6" t="str"/>
      <x:c r="M1148" s="6" t="str"/>
      <x:c r="N1148" s="6" t="str"/>
      <x:c r="O1148" s="7" t="str"/>
      <x:c r="P1148" s="6" t="str">
        <x:v>Yes</x:v>
      </x:c>
      <x:c r="Q1148" s="7" t="str">
        <x:v>Requires stable service identity.</x:v>
      </x:c>
    </x:row>
    <x:row r="1149">
      <x:c r="A1149" s="6" t="str">
        <x:v>SEQ-PRT-0191</x:v>
      </x:c>
      <x:c r="B1149" s="6" t="str">
        <x:v>Part Requirement</x:v>
      </x:c>
      <x:c r="C1149" s="6" t="str">
        <x:v>PRTX-0191</x:v>
      </x:c>
      <x:c r="D1149" s="6" t="str">
        <x:v>SVC000191</x:v>
      </x:c>
      <x:c r="E1149" s="6" t="str"/>
      <x:c r="F1149" s="6" t="str">
        <x:v>Part-requirement review</x:v>
      </x:c>
      <x:c r="G1149" s="6" t="n">
        <x:v>5</x:v>
      </x:c>
      <x:c r="H1149" s="6" t="str">
        <x:v>SIDX-0191</x:v>
      </x:c>
      <x:c r="I1149" s="6" t="str">
        <x:f>IF(H1149="","No upstream dependency",IF(ISNUMBER(SEARCH(";",H1149)),"Multiple dependencies - verify source queues",IFERROR(XLOOKUP(H1149,C2:C1586,J2:J1586),"Dependency not found")))</x:f>
        <x:v>Not Started</x:v>
      </x:c>
      <x:c r="J1149" s="6" t="str">
        <x:v>Not Started</x:v>
      </x:c>
      <x:c r="K1149" s="6" t="str">
        <x:v>Normal</x:v>
      </x:c>
      <x:c r="L1149" s="6" t="str"/>
      <x:c r="M1149" s="6" t="str"/>
      <x:c r="N1149" s="6" t="str"/>
      <x:c r="O1149" s="7" t="str"/>
      <x:c r="P1149" s="6" t="str">
        <x:v>Yes</x:v>
      </x:c>
      <x:c r="Q1149" s="7" t="str">
        <x:v>Requires stable service identity.</x:v>
      </x:c>
    </x:row>
    <x:row r="1150">
      <x:c r="A1150" s="6" t="str">
        <x:v>SEQ-PRT-0192</x:v>
      </x:c>
      <x:c r="B1150" s="6" t="str">
        <x:v>Part Requirement</x:v>
      </x:c>
      <x:c r="C1150" s="6" t="str">
        <x:v>PRTX-0192</x:v>
      </x:c>
      <x:c r="D1150" s="6" t="str">
        <x:v>SVC000192</x:v>
      </x:c>
      <x:c r="E1150" s="6" t="str"/>
      <x:c r="F1150" s="6" t="str">
        <x:v>Part-requirement review</x:v>
      </x:c>
      <x:c r="G1150" s="6" t="n">
        <x:v>5</x:v>
      </x:c>
      <x:c r="H1150" s="6" t="str">
        <x:v>SIDX-0192</x:v>
      </x:c>
      <x:c r="I1150" s="6" t="str">
        <x:f>IF(H1150="","No upstream dependency",IF(ISNUMBER(SEARCH(";",H1150)),"Multiple dependencies - verify source queues",IFERROR(XLOOKUP(H1150,C2:C1586,J2:J1586),"Dependency not found")))</x:f>
        <x:v>Not Started</x:v>
      </x:c>
      <x:c r="J1150" s="6" t="str">
        <x:v>Not Started</x:v>
      </x:c>
      <x:c r="K1150" s="6" t="str">
        <x:v>Normal</x:v>
      </x:c>
      <x:c r="L1150" s="6" t="str"/>
      <x:c r="M1150" s="6" t="str"/>
      <x:c r="N1150" s="6" t="str"/>
      <x:c r="O1150" s="7" t="str"/>
      <x:c r="P1150" s="6" t="str">
        <x:v>Yes</x:v>
      </x:c>
      <x:c r="Q1150" s="7" t="str">
        <x:v>Requires stable service identity.</x:v>
      </x:c>
    </x:row>
    <x:row r="1151">
      <x:c r="A1151" s="6" t="str">
        <x:v>SEQ-PRT-0193</x:v>
      </x:c>
      <x:c r="B1151" s="6" t="str">
        <x:v>Part Requirement</x:v>
      </x:c>
      <x:c r="C1151" s="6" t="str">
        <x:v>PRTX-0193</x:v>
      </x:c>
      <x:c r="D1151" s="6" t="str">
        <x:v>SVC000193</x:v>
      </x:c>
      <x:c r="E1151" s="6" t="str"/>
      <x:c r="F1151" s="6" t="str">
        <x:v>Part-requirement review</x:v>
      </x:c>
      <x:c r="G1151" s="6" t="n">
        <x:v>5</x:v>
      </x:c>
      <x:c r="H1151" s="6" t="str">
        <x:v>SIDX-0193</x:v>
      </x:c>
      <x:c r="I1151" s="6" t="str">
        <x:f>IF(H1151="","No upstream dependency",IF(ISNUMBER(SEARCH(";",H1151)),"Multiple dependencies - verify source queues",IFERROR(XLOOKUP(H1151,C2:C1586,J2:J1586),"Dependency not found")))</x:f>
        <x:v>Not Started</x:v>
      </x:c>
      <x:c r="J1151" s="6" t="str">
        <x:v>Not Started</x:v>
      </x:c>
      <x:c r="K1151" s="6" t="str">
        <x:v>Normal</x:v>
      </x:c>
      <x:c r="L1151" s="6" t="str"/>
      <x:c r="M1151" s="6" t="str"/>
      <x:c r="N1151" s="6" t="str"/>
      <x:c r="O1151" s="7" t="str"/>
      <x:c r="P1151" s="6" t="str">
        <x:v>Yes</x:v>
      </x:c>
      <x:c r="Q1151" s="7" t="str">
        <x:v>Requires stable service identity.</x:v>
      </x:c>
    </x:row>
    <x:row r="1152">
      <x:c r="A1152" s="6" t="str">
        <x:v>SEQ-PRT-0194</x:v>
      </x:c>
      <x:c r="B1152" s="6" t="str">
        <x:v>Part Requirement</x:v>
      </x:c>
      <x:c r="C1152" s="6" t="str">
        <x:v>PRTX-0194</x:v>
      </x:c>
      <x:c r="D1152" s="6" t="str">
        <x:v>SVC000194</x:v>
      </x:c>
      <x:c r="E1152" s="6" t="str"/>
      <x:c r="F1152" s="6" t="str">
        <x:v>Part-requirement review</x:v>
      </x:c>
      <x:c r="G1152" s="6" t="n">
        <x:v>5</x:v>
      </x:c>
      <x:c r="H1152" s="6" t="str">
        <x:v>SIDX-0194</x:v>
      </x:c>
      <x:c r="I1152" s="6" t="str">
        <x:f>IF(H1152="","No upstream dependency",IF(ISNUMBER(SEARCH(";",H1152)),"Multiple dependencies - verify source queues",IFERROR(XLOOKUP(H1152,C2:C1586,J2:J1586),"Dependency not found")))</x:f>
        <x:v>Not Started</x:v>
      </x:c>
      <x:c r="J1152" s="6" t="str">
        <x:v>Not Started</x:v>
      </x:c>
      <x:c r="K1152" s="6" t="str">
        <x:v>Normal</x:v>
      </x:c>
      <x:c r="L1152" s="6" t="str"/>
      <x:c r="M1152" s="6" t="str"/>
      <x:c r="N1152" s="6" t="str"/>
      <x:c r="O1152" s="7" t="str"/>
      <x:c r="P1152" s="6" t="str">
        <x:v>Yes</x:v>
      </x:c>
      <x:c r="Q1152" s="7" t="str">
        <x:v>Requires stable service identity.</x:v>
      </x:c>
    </x:row>
    <x:row r="1153">
      <x:c r="A1153" s="6" t="str">
        <x:v>SEQ-PRT-0195</x:v>
      </x:c>
      <x:c r="B1153" s="6" t="str">
        <x:v>Part Requirement</x:v>
      </x:c>
      <x:c r="C1153" s="6" t="str">
        <x:v>PRTX-0195</x:v>
      </x:c>
      <x:c r="D1153" s="6" t="str">
        <x:v>SVC000195</x:v>
      </x:c>
      <x:c r="E1153" s="6" t="str"/>
      <x:c r="F1153" s="6" t="str">
        <x:v>Part-requirement review</x:v>
      </x:c>
      <x:c r="G1153" s="6" t="n">
        <x:v>5</x:v>
      </x:c>
      <x:c r="H1153" s="6" t="str">
        <x:v>SIDX-0195</x:v>
      </x:c>
      <x:c r="I1153" s="6" t="str">
        <x:f>IF(H1153="","No upstream dependency",IF(ISNUMBER(SEARCH(";",H1153)),"Multiple dependencies - verify source queues",IFERROR(XLOOKUP(H1153,C2:C1586,J2:J1586),"Dependency not found")))</x:f>
        <x:v>Not Started</x:v>
      </x:c>
      <x:c r="J1153" s="6" t="str">
        <x:v>Not Started</x:v>
      </x:c>
      <x:c r="K1153" s="6" t="str">
        <x:v>Normal</x:v>
      </x:c>
      <x:c r="L1153" s="6" t="str"/>
      <x:c r="M1153" s="6" t="str"/>
      <x:c r="N1153" s="6" t="str"/>
      <x:c r="O1153" s="7" t="str"/>
      <x:c r="P1153" s="6" t="str">
        <x:v>Yes</x:v>
      </x:c>
      <x:c r="Q1153" s="7" t="str">
        <x:v>Requires stable service identity.</x:v>
      </x:c>
    </x:row>
    <x:row r="1154">
      <x:c r="A1154" s="6" t="str">
        <x:v>SEQ-PRT-0196</x:v>
      </x:c>
      <x:c r="B1154" s="6" t="str">
        <x:v>Part Requirement</x:v>
      </x:c>
      <x:c r="C1154" s="6" t="str">
        <x:v>PRTX-0196</x:v>
      </x:c>
      <x:c r="D1154" s="6" t="str">
        <x:v>SVC000196</x:v>
      </x:c>
      <x:c r="E1154" s="6" t="str"/>
      <x:c r="F1154" s="6" t="str">
        <x:v>Part-requirement review</x:v>
      </x:c>
      <x:c r="G1154" s="6" t="n">
        <x:v>5</x:v>
      </x:c>
      <x:c r="H1154" s="6" t="str">
        <x:v>SIDX-0196</x:v>
      </x:c>
      <x:c r="I1154" s="6" t="str">
        <x:f>IF(H1154="","No upstream dependency",IF(ISNUMBER(SEARCH(";",H1154)),"Multiple dependencies - verify source queues",IFERROR(XLOOKUP(H1154,C2:C1586,J2:J1586),"Dependency not found")))</x:f>
        <x:v>Not Started</x:v>
      </x:c>
      <x:c r="J1154" s="6" t="str">
        <x:v>Not Started</x:v>
      </x:c>
      <x:c r="K1154" s="6" t="str">
        <x:v>Normal</x:v>
      </x:c>
      <x:c r="L1154" s="6" t="str"/>
      <x:c r="M1154" s="6" t="str"/>
      <x:c r="N1154" s="6" t="str"/>
      <x:c r="O1154" s="7" t="str"/>
      <x:c r="P1154" s="6" t="str">
        <x:v>Yes</x:v>
      </x:c>
      <x:c r="Q1154" s="7" t="str">
        <x:v>Requires stable service identity.</x:v>
      </x:c>
    </x:row>
    <x:row r="1155">
      <x:c r="A1155" s="6" t="str">
        <x:v>SEQ-PRT-0197</x:v>
      </x:c>
      <x:c r="B1155" s="6" t="str">
        <x:v>Part Requirement</x:v>
      </x:c>
      <x:c r="C1155" s="6" t="str">
        <x:v>PRTX-0197</x:v>
      </x:c>
      <x:c r="D1155" s="6" t="str">
        <x:v>SVC000197</x:v>
      </x:c>
      <x:c r="E1155" s="6" t="str"/>
      <x:c r="F1155" s="6" t="str">
        <x:v>Part-requirement review</x:v>
      </x:c>
      <x:c r="G1155" s="6" t="n">
        <x:v>5</x:v>
      </x:c>
      <x:c r="H1155" s="6" t="str">
        <x:v>SIDX-0197</x:v>
      </x:c>
      <x:c r="I1155" s="6" t="str">
        <x:f>IF(H1155="","No upstream dependency",IF(ISNUMBER(SEARCH(";",H1155)),"Multiple dependencies - verify source queues",IFERROR(XLOOKUP(H1155,C2:C1586,J2:J1586),"Dependency not found")))</x:f>
        <x:v>Not Started</x:v>
      </x:c>
      <x:c r="J1155" s="6" t="str">
        <x:v>Not Started</x:v>
      </x:c>
      <x:c r="K1155" s="6" t="str">
        <x:v>Normal</x:v>
      </x:c>
      <x:c r="L1155" s="6" t="str"/>
      <x:c r="M1155" s="6" t="str"/>
      <x:c r="N1155" s="6" t="str"/>
      <x:c r="O1155" s="7" t="str"/>
      <x:c r="P1155" s="6" t="str">
        <x:v>Yes</x:v>
      </x:c>
      <x:c r="Q1155" s="7" t="str">
        <x:v>Requires stable service identity.</x:v>
      </x:c>
    </x:row>
    <x:row r="1156">
      <x:c r="A1156" s="6" t="str">
        <x:v>SEQ-PRT-0198</x:v>
      </x:c>
      <x:c r="B1156" s="6" t="str">
        <x:v>Part Requirement</x:v>
      </x:c>
      <x:c r="C1156" s="6" t="str">
        <x:v>PRTX-0198</x:v>
      </x:c>
      <x:c r="D1156" s="6" t="str">
        <x:v>SVC000198</x:v>
      </x:c>
      <x:c r="E1156" s="6" t="str"/>
      <x:c r="F1156" s="6" t="str">
        <x:v>Part-requirement review</x:v>
      </x:c>
      <x:c r="G1156" s="6" t="n">
        <x:v>5</x:v>
      </x:c>
      <x:c r="H1156" s="6" t="str">
        <x:v>SIDX-0198</x:v>
      </x:c>
      <x:c r="I1156" s="6" t="str">
        <x:f>IF(H1156="","No upstream dependency",IF(ISNUMBER(SEARCH(";",H1156)),"Multiple dependencies - verify source queues",IFERROR(XLOOKUP(H1156,C2:C1586,J2:J1586),"Dependency not found")))</x:f>
        <x:v>Not Started</x:v>
      </x:c>
      <x:c r="J1156" s="6" t="str">
        <x:v>Not Started</x:v>
      </x:c>
      <x:c r="K1156" s="6" t="str">
        <x:v>Normal</x:v>
      </x:c>
      <x:c r="L1156" s="6" t="str"/>
      <x:c r="M1156" s="6" t="str"/>
      <x:c r="N1156" s="6" t="str"/>
      <x:c r="O1156" s="7" t="str"/>
      <x:c r="P1156" s="6" t="str">
        <x:v>Yes</x:v>
      </x:c>
      <x:c r="Q1156" s="7" t="str">
        <x:v>Requires stable service identity.</x:v>
      </x:c>
    </x:row>
    <x:row r="1157">
      <x:c r="A1157" s="6" t="str">
        <x:v>SEQ-PRT-0199</x:v>
      </x:c>
      <x:c r="B1157" s="6" t="str">
        <x:v>Part Requirement</x:v>
      </x:c>
      <x:c r="C1157" s="6" t="str">
        <x:v>PRTX-0199</x:v>
      </x:c>
      <x:c r="D1157" s="6" t="str">
        <x:v>SVC000199</x:v>
      </x:c>
      <x:c r="E1157" s="6" t="str"/>
      <x:c r="F1157" s="6" t="str">
        <x:v>Part-requirement review</x:v>
      </x:c>
      <x:c r="G1157" s="6" t="n">
        <x:v>5</x:v>
      </x:c>
      <x:c r="H1157" s="6" t="str">
        <x:v>SIDX-0199</x:v>
      </x:c>
      <x:c r="I1157" s="6" t="str">
        <x:f>IF(H1157="","No upstream dependency",IF(ISNUMBER(SEARCH(";",H1157)),"Multiple dependencies - verify source queues",IFERROR(XLOOKUP(H1157,C2:C1586,J2:J1586),"Dependency not found")))</x:f>
        <x:v>Not Started</x:v>
      </x:c>
      <x:c r="J1157" s="6" t="str">
        <x:v>Not Started</x:v>
      </x:c>
      <x:c r="K1157" s="6" t="str">
        <x:v>Normal</x:v>
      </x:c>
      <x:c r="L1157" s="6" t="str"/>
      <x:c r="M1157" s="6" t="str"/>
      <x:c r="N1157" s="6" t="str"/>
      <x:c r="O1157" s="7" t="str"/>
      <x:c r="P1157" s="6" t="str">
        <x:v>Yes</x:v>
      </x:c>
      <x:c r="Q1157" s="7" t="str">
        <x:v>Requires stable service identity.</x:v>
      </x:c>
    </x:row>
    <x:row r="1158">
      <x:c r="A1158" s="6" t="str">
        <x:v>SEQ-PRT-0200</x:v>
      </x:c>
      <x:c r="B1158" s="6" t="str">
        <x:v>Part Requirement</x:v>
      </x:c>
      <x:c r="C1158" s="6" t="str">
        <x:v>PRTX-0200</x:v>
      </x:c>
      <x:c r="D1158" s="6" t="str">
        <x:v>SVC000200</x:v>
      </x:c>
      <x:c r="E1158" s="6" t="str"/>
      <x:c r="F1158" s="6" t="str">
        <x:v>Part-requirement review</x:v>
      </x:c>
      <x:c r="G1158" s="6" t="n">
        <x:v>5</x:v>
      </x:c>
      <x:c r="H1158" s="6" t="str">
        <x:v>SIDX-0200</x:v>
      </x:c>
      <x:c r="I1158" s="6" t="str">
        <x:f>IF(H1158="","No upstream dependency",IF(ISNUMBER(SEARCH(";",H1158)),"Multiple dependencies - verify source queues",IFERROR(XLOOKUP(H1158,C2:C1586,J2:J1586),"Dependency not found")))</x:f>
        <x:v>Not Started</x:v>
      </x:c>
      <x:c r="J1158" s="6" t="str">
        <x:v>Not Started</x:v>
      </x:c>
      <x:c r="K1158" s="6" t="str">
        <x:v>Normal</x:v>
      </x:c>
      <x:c r="L1158" s="6" t="str"/>
      <x:c r="M1158" s="6" t="str"/>
      <x:c r="N1158" s="6" t="str"/>
      <x:c r="O1158" s="7" t="str"/>
      <x:c r="P1158" s="6" t="str">
        <x:v>Yes</x:v>
      </x:c>
      <x:c r="Q1158" s="7" t="str">
        <x:v>Requires stable service identity.</x:v>
      </x:c>
    </x:row>
    <x:row r="1159">
      <x:c r="A1159" s="6" t="str">
        <x:v>SEQ-PRT-0201</x:v>
      </x:c>
      <x:c r="B1159" s="6" t="str">
        <x:v>Part Requirement</x:v>
      </x:c>
      <x:c r="C1159" s="6" t="str">
        <x:v>PRTX-0201</x:v>
      </x:c>
      <x:c r="D1159" s="6" t="str">
        <x:v>SVC000201</x:v>
      </x:c>
      <x:c r="E1159" s="6" t="str"/>
      <x:c r="F1159" s="6" t="str">
        <x:v>Part-requirement review</x:v>
      </x:c>
      <x:c r="G1159" s="6" t="n">
        <x:v>5</x:v>
      </x:c>
      <x:c r="H1159" s="6" t="str">
        <x:v>SIDX-0201</x:v>
      </x:c>
      <x:c r="I1159" s="6" t="str">
        <x:f>IF(H1159="","No upstream dependency",IF(ISNUMBER(SEARCH(";",H1159)),"Multiple dependencies - verify source queues",IFERROR(XLOOKUP(H1159,C2:C1586,J2:J1586),"Dependency not found")))</x:f>
        <x:v>Not Started</x:v>
      </x:c>
      <x:c r="J1159" s="6" t="str">
        <x:v>Not Started</x:v>
      </x:c>
      <x:c r="K1159" s="6" t="str">
        <x:v>Normal</x:v>
      </x:c>
      <x:c r="L1159" s="6" t="str"/>
      <x:c r="M1159" s="6" t="str"/>
      <x:c r="N1159" s="6" t="str"/>
      <x:c r="O1159" s="7" t="str"/>
      <x:c r="P1159" s="6" t="str">
        <x:v>Yes</x:v>
      </x:c>
      <x:c r="Q1159" s="7" t="str">
        <x:v>Requires stable service identity.</x:v>
      </x:c>
    </x:row>
    <x:row r="1160">
      <x:c r="A1160" s="6" t="str">
        <x:v>SEQ-PRT-0202</x:v>
      </x:c>
      <x:c r="B1160" s="6" t="str">
        <x:v>Part Requirement</x:v>
      </x:c>
      <x:c r="C1160" s="6" t="str">
        <x:v>PRTX-0202</x:v>
      </x:c>
      <x:c r="D1160" s="6" t="str">
        <x:v>SVC000202</x:v>
      </x:c>
      <x:c r="E1160" s="6" t="str"/>
      <x:c r="F1160" s="6" t="str">
        <x:v>Part-requirement review</x:v>
      </x:c>
      <x:c r="G1160" s="6" t="n">
        <x:v>5</x:v>
      </x:c>
      <x:c r="H1160" s="6" t="str">
        <x:v>SIDX-0202</x:v>
      </x:c>
      <x:c r="I1160" s="6" t="str">
        <x:f>IF(H1160="","No upstream dependency",IF(ISNUMBER(SEARCH(";",H1160)),"Multiple dependencies - verify source queues",IFERROR(XLOOKUP(H1160,C2:C1586,J2:J1586),"Dependency not found")))</x:f>
        <x:v>Not Started</x:v>
      </x:c>
      <x:c r="J1160" s="6" t="str">
        <x:v>Not Started</x:v>
      </x:c>
      <x:c r="K1160" s="6" t="str">
        <x:v>Normal</x:v>
      </x:c>
      <x:c r="L1160" s="6" t="str"/>
      <x:c r="M1160" s="6" t="str"/>
      <x:c r="N1160" s="6" t="str"/>
      <x:c r="O1160" s="7" t="str"/>
      <x:c r="P1160" s="6" t="str">
        <x:v>Yes</x:v>
      </x:c>
      <x:c r="Q1160" s="7" t="str">
        <x:v>Requires stable service identity.</x:v>
      </x:c>
    </x:row>
    <x:row r="1161">
      <x:c r="A1161" s="6" t="str">
        <x:v>SEQ-PRT-0203</x:v>
      </x:c>
      <x:c r="B1161" s="6" t="str">
        <x:v>Part Requirement</x:v>
      </x:c>
      <x:c r="C1161" s="6" t="str">
        <x:v>PRTX-0203</x:v>
      </x:c>
      <x:c r="D1161" s="6" t="str">
        <x:v>SVC000203</x:v>
      </x:c>
      <x:c r="E1161" s="6" t="str"/>
      <x:c r="F1161" s="6" t="str">
        <x:v>Part-requirement review</x:v>
      </x:c>
      <x:c r="G1161" s="6" t="n">
        <x:v>5</x:v>
      </x:c>
      <x:c r="H1161" s="6" t="str">
        <x:v>SIDX-0203</x:v>
      </x:c>
      <x:c r="I1161" s="6" t="str">
        <x:f>IF(H1161="","No upstream dependency",IF(ISNUMBER(SEARCH(";",H1161)),"Multiple dependencies - verify source queues",IFERROR(XLOOKUP(H1161,C2:C1586,J2:J1586),"Dependency not found")))</x:f>
        <x:v>Not Started</x:v>
      </x:c>
      <x:c r="J1161" s="6" t="str">
        <x:v>Not Started</x:v>
      </x:c>
      <x:c r="K1161" s="6" t="str">
        <x:v>Normal</x:v>
      </x:c>
      <x:c r="L1161" s="6" t="str"/>
      <x:c r="M1161" s="6" t="str"/>
      <x:c r="N1161" s="6" t="str"/>
      <x:c r="O1161" s="7" t="str"/>
      <x:c r="P1161" s="6" t="str">
        <x:v>Yes</x:v>
      </x:c>
      <x:c r="Q1161" s="7" t="str">
        <x:v>Requires stable service identity.</x:v>
      </x:c>
    </x:row>
    <x:row r="1162">
      <x:c r="A1162" s="6" t="str">
        <x:v>SEQ-PRT-0204</x:v>
      </x:c>
      <x:c r="B1162" s="6" t="str">
        <x:v>Part Requirement</x:v>
      </x:c>
      <x:c r="C1162" s="6" t="str">
        <x:v>PRTX-0204</x:v>
      </x:c>
      <x:c r="D1162" s="6" t="str">
        <x:v>SVC000204</x:v>
      </x:c>
      <x:c r="E1162" s="6" t="str"/>
      <x:c r="F1162" s="6" t="str">
        <x:v>Part-requirement review</x:v>
      </x:c>
      <x:c r="G1162" s="6" t="n">
        <x:v>5</x:v>
      </x:c>
      <x:c r="H1162" s="6" t="str">
        <x:v>SIDX-0204</x:v>
      </x:c>
      <x:c r="I1162" s="6" t="str">
        <x:f>IF(H1162="","No upstream dependency",IF(ISNUMBER(SEARCH(";",H1162)),"Multiple dependencies - verify source queues",IFERROR(XLOOKUP(H1162,C2:C1586,J2:J1586),"Dependency not found")))</x:f>
        <x:v>Not Started</x:v>
      </x:c>
      <x:c r="J1162" s="6" t="str">
        <x:v>Not Started</x:v>
      </x:c>
      <x:c r="K1162" s="6" t="str">
        <x:v>Normal</x:v>
      </x:c>
      <x:c r="L1162" s="6" t="str"/>
      <x:c r="M1162" s="6" t="str"/>
      <x:c r="N1162" s="6" t="str"/>
      <x:c r="O1162" s="7" t="str"/>
      <x:c r="P1162" s="6" t="str">
        <x:v>Yes</x:v>
      </x:c>
      <x:c r="Q1162" s="7" t="str">
        <x:v>Requires stable service identity.</x:v>
      </x:c>
    </x:row>
    <x:row r="1163">
      <x:c r="A1163" s="6" t="str">
        <x:v>SEQ-PRT-0205</x:v>
      </x:c>
      <x:c r="B1163" s="6" t="str">
        <x:v>Part Requirement</x:v>
      </x:c>
      <x:c r="C1163" s="6" t="str">
        <x:v>PRTX-0205</x:v>
      </x:c>
      <x:c r="D1163" s="6" t="str">
        <x:v>SVC000205</x:v>
      </x:c>
      <x:c r="E1163" s="6" t="str"/>
      <x:c r="F1163" s="6" t="str">
        <x:v>Part-requirement review</x:v>
      </x:c>
      <x:c r="G1163" s="6" t="n">
        <x:v>5</x:v>
      </x:c>
      <x:c r="H1163" s="6" t="str">
        <x:v>SIDX-0205</x:v>
      </x:c>
      <x:c r="I1163" s="6" t="str">
        <x:f>IF(H1163="","No upstream dependency",IF(ISNUMBER(SEARCH(";",H1163)),"Multiple dependencies - verify source queues",IFERROR(XLOOKUP(H1163,C2:C1586,J2:J1586),"Dependency not found")))</x:f>
        <x:v>Not Started</x:v>
      </x:c>
      <x:c r="J1163" s="6" t="str">
        <x:v>Not Started</x:v>
      </x:c>
      <x:c r="K1163" s="6" t="str">
        <x:v>Normal</x:v>
      </x:c>
      <x:c r="L1163" s="6" t="str"/>
      <x:c r="M1163" s="6" t="str"/>
      <x:c r="N1163" s="6" t="str"/>
      <x:c r="O1163" s="7" t="str"/>
      <x:c r="P1163" s="6" t="str">
        <x:v>Yes</x:v>
      </x:c>
      <x:c r="Q1163" s="7" t="str">
        <x:v>Requires stable service identity.</x:v>
      </x:c>
    </x:row>
    <x:row r="1164">
      <x:c r="A1164" s="6" t="str">
        <x:v>SEQ-PRT-0206</x:v>
      </x:c>
      <x:c r="B1164" s="6" t="str">
        <x:v>Part Requirement</x:v>
      </x:c>
      <x:c r="C1164" s="6" t="str">
        <x:v>PRTX-0206</x:v>
      </x:c>
      <x:c r="D1164" s="6" t="str">
        <x:v>SVC000206</x:v>
      </x:c>
      <x:c r="E1164" s="6" t="str"/>
      <x:c r="F1164" s="6" t="str">
        <x:v>Part-requirement review</x:v>
      </x:c>
      <x:c r="G1164" s="6" t="n">
        <x:v>5</x:v>
      </x:c>
      <x:c r="H1164" s="6" t="str">
        <x:v>SIDX-0206</x:v>
      </x:c>
      <x:c r="I1164" s="6" t="str">
        <x:f>IF(H1164="","No upstream dependency",IF(ISNUMBER(SEARCH(";",H1164)),"Multiple dependencies - verify source queues",IFERROR(XLOOKUP(H1164,C2:C1586,J2:J1586),"Dependency not found")))</x:f>
        <x:v>Not Started</x:v>
      </x:c>
      <x:c r="J1164" s="6" t="str">
        <x:v>Not Started</x:v>
      </x:c>
      <x:c r="K1164" s="6" t="str">
        <x:v>Normal</x:v>
      </x:c>
      <x:c r="L1164" s="6" t="str"/>
      <x:c r="M1164" s="6" t="str"/>
      <x:c r="N1164" s="6" t="str"/>
      <x:c r="O1164" s="7" t="str"/>
      <x:c r="P1164" s="6" t="str">
        <x:v>Yes</x:v>
      </x:c>
      <x:c r="Q1164" s="7" t="str">
        <x:v>Requires stable service identity.</x:v>
      </x:c>
    </x:row>
    <x:row r="1165">
      <x:c r="A1165" s="6" t="str">
        <x:v>SEQ-PRT-0207</x:v>
      </x:c>
      <x:c r="B1165" s="6" t="str">
        <x:v>Part Requirement</x:v>
      </x:c>
      <x:c r="C1165" s="6" t="str">
        <x:v>PRTX-0207</x:v>
      </x:c>
      <x:c r="D1165" s="6" t="str">
        <x:v>SVC000207</x:v>
      </x:c>
      <x:c r="E1165" s="6" t="str"/>
      <x:c r="F1165" s="6" t="str">
        <x:v>Part-requirement review</x:v>
      </x:c>
      <x:c r="G1165" s="6" t="n">
        <x:v>5</x:v>
      </x:c>
      <x:c r="H1165" s="6" t="str">
        <x:v>SIDX-0207</x:v>
      </x:c>
      <x:c r="I1165" s="6" t="str">
        <x:f>IF(H1165="","No upstream dependency",IF(ISNUMBER(SEARCH(";",H1165)),"Multiple dependencies - verify source queues",IFERROR(XLOOKUP(H1165,C2:C1586,J2:J1586),"Dependency not found")))</x:f>
        <x:v>Not Started</x:v>
      </x:c>
      <x:c r="J1165" s="6" t="str">
        <x:v>Not Started</x:v>
      </x:c>
      <x:c r="K1165" s="6" t="str">
        <x:v>Normal</x:v>
      </x:c>
      <x:c r="L1165" s="6" t="str"/>
      <x:c r="M1165" s="6" t="str"/>
      <x:c r="N1165" s="6" t="str"/>
      <x:c r="O1165" s="7" t="str"/>
      <x:c r="P1165" s="6" t="str">
        <x:v>Yes</x:v>
      </x:c>
      <x:c r="Q1165" s="7" t="str">
        <x:v>Requires stable service identity.</x:v>
      </x:c>
    </x:row>
    <x:row r="1166">
      <x:c r="A1166" s="6" t="str">
        <x:v>SEQ-PRT-0208</x:v>
      </x:c>
      <x:c r="B1166" s="6" t="str">
        <x:v>Part Requirement</x:v>
      </x:c>
      <x:c r="C1166" s="6" t="str">
        <x:v>PRTX-0208</x:v>
      </x:c>
      <x:c r="D1166" s="6" t="str">
        <x:v>SVC000208</x:v>
      </x:c>
      <x:c r="E1166" s="6" t="str"/>
      <x:c r="F1166" s="6" t="str">
        <x:v>Part-requirement review</x:v>
      </x:c>
      <x:c r="G1166" s="6" t="n">
        <x:v>5</x:v>
      </x:c>
      <x:c r="H1166" s="6" t="str">
        <x:v>SIDX-0208</x:v>
      </x:c>
      <x:c r="I1166" s="6" t="str">
        <x:f>IF(H1166="","No upstream dependency",IF(ISNUMBER(SEARCH(";",H1166)),"Multiple dependencies - verify source queues",IFERROR(XLOOKUP(H1166,C2:C1586,J2:J1586),"Dependency not found")))</x:f>
        <x:v>Not Started</x:v>
      </x:c>
      <x:c r="J1166" s="6" t="str">
        <x:v>Not Started</x:v>
      </x:c>
      <x:c r="K1166" s="6" t="str">
        <x:v>Normal</x:v>
      </x:c>
      <x:c r="L1166" s="6" t="str"/>
      <x:c r="M1166" s="6" t="str"/>
      <x:c r="N1166" s="6" t="str"/>
      <x:c r="O1166" s="7" t="str"/>
      <x:c r="P1166" s="6" t="str">
        <x:v>Yes</x:v>
      </x:c>
      <x:c r="Q1166" s="7" t="str">
        <x:v>Requires stable service identity.</x:v>
      </x:c>
    </x:row>
    <x:row r="1167">
      <x:c r="A1167" s="6" t="str">
        <x:v>SEQ-PRT-0209</x:v>
      </x:c>
      <x:c r="B1167" s="6" t="str">
        <x:v>Part Requirement</x:v>
      </x:c>
      <x:c r="C1167" s="6" t="str">
        <x:v>PRTX-0209</x:v>
      </x:c>
      <x:c r="D1167" s="6" t="str">
        <x:v>SVC000209</x:v>
      </x:c>
      <x:c r="E1167" s="6" t="str"/>
      <x:c r="F1167" s="6" t="str">
        <x:v>Part-requirement review</x:v>
      </x:c>
      <x:c r="G1167" s="6" t="n">
        <x:v>5</x:v>
      </x:c>
      <x:c r="H1167" s="6" t="str">
        <x:v>SIDX-0209</x:v>
      </x:c>
      <x:c r="I1167" s="6" t="str">
        <x:f>IF(H1167="","No upstream dependency",IF(ISNUMBER(SEARCH(";",H1167)),"Multiple dependencies - verify source queues",IFERROR(XLOOKUP(H1167,C2:C1586,J2:J1586),"Dependency not found")))</x:f>
        <x:v>Not Started</x:v>
      </x:c>
      <x:c r="J1167" s="6" t="str">
        <x:v>Not Started</x:v>
      </x:c>
      <x:c r="K1167" s="6" t="str">
        <x:v>Normal</x:v>
      </x:c>
      <x:c r="L1167" s="6" t="str"/>
      <x:c r="M1167" s="6" t="str"/>
      <x:c r="N1167" s="6" t="str"/>
      <x:c r="O1167" s="7" t="str"/>
      <x:c r="P1167" s="6" t="str">
        <x:v>Yes</x:v>
      </x:c>
      <x:c r="Q1167" s="7" t="str">
        <x:v>Requires stable service identity.</x:v>
      </x:c>
    </x:row>
    <x:row r="1168">
      <x:c r="A1168" s="6" t="str">
        <x:v>SEQ-PRT-0210</x:v>
      </x:c>
      <x:c r="B1168" s="6" t="str">
        <x:v>Part Requirement</x:v>
      </x:c>
      <x:c r="C1168" s="6" t="str">
        <x:v>PRTX-0210</x:v>
      </x:c>
      <x:c r="D1168" s="6" t="str">
        <x:v>SVC000210</x:v>
      </x:c>
      <x:c r="E1168" s="6" t="str"/>
      <x:c r="F1168" s="6" t="str">
        <x:v>Part-requirement review</x:v>
      </x:c>
      <x:c r="G1168" s="6" t="n">
        <x:v>5</x:v>
      </x:c>
      <x:c r="H1168" s="6" t="str">
        <x:v>SIDX-0210</x:v>
      </x:c>
      <x:c r="I1168" s="6" t="str">
        <x:f>IF(H1168="","No upstream dependency",IF(ISNUMBER(SEARCH(";",H1168)),"Multiple dependencies - verify source queues",IFERROR(XLOOKUP(H1168,C2:C1586,J2:J1586),"Dependency not found")))</x:f>
        <x:v>Not Started</x:v>
      </x:c>
      <x:c r="J1168" s="6" t="str">
        <x:v>Not Started</x:v>
      </x:c>
      <x:c r="K1168" s="6" t="str">
        <x:v>Normal</x:v>
      </x:c>
      <x:c r="L1168" s="6" t="str"/>
      <x:c r="M1168" s="6" t="str"/>
      <x:c r="N1168" s="6" t="str"/>
      <x:c r="O1168" s="7" t="str"/>
      <x:c r="P1168" s="6" t="str">
        <x:v>Yes</x:v>
      </x:c>
      <x:c r="Q1168" s="7" t="str">
        <x:v>Requires stable service identity.</x:v>
      </x:c>
    </x:row>
    <x:row r="1169">
      <x:c r="A1169" s="6" t="str">
        <x:v>SEQ-PRT-0211</x:v>
      </x:c>
      <x:c r="B1169" s="6" t="str">
        <x:v>Part Requirement</x:v>
      </x:c>
      <x:c r="C1169" s="6" t="str">
        <x:v>PRTX-0211</x:v>
      </x:c>
      <x:c r="D1169" s="6" t="str">
        <x:v>SVC000211</x:v>
      </x:c>
      <x:c r="E1169" s="6" t="str"/>
      <x:c r="F1169" s="6" t="str">
        <x:v>Part-requirement review</x:v>
      </x:c>
      <x:c r="G1169" s="6" t="n">
        <x:v>5</x:v>
      </x:c>
      <x:c r="H1169" s="6" t="str">
        <x:v>SIDX-0211</x:v>
      </x:c>
      <x:c r="I1169" s="6" t="str">
        <x:f>IF(H1169="","No upstream dependency",IF(ISNUMBER(SEARCH(";",H1169)),"Multiple dependencies - verify source queues",IFERROR(XLOOKUP(H1169,C2:C1586,J2:J1586),"Dependency not found")))</x:f>
        <x:v>Not Started</x:v>
      </x:c>
      <x:c r="J1169" s="6" t="str">
        <x:v>Not Started</x:v>
      </x:c>
      <x:c r="K1169" s="6" t="str">
        <x:v>Normal</x:v>
      </x:c>
      <x:c r="L1169" s="6" t="str"/>
      <x:c r="M1169" s="6" t="str"/>
      <x:c r="N1169" s="6" t="str"/>
      <x:c r="O1169" s="7" t="str"/>
      <x:c r="P1169" s="6" t="str">
        <x:v>Yes</x:v>
      </x:c>
      <x:c r="Q1169" s="7" t="str">
        <x:v>Requires stable service identity.</x:v>
      </x:c>
    </x:row>
    <x:row r="1170">
      <x:c r="A1170" s="6" t="str">
        <x:v>SEQ-PRT-0212</x:v>
      </x:c>
      <x:c r="B1170" s="6" t="str">
        <x:v>Part Requirement</x:v>
      </x:c>
      <x:c r="C1170" s="6" t="str">
        <x:v>PRTX-0212</x:v>
      </x:c>
      <x:c r="D1170" s="6" t="str">
        <x:v>SVC000212</x:v>
      </x:c>
      <x:c r="E1170" s="6" t="str"/>
      <x:c r="F1170" s="6" t="str">
        <x:v>Part-requirement review</x:v>
      </x:c>
      <x:c r="G1170" s="6" t="n">
        <x:v>5</x:v>
      </x:c>
      <x:c r="H1170" s="6" t="str">
        <x:v>SIDX-0212</x:v>
      </x:c>
      <x:c r="I1170" s="6" t="str">
        <x:f>IF(H1170="","No upstream dependency",IF(ISNUMBER(SEARCH(";",H1170)),"Multiple dependencies - verify source queues",IFERROR(XLOOKUP(H1170,C2:C1586,J2:J1586),"Dependency not found")))</x:f>
        <x:v>Not Started</x:v>
      </x:c>
      <x:c r="J1170" s="6" t="str">
        <x:v>Not Started</x:v>
      </x:c>
      <x:c r="K1170" s="6" t="str">
        <x:v>Normal</x:v>
      </x:c>
      <x:c r="L1170" s="6" t="str"/>
      <x:c r="M1170" s="6" t="str"/>
      <x:c r="N1170" s="6" t="str"/>
      <x:c r="O1170" s="7" t="str"/>
      <x:c r="P1170" s="6" t="str">
        <x:v>Yes</x:v>
      </x:c>
      <x:c r="Q1170" s="7" t="str">
        <x:v>Requires stable service identity.</x:v>
      </x:c>
    </x:row>
    <x:row r="1171">
      <x:c r="A1171" s="6" t="str">
        <x:v>SEQ-PRT-0213</x:v>
      </x:c>
      <x:c r="B1171" s="6" t="str">
        <x:v>Part Requirement</x:v>
      </x:c>
      <x:c r="C1171" s="6" t="str">
        <x:v>PRTX-0213</x:v>
      </x:c>
      <x:c r="D1171" s="6" t="str">
        <x:v>SVC000213</x:v>
      </x:c>
      <x:c r="E1171" s="6" t="str"/>
      <x:c r="F1171" s="6" t="str">
        <x:v>Part-requirement review</x:v>
      </x:c>
      <x:c r="G1171" s="6" t="n">
        <x:v>5</x:v>
      </x:c>
      <x:c r="H1171" s="6" t="str">
        <x:v>SIDX-0213</x:v>
      </x:c>
      <x:c r="I1171" s="6" t="str">
        <x:f>IF(H1171="","No upstream dependency",IF(ISNUMBER(SEARCH(";",H1171)),"Multiple dependencies - verify source queues",IFERROR(XLOOKUP(H1171,C2:C1586,J2:J1586),"Dependency not found")))</x:f>
        <x:v>Not Started</x:v>
      </x:c>
      <x:c r="J1171" s="6" t="str">
        <x:v>Not Started</x:v>
      </x:c>
      <x:c r="K1171" s="6" t="str">
        <x:v>Normal</x:v>
      </x:c>
      <x:c r="L1171" s="6" t="str"/>
      <x:c r="M1171" s="6" t="str"/>
      <x:c r="N1171" s="6" t="str"/>
      <x:c r="O1171" s="7" t="str"/>
      <x:c r="P1171" s="6" t="str">
        <x:v>Yes</x:v>
      </x:c>
      <x:c r="Q1171" s="7" t="str">
        <x:v>Requires stable service identity.</x:v>
      </x:c>
    </x:row>
    <x:row r="1172">
      <x:c r="A1172" s="6" t="str">
        <x:v>SEQ-PRT-0214</x:v>
      </x:c>
      <x:c r="B1172" s="6" t="str">
        <x:v>Part Requirement</x:v>
      </x:c>
      <x:c r="C1172" s="6" t="str">
        <x:v>PRTX-0214</x:v>
      </x:c>
      <x:c r="D1172" s="6" t="str">
        <x:v>SVC000214</x:v>
      </x:c>
      <x:c r="E1172" s="6" t="str"/>
      <x:c r="F1172" s="6" t="str">
        <x:v>Part-requirement review</x:v>
      </x:c>
      <x:c r="G1172" s="6" t="n">
        <x:v>5</x:v>
      </x:c>
      <x:c r="H1172" s="6" t="str">
        <x:v>SIDX-0214</x:v>
      </x:c>
      <x:c r="I1172" s="6" t="str">
        <x:f>IF(H1172="","No upstream dependency",IF(ISNUMBER(SEARCH(";",H1172)),"Multiple dependencies - verify source queues",IFERROR(XLOOKUP(H1172,C2:C1586,J2:J1586),"Dependency not found")))</x:f>
        <x:v>Not Started</x:v>
      </x:c>
      <x:c r="J1172" s="6" t="str">
        <x:v>Not Started</x:v>
      </x:c>
      <x:c r="K1172" s="6" t="str">
        <x:v>Normal</x:v>
      </x:c>
      <x:c r="L1172" s="6" t="str"/>
      <x:c r="M1172" s="6" t="str"/>
      <x:c r="N1172" s="6" t="str"/>
      <x:c r="O1172" s="7" t="str"/>
      <x:c r="P1172" s="6" t="str">
        <x:v>Yes</x:v>
      </x:c>
      <x:c r="Q1172" s="7" t="str">
        <x:v>Requires stable service identity.</x:v>
      </x:c>
    </x:row>
    <x:row r="1173">
      <x:c r="A1173" s="6" t="str">
        <x:v>SEQ-PRT-0215</x:v>
      </x:c>
      <x:c r="B1173" s="6" t="str">
        <x:v>Part Requirement</x:v>
      </x:c>
      <x:c r="C1173" s="6" t="str">
        <x:v>PRTX-0215</x:v>
      </x:c>
      <x:c r="D1173" s="6" t="str">
        <x:v>SVC000215</x:v>
      </x:c>
      <x:c r="E1173" s="6" t="str"/>
      <x:c r="F1173" s="6" t="str">
        <x:v>Part-requirement review</x:v>
      </x:c>
      <x:c r="G1173" s="6" t="n">
        <x:v>5</x:v>
      </x:c>
      <x:c r="H1173" s="6" t="str">
        <x:v>SIDX-0215</x:v>
      </x:c>
      <x:c r="I1173" s="6" t="str">
        <x:f>IF(H1173="","No upstream dependency",IF(ISNUMBER(SEARCH(";",H1173)),"Multiple dependencies - verify source queues",IFERROR(XLOOKUP(H1173,C2:C1586,J2:J1586),"Dependency not found")))</x:f>
        <x:v>Not Started</x:v>
      </x:c>
      <x:c r="J1173" s="6" t="str">
        <x:v>Not Started</x:v>
      </x:c>
      <x:c r="K1173" s="6" t="str">
        <x:v>Normal</x:v>
      </x:c>
      <x:c r="L1173" s="6" t="str"/>
      <x:c r="M1173" s="6" t="str"/>
      <x:c r="N1173" s="6" t="str"/>
      <x:c r="O1173" s="7" t="str"/>
      <x:c r="P1173" s="6" t="str">
        <x:v>Yes</x:v>
      </x:c>
      <x:c r="Q1173" s="7" t="str">
        <x:v>Requires stable service identity.</x:v>
      </x:c>
    </x:row>
    <x:row r="1174">
      <x:c r="A1174" s="6" t="str">
        <x:v>SEQ-PRT-0216</x:v>
      </x:c>
      <x:c r="B1174" s="6" t="str">
        <x:v>Part Requirement</x:v>
      </x:c>
      <x:c r="C1174" s="6" t="str">
        <x:v>PRTX-0216</x:v>
      </x:c>
      <x:c r="D1174" s="6" t="str">
        <x:v>SVC000216</x:v>
      </x:c>
      <x:c r="E1174" s="6" t="str"/>
      <x:c r="F1174" s="6" t="str">
        <x:v>Part-requirement review</x:v>
      </x:c>
      <x:c r="G1174" s="6" t="n">
        <x:v>5</x:v>
      </x:c>
      <x:c r="H1174" s="6" t="str">
        <x:v>SIDX-0216</x:v>
      </x:c>
      <x:c r="I1174" s="6" t="str">
        <x:f>IF(H1174="","No upstream dependency",IF(ISNUMBER(SEARCH(";",H1174)),"Multiple dependencies - verify source queues",IFERROR(XLOOKUP(H1174,C2:C1586,J2:J1586),"Dependency not found")))</x:f>
        <x:v>Not Started</x:v>
      </x:c>
      <x:c r="J1174" s="6" t="str">
        <x:v>Not Started</x:v>
      </x:c>
      <x:c r="K1174" s="6" t="str">
        <x:v>Normal</x:v>
      </x:c>
      <x:c r="L1174" s="6" t="str"/>
      <x:c r="M1174" s="6" t="str"/>
      <x:c r="N1174" s="6" t="str"/>
      <x:c r="O1174" s="7" t="str"/>
      <x:c r="P1174" s="6" t="str">
        <x:v>Yes</x:v>
      </x:c>
      <x:c r="Q1174" s="7" t="str">
        <x:v>Requires stable service identity.</x:v>
      </x:c>
    </x:row>
    <x:row r="1175">
      <x:c r="A1175" s="6" t="str">
        <x:v>SEQ-PRT-0217</x:v>
      </x:c>
      <x:c r="B1175" s="6" t="str">
        <x:v>Part Requirement</x:v>
      </x:c>
      <x:c r="C1175" s="6" t="str">
        <x:v>PRTX-0217</x:v>
      </x:c>
      <x:c r="D1175" s="6" t="str">
        <x:v>SVC000217</x:v>
      </x:c>
      <x:c r="E1175" s="6" t="str"/>
      <x:c r="F1175" s="6" t="str">
        <x:v>Part-requirement review</x:v>
      </x:c>
      <x:c r="G1175" s="6" t="n">
        <x:v>5</x:v>
      </x:c>
      <x:c r="H1175" s="6" t="str">
        <x:v>SIDX-0217</x:v>
      </x:c>
      <x:c r="I1175" s="6" t="str">
        <x:f>IF(H1175="","No upstream dependency",IF(ISNUMBER(SEARCH(";",H1175)),"Multiple dependencies - verify source queues",IFERROR(XLOOKUP(H1175,C2:C1586,J2:J1586),"Dependency not found")))</x:f>
        <x:v>Not Started</x:v>
      </x:c>
      <x:c r="J1175" s="6" t="str">
        <x:v>Not Started</x:v>
      </x:c>
      <x:c r="K1175" s="6" t="str">
        <x:v>Normal</x:v>
      </x:c>
      <x:c r="L1175" s="6" t="str"/>
      <x:c r="M1175" s="6" t="str"/>
      <x:c r="N1175" s="6" t="str"/>
      <x:c r="O1175" s="7" t="str"/>
      <x:c r="P1175" s="6" t="str">
        <x:v>Yes</x:v>
      </x:c>
      <x:c r="Q1175" s="7" t="str">
        <x:v>Requires stable service identity.</x:v>
      </x:c>
    </x:row>
    <x:row r="1176">
      <x:c r="A1176" s="6" t="str">
        <x:v>SEQ-PRT-0218</x:v>
      </x:c>
      <x:c r="B1176" s="6" t="str">
        <x:v>Part Requirement</x:v>
      </x:c>
      <x:c r="C1176" s="6" t="str">
        <x:v>PRTX-0218</x:v>
      </x:c>
      <x:c r="D1176" s="6" t="str">
        <x:v>SVC000218</x:v>
      </x:c>
      <x:c r="E1176" s="6" t="str"/>
      <x:c r="F1176" s="6" t="str">
        <x:v>Part-requirement review</x:v>
      </x:c>
      <x:c r="G1176" s="6" t="n">
        <x:v>5</x:v>
      </x:c>
      <x:c r="H1176" s="6" t="str">
        <x:v>SIDX-0218</x:v>
      </x:c>
      <x:c r="I1176" s="6" t="str">
        <x:f>IF(H1176="","No upstream dependency",IF(ISNUMBER(SEARCH(";",H1176)),"Multiple dependencies - verify source queues",IFERROR(XLOOKUP(H1176,C2:C1586,J2:J1586),"Dependency not found")))</x:f>
        <x:v>Not Started</x:v>
      </x:c>
      <x:c r="J1176" s="6" t="str">
        <x:v>Not Started</x:v>
      </x:c>
      <x:c r="K1176" s="6" t="str">
        <x:v>Normal</x:v>
      </x:c>
      <x:c r="L1176" s="6" t="str"/>
      <x:c r="M1176" s="6" t="str"/>
      <x:c r="N1176" s="6" t="str"/>
      <x:c r="O1176" s="7" t="str"/>
      <x:c r="P1176" s="6" t="str">
        <x:v>Yes</x:v>
      </x:c>
      <x:c r="Q1176" s="7" t="str">
        <x:v>Requires stable service identity.</x:v>
      </x:c>
    </x:row>
    <x:row r="1177">
      <x:c r="A1177" s="6" t="str">
        <x:v>SEQ-PRT-0219</x:v>
      </x:c>
      <x:c r="B1177" s="6" t="str">
        <x:v>Part Requirement</x:v>
      </x:c>
      <x:c r="C1177" s="6" t="str">
        <x:v>PRTX-0219</x:v>
      </x:c>
      <x:c r="D1177" s="6" t="str">
        <x:v>SVC000219</x:v>
      </x:c>
      <x:c r="E1177" s="6" t="str"/>
      <x:c r="F1177" s="6" t="str">
        <x:v>Part-requirement review</x:v>
      </x:c>
      <x:c r="G1177" s="6" t="n">
        <x:v>5</x:v>
      </x:c>
      <x:c r="H1177" s="6" t="str">
        <x:v>SIDX-0219</x:v>
      </x:c>
      <x:c r="I1177" s="6" t="str">
        <x:f>IF(H1177="","No upstream dependency",IF(ISNUMBER(SEARCH(";",H1177)),"Multiple dependencies - verify source queues",IFERROR(XLOOKUP(H1177,C2:C1586,J2:J1586),"Dependency not found")))</x:f>
        <x:v>Not Started</x:v>
      </x:c>
      <x:c r="J1177" s="6" t="str">
        <x:v>Not Started</x:v>
      </x:c>
      <x:c r="K1177" s="6" t="str">
        <x:v>Normal</x:v>
      </x:c>
      <x:c r="L1177" s="6" t="str"/>
      <x:c r="M1177" s="6" t="str"/>
      <x:c r="N1177" s="6" t="str"/>
      <x:c r="O1177" s="7" t="str"/>
      <x:c r="P1177" s="6" t="str">
        <x:v>Yes</x:v>
      </x:c>
      <x:c r="Q1177" s="7" t="str">
        <x:v>Requires stable service identity.</x:v>
      </x:c>
    </x:row>
    <x:row r="1178">
      <x:c r="A1178" s="6" t="str">
        <x:v>SEQ-PRT-0220</x:v>
      </x:c>
      <x:c r="B1178" s="6" t="str">
        <x:v>Part Requirement</x:v>
      </x:c>
      <x:c r="C1178" s="6" t="str">
        <x:v>PRTX-0220</x:v>
      </x:c>
      <x:c r="D1178" s="6" t="str">
        <x:v>SVC000220</x:v>
      </x:c>
      <x:c r="E1178" s="6" t="str"/>
      <x:c r="F1178" s="6" t="str">
        <x:v>Part-requirement review</x:v>
      </x:c>
      <x:c r="G1178" s="6" t="n">
        <x:v>5</x:v>
      </x:c>
      <x:c r="H1178" s="6" t="str">
        <x:v>SIDX-0220</x:v>
      </x:c>
      <x:c r="I1178" s="6" t="str">
        <x:f>IF(H1178="","No upstream dependency",IF(ISNUMBER(SEARCH(";",H1178)),"Multiple dependencies - verify source queues",IFERROR(XLOOKUP(H1178,C2:C1586,J2:J1586),"Dependency not found")))</x:f>
        <x:v>Not Started</x:v>
      </x:c>
      <x:c r="J1178" s="6" t="str">
        <x:v>Not Started</x:v>
      </x:c>
      <x:c r="K1178" s="6" t="str">
        <x:v>Normal</x:v>
      </x:c>
      <x:c r="L1178" s="6" t="str"/>
      <x:c r="M1178" s="6" t="str"/>
      <x:c r="N1178" s="6" t="str"/>
      <x:c r="O1178" s="7" t="str"/>
      <x:c r="P1178" s="6" t="str">
        <x:v>Yes</x:v>
      </x:c>
      <x:c r="Q1178" s="7" t="str">
        <x:v>Requires stable service identity.</x:v>
      </x:c>
    </x:row>
    <x:row r="1179">
      <x:c r="A1179" s="6" t="str">
        <x:v>SEQ-PRT-0221</x:v>
      </x:c>
      <x:c r="B1179" s="6" t="str">
        <x:v>Part Requirement</x:v>
      </x:c>
      <x:c r="C1179" s="6" t="str">
        <x:v>PRTX-0221</x:v>
      </x:c>
      <x:c r="D1179" s="6" t="str">
        <x:v>SVC000221</x:v>
      </x:c>
      <x:c r="E1179" s="6" t="str"/>
      <x:c r="F1179" s="6" t="str">
        <x:v>Part-requirement review</x:v>
      </x:c>
      <x:c r="G1179" s="6" t="n">
        <x:v>5</x:v>
      </x:c>
      <x:c r="H1179" s="6" t="str">
        <x:v>SIDX-0221</x:v>
      </x:c>
      <x:c r="I1179" s="6" t="str">
        <x:f>IF(H1179="","No upstream dependency",IF(ISNUMBER(SEARCH(";",H1179)),"Multiple dependencies - verify source queues",IFERROR(XLOOKUP(H1179,C2:C1586,J2:J1586),"Dependency not found")))</x:f>
        <x:v>Not Started</x:v>
      </x:c>
      <x:c r="J1179" s="6" t="str">
        <x:v>Not Started</x:v>
      </x:c>
      <x:c r="K1179" s="6" t="str">
        <x:v>Normal</x:v>
      </x:c>
      <x:c r="L1179" s="6" t="str"/>
      <x:c r="M1179" s="6" t="str"/>
      <x:c r="N1179" s="6" t="str"/>
      <x:c r="O1179" s="7" t="str"/>
      <x:c r="P1179" s="6" t="str">
        <x:v>Yes</x:v>
      </x:c>
      <x:c r="Q1179" s="7" t="str">
        <x:v>Requires stable service identity.</x:v>
      </x:c>
    </x:row>
    <x:row r="1180">
      <x:c r="A1180" s="6" t="str">
        <x:v>SEQ-PRT-0222</x:v>
      </x:c>
      <x:c r="B1180" s="6" t="str">
        <x:v>Part Requirement</x:v>
      </x:c>
      <x:c r="C1180" s="6" t="str">
        <x:v>PRTX-0222</x:v>
      </x:c>
      <x:c r="D1180" s="6" t="str">
        <x:v>SVC000222</x:v>
      </x:c>
      <x:c r="E1180" s="6" t="str"/>
      <x:c r="F1180" s="6" t="str">
        <x:v>Part-requirement review</x:v>
      </x:c>
      <x:c r="G1180" s="6" t="n">
        <x:v>5</x:v>
      </x:c>
      <x:c r="H1180" s="6" t="str">
        <x:v>SIDX-0222</x:v>
      </x:c>
      <x:c r="I1180" s="6" t="str">
        <x:f>IF(H1180="","No upstream dependency",IF(ISNUMBER(SEARCH(";",H1180)),"Multiple dependencies - verify source queues",IFERROR(XLOOKUP(H1180,C2:C1586,J2:J1586),"Dependency not found")))</x:f>
        <x:v>Not Started</x:v>
      </x:c>
      <x:c r="J1180" s="6" t="str">
        <x:v>Not Started</x:v>
      </x:c>
      <x:c r="K1180" s="6" t="str">
        <x:v>Normal</x:v>
      </x:c>
      <x:c r="L1180" s="6" t="str"/>
      <x:c r="M1180" s="6" t="str"/>
      <x:c r="N1180" s="6" t="str"/>
      <x:c r="O1180" s="7" t="str"/>
      <x:c r="P1180" s="6" t="str">
        <x:v>Yes</x:v>
      </x:c>
      <x:c r="Q1180" s="7" t="str">
        <x:v>Requires stable service identity.</x:v>
      </x:c>
    </x:row>
    <x:row r="1181">
      <x:c r="A1181" s="6" t="str">
        <x:v>SEQ-PRT-0223</x:v>
      </x:c>
      <x:c r="B1181" s="6" t="str">
        <x:v>Part Requirement</x:v>
      </x:c>
      <x:c r="C1181" s="6" t="str">
        <x:v>PRTX-0223</x:v>
      </x:c>
      <x:c r="D1181" s="6" t="str">
        <x:v>SVC000223</x:v>
      </x:c>
      <x:c r="E1181" s="6" t="str"/>
      <x:c r="F1181" s="6" t="str">
        <x:v>Part-requirement review</x:v>
      </x:c>
      <x:c r="G1181" s="6" t="n">
        <x:v>5</x:v>
      </x:c>
      <x:c r="H1181" s="6" t="str">
        <x:v>SIDX-0223</x:v>
      </x:c>
      <x:c r="I1181" s="6" t="str">
        <x:f>IF(H1181="","No upstream dependency",IF(ISNUMBER(SEARCH(";",H1181)),"Multiple dependencies - verify source queues",IFERROR(XLOOKUP(H1181,C2:C1586,J2:J1586),"Dependency not found")))</x:f>
        <x:v>Not Started</x:v>
      </x:c>
      <x:c r="J1181" s="6" t="str">
        <x:v>Not Started</x:v>
      </x:c>
      <x:c r="K1181" s="6" t="str">
        <x:v>Normal</x:v>
      </x:c>
      <x:c r="L1181" s="6" t="str"/>
      <x:c r="M1181" s="6" t="str"/>
      <x:c r="N1181" s="6" t="str"/>
      <x:c r="O1181" s="7" t="str"/>
      <x:c r="P1181" s="6" t="str">
        <x:v>Yes</x:v>
      </x:c>
      <x:c r="Q1181" s="7" t="str">
        <x:v>Requires stable service identity.</x:v>
      </x:c>
    </x:row>
    <x:row r="1182">
      <x:c r="A1182" s="6" t="str">
        <x:v>SEQ-PRT-0224</x:v>
      </x:c>
      <x:c r="B1182" s="6" t="str">
        <x:v>Part Requirement</x:v>
      </x:c>
      <x:c r="C1182" s="6" t="str">
        <x:v>PRTX-0224</x:v>
      </x:c>
      <x:c r="D1182" s="6" t="str">
        <x:v>SVC000224</x:v>
      </x:c>
      <x:c r="E1182" s="6" t="str"/>
      <x:c r="F1182" s="6" t="str">
        <x:v>Part-requirement review</x:v>
      </x:c>
      <x:c r="G1182" s="6" t="n">
        <x:v>5</x:v>
      </x:c>
      <x:c r="H1182" s="6" t="str">
        <x:v>SIDX-0224</x:v>
      </x:c>
      <x:c r="I1182" s="6" t="str">
        <x:f>IF(H1182="","No upstream dependency",IF(ISNUMBER(SEARCH(";",H1182)),"Multiple dependencies - verify source queues",IFERROR(XLOOKUP(H1182,C2:C1586,J2:J1586),"Dependency not found")))</x:f>
        <x:v>Not Started</x:v>
      </x:c>
      <x:c r="J1182" s="6" t="str">
        <x:v>Not Started</x:v>
      </x:c>
      <x:c r="K1182" s="6" t="str">
        <x:v>Normal</x:v>
      </x:c>
      <x:c r="L1182" s="6" t="str"/>
      <x:c r="M1182" s="6" t="str"/>
      <x:c r="N1182" s="6" t="str"/>
      <x:c r="O1182" s="7" t="str"/>
      <x:c r="P1182" s="6" t="str">
        <x:v>Yes</x:v>
      </x:c>
      <x:c r="Q1182" s="7" t="str">
        <x:v>Requires stable service identity.</x:v>
      </x:c>
    </x:row>
    <x:row r="1183">
      <x:c r="A1183" s="6" t="str">
        <x:v>SEQ-PRT-0225</x:v>
      </x:c>
      <x:c r="B1183" s="6" t="str">
        <x:v>Part Requirement</x:v>
      </x:c>
      <x:c r="C1183" s="6" t="str">
        <x:v>PRTX-0225</x:v>
      </x:c>
      <x:c r="D1183" s="6" t="str">
        <x:v>SVC000225</x:v>
      </x:c>
      <x:c r="E1183" s="6" t="str"/>
      <x:c r="F1183" s="6" t="str">
        <x:v>Part-requirement review</x:v>
      </x:c>
      <x:c r="G1183" s="6" t="n">
        <x:v>5</x:v>
      </x:c>
      <x:c r="H1183" s="6" t="str">
        <x:v>SIDX-0225</x:v>
      </x:c>
      <x:c r="I1183" s="6" t="str">
        <x:f>IF(H1183="","No upstream dependency",IF(ISNUMBER(SEARCH(";",H1183)),"Multiple dependencies - verify source queues",IFERROR(XLOOKUP(H1183,C2:C1586,J2:J1586),"Dependency not found")))</x:f>
        <x:v>Not Started</x:v>
      </x:c>
      <x:c r="J1183" s="6" t="str">
        <x:v>Not Started</x:v>
      </x:c>
      <x:c r="K1183" s="6" t="str">
        <x:v>Normal</x:v>
      </x:c>
      <x:c r="L1183" s="6" t="str"/>
      <x:c r="M1183" s="6" t="str"/>
      <x:c r="N1183" s="6" t="str"/>
      <x:c r="O1183" s="7" t="str"/>
      <x:c r="P1183" s="6" t="str">
        <x:v>Yes</x:v>
      </x:c>
      <x:c r="Q1183" s="7" t="str">
        <x:v>Requires stable service identity.</x:v>
      </x:c>
    </x:row>
    <x:row r="1184">
      <x:c r="A1184" s="6" t="str">
        <x:v>SEQ-PRT-0226</x:v>
      </x:c>
      <x:c r="B1184" s="6" t="str">
        <x:v>Part Requirement</x:v>
      </x:c>
      <x:c r="C1184" s="6" t="str">
        <x:v>PRTX-0226</x:v>
      </x:c>
      <x:c r="D1184" s="6" t="str">
        <x:v>SVC000226</x:v>
      </x:c>
      <x:c r="E1184" s="6" t="str"/>
      <x:c r="F1184" s="6" t="str">
        <x:v>Part-requirement review</x:v>
      </x:c>
      <x:c r="G1184" s="6" t="n">
        <x:v>5</x:v>
      </x:c>
      <x:c r="H1184" s="6" t="str">
        <x:v>SIDX-0226</x:v>
      </x:c>
      <x:c r="I1184" s="6" t="str">
        <x:f>IF(H1184="","No upstream dependency",IF(ISNUMBER(SEARCH(";",H1184)),"Multiple dependencies - verify source queues",IFERROR(XLOOKUP(H1184,C2:C1586,J2:J1586),"Dependency not found")))</x:f>
        <x:v>Not Started</x:v>
      </x:c>
      <x:c r="J1184" s="6" t="str">
        <x:v>Not Started</x:v>
      </x:c>
      <x:c r="K1184" s="6" t="str">
        <x:v>Normal</x:v>
      </x:c>
      <x:c r="L1184" s="6" t="str"/>
      <x:c r="M1184" s="6" t="str"/>
      <x:c r="N1184" s="6" t="str"/>
      <x:c r="O1184" s="7" t="str"/>
      <x:c r="P1184" s="6" t="str">
        <x:v>Yes</x:v>
      </x:c>
      <x:c r="Q1184" s="7" t="str">
        <x:v>Requires stable service identity.</x:v>
      </x:c>
    </x:row>
    <x:row r="1185">
      <x:c r="A1185" s="6" t="str">
        <x:v>SEQ-PRT-0227</x:v>
      </x:c>
      <x:c r="B1185" s="6" t="str">
        <x:v>Part Requirement</x:v>
      </x:c>
      <x:c r="C1185" s="6" t="str">
        <x:v>PRTX-0227</x:v>
      </x:c>
      <x:c r="D1185" s="6" t="str">
        <x:v>SVC000227</x:v>
      </x:c>
      <x:c r="E1185" s="6" t="str"/>
      <x:c r="F1185" s="6" t="str">
        <x:v>Part-requirement review</x:v>
      </x:c>
      <x:c r="G1185" s="6" t="n">
        <x:v>5</x:v>
      </x:c>
      <x:c r="H1185" s="6" t="str">
        <x:v>SIDX-0227</x:v>
      </x:c>
      <x:c r="I1185" s="6" t="str">
        <x:f>IF(H1185="","No upstream dependency",IF(ISNUMBER(SEARCH(";",H1185)),"Multiple dependencies - verify source queues",IFERROR(XLOOKUP(H1185,C2:C1586,J2:J1586),"Dependency not found")))</x:f>
        <x:v>Not Started</x:v>
      </x:c>
      <x:c r="J1185" s="6" t="str">
        <x:v>Not Started</x:v>
      </x:c>
      <x:c r="K1185" s="6" t="str">
        <x:v>Normal</x:v>
      </x:c>
      <x:c r="L1185" s="6" t="str"/>
      <x:c r="M1185" s="6" t="str"/>
      <x:c r="N1185" s="6" t="str"/>
      <x:c r="O1185" s="7" t="str"/>
      <x:c r="P1185" s="6" t="str">
        <x:v>Yes</x:v>
      </x:c>
      <x:c r="Q1185" s="7" t="str">
        <x:v>Requires stable service identity.</x:v>
      </x:c>
    </x:row>
    <x:row r="1186">
      <x:c r="A1186" s="6" t="str">
        <x:v>SEQ-PRT-0228</x:v>
      </x:c>
      <x:c r="B1186" s="6" t="str">
        <x:v>Part Requirement</x:v>
      </x:c>
      <x:c r="C1186" s="6" t="str">
        <x:v>PRTX-0228</x:v>
      </x:c>
      <x:c r="D1186" s="6" t="str">
        <x:v>SVC000228</x:v>
      </x:c>
      <x:c r="E1186" s="6" t="str"/>
      <x:c r="F1186" s="6" t="str">
        <x:v>Part-requirement review</x:v>
      </x:c>
      <x:c r="G1186" s="6" t="n">
        <x:v>5</x:v>
      </x:c>
      <x:c r="H1186" s="6" t="str">
        <x:v>SIDX-0228</x:v>
      </x:c>
      <x:c r="I1186" s="6" t="str">
        <x:f>IF(H1186="","No upstream dependency",IF(ISNUMBER(SEARCH(";",H1186)),"Multiple dependencies - verify source queues",IFERROR(XLOOKUP(H1186,C2:C1586,J2:J1586),"Dependency not found")))</x:f>
        <x:v>Not Started</x:v>
      </x:c>
      <x:c r="J1186" s="6" t="str">
        <x:v>Not Started</x:v>
      </x:c>
      <x:c r="K1186" s="6" t="str">
        <x:v>Normal</x:v>
      </x:c>
      <x:c r="L1186" s="6" t="str"/>
      <x:c r="M1186" s="6" t="str"/>
      <x:c r="N1186" s="6" t="str"/>
      <x:c r="O1186" s="7" t="str"/>
      <x:c r="P1186" s="6" t="str">
        <x:v>Yes</x:v>
      </x:c>
      <x:c r="Q1186" s="7" t="str">
        <x:v>Requires stable service identity.</x:v>
      </x:c>
    </x:row>
    <x:row r="1187">
      <x:c r="A1187" s="6" t="str">
        <x:v>SEQ-PRT-0229</x:v>
      </x:c>
      <x:c r="B1187" s="6" t="str">
        <x:v>Part Requirement</x:v>
      </x:c>
      <x:c r="C1187" s="6" t="str">
        <x:v>PRTX-0229</x:v>
      </x:c>
      <x:c r="D1187" s="6" t="str">
        <x:v>SVC000229</x:v>
      </x:c>
      <x:c r="E1187" s="6" t="str"/>
      <x:c r="F1187" s="6" t="str">
        <x:v>Part-requirement review</x:v>
      </x:c>
      <x:c r="G1187" s="6" t="n">
        <x:v>5</x:v>
      </x:c>
      <x:c r="H1187" s="6" t="str">
        <x:v>SIDX-0229</x:v>
      </x:c>
      <x:c r="I1187" s="6" t="str">
        <x:f>IF(H1187="","No upstream dependency",IF(ISNUMBER(SEARCH(";",H1187)),"Multiple dependencies - verify source queues",IFERROR(XLOOKUP(H1187,C2:C1586,J2:J1586),"Dependency not found")))</x:f>
        <x:v>Not Started</x:v>
      </x:c>
      <x:c r="J1187" s="6" t="str">
        <x:v>Not Started</x:v>
      </x:c>
      <x:c r="K1187" s="6" t="str">
        <x:v>Normal</x:v>
      </x:c>
      <x:c r="L1187" s="6" t="str"/>
      <x:c r="M1187" s="6" t="str"/>
      <x:c r="N1187" s="6" t="str"/>
      <x:c r="O1187" s="7" t="str"/>
      <x:c r="P1187" s="6" t="str">
        <x:v>Yes</x:v>
      </x:c>
      <x:c r="Q1187" s="7" t="str">
        <x:v>Requires stable service identity.</x:v>
      </x:c>
    </x:row>
    <x:row r="1188">
      <x:c r="A1188" s="6" t="str">
        <x:v>SEQ-PRT-0230</x:v>
      </x:c>
      <x:c r="B1188" s="6" t="str">
        <x:v>Part Requirement</x:v>
      </x:c>
      <x:c r="C1188" s="6" t="str">
        <x:v>PRTX-0230</x:v>
      </x:c>
      <x:c r="D1188" s="6" t="str">
        <x:v>SVC000230</x:v>
      </x:c>
      <x:c r="E1188" s="6" t="str"/>
      <x:c r="F1188" s="6" t="str">
        <x:v>Part-requirement review</x:v>
      </x:c>
      <x:c r="G1188" s="6" t="n">
        <x:v>5</x:v>
      </x:c>
      <x:c r="H1188" s="6" t="str">
        <x:v>SIDX-0230</x:v>
      </x:c>
      <x:c r="I1188" s="6" t="str">
        <x:f>IF(H1188="","No upstream dependency",IF(ISNUMBER(SEARCH(";",H1188)),"Multiple dependencies - verify source queues",IFERROR(XLOOKUP(H1188,C2:C1586,J2:J1586),"Dependency not found")))</x:f>
        <x:v>Not Started</x:v>
      </x:c>
      <x:c r="J1188" s="6" t="str">
        <x:v>Not Started</x:v>
      </x:c>
      <x:c r="K1188" s="6" t="str">
        <x:v>Normal</x:v>
      </x:c>
      <x:c r="L1188" s="6" t="str"/>
      <x:c r="M1188" s="6" t="str"/>
      <x:c r="N1188" s="6" t="str"/>
      <x:c r="O1188" s="7" t="str"/>
      <x:c r="P1188" s="6" t="str">
        <x:v>Yes</x:v>
      </x:c>
      <x:c r="Q1188" s="7" t="str">
        <x:v>Requires stable service identity.</x:v>
      </x:c>
    </x:row>
    <x:row r="1189">
      <x:c r="A1189" s="6" t="str">
        <x:v>SEQ-PRT-0231</x:v>
      </x:c>
      <x:c r="B1189" s="6" t="str">
        <x:v>Part Requirement</x:v>
      </x:c>
      <x:c r="C1189" s="6" t="str">
        <x:v>PRTX-0231</x:v>
      </x:c>
      <x:c r="D1189" s="6" t="str">
        <x:v>SVC000231</x:v>
      </x:c>
      <x:c r="E1189" s="6" t="str"/>
      <x:c r="F1189" s="6" t="str">
        <x:v>Part-requirement review</x:v>
      </x:c>
      <x:c r="G1189" s="6" t="n">
        <x:v>5</x:v>
      </x:c>
      <x:c r="H1189" s="6" t="str">
        <x:v>SIDX-0231</x:v>
      </x:c>
      <x:c r="I1189" s="6" t="str">
        <x:f>IF(H1189="","No upstream dependency",IF(ISNUMBER(SEARCH(";",H1189)),"Multiple dependencies - verify source queues",IFERROR(XLOOKUP(H1189,C2:C1586,J2:J1586),"Dependency not found")))</x:f>
        <x:v>Not Started</x:v>
      </x:c>
      <x:c r="J1189" s="6" t="str">
        <x:v>Not Started</x:v>
      </x:c>
      <x:c r="K1189" s="6" t="str">
        <x:v>Normal</x:v>
      </x:c>
      <x:c r="L1189" s="6" t="str"/>
      <x:c r="M1189" s="6" t="str"/>
      <x:c r="N1189" s="6" t="str"/>
      <x:c r="O1189" s="7" t="str"/>
      <x:c r="P1189" s="6" t="str">
        <x:v>Yes</x:v>
      </x:c>
      <x:c r="Q1189" s="7" t="str">
        <x:v>Requires stable service identity.</x:v>
      </x:c>
    </x:row>
    <x:row r="1190">
      <x:c r="A1190" s="6" t="str">
        <x:v>SEQ-PRT-0232</x:v>
      </x:c>
      <x:c r="B1190" s="6" t="str">
        <x:v>Part Requirement</x:v>
      </x:c>
      <x:c r="C1190" s="6" t="str">
        <x:v>PRTX-0232</x:v>
      </x:c>
      <x:c r="D1190" s="6" t="str">
        <x:v>SVC000232</x:v>
      </x:c>
      <x:c r="E1190" s="6" t="str"/>
      <x:c r="F1190" s="6" t="str">
        <x:v>Part-requirement review</x:v>
      </x:c>
      <x:c r="G1190" s="6" t="n">
        <x:v>5</x:v>
      </x:c>
      <x:c r="H1190" s="6" t="str">
        <x:v>SIDX-0232</x:v>
      </x:c>
      <x:c r="I1190" s="6" t="str">
        <x:f>IF(H1190="","No upstream dependency",IF(ISNUMBER(SEARCH(";",H1190)),"Multiple dependencies - verify source queues",IFERROR(XLOOKUP(H1190,C2:C1586,J2:J1586),"Dependency not found")))</x:f>
        <x:v>Not Started</x:v>
      </x:c>
      <x:c r="J1190" s="6" t="str">
        <x:v>Not Started</x:v>
      </x:c>
      <x:c r="K1190" s="6" t="str">
        <x:v>Normal</x:v>
      </x:c>
      <x:c r="L1190" s="6" t="str"/>
      <x:c r="M1190" s="6" t="str"/>
      <x:c r="N1190" s="6" t="str"/>
      <x:c r="O1190" s="7" t="str"/>
      <x:c r="P1190" s="6" t="str">
        <x:v>Yes</x:v>
      </x:c>
      <x:c r="Q1190" s="7" t="str">
        <x:v>Requires stable service identity.</x:v>
      </x:c>
    </x:row>
    <x:row r="1191">
      <x:c r="A1191" s="6" t="str">
        <x:v>SEQ-PRT-0233</x:v>
      </x:c>
      <x:c r="B1191" s="6" t="str">
        <x:v>Part Requirement</x:v>
      </x:c>
      <x:c r="C1191" s="6" t="str">
        <x:v>PRTX-0233</x:v>
      </x:c>
      <x:c r="D1191" s="6" t="str">
        <x:v>SVC000233</x:v>
      </x:c>
      <x:c r="E1191" s="6" t="str"/>
      <x:c r="F1191" s="6" t="str">
        <x:v>Part-requirement review</x:v>
      </x:c>
      <x:c r="G1191" s="6" t="n">
        <x:v>5</x:v>
      </x:c>
      <x:c r="H1191" s="6" t="str">
        <x:v>SIDX-0233</x:v>
      </x:c>
      <x:c r="I1191" s="6" t="str">
        <x:f>IF(H1191="","No upstream dependency",IF(ISNUMBER(SEARCH(";",H1191)),"Multiple dependencies - verify source queues",IFERROR(XLOOKUP(H1191,C2:C1586,J2:J1586),"Dependency not found")))</x:f>
        <x:v>Not Started</x:v>
      </x:c>
      <x:c r="J1191" s="6" t="str">
        <x:v>Not Started</x:v>
      </x:c>
      <x:c r="K1191" s="6" t="str">
        <x:v>Normal</x:v>
      </x:c>
      <x:c r="L1191" s="6" t="str"/>
      <x:c r="M1191" s="6" t="str"/>
      <x:c r="N1191" s="6" t="str"/>
      <x:c r="O1191" s="7" t="str"/>
      <x:c r="P1191" s="6" t="str">
        <x:v>Yes</x:v>
      </x:c>
      <x:c r="Q1191" s="7" t="str">
        <x:v>Requires stable service identity.</x:v>
      </x:c>
    </x:row>
    <x:row r="1192">
      <x:c r="A1192" s="6" t="str">
        <x:v>SEQ-PRT-0234</x:v>
      </x:c>
      <x:c r="B1192" s="6" t="str">
        <x:v>Part Requirement</x:v>
      </x:c>
      <x:c r="C1192" s="6" t="str">
        <x:v>PRTX-0234</x:v>
      </x:c>
      <x:c r="D1192" s="6" t="str">
        <x:v>SVC000234</x:v>
      </x:c>
      <x:c r="E1192" s="6" t="str"/>
      <x:c r="F1192" s="6" t="str">
        <x:v>Part-requirement review</x:v>
      </x:c>
      <x:c r="G1192" s="6" t="n">
        <x:v>5</x:v>
      </x:c>
      <x:c r="H1192" s="6" t="str">
        <x:v>SIDX-0234</x:v>
      </x:c>
      <x:c r="I1192" s="6" t="str">
        <x:f>IF(H1192="","No upstream dependency",IF(ISNUMBER(SEARCH(";",H1192)),"Multiple dependencies - verify source queues",IFERROR(XLOOKUP(H1192,C2:C1586,J2:J1586),"Dependency not found")))</x:f>
        <x:v>Not Started</x:v>
      </x:c>
      <x:c r="J1192" s="6" t="str">
        <x:v>Not Started</x:v>
      </x:c>
      <x:c r="K1192" s="6" t="str">
        <x:v>Normal</x:v>
      </x:c>
      <x:c r="L1192" s="6" t="str"/>
      <x:c r="M1192" s="6" t="str"/>
      <x:c r="N1192" s="6" t="str"/>
      <x:c r="O1192" s="7" t="str"/>
      <x:c r="P1192" s="6" t="str">
        <x:v>Yes</x:v>
      </x:c>
      <x:c r="Q1192" s="7" t="str">
        <x:v>Requires stable service identity.</x:v>
      </x:c>
    </x:row>
    <x:row r="1193">
      <x:c r="A1193" s="6" t="str">
        <x:v>SEQ-PRT-0235</x:v>
      </x:c>
      <x:c r="B1193" s="6" t="str">
        <x:v>Part Requirement</x:v>
      </x:c>
      <x:c r="C1193" s="6" t="str">
        <x:v>PRTX-0235</x:v>
      </x:c>
      <x:c r="D1193" s="6" t="str">
        <x:v>SVC000235</x:v>
      </x:c>
      <x:c r="E1193" s="6" t="str"/>
      <x:c r="F1193" s="6" t="str">
        <x:v>Part-requirement review</x:v>
      </x:c>
      <x:c r="G1193" s="6" t="n">
        <x:v>5</x:v>
      </x:c>
      <x:c r="H1193" s="6" t="str">
        <x:v>SIDX-0235</x:v>
      </x:c>
      <x:c r="I1193" s="6" t="str">
        <x:f>IF(H1193="","No upstream dependency",IF(ISNUMBER(SEARCH(";",H1193)),"Multiple dependencies - verify source queues",IFERROR(XLOOKUP(H1193,C2:C1586,J2:J1586),"Dependency not found")))</x:f>
        <x:v>Not Started</x:v>
      </x:c>
      <x:c r="J1193" s="6" t="str">
        <x:v>Not Started</x:v>
      </x:c>
      <x:c r="K1193" s="6" t="str">
        <x:v>Normal</x:v>
      </x:c>
      <x:c r="L1193" s="6" t="str"/>
      <x:c r="M1193" s="6" t="str"/>
      <x:c r="N1193" s="6" t="str"/>
      <x:c r="O1193" s="7" t="str"/>
      <x:c r="P1193" s="6" t="str">
        <x:v>Yes</x:v>
      </x:c>
      <x:c r="Q1193" s="7" t="str">
        <x:v>Requires stable service identity.</x:v>
      </x:c>
    </x:row>
    <x:row r="1194">
      <x:c r="A1194" s="6" t="str">
        <x:v>SEQ-PRT-0236</x:v>
      </x:c>
      <x:c r="B1194" s="6" t="str">
        <x:v>Part Requirement</x:v>
      </x:c>
      <x:c r="C1194" s="6" t="str">
        <x:v>PRTX-0236</x:v>
      </x:c>
      <x:c r="D1194" s="6" t="str">
        <x:v>SVC000236</x:v>
      </x:c>
      <x:c r="E1194" s="6" t="str"/>
      <x:c r="F1194" s="6" t="str">
        <x:v>Part-requirement review</x:v>
      </x:c>
      <x:c r="G1194" s="6" t="n">
        <x:v>5</x:v>
      </x:c>
      <x:c r="H1194" s="6" t="str">
        <x:v>SIDX-0236</x:v>
      </x:c>
      <x:c r="I1194" s="6" t="str">
        <x:f>IF(H1194="","No upstream dependency",IF(ISNUMBER(SEARCH(";",H1194)),"Multiple dependencies - verify source queues",IFERROR(XLOOKUP(H1194,C2:C1586,J2:J1586),"Dependency not found")))</x:f>
        <x:v>Not Started</x:v>
      </x:c>
      <x:c r="J1194" s="6" t="str">
        <x:v>Not Started</x:v>
      </x:c>
      <x:c r="K1194" s="6" t="str">
        <x:v>Normal</x:v>
      </x:c>
      <x:c r="L1194" s="6" t="str"/>
      <x:c r="M1194" s="6" t="str"/>
      <x:c r="N1194" s="6" t="str"/>
      <x:c r="O1194" s="7" t="str"/>
      <x:c r="P1194" s="6" t="str">
        <x:v>Yes</x:v>
      </x:c>
      <x:c r="Q1194" s="7" t="str">
        <x:v>Requires stable service identity.</x:v>
      </x:c>
    </x:row>
    <x:row r="1195">
      <x:c r="A1195" s="6" t="str">
        <x:v>SEQ-PRT-0237</x:v>
      </x:c>
      <x:c r="B1195" s="6" t="str">
        <x:v>Part Requirement</x:v>
      </x:c>
      <x:c r="C1195" s="6" t="str">
        <x:v>PRTX-0237</x:v>
      </x:c>
      <x:c r="D1195" s="6" t="str">
        <x:v>SVC000237</x:v>
      </x:c>
      <x:c r="E1195" s="6" t="str"/>
      <x:c r="F1195" s="6" t="str">
        <x:v>Part-requirement review</x:v>
      </x:c>
      <x:c r="G1195" s="6" t="n">
        <x:v>5</x:v>
      </x:c>
      <x:c r="H1195" s="6" t="str">
        <x:v>SIDX-0237</x:v>
      </x:c>
      <x:c r="I1195" s="6" t="str">
        <x:f>IF(H1195="","No upstream dependency",IF(ISNUMBER(SEARCH(";",H1195)),"Multiple dependencies - verify source queues",IFERROR(XLOOKUP(H1195,C2:C1586,J2:J1586),"Dependency not found")))</x:f>
        <x:v>Not Started</x:v>
      </x:c>
      <x:c r="J1195" s="6" t="str">
        <x:v>Not Started</x:v>
      </x:c>
      <x:c r="K1195" s="6" t="str">
        <x:v>Normal</x:v>
      </x:c>
      <x:c r="L1195" s="6" t="str"/>
      <x:c r="M1195" s="6" t="str"/>
      <x:c r="N1195" s="6" t="str"/>
      <x:c r="O1195" s="7" t="str"/>
      <x:c r="P1195" s="6" t="str">
        <x:v>Yes</x:v>
      </x:c>
      <x:c r="Q1195" s="7" t="str">
        <x:v>Requires stable service identity.</x:v>
      </x:c>
    </x:row>
    <x:row r="1196">
      <x:c r="A1196" s="6" t="str">
        <x:v>SEQ-PRT-0238</x:v>
      </x:c>
      <x:c r="B1196" s="6" t="str">
        <x:v>Part Requirement</x:v>
      </x:c>
      <x:c r="C1196" s="6" t="str">
        <x:v>PRTX-0238</x:v>
      </x:c>
      <x:c r="D1196" s="6" t="str">
        <x:v>SVC000238</x:v>
      </x:c>
      <x:c r="E1196" s="6" t="str"/>
      <x:c r="F1196" s="6" t="str">
        <x:v>Part-requirement review</x:v>
      </x:c>
      <x:c r="G1196" s="6" t="n">
        <x:v>5</x:v>
      </x:c>
      <x:c r="H1196" s="6" t="str">
        <x:v>SIDX-0238</x:v>
      </x:c>
      <x:c r="I1196" s="6" t="str">
        <x:f>IF(H1196="","No upstream dependency",IF(ISNUMBER(SEARCH(";",H1196)),"Multiple dependencies - verify source queues",IFERROR(XLOOKUP(H1196,C2:C1586,J2:J1586),"Dependency not found")))</x:f>
        <x:v>Not Started</x:v>
      </x:c>
      <x:c r="J1196" s="6" t="str">
        <x:v>Not Started</x:v>
      </x:c>
      <x:c r="K1196" s="6" t="str">
        <x:v>Normal</x:v>
      </x:c>
      <x:c r="L1196" s="6" t="str"/>
      <x:c r="M1196" s="6" t="str"/>
      <x:c r="N1196" s="6" t="str"/>
      <x:c r="O1196" s="7" t="str"/>
      <x:c r="P1196" s="6" t="str">
        <x:v>Yes</x:v>
      </x:c>
      <x:c r="Q1196" s="7" t="str">
        <x:v>Requires stable service identity.</x:v>
      </x:c>
    </x:row>
    <x:row r="1197">
      <x:c r="A1197" s="6" t="str">
        <x:v>SEQ-PRT-0239</x:v>
      </x:c>
      <x:c r="B1197" s="6" t="str">
        <x:v>Part Requirement</x:v>
      </x:c>
      <x:c r="C1197" s="6" t="str">
        <x:v>PRTX-0239</x:v>
      </x:c>
      <x:c r="D1197" s="6" t="str">
        <x:v>SVC000239</x:v>
      </x:c>
      <x:c r="E1197" s="6" t="str"/>
      <x:c r="F1197" s="6" t="str">
        <x:v>Part-requirement review</x:v>
      </x:c>
      <x:c r="G1197" s="6" t="n">
        <x:v>5</x:v>
      </x:c>
      <x:c r="H1197" s="6" t="str">
        <x:v>SIDX-0239</x:v>
      </x:c>
      <x:c r="I1197" s="6" t="str">
        <x:f>IF(H1197="","No upstream dependency",IF(ISNUMBER(SEARCH(";",H1197)),"Multiple dependencies - verify source queues",IFERROR(XLOOKUP(H1197,C2:C1586,J2:J1586),"Dependency not found")))</x:f>
        <x:v>Not Started</x:v>
      </x:c>
      <x:c r="J1197" s="6" t="str">
        <x:v>Not Started</x:v>
      </x:c>
      <x:c r="K1197" s="6" t="str">
        <x:v>Normal</x:v>
      </x:c>
      <x:c r="L1197" s="6" t="str"/>
      <x:c r="M1197" s="6" t="str"/>
      <x:c r="N1197" s="6" t="str"/>
      <x:c r="O1197" s="7" t="str"/>
      <x:c r="P1197" s="6" t="str">
        <x:v>Yes</x:v>
      </x:c>
      <x:c r="Q1197" s="7" t="str">
        <x:v>Requires stable service identity.</x:v>
      </x:c>
    </x:row>
    <x:row r="1198">
      <x:c r="A1198" s="6" t="str">
        <x:v>SEQ-PRT-0240</x:v>
      </x:c>
      <x:c r="B1198" s="6" t="str">
        <x:v>Part Requirement</x:v>
      </x:c>
      <x:c r="C1198" s="6" t="str">
        <x:v>PRTX-0240</x:v>
      </x:c>
      <x:c r="D1198" s="6" t="str">
        <x:v>SVC000240</x:v>
      </x:c>
      <x:c r="E1198" s="6" t="str"/>
      <x:c r="F1198" s="6" t="str">
        <x:v>Part-requirement review</x:v>
      </x:c>
      <x:c r="G1198" s="6" t="n">
        <x:v>5</x:v>
      </x:c>
      <x:c r="H1198" s="6" t="str">
        <x:v>SIDX-0240</x:v>
      </x:c>
      <x:c r="I1198" s="6" t="str">
        <x:f>IF(H1198="","No upstream dependency",IF(ISNUMBER(SEARCH(";",H1198)),"Multiple dependencies - verify source queues",IFERROR(XLOOKUP(H1198,C2:C1586,J2:J1586),"Dependency not found")))</x:f>
        <x:v>Not Started</x:v>
      </x:c>
      <x:c r="J1198" s="6" t="str">
        <x:v>Not Started</x:v>
      </x:c>
      <x:c r="K1198" s="6" t="str">
        <x:v>Normal</x:v>
      </x:c>
      <x:c r="L1198" s="6" t="str"/>
      <x:c r="M1198" s="6" t="str"/>
      <x:c r="N1198" s="6" t="str"/>
      <x:c r="O1198" s="7" t="str"/>
      <x:c r="P1198" s="6" t="str">
        <x:v>Yes</x:v>
      </x:c>
      <x:c r="Q1198" s="7" t="str">
        <x:v>Requires stable service identity.</x:v>
      </x:c>
    </x:row>
    <x:row r="1199">
      <x:c r="A1199" s="6" t="str">
        <x:v>SEQ-PRT-0241</x:v>
      </x:c>
      <x:c r="B1199" s="6" t="str">
        <x:v>Part Requirement</x:v>
      </x:c>
      <x:c r="C1199" s="6" t="str">
        <x:v>PRTX-0241</x:v>
      </x:c>
      <x:c r="D1199" s="6" t="str">
        <x:v>SVC000241</x:v>
      </x:c>
      <x:c r="E1199" s="6" t="str"/>
      <x:c r="F1199" s="6" t="str">
        <x:v>Part-requirement review</x:v>
      </x:c>
      <x:c r="G1199" s="6" t="n">
        <x:v>5</x:v>
      </x:c>
      <x:c r="H1199" s="6" t="str">
        <x:v>SIDX-0241</x:v>
      </x:c>
      <x:c r="I1199" s="6" t="str">
        <x:f>IF(H1199="","No upstream dependency",IF(ISNUMBER(SEARCH(";",H1199)),"Multiple dependencies - verify source queues",IFERROR(XLOOKUP(H1199,C2:C1586,J2:J1586),"Dependency not found")))</x:f>
        <x:v>Not Started</x:v>
      </x:c>
      <x:c r="J1199" s="6" t="str">
        <x:v>Not Started</x:v>
      </x:c>
      <x:c r="K1199" s="6" t="str">
        <x:v>Normal</x:v>
      </x:c>
      <x:c r="L1199" s="6" t="str"/>
      <x:c r="M1199" s="6" t="str"/>
      <x:c r="N1199" s="6" t="str"/>
      <x:c r="O1199" s="7" t="str"/>
      <x:c r="P1199" s="6" t="str">
        <x:v>Yes</x:v>
      </x:c>
      <x:c r="Q1199" s="7" t="str">
        <x:v>Requires stable service identity.</x:v>
      </x:c>
    </x:row>
    <x:row r="1200">
      <x:c r="A1200" s="6" t="str">
        <x:v>SEQ-PRT-0242</x:v>
      </x:c>
      <x:c r="B1200" s="6" t="str">
        <x:v>Part Requirement</x:v>
      </x:c>
      <x:c r="C1200" s="6" t="str">
        <x:v>PRTX-0242</x:v>
      </x:c>
      <x:c r="D1200" s="6" t="str">
        <x:v>SVC000242</x:v>
      </x:c>
      <x:c r="E1200" s="6" t="str"/>
      <x:c r="F1200" s="6" t="str">
        <x:v>Part-requirement review</x:v>
      </x:c>
      <x:c r="G1200" s="6" t="n">
        <x:v>5</x:v>
      </x:c>
      <x:c r="H1200" s="6" t="str">
        <x:v>SIDX-0242</x:v>
      </x:c>
      <x:c r="I1200" s="6" t="str">
        <x:f>IF(H1200="","No upstream dependency",IF(ISNUMBER(SEARCH(";",H1200)),"Multiple dependencies - verify source queues",IFERROR(XLOOKUP(H1200,C2:C1586,J2:J1586),"Dependency not found")))</x:f>
        <x:v>Not Started</x:v>
      </x:c>
      <x:c r="J1200" s="6" t="str">
        <x:v>Not Started</x:v>
      </x:c>
      <x:c r="K1200" s="6" t="str">
        <x:v>Normal</x:v>
      </x:c>
      <x:c r="L1200" s="6" t="str"/>
      <x:c r="M1200" s="6" t="str"/>
      <x:c r="N1200" s="6" t="str"/>
      <x:c r="O1200" s="7" t="str"/>
      <x:c r="P1200" s="6" t="str">
        <x:v>Yes</x:v>
      </x:c>
      <x:c r="Q1200" s="7" t="str">
        <x:v>Requires stable service identity.</x:v>
      </x:c>
    </x:row>
    <x:row r="1201">
      <x:c r="A1201" s="6" t="str">
        <x:v>SEQ-PRT-0243</x:v>
      </x:c>
      <x:c r="B1201" s="6" t="str">
        <x:v>Part Requirement</x:v>
      </x:c>
      <x:c r="C1201" s="6" t="str">
        <x:v>PRTX-0243</x:v>
      </x:c>
      <x:c r="D1201" s="6" t="str">
        <x:v>SVC000243</x:v>
      </x:c>
      <x:c r="E1201" s="6" t="str"/>
      <x:c r="F1201" s="6" t="str">
        <x:v>Part-requirement review</x:v>
      </x:c>
      <x:c r="G1201" s="6" t="n">
        <x:v>5</x:v>
      </x:c>
      <x:c r="H1201" s="6" t="str">
        <x:v>SIDX-0243</x:v>
      </x:c>
      <x:c r="I1201" s="6" t="str">
        <x:f>IF(H1201="","No upstream dependency",IF(ISNUMBER(SEARCH(";",H1201)),"Multiple dependencies - verify source queues",IFERROR(XLOOKUP(H1201,C2:C1586,J2:J1586),"Dependency not found")))</x:f>
        <x:v>Not Started</x:v>
      </x:c>
      <x:c r="J1201" s="6" t="str">
        <x:v>Not Started</x:v>
      </x:c>
      <x:c r="K1201" s="6" t="str">
        <x:v>Normal</x:v>
      </x:c>
      <x:c r="L1201" s="6" t="str"/>
      <x:c r="M1201" s="6" t="str"/>
      <x:c r="N1201" s="6" t="str"/>
      <x:c r="O1201" s="7" t="str"/>
      <x:c r="P1201" s="6" t="str">
        <x:v>Yes</x:v>
      </x:c>
      <x:c r="Q1201" s="7" t="str">
        <x:v>Requires stable service identity.</x:v>
      </x:c>
    </x:row>
    <x:row r="1202">
      <x:c r="A1202" s="6" t="str">
        <x:v>SEQ-PRT-0244</x:v>
      </x:c>
      <x:c r="B1202" s="6" t="str">
        <x:v>Part Requirement</x:v>
      </x:c>
      <x:c r="C1202" s="6" t="str">
        <x:v>PRTX-0244</x:v>
      </x:c>
      <x:c r="D1202" s="6" t="str">
        <x:v>SVC000244</x:v>
      </x:c>
      <x:c r="E1202" s="6" t="str"/>
      <x:c r="F1202" s="6" t="str">
        <x:v>Part-requirement review</x:v>
      </x:c>
      <x:c r="G1202" s="6" t="n">
        <x:v>5</x:v>
      </x:c>
      <x:c r="H1202" s="6" t="str">
        <x:v>SIDX-0244</x:v>
      </x:c>
      <x:c r="I1202" s="6" t="str">
        <x:f>IF(H1202="","No upstream dependency",IF(ISNUMBER(SEARCH(";",H1202)),"Multiple dependencies - verify source queues",IFERROR(XLOOKUP(H1202,C2:C1586,J2:J1586),"Dependency not found")))</x:f>
        <x:v>Not Started</x:v>
      </x:c>
      <x:c r="J1202" s="6" t="str">
        <x:v>Not Started</x:v>
      </x:c>
      <x:c r="K1202" s="6" t="str">
        <x:v>Normal</x:v>
      </x:c>
      <x:c r="L1202" s="6" t="str"/>
      <x:c r="M1202" s="6" t="str"/>
      <x:c r="N1202" s="6" t="str"/>
      <x:c r="O1202" s="7" t="str"/>
      <x:c r="P1202" s="6" t="str">
        <x:v>Yes</x:v>
      </x:c>
      <x:c r="Q1202" s="7" t="str">
        <x:v>Requires stable service identity.</x:v>
      </x:c>
    </x:row>
    <x:row r="1203">
      <x:c r="A1203" s="6" t="str">
        <x:v>SEQ-PRT-0245</x:v>
      </x:c>
      <x:c r="B1203" s="6" t="str">
        <x:v>Part Requirement</x:v>
      </x:c>
      <x:c r="C1203" s="6" t="str">
        <x:v>PRTX-0245</x:v>
      </x:c>
      <x:c r="D1203" s="6" t="str">
        <x:v>SVC000245</x:v>
      </x:c>
      <x:c r="E1203" s="6" t="str"/>
      <x:c r="F1203" s="6" t="str">
        <x:v>Part-requirement review</x:v>
      </x:c>
      <x:c r="G1203" s="6" t="n">
        <x:v>5</x:v>
      </x:c>
      <x:c r="H1203" s="6" t="str">
        <x:v>SIDX-0245</x:v>
      </x:c>
      <x:c r="I1203" s="6" t="str">
        <x:f>IF(H1203="","No upstream dependency",IF(ISNUMBER(SEARCH(";",H1203)),"Multiple dependencies - verify source queues",IFERROR(XLOOKUP(H1203,C2:C1586,J2:J1586),"Dependency not found")))</x:f>
        <x:v>Not Started</x:v>
      </x:c>
      <x:c r="J1203" s="6" t="str">
        <x:v>Not Started</x:v>
      </x:c>
      <x:c r="K1203" s="6" t="str">
        <x:v>Normal</x:v>
      </x:c>
      <x:c r="L1203" s="6" t="str"/>
      <x:c r="M1203" s="6" t="str"/>
      <x:c r="N1203" s="6" t="str"/>
      <x:c r="O1203" s="7" t="str"/>
      <x:c r="P1203" s="6" t="str">
        <x:v>Yes</x:v>
      </x:c>
      <x:c r="Q1203" s="7" t="str">
        <x:v>Requires stable service identity.</x:v>
      </x:c>
    </x:row>
    <x:row r="1204">
      <x:c r="A1204" s="6" t="str">
        <x:v>SEQ-PRT-0246</x:v>
      </x:c>
      <x:c r="B1204" s="6" t="str">
        <x:v>Part Requirement</x:v>
      </x:c>
      <x:c r="C1204" s="6" t="str">
        <x:v>PRTX-0246</x:v>
      </x:c>
      <x:c r="D1204" s="6" t="str">
        <x:v>SVC000246</x:v>
      </x:c>
      <x:c r="E1204" s="6" t="str"/>
      <x:c r="F1204" s="6" t="str">
        <x:v>Part-requirement review</x:v>
      </x:c>
      <x:c r="G1204" s="6" t="n">
        <x:v>5</x:v>
      </x:c>
      <x:c r="H1204" s="6" t="str">
        <x:v>SIDX-0246</x:v>
      </x:c>
      <x:c r="I1204" s="6" t="str">
        <x:f>IF(H1204="","No upstream dependency",IF(ISNUMBER(SEARCH(";",H1204)),"Multiple dependencies - verify source queues",IFERROR(XLOOKUP(H1204,C2:C1586,J2:J1586),"Dependency not found")))</x:f>
        <x:v>Not Started</x:v>
      </x:c>
      <x:c r="J1204" s="6" t="str">
        <x:v>Not Started</x:v>
      </x:c>
      <x:c r="K1204" s="6" t="str">
        <x:v>Normal</x:v>
      </x:c>
      <x:c r="L1204" s="6" t="str"/>
      <x:c r="M1204" s="6" t="str"/>
      <x:c r="N1204" s="6" t="str"/>
      <x:c r="O1204" s="7" t="str"/>
      <x:c r="P1204" s="6" t="str">
        <x:v>Yes</x:v>
      </x:c>
      <x:c r="Q1204" s="7" t="str">
        <x:v>Requires stable service identity.</x:v>
      </x:c>
    </x:row>
    <x:row r="1205">
      <x:c r="A1205" s="6" t="str">
        <x:v>SEQ-PRT-0247</x:v>
      </x:c>
      <x:c r="B1205" s="6" t="str">
        <x:v>Part Requirement</x:v>
      </x:c>
      <x:c r="C1205" s="6" t="str">
        <x:v>PRTX-0247</x:v>
      </x:c>
      <x:c r="D1205" s="6" t="str">
        <x:v>SVC000247</x:v>
      </x:c>
      <x:c r="E1205" s="6" t="str"/>
      <x:c r="F1205" s="6" t="str">
        <x:v>Part-requirement review</x:v>
      </x:c>
      <x:c r="G1205" s="6" t="n">
        <x:v>5</x:v>
      </x:c>
      <x:c r="H1205" s="6" t="str">
        <x:v>SIDX-0247</x:v>
      </x:c>
      <x:c r="I1205" s="6" t="str">
        <x:f>IF(H1205="","No upstream dependency",IF(ISNUMBER(SEARCH(";",H1205)),"Multiple dependencies - verify source queues",IFERROR(XLOOKUP(H1205,C2:C1586,J2:J1586),"Dependency not found")))</x:f>
        <x:v>Not Started</x:v>
      </x:c>
      <x:c r="J1205" s="6" t="str">
        <x:v>Not Started</x:v>
      </x:c>
      <x:c r="K1205" s="6" t="str">
        <x:v>Normal</x:v>
      </x:c>
      <x:c r="L1205" s="6" t="str"/>
      <x:c r="M1205" s="6" t="str"/>
      <x:c r="N1205" s="6" t="str"/>
      <x:c r="O1205" s="7" t="str"/>
      <x:c r="P1205" s="6" t="str">
        <x:v>Yes</x:v>
      </x:c>
      <x:c r="Q1205" s="7" t="str">
        <x:v>Requires stable service identity.</x:v>
      </x:c>
    </x:row>
    <x:row r="1206">
      <x:c r="A1206" s="6" t="str">
        <x:v>SEQ-PRT-0248</x:v>
      </x:c>
      <x:c r="B1206" s="6" t="str">
        <x:v>Part Requirement</x:v>
      </x:c>
      <x:c r="C1206" s="6" t="str">
        <x:v>PRTX-0248</x:v>
      </x:c>
      <x:c r="D1206" s="6" t="str">
        <x:v>SVC000248</x:v>
      </x:c>
      <x:c r="E1206" s="6" t="str"/>
      <x:c r="F1206" s="6" t="str">
        <x:v>Part-requirement review</x:v>
      </x:c>
      <x:c r="G1206" s="6" t="n">
        <x:v>5</x:v>
      </x:c>
      <x:c r="H1206" s="6" t="str">
        <x:v>SIDX-0248</x:v>
      </x:c>
      <x:c r="I1206" s="6" t="str">
        <x:f>IF(H1206="","No upstream dependency",IF(ISNUMBER(SEARCH(";",H1206)),"Multiple dependencies - verify source queues",IFERROR(XLOOKUP(H1206,C2:C1586,J2:J1586),"Dependency not found")))</x:f>
        <x:v>Not Started</x:v>
      </x:c>
      <x:c r="J1206" s="6" t="str">
        <x:v>Not Started</x:v>
      </x:c>
      <x:c r="K1206" s="6" t="str">
        <x:v>Normal</x:v>
      </x:c>
      <x:c r="L1206" s="6" t="str"/>
      <x:c r="M1206" s="6" t="str"/>
      <x:c r="N1206" s="6" t="str"/>
      <x:c r="O1206" s="7" t="str"/>
      <x:c r="P1206" s="6" t="str">
        <x:v>Yes</x:v>
      </x:c>
      <x:c r="Q1206" s="7" t="str">
        <x:v>Requires stable service identity.</x:v>
      </x:c>
    </x:row>
    <x:row r="1207">
      <x:c r="A1207" s="6" t="str">
        <x:v>SEQ-PRT-0249</x:v>
      </x:c>
      <x:c r="B1207" s="6" t="str">
        <x:v>Part Requirement</x:v>
      </x:c>
      <x:c r="C1207" s="6" t="str">
        <x:v>PRTX-0249</x:v>
      </x:c>
      <x:c r="D1207" s="6" t="str">
        <x:v>SVC000249</x:v>
      </x:c>
      <x:c r="E1207" s="6" t="str"/>
      <x:c r="F1207" s="6" t="str">
        <x:v>Part-requirement review</x:v>
      </x:c>
      <x:c r="G1207" s="6" t="n">
        <x:v>5</x:v>
      </x:c>
      <x:c r="H1207" s="6" t="str">
        <x:v>SIDX-0249</x:v>
      </x:c>
      <x:c r="I1207" s="6" t="str">
        <x:f>IF(H1207="","No upstream dependency",IF(ISNUMBER(SEARCH(";",H1207)),"Multiple dependencies - verify source queues",IFERROR(XLOOKUP(H1207,C2:C1586,J2:J1586),"Dependency not found")))</x:f>
        <x:v>Not Started</x:v>
      </x:c>
      <x:c r="J1207" s="6" t="str">
        <x:v>Not Started</x:v>
      </x:c>
      <x:c r="K1207" s="6" t="str">
        <x:v>Normal</x:v>
      </x:c>
      <x:c r="L1207" s="6" t="str"/>
      <x:c r="M1207" s="6" t="str"/>
      <x:c r="N1207" s="6" t="str"/>
      <x:c r="O1207" s="7" t="str"/>
      <x:c r="P1207" s="6" t="str">
        <x:v>Yes</x:v>
      </x:c>
      <x:c r="Q1207" s="7" t="str">
        <x:v>Requires stable service identity.</x:v>
      </x:c>
    </x:row>
    <x:row r="1208">
      <x:c r="A1208" s="6" t="str">
        <x:v>SEQ-PRT-0250</x:v>
      </x:c>
      <x:c r="B1208" s="6" t="str">
        <x:v>Part Requirement</x:v>
      </x:c>
      <x:c r="C1208" s="6" t="str">
        <x:v>PRTX-0250</x:v>
      </x:c>
      <x:c r="D1208" s="6" t="str">
        <x:v>SVC000250</x:v>
      </x:c>
      <x:c r="E1208" s="6" t="str"/>
      <x:c r="F1208" s="6" t="str">
        <x:v>Part-requirement review</x:v>
      </x:c>
      <x:c r="G1208" s="6" t="n">
        <x:v>5</x:v>
      </x:c>
      <x:c r="H1208" s="6" t="str">
        <x:v>SIDX-0250</x:v>
      </x:c>
      <x:c r="I1208" s="6" t="str">
        <x:f>IF(H1208="","No upstream dependency",IF(ISNUMBER(SEARCH(";",H1208)),"Multiple dependencies - verify source queues",IFERROR(XLOOKUP(H1208,C2:C1586,J2:J1586),"Dependency not found")))</x:f>
        <x:v>Not Started</x:v>
      </x:c>
      <x:c r="J1208" s="6" t="str">
        <x:v>Not Started</x:v>
      </x:c>
      <x:c r="K1208" s="6" t="str">
        <x:v>Normal</x:v>
      </x:c>
      <x:c r="L1208" s="6" t="str"/>
      <x:c r="M1208" s="6" t="str"/>
      <x:c r="N1208" s="6" t="str"/>
      <x:c r="O1208" s="7" t="str"/>
      <x:c r="P1208" s="6" t="str">
        <x:v>Yes</x:v>
      </x:c>
      <x:c r="Q1208" s="7" t="str">
        <x:v>Requires stable service identity.</x:v>
      </x:c>
    </x:row>
    <x:row r="1209">
      <x:c r="A1209" s="6" t="str">
        <x:v>SEQ-PRT-0251</x:v>
      </x:c>
      <x:c r="B1209" s="6" t="str">
        <x:v>Part Requirement</x:v>
      </x:c>
      <x:c r="C1209" s="6" t="str">
        <x:v>PRTX-0251</x:v>
      </x:c>
      <x:c r="D1209" s="6" t="str">
        <x:v>SVC000251</x:v>
      </x:c>
      <x:c r="E1209" s="6" t="str"/>
      <x:c r="F1209" s="6" t="str">
        <x:v>Part-requirement review</x:v>
      </x:c>
      <x:c r="G1209" s="6" t="n">
        <x:v>5</x:v>
      </x:c>
      <x:c r="H1209" s="6" t="str">
        <x:v>SIDX-0251</x:v>
      </x:c>
      <x:c r="I1209" s="6" t="str">
        <x:f>IF(H1209="","No upstream dependency",IF(ISNUMBER(SEARCH(";",H1209)),"Multiple dependencies - verify source queues",IFERROR(XLOOKUP(H1209,C2:C1586,J2:J1586),"Dependency not found")))</x:f>
        <x:v>Not Started</x:v>
      </x:c>
      <x:c r="J1209" s="6" t="str">
        <x:v>Not Started</x:v>
      </x:c>
      <x:c r="K1209" s="6" t="str">
        <x:v>Normal</x:v>
      </x:c>
      <x:c r="L1209" s="6" t="str"/>
      <x:c r="M1209" s="6" t="str"/>
      <x:c r="N1209" s="6" t="str"/>
      <x:c r="O1209" s="7" t="str"/>
      <x:c r="P1209" s="6" t="str">
        <x:v>Yes</x:v>
      </x:c>
      <x:c r="Q1209" s="7" t="str">
        <x:v>Requires stable service identity.</x:v>
      </x:c>
    </x:row>
    <x:row r="1210">
      <x:c r="A1210" s="6" t="str">
        <x:v>SEQ-PRT-0252</x:v>
      </x:c>
      <x:c r="B1210" s="6" t="str">
        <x:v>Part Requirement</x:v>
      </x:c>
      <x:c r="C1210" s="6" t="str">
        <x:v>PRTX-0252</x:v>
      </x:c>
      <x:c r="D1210" s="6" t="str">
        <x:v>SVC000252</x:v>
      </x:c>
      <x:c r="E1210" s="6" t="str"/>
      <x:c r="F1210" s="6" t="str">
        <x:v>Part-requirement review</x:v>
      </x:c>
      <x:c r="G1210" s="6" t="n">
        <x:v>5</x:v>
      </x:c>
      <x:c r="H1210" s="6" t="str">
        <x:v>SIDX-0252</x:v>
      </x:c>
      <x:c r="I1210" s="6" t="str">
        <x:f>IF(H1210="","No upstream dependency",IF(ISNUMBER(SEARCH(";",H1210)),"Multiple dependencies - verify source queues",IFERROR(XLOOKUP(H1210,C2:C1586,J2:J1586),"Dependency not found")))</x:f>
        <x:v>Not Started</x:v>
      </x:c>
      <x:c r="J1210" s="6" t="str">
        <x:v>Not Started</x:v>
      </x:c>
      <x:c r="K1210" s="6" t="str">
        <x:v>Normal</x:v>
      </x:c>
      <x:c r="L1210" s="6" t="str"/>
      <x:c r="M1210" s="6" t="str"/>
      <x:c r="N1210" s="6" t="str"/>
      <x:c r="O1210" s="7" t="str"/>
      <x:c r="P1210" s="6" t="str">
        <x:v>Yes</x:v>
      </x:c>
      <x:c r="Q1210" s="7" t="str">
        <x:v>Requires stable service identity.</x:v>
      </x:c>
    </x:row>
    <x:row r="1211">
      <x:c r="A1211" s="6" t="str">
        <x:v>SEQ-PRT-0253</x:v>
      </x:c>
      <x:c r="B1211" s="6" t="str">
        <x:v>Part Requirement</x:v>
      </x:c>
      <x:c r="C1211" s="6" t="str">
        <x:v>PRTX-0253</x:v>
      </x:c>
      <x:c r="D1211" s="6" t="str">
        <x:v>SVC000253</x:v>
      </x:c>
      <x:c r="E1211" s="6" t="str"/>
      <x:c r="F1211" s="6" t="str">
        <x:v>Part-requirement review</x:v>
      </x:c>
      <x:c r="G1211" s="6" t="n">
        <x:v>5</x:v>
      </x:c>
      <x:c r="H1211" s="6" t="str">
        <x:v>SIDX-0253</x:v>
      </x:c>
      <x:c r="I1211" s="6" t="str">
        <x:f>IF(H1211="","No upstream dependency",IF(ISNUMBER(SEARCH(";",H1211)),"Multiple dependencies - verify source queues",IFERROR(XLOOKUP(H1211,C2:C1586,J2:J1586),"Dependency not found")))</x:f>
        <x:v>Not Started</x:v>
      </x:c>
      <x:c r="J1211" s="6" t="str">
        <x:v>Not Started</x:v>
      </x:c>
      <x:c r="K1211" s="6" t="str">
        <x:v>Normal</x:v>
      </x:c>
      <x:c r="L1211" s="6" t="str"/>
      <x:c r="M1211" s="6" t="str"/>
      <x:c r="N1211" s="6" t="str"/>
      <x:c r="O1211" s="7" t="str"/>
      <x:c r="P1211" s="6" t="str">
        <x:v>Yes</x:v>
      </x:c>
      <x:c r="Q1211" s="7" t="str">
        <x:v>Requires stable service identity.</x:v>
      </x:c>
    </x:row>
    <x:row r="1212">
      <x:c r="A1212" s="6" t="str">
        <x:v>SEQ-PRT-0254</x:v>
      </x:c>
      <x:c r="B1212" s="6" t="str">
        <x:v>Part Requirement</x:v>
      </x:c>
      <x:c r="C1212" s="6" t="str">
        <x:v>PRTX-0254</x:v>
      </x:c>
      <x:c r="D1212" s="6" t="str">
        <x:v>SVC000254</x:v>
      </x:c>
      <x:c r="E1212" s="6" t="str"/>
      <x:c r="F1212" s="6" t="str">
        <x:v>Part-requirement review</x:v>
      </x:c>
      <x:c r="G1212" s="6" t="n">
        <x:v>5</x:v>
      </x:c>
      <x:c r="H1212" s="6" t="str">
        <x:v>SIDX-0254</x:v>
      </x:c>
      <x:c r="I1212" s="6" t="str">
        <x:f>IF(H1212="","No upstream dependency",IF(ISNUMBER(SEARCH(";",H1212)),"Multiple dependencies - verify source queues",IFERROR(XLOOKUP(H1212,C2:C1586,J2:J1586),"Dependency not found")))</x:f>
        <x:v>Not Started</x:v>
      </x:c>
      <x:c r="J1212" s="6" t="str">
        <x:v>Not Started</x:v>
      </x:c>
      <x:c r="K1212" s="6" t="str">
        <x:v>Normal</x:v>
      </x:c>
      <x:c r="L1212" s="6" t="str"/>
      <x:c r="M1212" s="6" t="str"/>
      <x:c r="N1212" s="6" t="str"/>
      <x:c r="O1212" s="7" t="str"/>
      <x:c r="P1212" s="6" t="str">
        <x:v>Yes</x:v>
      </x:c>
      <x:c r="Q1212" s="7" t="str">
        <x:v>Requires stable service identity.</x:v>
      </x:c>
    </x:row>
    <x:row r="1213">
      <x:c r="A1213" s="6" t="str">
        <x:v>SEQ-PRT-0255</x:v>
      </x:c>
      <x:c r="B1213" s="6" t="str">
        <x:v>Part Requirement</x:v>
      </x:c>
      <x:c r="C1213" s="6" t="str">
        <x:v>PRTX-0255</x:v>
      </x:c>
      <x:c r="D1213" s="6" t="str">
        <x:v>SVC000255</x:v>
      </x:c>
      <x:c r="E1213" s="6" t="str"/>
      <x:c r="F1213" s="6" t="str">
        <x:v>Part-requirement review</x:v>
      </x:c>
      <x:c r="G1213" s="6" t="n">
        <x:v>5</x:v>
      </x:c>
      <x:c r="H1213" s="6" t="str">
        <x:v>SIDX-0255</x:v>
      </x:c>
      <x:c r="I1213" s="6" t="str">
        <x:f>IF(H1213="","No upstream dependency",IF(ISNUMBER(SEARCH(";",H1213)),"Multiple dependencies - verify source queues",IFERROR(XLOOKUP(H1213,C2:C1586,J2:J1586),"Dependency not found")))</x:f>
        <x:v>Not Started</x:v>
      </x:c>
      <x:c r="J1213" s="6" t="str">
        <x:v>Not Started</x:v>
      </x:c>
      <x:c r="K1213" s="6" t="str">
        <x:v>Normal</x:v>
      </x:c>
      <x:c r="L1213" s="6" t="str"/>
      <x:c r="M1213" s="6" t="str"/>
      <x:c r="N1213" s="6" t="str"/>
      <x:c r="O1213" s="7" t="str"/>
      <x:c r="P1213" s="6" t="str">
        <x:v>Yes</x:v>
      </x:c>
      <x:c r="Q1213" s="7" t="str">
        <x:v>Requires stable service identity.</x:v>
      </x:c>
    </x:row>
    <x:row r="1214">
      <x:c r="A1214" s="6" t="str">
        <x:v>SEQ-PRT-0256</x:v>
      </x:c>
      <x:c r="B1214" s="6" t="str">
        <x:v>Part Requirement</x:v>
      </x:c>
      <x:c r="C1214" s="6" t="str">
        <x:v>PRTX-0256</x:v>
      </x:c>
      <x:c r="D1214" s="6" t="str">
        <x:v>SVC000256</x:v>
      </x:c>
      <x:c r="E1214" s="6" t="str"/>
      <x:c r="F1214" s="6" t="str">
        <x:v>Part-requirement review</x:v>
      </x:c>
      <x:c r="G1214" s="6" t="n">
        <x:v>5</x:v>
      </x:c>
      <x:c r="H1214" s="6" t="str">
        <x:v>SIDX-0256</x:v>
      </x:c>
      <x:c r="I1214" s="6" t="str">
        <x:f>IF(H1214="","No upstream dependency",IF(ISNUMBER(SEARCH(";",H1214)),"Multiple dependencies - verify source queues",IFERROR(XLOOKUP(H1214,C2:C1586,J2:J1586),"Dependency not found")))</x:f>
        <x:v>Not Started</x:v>
      </x:c>
      <x:c r="J1214" s="6" t="str">
        <x:v>Not Started</x:v>
      </x:c>
      <x:c r="K1214" s="6" t="str">
        <x:v>Normal</x:v>
      </x:c>
      <x:c r="L1214" s="6" t="str"/>
      <x:c r="M1214" s="6" t="str"/>
      <x:c r="N1214" s="6" t="str"/>
      <x:c r="O1214" s="7" t="str"/>
      <x:c r="P1214" s="6" t="str">
        <x:v>Yes</x:v>
      </x:c>
      <x:c r="Q1214" s="7" t="str">
        <x:v>Requires stable service identity.</x:v>
      </x:c>
    </x:row>
    <x:row r="1215">
      <x:c r="A1215" s="6" t="str">
        <x:v>SEQ-PRT-0257</x:v>
      </x:c>
      <x:c r="B1215" s="6" t="str">
        <x:v>Part Requirement</x:v>
      </x:c>
      <x:c r="C1215" s="6" t="str">
        <x:v>PRTX-0257</x:v>
      </x:c>
      <x:c r="D1215" s="6" t="str">
        <x:v>SVC000257</x:v>
      </x:c>
      <x:c r="E1215" s="6" t="str"/>
      <x:c r="F1215" s="6" t="str">
        <x:v>Part-requirement review</x:v>
      </x:c>
      <x:c r="G1215" s="6" t="n">
        <x:v>5</x:v>
      </x:c>
      <x:c r="H1215" s="6" t="str">
        <x:v>SIDX-0257</x:v>
      </x:c>
      <x:c r="I1215" s="6" t="str">
        <x:f>IF(H1215="","No upstream dependency",IF(ISNUMBER(SEARCH(";",H1215)),"Multiple dependencies - verify source queues",IFERROR(XLOOKUP(H1215,C2:C1586,J2:J1586),"Dependency not found")))</x:f>
        <x:v>Not Started</x:v>
      </x:c>
      <x:c r="J1215" s="6" t="str">
        <x:v>Not Started</x:v>
      </x:c>
      <x:c r="K1215" s="6" t="str">
        <x:v>Normal</x:v>
      </x:c>
      <x:c r="L1215" s="6" t="str"/>
      <x:c r="M1215" s="6" t="str"/>
      <x:c r="N1215" s="6" t="str"/>
      <x:c r="O1215" s="7" t="str"/>
      <x:c r="P1215" s="6" t="str">
        <x:v>Yes</x:v>
      </x:c>
      <x:c r="Q1215" s="7" t="str">
        <x:v>Requires stable service identity.</x:v>
      </x:c>
    </x:row>
    <x:row r="1216">
      <x:c r="A1216" s="6" t="str">
        <x:v>SEQ-PRT-0258</x:v>
      </x:c>
      <x:c r="B1216" s="6" t="str">
        <x:v>Part Requirement</x:v>
      </x:c>
      <x:c r="C1216" s="6" t="str">
        <x:v>PRTX-0258</x:v>
      </x:c>
      <x:c r="D1216" s="6" t="str">
        <x:v>SVC000258</x:v>
      </x:c>
      <x:c r="E1216" s="6" t="str"/>
      <x:c r="F1216" s="6" t="str">
        <x:v>Part-requirement review</x:v>
      </x:c>
      <x:c r="G1216" s="6" t="n">
        <x:v>5</x:v>
      </x:c>
      <x:c r="H1216" s="6" t="str">
        <x:v>SIDX-0258</x:v>
      </x:c>
      <x:c r="I1216" s="6" t="str">
        <x:f>IF(H1216="","No upstream dependency",IF(ISNUMBER(SEARCH(";",H1216)),"Multiple dependencies - verify source queues",IFERROR(XLOOKUP(H1216,C2:C1586,J2:J1586),"Dependency not found")))</x:f>
        <x:v>Not Started</x:v>
      </x:c>
      <x:c r="J1216" s="6" t="str">
        <x:v>Not Started</x:v>
      </x:c>
      <x:c r="K1216" s="6" t="str">
        <x:v>Normal</x:v>
      </x:c>
      <x:c r="L1216" s="6" t="str"/>
      <x:c r="M1216" s="6" t="str"/>
      <x:c r="N1216" s="6" t="str"/>
      <x:c r="O1216" s="7" t="str"/>
      <x:c r="P1216" s="6" t="str">
        <x:v>Yes</x:v>
      </x:c>
      <x:c r="Q1216" s="7" t="str">
        <x:v>Requires stable service identity.</x:v>
      </x:c>
    </x:row>
    <x:row r="1217">
      <x:c r="A1217" s="6" t="str">
        <x:v>SEQ-PRT-0259</x:v>
      </x:c>
      <x:c r="B1217" s="6" t="str">
        <x:v>Part Requirement</x:v>
      </x:c>
      <x:c r="C1217" s="6" t="str">
        <x:v>PRTX-0259</x:v>
      </x:c>
      <x:c r="D1217" s="6" t="str">
        <x:v>SVC000259</x:v>
      </x:c>
      <x:c r="E1217" s="6" t="str"/>
      <x:c r="F1217" s="6" t="str">
        <x:v>Part-requirement review</x:v>
      </x:c>
      <x:c r="G1217" s="6" t="n">
        <x:v>5</x:v>
      </x:c>
      <x:c r="H1217" s="6" t="str">
        <x:v>SIDX-0259</x:v>
      </x:c>
      <x:c r="I1217" s="6" t="str">
        <x:f>IF(H1217="","No upstream dependency",IF(ISNUMBER(SEARCH(";",H1217)),"Multiple dependencies - verify source queues",IFERROR(XLOOKUP(H1217,C2:C1586,J2:J1586),"Dependency not found")))</x:f>
        <x:v>Not Started</x:v>
      </x:c>
      <x:c r="J1217" s="6" t="str">
        <x:v>Not Started</x:v>
      </x:c>
      <x:c r="K1217" s="6" t="str">
        <x:v>Normal</x:v>
      </x:c>
      <x:c r="L1217" s="6" t="str"/>
      <x:c r="M1217" s="6" t="str"/>
      <x:c r="N1217" s="6" t="str"/>
      <x:c r="O1217" s="7" t="str"/>
      <x:c r="P1217" s="6" t="str">
        <x:v>Yes</x:v>
      </x:c>
      <x:c r="Q1217" s="7" t="str">
        <x:v>Requires stable service identity.</x:v>
      </x:c>
    </x:row>
    <x:row r="1218">
      <x:c r="A1218" s="6" t="str">
        <x:v>SEQ-PRT-0260</x:v>
      </x:c>
      <x:c r="B1218" s="6" t="str">
        <x:v>Part Requirement</x:v>
      </x:c>
      <x:c r="C1218" s="6" t="str">
        <x:v>PRTX-0260</x:v>
      </x:c>
      <x:c r="D1218" s="6" t="str">
        <x:v>SVC000260</x:v>
      </x:c>
      <x:c r="E1218" s="6" t="str"/>
      <x:c r="F1218" s="6" t="str">
        <x:v>Part-requirement review</x:v>
      </x:c>
      <x:c r="G1218" s="6" t="n">
        <x:v>5</x:v>
      </x:c>
      <x:c r="H1218" s="6" t="str">
        <x:v>SIDX-0260</x:v>
      </x:c>
      <x:c r="I1218" s="6" t="str">
        <x:f>IF(H1218="","No upstream dependency",IF(ISNUMBER(SEARCH(";",H1218)),"Multiple dependencies - verify source queues",IFERROR(XLOOKUP(H1218,C2:C1586,J2:J1586),"Dependency not found")))</x:f>
        <x:v>Not Started</x:v>
      </x:c>
      <x:c r="J1218" s="6" t="str">
        <x:v>Not Started</x:v>
      </x:c>
      <x:c r="K1218" s="6" t="str">
        <x:v>Normal</x:v>
      </x:c>
      <x:c r="L1218" s="6" t="str"/>
      <x:c r="M1218" s="6" t="str"/>
      <x:c r="N1218" s="6" t="str"/>
      <x:c r="O1218" s="7" t="str"/>
      <x:c r="P1218" s="6" t="str">
        <x:v>Yes</x:v>
      </x:c>
      <x:c r="Q1218" s="7" t="str">
        <x:v>Requires stable service identity.</x:v>
      </x:c>
    </x:row>
    <x:row r="1219">
      <x:c r="A1219" s="6" t="str">
        <x:v>SEQ-PRT-0261</x:v>
      </x:c>
      <x:c r="B1219" s="6" t="str">
        <x:v>Part Requirement</x:v>
      </x:c>
      <x:c r="C1219" s="6" t="str">
        <x:v>PRTX-0261</x:v>
      </x:c>
      <x:c r="D1219" s="6" t="str">
        <x:v>SVC000261</x:v>
      </x:c>
      <x:c r="E1219" s="6" t="str"/>
      <x:c r="F1219" s="6" t="str">
        <x:v>Part-requirement review</x:v>
      </x:c>
      <x:c r="G1219" s="6" t="n">
        <x:v>5</x:v>
      </x:c>
      <x:c r="H1219" s="6" t="str">
        <x:v>SIDX-0261</x:v>
      </x:c>
      <x:c r="I1219" s="6" t="str">
        <x:f>IF(H1219="","No upstream dependency",IF(ISNUMBER(SEARCH(";",H1219)),"Multiple dependencies - verify source queues",IFERROR(XLOOKUP(H1219,C2:C1586,J2:J1586),"Dependency not found")))</x:f>
        <x:v>Not Started</x:v>
      </x:c>
      <x:c r="J1219" s="6" t="str">
        <x:v>Not Started</x:v>
      </x:c>
      <x:c r="K1219" s="6" t="str">
        <x:v>Normal</x:v>
      </x:c>
      <x:c r="L1219" s="6" t="str"/>
      <x:c r="M1219" s="6" t="str"/>
      <x:c r="N1219" s="6" t="str"/>
      <x:c r="O1219" s="7" t="str"/>
      <x:c r="P1219" s="6" t="str">
        <x:v>Yes</x:v>
      </x:c>
      <x:c r="Q1219" s="7" t="str">
        <x:v>Requires stable service identity.</x:v>
      </x:c>
    </x:row>
    <x:row r="1220">
      <x:c r="A1220" s="6" t="str">
        <x:v>SEQ-PRT-0262</x:v>
      </x:c>
      <x:c r="B1220" s="6" t="str">
        <x:v>Part Requirement</x:v>
      </x:c>
      <x:c r="C1220" s="6" t="str">
        <x:v>PRTX-0262</x:v>
      </x:c>
      <x:c r="D1220" s="6" t="str">
        <x:v>SVC000262</x:v>
      </x:c>
      <x:c r="E1220" s="6" t="str"/>
      <x:c r="F1220" s="6" t="str">
        <x:v>Part-requirement review</x:v>
      </x:c>
      <x:c r="G1220" s="6" t="n">
        <x:v>5</x:v>
      </x:c>
      <x:c r="H1220" s="6" t="str">
        <x:v>SIDX-0262</x:v>
      </x:c>
      <x:c r="I1220" s="6" t="str">
        <x:f>IF(H1220="","No upstream dependency",IF(ISNUMBER(SEARCH(";",H1220)),"Multiple dependencies - verify source queues",IFERROR(XLOOKUP(H1220,C2:C1586,J2:J1586),"Dependency not found")))</x:f>
        <x:v>Not Started</x:v>
      </x:c>
      <x:c r="J1220" s="6" t="str">
        <x:v>Not Started</x:v>
      </x:c>
      <x:c r="K1220" s="6" t="str">
        <x:v>Normal</x:v>
      </x:c>
      <x:c r="L1220" s="6" t="str"/>
      <x:c r="M1220" s="6" t="str"/>
      <x:c r="N1220" s="6" t="str"/>
      <x:c r="O1220" s="7" t="str"/>
      <x:c r="P1220" s="6" t="str">
        <x:v>Yes</x:v>
      </x:c>
      <x:c r="Q1220" s="7" t="str">
        <x:v>Requires stable service identity.</x:v>
      </x:c>
    </x:row>
    <x:row r="1221">
      <x:c r="A1221" s="6" t="str">
        <x:v>SEQ-PRT-0263</x:v>
      </x:c>
      <x:c r="B1221" s="6" t="str">
        <x:v>Part Requirement</x:v>
      </x:c>
      <x:c r="C1221" s="6" t="str">
        <x:v>PRTX-0263</x:v>
      </x:c>
      <x:c r="D1221" s="6" t="str">
        <x:v>SVC000263</x:v>
      </x:c>
      <x:c r="E1221" s="6" t="str"/>
      <x:c r="F1221" s="6" t="str">
        <x:v>Part-requirement review</x:v>
      </x:c>
      <x:c r="G1221" s="6" t="n">
        <x:v>5</x:v>
      </x:c>
      <x:c r="H1221" s="6" t="str">
        <x:v>SIDX-0263</x:v>
      </x:c>
      <x:c r="I1221" s="6" t="str">
        <x:f>IF(H1221="","No upstream dependency",IF(ISNUMBER(SEARCH(";",H1221)),"Multiple dependencies - verify source queues",IFERROR(XLOOKUP(H1221,C2:C1586,J2:J1586),"Dependency not found")))</x:f>
        <x:v>Not Started</x:v>
      </x:c>
      <x:c r="J1221" s="6" t="str">
        <x:v>Not Started</x:v>
      </x:c>
      <x:c r="K1221" s="6" t="str">
        <x:v>Normal</x:v>
      </x:c>
      <x:c r="L1221" s="6" t="str"/>
      <x:c r="M1221" s="6" t="str"/>
      <x:c r="N1221" s="6" t="str"/>
      <x:c r="O1221" s="7" t="str"/>
      <x:c r="P1221" s="6" t="str">
        <x:v>Yes</x:v>
      </x:c>
      <x:c r="Q1221" s="7" t="str">
        <x:v>Requires stable service identity.</x:v>
      </x:c>
    </x:row>
    <x:row r="1222">
      <x:c r="A1222" s="6" t="str">
        <x:v>SEQ-PRT-0264</x:v>
      </x:c>
      <x:c r="B1222" s="6" t="str">
        <x:v>Part Requirement</x:v>
      </x:c>
      <x:c r="C1222" s="6" t="str">
        <x:v>PRTX-0264</x:v>
      </x:c>
      <x:c r="D1222" s="6" t="str">
        <x:v>SVC000264</x:v>
      </x:c>
      <x:c r="E1222" s="6" t="str"/>
      <x:c r="F1222" s="6" t="str">
        <x:v>Part-requirement review</x:v>
      </x:c>
      <x:c r="G1222" s="6" t="n">
        <x:v>5</x:v>
      </x:c>
      <x:c r="H1222" s="6" t="str">
        <x:v>SIDX-0264</x:v>
      </x:c>
      <x:c r="I1222" s="6" t="str">
        <x:f>IF(H1222="","No upstream dependency",IF(ISNUMBER(SEARCH(";",H1222)),"Multiple dependencies - verify source queues",IFERROR(XLOOKUP(H1222,C2:C1586,J2:J1586),"Dependency not found")))</x:f>
        <x:v>Not Started</x:v>
      </x:c>
      <x:c r="J1222" s="6" t="str">
        <x:v>Not Started</x:v>
      </x:c>
      <x:c r="K1222" s="6" t="str">
        <x:v>Normal</x:v>
      </x:c>
      <x:c r="L1222" s="6" t="str"/>
      <x:c r="M1222" s="6" t="str"/>
      <x:c r="N1222" s="6" t="str"/>
      <x:c r="O1222" s="7" t="str"/>
      <x:c r="P1222" s="6" t="str">
        <x:v>Yes</x:v>
      </x:c>
      <x:c r="Q1222" s="7" t="str">
        <x:v>Requires stable service identity.</x:v>
      </x:c>
    </x:row>
    <x:row r="1223">
      <x:c r="A1223" s="6" t="str">
        <x:v>SEQ-PRT-0265</x:v>
      </x:c>
      <x:c r="B1223" s="6" t="str">
        <x:v>Part Requirement</x:v>
      </x:c>
      <x:c r="C1223" s="6" t="str">
        <x:v>PRTX-0265</x:v>
      </x:c>
      <x:c r="D1223" s="6" t="str">
        <x:v>SVC000265</x:v>
      </x:c>
      <x:c r="E1223" s="6" t="str"/>
      <x:c r="F1223" s="6" t="str">
        <x:v>Part-requirement review</x:v>
      </x:c>
      <x:c r="G1223" s="6" t="n">
        <x:v>5</x:v>
      </x:c>
      <x:c r="H1223" s="6" t="str">
        <x:v>SIDX-0265</x:v>
      </x:c>
      <x:c r="I1223" s="6" t="str">
        <x:f>IF(H1223="","No upstream dependency",IF(ISNUMBER(SEARCH(";",H1223)),"Multiple dependencies - verify source queues",IFERROR(XLOOKUP(H1223,C2:C1586,J2:J1586),"Dependency not found")))</x:f>
        <x:v>Not Started</x:v>
      </x:c>
      <x:c r="J1223" s="6" t="str">
        <x:v>Not Started</x:v>
      </x:c>
      <x:c r="K1223" s="6" t="str">
        <x:v>Normal</x:v>
      </x:c>
      <x:c r="L1223" s="6" t="str"/>
      <x:c r="M1223" s="6" t="str"/>
      <x:c r="N1223" s="6" t="str"/>
      <x:c r="O1223" s="7" t="str"/>
      <x:c r="P1223" s="6" t="str">
        <x:v>Yes</x:v>
      </x:c>
      <x:c r="Q1223" s="7" t="str">
        <x:v>Requires stable service identity.</x:v>
      </x:c>
    </x:row>
    <x:row r="1224">
      <x:c r="A1224" s="6" t="str">
        <x:v>SEQ-PRT-0266</x:v>
      </x:c>
      <x:c r="B1224" s="6" t="str">
        <x:v>Part Requirement</x:v>
      </x:c>
      <x:c r="C1224" s="6" t="str">
        <x:v>PRTX-0266</x:v>
      </x:c>
      <x:c r="D1224" s="6" t="str">
        <x:v>SVC000266</x:v>
      </x:c>
      <x:c r="E1224" s="6" t="str"/>
      <x:c r="F1224" s="6" t="str">
        <x:v>Part-requirement review</x:v>
      </x:c>
      <x:c r="G1224" s="6" t="n">
        <x:v>5</x:v>
      </x:c>
      <x:c r="H1224" s="6" t="str">
        <x:v>SIDX-0266</x:v>
      </x:c>
      <x:c r="I1224" s="6" t="str">
        <x:f>IF(H1224="","No upstream dependency",IF(ISNUMBER(SEARCH(";",H1224)),"Multiple dependencies - verify source queues",IFERROR(XLOOKUP(H1224,C2:C1586,J2:J1586),"Dependency not found")))</x:f>
        <x:v>Not Started</x:v>
      </x:c>
      <x:c r="J1224" s="6" t="str">
        <x:v>Not Started</x:v>
      </x:c>
      <x:c r="K1224" s="6" t="str">
        <x:v>Normal</x:v>
      </x:c>
      <x:c r="L1224" s="6" t="str"/>
      <x:c r="M1224" s="6" t="str"/>
      <x:c r="N1224" s="6" t="str"/>
      <x:c r="O1224" s="7" t="str"/>
      <x:c r="P1224" s="6" t="str">
        <x:v>Yes</x:v>
      </x:c>
      <x:c r="Q1224" s="7" t="str">
        <x:v>Requires stable service identity.</x:v>
      </x:c>
    </x:row>
    <x:row r="1225">
      <x:c r="A1225" s="6" t="str">
        <x:v>SEQ-PRT-0267</x:v>
      </x:c>
      <x:c r="B1225" s="6" t="str">
        <x:v>Part Requirement</x:v>
      </x:c>
      <x:c r="C1225" s="6" t="str">
        <x:v>PRTX-0267</x:v>
      </x:c>
      <x:c r="D1225" s="6" t="str">
        <x:v>SVC000267</x:v>
      </x:c>
      <x:c r="E1225" s="6" t="str"/>
      <x:c r="F1225" s="6" t="str">
        <x:v>Part-requirement review</x:v>
      </x:c>
      <x:c r="G1225" s="6" t="n">
        <x:v>5</x:v>
      </x:c>
      <x:c r="H1225" s="6" t="str">
        <x:v>SIDX-0267</x:v>
      </x:c>
      <x:c r="I1225" s="6" t="str">
        <x:f>IF(H1225="","No upstream dependency",IF(ISNUMBER(SEARCH(";",H1225)),"Multiple dependencies - verify source queues",IFERROR(XLOOKUP(H1225,C2:C1586,J2:J1586),"Dependency not found")))</x:f>
        <x:v>Not Started</x:v>
      </x:c>
      <x:c r="J1225" s="6" t="str">
        <x:v>Not Started</x:v>
      </x:c>
      <x:c r="K1225" s="6" t="str">
        <x:v>Normal</x:v>
      </x:c>
      <x:c r="L1225" s="6" t="str"/>
      <x:c r="M1225" s="6" t="str"/>
      <x:c r="N1225" s="6" t="str"/>
      <x:c r="O1225" s="7" t="str"/>
      <x:c r="P1225" s="6" t="str">
        <x:v>Yes</x:v>
      </x:c>
      <x:c r="Q1225" s="7" t="str">
        <x:v>Requires stable service identity.</x:v>
      </x:c>
    </x:row>
    <x:row r="1226">
      <x:c r="A1226" s="6" t="str">
        <x:v>SEQ-PRT-0268</x:v>
      </x:c>
      <x:c r="B1226" s="6" t="str">
        <x:v>Part Requirement</x:v>
      </x:c>
      <x:c r="C1226" s="6" t="str">
        <x:v>PRTX-0268</x:v>
      </x:c>
      <x:c r="D1226" s="6" t="str">
        <x:v>SVC000268</x:v>
      </x:c>
      <x:c r="E1226" s="6" t="str"/>
      <x:c r="F1226" s="6" t="str">
        <x:v>Part-requirement review</x:v>
      </x:c>
      <x:c r="G1226" s="6" t="n">
        <x:v>5</x:v>
      </x:c>
      <x:c r="H1226" s="6" t="str">
        <x:v>SIDX-0268</x:v>
      </x:c>
      <x:c r="I1226" s="6" t="str">
        <x:f>IF(H1226="","No upstream dependency",IF(ISNUMBER(SEARCH(";",H1226)),"Multiple dependencies - verify source queues",IFERROR(XLOOKUP(H1226,C2:C1586,J2:J1586),"Dependency not found")))</x:f>
        <x:v>Not Started</x:v>
      </x:c>
      <x:c r="J1226" s="6" t="str">
        <x:v>Not Started</x:v>
      </x:c>
      <x:c r="K1226" s="6" t="str">
        <x:v>Normal</x:v>
      </x:c>
      <x:c r="L1226" s="6" t="str"/>
      <x:c r="M1226" s="6" t="str"/>
      <x:c r="N1226" s="6" t="str"/>
      <x:c r="O1226" s="7" t="str"/>
      <x:c r="P1226" s="6" t="str">
        <x:v>Yes</x:v>
      </x:c>
      <x:c r="Q1226" s="7" t="str">
        <x:v>Requires stable service identity.</x:v>
      </x:c>
    </x:row>
    <x:row r="1227">
      <x:c r="A1227" s="6" t="str">
        <x:v>SEQ-PRT-0269</x:v>
      </x:c>
      <x:c r="B1227" s="6" t="str">
        <x:v>Part Requirement</x:v>
      </x:c>
      <x:c r="C1227" s="6" t="str">
        <x:v>PRTX-0269</x:v>
      </x:c>
      <x:c r="D1227" s="6" t="str">
        <x:v>SVC000269</x:v>
      </x:c>
      <x:c r="E1227" s="6" t="str"/>
      <x:c r="F1227" s="6" t="str">
        <x:v>Part-requirement review</x:v>
      </x:c>
      <x:c r="G1227" s="6" t="n">
        <x:v>5</x:v>
      </x:c>
      <x:c r="H1227" s="6" t="str">
        <x:v>SIDX-0269</x:v>
      </x:c>
      <x:c r="I1227" s="6" t="str">
        <x:f>IF(H1227="","No upstream dependency",IF(ISNUMBER(SEARCH(";",H1227)),"Multiple dependencies - verify source queues",IFERROR(XLOOKUP(H1227,C2:C1586,J2:J1586),"Dependency not found")))</x:f>
        <x:v>Not Started</x:v>
      </x:c>
      <x:c r="J1227" s="6" t="str">
        <x:v>Not Started</x:v>
      </x:c>
      <x:c r="K1227" s="6" t="str">
        <x:v>Normal</x:v>
      </x:c>
      <x:c r="L1227" s="6" t="str"/>
      <x:c r="M1227" s="6" t="str"/>
      <x:c r="N1227" s="6" t="str"/>
      <x:c r="O1227" s="7" t="str"/>
      <x:c r="P1227" s="6" t="str">
        <x:v>Yes</x:v>
      </x:c>
      <x:c r="Q1227" s="7" t="str">
        <x:v>Requires stable service identity.</x:v>
      </x:c>
    </x:row>
    <x:row r="1228">
      <x:c r="A1228" s="6" t="str">
        <x:v>SEQ-PRT-0270</x:v>
      </x:c>
      <x:c r="B1228" s="6" t="str">
        <x:v>Part Requirement</x:v>
      </x:c>
      <x:c r="C1228" s="6" t="str">
        <x:v>PRTX-0270</x:v>
      </x:c>
      <x:c r="D1228" s="6" t="str">
        <x:v>SVC000270</x:v>
      </x:c>
      <x:c r="E1228" s="6" t="str"/>
      <x:c r="F1228" s="6" t="str">
        <x:v>Part-requirement review</x:v>
      </x:c>
      <x:c r="G1228" s="6" t="n">
        <x:v>5</x:v>
      </x:c>
      <x:c r="H1228" s="6" t="str">
        <x:v>SIDX-0270</x:v>
      </x:c>
      <x:c r="I1228" s="6" t="str">
        <x:f>IF(H1228="","No upstream dependency",IF(ISNUMBER(SEARCH(";",H1228)),"Multiple dependencies - verify source queues",IFERROR(XLOOKUP(H1228,C2:C1586,J2:J1586),"Dependency not found")))</x:f>
        <x:v>Not Started</x:v>
      </x:c>
      <x:c r="J1228" s="6" t="str">
        <x:v>Not Started</x:v>
      </x:c>
      <x:c r="K1228" s="6" t="str">
        <x:v>Normal</x:v>
      </x:c>
      <x:c r="L1228" s="6" t="str"/>
      <x:c r="M1228" s="6" t="str"/>
      <x:c r="N1228" s="6" t="str"/>
      <x:c r="O1228" s="7" t="str"/>
      <x:c r="P1228" s="6" t="str">
        <x:v>Yes</x:v>
      </x:c>
      <x:c r="Q1228" s="7" t="str">
        <x:v>Requires stable service identity.</x:v>
      </x:c>
    </x:row>
    <x:row r="1229">
      <x:c r="A1229" s="6" t="str">
        <x:v>SEQ-PRT-0271</x:v>
      </x:c>
      <x:c r="B1229" s="6" t="str">
        <x:v>Part Requirement</x:v>
      </x:c>
      <x:c r="C1229" s="6" t="str">
        <x:v>PRTX-0271</x:v>
      </x:c>
      <x:c r="D1229" s="6" t="str">
        <x:v>SVC000271</x:v>
      </x:c>
      <x:c r="E1229" s="6" t="str"/>
      <x:c r="F1229" s="6" t="str">
        <x:v>Part-requirement review</x:v>
      </x:c>
      <x:c r="G1229" s="6" t="n">
        <x:v>5</x:v>
      </x:c>
      <x:c r="H1229" s="6" t="str">
        <x:v>SIDX-0271</x:v>
      </x:c>
      <x:c r="I1229" s="6" t="str">
        <x:f>IF(H1229="","No upstream dependency",IF(ISNUMBER(SEARCH(";",H1229)),"Multiple dependencies - verify source queues",IFERROR(XLOOKUP(H1229,C2:C1586,J2:J1586),"Dependency not found")))</x:f>
        <x:v>Not Started</x:v>
      </x:c>
      <x:c r="J1229" s="6" t="str">
        <x:v>Not Started</x:v>
      </x:c>
      <x:c r="K1229" s="6" t="str">
        <x:v>Normal</x:v>
      </x:c>
      <x:c r="L1229" s="6" t="str"/>
      <x:c r="M1229" s="6" t="str"/>
      <x:c r="N1229" s="6" t="str"/>
      <x:c r="O1229" s="7" t="str"/>
      <x:c r="P1229" s="6" t="str">
        <x:v>Yes</x:v>
      </x:c>
      <x:c r="Q1229" s="7" t="str">
        <x:v>Requires stable service identity.</x:v>
      </x:c>
    </x:row>
    <x:row r="1230">
      <x:c r="A1230" s="6" t="str">
        <x:v>SEQ-PRT-0272</x:v>
      </x:c>
      <x:c r="B1230" s="6" t="str">
        <x:v>Part Requirement</x:v>
      </x:c>
      <x:c r="C1230" s="6" t="str">
        <x:v>PRTX-0272</x:v>
      </x:c>
      <x:c r="D1230" s="6" t="str">
        <x:v>SVC000272</x:v>
      </x:c>
      <x:c r="E1230" s="6" t="str"/>
      <x:c r="F1230" s="6" t="str">
        <x:v>Part-requirement review</x:v>
      </x:c>
      <x:c r="G1230" s="6" t="n">
        <x:v>5</x:v>
      </x:c>
      <x:c r="H1230" s="6" t="str">
        <x:v>SIDX-0272</x:v>
      </x:c>
      <x:c r="I1230" s="6" t="str">
        <x:f>IF(H1230="","No upstream dependency",IF(ISNUMBER(SEARCH(";",H1230)),"Multiple dependencies - verify source queues",IFERROR(XLOOKUP(H1230,C2:C1586,J2:J1586),"Dependency not found")))</x:f>
        <x:v>Not Started</x:v>
      </x:c>
      <x:c r="J1230" s="6" t="str">
        <x:v>Not Started</x:v>
      </x:c>
      <x:c r="K1230" s="6" t="str">
        <x:v>Normal</x:v>
      </x:c>
      <x:c r="L1230" s="6" t="str"/>
      <x:c r="M1230" s="6" t="str"/>
      <x:c r="N1230" s="6" t="str"/>
      <x:c r="O1230" s="7" t="str"/>
      <x:c r="P1230" s="6" t="str">
        <x:v>Yes</x:v>
      </x:c>
      <x:c r="Q1230" s="7" t="str">
        <x:v>Requires stable service identity.</x:v>
      </x:c>
    </x:row>
    <x:row r="1231">
      <x:c r="A1231" s="6" t="str">
        <x:v>SEQ-PRT-0273</x:v>
      </x:c>
      <x:c r="B1231" s="6" t="str">
        <x:v>Part Requirement</x:v>
      </x:c>
      <x:c r="C1231" s="6" t="str">
        <x:v>PRTX-0273</x:v>
      </x:c>
      <x:c r="D1231" s="6" t="str">
        <x:v>SVC000273</x:v>
      </x:c>
      <x:c r="E1231" s="6" t="str"/>
      <x:c r="F1231" s="6" t="str">
        <x:v>Part-requirement review</x:v>
      </x:c>
      <x:c r="G1231" s="6" t="n">
        <x:v>5</x:v>
      </x:c>
      <x:c r="H1231" s="6" t="str">
        <x:v>SIDX-0273</x:v>
      </x:c>
      <x:c r="I1231" s="6" t="str">
        <x:f>IF(H1231="","No upstream dependency",IF(ISNUMBER(SEARCH(";",H1231)),"Multiple dependencies - verify source queues",IFERROR(XLOOKUP(H1231,C2:C1586,J2:J1586),"Dependency not found")))</x:f>
        <x:v>Not Started</x:v>
      </x:c>
      <x:c r="J1231" s="6" t="str">
        <x:v>Not Started</x:v>
      </x:c>
      <x:c r="K1231" s="6" t="str">
        <x:v>Normal</x:v>
      </x:c>
      <x:c r="L1231" s="6" t="str"/>
      <x:c r="M1231" s="6" t="str"/>
      <x:c r="N1231" s="6" t="str"/>
      <x:c r="O1231" s="7" t="str"/>
      <x:c r="P1231" s="6" t="str">
        <x:v>Yes</x:v>
      </x:c>
      <x:c r="Q1231" s="7" t="str">
        <x:v>Requires stable service identity.</x:v>
      </x:c>
    </x:row>
    <x:row r="1232">
      <x:c r="A1232" s="6" t="str">
        <x:v>SEQ-PRT-0274</x:v>
      </x:c>
      <x:c r="B1232" s="6" t="str">
        <x:v>Part Requirement</x:v>
      </x:c>
      <x:c r="C1232" s="6" t="str">
        <x:v>PRTX-0274</x:v>
      </x:c>
      <x:c r="D1232" s="6" t="str">
        <x:v>SVC000274</x:v>
      </x:c>
      <x:c r="E1232" s="6" t="str"/>
      <x:c r="F1232" s="6" t="str">
        <x:v>Part-requirement review</x:v>
      </x:c>
      <x:c r="G1232" s="6" t="n">
        <x:v>5</x:v>
      </x:c>
      <x:c r="H1232" s="6" t="str">
        <x:v>SIDX-0274</x:v>
      </x:c>
      <x:c r="I1232" s="6" t="str">
        <x:f>IF(H1232="","No upstream dependency",IF(ISNUMBER(SEARCH(";",H1232)),"Multiple dependencies - verify source queues",IFERROR(XLOOKUP(H1232,C2:C1586,J2:J1586),"Dependency not found")))</x:f>
        <x:v>Not Started</x:v>
      </x:c>
      <x:c r="J1232" s="6" t="str">
        <x:v>Not Started</x:v>
      </x:c>
      <x:c r="K1232" s="6" t="str">
        <x:v>Normal</x:v>
      </x:c>
      <x:c r="L1232" s="6" t="str"/>
      <x:c r="M1232" s="6" t="str"/>
      <x:c r="N1232" s="6" t="str"/>
      <x:c r="O1232" s="7" t="str"/>
      <x:c r="P1232" s="6" t="str">
        <x:v>Yes</x:v>
      </x:c>
      <x:c r="Q1232" s="7" t="str">
        <x:v>Requires stable service identity.</x:v>
      </x:c>
    </x:row>
    <x:row r="1233">
      <x:c r="A1233" s="6" t="str">
        <x:v>SEQ-PRT-0275</x:v>
      </x:c>
      <x:c r="B1233" s="6" t="str">
        <x:v>Part Requirement</x:v>
      </x:c>
      <x:c r="C1233" s="6" t="str">
        <x:v>PRTX-0275</x:v>
      </x:c>
      <x:c r="D1233" s="6" t="str">
        <x:v>SVC000275</x:v>
      </x:c>
      <x:c r="E1233" s="6" t="str"/>
      <x:c r="F1233" s="6" t="str">
        <x:v>Part-requirement review</x:v>
      </x:c>
      <x:c r="G1233" s="6" t="n">
        <x:v>5</x:v>
      </x:c>
      <x:c r="H1233" s="6" t="str">
        <x:v>SIDX-0275</x:v>
      </x:c>
      <x:c r="I1233" s="6" t="str">
        <x:f>IF(H1233="","No upstream dependency",IF(ISNUMBER(SEARCH(";",H1233)),"Multiple dependencies - verify source queues",IFERROR(XLOOKUP(H1233,C2:C1586,J2:J1586),"Dependency not found")))</x:f>
        <x:v>Not Started</x:v>
      </x:c>
      <x:c r="J1233" s="6" t="str">
        <x:v>Not Started</x:v>
      </x:c>
      <x:c r="K1233" s="6" t="str">
        <x:v>Normal</x:v>
      </x:c>
      <x:c r="L1233" s="6" t="str"/>
      <x:c r="M1233" s="6" t="str"/>
      <x:c r="N1233" s="6" t="str"/>
      <x:c r="O1233" s="7" t="str"/>
      <x:c r="P1233" s="6" t="str">
        <x:v>Yes</x:v>
      </x:c>
      <x:c r="Q1233" s="7" t="str">
        <x:v>Requires stable service identity.</x:v>
      </x:c>
    </x:row>
    <x:row r="1234">
      <x:c r="A1234" s="6" t="str">
        <x:v>SEQ-PRT-0276</x:v>
      </x:c>
      <x:c r="B1234" s="6" t="str">
        <x:v>Part Requirement</x:v>
      </x:c>
      <x:c r="C1234" s="6" t="str">
        <x:v>PRTX-0276</x:v>
      </x:c>
      <x:c r="D1234" s="6" t="str">
        <x:v>SVC000276</x:v>
      </x:c>
      <x:c r="E1234" s="6" t="str"/>
      <x:c r="F1234" s="6" t="str">
        <x:v>Part-requirement review</x:v>
      </x:c>
      <x:c r="G1234" s="6" t="n">
        <x:v>5</x:v>
      </x:c>
      <x:c r="H1234" s="6" t="str">
        <x:v>SIDX-0276</x:v>
      </x:c>
      <x:c r="I1234" s="6" t="str">
        <x:f>IF(H1234="","No upstream dependency",IF(ISNUMBER(SEARCH(";",H1234)),"Multiple dependencies - verify source queues",IFERROR(XLOOKUP(H1234,C2:C1586,J2:J1586),"Dependency not found")))</x:f>
        <x:v>Not Started</x:v>
      </x:c>
      <x:c r="J1234" s="6" t="str">
        <x:v>Not Started</x:v>
      </x:c>
      <x:c r="K1234" s="6" t="str">
        <x:v>Normal</x:v>
      </x:c>
      <x:c r="L1234" s="6" t="str"/>
      <x:c r="M1234" s="6" t="str"/>
      <x:c r="N1234" s="6" t="str"/>
      <x:c r="O1234" s="7" t="str"/>
      <x:c r="P1234" s="6" t="str">
        <x:v>Yes</x:v>
      </x:c>
      <x:c r="Q1234" s="7" t="str">
        <x:v>Requires stable service identity.</x:v>
      </x:c>
    </x:row>
    <x:row r="1235">
      <x:c r="A1235" s="6" t="str">
        <x:v>SEQ-PRT-0277</x:v>
      </x:c>
      <x:c r="B1235" s="6" t="str">
        <x:v>Part Requirement</x:v>
      </x:c>
      <x:c r="C1235" s="6" t="str">
        <x:v>PRTX-0277</x:v>
      </x:c>
      <x:c r="D1235" s="6" t="str">
        <x:v>SVC000277</x:v>
      </x:c>
      <x:c r="E1235" s="6" t="str"/>
      <x:c r="F1235" s="6" t="str">
        <x:v>Part-requirement review</x:v>
      </x:c>
      <x:c r="G1235" s="6" t="n">
        <x:v>5</x:v>
      </x:c>
      <x:c r="H1235" s="6" t="str">
        <x:v>SIDX-0277</x:v>
      </x:c>
      <x:c r="I1235" s="6" t="str">
        <x:f>IF(H1235="","No upstream dependency",IF(ISNUMBER(SEARCH(";",H1235)),"Multiple dependencies - verify source queues",IFERROR(XLOOKUP(H1235,C2:C1586,J2:J1586),"Dependency not found")))</x:f>
        <x:v>Not Started</x:v>
      </x:c>
      <x:c r="J1235" s="6" t="str">
        <x:v>Not Started</x:v>
      </x:c>
      <x:c r="K1235" s="6" t="str">
        <x:v>Normal</x:v>
      </x:c>
      <x:c r="L1235" s="6" t="str"/>
      <x:c r="M1235" s="6" t="str"/>
      <x:c r="N1235" s="6" t="str"/>
      <x:c r="O1235" s="7" t="str"/>
      <x:c r="P1235" s="6" t="str">
        <x:v>Yes</x:v>
      </x:c>
      <x:c r="Q1235" s="7" t="str">
        <x:v>Requires stable service identity.</x:v>
      </x:c>
    </x:row>
    <x:row r="1236">
      <x:c r="A1236" s="6" t="str">
        <x:v>SEQ-PRT-0278</x:v>
      </x:c>
      <x:c r="B1236" s="6" t="str">
        <x:v>Part Requirement</x:v>
      </x:c>
      <x:c r="C1236" s="6" t="str">
        <x:v>PRTX-0278</x:v>
      </x:c>
      <x:c r="D1236" s="6" t="str">
        <x:v>SVC000278</x:v>
      </x:c>
      <x:c r="E1236" s="6" t="str"/>
      <x:c r="F1236" s="6" t="str">
        <x:v>Part-requirement review</x:v>
      </x:c>
      <x:c r="G1236" s="6" t="n">
        <x:v>5</x:v>
      </x:c>
      <x:c r="H1236" s="6" t="str">
        <x:v>SIDX-0278</x:v>
      </x:c>
      <x:c r="I1236" s="6" t="str">
        <x:f>IF(H1236="","No upstream dependency",IF(ISNUMBER(SEARCH(";",H1236)),"Multiple dependencies - verify source queues",IFERROR(XLOOKUP(H1236,C2:C1586,J2:J1586),"Dependency not found")))</x:f>
        <x:v>Not Started</x:v>
      </x:c>
      <x:c r="J1236" s="6" t="str">
        <x:v>Not Started</x:v>
      </x:c>
      <x:c r="K1236" s="6" t="str">
        <x:v>Normal</x:v>
      </x:c>
      <x:c r="L1236" s="6" t="str"/>
      <x:c r="M1236" s="6" t="str"/>
      <x:c r="N1236" s="6" t="str"/>
      <x:c r="O1236" s="7" t="str"/>
      <x:c r="P1236" s="6" t="str">
        <x:v>Yes</x:v>
      </x:c>
      <x:c r="Q1236" s="7" t="str">
        <x:v>Requires stable service identity.</x:v>
      </x:c>
    </x:row>
    <x:row r="1237">
      <x:c r="A1237" s="6" t="str">
        <x:v>SEQ-PRT-0279</x:v>
      </x:c>
      <x:c r="B1237" s="6" t="str">
        <x:v>Part Requirement</x:v>
      </x:c>
      <x:c r="C1237" s="6" t="str">
        <x:v>PRTX-0279</x:v>
      </x:c>
      <x:c r="D1237" s="6" t="str">
        <x:v>SVC000279</x:v>
      </x:c>
      <x:c r="E1237" s="6" t="str"/>
      <x:c r="F1237" s="6" t="str">
        <x:v>Part-requirement review</x:v>
      </x:c>
      <x:c r="G1237" s="6" t="n">
        <x:v>5</x:v>
      </x:c>
      <x:c r="H1237" s="6" t="str">
        <x:v>SIDX-0279</x:v>
      </x:c>
      <x:c r="I1237" s="6" t="str">
        <x:f>IF(H1237="","No upstream dependency",IF(ISNUMBER(SEARCH(";",H1237)),"Multiple dependencies - verify source queues",IFERROR(XLOOKUP(H1237,C2:C1586,J2:J1586),"Dependency not found")))</x:f>
        <x:v>Not Started</x:v>
      </x:c>
      <x:c r="J1237" s="6" t="str">
        <x:v>Not Started</x:v>
      </x:c>
      <x:c r="K1237" s="6" t="str">
        <x:v>Normal</x:v>
      </x:c>
      <x:c r="L1237" s="6" t="str"/>
      <x:c r="M1237" s="6" t="str"/>
      <x:c r="N1237" s="6" t="str"/>
      <x:c r="O1237" s="7" t="str"/>
      <x:c r="P1237" s="6" t="str">
        <x:v>Yes</x:v>
      </x:c>
      <x:c r="Q1237" s="7" t="str">
        <x:v>Requires stable service identity.</x:v>
      </x:c>
    </x:row>
    <x:row r="1238">
      <x:c r="A1238" s="6" t="str">
        <x:v>SEQ-PRT-0280</x:v>
      </x:c>
      <x:c r="B1238" s="6" t="str">
        <x:v>Part Requirement</x:v>
      </x:c>
      <x:c r="C1238" s="6" t="str">
        <x:v>PRTX-0280</x:v>
      </x:c>
      <x:c r="D1238" s="6" t="str">
        <x:v>SVC000280</x:v>
      </x:c>
      <x:c r="E1238" s="6" t="str"/>
      <x:c r="F1238" s="6" t="str">
        <x:v>Part-requirement review</x:v>
      </x:c>
      <x:c r="G1238" s="6" t="n">
        <x:v>5</x:v>
      </x:c>
      <x:c r="H1238" s="6" t="str">
        <x:v>SIDX-0280</x:v>
      </x:c>
      <x:c r="I1238" s="6" t="str">
        <x:f>IF(H1238="","No upstream dependency",IF(ISNUMBER(SEARCH(";",H1238)),"Multiple dependencies - verify source queues",IFERROR(XLOOKUP(H1238,C2:C1586,J2:J1586),"Dependency not found")))</x:f>
        <x:v>Not Started</x:v>
      </x:c>
      <x:c r="J1238" s="6" t="str">
        <x:v>Not Started</x:v>
      </x:c>
      <x:c r="K1238" s="6" t="str">
        <x:v>Normal</x:v>
      </x:c>
      <x:c r="L1238" s="6" t="str"/>
      <x:c r="M1238" s="6" t="str"/>
      <x:c r="N1238" s="6" t="str"/>
      <x:c r="O1238" s="7" t="str"/>
      <x:c r="P1238" s="6" t="str">
        <x:v>Yes</x:v>
      </x:c>
      <x:c r="Q1238" s="7" t="str">
        <x:v>Requires stable service identity.</x:v>
      </x:c>
    </x:row>
    <x:row r="1239">
      <x:c r="A1239" s="6" t="str">
        <x:v>SEQ-PRT-0281</x:v>
      </x:c>
      <x:c r="B1239" s="6" t="str">
        <x:v>Part Requirement</x:v>
      </x:c>
      <x:c r="C1239" s="6" t="str">
        <x:v>PRTX-0281</x:v>
      </x:c>
      <x:c r="D1239" s="6" t="str">
        <x:v>SVC000281</x:v>
      </x:c>
      <x:c r="E1239" s="6" t="str"/>
      <x:c r="F1239" s="6" t="str">
        <x:v>Part-requirement review</x:v>
      </x:c>
      <x:c r="G1239" s="6" t="n">
        <x:v>5</x:v>
      </x:c>
      <x:c r="H1239" s="6" t="str">
        <x:v>SIDX-0281</x:v>
      </x:c>
      <x:c r="I1239" s="6" t="str">
        <x:f>IF(H1239="","No upstream dependency",IF(ISNUMBER(SEARCH(";",H1239)),"Multiple dependencies - verify source queues",IFERROR(XLOOKUP(H1239,C2:C1586,J2:J1586),"Dependency not found")))</x:f>
        <x:v>Not Started</x:v>
      </x:c>
      <x:c r="J1239" s="6" t="str">
        <x:v>Not Started</x:v>
      </x:c>
      <x:c r="K1239" s="6" t="str">
        <x:v>Normal</x:v>
      </x:c>
      <x:c r="L1239" s="6" t="str"/>
      <x:c r="M1239" s="6" t="str"/>
      <x:c r="N1239" s="6" t="str"/>
      <x:c r="O1239" s="7" t="str"/>
      <x:c r="P1239" s="6" t="str">
        <x:v>Yes</x:v>
      </x:c>
      <x:c r="Q1239" s="7" t="str">
        <x:v>Requires stable service identity.</x:v>
      </x:c>
    </x:row>
    <x:row r="1240">
      <x:c r="A1240" s="6" t="str">
        <x:v>SEQ-PRT-0282</x:v>
      </x:c>
      <x:c r="B1240" s="6" t="str">
        <x:v>Part Requirement</x:v>
      </x:c>
      <x:c r="C1240" s="6" t="str">
        <x:v>PRTX-0282</x:v>
      </x:c>
      <x:c r="D1240" s="6" t="str">
        <x:v>SVC000282</x:v>
      </x:c>
      <x:c r="E1240" s="6" t="str"/>
      <x:c r="F1240" s="6" t="str">
        <x:v>Part-requirement review</x:v>
      </x:c>
      <x:c r="G1240" s="6" t="n">
        <x:v>5</x:v>
      </x:c>
      <x:c r="H1240" s="6" t="str">
        <x:v>SIDX-0282</x:v>
      </x:c>
      <x:c r="I1240" s="6" t="str">
        <x:f>IF(H1240="","No upstream dependency",IF(ISNUMBER(SEARCH(";",H1240)),"Multiple dependencies - verify source queues",IFERROR(XLOOKUP(H1240,C2:C1586,J2:J1586),"Dependency not found")))</x:f>
        <x:v>Not Started</x:v>
      </x:c>
      <x:c r="J1240" s="6" t="str">
        <x:v>Not Started</x:v>
      </x:c>
      <x:c r="K1240" s="6" t="str">
        <x:v>Normal</x:v>
      </x:c>
      <x:c r="L1240" s="6" t="str"/>
      <x:c r="M1240" s="6" t="str"/>
      <x:c r="N1240" s="6" t="str"/>
      <x:c r="O1240" s="7" t="str"/>
      <x:c r="P1240" s="6" t="str">
        <x:v>Yes</x:v>
      </x:c>
      <x:c r="Q1240" s="7" t="str">
        <x:v>Requires stable service identity.</x:v>
      </x:c>
    </x:row>
    <x:row r="1241">
      <x:c r="A1241" s="6" t="str">
        <x:v>SEQ-PRT-0283</x:v>
      </x:c>
      <x:c r="B1241" s="6" t="str">
        <x:v>Part Requirement</x:v>
      </x:c>
      <x:c r="C1241" s="6" t="str">
        <x:v>PRTX-0283</x:v>
      </x:c>
      <x:c r="D1241" s="6" t="str">
        <x:v>SVC000283</x:v>
      </x:c>
      <x:c r="E1241" s="6" t="str"/>
      <x:c r="F1241" s="6" t="str">
        <x:v>Part-requirement review</x:v>
      </x:c>
      <x:c r="G1241" s="6" t="n">
        <x:v>5</x:v>
      </x:c>
      <x:c r="H1241" s="6" t="str">
        <x:v>SIDX-0283</x:v>
      </x:c>
      <x:c r="I1241" s="6" t="str">
        <x:f>IF(H1241="","No upstream dependency",IF(ISNUMBER(SEARCH(";",H1241)),"Multiple dependencies - verify source queues",IFERROR(XLOOKUP(H1241,C2:C1586,J2:J1586),"Dependency not found")))</x:f>
        <x:v>Not Started</x:v>
      </x:c>
      <x:c r="J1241" s="6" t="str">
        <x:v>Not Started</x:v>
      </x:c>
      <x:c r="K1241" s="6" t="str">
        <x:v>Normal</x:v>
      </x:c>
      <x:c r="L1241" s="6" t="str"/>
      <x:c r="M1241" s="6" t="str"/>
      <x:c r="N1241" s="6" t="str"/>
      <x:c r="O1241" s="7" t="str"/>
      <x:c r="P1241" s="6" t="str">
        <x:v>Yes</x:v>
      </x:c>
      <x:c r="Q1241" s="7" t="str">
        <x:v>Requires stable service identity.</x:v>
      </x:c>
    </x:row>
    <x:row r="1242">
      <x:c r="A1242" s="6" t="str">
        <x:v>SEQ-PRT-0284</x:v>
      </x:c>
      <x:c r="B1242" s="6" t="str">
        <x:v>Part Requirement</x:v>
      </x:c>
      <x:c r="C1242" s="6" t="str">
        <x:v>PRTX-0284</x:v>
      </x:c>
      <x:c r="D1242" s="6" t="str">
        <x:v>SVC000284</x:v>
      </x:c>
      <x:c r="E1242" s="6" t="str"/>
      <x:c r="F1242" s="6" t="str">
        <x:v>Part-requirement review</x:v>
      </x:c>
      <x:c r="G1242" s="6" t="n">
        <x:v>5</x:v>
      </x:c>
      <x:c r="H1242" s="6" t="str">
        <x:v>SIDX-0284</x:v>
      </x:c>
      <x:c r="I1242" s="6" t="str">
        <x:f>IF(H1242="","No upstream dependency",IF(ISNUMBER(SEARCH(";",H1242)),"Multiple dependencies - verify source queues",IFERROR(XLOOKUP(H1242,C2:C1586,J2:J1586),"Dependency not found")))</x:f>
        <x:v>Not Started</x:v>
      </x:c>
      <x:c r="J1242" s="6" t="str">
        <x:v>Not Started</x:v>
      </x:c>
      <x:c r="K1242" s="6" t="str">
        <x:v>Normal</x:v>
      </x:c>
      <x:c r="L1242" s="6" t="str"/>
      <x:c r="M1242" s="6" t="str"/>
      <x:c r="N1242" s="6" t="str"/>
      <x:c r="O1242" s="7" t="str"/>
      <x:c r="P1242" s="6" t="str">
        <x:v>Yes</x:v>
      </x:c>
      <x:c r="Q1242" s="7" t="str">
        <x:v>Requires stable service identity.</x:v>
      </x:c>
    </x:row>
    <x:row r="1243">
      <x:c r="A1243" s="6" t="str">
        <x:v>SEQ-PRT-0285</x:v>
      </x:c>
      <x:c r="B1243" s="6" t="str">
        <x:v>Part Requirement</x:v>
      </x:c>
      <x:c r="C1243" s="6" t="str">
        <x:v>PRTX-0285</x:v>
      </x:c>
      <x:c r="D1243" s="6" t="str">
        <x:v>SVC000285</x:v>
      </x:c>
      <x:c r="E1243" s="6" t="str"/>
      <x:c r="F1243" s="6" t="str">
        <x:v>Part-requirement review</x:v>
      </x:c>
      <x:c r="G1243" s="6" t="n">
        <x:v>5</x:v>
      </x:c>
      <x:c r="H1243" s="6" t="str">
        <x:v>SIDX-0285</x:v>
      </x:c>
      <x:c r="I1243" s="6" t="str">
        <x:f>IF(H1243="","No upstream dependency",IF(ISNUMBER(SEARCH(";",H1243)),"Multiple dependencies - verify source queues",IFERROR(XLOOKUP(H1243,C2:C1586,J2:J1586),"Dependency not found")))</x:f>
        <x:v>Not Started</x:v>
      </x:c>
      <x:c r="J1243" s="6" t="str">
        <x:v>Not Started</x:v>
      </x:c>
      <x:c r="K1243" s="6" t="str">
        <x:v>Normal</x:v>
      </x:c>
      <x:c r="L1243" s="6" t="str"/>
      <x:c r="M1243" s="6" t="str"/>
      <x:c r="N1243" s="6" t="str"/>
      <x:c r="O1243" s="7" t="str"/>
      <x:c r="P1243" s="6" t="str">
        <x:v>Yes</x:v>
      </x:c>
      <x:c r="Q1243" s="7" t="str">
        <x:v>Requires stable service identity.</x:v>
      </x:c>
    </x:row>
    <x:row r="1244">
      <x:c r="A1244" s="6" t="str">
        <x:v>SEQ-PRT-0286</x:v>
      </x:c>
      <x:c r="B1244" s="6" t="str">
        <x:v>Part Requirement</x:v>
      </x:c>
      <x:c r="C1244" s="6" t="str">
        <x:v>PRTX-0286</x:v>
      </x:c>
      <x:c r="D1244" s="6" t="str">
        <x:v>SVC000286</x:v>
      </x:c>
      <x:c r="E1244" s="6" t="str"/>
      <x:c r="F1244" s="6" t="str">
        <x:v>Part-requirement review</x:v>
      </x:c>
      <x:c r="G1244" s="6" t="n">
        <x:v>5</x:v>
      </x:c>
      <x:c r="H1244" s="6" t="str">
        <x:v>SIDX-0286</x:v>
      </x:c>
      <x:c r="I1244" s="6" t="str">
        <x:f>IF(H1244="","No upstream dependency",IF(ISNUMBER(SEARCH(";",H1244)),"Multiple dependencies - verify source queues",IFERROR(XLOOKUP(H1244,C2:C1586,J2:J1586),"Dependency not found")))</x:f>
        <x:v>Not Started</x:v>
      </x:c>
      <x:c r="J1244" s="6" t="str">
        <x:v>Not Started</x:v>
      </x:c>
      <x:c r="K1244" s="6" t="str">
        <x:v>Normal</x:v>
      </x:c>
      <x:c r="L1244" s="6" t="str"/>
      <x:c r="M1244" s="6" t="str"/>
      <x:c r="N1244" s="6" t="str"/>
      <x:c r="O1244" s="7" t="str"/>
      <x:c r="P1244" s="6" t="str">
        <x:v>Yes</x:v>
      </x:c>
      <x:c r="Q1244" s="7" t="str">
        <x:v>Requires stable service identity.</x:v>
      </x:c>
    </x:row>
    <x:row r="1245">
      <x:c r="A1245" s="6" t="str">
        <x:v>SEQ-PRT-0287</x:v>
      </x:c>
      <x:c r="B1245" s="6" t="str">
        <x:v>Part Requirement</x:v>
      </x:c>
      <x:c r="C1245" s="6" t="str">
        <x:v>PRTX-0287</x:v>
      </x:c>
      <x:c r="D1245" s="6" t="str">
        <x:v>SVC000287</x:v>
      </x:c>
      <x:c r="E1245" s="6" t="str"/>
      <x:c r="F1245" s="6" t="str">
        <x:v>Part-requirement review</x:v>
      </x:c>
      <x:c r="G1245" s="6" t="n">
        <x:v>5</x:v>
      </x:c>
      <x:c r="H1245" s="6" t="str">
        <x:v>SIDX-0287</x:v>
      </x:c>
      <x:c r="I1245" s="6" t="str">
        <x:f>IF(H1245="","No upstream dependency",IF(ISNUMBER(SEARCH(";",H1245)),"Multiple dependencies - verify source queues",IFERROR(XLOOKUP(H1245,C2:C1586,J2:J1586),"Dependency not found")))</x:f>
        <x:v>Not Started</x:v>
      </x:c>
      <x:c r="J1245" s="6" t="str">
        <x:v>Not Started</x:v>
      </x:c>
      <x:c r="K1245" s="6" t="str">
        <x:v>Normal</x:v>
      </x:c>
      <x:c r="L1245" s="6" t="str"/>
      <x:c r="M1245" s="6" t="str"/>
      <x:c r="N1245" s="6" t="str"/>
      <x:c r="O1245" s="7" t="str"/>
      <x:c r="P1245" s="6" t="str">
        <x:v>Yes</x:v>
      </x:c>
      <x:c r="Q1245" s="7" t="str">
        <x:v>Requires stable service identity.</x:v>
      </x:c>
    </x:row>
    <x:row r="1246">
      <x:c r="A1246" s="6" t="str">
        <x:v>SEQ-PRT-0288</x:v>
      </x:c>
      <x:c r="B1246" s="6" t="str">
        <x:v>Part Requirement</x:v>
      </x:c>
      <x:c r="C1246" s="6" t="str">
        <x:v>PRTX-0288</x:v>
      </x:c>
      <x:c r="D1246" s="6" t="str">
        <x:v>SVC000288</x:v>
      </x:c>
      <x:c r="E1246" s="6" t="str"/>
      <x:c r="F1246" s="6" t="str">
        <x:v>Part-requirement review</x:v>
      </x:c>
      <x:c r="G1246" s="6" t="n">
        <x:v>5</x:v>
      </x:c>
      <x:c r="H1246" s="6" t="str">
        <x:v>SIDX-0288</x:v>
      </x:c>
      <x:c r="I1246" s="6" t="str">
        <x:f>IF(H1246="","No upstream dependency",IF(ISNUMBER(SEARCH(";",H1246)),"Multiple dependencies - verify source queues",IFERROR(XLOOKUP(H1246,C2:C1586,J2:J1586),"Dependency not found")))</x:f>
        <x:v>Not Started</x:v>
      </x:c>
      <x:c r="J1246" s="6" t="str">
        <x:v>Not Started</x:v>
      </x:c>
      <x:c r="K1246" s="6" t="str">
        <x:v>Normal</x:v>
      </x:c>
      <x:c r="L1246" s="6" t="str"/>
      <x:c r="M1246" s="6" t="str"/>
      <x:c r="N1246" s="6" t="str"/>
      <x:c r="O1246" s="7" t="str"/>
      <x:c r="P1246" s="6" t="str">
        <x:v>Yes</x:v>
      </x:c>
      <x:c r="Q1246" s="7" t="str">
        <x:v>Requires stable service identity.</x:v>
      </x:c>
    </x:row>
    <x:row r="1247">
      <x:c r="A1247" s="6" t="str">
        <x:v>SEQ-PRT-0289</x:v>
      </x:c>
      <x:c r="B1247" s="6" t="str">
        <x:v>Part Requirement</x:v>
      </x:c>
      <x:c r="C1247" s="6" t="str">
        <x:v>PRTX-0289</x:v>
      </x:c>
      <x:c r="D1247" s="6" t="str">
        <x:v>SVC000289</x:v>
      </x:c>
      <x:c r="E1247" s="6" t="str"/>
      <x:c r="F1247" s="6" t="str">
        <x:v>Part-requirement review</x:v>
      </x:c>
      <x:c r="G1247" s="6" t="n">
        <x:v>5</x:v>
      </x:c>
      <x:c r="H1247" s="6" t="str">
        <x:v>SIDX-0289</x:v>
      </x:c>
      <x:c r="I1247" s="6" t="str">
        <x:f>IF(H1247="","No upstream dependency",IF(ISNUMBER(SEARCH(";",H1247)),"Multiple dependencies - verify source queues",IFERROR(XLOOKUP(H1247,C2:C1586,J2:J1586),"Dependency not found")))</x:f>
        <x:v>Not Started</x:v>
      </x:c>
      <x:c r="J1247" s="6" t="str">
        <x:v>Not Started</x:v>
      </x:c>
      <x:c r="K1247" s="6" t="str">
        <x:v>Normal</x:v>
      </x:c>
      <x:c r="L1247" s="6" t="str"/>
      <x:c r="M1247" s="6" t="str"/>
      <x:c r="N1247" s="6" t="str"/>
      <x:c r="O1247" s="7" t="str"/>
      <x:c r="P1247" s="6" t="str">
        <x:v>Yes</x:v>
      </x:c>
      <x:c r="Q1247" s="7" t="str">
        <x:v>Requires stable service identity.</x:v>
      </x:c>
    </x:row>
    <x:row r="1248">
      <x:c r="A1248" s="6" t="str">
        <x:v>SEQ-PRT-0290</x:v>
      </x:c>
      <x:c r="B1248" s="6" t="str">
        <x:v>Part Requirement</x:v>
      </x:c>
      <x:c r="C1248" s="6" t="str">
        <x:v>PRTX-0290</x:v>
      </x:c>
      <x:c r="D1248" s="6" t="str">
        <x:v>SVC000290</x:v>
      </x:c>
      <x:c r="E1248" s="6" t="str"/>
      <x:c r="F1248" s="6" t="str">
        <x:v>Part-requirement review</x:v>
      </x:c>
      <x:c r="G1248" s="6" t="n">
        <x:v>5</x:v>
      </x:c>
      <x:c r="H1248" s="6" t="str">
        <x:v>SIDX-0290</x:v>
      </x:c>
      <x:c r="I1248" s="6" t="str">
        <x:f>IF(H1248="","No upstream dependency",IF(ISNUMBER(SEARCH(";",H1248)),"Multiple dependencies - verify source queues",IFERROR(XLOOKUP(H1248,C2:C1586,J2:J1586),"Dependency not found")))</x:f>
        <x:v>Not Started</x:v>
      </x:c>
      <x:c r="J1248" s="6" t="str">
        <x:v>Not Started</x:v>
      </x:c>
      <x:c r="K1248" s="6" t="str">
        <x:v>Normal</x:v>
      </x:c>
      <x:c r="L1248" s="6" t="str"/>
      <x:c r="M1248" s="6" t="str"/>
      <x:c r="N1248" s="6" t="str"/>
      <x:c r="O1248" s="7" t="str"/>
      <x:c r="P1248" s="6" t="str">
        <x:v>Yes</x:v>
      </x:c>
      <x:c r="Q1248" s="7" t="str">
        <x:v>Requires stable service identity.</x:v>
      </x:c>
    </x:row>
    <x:row r="1249">
      <x:c r="A1249" s="6" t="str">
        <x:v>SEQ-PRT-0291</x:v>
      </x:c>
      <x:c r="B1249" s="6" t="str">
        <x:v>Part Requirement</x:v>
      </x:c>
      <x:c r="C1249" s="6" t="str">
        <x:v>PRTX-0291</x:v>
      </x:c>
      <x:c r="D1249" s="6" t="str">
        <x:v>SVC000291</x:v>
      </x:c>
      <x:c r="E1249" s="6" t="str"/>
      <x:c r="F1249" s="6" t="str">
        <x:v>Part-requirement review</x:v>
      </x:c>
      <x:c r="G1249" s="6" t="n">
        <x:v>5</x:v>
      </x:c>
      <x:c r="H1249" s="6" t="str">
        <x:v>SIDX-0291</x:v>
      </x:c>
      <x:c r="I1249" s="6" t="str">
        <x:f>IF(H1249="","No upstream dependency",IF(ISNUMBER(SEARCH(";",H1249)),"Multiple dependencies - verify source queues",IFERROR(XLOOKUP(H1249,C2:C1586,J2:J1586),"Dependency not found")))</x:f>
        <x:v>Not Started</x:v>
      </x:c>
      <x:c r="J1249" s="6" t="str">
        <x:v>Not Started</x:v>
      </x:c>
      <x:c r="K1249" s="6" t="str">
        <x:v>Normal</x:v>
      </x:c>
      <x:c r="L1249" s="6" t="str"/>
      <x:c r="M1249" s="6" t="str"/>
      <x:c r="N1249" s="6" t="str"/>
      <x:c r="O1249" s="7" t="str"/>
      <x:c r="P1249" s="6" t="str">
        <x:v>Yes</x:v>
      </x:c>
      <x:c r="Q1249" s="7" t="str">
        <x:v>Requires stable service identity.</x:v>
      </x:c>
    </x:row>
    <x:row r="1250">
      <x:c r="A1250" s="6" t="str">
        <x:v>SEQ-PRT-0292</x:v>
      </x:c>
      <x:c r="B1250" s="6" t="str">
        <x:v>Part Requirement</x:v>
      </x:c>
      <x:c r="C1250" s="6" t="str">
        <x:v>PRTX-0292</x:v>
      </x:c>
      <x:c r="D1250" s="6" t="str">
        <x:v>SVC000292</x:v>
      </x:c>
      <x:c r="E1250" s="6" t="str"/>
      <x:c r="F1250" s="6" t="str">
        <x:v>Part-requirement review</x:v>
      </x:c>
      <x:c r="G1250" s="6" t="n">
        <x:v>5</x:v>
      </x:c>
      <x:c r="H1250" s="6" t="str">
        <x:v>SIDX-0292</x:v>
      </x:c>
      <x:c r="I1250" s="6" t="str">
        <x:f>IF(H1250="","No upstream dependency",IF(ISNUMBER(SEARCH(";",H1250)),"Multiple dependencies - verify source queues",IFERROR(XLOOKUP(H1250,C2:C1586,J2:J1586),"Dependency not found")))</x:f>
        <x:v>Not Started</x:v>
      </x:c>
      <x:c r="J1250" s="6" t="str">
        <x:v>Not Started</x:v>
      </x:c>
      <x:c r="K1250" s="6" t="str">
        <x:v>Normal</x:v>
      </x:c>
      <x:c r="L1250" s="6" t="str"/>
      <x:c r="M1250" s="6" t="str"/>
      <x:c r="N1250" s="6" t="str"/>
      <x:c r="O1250" s="7" t="str"/>
      <x:c r="P1250" s="6" t="str">
        <x:v>Yes</x:v>
      </x:c>
      <x:c r="Q1250" s="7" t="str">
        <x:v>Requires stable service identity.</x:v>
      </x:c>
    </x:row>
    <x:row r="1251">
      <x:c r="A1251" s="6" t="str">
        <x:v>SEQ-PRT-0293</x:v>
      </x:c>
      <x:c r="B1251" s="6" t="str">
        <x:v>Part Requirement</x:v>
      </x:c>
      <x:c r="C1251" s="6" t="str">
        <x:v>PRTX-0293</x:v>
      </x:c>
      <x:c r="D1251" s="6" t="str">
        <x:v>SVC000293</x:v>
      </x:c>
      <x:c r="E1251" s="6" t="str"/>
      <x:c r="F1251" s="6" t="str">
        <x:v>Part-requirement review</x:v>
      </x:c>
      <x:c r="G1251" s="6" t="n">
        <x:v>5</x:v>
      </x:c>
      <x:c r="H1251" s="6" t="str">
        <x:v>SIDX-0293</x:v>
      </x:c>
      <x:c r="I1251" s="6" t="str">
        <x:f>IF(H1251="","No upstream dependency",IF(ISNUMBER(SEARCH(";",H1251)),"Multiple dependencies - verify source queues",IFERROR(XLOOKUP(H1251,C2:C1586,J2:J1586),"Dependency not found")))</x:f>
        <x:v>Not Started</x:v>
      </x:c>
      <x:c r="J1251" s="6" t="str">
        <x:v>Not Started</x:v>
      </x:c>
      <x:c r="K1251" s="6" t="str">
        <x:v>Normal</x:v>
      </x:c>
      <x:c r="L1251" s="6" t="str"/>
      <x:c r="M1251" s="6" t="str"/>
      <x:c r="N1251" s="6" t="str"/>
      <x:c r="O1251" s="7" t="str"/>
      <x:c r="P1251" s="6" t="str">
        <x:v>Yes</x:v>
      </x:c>
      <x:c r="Q1251" s="7" t="str">
        <x:v>Requires stable service identity.</x:v>
      </x:c>
    </x:row>
    <x:row r="1252">
      <x:c r="A1252" s="6" t="str">
        <x:v>SEQ-PRT-0294</x:v>
      </x:c>
      <x:c r="B1252" s="6" t="str">
        <x:v>Part Requirement</x:v>
      </x:c>
      <x:c r="C1252" s="6" t="str">
        <x:v>PRTX-0294</x:v>
      </x:c>
      <x:c r="D1252" s="6" t="str">
        <x:v>SVC000294</x:v>
      </x:c>
      <x:c r="E1252" s="6" t="str"/>
      <x:c r="F1252" s="6" t="str">
        <x:v>Part-requirement review</x:v>
      </x:c>
      <x:c r="G1252" s="6" t="n">
        <x:v>5</x:v>
      </x:c>
      <x:c r="H1252" s="6" t="str">
        <x:v>SIDX-0294</x:v>
      </x:c>
      <x:c r="I1252" s="6" t="str">
        <x:f>IF(H1252="","No upstream dependency",IF(ISNUMBER(SEARCH(";",H1252)),"Multiple dependencies - verify source queues",IFERROR(XLOOKUP(H1252,C2:C1586,J2:J1586),"Dependency not found")))</x:f>
        <x:v>Not Started</x:v>
      </x:c>
      <x:c r="J1252" s="6" t="str">
        <x:v>Not Started</x:v>
      </x:c>
      <x:c r="K1252" s="6" t="str">
        <x:v>Normal</x:v>
      </x:c>
      <x:c r="L1252" s="6" t="str"/>
      <x:c r="M1252" s="6" t="str"/>
      <x:c r="N1252" s="6" t="str"/>
      <x:c r="O1252" s="7" t="str"/>
      <x:c r="P1252" s="6" t="str">
        <x:v>Yes</x:v>
      </x:c>
      <x:c r="Q1252" s="7" t="str">
        <x:v>Requires stable service identity.</x:v>
      </x:c>
    </x:row>
    <x:row r="1253">
      <x:c r="A1253" s="6" t="str">
        <x:v>SEQ-PRT-0295</x:v>
      </x:c>
      <x:c r="B1253" s="6" t="str">
        <x:v>Part Requirement</x:v>
      </x:c>
      <x:c r="C1253" s="6" t="str">
        <x:v>PRTX-0295</x:v>
      </x:c>
      <x:c r="D1253" s="6" t="str">
        <x:v>SVC000295</x:v>
      </x:c>
      <x:c r="E1253" s="6" t="str"/>
      <x:c r="F1253" s="6" t="str">
        <x:v>Part-requirement review</x:v>
      </x:c>
      <x:c r="G1253" s="6" t="n">
        <x:v>5</x:v>
      </x:c>
      <x:c r="H1253" s="6" t="str">
        <x:v>SIDX-0295</x:v>
      </x:c>
      <x:c r="I1253" s="6" t="str">
        <x:f>IF(H1253="","No upstream dependency",IF(ISNUMBER(SEARCH(";",H1253)),"Multiple dependencies - verify source queues",IFERROR(XLOOKUP(H1253,C2:C1586,J2:J1586),"Dependency not found")))</x:f>
        <x:v>Not Started</x:v>
      </x:c>
      <x:c r="J1253" s="6" t="str">
        <x:v>Not Started</x:v>
      </x:c>
      <x:c r="K1253" s="6" t="str">
        <x:v>Normal</x:v>
      </x:c>
      <x:c r="L1253" s="6" t="str"/>
      <x:c r="M1253" s="6" t="str"/>
      <x:c r="N1253" s="6" t="str"/>
      <x:c r="O1253" s="7" t="str"/>
      <x:c r="P1253" s="6" t="str">
        <x:v>Yes</x:v>
      </x:c>
      <x:c r="Q1253" s="7" t="str">
        <x:v>Requires stable service identity.</x:v>
      </x:c>
    </x:row>
    <x:row r="1254">
      <x:c r="A1254" s="6" t="str">
        <x:v>SEQ-PRT-0296</x:v>
      </x:c>
      <x:c r="B1254" s="6" t="str">
        <x:v>Part Requirement</x:v>
      </x:c>
      <x:c r="C1254" s="6" t="str">
        <x:v>PRTX-0296</x:v>
      </x:c>
      <x:c r="D1254" s="6" t="str">
        <x:v>SVC000296</x:v>
      </x:c>
      <x:c r="E1254" s="6" t="str"/>
      <x:c r="F1254" s="6" t="str">
        <x:v>Part-requirement review</x:v>
      </x:c>
      <x:c r="G1254" s="6" t="n">
        <x:v>5</x:v>
      </x:c>
      <x:c r="H1254" s="6" t="str">
        <x:v>SIDX-0296</x:v>
      </x:c>
      <x:c r="I1254" s="6" t="str">
        <x:f>IF(H1254="","No upstream dependency",IF(ISNUMBER(SEARCH(";",H1254)),"Multiple dependencies - verify source queues",IFERROR(XLOOKUP(H1254,C2:C1586,J2:J1586),"Dependency not found")))</x:f>
        <x:v>Not Started</x:v>
      </x:c>
      <x:c r="J1254" s="6" t="str">
        <x:v>Not Started</x:v>
      </x:c>
      <x:c r="K1254" s="6" t="str">
        <x:v>Normal</x:v>
      </x:c>
      <x:c r="L1254" s="6" t="str"/>
      <x:c r="M1254" s="6" t="str"/>
      <x:c r="N1254" s="6" t="str"/>
      <x:c r="O1254" s="7" t="str"/>
      <x:c r="P1254" s="6" t="str">
        <x:v>Yes</x:v>
      </x:c>
      <x:c r="Q1254" s="7" t="str">
        <x:v>Requires stable service identity.</x:v>
      </x:c>
    </x:row>
    <x:row r="1255">
      <x:c r="A1255" s="6" t="str">
        <x:v>SEQ-PRT-0297</x:v>
      </x:c>
      <x:c r="B1255" s="6" t="str">
        <x:v>Part Requirement</x:v>
      </x:c>
      <x:c r="C1255" s="6" t="str">
        <x:v>PRTX-0297</x:v>
      </x:c>
      <x:c r="D1255" s="6" t="str">
        <x:v>SVC000297</x:v>
      </x:c>
      <x:c r="E1255" s="6" t="str"/>
      <x:c r="F1255" s="6" t="str">
        <x:v>Part-requirement review</x:v>
      </x:c>
      <x:c r="G1255" s="6" t="n">
        <x:v>5</x:v>
      </x:c>
      <x:c r="H1255" s="6" t="str">
        <x:v>SIDX-0297</x:v>
      </x:c>
      <x:c r="I1255" s="6" t="str">
        <x:f>IF(H1255="","No upstream dependency",IF(ISNUMBER(SEARCH(";",H1255)),"Multiple dependencies - verify source queues",IFERROR(XLOOKUP(H1255,C2:C1586,J2:J1586),"Dependency not found")))</x:f>
        <x:v>Not Started</x:v>
      </x:c>
      <x:c r="J1255" s="6" t="str">
        <x:v>Not Started</x:v>
      </x:c>
      <x:c r="K1255" s="6" t="str">
        <x:v>Normal</x:v>
      </x:c>
      <x:c r="L1255" s="6" t="str"/>
      <x:c r="M1255" s="6" t="str"/>
      <x:c r="N1255" s="6" t="str"/>
      <x:c r="O1255" s="7" t="str"/>
      <x:c r="P1255" s="6" t="str">
        <x:v>Yes</x:v>
      </x:c>
      <x:c r="Q1255" s="7" t="str">
        <x:v>Requires stable service identity.</x:v>
      </x:c>
    </x:row>
    <x:row r="1256">
      <x:c r="A1256" s="6" t="str">
        <x:v>SEQ-PRT-0298</x:v>
      </x:c>
      <x:c r="B1256" s="6" t="str">
        <x:v>Part Requirement</x:v>
      </x:c>
      <x:c r="C1256" s="6" t="str">
        <x:v>PRTX-0298</x:v>
      </x:c>
      <x:c r="D1256" s="6" t="str">
        <x:v>SVC000298</x:v>
      </x:c>
      <x:c r="E1256" s="6" t="str"/>
      <x:c r="F1256" s="6" t="str">
        <x:v>Part-requirement review</x:v>
      </x:c>
      <x:c r="G1256" s="6" t="n">
        <x:v>5</x:v>
      </x:c>
      <x:c r="H1256" s="6" t="str">
        <x:v>SIDX-0298</x:v>
      </x:c>
      <x:c r="I1256" s="6" t="str">
        <x:f>IF(H1256="","No upstream dependency",IF(ISNUMBER(SEARCH(";",H1256)),"Multiple dependencies - verify source queues",IFERROR(XLOOKUP(H1256,C2:C1586,J2:J1586),"Dependency not found")))</x:f>
        <x:v>Not Started</x:v>
      </x:c>
      <x:c r="J1256" s="6" t="str">
        <x:v>Not Started</x:v>
      </x:c>
      <x:c r="K1256" s="6" t="str">
        <x:v>Normal</x:v>
      </x:c>
      <x:c r="L1256" s="6" t="str"/>
      <x:c r="M1256" s="6" t="str"/>
      <x:c r="N1256" s="6" t="str"/>
      <x:c r="O1256" s="7" t="str"/>
      <x:c r="P1256" s="6" t="str">
        <x:v>Yes</x:v>
      </x:c>
      <x:c r="Q1256" s="7" t="str">
        <x:v>Requires stable service identity.</x:v>
      </x:c>
    </x:row>
    <x:row r="1257">
      <x:c r="A1257" s="6" t="str">
        <x:v>SEQ-PRT-0299</x:v>
      </x:c>
      <x:c r="B1257" s="6" t="str">
        <x:v>Part Requirement</x:v>
      </x:c>
      <x:c r="C1257" s="6" t="str">
        <x:v>PRTX-0299</x:v>
      </x:c>
      <x:c r="D1257" s="6" t="str">
        <x:v>SVC000299</x:v>
      </x:c>
      <x:c r="E1257" s="6" t="str"/>
      <x:c r="F1257" s="6" t="str">
        <x:v>Part-requirement review</x:v>
      </x:c>
      <x:c r="G1257" s="6" t="n">
        <x:v>5</x:v>
      </x:c>
      <x:c r="H1257" s="6" t="str">
        <x:v>SIDX-0299</x:v>
      </x:c>
      <x:c r="I1257" s="6" t="str">
        <x:f>IF(H1257="","No upstream dependency",IF(ISNUMBER(SEARCH(";",H1257)),"Multiple dependencies - verify source queues",IFERROR(XLOOKUP(H1257,C2:C1586,J2:J1586),"Dependency not found")))</x:f>
        <x:v>Not Started</x:v>
      </x:c>
      <x:c r="J1257" s="6" t="str">
        <x:v>Not Started</x:v>
      </x:c>
      <x:c r="K1257" s="6" t="str">
        <x:v>Normal</x:v>
      </x:c>
      <x:c r="L1257" s="6" t="str"/>
      <x:c r="M1257" s="6" t="str"/>
      <x:c r="N1257" s="6" t="str"/>
      <x:c r="O1257" s="7" t="str"/>
      <x:c r="P1257" s="6" t="str">
        <x:v>Yes</x:v>
      </x:c>
      <x:c r="Q1257" s="7" t="str">
        <x:v>Requires stable service identity.</x:v>
      </x:c>
    </x:row>
    <x:row r="1258">
      <x:c r="A1258" s="6" t="str">
        <x:v>SEQ-PRT-0300</x:v>
      </x:c>
      <x:c r="B1258" s="6" t="str">
        <x:v>Part Requirement</x:v>
      </x:c>
      <x:c r="C1258" s="6" t="str">
        <x:v>PRTX-0300</x:v>
      </x:c>
      <x:c r="D1258" s="6" t="str">
        <x:v>SVC000300</x:v>
      </x:c>
      <x:c r="E1258" s="6" t="str"/>
      <x:c r="F1258" s="6" t="str">
        <x:v>Part-requirement review</x:v>
      </x:c>
      <x:c r="G1258" s="6" t="n">
        <x:v>5</x:v>
      </x:c>
      <x:c r="H1258" s="6" t="str">
        <x:v>SIDX-0300</x:v>
      </x:c>
      <x:c r="I1258" s="6" t="str">
        <x:f>IF(H1258="","No upstream dependency",IF(ISNUMBER(SEARCH(";",H1258)),"Multiple dependencies - verify source queues",IFERROR(XLOOKUP(H1258,C2:C1586,J2:J1586),"Dependency not found")))</x:f>
        <x:v>Not Started</x:v>
      </x:c>
      <x:c r="J1258" s="6" t="str">
        <x:v>Not Started</x:v>
      </x:c>
      <x:c r="K1258" s="6" t="str">
        <x:v>Normal</x:v>
      </x:c>
      <x:c r="L1258" s="6" t="str"/>
      <x:c r="M1258" s="6" t="str"/>
      <x:c r="N1258" s="6" t="str"/>
      <x:c r="O1258" s="7" t="str"/>
      <x:c r="P1258" s="6" t="str">
        <x:v>Yes</x:v>
      </x:c>
      <x:c r="Q1258" s="7" t="str">
        <x:v>Requires stable service identity.</x:v>
      </x:c>
    </x:row>
    <x:row r="1259">
      <x:c r="A1259" s="6" t="str">
        <x:v>SEQ-PRT-0301</x:v>
      </x:c>
      <x:c r="B1259" s="6" t="str">
        <x:v>Part Requirement</x:v>
      </x:c>
      <x:c r="C1259" s="6" t="str">
        <x:v>PRTX-0301</x:v>
      </x:c>
      <x:c r="D1259" s="6" t="str">
        <x:v>SVC000301</x:v>
      </x:c>
      <x:c r="E1259" s="6" t="str"/>
      <x:c r="F1259" s="6" t="str">
        <x:v>Part-requirement review</x:v>
      </x:c>
      <x:c r="G1259" s="6" t="n">
        <x:v>5</x:v>
      </x:c>
      <x:c r="H1259" s="6" t="str">
        <x:v>SIDX-0301</x:v>
      </x:c>
      <x:c r="I1259" s="6" t="str">
        <x:f>IF(H1259="","No upstream dependency",IF(ISNUMBER(SEARCH(";",H1259)),"Multiple dependencies - verify source queues",IFERROR(XLOOKUP(H1259,C2:C1586,J2:J1586),"Dependency not found")))</x:f>
        <x:v>Not Started</x:v>
      </x:c>
      <x:c r="J1259" s="6" t="str">
        <x:v>Not Started</x:v>
      </x:c>
      <x:c r="K1259" s="6" t="str">
        <x:v>Normal</x:v>
      </x:c>
      <x:c r="L1259" s="6" t="str"/>
      <x:c r="M1259" s="6" t="str"/>
      <x:c r="N1259" s="6" t="str"/>
      <x:c r="O1259" s="7" t="str"/>
      <x:c r="P1259" s="6" t="str">
        <x:v>Yes</x:v>
      </x:c>
      <x:c r="Q1259" s="7" t="str">
        <x:v>Requires stable service identity.</x:v>
      </x:c>
    </x:row>
    <x:row r="1260">
      <x:c r="A1260" s="6" t="str">
        <x:v>SEQ-PRT-0302</x:v>
      </x:c>
      <x:c r="B1260" s="6" t="str">
        <x:v>Part Requirement</x:v>
      </x:c>
      <x:c r="C1260" s="6" t="str">
        <x:v>PRTX-0302</x:v>
      </x:c>
      <x:c r="D1260" s="6" t="str">
        <x:v>SVC000302</x:v>
      </x:c>
      <x:c r="E1260" s="6" t="str"/>
      <x:c r="F1260" s="6" t="str">
        <x:v>Part-requirement review</x:v>
      </x:c>
      <x:c r="G1260" s="6" t="n">
        <x:v>5</x:v>
      </x:c>
      <x:c r="H1260" s="6" t="str">
        <x:v>SIDX-0302</x:v>
      </x:c>
      <x:c r="I1260" s="6" t="str">
        <x:f>IF(H1260="","No upstream dependency",IF(ISNUMBER(SEARCH(";",H1260)),"Multiple dependencies - verify source queues",IFERROR(XLOOKUP(H1260,C2:C1586,J2:J1586),"Dependency not found")))</x:f>
        <x:v>Not Started</x:v>
      </x:c>
      <x:c r="J1260" s="6" t="str">
        <x:v>Not Started</x:v>
      </x:c>
      <x:c r="K1260" s="6" t="str">
        <x:v>Normal</x:v>
      </x:c>
      <x:c r="L1260" s="6" t="str"/>
      <x:c r="M1260" s="6" t="str"/>
      <x:c r="N1260" s="6" t="str"/>
      <x:c r="O1260" s="7" t="str"/>
      <x:c r="P1260" s="6" t="str">
        <x:v>Yes</x:v>
      </x:c>
      <x:c r="Q1260" s="7" t="str">
        <x:v>Requires stable service identity.</x:v>
      </x:c>
    </x:row>
    <x:row r="1261">
      <x:c r="A1261" s="6" t="str">
        <x:v>SEQ-PRT-0303</x:v>
      </x:c>
      <x:c r="B1261" s="6" t="str">
        <x:v>Part Requirement</x:v>
      </x:c>
      <x:c r="C1261" s="6" t="str">
        <x:v>PRTX-0303</x:v>
      </x:c>
      <x:c r="D1261" s="6" t="str">
        <x:v>SVC000303</x:v>
      </x:c>
      <x:c r="E1261" s="6" t="str"/>
      <x:c r="F1261" s="6" t="str">
        <x:v>Part-requirement review</x:v>
      </x:c>
      <x:c r="G1261" s="6" t="n">
        <x:v>5</x:v>
      </x:c>
      <x:c r="H1261" s="6" t="str">
        <x:v>SIDX-0303</x:v>
      </x:c>
      <x:c r="I1261" s="6" t="str">
        <x:f>IF(H1261="","No upstream dependency",IF(ISNUMBER(SEARCH(";",H1261)),"Multiple dependencies - verify source queues",IFERROR(XLOOKUP(H1261,C2:C1586,J2:J1586),"Dependency not found")))</x:f>
        <x:v>Not Started</x:v>
      </x:c>
      <x:c r="J1261" s="6" t="str">
        <x:v>Not Started</x:v>
      </x:c>
      <x:c r="K1261" s="6" t="str">
        <x:v>Normal</x:v>
      </x:c>
      <x:c r="L1261" s="6" t="str"/>
      <x:c r="M1261" s="6" t="str"/>
      <x:c r="N1261" s="6" t="str"/>
      <x:c r="O1261" s="7" t="str"/>
      <x:c r="P1261" s="6" t="str">
        <x:v>Yes</x:v>
      </x:c>
      <x:c r="Q1261" s="7" t="str">
        <x:v>Requires stable service identity.</x:v>
      </x:c>
    </x:row>
    <x:row r="1262">
      <x:c r="A1262" s="6" t="str">
        <x:v>SEQ-PRT-0304</x:v>
      </x:c>
      <x:c r="B1262" s="6" t="str">
        <x:v>Part Requirement</x:v>
      </x:c>
      <x:c r="C1262" s="6" t="str">
        <x:v>PRTX-0304</x:v>
      </x:c>
      <x:c r="D1262" s="6" t="str">
        <x:v>SVC000304</x:v>
      </x:c>
      <x:c r="E1262" s="6" t="str"/>
      <x:c r="F1262" s="6" t="str">
        <x:v>Part-requirement review</x:v>
      </x:c>
      <x:c r="G1262" s="6" t="n">
        <x:v>5</x:v>
      </x:c>
      <x:c r="H1262" s="6" t="str">
        <x:v>SIDX-0304</x:v>
      </x:c>
      <x:c r="I1262" s="6" t="str">
        <x:f>IF(H1262="","No upstream dependency",IF(ISNUMBER(SEARCH(";",H1262)),"Multiple dependencies - verify source queues",IFERROR(XLOOKUP(H1262,C2:C1586,J2:J1586),"Dependency not found")))</x:f>
        <x:v>Not Started</x:v>
      </x:c>
      <x:c r="J1262" s="6" t="str">
        <x:v>Not Started</x:v>
      </x:c>
      <x:c r="K1262" s="6" t="str">
        <x:v>Normal</x:v>
      </x:c>
      <x:c r="L1262" s="6" t="str"/>
      <x:c r="M1262" s="6" t="str"/>
      <x:c r="N1262" s="6" t="str"/>
      <x:c r="O1262" s="7" t="str"/>
      <x:c r="P1262" s="6" t="str">
        <x:v>Yes</x:v>
      </x:c>
      <x:c r="Q1262" s="7" t="str">
        <x:v>Requires stable service identity.</x:v>
      </x:c>
    </x:row>
    <x:row r="1263">
      <x:c r="A1263" s="6" t="str">
        <x:v>SEQ-PRT-0305</x:v>
      </x:c>
      <x:c r="B1263" s="6" t="str">
        <x:v>Part Requirement</x:v>
      </x:c>
      <x:c r="C1263" s="6" t="str">
        <x:v>PRTX-0305</x:v>
      </x:c>
      <x:c r="D1263" s="6" t="str">
        <x:v>SVC000305</x:v>
      </x:c>
      <x:c r="E1263" s="6" t="str"/>
      <x:c r="F1263" s="6" t="str">
        <x:v>Part-requirement review</x:v>
      </x:c>
      <x:c r="G1263" s="6" t="n">
        <x:v>5</x:v>
      </x:c>
      <x:c r="H1263" s="6" t="str">
        <x:v>SIDX-0305</x:v>
      </x:c>
      <x:c r="I1263" s="6" t="str">
        <x:f>IF(H1263="","No upstream dependency",IF(ISNUMBER(SEARCH(";",H1263)),"Multiple dependencies - verify source queues",IFERROR(XLOOKUP(H1263,C2:C1586,J2:J1586),"Dependency not found")))</x:f>
        <x:v>Not Started</x:v>
      </x:c>
      <x:c r="J1263" s="6" t="str">
        <x:v>Not Started</x:v>
      </x:c>
      <x:c r="K1263" s="6" t="str">
        <x:v>Normal</x:v>
      </x:c>
      <x:c r="L1263" s="6" t="str"/>
      <x:c r="M1263" s="6" t="str"/>
      <x:c r="N1263" s="6" t="str"/>
      <x:c r="O1263" s="7" t="str"/>
      <x:c r="P1263" s="6" t="str">
        <x:v>Yes</x:v>
      </x:c>
      <x:c r="Q1263" s="7" t="str">
        <x:v>Requires stable service identity.</x:v>
      </x:c>
    </x:row>
    <x:row r="1264">
      <x:c r="A1264" s="6" t="str">
        <x:v>SEQ-PRT-0306</x:v>
      </x:c>
      <x:c r="B1264" s="6" t="str">
        <x:v>Part Requirement</x:v>
      </x:c>
      <x:c r="C1264" s="6" t="str">
        <x:v>PRTX-0306</x:v>
      </x:c>
      <x:c r="D1264" s="6" t="str">
        <x:v>SVC000306</x:v>
      </x:c>
      <x:c r="E1264" s="6" t="str"/>
      <x:c r="F1264" s="6" t="str">
        <x:v>Part-requirement review</x:v>
      </x:c>
      <x:c r="G1264" s="6" t="n">
        <x:v>5</x:v>
      </x:c>
      <x:c r="H1264" s="6" t="str">
        <x:v>SIDX-0306</x:v>
      </x:c>
      <x:c r="I1264" s="6" t="str">
        <x:f>IF(H1264="","No upstream dependency",IF(ISNUMBER(SEARCH(";",H1264)),"Multiple dependencies - verify source queues",IFERROR(XLOOKUP(H1264,C2:C1586,J2:J1586),"Dependency not found")))</x:f>
        <x:v>Not Started</x:v>
      </x:c>
      <x:c r="J1264" s="6" t="str">
        <x:v>Not Started</x:v>
      </x:c>
      <x:c r="K1264" s="6" t="str">
        <x:v>Normal</x:v>
      </x:c>
      <x:c r="L1264" s="6" t="str"/>
      <x:c r="M1264" s="6" t="str"/>
      <x:c r="N1264" s="6" t="str"/>
      <x:c r="O1264" s="7" t="str"/>
      <x:c r="P1264" s="6" t="str">
        <x:v>Yes</x:v>
      </x:c>
      <x:c r="Q1264" s="7" t="str">
        <x:v>Requires stable service identity.</x:v>
      </x:c>
    </x:row>
    <x:row r="1265">
      <x:c r="A1265" s="6" t="str">
        <x:v>SEQ-PRT-0307</x:v>
      </x:c>
      <x:c r="B1265" s="6" t="str">
        <x:v>Part Requirement</x:v>
      </x:c>
      <x:c r="C1265" s="6" t="str">
        <x:v>PRTX-0307</x:v>
      </x:c>
      <x:c r="D1265" s="6" t="str">
        <x:v>SVC000307</x:v>
      </x:c>
      <x:c r="E1265" s="6" t="str"/>
      <x:c r="F1265" s="6" t="str">
        <x:v>Part-requirement review</x:v>
      </x:c>
      <x:c r="G1265" s="6" t="n">
        <x:v>5</x:v>
      </x:c>
      <x:c r="H1265" s="6" t="str">
        <x:v>SIDX-0307</x:v>
      </x:c>
      <x:c r="I1265" s="6" t="str">
        <x:f>IF(H1265="","No upstream dependency",IF(ISNUMBER(SEARCH(";",H1265)),"Multiple dependencies - verify source queues",IFERROR(XLOOKUP(H1265,C2:C1586,J2:J1586),"Dependency not found")))</x:f>
        <x:v>Not Started</x:v>
      </x:c>
      <x:c r="J1265" s="6" t="str">
        <x:v>Not Started</x:v>
      </x:c>
      <x:c r="K1265" s="6" t="str">
        <x:v>Normal</x:v>
      </x:c>
      <x:c r="L1265" s="6" t="str"/>
      <x:c r="M1265" s="6" t="str"/>
      <x:c r="N1265" s="6" t="str"/>
      <x:c r="O1265" s="7" t="str"/>
      <x:c r="P1265" s="6" t="str">
        <x:v>Yes</x:v>
      </x:c>
      <x:c r="Q1265" s="7" t="str">
        <x:v>Requires stable service identity.</x:v>
      </x:c>
    </x:row>
    <x:row r="1266">
      <x:c r="A1266" s="6" t="str">
        <x:v>SEQ-PRT-0308</x:v>
      </x:c>
      <x:c r="B1266" s="6" t="str">
        <x:v>Part Requirement</x:v>
      </x:c>
      <x:c r="C1266" s="6" t="str">
        <x:v>PRTX-0308</x:v>
      </x:c>
      <x:c r="D1266" s="6" t="str">
        <x:v>SVC000308</x:v>
      </x:c>
      <x:c r="E1266" s="6" t="str"/>
      <x:c r="F1266" s="6" t="str">
        <x:v>Part-requirement review</x:v>
      </x:c>
      <x:c r="G1266" s="6" t="n">
        <x:v>5</x:v>
      </x:c>
      <x:c r="H1266" s="6" t="str">
        <x:v>SIDX-0308</x:v>
      </x:c>
      <x:c r="I1266" s="6" t="str">
        <x:f>IF(H1266="","No upstream dependency",IF(ISNUMBER(SEARCH(";",H1266)),"Multiple dependencies - verify source queues",IFERROR(XLOOKUP(H1266,C2:C1586,J2:J1586),"Dependency not found")))</x:f>
        <x:v>Not Started</x:v>
      </x:c>
      <x:c r="J1266" s="6" t="str">
        <x:v>Not Started</x:v>
      </x:c>
      <x:c r="K1266" s="6" t="str">
        <x:v>Normal</x:v>
      </x:c>
      <x:c r="L1266" s="6" t="str"/>
      <x:c r="M1266" s="6" t="str"/>
      <x:c r="N1266" s="6" t="str"/>
      <x:c r="O1266" s="7" t="str"/>
      <x:c r="P1266" s="6" t="str">
        <x:v>Yes</x:v>
      </x:c>
      <x:c r="Q1266" s="7" t="str">
        <x:v>Requires stable service identity.</x:v>
      </x:c>
    </x:row>
    <x:row r="1267">
      <x:c r="A1267" s="6" t="str">
        <x:v>SEQ-PRT-0309</x:v>
      </x:c>
      <x:c r="B1267" s="6" t="str">
        <x:v>Part Requirement</x:v>
      </x:c>
      <x:c r="C1267" s="6" t="str">
        <x:v>PRTX-0309</x:v>
      </x:c>
      <x:c r="D1267" s="6" t="str">
        <x:v>SVC000309</x:v>
      </x:c>
      <x:c r="E1267" s="6" t="str"/>
      <x:c r="F1267" s="6" t="str">
        <x:v>Part-requirement review</x:v>
      </x:c>
      <x:c r="G1267" s="6" t="n">
        <x:v>5</x:v>
      </x:c>
      <x:c r="H1267" s="6" t="str">
        <x:v>SIDX-0309</x:v>
      </x:c>
      <x:c r="I1267" s="6" t="str">
        <x:f>IF(H1267="","No upstream dependency",IF(ISNUMBER(SEARCH(";",H1267)),"Multiple dependencies - verify source queues",IFERROR(XLOOKUP(H1267,C2:C1586,J2:J1586),"Dependency not found")))</x:f>
        <x:v>Not Started</x:v>
      </x:c>
      <x:c r="J1267" s="6" t="str">
        <x:v>Not Started</x:v>
      </x:c>
      <x:c r="K1267" s="6" t="str">
        <x:v>Normal</x:v>
      </x:c>
      <x:c r="L1267" s="6" t="str"/>
      <x:c r="M1267" s="6" t="str"/>
      <x:c r="N1267" s="6" t="str"/>
      <x:c r="O1267" s="7" t="str"/>
      <x:c r="P1267" s="6" t="str">
        <x:v>Yes</x:v>
      </x:c>
      <x:c r="Q1267" s="7" t="str">
        <x:v>Requires stable service identity.</x:v>
      </x:c>
    </x:row>
    <x:row r="1268">
      <x:c r="A1268" s="6" t="str">
        <x:v>SEQ-PRT-0310</x:v>
      </x:c>
      <x:c r="B1268" s="6" t="str">
        <x:v>Part Requirement</x:v>
      </x:c>
      <x:c r="C1268" s="6" t="str">
        <x:v>PRTX-0310</x:v>
      </x:c>
      <x:c r="D1268" s="6" t="str">
        <x:v>SVC000310</x:v>
      </x:c>
      <x:c r="E1268" s="6" t="str"/>
      <x:c r="F1268" s="6" t="str">
        <x:v>Part-requirement review</x:v>
      </x:c>
      <x:c r="G1268" s="6" t="n">
        <x:v>5</x:v>
      </x:c>
      <x:c r="H1268" s="6" t="str">
        <x:v>SIDX-0310</x:v>
      </x:c>
      <x:c r="I1268" s="6" t="str">
        <x:f>IF(H1268="","No upstream dependency",IF(ISNUMBER(SEARCH(";",H1268)),"Multiple dependencies - verify source queues",IFERROR(XLOOKUP(H1268,C2:C1586,J2:J1586),"Dependency not found")))</x:f>
        <x:v>Not Started</x:v>
      </x:c>
      <x:c r="J1268" s="6" t="str">
        <x:v>Not Started</x:v>
      </x:c>
      <x:c r="K1268" s="6" t="str">
        <x:v>Normal</x:v>
      </x:c>
      <x:c r="L1268" s="6" t="str"/>
      <x:c r="M1268" s="6" t="str"/>
      <x:c r="N1268" s="6" t="str"/>
      <x:c r="O1268" s="7" t="str"/>
      <x:c r="P1268" s="6" t="str">
        <x:v>Yes</x:v>
      </x:c>
      <x:c r="Q1268" s="7" t="str">
        <x:v>Requires stable service identity.</x:v>
      </x:c>
    </x:row>
    <x:row r="1269">
      <x:c r="A1269" s="6" t="str">
        <x:v>SEQ-PRT-0311</x:v>
      </x:c>
      <x:c r="B1269" s="6" t="str">
        <x:v>Part Requirement</x:v>
      </x:c>
      <x:c r="C1269" s="6" t="str">
        <x:v>PRTX-0311</x:v>
      </x:c>
      <x:c r="D1269" s="6" t="str">
        <x:v>SVC000311</x:v>
      </x:c>
      <x:c r="E1269" s="6" t="str"/>
      <x:c r="F1269" s="6" t="str">
        <x:v>Part-requirement review</x:v>
      </x:c>
      <x:c r="G1269" s="6" t="n">
        <x:v>5</x:v>
      </x:c>
      <x:c r="H1269" s="6" t="str">
        <x:v>SIDX-0311</x:v>
      </x:c>
      <x:c r="I1269" s="6" t="str">
        <x:f>IF(H1269="","No upstream dependency",IF(ISNUMBER(SEARCH(";",H1269)),"Multiple dependencies - verify source queues",IFERROR(XLOOKUP(H1269,C2:C1586,J2:J1586),"Dependency not found")))</x:f>
        <x:v>Not Started</x:v>
      </x:c>
      <x:c r="J1269" s="6" t="str">
        <x:v>Not Started</x:v>
      </x:c>
      <x:c r="K1269" s="6" t="str">
        <x:v>Normal</x:v>
      </x:c>
      <x:c r="L1269" s="6" t="str"/>
      <x:c r="M1269" s="6" t="str"/>
      <x:c r="N1269" s="6" t="str"/>
      <x:c r="O1269" s="7" t="str"/>
      <x:c r="P1269" s="6" t="str">
        <x:v>Yes</x:v>
      </x:c>
      <x:c r="Q1269" s="7" t="str">
        <x:v>Requires stable service identity.</x:v>
      </x:c>
    </x:row>
    <x:row r="1270">
      <x:c r="A1270" s="6" t="str">
        <x:v>SEQ-PRT-0312</x:v>
      </x:c>
      <x:c r="B1270" s="6" t="str">
        <x:v>Part Requirement</x:v>
      </x:c>
      <x:c r="C1270" s="6" t="str">
        <x:v>PRTX-0312</x:v>
      </x:c>
      <x:c r="D1270" s="6" t="str">
        <x:v>SVC000312</x:v>
      </x:c>
      <x:c r="E1270" s="6" t="str"/>
      <x:c r="F1270" s="6" t="str">
        <x:v>Part-requirement review</x:v>
      </x:c>
      <x:c r="G1270" s="6" t="n">
        <x:v>5</x:v>
      </x:c>
      <x:c r="H1270" s="6" t="str">
        <x:v>SIDX-0312</x:v>
      </x:c>
      <x:c r="I1270" s="6" t="str">
        <x:f>IF(H1270="","No upstream dependency",IF(ISNUMBER(SEARCH(";",H1270)),"Multiple dependencies - verify source queues",IFERROR(XLOOKUP(H1270,C2:C1586,J2:J1586),"Dependency not found")))</x:f>
        <x:v>Not Started</x:v>
      </x:c>
      <x:c r="J1270" s="6" t="str">
        <x:v>Not Started</x:v>
      </x:c>
      <x:c r="K1270" s="6" t="str">
        <x:v>Normal</x:v>
      </x:c>
      <x:c r="L1270" s="6" t="str"/>
      <x:c r="M1270" s="6" t="str"/>
      <x:c r="N1270" s="6" t="str"/>
      <x:c r="O1270" s="7" t="str"/>
      <x:c r="P1270" s="6" t="str">
        <x:v>Yes</x:v>
      </x:c>
      <x:c r="Q1270" s="7" t="str">
        <x:v>Requires stable service identity.</x:v>
      </x:c>
    </x:row>
    <x:row r="1271">
      <x:c r="A1271" s="6" t="str">
        <x:v>SEQ-PRT-0313</x:v>
      </x:c>
      <x:c r="B1271" s="6" t="str">
        <x:v>Part Requirement</x:v>
      </x:c>
      <x:c r="C1271" s="6" t="str">
        <x:v>PRTX-0313</x:v>
      </x:c>
      <x:c r="D1271" s="6" t="str">
        <x:v>SVC000313</x:v>
      </x:c>
      <x:c r="E1271" s="6" t="str"/>
      <x:c r="F1271" s="6" t="str">
        <x:v>Part-requirement review</x:v>
      </x:c>
      <x:c r="G1271" s="6" t="n">
        <x:v>5</x:v>
      </x:c>
      <x:c r="H1271" s="6" t="str">
        <x:v>SIDX-0313</x:v>
      </x:c>
      <x:c r="I1271" s="6" t="str">
        <x:f>IF(H1271="","No upstream dependency",IF(ISNUMBER(SEARCH(";",H1271)),"Multiple dependencies - verify source queues",IFERROR(XLOOKUP(H1271,C2:C1586,J2:J1586),"Dependency not found")))</x:f>
        <x:v>Not Started</x:v>
      </x:c>
      <x:c r="J1271" s="6" t="str">
        <x:v>Not Started</x:v>
      </x:c>
      <x:c r="K1271" s="6" t="str">
        <x:v>Normal</x:v>
      </x:c>
      <x:c r="L1271" s="6" t="str"/>
      <x:c r="M1271" s="6" t="str"/>
      <x:c r="N1271" s="6" t="str"/>
      <x:c r="O1271" s="7" t="str"/>
      <x:c r="P1271" s="6" t="str">
        <x:v>Yes</x:v>
      </x:c>
      <x:c r="Q1271" s="7" t="str">
        <x:v>Requires stable service identity.</x:v>
      </x:c>
    </x:row>
    <x:row r="1272">
      <x:c r="A1272" s="6" t="str">
        <x:v>SEQ-PRT-0314</x:v>
      </x:c>
      <x:c r="B1272" s="6" t="str">
        <x:v>Part Requirement</x:v>
      </x:c>
      <x:c r="C1272" s="6" t="str">
        <x:v>PRTX-0314</x:v>
      </x:c>
      <x:c r="D1272" s="6" t="str">
        <x:v>SVC000314</x:v>
      </x:c>
      <x:c r="E1272" s="6" t="str"/>
      <x:c r="F1272" s="6" t="str">
        <x:v>Part-requirement review</x:v>
      </x:c>
      <x:c r="G1272" s="6" t="n">
        <x:v>5</x:v>
      </x:c>
      <x:c r="H1272" s="6" t="str">
        <x:v>SIDX-0314</x:v>
      </x:c>
      <x:c r="I1272" s="6" t="str">
        <x:f>IF(H1272="","No upstream dependency",IF(ISNUMBER(SEARCH(";",H1272)),"Multiple dependencies - verify source queues",IFERROR(XLOOKUP(H1272,C2:C1586,J2:J1586),"Dependency not found")))</x:f>
        <x:v>Not Started</x:v>
      </x:c>
      <x:c r="J1272" s="6" t="str">
        <x:v>Not Started</x:v>
      </x:c>
      <x:c r="K1272" s="6" t="str">
        <x:v>Normal</x:v>
      </x:c>
      <x:c r="L1272" s="6" t="str"/>
      <x:c r="M1272" s="6" t="str"/>
      <x:c r="N1272" s="6" t="str"/>
      <x:c r="O1272" s="7" t="str"/>
      <x:c r="P1272" s="6" t="str">
        <x:v>Yes</x:v>
      </x:c>
      <x:c r="Q1272" s="7" t="str">
        <x:v>Requires stable service identity.</x:v>
      </x:c>
    </x:row>
    <x:row r="1273">
      <x:c r="A1273" s="6" t="str">
        <x:v>SEQ-LAB-0001</x:v>
      </x:c>
      <x:c r="B1273" s="6" t="str">
        <x:v>Labor Reference</x:v>
      </x:c>
      <x:c r="C1273" s="6" t="str">
        <x:v>LABX-0001</x:v>
      </x:c>
      <x:c r="D1273" s="6" t="str">
        <x:v>SVC000001</x:v>
      </x:c>
      <x:c r="E1273" s="6" t="str"/>
      <x:c r="F1273" s="6" t="str">
        <x:v>Labor-reference review</x:v>
      </x:c>
      <x:c r="G1273" s="6" t="n">
        <x:v>6</x:v>
      </x:c>
      <x:c r="H1273" s="6" t="str">
        <x:v>SIDX-0001</x:v>
      </x:c>
      <x:c r="I1273" s="6" t="str">
        <x:f>IF(H1273="","No upstream dependency",IF(ISNUMBER(SEARCH(";",H1273)),"Multiple dependencies - verify source queues",IFERROR(XLOOKUP(H1273,C2:C1586,J2:J1586),"Dependency not found")))</x:f>
        <x:v>Not Started</x:v>
      </x:c>
      <x:c r="J1273" s="6" t="str">
        <x:v>Not Started</x:v>
      </x:c>
      <x:c r="K1273" s="6" t="str">
        <x:v>Normal</x:v>
      </x:c>
      <x:c r="L1273" s="6" t="str"/>
      <x:c r="M1273" s="6" t="str"/>
      <x:c r="N1273" s="6" t="str"/>
      <x:c r="O1273" s="7" t="str"/>
      <x:c r="P1273" s="6" t="str">
        <x:v>Yes</x:v>
      </x:c>
      <x:c r="Q1273" s="7" t="str">
        <x:v>Requires stable service identity; preserve observed labor evidence.</x:v>
      </x:c>
    </x:row>
    <x:row r="1274">
      <x:c r="A1274" s="6" t="str">
        <x:v>SEQ-LAB-0002</x:v>
      </x:c>
      <x:c r="B1274" s="6" t="str">
        <x:v>Labor Reference</x:v>
      </x:c>
      <x:c r="C1274" s="6" t="str">
        <x:v>LABX-0002</x:v>
      </x:c>
      <x:c r="D1274" s="6" t="str">
        <x:v>SVC000002</x:v>
      </x:c>
      <x:c r="E1274" s="6" t="str"/>
      <x:c r="F1274" s="6" t="str">
        <x:v>Labor-reference review</x:v>
      </x:c>
      <x:c r="G1274" s="6" t="n">
        <x:v>6</x:v>
      </x:c>
      <x:c r="H1274" s="6" t="str">
        <x:v>SIDX-0002</x:v>
      </x:c>
      <x:c r="I1274" s="6" t="str">
        <x:f>IF(H1274="","No upstream dependency",IF(ISNUMBER(SEARCH(";",H1274)),"Multiple dependencies - verify source queues",IFERROR(XLOOKUP(H1274,C2:C1586,J2:J1586),"Dependency not found")))</x:f>
        <x:v>Not Started</x:v>
      </x:c>
      <x:c r="J1274" s="6" t="str">
        <x:v>Not Started</x:v>
      </x:c>
      <x:c r="K1274" s="6" t="str">
        <x:v>Normal</x:v>
      </x:c>
      <x:c r="L1274" s="6" t="str"/>
      <x:c r="M1274" s="6" t="str"/>
      <x:c r="N1274" s="6" t="str"/>
      <x:c r="O1274" s="7" t="str"/>
      <x:c r="P1274" s="6" t="str">
        <x:v>Yes</x:v>
      </x:c>
      <x:c r="Q1274" s="7" t="str">
        <x:v>Requires stable service identity; preserve observed labor evidence.</x:v>
      </x:c>
    </x:row>
    <x:row r="1275">
      <x:c r="A1275" s="6" t="str">
        <x:v>SEQ-LAB-0003</x:v>
      </x:c>
      <x:c r="B1275" s="6" t="str">
        <x:v>Labor Reference</x:v>
      </x:c>
      <x:c r="C1275" s="6" t="str">
        <x:v>LABX-0003</x:v>
      </x:c>
      <x:c r="D1275" s="6" t="str">
        <x:v>SVC000003</x:v>
      </x:c>
      <x:c r="E1275" s="6" t="str"/>
      <x:c r="F1275" s="6" t="str">
        <x:v>Labor-reference review</x:v>
      </x:c>
      <x:c r="G1275" s="6" t="n">
        <x:v>6</x:v>
      </x:c>
      <x:c r="H1275" s="6" t="str">
        <x:v>SIDX-0003</x:v>
      </x:c>
      <x:c r="I1275" s="6" t="str">
        <x:f>IF(H1275="","No upstream dependency",IF(ISNUMBER(SEARCH(";",H1275)),"Multiple dependencies - verify source queues",IFERROR(XLOOKUP(H1275,C2:C1586,J2:J1586),"Dependency not found")))</x:f>
        <x:v>Not Started</x:v>
      </x:c>
      <x:c r="J1275" s="6" t="str">
        <x:v>Not Started</x:v>
      </x:c>
      <x:c r="K1275" s="6" t="str">
        <x:v>Normal</x:v>
      </x:c>
      <x:c r="L1275" s="6" t="str"/>
      <x:c r="M1275" s="6" t="str"/>
      <x:c r="N1275" s="6" t="str"/>
      <x:c r="O1275" s="7" t="str"/>
      <x:c r="P1275" s="6" t="str">
        <x:v>Yes</x:v>
      </x:c>
      <x:c r="Q1275" s="7" t="str">
        <x:v>Requires stable service identity; preserve observed labor evidence.</x:v>
      </x:c>
    </x:row>
    <x:row r="1276">
      <x:c r="A1276" s="6" t="str">
        <x:v>SEQ-LAB-0004</x:v>
      </x:c>
      <x:c r="B1276" s="6" t="str">
        <x:v>Labor Reference</x:v>
      </x:c>
      <x:c r="C1276" s="6" t="str">
        <x:v>LABX-0004</x:v>
      </x:c>
      <x:c r="D1276" s="6" t="str">
        <x:v>SVC000004</x:v>
      </x:c>
      <x:c r="E1276" s="6" t="str"/>
      <x:c r="F1276" s="6" t="str">
        <x:v>Labor-reference review</x:v>
      </x:c>
      <x:c r="G1276" s="6" t="n">
        <x:v>6</x:v>
      </x:c>
      <x:c r="H1276" s="6" t="str">
        <x:v>SIDX-0004</x:v>
      </x:c>
      <x:c r="I1276" s="6" t="str">
        <x:f>IF(H1276="","No upstream dependency",IF(ISNUMBER(SEARCH(";",H1276)),"Multiple dependencies - verify source queues",IFERROR(XLOOKUP(H1276,C2:C1586,J2:J1586),"Dependency not found")))</x:f>
        <x:v>Not Started</x:v>
      </x:c>
      <x:c r="J1276" s="6" t="str">
        <x:v>Not Started</x:v>
      </x:c>
      <x:c r="K1276" s="6" t="str">
        <x:v>Normal</x:v>
      </x:c>
      <x:c r="L1276" s="6" t="str"/>
      <x:c r="M1276" s="6" t="str"/>
      <x:c r="N1276" s="6" t="str"/>
      <x:c r="O1276" s="7" t="str"/>
      <x:c r="P1276" s="6" t="str">
        <x:v>Yes</x:v>
      </x:c>
      <x:c r="Q1276" s="7" t="str">
        <x:v>Requires stable service identity; preserve observed labor evidence.</x:v>
      </x:c>
    </x:row>
    <x:row r="1277">
      <x:c r="A1277" s="6" t="str">
        <x:v>SEQ-LAB-0005</x:v>
      </x:c>
      <x:c r="B1277" s="6" t="str">
        <x:v>Labor Reference</x:v>
      </x:c>
      <x:c r="C1277" s="6" t="str">
        <x:v>LABX-0005</x:v>
      </x:c>
      <x:c r="D1277" s="6" t="str">
        <x:v>SVC000005</x:v>
      </x:c>
      <x:c r="E1277" s="6" t="str"/>
      <x:c r="F1277" s="6" t="str">
        <x:v>Labor-reference review</x:v>
      </x:c>
      <x:c r="G1277" s="6" t="n">
        <x:v>6</x:v>
      </x:c>
      <x:c r="H1277" s="6" t="str">
        <x:v>SIDX-0005</x:v>
      </x:c>
      <x:c r="I1277" s="6" t="str">
        <x:f>IF(H1277="","No upstream dependency",IF(ISNUMBER(SEARCH(";",H1277)),"Multiple dependencies - verify source queues",IFERROR(XLOOKUP(H1277,C2:C1586,J2:J1586),"Dependency not found")))</x:f>
        <x:v>Not Started</x:v>
      </x:c>
      <x:c r="J1277" s="6" t="str">
        <x:v>Not Started</x:v>
      </x:c>
      <x:c r="K1277" s="6" t="str">
        <x:v>Normal</x:v>
      </x:c>
      <x:c r="L1277" s="6" t="str"/>
      <x:c r="M1277" s="6" t="str"/>
      <x:c r="N1277" s="6" t="str"/>
      <x:c r="O1277" s="7" t="str"/>
      <x:c r="P1277" s="6" t="str">
        <x:v>Yes</x:v>
      </x:c>
      <x:c r="Q1277" s="7" t="str">
        <x:v>Requires stable service identity; preserve observed labor evidence.</x:v>
      </x:c>
    </x:row>
    <x:row r="1278">
      <x:c r="A1278" s="6" t="str">
        <x:v>SEQ-LAB-0006</x:v>
      </x:c>
      <x:c r="B1278" s="6" t="str">
        <x:v>Labor Reference</x:v>
      </x:c>
      <x:c r="C1278" s="6" t="str">
        <x:v>LABX-0006</x:v>
      </x:c>
      <x:c r="D1278" s="6" t="str">
        <x:v>SVC000006</x:v>
      </x:c>
      <x:c r="E1278" s="6" t="str"/>
      <x:c r="F1278" s="6" t="str">
        <x:v>Labor-reference review</x:v>
      </x:c>
      <x:c r="G1278" s="6" t="n">
        <x:v>6</x:v>
      </x:c>
      <x:c r="H1278" s="6" t="str">
        <x:v>SIDX-0006</x:v>
      </x:c>
      <x:c r="I1278" s="6" t="str">
        <x:f>IF(H1278="","No upstream dependency",IF(ISNUMBER(SEARCH(";",H1278)),"Multiple dependencies - verify source queues",IFERROR(XLOOKUP(H1278,C2:C1586,J2:J1586),"Dependency not found")))</x:f>
        <x:v>Not Started</x:v>
      </x:c>
      <x:c r="J1278" s="6" t="str">
        <x:v>Not Started</x:v>
      </x:c>
      <x:c r="K1278" s="6" t="str">
        <x:v>Normal</x:v>
      </x:c>
      <x:c r="L1278" s="6" t="str"/>
      <x:c r="M1278" s="6" t="str"/>
      <x:c r="N1278" s="6" t="str"/>
      <x:c r="O1278" s="7" t="str"/>
      <x:c r="P1278" s="6" t="str">
        <x:v>Yes</x:v>
      </x:c>
      <x:c r="Q1278" s="7" t="str">
        <x:v>Requires stable service identity; preserve observed labor evidence.</x:v>
      </x:c>
    </x:row>
    <x:row r="1279">
      <x:c r="A1279" s="6" t="str">
        <x:v>SEQ-LAB-0007</x:v>
      </x:c>
      <x:c r="B1279" s="6" t="str">
        <x:v>Labor Reference</x:v>
      </x:c>
      <x:c r="C1279" s="6" t="str">
        <x:v>LABX-0007</x:v>
      </x:c>
      <x:c r="D1279" s="6" t="str">
        <x:v>SVC000007</x:v>
      </x:c>
      <x:c r="E1279" s="6" t="str"/>
      <x:c r="F1279" s="6" t="str">
        <x:v>Labor-reference review</x:v>
      </x:c>
      <x:c r="G1279" s="6" t="n">
        <x:v>6</x:v>
      </x:c>
      <x:c r="H1279" s="6" t="str">
        <x:v>SIDX-0007</x:v>
      </x:c>
      <x:c r="I1279" s="6" t="str">
        <x:f>IF(H1279="","No upstream dependency",IF(ISNUMBER(SEARCH(";",H1279)),"Multiple dependencies - verify source queues",IFERROR(XLOOKUP(H1279,C2:C1586,J2:J1586),"Dependency not found")))</x:f>
        <x:v>Not Started</x:v>
      </x:c>
      <x:c r="J1279" s="6" t="str">
        <x:v>Not Started</x:v>
      </x:c>
      <x:c r="K1279" s="6" t="str">
        <x:v>Normal</x:v>
      </x:c>
      <x:c r="L1279" s="6" t="str"/>
      <x:c r="M1279" s="6" t="str"/>
      <x:c r="N1279" s="6" t="str"/>
      <x:c r="O1279" s="7" t="str"/>
      <x:c r="P1279" s="6" t="str">
        <x:v>Yes</x:v>
      </x:c>
      <x:c r="Q1279" s="7" t="str">
        <x:v>Requires stable service identity; preserve observed labor evidence.</x:v>
      </x:c>
    </x:row>
    <x:row r="1280">
      <x:c r="A1280" s="6" t="str">
        <x:v>SEQ-LAB-0008</x:v>
      </x:c>
      <x:c r="B1280" s="6" t="str">
        <x:v>Labor Reference</x:v>
      </x:c>
      <x:c r="C1280" s="6" t="str">
        <x:v>LABX-0008</x:v>
      </x:c>
      <x:c r="D1280" s="6" t="str">
        <x:v>SVC000008</x:v>
      </x:c>
      <x:c r="E1280" s="6" t="str"/>
      <x:c r="F1280" s="6" t="str">
        <x:v>Labor-reference review</x:v>
      </x:c>
      <x:c r="G1280" s="6" t="n">
        <x:v>6</x:v>
      </x:c>
      <x:c r="H1280" s="6" t="str">
        <x:v>SIDX-0008</x:v>
      </x:c>
      <x:c r="I1280" s="6" t="str">
        <x:f>IF(H1280="","No upstream dependency",IF(ISNUMBER(SEARCH(";",H1280)),"Multiple dependencies - verify source queues",IFERROR(XLOOKUP(H1280,C2:C1586,J2:J1586),"Dependency not found")))</x:f>
        <x:v>Not Started</x:v>
      </x:c>
      <x:c r="J1280" s="6" t="str">
        <x:v>Not Started</x:v>
      </x:c>
      <x:c r="K1280" s="6" t="str">
        <x:v>Normal</x:v>
      </x:c>
      <x:c r="L1280" s="6" t="str"/>
      <x:c r="M1280" s="6" t="str"/>
      <x:c r="N1280" s="6" t="str"/>
      <x:c r="O1280" s="7" t="str"/>
      <x:c r="P1280" s="6" t="str">
        <x:v>Yes</x:v>
      </x:c>
      <x:c r="Q1280" s="7" t="str">
        <x:v>Requires stable service identity; preserve observed labor evidence.</x:v>
      </x:c>
    </x:row>
    <x:row r="1281">
      <x:c r="A1281" s="6" t="str">
        <x:v>SEQ-LAB-0009</x:v>
      </x:c>
      <x:c r="B1281" s="6" t="str">
        <x:v>Labor Reference</x:v>
      </x:c>
      <x:c r="C1281" s="6" t="str">
        <x:v>LABX-0009</x:v>
      </x:c>
      <x:c r="D1281" s="6" t="str">
        <x:v>SVC000009</x:v>
      </x:c>
      <x:c r="E1281" s="6" t="str"/>
      <x:c r="F1281" s="6" t="str">
        <x:v>Labor-reference review</x:v>
      </x:c>
      <x:c r="G1281" s="6" t="n">
        <x:v>6</x:v>
      </x:c>
      <x:c r="H1281" s="6" t="str">
        <x:v>SIDX-0009</x:v>
      </x:c>
      <x:c r="I1281" s="6" t="str">
        <x:f>IF(H1281="","No upstream dependency",IF(ISNUMBER(SEARCH(";",H1281)),"Multiple dependencies - verify source queues",IFERROR(XLOOKUP(H1281,C2:C1586,J2:J1586),"Dependency not found")))</x:f>
        <x:v>Not Started</x:v>
      </x:c>
      <x:c r="J1281" s="6" t="str">
        <x:v>Not Started</x:v>
      </x:c>
      <x:c r="K1281" s="6" t="str">
        <x:v>Normal</x:v>
      </x:c>
      <x:c r="L1281" s="6" t="str"/>
      <x:c r="M1281" s="6" t="str"/>
      <x:c r="N1281" s="6" t="str"/>
      <x:c r="O1281" s="7" t="str"/>
      <x:c r="P1281" s="6" t="str">
        <x:v>Yes</x:v>
      </x:c>
      <x:c r="Q1281" s="7" t="str">
        <x:v>Requires stable service identity; preserve observed labor evidence.</x:v>
      </x:c>
    </x:row>
    <x:row r="1282">
      <x:c r="A1282" s="6" t="str">
        <x:v>SEQ-LAB-0010</x:v>
      </x:c>
      <x:c r="B1282" s="6" t="str">
        <x:v>Labor Reference</x:v>
      </x:c>
      <x:c r="C1282" s="6" t="str">
        <x:v>LABX-0010</x:v>
      </x:c>
      <x:c r="D1282" s="6" t="str">
        <x:v>SVC000010</x:v>
      </x:c>
      <x:c r="E1282" s="6" t="str"/>
      <x:c r="F1282" s="6" t="str">
        <x:v>Labor-reference review</x:v>
      </x:c>
      <x:c r="G1282" s="6" t="n">
        <x:v>6</x:v>
      </x:c>
      <x:c r="H1282" s="6" t="str">
        <x:v>SIDX-0010</x:v>
      </x:c>
      <x:c r="I1282" s="6" t="str">
        <x:f>IF(H1282="","No upstream dependency",IF(ISNUMBER(SEARCH(";",H1282)),"Multiple dependencies - verify source queues",IFERROR(XLOOKUP(H1282,C2:C1586,J2:J1586),"Dependency not found")))</x:f>
        <x:v>Not Started</x:v>
      </x:c>
      <x:c r="J1282" s="6" t="str">
        <x:v>Not Started</x:v>
      </x:c>
      <x:c r="K1282" s="6" t="str">
        <x:v>Normal</x:v>
      </x:c>
      <x:c r="L1282" s="6" t="str"/>
      <x:c r="M1282" s="6" t="str"/>
      <x:c r="N1282" s="6" t="str"/>
      <x:c r="O1282" s="7" t="str"/>
      <x:c r="P1282" s="6" t="str">
        <x:v>Yes</x:v>
      </x:c>
      <x:c r="Q1282" s="7" t="str">
        <x:v>Requires stable service identity; preserve observed labor evidence.</x:v>
      </x:c>
    </x:row>
    <x:row r="1283">
      <x:c r="A1283" s="6" t="str">
        <x:v>SEQ-LAB-0011</x:v>
      </x:c>
      <x:c r="B1283" s="6" t="str">
        <x:v>Labor Reference</x:v>
      </x:c>
      <x:c r="C1283" s="6" t="str">
        <x:v>LABX-0011</x:v>
      </x:c>
      <x:c r="D1283" s="6" t="str">
        <x:v>SVC000011</x:v>
      </x:c>
      <x:c r="E1283" s="6" t="str"/>
      <x:c r="F1283" s="6" t="str">
        <x:v>Labor-reference review</x:v>
      </x:c>
      <x:c r="G1283" s="6" t="n">
        <x:v>6</x:v>
      </x:c>
      <x:c r="H1283" s="6" t="str">
        <x:v>SIDX-0011</x:v>
      </x:c>
      <x:c r="I1283" s="6" t="str">
        <x:f>IF(H1283="","No upstream dependency",IF(ISNUMBER(SEARCH(";",H1283)),"Multiple dependencies - verify source queues",IFERROR(XLOOKUP(H1283,C2:C1586,J2:J1586),"Dependency not found")))</x:f>
        <x:v>Not Started</x:v>
      </x:c>
      <x:c r="J1283" s="6" t="str">
        <x:v>Not Started</x:v>
      </x:c>
      <x:c r="K1283" s="6" t="str">
        <x:v>Normal</x:v>
      </x:c>
      <x:c r="L1283" s="6" t="str"/>
      <x:c r="M1283" s="6" t="str"/>
      <x:c r="N1283" s="6" t="str"/>
      <x:c r="O1283" s="7" t="str"/>
      <x:c r="P1283" s="6" t="str">
        <x:v>Yes</x:v>
      </x:c>
      <x:c r="Q1283" s="7" t="str">
        <x:v>Requires stable service identity; preserve observed labor evidence.</x:v>
      </x:c>
    </x:row>
    <x:row r="1284">
      <x:c r="A1284" s="6" t="str">
        <x:v>SEQ-LAB-0012</x:v>
      </x:c>
      <x:c r="B1284" s="6" t="str">
        <x:v>Labor Reference</x:v>
      </x:c>
      <x:c r="C1284" s="6" t="str">
        <x:v>LABX-0012</x:v>
      </x:c>
      <x:c r="D1284" s="6" t="str">
        <x:v>SVC000012</x:v>
      </x:c>
      <x:c r="E1284" s="6" t="str"/>
      <x:c r="F1284" s="6" t="str">
        <x:v>Labor-reference review</x:v>
      </x:c>
      <x:c r="G1284" s="6" t="n">
        <x:v>6</x:v>
      </x:c>
      <x:c r="H1284" s="6" t="str">
        <x:v>SIDX-0012</x:v>
      </x:c>
      <x:c r="I1284" s="6" t="str">
        <x:f>IF(H1284="","No upstream dependency",IF(ISNUMBER(SEARCH(";",H1284)),"Multiple dependencies - verify source queues",IFERROR(XLOOKUP(H1284,C2:C1586,J2:J1586),"Dependency not found")))</x:f>
        <x:v>Not Started</x:v>
      </x:c>
      <x:c r="J1284" s="6" t="str">
        <x:v>Not Started</x:v>
      </x:c>
      <x:c r="K1284" s="6" t="str">
        <x:v>Normal</x:v>
      </x:c>
      <x:c r="L1284" s="6" t="str"/>
      <x:c r="M1284" s="6" t="str"/>
      <x:c r="N1284" s="6" t="str"/>
      <x:c r="O1284" s="7" t="str"/>
      <x:c r="P1284" s="6" t="str">
        <x:v>Yes</x:v>
      </x:c>
      <x:c r="Q1284" s="7" t="str">
        <x:v>Requires stable service identity; preserve observed labor evidence.</x:v>
      </x:c>
    </x:row>
    <x:row r="1285">
      <x:c r="A1285" s="6" t="str">
        <x:v>SEQ-LAB-0013</x:v>
      </x:c>
      <x:c r="B1285" s="6" t="str">
        <x:v>Labor Reference</x:v>
      </x:c>
      <x:c r="C1285" s="6" t="str">
        <x:v>LABX-0013</x:v>
      </x:c>
      <x:c r="D1285" s="6" t="str">
        <x:v>SVC000013</x:v>
      </x:c>
      <x:c r="E1285" s="6" t="str"/>
      <x:c r="F1285" s="6" t="str">
        <x:v>Labor-reference review</x:v>
      </x:c>
      <x:c r="G1285" s="6" t="n">
        <x:v>6</x:v>
      </x:c>
      <x:c r="H1285" s="6" t="str">
        <x:v>SIDX-0013</x:v>
      </x:c>
      <x:c r="I1285" s="6" t="str">
        <x:f>IF(H1285="","No upstream dependency",IF(ISNUMBER(SEARCH(";",H1285)),"Multiple dependencies - verify source queues",IFERROR(XLOOKUP(H1285,C2:C1586,J2:J1586),"Dependency not found")))</x:f>
        <x:v>Not Started</x:v>
      </x:c>
      <x:c r="J1285" s="6" t="str">
        <x:v>Not Started</x:v>
      </x:c>
      <x:c r="K1285" s="6" t="str">
        <x:v>Normal</x:v>
      </x:c>
      <x:c r="L1285" s="6" t="str"/>
      <x:c r="M1285" s="6" t="str"/>
      <x:c r="N1285" s="6" t="str"/>
      <x:c r="O1285" s="7" t="str"/>
      <x:c r="P1285" s="6" t="str">
        <x:v>Yes</x:v>
      </x:c>
      <x:c r="Q1285" s="7" t="str">
        <x:v>Requires stable service identity; preserve observed labor evidence.</x:v>
      </x:c>
    </x:row>
    <x:row r="1286">
      <x:c r="A1286" s="6" t="str">
        <x:v>SEQ-LAB-0014</x:v>
      </x:c>
      <x:c r="B1286" s="6" t="str">
        <x:v>Labor Reference</x:v>
      </x:c>
      <x:c r="C1286" s="6" t="str">
        <x:v>LABX-0014</x:v>
      </x:c>
      <x:c r="D1286" s="6" t="str">
        <x:v>SVC000014</x:v>
      </x:c>
      <x:c r="E1286" s="6" t="str"/>
      <x:c r="F1286" s="6" t="str">
        <x:v>Labor-reference review</x:v>
      </x:c>
      <x:c r="G1286" s="6" t="n">
        <x:v>6</x:v>
      </x:c>
      <x:c r="H1286" s="6" t="str">
        <x:v>SIDX-0014</x:v>
      </x:c>
      <x:c r="I1286" s="6" t="str">
        <x:f>IF(H1286="","No upstream dependency",IF(ISNUMBER(SEARCH(";",H1286)),"Multiple dependencies - verify source queues",IFERROR(XLOOKUP(H1286,C2:C1586,J2:J1586),"Dependency not found")))</x:f>
        <x:v>Not Started</x:v>
      </x:c>
      <x:c r="J1286" s="6" t="str">
        <x:v>Not Started</x:v>
      </x:c>
      <x:c r="K1286" s="6" t="str">
        <x:v>Normal</x:v>
      </x:c>
      <x:c r="L1286" s="6" t="str"/>
      <x:c r="M1286" s="6" t="str"/>
      <x:c r="N1286" s="6" t="str"/>
      <x:c r="O1286" s="7" t="str"/>
      <x:c r="P1286" s="6" t="str">
        <x:v>Yes</x:v>
      </x:c>
      <x:c r="Q1286" s="7" t="str">
        <x:v>Requires stable service identity; preserve observed labor evidence.</x:v>
      </x:c>
    </x:row>
    <x:row r="1287">
      <x:c r="A1287" s="6" t="str">
        <x:v>SEQ-LAB-0015</x:v>
      </x:c>
      <x:c r="B1287" s="6" t="str">
        <x:v>Labor Reference</x:v>
      </x:c>
      <x:c r="C1287" s="6" t="str">
        <x:v>LABX-0015</x:v>
      </x:c>
      <x:c r="D1287" s="6" t="str">
        <x:v>SVC000015</x:v>
      </x:c>
      <x:c r="E1287" s="6" t="str"/>
      <x:c r="F1287" s="6" t="str">
        <x:v>Labor-reference review</x:v>
      </x:c>
      <x:c r="G1287" s="6" t="n">
        <x:v>6</x:v>
      </x:c>
      <x:c r="H1287" s="6" t="str">
        <x:v>SIDX-0015</x:v>
      </x:c>
      <x:c r="I1287" s="6" t="str">
        <x:f>IF(H1287="","No upstream dependency",IF(ISNUMBER(SEARCH(";",H1287)),"Multiple dependencies - verify source queues",IFERROR(XLOOKUP(H1287,C2:C1586,J2:J1586),"Dependency not found")))</x:f>
        <x:v>Not Started</x:v>
      </x:c>
      <x:c r="J1287" s="6" t="str">
        <x:v>Not Started</x:v>
      </x:c>
      <x:c r="K1287" s="6" t="str">
        <x:v>Normal</x:v>
      </x:c>
      <x:c r="L1287" s="6" t="str"/>
      <x:c r="M1287" s="6" t="str"/>
      <x:c r="N1287" s="6" t="str"/>
      <x:c r="O1287" s="7" t="str"/>
      <x:c r="P1287" s="6" t="str">
        <x:v>Yes</x:v>
      </x:c>
      <x:c r="Q1287" s="7" t="str">
        <x:v>Requires stable service identity; preserve observed labor evidence.</x:v>
      </x:c>
    </x:row>
    <x:row r="1288">
      <x:c r="A1288" s="6" t="str">
        <x:v>SEQ-LAB-0016</x:v>
      </x:c>
      <x:c r="B1288" s="6" t="str">
        <x:v>Labor Reference</x:v>
      </x:c>
      <x:c r="C1288" s="6" t="str">
        <x:v>LABX-0016</x:v>
      </x:c>
      <x:c r="D1288" s="6" t="str">
        <x:v>SVC000016</x:v>
      </x:c>
      <x:c r="E1288" s="6" t="str"/>
      <x:c r="F1288" s="6" t="str">
        <x:v>Labor-reference review</x:v>
      </x:c>
      <x:c r="G1288" s="6" t="n">
        <x:v>6</x:v>
      </x:c>
      <x:c r="H1288" s="6" t="str">
        <x:v>SIDX-0016</x:v>
      </x:c>
      <x:c r="I1288" s="6" t="str">
        <x:f>IF(H1288="","No upstream dependency",IF(ISNUMBER(SEARCH(";",H1288)),"Multiple dependencies - verify source queues",IFERROR(XLOOKUP(H1288,C2:C1586,J2:J1586),"Dependency not found")))</x:f>
        <x:v>Not Started</x:v>
      </x:c>
      <x:c r="J1288" s="6" t="str">
        <x:v>Not Started</x:v>
      </x:c>
      <x:c r="K1288" s="6" t="str">
        <x:v>Normal</x:v>
      </x:c>
      <x:c r="L1288" s="6" t="str"/>
      <x:c r="M1288" s="6" t="str"/>
      <x:c r="N1288" s="6" t="str"/>
      <x:c r="O1288" s="7" t="str"/>
      <x:c r="P1288" s="6" t="str">
        <x:v>Yes</x:v>
      </x:c>
      <x:c r="Q1288" s="7" t="str">
        <x:v>Requires stable service identity; preserve observed labor evidence.</x:v>
      </x:c>
    </x:row>
    <x:row r="1289">
      <x:c r="A1289" s="6" t="str">
        <x:v>SEQ-LAB-0017</x:v>
      </x:c>
      <x:c r="B1289" s="6" t="str">
        <x:v>Labor Reference</x:v>
      </x:c>
      <x:c r="C1289" s="6" t="str">
        <x:v>LABX-0017</x:v>
      </x:c>
      <x:c r="D1289" s="6" t="str">
        <x:v>SVC000017</x:v>
      </x:c>
      <x:c r="E1289" s="6" t="str"/>
      <x:c r="F1289" s="6" t="str">
        <x:v>Labor-reference review</x:v>
      </x:c>
      <x:c r="G1289" s="6" t="n">
        <x:v>6</x:v>
      </x:c>
      <x:c r="H1289" s="6" t="str">
        <x:v>SIDX-0017</x:v>
      </x:c>
      <x:c r="I1289" s="6" t="str">
        <x:f>IF(H1289="","No upstream dependency",IF(ISNUMBER(SEARCH(";",H1289)),"Multiple dependencies - verify source queues",IFERROR(XLOOKUP(H1289,C2:C1586,J2:J1586),"Dependency not found")))</x:f>
        <x:v>Not Started</x:v>
      </x:c>
      <x:c r="J1289" s="6" t="str">
        <x:v>Not Started</x:v>
      </x:c>
      <x:c r="K1289" s="6" t="str">
        <x:v>Normal</x:v>
      </x:c>
      <x:c r="L1289" s="6" t="str"/>
      <x:c r="M1289" s="6" t="str"/>
      <x:c r="N1289" s="6" t="str"/>
      <x:c r="O1289" s="7" t="str"/>
      <x:c r="P1289" s="6" t="str">
        <x:v>Yes</x:v>
      </x:c>
      <x:c r="Q1289" s="7" t="str">
        <x:v>Requires stable service identity; preserve observed labor evidence.</x:v>
      </x:c>
    </x:row>
    <x:row r="1290">
      <x:c r="A1290" s="6" t="str">
        <x:v>SEQ-LAB-0018</x:v>
      </x:c>
      <x:c r="B1290" s="6" t="str">
        <x:v>Labor Reference</x:v>
      </x:c>
      <x:c r="C1290" s="6" t="str">
        <x:v>LABX-0018</x:v>
      </x:c>
      <x:c r="D1290" s="6" t="str">
        <x:v>SVC000018</x:v>
      </x:c>
      <x:c r="E1290" s="6" t="str"/>
      <x:c r="F1290" s="6" t="str">
        <x:v>Labor-reference review</x:v>
      </x:c>
      <x:c r="G1290" s="6" t="n">
        <x:v>6</x:v>
      </x:c>
      <x:c r="H1290" s="6" t="str">
        <x:v>SIDX-0018</x:v>
      </x:c>
      <x:c r="I1290" s="6" t="str">
        <x:f>IF(H1290="","No upstream dependency",IF(ISNUMBER(SEARCH(";",H1290)),"Multiple dependencies - verify source queues",IFERROR(XLOOKUP(H1290,C2:C1586,J2:J1586),"Dependency not found")))</x:f>
        <x:v>Not Started</x:v>
      </x:c>
      <x:c r="J1290" s="6" t="str">
        <x:v>Not Started</x:v>
      </x:c>
      <x:c r="K1290" s="6" t="str">
        <x:v>Normal</x:v>
      </x:c>
      <x:c r="L1290" s="6" t="str"/>
      <x:c r="M1290" s="6" t="str"/>
      <x:c r="N1290" s="6" t="str"/>
      <x:c r="O1290" s="7" t="str"/>
      <x:c r="P1290" s="6" t="str">
        <x:v>Yes</x:v>
      </x:c>
      <x:c r="Q1290" s="7" t="str">
        <x:v>Requires stable service identity; preserve observed labor evidence.</x:v>
      </x:c>
    </x:row>
    <x:row r="1291">
      <x:c r="A1291" s="6" t="str">
        <x:v>SEQ-LAB-0019</x:v>
      </x:c>
      <x:c r="B1291" s="6" t="str">
        <x:v>Labor Reference</x:v>
      </x:c>
      <x:c r="C1291" s="6" t="str">
        <x:v>LABX-0019</x:v>
      </x:c>
      <x:c r="D1291" s="6" t="str">
        <x:v>SVC000019</x:v>
      </x:c>
      <x:c r="E1291" s="6" t="str"/>
      <x:c r="F1291" s="6" t="str">
        <x:v>Labor-reference review</x:v>
      </x:c>
      <x:c r="G1291" s="6" t="n">
        <x:v>6</x:v>
      </x:c>
      <x:c r="H1291" s="6" t="str">
        <x:v>SIDX-0019</x:v>
      </x:c>
      <x:c r="I1291" s="6" t="str">
        <x:f>IF(H1291="","No upstream dependency",IF(ISNUMBER(SEARCH(";",H1291)),"Multiple dependencies - verify source queues",IFERROR(XLOOKUP(H1291,C2:C1586,J2:J1586),"Dependency not found")))</x:f>
        <x:v>Not Started</x:v>
      </x:c>
      <x:c r="J1291" s="6" t="str">
        <x:v>Not Started</x:v>
      </x:c>
      <x:c r="K1291" s="6" t="str">
        <x:v>Normal</x:v>
      </x:c>
      <x:c r="L1291" s="6" t="str"/>
      <x:c r="M1291" s="6" t="str"/>
      <x:c r="N1291" s="6" t="str"/>
      <x:c r="O1291" s="7" t="str"/>
      <x:c r="P1291" s="6" t="str">
        <x:v>Yes</x:v>
      </x:c>
      <x:c r="Q1291" s="7" t="str">
        <x:v>Requires stable service identity; preserve observed labor evidence.</x:v>
      </x:c>
    </x:row>
    <x:row r="1292">
      <x:c r="A1292" s="6" t="str">
        <x:v>SEQ-LAB-0020</x:v>
      </x:c>
      <x:c r="B1292" s="6" t="str">
        <x:v>Labor Reference</x:v>
      </x:c>
      <x:c r="C1292" s="6" t="str">
        <x:v>LABX-0020</x:v>
      </x:c>
      <x:c r="D1292" s="6" t="str">
        <x:v>SVC000020</x:v>
      </x:c>
      <x:c r="E1292" s="6" t="str"/>
      <x:c r="F1292" s="6" t="str">
        <x:v>Labor-reference review</x:v>
      </x:c>
      <x:c r="G1292" s="6" t="n">
        <x:v>6</x:v>
      </x:c>
      <x:c r="H1292" s="6" t="str">
        <x:v>SIDX-0020</x:v>
      </x:c>
      <x:c r="I1292" s="6" t="str">
        <x:f>IF(H1292="","No upstream dependency",IF(ISNUMBER(SEARCH(";",H1292)),"Multiple dependencies - verify source queues",IFERROR(XLOOKUP(H1292,C2:C1586,J2:J1586),"Dependency not found")))</x:f>
        <x:v>Not Started</x:v>
      </x:c>
      <x:c r="J1292" s="6" t="str">
        <x:v>Not Started</x:v>
      </x:c>
      <x:c r="K1292" s="6" t="str">
        <x:v>Normal</x:v>
      </x:c>
      <x:c r="L1292" s="6" t="str"/>
      <x:c r="M1292" s="6" t="str"/>
      <x:c r="N1292" s="6" t="str"/>
      <x:c r="O1292" s="7" t="str"/>
      <x:c r="P1292" s="6" t="str">
        <x:v>Yes</x:v>
      </x:c>
      <x:c r="Q1292" s="7" t="str">
        <x:v>Requires stable service identity; preserve observed labor evidence.</x:v>
      </x:c>
    </x:row>
    <x:row r="1293">
      <x:c r="A1293" s="6" t="str">
        <x:v>SEQ-LAB-0021</x:v>
      </x:c>
      <x:c r="B1293" s="6" t="str">
        <x:v>Labor Reference</x:v>
      </x:c>
      <x:c r="C1293" s="6" t="str">
        <x:v>LABX-0021</x:v>
      </x:c>
      <x:c r="D1293" s="6" t="str">
        <x:v>SVC000021</x:v>
      </x:c>
      <x:c r="E1293" s="6" t="str"/>
      <x:c r="F1293" s="6" t="str">
        <x:v>Labor-reference review</x:v>
      </x:c>
      <x:c r="G1293" s="6" t="n">
        <x:v>6</x:v>
      </x:c>
      <x:c r="H1293" s="6" t="str">
        <x:v>SIDX-0021</x:v>
      </x:c>
      <x:c r="I1293" s="6" t="str">
        <x:f>IF(H1293="","No upstream dependency",IF(ISNUMBER(SEARCH(";",H1293)),"Multiple dependencies - verify source queues",IFERROR(XLOOKUP(H1293,C2:C1586,J2:J1586),"Dependency not found")))</x:f>
        <x:v>Not Started</x:v>
      </x:c>
      <x:c r="J1293" s="6" t="str">
        <x:v>Not Started</x:v>
      </x:c>
      <x:c r="K1293" s="6" t="str">
        <x:v>Normal</x:v>
      </x:c>
      <x:c r="L1293" s="6" t="str"/>
      <x:c r="M1293" s="6" t="str"/>
      <x:c r="N1293" s="6" t="str"/>
      <x:c r="O1293" s="7" t="str"/>
      <x:c r="P1293" s="6" t="str">
        <x:v>Yes</x:v>
      </x:c>
      <x:c r="Q1293" s="7" t="str">
        <x:v>Requires stable service identity; preserve observed labor evidence.</x:v>
      </x:c>
    </x:row>
    <x:row r="1294">
      <x:c r="A1294" s="6" t="str">
        <x:v>SEQ-LAB-0022</x:v>
      </x:c>
      <x:c r="B1294" s="6" t="str">
        <x:v>Labor Reference</x:v>
      </x:c>
      <x:c r="C1294" s="6" t="str">
        <x:v>LABX-0022</x:v>
      </x:c>
      <x:c r="D1294" s="6" t="str">
        <x:v>SVC000022</x:v>
      </x:c>
      <x:c r="E1294" s="6" t="str"/>
      <x:c r="F1294" s="6" t="str">
        <x:v>Labor-reference review</x:v>
      </x:c>
      <x:c r="G1294" s="6" t="n">
        <x:v>6</x:v>
      </x:c>
      <x:c r="H1294" s="6" t="str">
        <x:v>SIDX-0022</x:v>
      </x:c>
      <x:c r="I1294" s="6" t="str">
        <x:f>IF(H1294="","No upstream dependency",IF(ISNUMBER(SEARCH(";",H1294)),"Multiple dependencies - verify source queues",IFERROR(XLOOKUP(H1294,C2:C1586,J2:J1586),"Dependency not found")))</x:f>
        <x:v>Not Started</x:v>
      </x:c>
      <x:c r="J1294" s="6" t="str">
        <x:v>Not Started</x:v>
      </x:c>
      <x:c r="K1294" s="6" t="str">
        <x:v>Normal</x:v>
      </x:c>
      <x:c r="L1294" s="6" t="str"/>
      <x:c r="M1294" s="6" t="str"/>
      <x:c r="N1294" s="6" t="str"/>
      <x:c r="O1294" s="7" t="str"/>
      <x:c r="P1294" s="6" t="str">
        <x:v>Yes</x:v>
      </x:c>
      <x:c r="Q1294" s="7" t="str">
        <x:v>Requires stable service identity; preserve observed labor evidence.</x:v>
      </x:c>
    </x:row>
    <x:row r="1295">
      <x:c r="A1295" s="6" t="str">
        <x:v>SEQ-LAB-0023</x:v>
      </x:c>
      <x:c r="B1295" s="6" t="str">
        <x:v>Labor Reference</x:v>
      </x:c>
      <x:c r="C1295" s="6" t="str">
        <x:v>LABX-0023</x:v>
      </x:c>
      <x:c r="D1295" s="6" t="str">
        <x:v>SVC000023</x:v>
      </x:c>
      <x:c r="E1295" s="6" t="str"/>
      <x:c r="F1295" s="6" t="str">
        <x:v>Labor-reference review</x:v>
      </x:c>
      <x:c r="G1295" s="6" t="n">
        <x:v>6</x:v>
      </x:c>
      <x:c r="H1295" s="6" t="str">
        <x:v>SIDX-0023</x:v>
      </x:c>
      <x:c r="I1295" s="6" t="str">
        <x:f>IF(H1295="","No upstream dependency",IF(ISNUMBER(SEARCH(";",H1295)),"Multiple dependencies - verify source queues",IFERROR(XLOOKUP(H1295,C2:C1586,J2:J1586),"Dependency not found")))</x:f>
        <x:v>Not Started</x:v>
      </x:c>
      <x:c r="J1295" s="6" t="str">
        <x:v>Not Started</x:v>
      </x:c>
      <x:c r="K1295" s="6" t="str">
        <x:v>Normal</x:v>
      </x:c>
      <x:c r="L1295" s="6" t="str"/>
      <x:c r="M1295" s="6" t="str"/>
      <x:c r="N1295" s="6" t="str"/>
      <x:c r="O1295" s="7" t="str"/>
      <x:c r="P1295" s="6" t="str">
        <x:v>Yes</x:v>
      </x:c>
      <x:c r="Q1295" s="7" t="str">
        <x:v>Requires stable service identity; preserve observed labor evidence.</x:v>
      </x:c>
    </x:row>
    <x:row r="1296">
      <x:c r="A1296" s="6" t="str">
        <x:v>SEQ-LAB-0024</x:v>
      </x:c>
      <x:c r="B1296" s="6" t="str">
        <x:v>Labor Reference</x:v>
      </x:c>
      <x:c r="C1296" s="6" t="str">
        <x:v>LABX-0024</x:v>
      </x:c>
      <x:c r="D1296" s="6" t="str">
        <x:v>SVC000024</x:v>
      </x:c>
      <x:c r="E1296" s="6" t="str"/>
      <x:c r="F1296" s="6" t="str">
        <x:v>Labor-reference review</x:v>
      </x:c>
      <x:c r="G1296" s="6" t="n">
        <x:v>6</x:v>
      </x:c>
      <x:c r="H1296" s="6" t="str">
        <x:v>SIDX-0024</x:v>
      </x:c>
      <x:c r="I1296" s="6" t="str">
        <x:f>IF(H1296="","No upstream dependency",IF(ISNUMBER(SEARCH(";",H1296)),"Multiple dependencies - verify source queues",IFERROR(XLOOKUP(H1296,C2:C1586,J2:J1586),"Dependency not found")))</x:f>
        <x:v>Not Started</x:v>
      </x:c>
      <x:c r="J1296" s="6" t="str">
        <x:v>Not Started</x:v>
      </x:c>
      <x:c r="K1296" s="6" t="str">
        <x:v>Normal</x:v>
      </x:c>
      <x:c r="L1296" s="6" t="str"/>
      <x:c r="M1296" s="6" t="str"/>
      <x:c r="N1296" s="6" t="str"/>
      <x:c r="O1296" s="7" t="str"/>
      <x:c r="P1296" s="6" t="str">
        <x:v>Yes</x:v>
      </x:c>
      <x:c r="Q1296" s="7" t="str">
        <x:v>Requires stable service identity; preserve observed labor evidence.</x:v>
      </x:c>
    </x:row>
    <x:row r="1297">
      <x:c r="A1297" s="6" t="str">
        <x:v>SEQ-LAB-0025</x:v>
      </x:c>
      <x:c r="B1297" s="6" t="str">
        <x:v>Labor Reference</x:v>
      </x:c>
      <x:c r="C1297" s="6" t="str">
        <x:v>LABX-0025</x:v>
      </x:c>
      <x:c r="D1297" s="6" t="str">
        <x:v>SVC000025</x:v>
      </x:c>
      <x:c r="E1297" s="6" t="str"/>
      <x:c r="F1297" s="6" t="str">
        <x:v>Labor-reference review</x:v>
      </x:c>
      <x:c r="G1297" s="6" t="n">
        <x:v>6</x:v>
      </x:c>
      <x:c r="H1297" s="6" t="str">
        <x:v>SIDX-0025</x:v>
      </x:c>
      <x:c r="I1297" s="6" t="str">
        <x:f>IF(H1297="","No upstream dependency",IF(ISNUMBER(SEARCH(";",H1297)),"Multiple dependencies - verify source queues",IFERROR(XLOOKUP(H1297,C2:C1586,J2:J1586),"Dependency not found")))</x:f>
        <x:v>Not Started</x:v>
      </x:c>
      <x:c r="J1297" s="6" t="str">
        <x:v>Not Started</x:v>
      </x:c>
      <x:c r="K1297" s="6" t="str">
        <x:v>Normal</x:v>
      </x:c>
      <x:c r="L1297" s="6" t="str"/>
      <x:c r="M1297" s="6" t="str"/>
      <x:c r="N1297" s="6" t="str"/>
      <x:c r="O1297" s="7" t="str"/>
      <x:c r="P1297" s="6" t="str">
        <x:v>Yes</x:v>
      </x:c>
      <x:c r="Q1297" s="7" t="str">
        <x:v>Requires stable service identity; preserve observed labor evidence.</x:v>
      </x:c>
    </x:row>
    <x:row r="1298">
      <x:c r="A1298" s="6" t="str">
        <x:v>SEQ-LAB-0026</x:v>
      </x:c>
      <x:c r="B1298" s="6" t="str">
        <x:v>Labor Reference</x:v>
      </x:c>
      <x:c r="C1298" s="6" t="str">
        <x:v>LABX-0026</x:v>
      </x:c>
      <x:c r="D1298" s="6" t="str">
        <x:v>SVC000026</x:v>
      </x:c>
      <x:c r="E1298" s="6" t="str"/>
      <x:c r="F1298" s="6" t="str">
        <x:v>Labor-reference review</x:v>
      </x:c>
      <x:c r="G1298" s="6" t="n">
        <x:v>6</x:v>
      </x:c>
      <x:c r="H1298" s="6" t="str">
        <x:v>SIDX-0026</x:v>
      </x:c>
      <x:c r="I1298" s="6" t="str">
        <x:f>IF(H1298="","No upstream dependency",IF(ISNUMBER(SEARCH(";",H1298)),"Multiple dependencies - verify source queues",IFERROR(XLOOKUP(H1298,C2:C1586,J2:J1586),"Dependency not found")))</x:f>
        <x:v>Not Started</x:v>
      </x:c>
      <x:c r="J1298" s="6" t="str">
        <x:v>Not Started</x:v>
      </x:c>
      <x:c r="K1298" s="6" t="str">
        <x:v>Normal</x:v>
      </x:c>
      <x:c r="L1298" s="6" t="str"/>
      <x:c r="M1298" s="6" t="str"/>
      <x:c r="N1298" s="6" t="str"/>
      <x:c r="O1298" s="7" t="str"/>
      <x:c r="P1298" s="6" t="str">
        <x:v>Yes</x:v>
      </x:c>
      <x:c r="Q1298" s="7" t="str">
        <x:v>Requires stable service identity; preserve observed labor evidence.</x:v>
      </x:c>
    </x:row>
    <x:row r="1299">
      <x:c r="A1299" s="6" t="str">
        <x:v>SEQ-LAB-0027</x:v>
      </x:c>
      <x:c r="B1299" s="6" t="str">
        <x:v>Labor Reference</x:v>
      </x:c>
      <x:c r="C1299" s="6" t="str">
        <x:v>LABX-0027</x:v>
      </x:c>
      <x:c r="D1299" s="6" t="str">
        <x:v>SVC000027</x:v>
      </x:c>
      <x:c r="E1299" s="6" t="str"/>
      <x:c r="F1299" s="6" t="str">
        <x:v>Labor-reference review</x:v>
      </x:c>
      <x:c r="G1299" s="6" t="n">
        <x:v>6</x:v>
      </x:c>
      <x:c r="H1299" s="6" t="str">
        <x:v>SIDX-0027</x:v>
      </x:c>
      <x:c r="I1299" s="6" t="str">
        <x:f>IF(H1299="","No upstream dependency",IF(ISNUMBER(SEARCH(";",H1299)),"Multiple dependencies - verify source queues",IFERROR(XLOOKUP(H1299,C2:C1586,J2:J1586),"Dependency not found")))</x:f>
        <x:v>Not Started</x:v>
      </x:c>
      <x:c r="J1299" s="6" t="str">
        <x:v>Not Started</x:v>
      </x:c>
      <x:c r="K1299" s="6" t="str">
        <x:v>Normal</x:v>
      </x:c>
      <x:c r="L1299" s="6" t="str"/>
      <x:c r="M1299" s="6" t="str"/>
      <x:c r="N1299" s="6" t="str"/>
      <x:c r="O1299" s="7" t="str"/>
      <x:c r="P1299" s="6" t="str">
        <x:v>Yes</x:v>
      </x:c>
      <x:c r="Q1299" s="7" t="str">
        <x:v>Requires stable service identity; preserve observed labor evidence.</x:v>
      </x:c>
    </x:row>
    <x:row r="1300">
      <x:c r="A1300" s="6" t="str">
        <x:v>SEQ-LAB-0028</x:v>
      </x:c>
      <x:c r="B1300" s="6" t="str">
        <x:v>Labor Reference</x:v>
      </x:c>
      <x:c r="C1300" s="6" t="str">
        <x:v>LABX-0028</x:v>
      </x:c>
      <x:c r="D1300" s="6" t="str">
        <x:v>SVC000028</x:v>
      </x:c>
      <x:c r="E1300" s="6" t="str"/>
      <x:c r="F1300" s="6" t="str">
        <x:v>Labor-reference review</x:v>
      </x:c>
      <x:c r="G1300" s="6" t="n">
        <x:v>6</x:v>
      </x:c>
      <x:c r="H1300" s="6" t="str">
        <x:v>SIDX-0028</x:v>
      </x:c>
      <x:c r="I1300" s="6" t="str">
        <x:f>IF(H1300="","No upstream dependency",IF(ISNUMBER(SEARCH(";",H1300)),"Multiple dependencies - verify source queues",IFERROR(XLOOKUP(H1300,C2:C1586,J2:J1586),"Dependency not found")))</x:f>
        <x:v>Not Started</x:v>
      </x:c>
      <x:c r="J1300" s="6" t="str">
        <x:v>Not Started</x:v>
      </x:c>
      <x:c r="K1300" s="6" t="str">
        <x:v>Normal</x:v>
      </x:c>
      <x:c r="L1300" s="6" t="str"/>
      <x:c r="M1300" s="6" t="str"/>
      <x:c r="N1300" s="6" t="str"/>
      <x:c r="O1300" s="7" t="str"/>
      <x:c r="P1300" s="6" t="str">
        <x:v>Yes</x:v>
      </x:c>
      <x:c r="Q1300" s="7" t="str">
        <x:v>Requires stable service identity; preserve observed labor evidence.</x:v>
      </x:c>
    </x:row>
    <x:row r="1301">
      <x:c r="A1301" s="6" t="str">
        <x:v>SEQ-LAB-0029</x:v>
      </x:c>
      <x:c r="B1301" s="6" t="str">
        <x:v>Labor Reference</x:v>
      </x:c>
      <x:c r="C1301" s="6" t="str">
        <x:v>LABX-0029</x:v>
      </x:c>
      <x:c r="D1301" s="6" t="str">
        <x:v>SVC000029</x:v>
      </x:c>
      <x:c r="E1301" s="6" t="str"/>
      <x:c r="F1301" s="6" t="str">
        <x:v>Labor-reference review</x:v>
      </x:c>
      <x:c r="G1301" s="6" t="n">
        <x:v>6</x:v>
      </x:c>
      <x:c r="H1301" s="6" t="str">
        <x:v>SIDX-0029</x:v>
      </x:c>
      <x:c r="I1301" s="6" t="str">
        <x:f>IF(H1301="","No upstream dependency",IF(ISNUMBER(SEARCH(";",H1301)),"Multiple dependencies - verify source queues",IFERROR(XLOOKUP(H1301,C2:C1586,J2:J1586),"Dependency not found")))</x:f>
        <x:v>Not Started</x:v>
      </x:c>
      <x:c r="J1301" s="6" t="str">
        <x:v>Not Started</x:v>
      </x:c>
      <x:c r="K1301" s="6" t="str">
        <x:v>Normal</x:v>
      </x:c>
      <x:c r="L1301" s="6" t="str"/>
      <x:c r="M1301" s="6" t="str"/>
      <x:c r="N1301" s="6" t="str"/>
      <x:c r="O1301" s="7" t="str"/>
      <x:c r="P1301" s="6" t="str">
        <x:v>Yes</x:v>
      </x:c>
      <x:c r="Q1301" s="7" t="str">
        <x:v>Requires stable service identity; preserve observed labor evidence.</x:v>
      </x:c>
    </x:row>
    <x:row r="1302">
      <x:c r="A1302" s="6" t="str">
        <x:v>SEQ-LAB-0030</x:v>
      </x:c>
      <x:c r="B1302" s="6" t="str">
        <x:v>Labor Reference</x:v>
      </x:c>
      <x:c r="C1302" s="6" t="str">
        <x:v>LABX-0030</x:v>
      </x:c>
      <x:c r="D1302" s="6" t="str">
        <x:v>SVC000030</x:v>
      </x:c>
      <x:c r="E1302" s="6" t="str"/>
      <x:c r="F1302" s="6" t="str">
        <x:v>Labor-reference review</x:v>
      </x:c>
      <x:c r="G1302" s="6" t="n">
        <x:v>6</x:v>
      </x:c>
      <x:c r="H1302" s="6" t="str">
        <x:v>SIDX-0030</x:v>
      </x:c>
      <x:c r="I1302" s="6" t="str">
        <x:f>IF(H1302="","No upstream dependency",IF(ISNUMBER(SEARCH(";",H1302)),"Multiple dependencies - verify source queues",IFERROR(XLOOKUP(H1302,C2:C1586,J2:J1586),"Dependency not found")))</x:f>
        <x:v>Not Started</x:v>
      </x:c>
      <x:c r="J1302" s="6" t="str">
        <x:v>Not Started</x:v>
      </x:c>
      <x:c r="K1302" s="6" t="str">
        <x:v>Normal</x:v>
      </x:c>
      <x:c r="L1302" s="6" t="str"/>
      <x:c r="M1302" s="6" t="str"/>
      <x:c r="N1302" s="6" t="str"/>
      <x:c r="O1302" s="7" t="str"/>
      <x:c r="P1302" s="6" t="str">
        <x:v>Yes</x:v>
      </x:c>
      <x:c r="Q1302" s="7" t="str">
        <x:v>Requires stable service identity; preserve observed labor evidence.</x:v>
      </x:c>
    </x:row>
    <x:row r="1303">
      <x:c r="A1303" s="6" t="str">
        <x:v>SEQ-LAB-0031</x:v>
      </x:c>
      <x:c r="B1303" s="6" t="str">
        <x:v>Labor Reference</x:v>
      </x:c>
      <x:c r="C1303" s="6" t="str">
        <x:v>LABX-0031</x:v>
      </x:c>
      <x:c r="D1303" s="6" t="str">
        <x:v>SVC000031</x:v>
      </x:c>
      <x:c r="E1303" s="6" t="str"/>
      <x:c r="F1303" s="6" t="str">
        <x:v>Labor-reference review</x:v>
      </x:c>
      <x:c r="G1303" s="6" t="n">
        <x:v>6</x:v>
      </x:c>
      <x:c r="H1303" s="6" t="str">
        <x:v>SIDX-0031</x:v>
      </x:c>
      <x:c r="I1303" s="6" t="str">
        <x:f>IF(H1303="","No upstream dependency",IF(ISNUMBER(SEARCH(";",H1303)),"Multiple dependencies - verify source queues",IFERROR(XLOOKUP(H1303,C2:C1586,J2:J1586),"Dependency not found")))</x:f>
        <x:v>Not Started</x:v>
      </x:c>
      <x:c r="J1303" s="6" t="str">
        <x:v>Not Started</x:v>
      </x:c>
      <x:c r="K1303" s="6" t="str">
        <x:v>Normal</x:v>
      </x:c>
      <x:c r="L1303" s="6" t="str"/>
      <x:c r="M1303" s="6" t="str"/>
      <x:c r="N1303" s="6" t="str"/>
      <x:c r="O1303" s="7" t="str"/>
      <x:c r="P1303" s="6" t="str">
        <x:v>Yes</x:v>
      </x:c>
      <x:c r="Q1303" s="7" t="str">
        <x:v>Requires stable service identity; preserve observed labor evidence.</x:v>
      </x:c>
    </x:row>
    <x:row r="1304">
      <x:c r="A1304" s="6" t="str">
        <x:v>SEQ-LAB-0032</x:v>
      </x:c>
      <x:c r="B1304" s="6" t="str">
        <x:v>Labor Reference</x:v>
      </x:c>
      <x:c r="C1304" s="6" t="str">
        <x:v>LABX-0032</x:v>
      </x:c>
      <x:c r="D1304" s="6" t="str">
        <x:v>SVC000032</x:v>
      </x:c>
      <x:c r="E1304" s="6" t="str"/>
      <x:c r="F1304" s="6" t="str">
        <x:v>Labor-reference review</x:v>
      </x:c>
      <x:c r="G1304" s="6" t="n">
        <x:v>6</x:v>
      </x:c>
      <x:c r="H1304" s="6" t="str">
        <x:v>SIDX-0032</x:v>
      </x:c>
      <x:c r="I1304" s="6" t="str">
        <x:f>IF(H1304="","No upstream dependency",IF(ISNUMBER(SEARCH(";",H1304)),"Multiple dependencies - verify source queues",IFERROR(XLOOKUP(H1304,C2:C1586,J2:J1586),"Dependency not found")))</x:f>
        <x:v>Not Started</x:v>
      </x:c>
      <x:c r="J1304" s="6" t="str">
        <x:v>Not Started</x:v>
      </x:c>
      <x:c r="K1304" s="6" t="str">
        <x:v>Normal</x:v>
      </x:c>
      <x:c r="L1304" s="6" t="str"/>
      <x:c r="M1304" s="6" t="str"/>
      <x:c r="N1304" s="6" t="str"/>
      <x:c r="O1304" s="7" t="str"/>
      <x:c r="P1304" s="6" t="str">
        <x:v>Yes</x:v>
      </x:c>
      <x:c r="Q1304" s="7" t="str">
        <x:v>Requires stable service identity; preserve observed labor evidence.</x:v>
      </x:c>
    </x:row>
    <x:row r="1305">
      <x:c r="A1305" s="6" t="str">
        <x:v>SEQ-LAB-0033</x:v>
      </x:c>
      <x:c r="B1305" s="6" t="str">
        <x:v>Labor Reference</x:v>
      </x:c>
      <x:c r="C1305" s="6" t="str">
        <x:v>LABX-0033</x:v>
      </x:c>
      <x:c r="D1305" s="6" t="str">
        <x:v>SVC000033</x:v>
      </x:c>
      <x:c r="E1305" s="6" t="str"/>
      <x:c r="F1305" s="6" t="str">
        <x:v>Labor-reference review</x:v>
      </x:c>
      <x:c r="G1305" s="6" t="n">
        <x:v>6</x:v>
      </x:c>
      <x:c r="H1305" s="6" t="str">
        <x:v>SIDX-0033</x:v>
      </x:c>
      <x:c r="I1305" s="6" t="str">
        <x:f>IF(H1305="","No upstream dependency",IF(ISNUMBER(SEARCH(";",H1305)),"Multiple dependencies - verify source queues",IFERROR(XLOOKUP(H1305,C2:C1586,J2:J1586),"Dependency not found")))</x:f>
        <x:v>Not Started</x:v>
      </x:c>
      <x:c r="J1305" s="6" t="str">
        <x:v>Not Started</x:v>
      </x:c>
      <x:c r="K1305" s="6" t="str">
        <x:v>Normal</x:v>
      </x:c>
      <x:c r="L1305" s="6" t="str"/>
      <x:c r="M1305" s="6" t="str"/>
      <x:c r="N1305" s="6" t="str"/>
      <x:c r="O1305" s="7" t="str"/>
      <x:c r="P1305" s="6" t="str">
        <x:v>Yes</x:v>
      </x:c>
      <x:c r="Q1305" s="7" t="str">
        <x:v>Requires stable service identity; preserve observed labor evidence.</x:v>
      </x:c>
    </x:row>
    <x:row r="1306">
      <x:c r="A1306" s="6" t="str">
        <x:v>SEQ-LAB-0034</x:v>
      </x:c>
      <x:c r="B1306" s="6" t="str">
        <x:v>Labor Reference</x:v>
      </x:c>
      <x:c r="C1306" s="6" t="str">
        <x:v>LABX-0034</x:v>
      </x:c>
      <x:c r="D1306" s="6" t="str">
        <x:v>SVC000034</x:v>
      </x:c>
      <x:c r="E1306" s="6" t="str"/>
      <x:c r="F1306" s="6" t="str">
        <x:v>Labor-reference review</x:v>
      </x:c>
      <x:c r="G1306" s="6" t="n">
        <x:v>6</x:v>
      </x:c>
      <x:c r="H1306" s="6" t="str">
        <x:v>SIDX-0034</x:v>
      </x:c>
      <x:c r="I1306" s="6" t="str">
        <x:f>IF(H1306="","No upstream dependency",IF(ISNUMBER(SEARCH(";",H1306)),"Multiple dependencies - verify source queues",IFERROR(XLOOKUP(H1306,C2:C1586,J2:J1586),"Dependency not found")))</x:f>
        <x:v>Not Started</x:v>
      </x:c>
      <x:c r="J1306" s="6" t="str">
        <x:v>Not Started</x:v>
      </x:c>
      <x:c r="K1306" s="6" t="str">
        <x:v>Normal</x:v>
      </x:c>
      <x:c r="L1306" s="6" t="str"/>
      <x:c r="M1306" s="6" t="str"/>
      <x:c r="N1306" s="6" t="str"/>
      <x:c r="O1306" s="7" t="str"/>
      <x:c r="P1306" s="6" t="str">
        <x:v>Yes</x:v>
      </x:c>
      <x:c r="Q1306" s="7" t="str">
        <x:v>Requires stable service identity; preserve observed labor evidence.</x:v>
      </x:c>
    </x:row>
    <x:row r="1307">
      <x:c r="A1307" s="6" t="str">
        <x:v>SEQ-LAB-0035</x:v>
      </x:c>
      <x:c r="B1307" s="6" t="str">
        <x:v>Labor Reference</x:v>
      </x:c>
      <x:c r="C1307" s="6" t="str">
        <x:v>LABX-0035</x:v>
      </x:c>
      <x:c r="D1307" s="6" t="str">
        <x:v>SVC000035</x:v>
      </x:c>
      <x:c r="E1307" s="6" t="str"/>
      <x:c r="F1307" s="6" t="str">
        <x:v>Labor-reference review</x:v>
      </x:c>
      <x:c r="G1307" s="6" t="n">
        <x:v>6</x:v>
      </x:c>
      <x:c r="H1307" s="6" t="str">
        <x:v>SIDX-0035</x:v>
      </x:c>
      <x:c r="I1307" s="6" t="str">
        <x:f>IF(H1307="","No upstream dependency",IF(ISNUMBER(SEARCH(";",H1307)),"Multiple dependencies - verify source queues",IFERROR(XLOOKUP(H1307,C2:C1586,J2:J1586),"Dependency not found")))</x:f>
        <x:v>Not Started</x:v>
      </x:c>
      <x:c r="J1307" s="6" t="str">
        <x:v>Not Started</x:v>
      </x:c>
      <x:c r="K1307" s="6" t="str">
        <x:v>Normal</x:v>
      </x:c>
      <x:c r="L1307" s="6" t="str"/>
      <x:c r="M1307" s="6" t="str"/>
      <x:c r="N1307" s="6" t="str"/>
      <x:c r="O1307" s="7" t="str"/>
      <x:c r="P1307" s="6" t="str">
        <x:v>Yes</x:v>
      </x:c>
      <x:c r="Q1307" s="7" t="str">
        <x:v>Requires stable service identity; preserve observed labor evidence.</x:v>
      </x:c>
    </x:row>
    <x:row r="1308">
      <x:c r="A1308" s="6" t="str">
        <x:v>SEQ-LAB-0036</x:v>
      </x:c>
      <x:c r="B1308" s="6" t="str">
        <x:v>Labor Reference</x:v>
      </x:c>
      <x:c r="C1308" s="6" t="str">
        <x:v>LABX-0036</x:v>
      </x:c>
      <x:c r="D1308" s="6" t="str">
        <x:v>SVC000036</x:v>
      </x:c>
      <x:c r="E1308" s="6" t="str"/>
      <x:c r="F1308" s="6" t="str">
        <x:v>Labor-reference review</x:v>
      </x:c>
      <x:c r="G1308" s="6" t="n">
        <x:v>6</x:v>
      </x:c>
      <x:c r="H1308" s="6" t="str">
        <x:v>SIDX-0036</x:v>
      </x:c>
      <x:c r="I1308" s="6" t="str">
        <x:f>IF(H1308="","No upstream dependency",IF(ISNUMBER(SEARCH(";",H1308)),"Multiple dependencies - verify source queues",IFERROR(XLOOKUP(H1308,C2:C1586,J2:J1586),"Dependency not found")))</x:f>
        <x:v>Not Started</x:v>
      </x:c>
      <x:c r="J1308" s="6" t="str">
        <x:v>Not Started</x:v>
      </x:c>
      <x:c r="K1308" s="6" t="str">
        <x:v>Normal</x:v>
      </x:c>
      <x:c r="L1308" s="6" t="str"/>
      <x:c r="M1308" s="6" t="str"/>
      <x:c r="N1308" s="6" t="str"/>
      <x:c r="O1308" s="7" t="str"/>
      <x:c r="P1308" s="6" t="str">
        <x:v>Yes</x:v>
      </x:c>
      <x:c r="Q1308" s="7" t="str">
        <x:v>Requires stable service identity; preserve observed labor evidence.</x:v>
      </x:c>
    </x:row>
    <x:row r="1309">
      <x:c r="A1309" s="6" t="str">
        <x:v>SEQ-LAB-0037</x:v>
      </x:c>
      <x:c r="B1309" s="6" t="str">
        <x:v>Labor Reference</x:v>
      </x:c>
      <x:c r="C1309" s="6" t="str">
        <x:v>LABX-0037</x:v>
      </x:c>
      <x:c r="D1309" s="6" t="str">
        <x:v>SVC000037</x:v>
      </x:c>
      <x:c r="E1309" s="6" t="str"/>
      <x:c r="F1309" s="6" t="str">
        <x:v>Labor-reference review</x:v>
      </x:c>
      <x:c r="G1309" s="6" t="n">
        <x:v>6</x:v>
      </x:c>
      <x:c r="H1309" s="6" t="str">
        <x:v>SIDX-0037</x:v>
      </x:c>
      <x:c r="I1309" s="6" t="str">
        <x:f>IF(H1309="","No upstream dependency",IF(ISNUMBER(SEARCH(";",H1309)),"Multiple dependencies - verify source queues",IFERROR(XLOOKUP(H1309,C2:C1586,J2:J1586),"Dependency not found")))</x:f>
        <x:v>Not Started</x:v>
      </x:c>
      <x:c r="J1309" s="6" t="str">
        <x:v>Not Started</x:v>
      </x:c>
      <x:c r="K1309" s="6" t="str">
        <x:v>Normal</x:v>
      </x:c>
      <x:c r="L1309" s="6" t="str"/>
      <x:c r="M1309" s="6" t="str"/>
      <x:c r="N1309" s="6" t="str"/>
      <x:c r="O1309" s="7" t="str"/>
      <x:c r="P1309" s="6" t="str">
        <x:v>Yes</x:v>
      </x:c>
      <x:c r="Q1309" s="7" t="str">
        <x:v>Requires stable service identity; preserve observed labor evidence.</x:v>
      </x:c>
    </x:row>
    <x:row r="1310">
      <x:c r="A1310" s="6" t="str">
        <x:v>SEQ-LAB-0038</x:v>
      </x:c>
      <x:c r="B1310" s="6" t="str">
        <x:v>Labor Reference</x:v>
      </x:c>
      <x:c r="C1310" s="6" t="str">
        <x:v>LABX-0038</x:v>
      </x:c>
      <x:c r="D1310" s="6" t="str">
        <x:v>SVC000038</x:v>
      </x:c>
      <x:c r="E1310" s="6" t="str"/>
      <x:c r="F1310" s="6" t="str">
        <x:v>Labor-reference review</x:v>
      </x:c>
      <x:c r="G1310" s="6" t="n">
        <x:v>6</x:v>
      </x:c>
      <x:c r="H1310" s="6" t="str">
        <x:v>SIDX-0038</x:v>
      </x:c>
      <x:c r="I1310" s="6" t="str">
        <x:f>IF(H1310="","No upstream dependency",IF(ISNUMBER(SEARCH(";",H1310)),"Multiple dependencies - verify source queues",IFERROR(XLOOKUP(H1310,C2:C1586,J2:J1586),"Dependency not found")))</x:f>
        <x:v>Not Started</x:v>
      </x:c>
      <x:c r="J1310" s="6" t="str">
        <x:v>Not Started</x:v>
      </x:c>
      <x:c r="K1310" s="6" t="str">
        <x:v>Normal</x:v>
      </x:c>
      <x:c r="L1310" s="6" t="str"/>
      <x:c r="M1310" s="6" t="str"/>
      <x:c r="N1310" s="6" t="str"/>
      <x:c r="O1310" s="7" t="str"/>
      <x:c r="P1310" s="6" t="str">
        <x:v>Yes</x:v>
      </x:c>
      <x:c r="Q1310" s="7" t="str">
        <x:v>Requires stable service identity; preserve observed labor evidence.</x:v>
      </x:c>
    </x:row>
    <x:row r="1311">
      <x:c r="A1311" s="6" t="str">
        <x:v>SEQ-LAB-0039</x:v>
      </x:c>
      <x:c r="B1311" s="6" t="str">
        <x:v>Labor Reference</x:v>
      </x:c>
      <x:c r="C1311" s="6" t="str">
        <x:v>LABX-0039</x:v>
      </x:c>
      <x:c r="D1311" s="6" t="str">
        <x:v>SVC000039</x:v>
      </x:c>
      <x:c r="E1311" s="6" t="str"/>
      <x:c r="F1311" s="6" t="str">
        <x:v>Labor-reference review</x:v>
      </x:c>
      <x:c r="G1311" s="6" t="n">
        <x:v>6</x:v>
      </x:c>
      <x:c r="H1311" s="6" t="str">
        <x:v>SIDX-0039</x:v>
      </x:c>
      <x:c r="I1311" s="6" t="str">
        <x:f>IF(H1311="","No upstream dependency",IF(ISNUMBER(SEARCH(";",H1311)),"Multiple dependencies - verify source queues",IFERROR(XLOOKUP(H1311,C2:C1586,J2:J1586),"Dependency not found")))</x:f>
        <x:v>Not Started</x:v>
      </x:c>
      <x:c r="J1311" s="6" t="str">
        <x:v>Not Started</x:v>
      </x:c>
      <x:c r="K1311" s="6" t="str">
        <x:v>Normal</x:v>
      </x:c>
      <x:c r="L1311" s="6" t="str"/>
      <x:c r="M1311" s="6" t="str"/>
      <x:c r="N1311" s="6" t="str"/>
      <x:c r="O1311" s="7" t="str"/>
      <x:c r="P1311" s="6" t="str">
        <x:v>Yes</x:v>
      </x:c>
      <x:c r="Q1311" s="7" t="str">
        <x:v>Requires stable service identity; preserve observed labor evidence.</x:v>
      </x:c>
    </x:row>
    <x:row r="1312">
      <x:c r="A1312" s="6" t="str">
        <x:v>SEQ-LAB-0040</x:v>
      </x:c>
      <x:c r="B1312" s="6" t="str">
        <x:v>Labor Reference</x:v>
      </x:c>
      <x:c r="C1312" s="6" t="str">
        <x:v>LABX-0040</x:v>
      </x:c>
      <x:c r="D1312" s="6" t="str">
        <x:v>SVC000040</x:v>
      </x:c>
      <x:c r="E1312" s="6" t="str"/>
      <x:c r="F1312" s="6" t="str">
        <x:v>Labor-reference review</x:v>
      </x:c>
      <x:c r="G1312" s="6" t="n">
        <x:v>6</x:v>
      </x:c>
      <x:c r="H1312" s="6" t="str">
        <x:v>SIDX-0040</x:v>
      </x:c>
      <x:c r="I1312" s="6" t="str">
        <x:f>IF(H1312="","No upstream dependency",IF(ISNUMBER(SEARCH(";",H1312)),"Multiple dependencies - verify source queues",IFERROR(XLOOKUP(H1312,C2:C1586,J2:J1586),"Dependency not found")))</x:f>
        <x:v>Not Started</x:v>
      </x:c>
      <x:c r="J1312" s="6" t="str">
        <x:v>Not Started</x:v>
      </x:c>
      <x:c r="K1312" s="6" t="str">
        <x:v>Normal</x:v>
      </x:c>
      <x:c r="L1312" s="6" t="str"/>
      <x:c r="M1312" s="6" t="str"/>
      <x:c r="N1312" s="6" t="str"/>
      <x:c r="O1312" s="7" t="str"/>
      <x:c r="P1312" s="6" t="str">
        <x:v>Yes</x:v>
      </x:c>
      <x:c r="Q1312" s="7" t="str">
        <x:v>Requires stable service identity; preserve observed labor evidence.</x:v>
      </x:c>
    </x:row>
    <x:row r="1313">
      <x:c r="A1313" s="6" t="str">
        <x:v>SEQ-LAB-0041</x:v>
      </x:c>
      <x:c r="B1313" s="6" t="str">
        <x:v>Labor Reference</x:v>
      </x:c>
      <x:c r="C1313" s="6" t="str">
        <x:v>LABX-0041</x:v>
      </x:c>
      <x:c r="D1313" s="6" t="str">
        <x:v>SVC000041</x:v>
      </x:c>
      <x:c r="E1313" s="6" t="str"/>
      <x:c r="F1313" s="6" t="str">
        <x:v>Labor-reference review</x:v>
      </x:c>
      <x:c r="G1313" s="6" t="n">
        <x:v>6</x:v>
      </x:c>
      <x:c r="H1313" s="6" t="str">
        <x:v>SIDX-0041</x:v>
      </x:c>
      <x:c r="I1313" s="6" t="str">
        <x:f>IF(H1313="","No upstream dependency",IF(ISNUMBER(SEARCH(";",H1313)),"Multiple dependencies - verify source queues",IFERROR(XLOOKUP(H1313,C2:C1586,J2:J1586),"Dependency not found")))</x:f>
        <x:v>Not Started</x:v>
      </x:c>
      <x:c r="J1313" s="6" t="str">
        <x:v>Not Started</x:v>
      </x:c>
      <x:c r="K1313" s="6" t="str">
        <x:v>Normal</x:v>
      </x:c>
      <x:c r="L1313" s="6" t="str"/>
      <x:c r="M1313" s="6" t="str"/>
      <x:c r="N1313" s="6" t="str"/>
      <x:c r="O1313" s="7" t="str"/>
      <x:c r="P1313" s="6" t="str">
        <x:v>Yes</x:v>
      </x:c>
      <x:c r="Q1313" s="7" t="str">
        <x:v>Requires stable service identity; preserve observed labor evidence.</x:v>
      </x:c>
    </x:row>
    <x:row r="1314">
      <x:c r="A1314" s="6" t="str">
        <x:v>SEQ-LAB-0042</x:v>
      </x:c>
      <x:c r="B1314" s="6" t="str">
        <x:v>Labor Reference</x:v>
      </x:c>
      <x:c r="C1314" s="6" t="str">
        <x:v>LABX-0042</x:v>
      </x:c>
      <x:c r="D1314" s="6" t="str">
        <x:v>SVC000042</x:v>
      </x:c>
      <x:c r="E1314" s="6" t="str"/>
      <x:c r="F1314" s="6" t="str">
        <x:v>Labor-reference review</x:v>
      </x:c>
      <x:c r="G1314" s="6" t="n">
        <x:v>6</x:v>
      </x:c>
      <x:c r="H1314" s="6" t="str">
        <x:v>SIDX-0042</x:v>
      </x:c>
      <x:c r="I1314" s="6" t="str">
        <x:f>IF(H1314="","No upstream dependency",IF(ISNUMBER(SEARCH(";",H1314)),"Multiple dependencies - verify source queues",IFERROR(XLOOKUP(H1314,C2:C1586,J2:J1586),"Dependency not found")))</x:f>
        <x:v>Not Started</x:v>
      </x:c>
      <x:c r="J1314" s="6" t="str">
        <x:v>Not Started</x:v>
      </x:c>
      <x:c r="K1314" s="6" t="str">
        <x:v>Normal</x:v>
      </x:c>
      <x:c r="L1314" s="6" t="str"/>
      <x:c r="M1314" s="6" t="str"/>
      <x:c r="N1314" s="6" t="str"/>
      <x:c r="O1314" s="7" t="str"/>
      <x:c r="P1314" s="6" t="str">
        <x:v>Yes</x:v>
      </x:c>
      <x:c r="Q1314" s="7" t="str">
        <x:v>Requires stable service identity; preserve observed labor evidence.</x:v>
      </x:c>
    </x:row>
    <x:row r="1315">
      <x:c r="A1315" s="6" t="str">
        <x:v>SEQ-LAB-0043</x:v>
      </x:c>
      <x:c r="B1315" s="6" t="str">
        <x:v>Labor Reference</x:v>
      </x:c>
      <x:c r="C1315" s="6" t="str">
        <x:v>LABX-0043</x:v>
      </x:c>
      <x:c r="D1315" s="6" t="str">
        <x:v>SVC000043</x:v>
      </x:c>
      <x:c r="E1315" s="6" t="str"/>
      <x:c r="F1315" s="6" t="str">
        <x:v>Labor-reference review</x:v>
      </x:c>
      <x:c r="G1315" s="6" t="n">
        <x:v>6</x:v>
      </x:c>
      <x:c r="H1315" s="6" t="str">
        <x:v>SIDX-0043</x:v>
      </x:c>
      <x:c r="I1315" s="6" t="str">
        <x:f>IF(H1315="","No upstream dependency",IF(ISNUMBER(SEARCH(";",H1315)),"Multiple dependencies - verify source queues",IFERROR(XLOOKUP(H1315,C2:C1586,J2:J1586),"Dependency not found")))</x:f>
        <x:v>Not Started</x:v>
      </x:c>
      <x:c r="J1315" s="6" t="str">
        <x:v>Not Started</x:v>
      </x:c>
      <x:c r="K1315" s="6" t="str">
        <x:v>Normal</x:v>
      </x:c>
      <x:c r="L1315" s="6" t="str"/>
      <x:c r="M1315" s="6" t="str"/>
      <x:c r="N1315" s="6" t="str"/>
      <x:c r="O1315" s="7" t="str"/>
      <x:c r="P1315" s="6" t="str">
        <x:v>Yes</x:v>
      </x:c>
      <x:c r="Q1315" s="7" t="str">
        <x:v>Requires stable service identity; preserve observed labor evidence.</x:v>
      </x:c>
    </x:row>
    <x:row r="1316">
      <x:c r="A1316" s="6" t="str">
        <x:v>SEQ-LAB-0044</x:v>
      </x:c>
      <x:c r="B1316" s="6" t="str">
        <x:v>Labor Reference</x:v>
      </x:c>
      <x:c r="C1316" s="6" t="str">
        <x:v>LABX-0044</x:v>
      </x:c>
      <x:c r="D1316" s="6" t="str">
        <x:v>SVC000044</x:v>
      </x:c>
      <x:c r="E1316" s="6" t="str"/>
      <x:c r="F1316" s="6" t="str">
        <x:v>Labor-reference review</x:v>
      </x:c>
      <x:c r="G1316" s="6" t="n">
        <x:v>6</x:v>
      </x:c>
      <x:c r="H1316" s="6" t="str">
        <x:v>SIDX-0044</x:v>
      </x:c>
      <x:c r="I1316" s="6" t="str">
        <x:f>IF(H1316="","No upstream dependency",IF(ISNUMBER(SEARCH(";",H1316)),"Multiple dependencies - verify source queues",IFERROR(XLOOKUP(H1316,C2:C1586,J2:J1586),"Dependency not found")))</x:f>
        <x:v>Not Started</x:v>
      </x:c>
      <x:c r="J1316" s="6" t="str">
        <x:v>Not Started</x:v>
      </x:c>
      <x:c r="K1316" s="6" t="str">
        <x:v>Normal</x:v>
      </x:c>
      <x:c r="L1316" s="6" t="str"/>
      <x:c r="M1316" s="6" t="str"/>
      <x:c r="N1316" s="6" t="str"/>
      <x:c r="O1316" s="7" t="str"/>
      <x:c r="P1316" s="6" t="str">
        <x:v>Yes</x:v>
      </x:c>
      <x:c r="Q1316" s="7" t="str">
        <x:v>Requires stable service identity; preserve observed labor evidence.</x:v>
      </x:c>
    </x:row>
    <x:row r="1317">
      <x:c r="A1317" s="6" t="str">
        <x:v>SEQ-LAB-0045</x:v>
      </x:c>
      <x:c r="B1317" s="6" t="str">
        <x:v>Labor Reference</x:v>
      </x:c>
      <x:c r="C1317" s="6" t="str">
        <x:v>LABX-0045</x:v>
      </x:c>
      <x:c r="D1317" s="6" t="str">
        <x:v>SVC000045</x:v>
      </x:c>
      <x:c r="E1317" s="6" t="str"/>
      <x:c r="F1317" s="6" t="str">
        <x:v>Labor-reference review</x:v>
      </x:c>
      <x:c r="G1317" s="6" t="n">
        <x:v>6</x:v>
      </x:c>
      <x:c r="H1317" s="6" t="str">
        <x:v>SIDX-0045</x:v>
      </x:c>
      <x:c r="I1317" s="6" t="str">
        <x:f>IF(H1317="","No upstream dependency",IF(ISNUMBER(SEARCH(";",H1317)),"Multiple dependencies - verify source queues",IFERROR(XLOOKUP(H1317,C2:C1586,J2:J1586),"Dependency not found")))</x:f>
        <x:v>Not Started</x:v>
      </x:c>
      <x:c r="J1317" s="6" t="str">
        <x:v>Not Started</x:v>
      </x:c>
      <x:c r="K1317" s="6" t="str">
        <x:v>Normal</x:v>
      </x:c>
      <x:c r="L1317" s="6" t="str"/>
      <x:c r="M1317" s="6" t="str"/>
      <x:c r="N1317" s="6" t="str"/>
      <x:c r="O1317" s="7" t="str"/>
      <x:c r="P1317" s="6" t="str">
        <x:v>Yes</x:v>
      </x:c>
      <x:c r="Q1317" s="7" t="str">
        <x:v>Requires stable service identity; preserve observed labor evidence.</x:v>
      </x:c>
    </x:row>
    <x:row r="1318">
      <x:c r="A1318" s="6" t="str">
        <x:v>SEQ-LAB-0046</x:v>
      </x:c>
      <x:c r="B1318" s="6" t="str">
        <x:v>Labor Reference</x:v>
      </x:c>
      <x:c r="C1318" s="6" t="str">
        <x:v>LABX-0046</x:v>
      </x:c>
      <x:c r="D1318" s="6" t="str">
        <x:v>SVC000046</x:v>
      </x:c>
      <x:c r="E1318" s="6" t="str"/>
      <x:c r="F1318" s="6" t="str">
        <x:v>Labor-reference review</x:v>
      </x:c>
      <x:c r="G1318" s="6" t="n">
        <x:v>6</x:v>
      </x:c>
      <x:c r="H1318" s="6" t="str">
        <x:v>SIDX-0046</x:v>
      </x:c>
      <x:c r="I1318" s="6" t="str">
        <x:f>IF(H1318="","No upstream dependency",IF(ISNUMBER(SEARCH(";",H1318)),"Multiple dependencies - verify source queues",IFERROR(XLOOKUP(H1318,C2:C1586,J2:J1586),"Dependency not found")))</x:f>
        <x:v>Not Started</x:v>
      </x:c>
      <x:c r="J1318" s="6" t="str">
        <x:v>Not Started</x:v>
      </x:c>
      <x:c r="K1318" s="6" t="str">
        <x:v>Normal</x:v>
      </x:c>
      <x:c r="L1318" s="6" t="str"/>
      <x:c r="M1318" s="6" t="str"/>
      <x:c r="N1318" s="6" t="str"/>
      <x:c r="O1318" s="7" t="str"/>
      <x:c r="P1318" s="6" t="str">
        <x:v>Yes</x:v>
      </x:c>
      <x:c r="Q1318" s="7" t="str">
        <x:v>Requires stable service identity; preserve observed labor evidence.</x:v>
      </x:c>
    </x:row>
    <x:row r="1319">
      <x:c r="A1319" s="6" t="str">
        <x:v>SEQ-LAB-0047</x:v>
      </x:c>
      <x:c r="B1319" s="6" t="str">
        <x:v>Labor Reference</x:v>
      </x:c>
      <x:c r="C1319" s="6" t="str">
        <x:v>LABX-0047</x:v>
      </x:c>
      <x:c r="D1319" s="6" t="str">
        <x:v>SVC000047</x:v>
      </x:c>
      <x:c r="E1319" s="6" t="str"/>
      <x:c r="F1319" s="6" t="str">
        <x:v>Labor-reference review</x:v>
      </x:c>
      <x:c r="G1319" s="6" t="n">
        <x:v>6</x:v>
      </x:c>
      <x:c r="H1319" s="6" t="str">
        <x:v>SIDX-0047</x:v>
      </x:c>
      <x:c r="I1319" s="6" t="str">
        <x:f>IF(H1319="","No upstream dependency",IF(ISNUMBER(SEARCH(";",H1319)),"Multiple dependencies - verify source queues",IFERROR(XLOOKUP(H1319,C2:C1586,J2:J1586),"Dependency not found")))</x:f>
        <x:v>Not Started</x:v>
      </x:c>
      <x:c r="J1319" s="6" t="str">
        <x:v>Not Started</x:v>
      </x:c>
      <x:c r="K1319" s="6" t="str">
        <x:v>Normal</x:v>
      </x:c>
      <x:c r="L1319" s="6" t="str"/>
      <x:c r="M1319" s="6" t="str"/>
      <x:c r="N1319" s="6" t="str"/>
      <x:c r="O1319" s="7" t="str"/>
      <x:c r="P1319" s="6" t="str">
        <x:v>Yes</x:v>
      </x:c>
      <x:c r="Q1319" s="7" t="str">
        <x:v>Requires stable service identity; preserve observed labor evidence.</x:v>
      </x:c>
    </x:row>
    <x:row r="1320">
      <x:c r="A1320" s="6" t="str">
        <x:v>SEQ-LAB-0048</x:v>
      </x:c>
      <x:c r="B1320" s="6" t="str">
        <x:v>Labor Reference</x:v>
      </x:c>
      <x:c r="C1320" s="6" t="str">
        <x:v>LABX-0048</x:v>
      </x:c>
      <x:c r="D1320" s="6" t="str">
        <x:v>SVC000048</x:v>
      </x:c>
      <x:c r="E1320" s="6" t="str"/>
      <x:c r="F1320" s="6" t="str">
        <x:v>Labor-reference review</x:v>
      </x:c>
      <x:c r="G1320" s="6" t="n">
        <x:v>6</x:v>
      </x:c>
      <x:c r="H1320" s="6" t="str">
        <x:v>SIDX-0048</x:v>
      </x:c>
      <x:c r="I1320" s="6" t="str">
        <x:f>IF(H1320="","No upstream dependency",IF(ISNUMBER(SEARCH(";",H1320)),"Multiple dependencies - verify source queues",IFERROR(XLOOKUP(H1320,C2:C1586,J2:J1586),"Dependency not found")))</x:f>
        <x:v>Not Started</x:v>
      </x:c>
      <x:c r="J1320" s="6" t="str">
        <x:v>Not Started</x:v>
      </x:c>
      <x:c r="K1320" s="6" t="str">
        <x:v>Normal</x:v>
      </x:c>
      <x:c r="L1320" s="6" t="str"/>
      <x:c r="M1320" s="6" t="str"/>
      <x:c r="N1320" s="6" t="str"/>
      <x:c r="O1320" s="7" t="str"/>
      <x:c r="P1320" s="6" t="str">
        <x:v>Yes</x:v>
      </x:c>
      <x:c r="Q1320" s="7" t="str">
        <x:v>Requires stable service identity; preserve observed labor evidence.</x:v>
      </x:c>
    </x:row>
    <x:row r="1321">
      <x:c r="A1321" s="6" t="str">
        <x:v>SEQ-LAB-0049</x:v>
      </x:c>
      <x:c r="B1321" s="6" t="str">
        <x:v>Labor Reference</x:v>
      </x:c>
      <x:c r="C1321" s="6" t="str">
        <x:v>LABX-0049</x:v>
      </x:c>
      <x:c r="D1321" s="6" t="str">
        <x:v>SVC000049</x:v>
      </x:c>
      <x:c r="E1321" s="6" t="str"/>
      <x:c r="F1321" s="6" t="str">
        <x:v>Labor-reference review</x:v>
      </x:c>
      <x:c r="G1321" s="6" t="n">
        <x:v>6</x:v>
      </x:c>
      <x:c r="H1321" s="6" t="str">
        <x:v>SIDX-0049</x:v>
      </x:c>
      <x:c r="I1321" s="6" t="str">
        <x:f>IF(H1321="","No upstream dependency",IF(ISNUMBER(SEARCH(";",H1321)),"Multiple dependencies - verify source queues",IFERROR(XLOOKUP(H1321,C2:C1586,J2:J1586),"Dependency not found")))</x:f>
        <x:v>Not Started</x:v>
      </x:c>
      <x:c r="J1321" s="6" t="str">
        <x:v>Not Started</x:v>
      </x:c>
      <x:c r="K1321" s="6" t="str">
        <x:v>Normal</x:v>
      </x:c>
      <x:c r="L1321" s="6" t="str"/>
      <x:c r="M1321" s="6" t="str"/>
      <x:c r="N1321" s="6" t="str"/>
      <x:c r="O1321" s="7" t="str"/>
      <x:c r="P1321" s="6" t="str">
        <x:v>Yes</x:v>
      </x:c>
      <x:c r="Q1321" s="7" t="str">
        <x:v>Requires stable service identity; preserve observed labor evidence.</x:v>
      </x:c>
    </x:row>
    <x:row r="1322">
      <x:c r="A1322" s="6" t="str">
        <x:v>SEQ-LAB-0050</x:v>
      </x:c>
      <x:c r="B1322" s="6" t="str">
        <x:v>Labor Reference</x:v>
      </x:c>
      <x:c r="C1322" s="6" t="str">
        <x:v>LABX-0050</x:v>
      </x:c>
      <x:c r="D1322" s="6" t="str">
        <x:v>SVC000050</x:v>
      </x:c>
      <x:c r="E1322" s="6" t="str"/>
      <x:c r="F1322" s="6" t="str">
        <x:v>Labor-reference review</x:v>
      </x:c>
      <x:c r="G1322" s="6" t="n">
        <x:v>6</x:v>
      </x:c>
      <x:c r="H1322" s="6" t="str">
        <x:v>SIDX-0050</x:v>
      </x:c>
      <x:c r="I1322" s="6" t="str">
        <x:f>IF(H1322="","No upstream dependency",IF(ISNUMBER(SEARCH(";",H1322)),"Multiple dependencies - verify source queues",IFERROR(XLOOKUP(H1322,C2:C1586,J2:J1586),"Dependency not found")))</x:f>
        <x:v>Not Started</x:v>
      </x:c>
      <x:c r="J1322" s="6" t="str">
        <x:v>Not Started</x:v>
      </x:c>
      <x:c r="K1322" s="6" t="str">
        <x:v>Normal</x:v>
      </x:c>
      <x:c r="L1322" s="6" t="str"/>
      <x:c r="M1322" s="6" t="str"/>
      <x:c r="N1322" s="6" t="str"/>
      <x:c r="O1322" s="7" t="str"/>
      <x:c r="P1322" s="6" t="str">
        <x:v>Yes</x:v>
      </x:c>
      <x:c r="Q1322" s="7" t="str">
        <x:v>Requires stable service identity; preserve observed labor evidence.</x:v>
      </x:c>
    </x:row>
    <x:row r="1323">
      <x:c r="A1323" s="6" t="str">
        <x:v>SEQ-LAB-0051</x:v>
      </x:c>
      <x:c r="B1323" s="6" t="str">
        <x:v>Labor Reference</x:v>
      </x:c>
      <x:c r="C1323" s="6" t="str">
        <x:v>LABX-0051</x:v>
      </x:c>
      <x:c r="D1323" s="6" t="str">
        <x:v>SVC000051</x:v>
      </x:c>
      <x:c r="E1323" s="6" t="str"/>
      <x:c r="F1323" s="6" t="str">
        <x:v>Labor-reference review</x:v>
      </x:c>
      <x:c r="G1323" s="6" t="n">
        <x:v>6</x:v>
      </x:c>
      <x:c r="H1323" s="6" t="str">
        <x:v>SIDX-0051</x:v>
      </x:c>
      <x:c r="I1323" s="6" t="str">
        <x:f>IF(H1323="","No upstream dependency",IF(ISNUMBER(SEARCH(";",H1323)),"Multiple dependencies - verify source queues",IFERROR(XLOOKUP(H1323,C2:C1586,J2:J1586),"Dependency not found")))</x:f>
        <x:v>Not Started</x:v>
      </x:c>
      <x:c r="J1323" s="6" t="str">
        <x:v>Not Started</x:v>
      </x:c>
      <x:c r="K1323" s="6" t="str">
        <x:v>Normal</x:v>
      </x:c>
      <x:c r="L1323" s="6" t="str"/>
      <x:c r="M1323" s="6" t="str"/>
      <x:c r="N1323" s="6" t="str"/>
      <x:c r="O1323" s="7" t="str"/>
      <x:c r="P1323" s="6" t="str">
        <x:v>Yes</x:v>
      </x:c>
      <x:c r="Q1323" s="7" t="str">
        <x:v>Requires stable service identity; preserve observed labor evidence.</x:v>
      </x:c>
    </x:row>
    <x:row r="1324">
      <x:c r="A1324" s="6" t="str">
        <x:v>SEQ-LAB-0052</x:v>
      </x:c>
      <x:c r="B1324" s="6" t="str">
        <x:v>Labor Reference</x:v>
      </x:c>
      <x:c r="C1324" s="6" t="str">
        <x:v>LABX-0052</x:v>
      </x:c>
      <x:c r="D1324" s="6" t="str">
        <x:v>SVC000052</x:v>
      </x:c>
      <x:c r="E1324" s="6" t="str"/>
      <x:c r="F1324" s="6" t="str">
        <x:v>Labor-reference review</x:v>
      </x:c>
      <x:c r="G1324" s="6" t="n">
        <x:v>6</x:v>
      </x:c>
      <x:c r="H1324" s="6" t="str">
        <x:v>SIDX-0052</x:v>
      </x:c>
      <x:c r="I1324" s="6" t="str">
        <x:f>IF(H1324="","No upstream dependency",IF(ISNUMBER(SEARCH(";",H1324)),"Multiple dependencies - verify source queues",IFERROR(XLOOKUP(H1324,C2:C1586,J2:J1586),"Dependency not found")))</x:f>
        <x:v>Not Started</x:v>
      </x:c>
      <x:c r="J1324" s="6" t="str">
        <x:v>Not Started</x:v>
      </x:c>
      <x:c r="K1324" s="6" t="str">
        <x:v>Normal</x:v>
      </x:c>
      <x:c r="L1324" s="6" t="str"/>
      <x:c r="M1324" s="6" t="str"/>
      <x:c r="N1324" s="6" t="str"/>
      <x:c r="O1324" s="7" t="str"/>
      <x:c r="P1324" s="6" t="str">
        <x:v>Yes</x:v>
      </x:c>
      <x:c r="Q1324" s="7" t="str">
        <x:v>Requires stable service identity; preserve observed labor evidence.</x:v>
      </x:c>
    </x:row>
    <x:row r="1325">
      <x:c r="A1325" s="6" t="str">
        <x:v>SEQ-LAB-0053</x:v>
      </x:c>
      <x:c r="B1325" s="6" t="str">
        <x:v>Labor Reference</x:v>
      </x:c>
      <x:c r="C1325" s="6" t="str">
        <x:v>LABX-0053</x:v>
      </x:c>
      <x:c r="D1325" s="6" t="str">
        <x:v>SVC000053</x:v>
      </x:c>
      <x:c r="E1325" s="6" t="str"/>
      <x:c r="F1325" s="6" t="str">
        <x:v>Labor-reference review</x:v>
      </x:c>
      <x:c r="G1325" s="6" t="n">
        <x:v>6</x:v>
      </x:c>
      <x:c r="H1325" s="6" t="str">
        <x:v>SIDX-0053</x:v>
      </x:c>
      <x:c r="I1325" s="6" t="str">
        <x:f>IF(H1325="","No upstream dependency",IF(ISNUMBER(SEARCH(";",H1325)),"Multiple dependencies - verify source queues",IFERROR(XLOOKUP(H1325,C2:C1586,J2:J1586),"Dependency not found")))</x:f>
        <x:v>Not Started</x:v>
      </x:c>
      <x:c r="J1325" s="6" t="str">
        <x:v>Not Started</x:v>
      </x:c>
      <x:c r="K1325" s="6" t="str">
        <x:v>Normal</x:v>
      </x:c>
      <x:c r="L1325" s="6" t="str"/>
      <x:c r="M1325" s="6" t="str"/>
      <x:c r="N1325" s="6" t="str"/>
      <x:c r="O1325" s="7" t="str"/>
      <x:c r="P1325" s="6" t="str">
        <x:v>Yes</x:v>
      </x:c>
      <x:c r="Q1325" s="7" t="str">
        <x:v>Requires stable service identity; preserve observed labor evidence.</x:v>
      </x:c>
    </x:row>
    <x:row r="1326">
      <x:c r="A1326" s="6" t="str">
        <x:v>SEQ-LAB-0054</x:v>
      </x:c>
      <x:c r="B1326" s="6" t="str">
        <x:v>Labor Reference</x:v>
      </x:c>
      <x:c r="C1326" s="6" t="str">
        <x:v>LABX-0054</x:v>
      </x:c>
      <x:c r="D1326" s="6" t="str">
        <x:v>SVC000054</x:v>
      </x:c>
      <x:c r="E1326" s="6" t="str"/>
      <x:c r="F1326" s="6" t="str">
        <x:v>Labor-reference review</x:v>
      </x:c>
      <x:c r="G1326" s="6" t="n">
        <x:v>6</x:v>
      </x:c>
      <x:c r="H1326" s="6" t="str">
        <x:v>SIDX-0054</x:v>
      </x:c>
      <x:c r="I1326" s="6" t="str">
        <x:f>IF(H1326="","No upstream dependency",IF(ISNUMBER(SEARCH(";",H1326)),"Multiple dependencies - verify source queues",IFERROR(XLOOKUP(H1326,C2:C1586,J2:J1586),"Dependency not found")))</x:f>
        <x:v>Not Started</x:v>
      </x:c>
      <x:c r="J1326" s="6" t="str">
        <x:v>Not Started</x:v>
      </x:c>
      <x:c r="K1326" s="6" t="str">
        <x:v>Normal</x:v>
      </x:c>
      <x:c r="L1326" s="6" t="str"/>
      <x:c r="M1326" s="6" t="str"/>
      <x:c r="N1326" s="6" t="str"/>
      <x:c r="O1326" s="7" t="str"/>
      <x:c r="P1326" s="6" t="str">
        <x:v>Yes</x:v>
      </x:c>
      <x:c r="Q1326" s="7" t="str">
        <x:v>Requires stable service identity; preserve observed labor evidence.</x:v>
      </x:c>
    </x:row>
    <x:row r="1327">
      <x:c r="A1327" s="6" t="str">
        <x:v>SEQ-LAB-0055</x:v>
      </x:c>
      <x:c r="B1327" s="6" t="str">
        <x:v>Labor Reference</x:v>
      </x:c>
      <x:c r="C1327" s="6" t="str">
        <x:v>LABX-0055</x:v>
      </x:c>
      <x:c r="D1327" s="6" t="str">
        <x:v>SVC000055</x:v>
      </x:c>
      <x:c r="E1327" s="6" t="str"/>
      <x:c r="F1327" s="6" t="str">
        <x:v>Labor-reference review</x:v>
      </x:c>
      <x:c r="G1327" s="6" t="n">
        <x:v>6</x:v>
      </x:c>
      <x:c r="H1327" s="6" t="str">
        <x:v>SIDX-0055</x:v>
      </x:c>
      <x:c r="I1327" s="6" t="str">
        <x:f>IF(H1327="","No upstream dependency",IF(ISNUMBER(SEARCH(";",H1327)),"Multiple dependencies - verify source queues",IFERROR(XLOOKUP(H1327,C2:C1586,J2:J1586),"Dependency not found")))</x:f>
        <x:v>Not Started</x:v>
      </x:c>
      <x:c r="J1327" s="6" t="str">
        <x:v>Not Started</x:v>
      </x:c>
      <x:c r="K1327" s="6" t="str">
        <x:v>Normal</x:v>
      </x:c>
      <x:c r="L1327" s="6" t="str"/>
      <x:c r="M1327" s="6" t="str"/>
      <x:c r="N1327" s="6" t="str"/>
      <x:c r="O1327" s="7" t="str"/>
      <x:c r="P1327" s="6" t="str">
        <x:v>Yes</x:v>
      </x:c>
      <x:c r="Q1327" s="7" t="str">
        <x:v>Requires stable service identity; preserve observed labor evidence.</x:v>
      </x:c>
    </x:row>
    <x:row r="1328">
      <x:c r="A1328" s="6" t="str">
        <x:v>SEQ-LAB-0056</x:v>
      </x:c>
      <x:c r="B1328" s="6" t="str">
        <x:v>Labor Reference</x:v>
      </x:c>
      <x:c r="C1328" s="6" t="str">
        <x:v>LABX-0056</x:v>
      </x:c>
      <x:c r="D1328" s="6" t="str">
        <x:v>SVC000056</x:v>
      </x:c>
      <x:c r="E1328" s="6" t="str"/>
      <x:c r="F1328" s="6" t="str">
        <x:v>Labor-reference review</x:v>
      </x:c>
      <x:c r="G1328" s="6" t="n">
        <x:v>6</x:v>
      </x:c>
      <x:c r="H1328" s="6" t="str">
        <x:v>SIDX-0056</x:v>
      </x:c>
      <x:c r="I1328" s="6" t="str">
        <x:f>IF(H1328="","No upstream dependency",IF(ISNUMBER(SEARCH(";",H1328)),"Multiple dependencies - verify source queues",IFERROR(XLOOKUP(H1328,C2:C1586,J2:J1586),"Dependency not found")))</x:f>
        <x:v>Not Started</x:v>
      </x:c>
      <x:c r="J1328" s="6" t="str">
        <x:v>Not Started</x:v>
      </x:c>
      <x:c r="K1328" s="6" t="str">
        <x:v>Normal</x:v>
      </x:c>
      <x:c r="L1328" s="6" t="str"/>
      <x:c r="M1328" s="6" t="str"/>
      <x:c r="N1328" s="6" t="str"/>
      <x:c r="O1328" s="7" t="str"/>
      <x:c r="P1328" s="6" t="str">
        <x:v>Yes</x:v>
      </x:c>
      <x:c r="Q1328" s="7" t="str">
        <x:v>Requires stable service identity; preserve observed labor evidence.</x:v>
      </x:c>
    </x:row>
    <x:row r="1329">
      <x:c r="A1329" s="6" t="str">
        <x:v>SEQ-LAB-0057</x:v>
      </x:c>
      <x:c r="B1329" s="6" t="str">
        <x:v>Labor Reference</x:v>
      </x:c>
      <x:c r="C1329" s="6" t="str">
        <x:v>LABX-0057</x:v>
      </x:c>
      <x:c r="D1329" s="6" t="str">
        <x:v>SVC000057</x:v>
      </x:c>
      <x:c r="E1329" s="6" t="str"/>
      <x:c r="F1329" s="6" t="str">
        <x:v>Labor-reference review</x:v>
      </x:c>
      <x:c r="G1329" s="6" t="n">
        <x:v>6</x:v>
      </x:c>
      <x:c r="H1329" s="6" t="str">
        <x:v>SIDX-0057</x:v>
      </x:c>
      <x:c r="I1329" s="6" t="str">
        <x:f>IF(H1329="","No upstream dependency",IF(ISNUMBER(SEARCH(";",H1329)),"Multiple dependencies - verify source queues",IFERROR(XLOOKUP(H1329,C2:C1586,J2:J1586),"Dependency not found")))</x:f>
        <x:v>Not Started</x:v>
      </x:c>
      <x:c r="J1329" s="6" t="str">
        <x:v>Not Started</x:v>
      </x:c>
      <x:c r="K1329" s="6" t="str">
        <x:v>Normal</x:v>
      </x:c>
      <x:c r="L1329" s="6" t="str"/>
      <x:c r="M1329" s="6" t="str"/>
      <x:c r="N1329" s="6" t="str"/>
      <x:c r="O1329" s="7" t="str"/>
      <x:c r="P1329" s="6" t="str">
        <x:v>Yes</x:v>
      </x:c>
      <x:c r="Q1329" s="7" t="str">
        <x:v>Requires stable service identity; preserve observed labor evidence.</x:v>
      </x:c>
    </x:row>
    <x:row r="1330">
      <x:c r="A1330" s="6" t="str">
        <x:v>SEQ-LAB-0058</x:v>
      </x:c>
      <x:c r="B1330" s="6" t="str">
        <x:v>Labor Reference</x:v>
      </x:c>
      <x:c r="C1330" s="6" t="str">
        <x:v>LABX-0058</x:v>
      </x:c>
      <x:c r="D1330" s="6" t="str">
        <x:v>SVC000058</x:v>
      </x:c>
      <x:c r="E1330" s="6" t="str"/>
      <x:c r="F1330" s="6" t="str">
        <x:v>Labor-reference review</x:v>
      </x:c>
      <x:c r="G1330" s="6" t="n">
        <x:v>6</x:v>
      </x:c>
      <x:c r="H1330" s="6" t="str">
        <x:v>SIDX-0058</x:v>
      </x:c>
      <x:c r="I1330" s="6" t="str">
        <x:f>IF(H1330="","No upstream dependency",IF(ISNUMBER(SEARCH(";",H1330)),"Multiple dependencies - verify source queues",IFERROR(XLOOKUP(H1330,C2:C1586,J2:J1586),"Dependency not found")))</x:f>
        <x:v>Not Started</x:v>
      </x:c>
      <x:c r="J1330" s="6" t="str">
        <x:v>Not Started</x:v>
      </x:c>
      <x:c r="K1330" s="6" t="str">
        <x:v>Normal</x:v>
      </x:c>
      <x:c r="L1330" s="6" t="str"/>
      <x:c r="M1330" s="6" t="str"/>
      <x:c r="N1330" s="6" t="str"/>
      <x:c r="O1330" s="7" t="str"/>
      <x:c r="P1330" s="6" t="str">
        <x:v>Yes</x:v>
      </x:c>
      <x:c r="Q1330" s="7" t="str">
        <x:v>Requires stable service identity; preserve observed labor evidence.</x:v>
      </x:c>
    </x:row>
    <x:row r="1331">
      <x:c r="A1331" s="6" t="str">
        <x:v>SEQ-LAB-0059</x:v>
      </x:c>
      <x:c r="B1331" s="6" t="str">
        <x:v>Labor Reference</x:v>
      </x:c>
      <x:c r="C1331" s="6" t="str">
        <x:v>LABX-0059</x:v>
      </x:c>
      <x:c r="D1331" s="6" t="str">
        <x:v>SVC000059</x:v>
      </x:c>
      <x:c r="E1331" s="6" t="str"/>
      <x:c r="F1331" s="6" t="str">
        <x:v>Labor-reference review</x:v>
      </x:c>
      <x:c r="G1331" s="6" t="n">
        <x:v>6</x:v>
      </x:c>
      <x:c r="H1331" s="6" t="str">
        <x:v>SIDX-0059</x:v>
      </x:c>
      <x:c r="I1331" s="6" t="str">
        <x:f>IF(H1331="","No upstream dependency",IF(ISNUMBER(SEARCH(";",H1331)),"Multiple dependencies - verify source queues",IFERROR(XLOOKUP(H1331,C2:C1586,J2:J1586),"Dependency not found")))</x:f>
        <x:v>Not Started</x:v>
      </x:c>
      <x:c r="J1331" s="6" t="str">
        <x:v>Not Started</x:v>
      </x:c>
      <x:c r="K1331" s="6" t="str">
        <x:v>Normal</x:v>
      </x:c>
      <x:c r="L1331" s="6" t="str"/>
      <x:c r="M1331" s="6" t="str"/>
      <x:c r="N1331" s="6" t="str"/>
      <x:c r="O1331" s="7" t="str"/>
      <x:c r="P1331" s="6" t="str">
        <x:v>Yes</x:v>
      </x:c>
      <x:c r="Q1331" s="7" t="str">
        <x:v>Requires stable service identity; preserve observed labor evidence.</x:v>
      </x:c>
    </x:row>
    <x:row r="1332">
      <x:c r="A1332" s="6" t="str">
        <x:v>SEQ-LAB-0060</x:v>
      </x:c>
      <x:c r="B1332" s="6" t="str">
        <x:v>Labor Reference</x:v>
      </x:c>
      <x:c r="C1332" s="6" t="str">
        <x:v>LABX-0060</x:v>
      </x:c>
      <x:c r="D1332" s="6" t="str">
        <x:v>SVC000060</x:v>
      </x:c>
      <x:c r="E1332" s="6" t="str"/>
      <x:c r="F1332" s="6" t="str">
        <x:v>Labor-reference review</x:v>
      </x:c>
      <x:c r="G1332" s="6" t="n">
        <x:v>6</x:v>
      </x:c>
      <x:c r="H1332" s="6" t="str">
        <x:v>SIDX-0060</x:v>
      </x:c>
      <x:c r="I1332" s="6" t="str">
        <x:f>IF(H1332="","No upstream dependency",IF(ISNUMBER(SEARCH(";",H1332)),"Multiple dependencies - verify source queues",IFERROR(XLOOKUP(H1332,C2:C1586,J2:J1586),"Dependency not found")))</x:f>
        <x:v>Not Started</x:v>
      </x:c>
      <x:c r="J1332" s="6" t="str">
        <x:v>Not Started</x:v>
      </x:c>
      <x:c r="K1332" s="6" t="str">
        <x:v>Normal</x:v>
      </x:c>
      <x:c r="L1332" s="6" t="str"/>
      <x:c r="M1332" s="6" t="str"/>
      <x:c r="N1332" s="6" t="str"/>
      <x:c r="O1332" s="7" t="str"/>
      <x:c r="P1332" s="6" t="str">
        <x:v>Yes</x:v>
      </x:c>
      <x:c r="Q1332" s="7" t="str">
        <x:v>Requires stable service identity; preserve observed labor evidence.</x:v>
      </x:c>
    </x:row>
    <x:row r="1333">
      <x:c r="A1333" s="6" t="str">
        <x:v>SEQ-LAB-0061</x:v>
      </x:c>
      <x:c r="B1333" s="6" t="str">
        <x:v>Labor Reference</x:v>
      </x:c>
      <x:c r="C1333" s="6" t="str">
        <x:v>LABX-0061</x:v>
      </x:c>
      <x:c r="D1333" s="6" t="str">
        <x:v>SVC000061</x:v>
      </x:c>
      <x:c r="E1333" s="6" t="str"/>
      <x:c r="F1333" s="6" t="str">
        <x:v>Labor-reference review</x:v>
      </x:c>
      <x:c r="G1333" s="6" t="n">
        <x:v>6</x:v>
      </x:c>
      <x:c r="H1333" s="6" t="str">
        <x:v>SIDX-0061</x:v>
      </x:c>
      <x:c r="I1333" s="6" t="str">
        <x:f>IF(H1333="","No upstream dependency",IF(ISNUMBER(SEARCH(";",H1333)),"Multiple dependencies - verify source queues",IFERROR(XLOOKUP(H1333,C2:C1586,J2:J1586),"Dependency not found")))</x:f>
        <x:v>Not Started</x:v>
      </x:c>
      <x:c r="J1333" s="6" t="str">
        <x:v>Not Started</x:v>
      </x:c>
      <x:c r="K1333" s="6" t="str">
        <x:v>Normal</x:v>
      </x:c>
      <x:c r="L1333" s="6" t="str"/>
      <x:c r="M1333" s="6" t="str"/>
      <x:c r="N1333" s="6" t="str"/>
      <x:c r="O1333" s="7" t="str"/>
      <x:c r="P1333" s="6" t="str">
        <x:v>Yes</x:v>
      </x:c>
      <x:c r="Q1333" s="7" t="str">
        <x:v>Requires stable service identity; preserve observed labor evidence.</x:v>
      </x:c>
    </x:row>
    <x:row r="1334">
      <x:c r="A1334" s="6" t="str">
        <x:v>SEQ-LAB-0062</x:v>
      </x:c>
      <x:c r="B1334" s="6" t="str">
        <x:v>Labor Reference</x:v>
      </x:c>
      <x:c r="C1334" s="6" t="str">
        <x:v>LABX-0062</x:v>
      </x:c>
      <x:c r="D1334" s="6" t="str">
        <x:v>SVC000062</x:v>
      </x:c>
      <x:c r="E1334" s="6" t="str"/>
      <x:c r="F1334" s="6" t="str">
        <x:v>Labor-reference review</x:v>
      </x:c>
      <x:c r="G1334" s="6" t="n">
        <x:v>6</x:v>
      </x:c>
      <x:c r="H1334" s="6" t="str">
        <x:v>SIDX-0062</x:v>
      </x:c>
      <x:c r="I1334" s="6" t="str">
        <x:f>IF(H1334="","No upstream dependency",IF(ISNUMBER(SEARCH(";",H1334)),"Multiple dependencies - verify source queues",IFERROR(XLOOKUP(H1334,C2:C1586,J2:J1586),"Dependency not found")))</x:f>
        <x:v>Not Started</x:v>
      </x:c>
      <x:c r="J1334" s="6" t="str">
        <x:v>Not Started</x:v>
      </x:c>
      <x:c r="K1334" s="6" t="str">
        <x:v>Normal</x:v>
      </x:c>
      <x:c r="L1334" s="6" t="str"/>
      <x:c r="M1334" s="6" t="str"/>
      <x:c r="N1334" s="6" t="str"/>
      <x:c r="O1334" s="7" t="str"/>
      <x:c r="P1334" s="6" t="str">
        <x:v>Yes</x:v>
      </x:c>
      <x:c r="Q1334" s="7" t="str">
        <x:v>Requires stable service identity; preserve observed labor evidence.</x:v>
      </x:c>
    </x:row>
    <x:row r="1335">
      <x:c r="A1335" s="6" t="str">
        <x:v>SEQ-LAB-0063</x:v>
      </x:c>
      <x:c r="B1335" s="6" t="str">
        <x:v>Labor Reference</x:v>
      </x:c>
      <x:c r="C1335" s="6" t="str">
        <x:v>LABX-0063</x:v>
      </x:c>
      <x:c r="D1335" s="6" t="str">
        <x:v>SVC000063</x:v>
      </x:c>
      <x:c r="E1335" s="6" t="str"/>
      <x:c r="F1335" s="6" t="str">
        <x:v>Labor-reference review</x:v>
      </x:c>
      <x:c r="G1335" s="6" t="n">
        <x:v>6</x:v>
      </x:c>
      <x:c r="H1335" s="6" t="str">
        <x:v>SIDX-0063</x:v>
      </x:c>
      <x:c r="I1335" s="6" t="str">
        <x:f>IF(H1335="","No upstream dependency",IF(ISNUMBER(SEARCH(";",H1335)),"Multiple dependencies - verify source queues",IFERROR(XLOOKUP(H1335,C2:C1586,J2:J1586),"Dependency not found")))</x:f>
        <x:v>Not Started</x:v>
      </x:c>
      <x:c r="J1335" s="6" t="str">
        <x:v>Not Started</x:v>
      </x:c>
      <x:c r="K1335" s="6" t="str">
        <x:v>Normal</x:v>
      </x:c>
      <x:c r="L1335" s="6" t="str"/>
      <x:c r="M1335" s="6" t="str"/>
      <x:c r="N1335" s="6" t="str"/>
      <x:c r="O1335" s="7" t="str"/>
      <x:c r="P1335" s="6" t="str">
        <x:v>Yes</x:v>
      </x:c>
      <x:c r="Q1335" s="7" t="str">
        <x:v>Requires stable service identity; preserve observed labor evidence.</x:v>
      </x:c>
    </x:row>
    <x:row r="1336">
      <x:c r="A1336" s="6" t="str">
        <x:v>SEQ-LAB-0064</x:v>
      </x:c>
      <x:c r="B1336" s="6" t="str">
        <x:v>Labor Reference</x:v>
      </x:c>
      <x:c r="C1336" s="6" t="str">
        <x:v>LABX-0064</x:v>
      </x:c>
      <x:c r="D1336" s="6" t="str">
        <x:v>SVC000064</x:v>
      </x:c>
      <x:c r="E1336" s="6" t="str"/>
      <x:c r="F1336" s="6" t="str">
        <x:v>Labor-reference review</x:v>
      </x:c>
      <x:c r="G1336" s="6" t="n">
        <x:v>6</x:v>
      </x:c>
      <x:c r="H1336" s="6" t="str">
        <x:v>SIDX-0064</x:v>
      </x:c>
      <x:c r="I1336" s="6" t="str">
        <x:f>IF(H1336="","No upstream dependency",IF(ISNUMBER(SEARCH(";",H1336)),"Multiple dependencies - verify source queues",IFERROR(XLOOKUP(H1336,C2:C1586,J2:J1586),"Dependency not found")))</x:f>
        <x:v>Not Started</x:v>
      </x:c>
      <x:c r="J1336" s="6" t="str">
        <x:v>Not Started</x:v>
      </x:c>
      <x:c r="K1336" s="6" t="str">
        <x:v>Normal</x:v>
      </x:c>
      <x:c r="L1336" s="6" t="str"/>
      <x:c r="M1336" s="6" t="str"/>
      <x:c r="N1336" s="6" t="str"/>
      <x:c r="O1336" s="7" t="str"/>
      <x:c r="P1336" s="6" t="str">
        <x:v>Yes</x:v>
      </x:c>
      <x:c r="Q1336" s="7" t="str">
        <x:v>Requires stable service identity; preserve observed labor evidence.</x:v>
      </x:c>
    </x:row>
    <x:row r="1337">
      <x:c r="A1337" s="6" t="str">
        <x:v>SEQ-LAB-0065</x:v>
      </x:c>
      <x:c r="B1337" s="6" t="str">
        <x:v>Labor Reference</x:v>
      </x:c>
      <x:c r="C1337" s="6" t="str">
        <x:v>LABX-0065</x:v>
      </x:c>
      <x:c r="D1337" s="6" t="str">
        <x:v>SVC000065</x:v>
      </x:c>
      <x:c r="E1337" s="6" t="str"/>
      <x:c r="F1337" s="6" t="str">
        <x:v>Labor-reference review</x:v>
      </x:c>
      <x:c r="G1337" s="6" t="n">
        <x:v>6</x:v>
      </x:c>
      <x:c r="H1337" s="6" t="str">
        <x:v>SIDX-0065</x:v>
      </x:c>
      <x:c r="I1337" s="6" t="str">
        <x:f>IF(H1337="","No upstream dependency",IF(ISNUMBER(SEARCH(";",H1337)),"Multiple dependencies - verify source queues",IFERROR(XLOOKUP(H1337,C2:C1586,J2:J1586),"Dependency not found")))</x:f>
        <x:v>Not Started</x:v>
      </x:c>
      <x:c r="J1337" s="6" t="str">
        <x:v>Not Started</x:v>
      </x:c>
      <x:c r="K1337" s="6" t="str">
        <x:v>Normal</x:v>
      </x:c>
      <x:c r="L1337" s="6" t="str"/>
      <x:c r="M1337" s="6" t="str"/>
      <x:c r="N1337" s="6" t="str"/>
      <x:c r="O1337" s="7" t="str"/>
      <x:c r="P1337" s="6" t="str">
        <x:v>Yes</x:v>
      </x:c>
      <x:c r="Q1337" s="7" t="str">
        <x:v>Requires stable service identity; preserve observed labor evidence.</x:v>
      </x:c>
    </x:row>
    <x:row r="1338">
      <x:c r="A1338" s="6" t="str">
        <x:v>SEQ-LAB-0066</x:v>
      </x:c>
      <x:c r="B1338" s="6" t="str">
        <x:v>Labor Reference</x:v>
      </x:c>
      <x:c r="C1338" s="6" t="str">
        <x:v>LABX-0066</x:v>
      </x:c>
      <x:c r="D1338" s="6" t="str">
        <x:v>SVC000066</x:v>
      </x:c>
      <x:c r="E1338" s="6" t="str"/>
      <x:c r="F1338" s="6" t="str">
        <x:v>Labor-reference review</x:v>
      </x:c>
      <x:c r="G1338" s="6" t="n">
        <x:v>6</x:v>
      </x:c>
      <x:c r="H1338" s="6" t="str">
        <x:v>SIDX-0066</x:v>
      </x:c>
      <x:c r="I1338" s="6" t="str">
        <x:f>IF(H1338="","No upstream dependency",IF(ISNUMBER(SEARCH(";",H1338)),"Multiple dependencies - verify source queues",IFERROR(XLOOKUP(H1338,C2:C1586,J2:J1586),"Dependency not found")))</x:f>
        <x:v>Not Started</x:v>
      </x:c>
      <x:c r="J1338" s="6" t="str">
        <x:v>Not Started</x:v>
      </x:c>
      <x:c r="K1338" s="6" t="str">
        <x:v>Normal</x:v>
      </x:c>
      <x:c r="L1338" s="6" t="str"/>
      <x:c r="M1338" s="6" t="str"/>
      <x:c r="N1338" s="6" t="str"/>
      <x:c r="O1338" s="7" t="str"/>
      <x:c r="P1338" s="6" t="str">
        <x:v>Yes</x:v>
      </x:c>
      <x:c r="Q1338" s="7" t="str">
        <x:v>Requires stable service identity; preserve observed labor evidence.</x:v>
      </x:c>
    </x:row>
    <x:row r="1339">
      <x:c r="A1339" s="6" t="str">
        <x:v>SEQ-LAB-0067</x:v>
      </x:c>
      <x:c r="B1339" s="6" t="str">
        <x:v>Labor Reference</x:v>
      </x:c>
      <x:c r="C1339" s="6" t="str">
        <x:v>LABX-0067</x:v>
      </x:c>
      <x:c r="D1339" s="6" t="str">
        <x:v>SVC000067</x:v>
      </x:c>
      <x:c r="E1339" s="6" t="str"/>
      <x:c r="F1339" s="6" t="str">
        <x:v>Labor-reference review</x:v>
      </x:c>
      <x:c r="G1339" s="6" t="n">
        <x:v>6</x:v>
      </x:c>
      <x:c r="H1339" s="6" t="str">
        <x:v>SIDX-0067</x:v>
      </x:c>
      <x:c r="I1339" s="6" t="str">
        <x:f>IF(H1339="","No upstream dependency",IF(ISNUMBER(SEARCH(";",H1339)),"Multiple dependencies - verify source queues",IFERROR(XLOOKUP(H1339,C2:C1586,J2:J1586),"Dependency not found")))</x:f>
        <x:v>Not Started</x:v>
      </x:c>
      <x:c r="J1339" s="6" t="str">
        <x:v>Not Started</x:v>
      </x:c>
      <x:c r="K1339" s="6" t="str">
        <x:v>Normal</x:v>
      </x:c>
      <x:c r="L1339" s="6" t="str"/>
      <x:c r="M1339" s="6" t="str"/>
      <x:c r="N1339" s="6" t="str"/>
      <x:c r="O1339" s="7" t="str"/>
      <x:c r="P1339" s="6" t="str">
        <x:v>Yes</x:v>
      </x:c>
      <x:c r="Q1339" s="7" t="str">
        <x:v>Requires stable service identity; preserve observed labor evidence.</x:v>
      </x:c>
    </x:row>
    <x:row r="1340">
      <x:c r="A1340" s="6" t="str">
        <x:v>SEQ-LAB-0068</x:v>
      </x:c>
      <x:c r="B1340" s="6" t="str">
        <x:v>Labor Reference</x:v>
      </x:c>
      <x:c r="C1340" s="6" t="str">
        <x:v>LABX-0068</x:v>
      </x:c>
      <x:c r="D1340" s="6" t="str">
        <x:v>SVC000068</x:v>
      </x:c>
      <x:c r="E1340" s="6" t="str"/>
      <x:c r="F1340" s="6" t="str">
        <x:v>Labor-reference review</x:v>
      </x:c>
      <x:c r="G1340" s="6" t="n">
        <x:v>6</x:v>
      </x:c>
      <x:c r="H1340" s="6" t="str">
        <x:v>SIDX-0068</x:v>
      </x:c>
      <x:c r="I1340" s="6" t="str">
        <x:f>IF(H1340="","No upstream dependency",IF(ISNUMBER(SEARCH(";",H1340)),"Multiple dependencies - verify source queues",IFERROR(XLOOKUP(H1340,C2:C1586,J2:J1586),"Dependency not found")))</x:f>
        <x:v>Not Started</x:v>
      </x:c>
      <x:c r="J1340" s="6" t="str">
        <x:v>Not Started</x:v>
      </x:c>
      <x:c r="K1340" s="6" t="str">
        <x:v>Normal</x:v>
      </x:c>
      <x:c r="L1340" s="6" t="str"/>
      <x:c r="M1340" s="6" t="str"/>
      <x:c r="N1340" s="6" t="str"/>
      <x:c r="O1340" s="7" t="str"/>
      <x:c r="P1340" s="6" t="str">
        <x:v>Yes</x:v>
      </x:c>
      <x:c r="Q1340" s="7" t="str">
        <x:v>Requires stable service identity; preserve observed labor evidence.</x:v>
      </x:c>
    </x:row>
    <x:row r="1341">
      <x:c r="A1341" s="6" t="str">
        <x:v>SEQ-LAB-0069</x:v>
      </x:c>
      <x:c r="B1341" s="6" t="str">
        <x:v>Labor Reference</x:v>
      </x:c>
      <x:c r="C1341" s="6" t="str">
        <x:v>LABX-0069</x:v>
      </x:c>
      <x:c r="D1341" s="6" t="str">
        <x:v>SVC000069</x:v>
      </x:c>
      <x:c r="E1341" s="6" t="str"/>
      <x:c r="F1341" s="6" t="str">
        <x:v>Labor-reference review</x:v>
      </x:c>
      <x:c r="G1341" s="6" t="n">
        <x:v>6</x:v>
      </x:c>
      <x:c r="H1341" s="6" t="str">
        <x:v>SIDX-0069</x:v>
      </x:c>
      <x:c r="I1341" s="6" t="str">
        <x:f>IF(H1341="","No upstream dependency",IF(ISNUMBER(SEARCH(";",H1341)),"Multiple dependencies - verify source queues",IFERROR(XLOOKUP(H1341,C2:C1586,J2:J1586),"Dependency not found")))</x:f>
        <x:v>Not Started</x:v>
      </x:c>
      <x:c r="J1341" s="6" t="str">
        <x:v>Not Started</x:v>
      </x:c>
      <x:c r="K1341" s="6" t="str">
        <x:v>Normal</x:v>
      </x:c>
      <x:c r="L1341" s="6" t="str"/>
      <x:c r="M1341" s="6" t="str"/>
      <x:c r="N1341" s="6" t="str"/>
      <x:c r="O1341" s="7" t="str"/>
      <x:c r="P1341" s="6" t="str">
        <x:v>Yes</x:v>
      </x:c>
      <x:c r="Q1341" s="7" t="str">
        <x:v>Requires stable service identity; preserve observed labor evidence.</x:v>
      </x:c>
    </x:row>
    <x:row r="1342">
      <x:c r="A1342" s="6" t="str">
        <x:v>SEQ-LAB-0070</x:v>
      </x:c>
      <x:c r="B1342" s="6" t="str">
        <x:v>Labor Reference</x:v>
      </x:c>
      <x:c r="C1342" s="6" t="str">
        <x:v>LABX-0070</x:v>
      </x:c>
      <x:c r="D1342" s="6" t="str">
        <x:v>SVC000070</x:v>
      </x:c>
      <x:c r="E1342" s="6" t="str"/>
      <x:c r="F1342" s="6" t="str">
        <x:v>Labor-reference review</x:v>
      </x:c>
      <x:c r="G1342" s="6" t="n">
        <x:v>6</x:v>
      </x:c>
      <x:c r="H1342" s="6" t="str">
        <x:v>SIDX-0070</x:v>
      </x:c>
      <x:c r="I1342" s="6" t="str">
        <x:f>IF(H1342="","No upstream dependency",IF(ISNUMBER(SEARCH(";",H1342)),"Multiple dependencies - verify source queues",IFERROR(XLOOKUP(H1342,C2:C1586,J2:J1586),"Dependency not found")))</x:f>
        <x:v>Not Started</x:v>
      </x:c>
      <x:c r="J1342" s="6" t="str">
        <x:v>Not Started</x:v>
      </x:c>
      <x:c r="K1342" s="6" t="str">
        <x:v>Normal</x:v>
      </x:c>
      <x:c r="L1342" s="6" t="str"/>
      <x:c r="M1342" s="6" t="str"/>
      <x:c r="N1342" s="6" t="str"/>
      <x:c r="O1342" s="7" t="str"/>
      <x:c r="P1342" s="6" t="str">
        <x:v>Yes</x:v>
      </x:c>
      <x:c r="Q1342" s="7" t="str">
        <x:v>Requires stable service identity; preserve observed labor evidence.</x:v>
      </x:c>
    </x:row>
    <x:row r="1343">
      <x:c r="A1343" s="6" t="str">
        <x:v>SEQ-LAB-0071</x:v>
      </x:c>
      <x:c r="B1343" s="6" t="str">
        <x:v>Labor Reference</x:v>
      </x:c>
      <x:c r="C1343" s="6" t="str">
        <x:v>LABX-0071</x:v>
      </x:c>
      <x:c r="D1343" s="6" t="str">
        <x:v>SVC000071</x:v>
      </x:c>
      <x:c r="E1343" s="6" t="str"/>
      <x:c r="F1343" s="6" t="str">
        <x:v>Labor-reference review</x:v>
      </x:c>
      <x:c r="G1343" s="6" t="n">
        <x:v>6</x:v>
      </x:c>
      <x:c r="H1343" s="6" t="str">
        <x:v>SIDX-0071</x:v>
      </x:c>
      <x:c r="I1343" s="6" t="str">
        <x:f>IF(H1343="","No upstream dependency",IF(ISNUMBER(SEARCH(";",H1343)),"Multiple dependencies - verify source queues",IFERROR(XLOOKUP(H1343,C2:C1586,J2:J1586),"Dependency not found")))</x:f>
        <x:v>Not Started</x:v>
      </x:c>
      <x:c r="J1343" s="6" t="str">
        <x:v>Not Started</x:v>
      </x:c>
      <x:c r="K1343" s="6" t="str">
        <x:v>Normal</x:v>
      </x:c>
      <x:c r="L1343" s="6" t="str"/>
      <x:c r="M1343" s="6" t="str"/>
      <x:c r="N1343" s="6" t="str"/>
      <x:c r="O1343" s="7" t="str"/>
      <x:c r="P1343" s="6" t="str">
        <x:v>Yes</x:v>
      </x:c>
      <x:c r="Q1343" s="7" t="str">
        <x:v>Requires stable service identity; preserve observed labor evidence.</x:v>
      </x:c>
    </x:row>
    <x:row r="1344">
      <x:c r="A1344" s="6" t="str">
        <x:v>SEQ-LAB-0072</x:v>
      </x:c>
      <x:c r="B1344" s="6" t="str">
        <x:v>Labor Reference</x:v>
      </x:c>
      <x:c r="C1344" s="6" t="str">
        <x:v>LABX-0072</x:v>
      </x:c>
      <x:c r="D1344" s="6" t="str">
        <x:v>SVC000072</x:v>
      </x:c>
      <x:c r="E1344" s="6" t="str"/>
      <x:c r="F1344" s="6" t="str">
        <x:v>Labor-reference review</x:v>
      </x:c>
      <x:c r="G1344" s="6" t="n">
        <x:v>6</x:v>
      </x:c>
      <x:c r="H1344" s="6" t="str">
        <x:v>SIDX-0072</x:v>
      </x:c>
      <x:c r="I1344" s="6" t="str">
        <x:f>IF(H1344="","No upstream dependency",IF(ISNUMBER(SEARCH(";",H1344)),"Multiple dependencies - verify source queues",IFERROR(XLOOKUP(H1344,C2:C1586,J2:J1586),"Dependency not found")))</x:f>
        <x:v>Not Started</x:v>
      </x:c>
      <x:c r="J1344" s="6" t="str">
        <x:v>Not Started</x:v>
      </x:c>
      <x:c r="K1344" s="6" t="str">
        <x:v>Normal</x:v>
      </x:c>
      <x:c r="L1344" s="6" t="str"/>
      <x:c r="M1344" s="6" t="str"/>
      <x:c r="N1344" s="6" t="str"/>
      <x:c r="O1344" s="7" t="str"/>
      <x:c r="P1344" s="6" t="str">
        <x:v>Yes</x:v>
      </x:c>
      <x:c r="Q1344" s="7" t="str">
        <x:v>Requires stable service identity; preserve observed labor evidence.</x:v>
      </x:c>
    </x:row>
    <x:row r="1345">
      <x:c r="A1345" s="6" t="str">
        <x:v>SEQ-LAB-0073</x:v>
      </x:c>
      <x:c r="B1345" s="6" t="str">
        <x:v>Labor Reference</x:v>
      </x:c>
      <x:c r="C1345" s="6" t="str">
        <x:v>LABX-0073</x:v>
      </x:c>
      <x:c r="D1345" s="6" t="str">
        <x:v>SVC000073</x:v>
      </x:c>
      <x:c r="E1345" s="6" t="str"/>
      <x:c r="F1345" s="6" t="str">
        <x:v>Labor-reference review</x:v>
      </x:c>
      <x:c r="G1345" s="6" t="n">
        <x:v>6</x:v>
      </x:c>
      <x:c r="H1345" s="6" t="str">
        <x:v>SIDX-0073</x:v>
      </x:c>
      <x:c r="I1345" s="6" t="str">
        <x:f>IF(H1345="","No upstream dependency",IF(ISNUMBER(SEARCH(";",H1345)),"Multiple dependencies - verify source queues",IFERROR(XLOOKUP(H1345,C2:C1586,J2:J1586),"Dependency not found")))</x:f>
        <x:v>Not Started</x:v>
      </x:c>
      <x:c r="J1345" s="6" t="str">
        <x:v>Not Started</x:v>
      </x:c>
      <x:c r="K1345" s="6" t="str">
        <x:v>Normal</x:v>
      </x:c>
      <x:c r="L1345" s="6" t="str"/>
      <x:c r="M1345" s="6" t="str"/>
      <x:c r="N1345" s="6" t="str"/>
      <x:c r="O1345" s="7" t="str"/>
      <x:c r="P1345" s="6" t="str">
        <x:v>Yes</x:v>
      </x:c>
      <x:c r="Q1345" s="7" t="str">
        <x:v>Requires stable service identity; preserve observed labor evidence.</x:v>
      </x:c>
    </x:row>
    <x:row r="1346">
      <x:c r="A1346" s="6" t="str">
        <x:v>SEQ-LAB-0074</x:v>
      </x:c>
      <x:c r="B1346" s="6" t="str">
        <x:v>Labor Reference</x:v>
      </x:c>
      <x:c r="C1346" s="6" t="str">
        <x:v>LABX-0074</x:v>
      </x:c>
      <x:c r="D1346" s="6" t="str">
        <x:v>SVC000074</x:v>
      </x:c>
      <x:c r="E1346" s="6" t="str"/>
      <x:c r="F1346" s="6" t="str">
        <x:v>Labor-reference review</x:v>
      </x:c>
      <x:c r="G1346" s="6" t="n">
        <x:v>6</x:v>
      </x:c>
      <x:c r="H1346" s="6" t="str">
        <x:v>SIDX-0074</x:v>
      </x:c>
      <x:c r="I1346" s="6" t="str">
        <x:f>IF(H1346="","No upstream dependency",IF(ISNUMBER(SEARCH(";",H1346)),"Multiple dependencies - verify source queues",IFERROR(XLOOKUP(H1346,C2:C1586,J2:J1586),"Dependency not found")))</x:f>
        <x:v>Not Started</x:v>
      </x:c>
      <x:c r="J1346" s="6" t="str">
        <x:v>Not Started</x:v>
      </x:c>
      <x:c r="K1346" s="6" t="str">
        <x:v>Normal</x:v>
      </x:c>
      <x:c r="L1346" s="6" t="str"/>
      <x:c r="M1346" s="6" t="str"/>
      <x:c r="N1346" s="6" t="str"/>
      <x:c r="O1346" s="7" t="str"/>
      <x:c r="P1346" s="6" t="str">
        <x:v>Yes</x:v>
      </x:c>
      <x:c r="Q1346" s="7" t="str">
        <x:v>Requires stable service identity; preserve observed labor evidence.</x:v>
      </x:c>
    </x:row>
    <x:row r="1347">
      <x:c r="A1347" s="6" t="str">
        <x:v>SEQ-LAB-0075</x:v>
      </x:c>
      <x:c r="B1347" s="6" t="str">
        <x:v>Labor Reference</x:v>
      </x:c>
      <x:c r="C1347" s="6" t="str">
        <x:v>LABX-0075</x:v>
      </x:c>
      <x:c r="D1347" s="6" t="str">
        <x:v>SVC000075</x:v>
      </x:c>
      <x:c r="E1347" s="6" t="str"/>
      <x:c r="F1347" s="6" t="str">
        <x:v>Labor-reference review</x:v>
      </x:c>
      <x:c r="G1347" s="6" t="n">
        <x:v>6</x:v>
      </x:c>
      <x:c r="H1347" s="6" t="str">
        <x:v>SIDX-0075</x:v>
      </x:c>
      <x:c r="I1347" s="6" t="str">
        <x:f>IF(H1347="","No upstream dependency",IF(ISNUMBER(SEARCH(";",H1347)),"Multiple dependencies - verify source queues",IFERROR(XLOOKUP(H1347,C2:C1586,J2:J1586),"Dependency not found")))</x:f>
        <x:v>Not Started</x:v>
      </x:c>
      <x:c r="J1347" s="6" t="str">
        <x:v>Not Started</x:v>
      </x:c>
      <x:c r="K1347" s="6" t="str">
        <x:v>Normal</x:v>
      </x:c>
      <x:c r="L1347" s="6" t="str"/>
      <x:c r="M1347" s="6" t="str"/>
      <x:c r="N1347" s="6" t="str"/>
      <x:c r="O1347" s="7" t="str"/>
      <x:c r="P1347" s="6" t="str">
        <x:v>Yes</x:v>
      </x:c>
      <x:c r="Q1347" s="7" t="str">
        <x:v>Requires stable service identity; preserve observed labor evidence.</x:v>
      </x:c>
    </x:row>
    <x:row r="1348">
      <x:c r="A1348" s="6" t="str">
        <x:v>SEQ-LAB-0076</x:v>
      </x:c>
      <x:c r="B1348" s="6" t="str">
        <x:v>Labor Reference</x:v>
      </x:c>
      <x:c r="C1348" s="6" t="str">
        <x:v>LABX-0076</x:v>
      </x:c>
      <x:c r="D1348" s="6" t="str">
        <x:v>SVC000076</x:v>
      </x:c>
      <x:c r="E1348" s="6" t="str"/>
      <x:c r="F1348" s="6" t="str">
        <x:v>Labor-reference review</x:v>
      </x:c>
      <x:c r="G1348" s="6" t="n">
        <x:v>6</x:v>
      </x:c>
      <x:c r="H1348" s="6" t="str">
        <x:v>SIDX-0076</x:v>
      </x:c>
      <x:c r="I1348" s="6" t="str">
        <x:f>IF(H1348="","No upstream dependency",IF(ISNUMBER(SEARCH(";",H1348)),"Multiple dependencies - verify source queues",IFERROR(XLOOKUP(H1348,C2:C1586,J2:J1586),"Dependency not found")))</x:f>
        <x:v>Not Started</x:v>
      </x:c>
      <x:c r="J1348" s="6" t="str">
        <x:v>Not Started</x:v>
      </x:c>
      <x:c r="K1348" s="6" t="str">
        <x:v>Normal</x:v>
      </x:c>
      <x:c r="L1348" s="6" t="str"/>
      <x:c r="M1348" s="6" t="str"/>
      <x:c r="N1348" s="6" t="str"/>
      <x:c r="O1348" s="7" t="str"/>
      <x:c r="P1348" s="6" t="str">
        <x:v>Yes</x:v>
      </x:c>
      <x:c r="Q1348" s="7" t="str">
        <x:v>Requires stable service identity; preserve observed labor evidence.</x:v>
      </x:c>
    </x:row>
    <x:row r="1349">
      <x:c r="A1349" s="6" t="str">
        <x:v>SEQ-LAB-0077</x:v>
      </x:c>
      <x:c r="B1349" s="6" t="str">
        <x:v>Labor Reference</x:v>
      </x:c>
      <x:c r="C1349" s="6" t="str">
        <x:v>LABX-0077</x:v>
      </x:c>
      <x:c r="D1349" s="6" t="str">
        <x:v>SVC000077</x:v>
      </x:c>
      <x:c r="E1349" s="6" t="str"/>
      <x:c r="F1349" s="6" t="str">
        <x:v>Labor-reference review</x:v>
      </x:c>
      <x:c r="G1349" s="6" t="n">
        <x:v>6</x:v>
      </x:c>
      <x:c r="H1349" s="6" t="str">
        <x:v>SIDX-0077</x:v>
      </x:c>
      <x:c r="I1349" s="6" t="str">
        <x:f>IF(H1349="","No upstream dependency",IF(ISNUMBER(SEARCH(";",H1349)),"Multiple dependencies - verify source queues",IFERROR(XLOOKUP(H1349,C2:C1586,J2:J1586),"Dependency not found")))</x:f>
        <x:v>Not Started</x:v>
      </x:c>
      <x:c r="J1349" s="6" t="str">
        <x:v>Not Started</x:v>
      </x:c>
      <x:c r="K1349" s="6" t="str">
        <x:v>Normal</x:v>
      </x:c>
      <x:c r="L1349" s="6" t="str"/>
      <x:c r="M1349" s="6" t="str"/>
      <x:c r="N1349" s="6" t="str"/>
      <x:c r="O1349" s="7" t="str"/>
      <x:c r="P1349" s="6" t="str">
        <x:v>Yes</x:v>
      </x:c>
      <x:c r="Q1349" s="7" t="str">
        <x:v>Requires stable service identity; preserve observed labor evidence.</x:v>
      </x:c>
    </x:row>
    <x:row r="1350">
      <x:c r="A1350" s="6" t="str">
        <x:v>SEQ-LAB-0078</x:v>
      </x:c>
      <x:c r="B1350" s="6" t="str">
        <x:v>Labor Reference</x:v>
      </x:c>
      <x:c r="C1350" s="6" t="str">
        <x:v>LABX-0078</x:v>
      </x:c>
      <x:c r="D1350" s="6" t="str">
        <x:v>SVC000078</x:v>
      </x:c>
      <x:c r="E1350" s="6" t="str"/>
      <x:c r="F1350" s="6" t="str">
        <x:v>Labor-reference review</x:v>
      </x:c>
      <x:c r="G1350" s="6" t="n">
        <x:v>6</x:v>
      </x:c>
      <x:c r="H1350" s="6" t="str">
        <x:v>SIDX-0078</x:v>
      </x:c>
      <x:c r="I1350" s="6" t="str">
        <x:f>IF(H1350="","No upstream dependency",IF(ISNUMBER(SEARCH(";",H1350)),"Multiple dependencies - verify source queues",IFERROR(XLOOKUP(H1350,C2:C1586,J2:J1586),"Dependency not found")))</x:f>
        <x:v>Not Started</x:v>
      </x:c>
      <x:c r="J1350" s="6" t="str">
        <x:v>Not Started</x:v>
      </x:c>
      <x:c r="K1350" s="6" t="str">
        <x:v>Normal</x:v>
      </x:c>
      <x:c r="L1350" s="6" t="str"/>
      <x:c r="M1350" s="6" t="str"/>
      <x:c r="N1350" s="6" t="str"/>
      <x:c r="O1350" s="7" t="str"/>
      <x:c r="P1350" s="6" t="str">
        <x:v>Yes</x:v>
      </x:c>
      <x:c r="Q1350" s="7" t="str">
        <x:v>Requires stable service identity; preserve observed labor evidence.</x:v>
      </x:c>
    </x:row>
    <x:row r="1351">
      <x:c r="A1351" s="6" t="str">
        <x:v>SEQ-LAB-0079</x:v>
      </x:c>
      <x:c r="B1351" s="6" t="str">
        <x:v>Labor Reference</x:v>
      </x:c>
      <x:c r="C1351" s="6" t="str">
        <x:v>LABX-0079</x:v>
      </x:c>
      <x:c r="D1351" s="6" t="str">
        <x:v>SVC000079</x:v>
      </x:c>
      <x:c r="E1351" s="6" t="str"/>
      <x:c r="F1351" s="6" t="str">
        <x:v>Labor-reference review</x:v>
      </x:c>
      <x:c r="G1351" s="6" t="n">
        <x:v>6</x:v>
      </x:c>
      <x:c r="H1351" s="6" t="str">
        <x:v>SIDX-0079</x:v>
      </x:c>
      <x:c r="I1351" s="6" t="str">
        <x:f>IF(H1351="","No upstream dependency",IF(ISNUMBER(SEARCH(";",H1351)),"Multiple dependencies - verify source queues",IFERROR(XLOOKUP(H1351,C2:C1586,J2:J1586),"Dependency not found")))</x:f>
        <x:v>Not Started</x:v>
      </x:c>
      <x:c r="J1351" s="6" t="str">
        <x:v>Not Started</x:v>
      </x:c>
      <x:c r="K1351" s="6" t="str">
        <x:v>Normal</x:v>
      </x:c>
      <x:c r="L1351" s="6" t="str"/>
      <x:c r="M1351" s="6" t="str"/>
      <x:c r="N1351" s="6" t="str"/>
      <x:c r="O1351" s="7" t="str"/>
      <x:c r="P1351" s="6" t="str">
        <x:v>Yes</x:v>
      </x:c>
      <x:c r="Q1351" s="7" t="str">
        <x:v>Requires stable service identity; preserve observed labor evidence.</x:v>
      </x:c>
    </x:row>
    <x:row r="1352">
      <x:c r="A1352" s="6" t="str">
        <x:v>SEQ-LAB-0080</x:v>
      </x:c>
      <x:c r="B1352" s="6" t="str">
        <x:v>Labor Reference</x:v>
      </x:c>
      <x:c r="C1352" s="6" t="str">
        <x:v>LABX-0080</x:v>
      </x:c>
      <x:c r="D1352" s="6" t="str">
        <x:v>SVC000080</x:v>
      </x:c>
      <x:c r="E1352" s="6" t="str"/>
      <x:c r="F1352" s="6" t="str">
        <x:v>Labor-reference review</x:v>
      </x:c>
      <x:c r="G1352" s="6" t="n">
        <x:v>6</x:v>
      </x:c>
      <x:c r="H1352" s="6" t="str">
        <x:v>SIDX-0080</x:v>
      </x:c>
      <x:c r="I1352" s="6" t="str">
        <x:f>IF(H1352="","No upstream dependency",IF(ISNUMBER(SEARCH(";",H1352)),"Multiple dependencies - verify source queues",IFERROR(XLOOKUP(H1352,C2:C1586,J2:J1586),"Dependency not found")))</x:f>
        <x:v>Not Started</x:v>
      </x:c>
      <x:c r="J1352" s="6" t="str">
        <x:v>Not Started</x:v>
      </x:c>
      <x:c r="K1352" s="6" t="str">
        <x:v>Normal</x:v>
      </x:c>
      <x:c r="L1352" s="6" t="str"/>
      <x:c r="M1352" s="6" t="str"/>
      <x:c r="N1352" s="6" t="str"/>
      <x:c r="O1352" s="7" t="str"/>
      <x:c r="P1352" s="6" t="str">
        <x:v>Yes</x:v>
      </x:c>
      <x:c r="Q1352" s="7" t="str">
        <x:v>Requires stable service identity; preserve observed labor evidence.</x:v>
      </x:c>
    </x:row>
    <x:row r="1353">
      <x:c r="A1353" s="6" t="str">
        <x:v>SEQ-LAB-0081</x:v>
      </x:c>
      <x:c r="B1353" s="6" t="str">
        <x:v>Labor Reference</x:v>
      </x:c>
      <x:c r="C1353" s="6" t="str">
        <x:v>LABX-0081</x:v>
      </x:c>
      <x:c r="D1353" s="6" t="str">
        <x:v>SVC000081</x:v>
      </x:c>
      <x:c r="E1353" s="6" t="str"/>
      <x:c r="F1353" s="6" t="str">
        <x:v>Labor-reference review</x:v>
      </x:c>
      <x:c r="G1353" s="6" t="n">
        <x:v>6</x:v>
      </x:c>
      <x:c r="H1353" s="6" t="str">
        <x:v>SIDX-0081</x:v>
      </x:c>
      <x:c r="I1353" s="6" t="str">
        <x:f>IF(H1353="","No upstream dependency",IF(ISNUMBER(SEARCH(";",H1353)),"Multiple dependencies - verify source queues",IFERROR(XLOOKUP(H1353,C2:C1586,J2:J1586),"Dependency not found")))</x:f>
        <x:v>Not Started</x:v>
      </x:c>
      <x:c r="J1353" s="6" t="str">
        <x:v>Not Started</x:v>
      </x:c>
      <x:c r="K1353" s="6" t="str">
        <x:v>Normal</x:v>
      </x:c>
      <x:c r="L1353" s="6" t="str"/>
      <x:c r="M1353" s="6" t="str"/>
      <x:c r="N1353" s="6" t="str"/>
      <x:c r="O1353" s="7" t="str"/>
      <x:c r="P1353" s="6" t="str">
        <x:v>Yes</x:v>
      </x:c>
      <x:c r="Q1353" s="7" t="str">
        <x:v>Requires stable service identity; preserve observed labor evidence.</x:v>
      </x:c>
    </x:row>
    <x:row r="1354">
      <x:c r="A1354" s="6" t="str">
        <x:v>SEQ-LAB-0082</x:v>
      </x:c>
      <x:c r="B1354" s="6" t="str">
        <x:v>Labor Reference</x:v>
      </x:c>
      <x:c r="C1354" s="6" t="str">
        <x:v>LABX-0082</x:v>
      </x:c>
      <x:c r="D1354" s="6" t="str">
        <x:v>SVC000082</x:v>
      </x:c>
      <x:c r="E1354" s="6" t="str"/>
      <x:c r="F1354" s="6" t="str">
        <x:v>Labor-reference review</x:v>
      </x:c>
      <x:c r="G1354" s="6" t="n">
        <x:v>6</x:v>
      </x:c>
      <x:c r="H1354" s="6" t="str">
        <x:v>SIDX-0082</x:v>
      </x:c>
      <x:c r="I1354" s="6" t="str">
        <x:f>IF(H1354="","No upstream dependency",IF(ISNUMBER(SEARCH(";",H1354)),"Multiple dependencies - verify source queues",IFERROR(XLOOKUP(H1354,C2:C1586,J2:J1586),"Dependency not found")))</x:f>
        <x:v>Not Started</x:v>
      </x:c>
      <x:c r="J1354" s="6" t="str">
        <x:v>Not Started</x:v>
      </x:c>
      <x:c r="K1354" s="6" t="str">
        <x:v>Normal</x:v>
      </x:c>
      <x:c r="L1354" s="6" t="str"/>
      <x:c r="M1354" s="6" t="str"/>
      <x:c r="N1354" s="6" t="str"/>
      <x:c r="O1354" s="7" t="str"/>
      <x:c r="P1354" s="6" t="str">
        <x:v>Yes</x:v>
      </x:c>
      <x:c r="Q1354" s="7" t="str">
        <x:v>Requires stable service identity; preserve observed labor evidence.</x:v>
      </x:c>
    </x:row>
    <x:row r="1355">
      <x:c r="A1355" s="6" t="str">
        <x:v>SEQ-LAB-0083</x:v>
      </x:c>
      <x:c r="B1355" s="6" t="str">
        <x:v>Labor Reference</x:v>
      </x:c>
      <x:c r="C1355" s="6" t="str">
        <x:v>LABX-0083</x:v>
      </x:c>
      <x:c r="D1355" s="6" t="str">
        <x:v>SVC000083</x:v>
      </x:c>
      <x:c r="E1355" s="6" t="str"/>
      <x:c r="F1355" s="6" t="str">
        <x:v>Labor-reference review</x:v>
      </x:c>
      <x:c r="G1355" s="6" t="n">
        <x:v>6</x:v>
      </x:c>
      <x:c r="H1355" s="6" t="str">
        <x:v>SIDX-0083</x:v>
      </x:c>
      <x:c r="I1355" s="6" t="str">
        <x:f>IF(H1355="","No upstream dependency",IF(ISNUMBER(SEARCH(";",H1355)),"Multiple dependencies - verify source queues",IFERROR(XLOOKUP(H1355,C2:C1586,J2:J1586),"Dependency not found")))</x:f>
        <x:v>Not Started</x:v>
      </x:c>
      <x:c r="J1355" s="6" t="str">
        <x:v>Not Started</x:v>
      </x:c>
      <x:c r="K1355" s="6" t="str">
        <x:v>Normal</x:v>
      </x:c>
      <x:c r="L1355" s="6" t="str"/>
      <x:c r="M1355" s="6" t="str"/>
      <x:c r="N1355" s="6" t="str"/>
      <x:c r="O1355" s="7" t="str"/>
      <x:c r="P1355" s="6" t="str">
        <x:v>Yes</x:v>
      </x:c>
      <x:c r="Q1355" s="7" t="str">
        <x:v>Requires stable service identity; preserve observed labor evidence.</x:v>
      </x:c>
    </x:row>
    <x:row r="1356">
      <x:c r="A1356" s="6" t="str">
        <x:v>SEQ-LAB-0084</x:v>
      </x:c>
      <x:c r="B1356" s="6" t="str">
        <x:v>Labor Reference</x:v>
      </x:c>
      <x:c r="C1356" s="6" t="str">
        <x:v>LABX-0084</x:v>
      </x:c>
      <x:c r="D1356" s="6" t="str">
        <x:v>SVC000084</x:v>
      </x:c>
      <x:c r="E1356" s="6" t="str"/>
      <x:c r="F1356" s="6" t="str">
        <x:v>Labor-reference review</x:v>
      </x:c>
      <x:c r="G1356" s="6" t="n">
        <x:v>6</x:v>
      </x:c>
      <x:c r="H1356" s="6" t="str">
        <x:v>SIDX-0084</x:v>
      </x:c>
      <x:c r="I1356" s="6" t="str">
        <x:f>IF(H1356="","No upstream dependency",IF(ISNUMBER(SEARCH(";",H1356)),"Multiple dependencies - verify source queues",IFERROR(XLOOKUP(H1356,C2:C1586,J2:J1586),"Dependency not found")))</x:f>
        <x:v>Not Started</x:v>
      </x:c>
      <x:c r="J1356" s="6" t="str">
        <x:v>Not Started</x:v>
      </x:c>
      <x:c r="K1356" s="6" t="str">
        <x:v>Normal</x:v>
      </x:c>
      <x:c r="L1356" s="6" t="str"/>
      <x:c r="M1356" s="6" t="str"/>
      <x:c r="N1356" s="6" t="str"/>
      <x:c r="O1356" s="7" t="str"/>
      <x:c r="P1356" s="6" t="str">
        <x:v>Yes</x:v>
      </x:c>
      <x:c r="Q1356" s="7" t="str">
        <x:v>Requires stable service identity; preserve observed labor evidence.</x:v>
      </x:c>
    </x:row>
    <x:row r="1357">
      <x:c r="A1357" s="6" t="str">
        <x:v>SEQ-LAB-0085</x:v>
      </x:c>
      <x:c r="B1357" s="6" t="str">
        <x:v>Labor Reference</x:v>
      </x:c>
      <x:c r="C1357" s="6" t="str">
        <x:v>LABX-0085</x:v>
      </x:c>
      <x:c r="D1357" s="6" t="str">
        <x:v>SVC000085</x:v>
      </x:c>
      <x:c r="E1357" s="6" t="str"/>
      <x:c r="F1357" s="6" t="str">
        <x:v>Labor-reference review</x:v>
      </x:c>
      <x:c r="G1357" s="6" t="n">
        <x:v>6</x:v>
      </x:c>
      <x:c r="H1357" s="6" t="str">
        <x:v>SIDX-0085</x:v>
      </x:c>
      <x:c r="I1357" s="6" t="str">
        <x:f>IF(H1357="","No upstream dependency",IF(ISNUMBER(SEARCH(";",H1357)),"Multiple dependencies - verify source queues",IFERROR(XLOOKUP(H1357,C2:C1586,J2:J1586),"Dependency not found")))</x:f>
        <x:v>Not Started</x:v>
      </x:c>
      <x:c r="J1357" s="6" t="str">
        <x:v>Not Started</x:v>
      </x:c>
      <x:c r="K1357" s="6" t="str">
        <x:v>Normal</x:v>
      </x:c>
      <x:c r="L1357" s="6" t="str"/>
      <x:c r="M1357" s="6" t="str"/>
      <x:c r="N1357" s="6" t="str"/>
      <x:c r="O1357" s="7" t="str"/>
      <x:c r="P1357" s="6" t="str">
        <x:v>Yes</x:v>
      </x:c>
      <x:c r="Q1357" s="7" t="str">
        <x:v>Requires stable service identity; preserve observed labor evidence.</x:v>
      </x:c>
    </x:row>
    <x:row r="1358">
      <x:c r="A1358" s="6" t="str">
        <x:v>SEQ-LAB-0086</x:v>
      </x:c>
      <x:c r="B1358" s="6" t="str">
        <x:v>Labor Reference</x:v>
      </x:c>
      <x:c r="C1358" s="6" t="str">
        <x:v>LABX-0086</x:v>
      </x:c>
      <x:c r="D1358" s="6" t="str">
        <x:v>SVC000086</x:v>
      </x:c>
      <x:c r="E1358" s="6" t="str"/>
      <x:c r="F1358" s="6" t="str">
        <x:v>Labor-reference review</x:v>
      </x:c>
      <x:c r="G1358" s="6" t="n">
        <x:v>6</x:v>
      </x:c>
      <x:c r="H1358" s="6" t="str">
        <x:v>SIDX-0086</x:v>
      </x:c>
      <x:c r="I1358" s="6" t="str">
        <x:f>IF(H1358="","No upstream dependency",IF(ISNUMBER(SEARCH(";",H1358)),"Multiple dependencies - verify source queues",IFERROR(XLOOKUP(H1358,C2:C1586,J2:J1586),"Dependency not found")))</x:f>
        <x:v>Not Started</x:v>
      </x:c>
      <x:c r="J1358" s="6" t="str">
        <x:v>Not Started</x:v>
      </x:c>
      <x:c r="K1358" s="6" t="str">
        <x:v>Normal</x:v>
      </x:c>
      <x:c r="L1358" s="6" t="str"/>
      <x:c r="M1358" s="6" t="str"/>
      <x:c r="N1358" s="6" t="str"/>
      <x:c r="O1358" s="7" t="str"/>
      <x:c r="P1358" s="6" t="str">
        <x:v>Yes</x:v>
      </x:c>
      <x:c r="Q1358" s="7" t="str">
        <x:v>Requires stable service identity; preserve observed labor evidence.</x:v>
      </x:c>
    </x:row>
    <x:row r="1359">
      <x:c r="A1359" s="6" t="str">
        <x:v>SEQ-LAB-0087</x:v>
      </x:c>
      <x:c r="B1359" s="6" t="str">
        <x:v>Labor Reference</x:v>
      </x:c>
      <x:c r="C1359" s="6" t="str">
        <x:v>LABX-0087</x:v>
      </x:c>
      <x:c r="D1359" s="6" t="str">
        <x:v>SVC000087</x:v>
      </x:c>
      <x:c r="E1359" s="6" t="str"/>
      <x:c r="F1359" s="6" t="str">
        <x:v>Labor-reference review</x:v>
      </x:c>
      <x:c r="G1359" s="6" t="n">
        <x:v>6</x:v>
      </x:c>
      <x:c r="H1359" s="6" t="str">
        <x:v>SIDX-0087</x:v>
      </x:c>
      <x:c r="I1359" s="6" t="str">
        <x:f>IF(H1359="","No upstream dependency",IF(ISNUMBER(SEARCH(";",H1359)),"Multiple dependencies - verify source queues",IFERROR(XLOOKUP(H1359,C2:C1586,J2:J1586),"Dependency not found")))</x:f>
        <x:v>Not Started</x:v>
      </x:c>
      <x:c r="J1359" s="6" t="str">
        <x:v>Not Started</x:v>
      </x:c>
      <x:c r="K1359" s="6" t="str">
        <x:v>Normal</x:v>
      </x:c>
      <x:c r="L1359" s="6" t="str"/>
      <x:c r="M1359" s="6" t="str"/>
      <x:c r="N1359" s="6" t="str"/>
      <x:c r="O1359" s="7" t="str"/>
      <x:c r="P1359" s="6" t="str">
        <x:v>Yes</x:v>
      </x:c>
      <x:c r="Q1359" s="7" t="str">
        <x:v>Requires stable service identity; preserve observed labor evidence.</x:v>
      </x:c>
    </x:row>
    <x:row r="1360">
      <x:c r="A1360" s="6" t="str">
        <x:v>SEQ-LAB-0088</x:v>
      </x:c>
      <x:c r="B1360" s="6" t="str">
        <x:v>Labor Reference</x:v>
      </x:c>
      <x:c r="C1360" s="6" t="str">
        <x:v>LABX-0088</x:v>
      </x:c>
      <x:c r="D1360" s="6" t="str">
        <x:v>SVC000088</x:v>
      </x:c>
      <x:c r="E1360" s="6" t="str"/>
      <x:c r="F1360" s="6" t="str">
        <x:v>Labor-reference review</x:v>
      </x:c>
      <x:c r="G1360" s="6" t="n">
        <x:v>6</x:v>
      </x:c>
      <x:c r="H1360" s="6" t="str">
        <x:v>SIDX-0088</x:v>
      </x:c>
      <x:c r="I1360" s="6" t="str">
        <x:f>IF(H1360="","No upstream dependency",IF(ISNUMBER(SEARCH(";",H1360)),"Multiple dependencies - verify source queues",IFERROR(XLOOKUP(H1360,C2:C1586,J2:J1586),"Dependency not found")))</x:f>
        <x:v>Not Started</x:v>
      </x:c>
      <x:c r="J1360" s="6" t="str">
        <x:v>Not Started</x:v>
      </x:c>
      <x:c r="K1360" s="6" t="str">
        <x:v>Normal</x:v>
      </x:c>
      <x:c r="L1360" s="6" t="str"/>
      <x:c r="M1360" s="6" t="str"/>
      <x:c r="N1360" s="6" t="str"/>
      <x:c r="O1360" s="7" t="str"/>
      <x:c r="P1360" s="6" t="str">
        <x:v>Yes</x:v>
      </x:c>
      <x:c r="Q1360" s="7" t="str">
        <x:v>Requires stable service identity; preserve observed labor evidence.</x:v>
      </x:c>
    </x:row>
    <x:row r="1361">
      <x:c r="A1361" s="6" t="str">
        <x:v>SEQ-LAB-0089</x:v>
      </x:c>
      <x:c r="B1361" s="6" t="str">
        <x:v>Labor Reference</x:v>
      </x:c>
      <x:c r="C1361" s="6" t="str">
        <x:v>LABX-0089</x:v>
      </x:c>
      <x:c r="D1361" s="6" t="str">
        <x:v>SVC000089</x:v>
      </x:c>
      <x:c r="E1361" s="6" t="str"/>
      <x:c r="F1361" s="6" t="str">
        <x:v>Labor-reference review</x:v>
      </x:c>
      <x:c r="G1361" s="6" t="n">
        <x:v>6</x:v>
      </x:c>
      <x:c r="H1361" s="6" t="str">
        <x:v>SIDX-0089</x:v>
      </x:c>
      <x:c r="I1361" s="6" t="str">
        <x:f>IF(H1361="","No upstream dependency",IF(ISNUMBER(SEARCH(";",H1361)),"Multiple dependencies - verify source queues",IFERROR(XLOOKUP(H1361,C2:C1586,J2:J1586),"Dependency not found")))</x:f>
        <x:v>Not Started</x:v>
      </x:c>
      <x:c r="J1361" s="6" t="str">
        <x:v>Not Started</x:v>
      </x:c>
      <x:c r="K1361" s="6" t="str">
        <x:v>Normal</x:v>
      </x:c>
      <x:c r="L1361" s="6" t="str"/>
      <x:c r="M1361" s="6" t="str"/>
      <x:c r="N1361" s="6" t="str"/>
      <x:c r="O1361" s="7" t="str"/>
      <x:c r="P1361" s="6" t="str">
        <x:v>Yes</x:v>
      </x:c>
      <x:c r="Q1361" s="7" t="str">
        <x:v>Requires stable service identity; preserve observed labor evidence.</x:v>
      </x:c>
    </x:row>
    <x:row r="1362">
      <x:c r="A1362" s="6" t="str">
        <x:v>SEQ-LAB-0090</x:v>
      </x:c>
      <x:c r="B1362" s="6" t="str">
        <x:v>Labor Reference</x:v>
      </x:c>
      <x:c r="C1362" s="6" t="str">
        <x:v>LABX-0090</x:v>
      </x:c>
      <x:c r="D1362" s="6" t="str">
        <x:v>SVC000090</x:v>
      </x:c>
      <x:c r="E1362" s="6" t="str"/>
      <x:c r="F1362" s="6" t="str">
        <x:v>Labor-reference review</x:v>
      </x:c>
      <x:c r="G1362" s="6" t="n">
        <x:v>6</x:v>
      </x:c>
      <x:c r="H1362" s="6" t="str">
        <x:v>SIDX-0090</x:v>
      </x:c>
      <x:c r="I1362" s="6" t="str">
        <x:f>IF(H1362="","No upstream dependency",IF(ISNUMBER(SEARCH(";",H1362)),"Multiple dependencies - verify source queues",IFERROR(XLOOKUP(H1362,C2:C1586,J2:J1586),"Dependency not found")))</x:f>
        <x:v>Not Started</x:v>
      </x:c>
      <x:c r="J1362" s="6" t="str">
        <x:v>Not Started</x:v>
      </x:c>
      <x:c r="K1362" s="6" t="str">
        <x:v>Normal</x:v>
      </x:c>
      <x:c r="L1362" s="6" t="str"/>
      <x:c r="M1362" s="6" t="str"/>
      <x:c r="N1362" s="6" t="str"/>
      <x:c r="O1362" s="7" t="str"/>
      <x:c r="P1362" s="6" t="str">
        <x:v>Yes</x:v>
      </x:c>
      <x:c r="Q1362" s="7" t="str">
        <x:v>Requires stable service identity; preserve observed labor evidence.</x:v>
      </x:c>
    </x:row>
    <x:row r="1363">
      <x:c r="A1363" s="6" t="str">
        <x:v>SEQ-LAB-0091</x:v>
      </x:c>
      <x:c r="B1363" s="6" t="str">
        <x:v>Labor Reference</x:v>
      </x:c>
      <x:c r="C1363" s="6" t="str">
        <x:v>LABX-0091</x:v>
      </x:c>
      <x:c r="D1363" s="6" t="str">
        <x:v>SVC000091</x:v>
      </x:c>
      <x:c r="E1363" s="6" t="str"/>
      <x:c r="F1363" s="6" t="str">
        <x:v>Labor-reference review</x:v>
      </x:c>
      <x:c r="G1363" s="6" t="n">
        <x:v>6</x:v>
      </x:c>
      <x:c r="H1363" s="6" t="str">
        <x:v>SIDX-0091</x:v>
      </x:c>
      <x:c r="I1363" s="6" t="str">
        <x:f>IF(H1363="","No upstream dependency",IF(ISNUMBER(SEARCH(";",H1363)),"Multiple dependencies - verify source queues",IFERROR(XLOOKUP(H1363,C2:C1586,J2:J1586),"Dependency not found")))</x:f>
        <x:v>Not Started</x:v>
      </x:c>
      <x:c r="J1363" s="6" t="str">
        <x:v>Not Started</x:v>
      </x:c>
      <x:c r="K1363" s="6" t="str">
        <x:v>Normal</x:v>
      </x:c>
      <x:c r="L1363" s="6" t="str"/>
      <x:c r="M1363" s="6" t="str"/>
      <x:c r="N1363" s="6" t="str"/>
      <x:c r="O1363" s="7" t="str"/>
      <x:c r="P1363" s="6" t="str">
        <x:v>Yes</x:v>
      </x:c>
      <x:c r="Q1363" s="7" t="str">
        <x:v>Requires stable service identity; preserve observed labor evidence.</x:v>
      </x:c>
    </x:row>
    <x:row r="1364">
      <x:c r="A1364" s="6" t="str">
        <x:v>SEQ-LAB-0092</x:v>
      </x:c>
      <x:c r="B1364" s="6" t="str">
        <x:v>Labor Reference</x:v>
      </x:c>
      <x:c r="C1364" s="6" t="str">
        <x:v>LABX-0092</x:v>
      </x:c>
      <x:c r="D1364" s="6" t="str">
        <x:v>SVC000092</x:v>
      </x:c>
      <x:c r="E1364" s="6" t="str"/>
      <x:c r="F1364" s="6" t="str">
        <x:v>Labor-reference review</x:v>
      </x:c>
      <x:c r="G1364" s="6" t="n">
        <x:v>6</x:v>
      </x:c>
      <x:c r="H1364" s="6" t="str">
        <x:v>SIDX-0092</x:v>
      </x:c>
      <x:c r="I1364" s="6" t="str">
        <x:f>IF(H1364="","No upstream dependency",IF(ISNUMBER(SEARCH(";",H1364)),"Multiple dependencies - verify source queues",IFERROR(XLOOKUP(H1364,C2:C1586,J2:J1586),"Dependency not found")))</x:f>
        <x:v>Not Started</x:v>
      </x:c>
      <x:c r="J1364" s="6" t="str">
        <x:v>Not Started</x:v>
      </x:c>
      <x:c r="K1364" s="6" t="str">
        <x:v>Normal</x:v>
      </x:c>
      <x:c r="L1364" s="6" t="str"/>
      <x:c r="M1364" s="6" t="str"/>
      <x:c r="N1364" s="6" t="str"/>
      <x:c r="O1364" s="7" t="str"/>
      <x:c r="P1364" s="6" t="str">
        <x:v>Yes</x:v>
      </x:c>
      <x:c r="Q1364" s="7" t="str">
        <x:v>Requires stable service identity; preserve observed labor evidence.</x:v>
      </x:c>
    </x:row>
    <x:row r="1365">
      <x:c r="A1365" s="6" t="str">
        <x:v>SEQ-LAB-0093</x:v>
      </x:c>
      <x:c r="B1365" s="6" t="str">
        <x:v>Labor Reference</x:v>
      </x:c>
      <x:c r="C1365" s="6" t="str">
        <x:v>LABX-0093</x:v>
      </x:c>
      <x:c r="D1365" s="6" t="str">
        <x:v>SVC000093</x:v>
      </x:c>
      <x:c r="E1365" s="6" t="str"/>
      <x:c r="F1365" s="6" t="str">
        <x:v>Labor-reference review</x:v>
      </x:c>
      <x:c r="G1365" s="6" t="n">
        <x:v>6</x:v>
      </x:c>
      <x:c r="H1365" s="6" t="str">
        <x:v>SIDX-0093</x:v>
      </x:c>
      <x:c r="I1365" s="6" t="str">
        <x:f>IF(H1365="","No upstream dependency",IF(ISNUMBER(SEARCH(";",H1365)),"Multiple dependencies - verify source queues",IFERROR(XLOOKUP(H1365,C2:C1586,J2:J1586),"Dependency not found")))</x:f>
        <x:v>Not Started</x:v>
      </x:c>
      <x:c r="J1365" s="6" t="str">
        <x:v>Not Started</x:v>
      </x:c>
      <x:c r="K1365" s="6" t="str">
        <x:v>Normal</x:v>
      </x:c>
      <x:c r="L1365" s="6" t="str"/>
      <x:c r="M1365" s="6" t="str"/>
      <x:c r="N1365" s="6" t="str"/>
      <x:c r="O1365" s="7" t="str"/>
      <x:c r="P1365" s="6" t="str">
        <x:v>Yes</x:v>
      </x:c>
      <x:c r="Q1365" s="7" t="str">
        <x:v>Requires stable service identity; preserve observed labor evidence.</x:v>
      </x:c>
    </x:row>
    <x:row r="1366">
      <x:c r="A1366" s="6" t="str">
        <x:v>SEQ-LAB-0094</x:v>
      </x:c>
      <x:c r="B1366" s="6" t="str">
        <x:v>Labor Reference</x:v>
      </x:c>
      <x:c r="C1366" s="6" t="str">
        <x:v>LABX-0094</x:v>
      </x:c>
      <x:c r="D1366" s="6" t="str">
        <x:v>SVC000094</x:v>
      </x:c>
      <x:c r="E1366" s="6" t="str"/>
      <x:c r="F1366" s="6" t="str">
        <x:v>Labor-reference review</x:v>
      </x:c>
      <x:c r="G1366" s="6" t="n">
        <x:v>6</x:v>
      </x:c>
      <x:c r="H1366" s="6" t="str">
        <x:v>SIDX-0094</x:v>
      </x:c>
      <x:c r="I1366" s="6" t="str">
        <x:f>IF(H1366="","No upstream dependency",IF(ISNUMBER(SEARCH(";",H1366)),"Multiple dependencies - verify source queues",IFERROR(XLOOKUP(H1366,C2:C1586,J2:J1586),"Dependency not found")))</x:f>
        <x:v>Not Started</x:v>
      </x:c>
      <x:c r="J1366" s="6" t="str">
        <x:v>Not Started</x:v>
      </x:c>
      <x:c r="K1366" s="6" t="str">
        <x:v>Normal</x:v>
      </x:c>
      <x:c r="L1366" s="6" t="str"/>
      <x:c r="M1366" s="6" t="str"/>
      <x:c r="N1366" s="6" t="str"/>
      <x:c r="O1366" s="7" t="str"/>
      <x:c r="P1366" s="6" t="str">
        <x:v>Yes</x:v>
      </x:c>
      <x:c r="Q1366" s="7" t="str">
        <x:v>Requires stable service identity; preserve observed labor evidence.</x:v>
      </x:c>
    </x:row>
    <x:row r="1367">
      <x:c r="A1367" s="6" t="str">
        <x:v>SEQ-LAB-0095</x:v>
      </x:c>
      <x:c r="B1367" s="6" t="str">
        <x:v>Labor Reference</x:v>
      </x:c>
      <x:c r="C1367" s="6" t="str">
        <x:v>LABX-0095</x:v>
      </x:c>
      <x:c r="D1367" s="6" t="str">
        <x:v>SVC000095</x:v>
      </x:c>
      <x:c r="E1367" s="6" t="str"/>
      <x:c r="F1367" s="6" t="str">
        <x:v>Labor-reference review</x:v>
      </x:c>
      <x:c r="G1367" s="6" t="n">
        <x:v>6</x:v>
      </x:c>
      <x:c r="H1367" s="6" t="str">
        <x:v>SIDX-0095</x:v>
      </x:c>
      <x:c r="I1367" s="6" t="str">
        <x:f>IF(H1367="","No upstream dependency",IF(ISNUMBER(SEARCH(";",H1367)),"Multiple dependencies - verify source queues",IFERROR(XLOOKUP(H1367,C2:C1586,J2:J1586),"Dependency not found")))</x:f>
        <x:v>Not Started</x:v>
      </x:c>
      <x:c r="J1367" s="6" t="str">
        <x:v>Not Started</x:v>
      </x:c>
      <x:c r="K1367" s="6" t="str">
        <x:v>Normal</x:v>
      </x:c>
      <x:c r="L1367" s="6" t="str"/>
      <x:c r="M1367" s="6" t="str"/>
      <x:c r="N1367" s="6" t="str"/>
      <x:c r="O1367" s="7" t="str"/>
      <x:c r="P1367" s="6" t="str">
        <x:v>Yes</x:v>
      </x:c>
      <x:c r="Q1367" s="7" t="str">
        <x:v>Requires stable service identity; preserve observed labor evidence.</x:v>
      </x:c>
    </x:row>
    <x:row r="1368">
      <x:c r="A1368" s="6" t="str">
        <x:v>SEQ-LAB-0096</x:v>
      </x:c>
      <x:c r="B1368" s="6" t="str">
        <x:v>Labor Reference</x:v>
      </x:c>
      <x:c r="C1368" s="6" t="str">
        <x:v>LABX-0096</x:v>
      </x:c>
      <x:c r="D1368" s="6" t="str">
        <x:v>SVC000096</x:v>
      </x:c>
      <x:c r="E1368" s="6" t="str"/>
      <x:c r="F1368" s="6" t="str">
        <x:v>Labor-reference review</x:v>
      </x:c>
      <x:c r="G1368" s="6" t="n">
        <x:v>6</x:v>
      </x:c>
      <x:c r="H1368" s="6" t="str">
        <x:v>SIDX-0096</x:v>
      </x:c>
      <x:c r="I1368" s="6" t="str">
        <x:f>IF(H1368="","No upstream dependency",IF(ISNUMBER(SEARCH(";",H1368)),"Multiple dependencies - verify source queues",IFERROR(XLOOKUP(H1368,C2:C1586,J2:J1586),"Dependency not found")))</x:f>
        <x:v>Not Started</x:v>
      </x:c>
      <x:c r="J1368" s="6" t="str">
        <x:v>Not Started</x:v>
      </x:c>
      <x:c r="K1368" s="6" t="str">
        <x:v>Normal</x:v>
      </x:c>
      <x:c r="L1368" s="6" t="str"/>
      <x:c r="M1368" s="6" t="str"/>
      <x:c r="N1368" s="6" t="str"/>
      <x:c r="O1368" s="7" t="str"/>
      <x:c r="P1368" s="6" t="str">
        <x:v>Yes</x:v>
      </x:c>
      <x:c r="Q1368" s="7" t="str">
        <x:v>Requires stable service identity; preserve observed labor evidence.</x:v>
      </x:c>
    </x:row>
    <x:row r="1369">
      <x:c r="A1369" s="6" t="str">
        <x:v>SEQ-LAB-0097</x:v>
      </x:c>
      <x:c r="B1369" s="6" t="str">
        <x:v>Labor Reference</x:v>
      </x:c>
      <x:c r="C1369" s="6" t="str">
        <x:v>LABX-0097</x:v>
      </x:c>
      <x:c r="D1369" s="6" t="str">
        <x:v>SVC000097</x:v>
      </x:c>
      <x:c r="E1369" s="6" t="str"/>
      <x:c r="F1369" s="6" t="str">
        <x:v>Labor-reference review</x:v>
      </x:c>
      <x:c r="G1369" s="6" t="n">
        <x:v>6</x:v>
      </x:c>
      <x:c r="H1369" s="6" t="str">
        <x:v>SIDX-0097</x:v>
      </x:c>
      <x:c r="I1369" s="6" t="str">
        <x:f>IF(H1369="","No upstream dependency",IF(ISNUMBER(SEARCH(";",H1369)),"Multiple dependencies - verify source queues",IFERROR(XLOOKUP(H1369,C2:C1586,J2:J1586),"Dependency not found")))</x:f>
        <x:v>Not Started</x:v>
      </x:c>
      <x:c r="J1369" s="6" t="str">
        <x:v>Not Started</x:v>
      </x:c>
      <x:c r="K1369" s="6" t="str">
        <x:v>Normal</x:v>
      </x:c>
      <x:c r="L1369" s="6" t="str"/>
      <x:c r="M1369" s="6" t="str"/>
      <x:c r="N1369" s="6" t="str"/>
      <x:c r="O1369" s="7" t="str"/>
      <x:c r="P1369" s="6" t="str">
        <x:v>Yes</x:v>
      </x:c>
      <x:c r="Q1369" s="7" t="str">
        <x:v>Requires stable service identity; preserve observed labor evidence.</x:v>
      </x:c>
    </x:row>
    <x:row r="1370">
      <x:c r="A1370" s="6" t="str">
        <x:v>SEQ-LAB-0098</x:v>
      </x:c>
      <x:c r="B1370" s="6" t="str">
        <x:v>Labor Reference</x:v>
      </x:c>
      <x:c r="C1370" s="6" t="str">
        <x:v>LABX-0098</x:v>
      </x:c>
      <x:c r="D1370" s="6" t="str">
        <x:v>SVC000098</x:v>
      </x:c>
      <x:c r="E1370" s="6" t="str"/>
      <x:c r="F1370" s="6" t="str">
        <x:v>Labor-reference review</x:v>
      </x:c>
      <x:c r="G1370" s="6" t="n">
        <x:v>6</x:v>
      </x:c>
      <x:c r="H1370" s="6" t="str">
        <x:v>SIDX-0098</x:v>
      </x:c>
      <x:c r="I1370" s="6" t="str">
        <x:f>IF(H1370="","No upstream dependency",IF(ISNUMBER(SEARCH(";",H1370)),"Multiple dependencies - verify source queues",IFERROR(XLOOKUP(H1370,C2:C1586,J2:J1586),"Dependency not found")))</x:f>
        <x:v>Not Started</x:v>
      </x:c>
      <x:c r="J1370" s="6" t="str">
        <x:v>Not Started</x:v>
      </x:c>
      <x:c r="K1370" s="6" t="str">
        <x:v>Normal</x:v>
      </x:c>
      <x:c r="L1370" s="6" t="str"/>
      <x:c r="M1370" s="6" t="str"/>
      <x:c r="N1370" s="6" t="str"/>
      <x:c r="O1370" s="7" t="str"/>
      <x:c r="P1370" s="6" t="str">
        <x:v>Yes</x:v>
      </x:c>
      <x:c r="Q1370" s="7" t="str">
        <x:v>Requires stable service identity; preserve observed labor evidence.</x:v>
      </x:c>
    </x:row>
    <x:row r="1371">
      <x:c r="A1371" s="6" t="str">
        <x:v>SEQ-LAB-0099</x:v>
      </x:c>
      <x:c r="B1371" s="6" t="str">
        <x:v>Labor Reference</x:v>
      </x:c>
      <x:c r="C1371" s="6" t="str">
        <x:v>LABX-0099</x:v>
      </x:c>
      <x:c r="D1371" s="6" t="str">
        <x:v>SVC000099</x:v>
      </x:c>
      <x:c r="E1371" s="6" t="str"/>
      <x:c r="F1371" s="6" t="str">
        <x:v>Labor-reference review</x:v>
      </x:c>
      <x:c r="G1371" s="6" t="n">
        <x:v>6</x:v>
      </x:c>
      <x:c r="H1371" s="6" t="str">
        <x:v>SIDX-0099</x:v>
      </x:c>
      <x:c r="I1371" s="6" t="str">
        <x:f>IF(H1371="","No upstream dependency",IF(ISNUMBER(SEARCH(";",H1371)),"Multiple dependencies - verify source queues",IFERROR(XLOOKUP(H1371,C2:C1586,J2:J1586),"Dependency not found")))</x:f>
        <x:v>Not Started</x:v>
      </x:c>
      <x:c r="J1371" s="6" t="str">
        <x:v>Not Started</x:v>
      </x:c>
      <x:c r="K1371" s="6" t="str">
        <x:v>Normal</x:v>
      </x:c>
      <x:c r="L1371" s="6" t="str"/>
      <x:c r="M1371" s="6" t="str"/>
      <x:c r="N1371" s="6" t="str"/>
      <x:c r="O1371" s="7" t="str"/>
      <x:c r="P1371" s="6" t="str">
        <x:v>Yes</x:v>
      </x:c>
      <x:c r="Q1371" s="7" t="str">
        <x:v>Requires stable service identity; preserve observed labor evidence.</x:v>
      </x:c>
    </x:row>
    <x:row r="1372">
      <x:c r="A1372" s="6" t="str">
        <x:v>SEQ-LAB-0100</x:v>
      </x:c>
      <x:c r="B1372" s="6" t="str">
        <x:v>Labor Reference</x:v>
      </x:c>
      <x:c r="C1372" s="6" t="str">
        <x:v>LABX-0100</x:v>
      </x:c>
      <x:c r="D1372" s="6" t="str">
        <x:v>SVC000100</x:v>
      </x:c>
      <x:c r="E1372" s="6" t="str"/>
      <x:c r="F1372" s="6" t="str">
        <x:v>Labor-reference review</x:v>
      </x:c>
      <x:c r="G1372" s="6" t="n">
        <x:v>6</x:v>
      </x:c>
      <x:c r="H1372" s="6" t="str">
        <x:v>SIDX-0100</x:v>
      </x:c>
      <x:c r="I1372" s="6" t="str">
        <x:f>IF(H1372="","No upstream dependency",IF(ISNUMBER(SEARCH(";",H1372)),"Multiple dependencies - verify source queues",IFERROR(XLOOKUP(H1372,C2:C1586,J2:J1586),"Dependency not found")))</x:f>
        <x:v>Not Started</x:v>
      </x:c>
      <x:c r="J1372" s="6" t="str">
        <x:v>Not Started</x:v>
      </x:c>
      <x:c r="K1372" s="6" t="str">
        <x:v>Normal</x:v>
      </x:c>
      <x:c r="L1372" s="6" t="str"/>
      <x:c r="M1372" s="6" t="str"/>
      <x:c r="N1372" s="6" t="str"/>
      <x:c r="O1372" s="7" t="str"/>
      <x:c r="P1372" s="6" t="str">
        <x:v>Yes</x:v>
      </x:c>
      <x:c r="Q1372" s="7" t="str">
        <x:v>Requires stable service identity; preserve observed labor evidence.</x:v>
      </x:c>
    </x:row>
    <x:row r="1373">
      <x:c r="A1373" s="6" t="str">
        <x:v>SEQ-LAB-0101</x:v>
      </x:c>
      <x:c r="B1373" s="6" t="str">
        <x:v>Labor Reference</x:v>
      </x:c>
      <x:c r="C1373" s="6" t="str">
        <x:v>LABX-0101</x:v>
      </x:c>
      <x:c r="D1373" s="6" t="str">
        <x:v>SVC000101</x:v>
      </x:c>
      <x:c r="E1373" s="6" t="str"/>
      <x:c r="F1373" s="6" t="str">
        <x:v>Labor-reference review</x:v>
      </x:c>
      <x:c r="G1373" s="6" t="n">
        <x:v>6</x:v>
      </x:c>
      <x:c r="H1373" s="6" t="str">
        <x:v>SIDX-0101</x:v>
      </x:c>
      <x:c r="I1373" s="6" t="str">
        <x:f>IF(H1373="","No upstream dependency",IF(ISNUMBER(SEARCH(";",H1373)),"Multiple dependencies - verify source queues",IFERROR(XLOOKUP(H1373,C2:C1586,J2:J1586),"Dependency not found")))</x:f>
        <x:v>Not Started</x:v>
      </x:c>
      <x:c r="J1373" s="6" t="str">
        <x:v>Not Started</x:v>
      </x:c>
      <x:c r="K1373" s="6" t="str">
        <x:v>Normal</x:v>
      </x:c>
      <x:c r="L1373" s="6" t="str"/>
      <x:c r="M1373" s="6" t="str"/>
      <x:c r="N1373" s="6" t="str"/>
      <x:c r="O1373" s="7" t="str"/>
      <x:c r="P1373" s="6" t="str">
        <x:v>Yes</x:v>
      </x:c>
      <x:c r="Q1373" s="7" t="str">
        <x:v>Requires stable service identity; preserve observed labor evidence.</x:v>
      </x:c>
    </x:row>
    <x:row r="1374">
      <x:c r="A1374" s="6" t="str">
        <x:v>SEQ-LAB-0102</x:v>
      </x:c>
      <x:c r="B1374" s="6" t="str">
        <x:v>Labor Reference</x:v>
      </x:c>
      <x:c r="C1374" s="6" t="str">
        <x:v>LABX-0102</x:v>
      </x:c>
      <x:c r="D1374" s="6" t="str">
        <x:v>SVC000102</x:v>
      </x:c>
      <x:c r="E1374" s="6" t="str"/>
      <x:c r="F1374" s="6" t="str">
        <x:v>Labor-reference review</x:v>
      </x:c>
      <x:c r="G1374" s="6" t="n">
        <x:v>6</x:v>
      </x:c>
      <x:c r="H1374" s="6" t="str">
        <x:v>SIDX-0102</x:v>
      </x:c>
      <x:c r="I1374" s="6" t="str">
        <x:f>IF(H1374="","No upstream dependency",IF(ISNUMBER(SEARCH(";",H1374)),"Multiple dependencies - verify source queues",IFERROR(XLOOKUP(H1374,C2:C1586,J2:J1586),"Dependency not found")))</x:f>
        <x:v>Not Started</x:v>
      </x:c>
      <x:c r="J1374" s="6" t="str">
        <x:v>Not Started</x:v>
      </x:c>
      <x:c r="K1374" s="6" t="str">
        <x:v>Normal</x:v>
      </x:c>
      <x:c r="L1374" s="6" t="str"/>
      <x:c r="M1374" s="6" t="str"/>
      <x:c r="N1374" s="6" t="str"/>
      <x:c r="O1374" s="7" t="str"/>
      <x:c r="P1374" s="6" t="str">
        <x:v>Yes</x:v>
      </x:c>
      <x:c r="Q1374" s="7" t="str">
        <x:v>Requires stable service identity; preserve observed labor evidence.</x:v>
      </x:c>
    </x:row>
    <x:row r="1375">
      <x:c r="A1375" s="6" t="str">
        <x:v>SEQ-LAB-0103</x:v>
      </x:c>
      <x:c r="B1375" s="6" t="str">
        <x:v>Labor Reference</x:v>
      </x:c>
      <x:c r="C1375" s="6" t="str">
        <x:v>LABX-0103</x:v>
      </x:c>
      <x:c r="D1375" s="6" t="str">
        <x:v>SVC000103</x:v>
      </x:c>
      <x:c r="E1375" s="6" t="str"/>
      <x:c r="F1375" s="6" t="str">
        <x:v>Labor-reference review</x:v>
      </x:c>
      <x:c r="G1375" s="6" t="n">
        <x:v>6</x:v>
      </x:c>
      <x:c r="H1375" s="6" t="str">
        <x:v>SIDX-0103</x:v>
      </x:c>
      <x:c r="I1375" s="6" t="str">
        <x:f>IF(H1375="","No upstream dependency",IF(ISNUMBER(SEARCH(";",H1375)),"Multiple dependencies - verify source queues",IFERROR(XLOOKUP(H1375,C2:C1586,J2:J1586),"Dependency not found")))</x:f>
        <x:v>Not Started</x:v>
      </x:c>
      <x:c r="J1375" s="6" t="str">
        <x:v>Not Started</x:v>
      </x:c>
      <x:c r="K1375" s="6" t="str">
        <x:v>Normal</x:v>
      </x:c>
      <x:c r="L1375" s="6" t="str"/>
      <x:c r="M1375" s="6" t="str"/>
      <x:c r="N1375" s="6" t="str"/>
      <x:c r="O1375" s="7" t="str"/>
      <x:c r="P1375" s="6" t="str">
        <x:v>Yes</x:v>
      </x:c>
      <x:c r="Q1375" s="7" t="str">
        <x:v>Requires stable service identity; preserve observed labor evidence.</x:v>
      </x:c>
    </x:row>
    <x:row r="1376">
      <x:c r="A1376" s="6" t="str">
        <x:v>SEQ-LAB-0104</x:v>
      </x:c>
      <x:c r="B1376" s="6" t="str">
        <x:v>Labor Reference</x:v>
      </x:c>
      <x:c r="C1376" s="6" t="str">
        <x:v>LABX-0104</x:v>
      </x:c>
      <x:c r="D1376" s="6" t="str">
        <x:v>SVC000104</x:v>
      </x:c>
      <x:c r="E1376" s="6" t="str"/>
      <x:c r="F1376" s="6" t="str">
        <x:v>Labor-reference review</x:v>
      </x:c>
      <x:c r="G1376" s="6" t="n">
        <x:v>6</x:v>
      </x:c>
      <x:c r="H1376" s="6" t="str">
        <x:v>SIDX-0104</x:v>
      </x:c>
      <x:c r="I1376" s="6" t="str">
        <x:f>IF(H1376="","No upstream dependency",IF(ISNUMBER(SEARCH(";",H1376)),"Multiple dependencies - verify source queues",IFERROR(XLOOKUP(H1376,C2:C1586,J2:J1586),"Dependency not found")))</x:f>
        <x:v>Not Started</x:v>
      </x:c>
      <x:c r="J1376" s="6" t="str">
        <x:v>Not Started</x:v>
      </x:c>
      <x:c r="K1376" s="6" t="str">
        <x:v>Normal</x:v>
      </x:c>
      <x:c r="L1376" s="6" t="str"/>
      <x:c r="M1376" s="6" t="str"/>
      <x:c r="N1376" s="6" t="str"/>
      <x:c r="O1376" s="7" t="str"/>
      <x:c r="P1376" s="6" t="str">
        <x:v>Yes</x:v>
      </x:c>
      <x:c r="Q1376" s="7" t="str">
        <x:v>Requires stable service identity; preserve observed labor evidence.</x:v>
      </x:c>
    </x:row>
    <x:row r="1377">
      <x:c r="A1377" s="6" t="str">
        <x:v>SEQ-LAB-0105</x:v>
      </x:c>
      <x:c r="B1377" s="6" t="str">
        <x:v>Labor Reference</x:v>
      </x:c>
      <x:c r="C1377" s="6" t="str">
        <x:v>LABX-0105</x:v>
      </x:c>
      <x:c r="D1377" s="6" t="str">
        <x:v>SVC000105</x:v>
      </x:c>
      <x:c r="E1377" s="6" t="str"/>
      <x:c r="F1377" s="6" t="str">
        <x:v>Labor-reference review</x:v>
      </x:c>
      <x:c r="G1377" s="6" t="n">
        <x:v>6</x:v>
      </x:c>
      <x:c r="H1377" s="6" t="str">
        <x:v>SIDX-0105</x:v>
      </x:c>
      <x:c r="I1377" s="6" t="str">
        <x:f>IF(H1377="","No upstream dependency",IF(ISNUMBER(SEARCH(";",H1377)),"Multiple dependencies - verify source queues",IFERROR(XLOOKUP(H1377,C2:C1586,J2:J1586),"Dependency not found")))</x:f>
        <x:v>Not Started</x:v>
      </x:c>
      <x:c r="J1377" s="6" t="str">
        <x:v>Not Started</x:v>
      </x:c>
      <x:c r="K1377" s="6" t="str">
        <x:v>Normal</x:v>
      </x:c>
      <x:c r="L1377" s="6" t="str"/>
      <x:c r="M1377" s="6" t="str"/>
      <x:c r="N1377" s="6" t="str"/>
      <x:c r="O1377" s="7" t="str"/>
      <x:c r="P1377" s="6" t="str">
        <x:v>Yes</x:v>
      </x:c>
      <x:c r="Q1377" s="7" t="str">
        <x:v>Requires stable service identity; preserve observed labor evidence.</x:v>
      </x:c>
    </x:row>
    <x:row r="1378">
      <x:c r="A1378" s="6" t="str">
        <x:v>SEQ-LAB-0106</x:v>
      </x:c>
      <x:c r="B1378" s="6" t="str">
        <x:v>Labor Reference</x:v>
      </x:c>
      <x:c r="C1378" s="6" t="str">
        <x:v>LABX-0106</x:v>
      </x:c>
      <x:c r="D1378" s="6" t="str">
        <x:v>SVC000106</x:v>
      </x:c>
      <x:c r="E1378" s="6" t="str"/>
      <x:c r="F1378" s="6" t="str">
        <x:v>Labor-reference review</x:v>
      </x:c>
      <x:c r="G1378" s="6" t="n">
        <x:v>6</x:v>
      </x:c>
      <x:c r="H1378" s="6" t="str">
        <x:v>SIDX-0106</x:v>
      </x:c>
      <x:c r="I1378" s="6" t="str">
        <x:f>IF(H1378="","No upstream dependency",IF(ISNUMBER(SEARCH(";",H1378)),"Multiple dependencies - verify source queues",IFERROR(XLOOKUP(H1378,C2:C1586,J2:J1586),"Dependency not found")))</x:f>
        <x:v>Not Started</x:v>
      </x:c>
      <x:c r="J1378" s="6" t="str">
        <x:v>Not Started</x:v>
      </x:c>
      <x:c r="K1378" s="6" t="str">
        <x:v>Normal</x:v>
      </x:c>
      <x:c r="L1378" s="6" t="str"/>
      <x:c r="M1378" s="6" t="str"/>
      <x:c r="N1378" s="6" t="str"/>
      <x:c r="O1378" s="7" t="str"/>
      <x:c r="P1378" s="6" t="str">
        <x:v>Yes</x:v>
      </x:c>
      <x:c r="Q1378" s="7" t="str">
        <x:v>Requires stable service identity; preserve observed labor evidence.</x:v>
      </x:c>
    </x:row>
    <x:row r="1379">
      <x:c r="A1379" s="6" t="str">
        <x:v>SEQ-LAB-0107</x:v>
      </x:c>
      <x:c r="B1379" s="6" t="str">
        <x:v>Labor Reference</x:v>
      </x:c>
      <x:c r="C1379" s="6" t="str">
        <x:v>LABX-0107</x:v>
      </x:c>
      <x:c r="D1379" s="6" t="str">
        <x:v>SVC000107</x:v>
      </x:c>
      <x:c r="E1379" s="6" t="str"/>
      <x:c r="F1379" s="6" t="str">
        <x:v>Labor-reference review</x:v>
      </x:c>
      <x:c r="G1379" s="6" t="n">
        <x:v>6</x:v>
      </x:c>
      <x:c r="H1379" s="6" t="str">
        <x:v>SIDX-0107</x:v>
      </x:c>
      <x:c r="I1379" s="6" t="str">
        <x:f>IF(H1379="","No upstream dependency",IF(ISNUMBER(SEARCH(";",H1379)),"Multiple dependencies - verify source queues",IFERROR(XLOOKUP(H1379,C2:C1586,J2:J1586),"Dependency not found")))</x:f>
        <x:v>Not Started</x:v>
      </x:c>
      <x:c r="J1379" s="6" t="str">
        <x:v>Not Started</x:v>
      </x:c>
      <x:c r="K1379" s="6" t="str">
        <x:v>Normal</x:v>
      </x:c>
      <x:c r="L1379" s="6" t="str"/>
      <x:c r="M1379" s="6" t="str"/>
      <x:c r="N1379" s="6" t="str"/>
      <x:c r="O1379" s="7" t="str"/>
      <x:c r="P1379" s="6" t="str">
        <x:v>Yes</x:v>
      </x:c>
      <x:c r="Q1379" s="7" t="str">
        <x:v>Requires stable service identity; preserve observed labor evidence.</x:v>
      </x:c>
    </x:row>
    <x:row r="1380">
      <x:c r="A1380" s="6" t="str">
        <x:v>SEQ-LAB-0108</x:v>
      </x:c>
      <x:c r="B1380" s="6" t="str">
        <x:v>Labor Reference</x:v>
      </x:c>
      <x:c r="C1380" s="6" t="str">
        <x:v>LABX-0108</x:v>
      </x:c>
      <x:c r="D1380" s="6" t="str">
        <x:v>SVC000108</x:v>
      </x:c>
      <x:c r="E1380" s="6" t="str"/>
      <x:c r="F1380" s="6" t="str">
        <x:v>Labor-reference review</x:v>
      </x:c>
      <x:c r="G1380" s="6" t="n">
        <x:v>6</x:v>
      </x:c>
      <x:c r="H1380" s="6" t="str">
        <x:v>SIDX-0108</x:v>
      </x:c>
      <x:c r="I1380" s="6" t="str">
        <x:f>IF(H1380="","No upstream dependency",IF(ISNUMBER(SEARCH(";",H1380)),"Multiple dependencies - verify source queues",IFERROR(XLOOKUP(H1380,C2:C1586,J2:J1586),"Dependency not found")))</x:f>
        <x:v>Not Started</x:v>
      </x:c>
      <x:c r="J1380" s="6" t="str">
        <x:v>Not Started</x:v>
      </x:c>
      <x:c r="K1380" s="6" t="str">
        <x:v>Normal</x:v>
      </x:c>
      <x:c r="L1380" s="6" t="str"/>
      <x:c r="M1380" s="6" t="str"/>
      <x:c r="N1380" s="6" t="str"/>
      <x:c r="O1380" s="7" t="str"/>
      <x:c r="P1380" s="6" t="str">
        <x:v>Yes</x:v>
      </x:c>
      <x:c r="Q1380" s="7" t="str">
        <x:v>Requires stable service identity; preserve observed labor evidence.</x:v>
      </x:c>
    </x:row>
    <x:row r="1381">
      <x:c r="A1381" s="6" t="str">
        <x:v>SEQ-LAB-0109</x:v>
      </x:c>
      <x:c r="B1381" s="6" t="str">
        <x:v>Labor Reference</x:v>
      </x:c>
      <x:c r="C1381" s="6" t="str">
        <x:v>LABX-0109</x:v>
      </x:c>
      <x:c r="D1381" s="6" t="str">
        <x:v>SVC000109</x:v>
      </x:c>
      <x:c r="E1381" s="6" t="str"/>
      <x:c r="F1381" s="6" t="str">
        <x:v>Labor-reference review</x:v>
      </x:c>
      <x:c r="G1381" s="6" t="n">
        <x:v>6</x:v>
      </x:c>
      <x:c r="H1381" s="6" t="str">
        <x:v>SIDX-0109</x:v>
      </x:c>
      <x:c r="I1381" s="6" t="str">
        <x:f>IF(H1381="","No upstream dependency",IF(ISNUMBER(SEARCH(";",H1381)),"Multiple dependencies - verify source queues",IFERROR(XLOOKUP(H1381,C2:C1586,J2:J1586),"Dependency not found")))</x:f>
        <x:v>Not Started</x:v>
      </x:c>
      <x:c r="J1381" s="6" t="str">
        <x:v>Not Started</x:v>
      </x:c>
      <x:c r="K1381" s="6" t="str">
        <x:v>Normal</x:v>
      </x:c>
      <x:c r="L1381" s="6" t="str"/>
      <x:c r="M1381" s="6" t="str"/>
      <x:c r="N1381" s="6" t="str"/>
      <x:c r="O1381" s="7" t="str"/>
      <x:c r="P1381" s="6" t="str">
        <x:v>Yes</x:v>
      </x:c>
      <x:c r="Q1381" s="7" t="str">
        <x:v>Requires stable service identity; preserve observed labor evidence.</x:v>
      </x:c>
    </x:row>
    <x:row r="1382">
      <x:c r="A1382" s="6" t="str">
        <x:v>SEQ-LAB-0110</x:v>
      </x:c>
      <x:c r="B1382" s="6" t="str">
        <x:v>Labor Reference</x:v>
      </x:c>
      <x:c r="C1382" s="6" t="str">
        <x:v>LABX-0110</x:v>
      </x:c>
      <x:c r="D1382" s="6" t="str">
        <x:v>SVC000110</x:v>
      </x:c>
      <x:c r="E1382" s="6" t="str"/>
      <x:c r="F1382" s="6" t="str">
        <x:v>Labor-reference review</x:v>
      </x:c>
      <x:c r="G1382" s="6" t="n">
        <x:v>6</x:v>
      </x:c>
      <x:c r="H1382" s="6" t="str">
        <x:v>SIDX-0110</x:v>
      </x:c>
      <x:c r="I1382" s="6" t="str">
        <x:f>IF(H1382="","No upstream dependency",IF(ISNUMBER(SEARCH(";",H1382)),"Multiple dependencies - verify source queues",IFERROR(XLOOKUP(H1382,C2:C1586,J2:J1586),"Dependency not found")))</x:f>
        <x:v>Not Started</x:v>
      </x:c>
      <x:c r="J1382" s="6" t="str">
        <x:v>Not Started</x:v>
      </x:c>
      <x:c r="K1382" s="6" t="str">
        <x:v>Normal</x:v>
      </x:c>
      <x:c r="L1382" s="6" t="str"/>
      <x:c r="M1382" s="6" t="str"/>
      <x:c r="N1382" s="6" t="str"/>
      <x:c r="O1382" s="7" t="str"/>
      <x:c r="P1382" s="6" t="str">
        <x:v>Yes</x:v>
      </x:c>
      <x:c r="Q1382" s="7" t="str">
        <x:v>Requires stable service identity; preserve observed labor evidence.</x:v>
      </x:c>
    </x:row>
    <x:row r="1383">
      <x:c r="A1383" s="6" t="str">
        <x:v>SEQ-LAB-0111</x:v>
      </x:c>
      <x:c r="B1383" s="6" t="str">
        <x:v>Labor Reference</x:v>
      </x:c>
      <x:c r="C1383" s="6" t="str">
        <x:v>LABX-0111</x:v>
      </x:c>
      <x:c r="D1383" s="6" t="str">
        <x:v>SVC000111</x:v>
      </x:c>
      <x:c r="E1383" s="6" t="str"/>
      <x:c r="F1383" s="6" t="str">
        <x:v>Labor-reference review</x:v>
      </x:c>
      <x:c r="G1383" s="6" t="n">
        <x:v>6</x:v>
      </x:c>
      <x:c r="H1383" s="6" t="str">
        <x:v>SIDX-0111</x:v>
      </x:c>
      <x:c r="I1383" s="6" t="str">
        <x:f>IF(H1383="","No upstream dependency",IF(ISNUMBER(SEARCH(";",H1383)),"Multiple dependencies - verify source queues",IFERROR(XLOOKUP(H1383,C2:C1586,J2:J1586),"Dependency not found")))</x:f>
        <x:v>Not Started</x:v>
      </x:c>
      <x:c r="J1383" s="6" t="str">
        <x:v>Not Started</x:v>
      </x:c>
      <x:c r="K1383" s="6" t="str">
        <x:v>Normal</x:v>
      </x:c>
      <x:c r="L1383" s="6" t="str"/>
      <x:c r="M1383" s="6" t="str"/>
      <x:c r="N1383" s="6" t="str"/>
      <x:c r="O1383" s="7" t="str"/>
      <x:c r="P1383" s="6" t="str">
        <x:v>Yes</x:v>
      </x:c>
      <x:c r="Q1383" s="7" t="str">
        <x:v>Requires stable service identity; preserve observed labor evidence.</x:v>
      </x:c>
    </x:row>
    <x:row r="1384">
      <x:c r="A1384" s="6" t="str">
        <x:v>SEQ-LAB-0112</x:v>
      </x:c>
      <x:c r="B1384" s="6" t="str">
        <x:v>Labor Reference</x:v>
      </x:c>
      <x:c r="C1384" s="6" t="str">
        <x:v>LABX-0112</x:v>
      </x:c>
      <x:c r="D1384" s="6" t="str">
        <x:v>SVC000112</x:v>
      </x:c>
      <x:c r="E1384" s="6" t="str"/>
      <x:c r="F1384" s="6" t="str">
        <x:v>Labor-reference review</x:v>
      </x:c>
      <x:c r="G1384" s="6" t="n">
        <x:v>6</x:v>
      </x:c>
      <x:c r="H1384" s="6" t="str">
        <x:v>SIDX-0112</x:v>
      </x:c>
      <x:c r="I1384" s="6" t="str">
        <x:f>IF(H1384="","No upstream dependency",IF(ISNUMBER(SEARCH(";",H1384)),"Multiple dependencies - verify source queues",IFERROR(XLOOKUP(H1384,C2:C1586,J2:J1586),"Dependency not found")))</x:f>
        <x:v>Not Started</x:v>
      </x:c>
      <x:c r="J1384" s="6" t="str">
        <x:v>Not Started</x:v>
      </x:c>
      <x:c r="K1384" s="6" t="str">
        <x:v>Normal</x:v>
      </x:c>
      <x:c r="L1384" s="6" t="str"/>
      <x:c r="M1384" s="6" t="str"/>
      <x:c r="N1384" s="6" t="str"/>
      <x:c r="O1384" s="7" t="str"/>
      <x:c r="P1384" s="6" t="str">
        <x:v>Yes</x:v>
      </x:c>
      <x:c r="Q1384" s="7" t="str">
        <x:v>Requires stable service identity; preserve observed labor evidence.</x:v>
      </x:c>
    </x:row>
    <x:row r="1385">
      <x:c r="A1385" s="6" t="str">
        <x:v>SEQ-LAB-0113</x:v>
      </x:c>
      <x:c r="B1385" s="6" t="str">
        <x:v>Labor Reference</x:v>
      </x:c>
      <x:c r="C1385" s="6" t="str">
        <x:v>LABX-0113</x:v>
      </x:c>
      <x:c r="D1385" s="6" t="str">
        <x:v>SVC000113</x:v>
      </x:c>
      <x:c r="E1385" s="6" t="str"/>
      <x:c r="F1385" s="6" t="str">
        <x:v>Labor-reference review</x:v>
      </x:c>
      <x:c r="G1385" s="6" t="n">
        <x:v>6</x:v>
      </x:c>
      <x:c r="H1385" s="6" t="str">
        <x:v>SIDX-0113</x:v>
      </x:c>
      <x:c r="I1385" s="6" t="str">
        <x:f>IF(H1385="","No upstream dependency",IF(ISNUMBER(SEARCH(";",H1385)),"Multiple dependencies - verify source queues",IFERROR(XLOOKUP(H1385,C2:C1586,J2:J1586),"Dependency not found")))</x:f>
        <x:v>Not Started</x:v>
      </x:c>
      <x:c r="J1385" s="6" t="str">
        <x:v>Not Started</x:v>
      </x:c>
      <x:c r="K1385" s="6" t="str">
        <x:v>Normal</x:v>
      </x:c>
      <x:c r="L1385" s="6" t="str"/>
      <x:c r="M1385" s="6" t="str"/>
      <x:c r="N1385" s="6" t="str"/>
      <x:c r="O1385" s="7" t="str"/>
      <x:c r="P1385" s="6" t="str">
        <x:v>Yes</x:v>
      </x:c>
      <x:c r="Q1385" s="7" t="str">
        <x:v>Requires stable service identity; preserve observed labor evidence.</x:v>
      </x:c>
    </x:row>
    <x:row r="1386">
      <x:c r="A1386" s="6" t="str">
        <x:v>SEQ-LAB-0114</x:v>
      </x:c>
      <x:c r="B1386" s="6" t="str">
        <x:v>Labor Reference</x:v>
      </x:c>
      <x:c r="C1386" s="6" t="str">
        <x:v>LABX-0114</x:v>
      </x:c>
      <x:c r="D1386" s="6" t="str">
        <x:v>SVC000114</x:v>
      </x:c>
      <x:c r="E1386" s="6" t="str"/>
      <x:c r="F1386" s="6" t="str">
        <x:v>Labor-reference review</x:v>
      </x:c>
      <x:c r="G1386" s="6" t="n">
        <x:v>6</x:v>
      </x:c>
      <x:c r="H1386" s="6" t="str">
        <x:v>SIDX-0114</x:v>
      </x:c>
      <x:c r="I1386" s="6" t="str">
        <x:f>IF(H1386="","No upstream dependency",IF(ISNUMBER(SEARCH(";",H1386)),"Multiple dependencies - verify source queues",IFERROR(XLOOKUP(H1386,C2:C1586,J2:J1586),"Dependency not found")))</x:f>
        <x:v>Not Started</x:v>
      </x:c>
      <x:c r="J1386" s="6" t="str">
        <x:v>Not Started</x:v>
      </x:c>
      <x:c r="K1386" s="6" t="str">
        <x:v>Normal</x:v>
      </x:c>
      <x:c r="L1386" s="6" t="str"/>
      <x:c r="M1386" s="6" t="str"/>
      <x:c r="N1386" s="6" t="str"/>
      <x:c r="O1386" s="7" t="str"/>
      <x:c r="P1386" s="6" t="str">
        <x:v>Yes</x:v>
      </x:c>
      <x:c r="Q1386" s="7" t="str">
        <x:v>Requires stable service identity; preserve observed labor evidence.</x:v>
      </x:c>
    </x:row>
    <x:row r="1387">
      <x:c r="A1387" s="6" t="str">
        <x:v>SEQ-LAB-0115</x:v>
      </x:c>
      <x:c r="B1387" s="6" t="str">
        <x:v>Labor Reference</x:v>
      </x:c>
      <x:c r="C1387" s="6" t="str">
        <x:v>LABX-0115</x:v>
      </x:c>
      <x:c r="D1387" s="6" t="str">
        <x:v>SVC000115</x:v>
      </x:c>
      <x:c r="E1387" s="6" t="str"/>
      <x:c r="F1387" s="6" t="str">
        <x:v>Labor-reference review</x:v>
      </x:c>
      <x:c r="G1387" s="6" t="n">
        <x:v>6</x:v>
      </x:c>
      <x:c r="H1387" s="6" t="str">
        <x:v>SIDX-0115</x:v>
      </x:c>
      <x:c r="I1387" s="6" t="str">
        <x:f>IF(H1387="","No upstream dependency",IF(ISNUMBER(SEARCH(";",H1387)),"Multiple dependencies - verify source queues",IFERROR(XLOOKUP(H1387,C2:C1586,J2:J1586),"Dependency not found")))</x:f>
        <x:v>Not Started</x:v>
      </x:c>
      <x:c r="J1387" s="6" t="str">
        <x:v>Not Started</x:v>
      </x:c>
      <x:c r="K1387" s="6" t="str">
        <x:v>Normal</x:v>
      </x:c>
      <x:c r="L1387" s="6" t="str"/>
      <x:c r="M1387" s="6" t="str"/>
      <x:c r="N1387" s="6" t="str"/>
      <x:c r="O1387" s="7" t="str"/>
      <x:c r="P1387" s="6" t="str">
        <x:v>Yes</x:v>
      </x:c>
      <x:c r="Q1387" s="7" t="str">
        <x:v>Requires stable service identity; preserve observed labor evidence.</x:v>
      </x:c>
    </x:row>
    <x:row r="1388">
      <x:c r="A1388" s="6" t="str">
        <x:v>SEQ-LAB-0116</x:v>
      </x:c>
      <x:c r="B1388" s="6" t="str">
        <x:v>Labor Reference</x:v>
      </x:c>
      <x:c r="C1388" s="6" t="str">
        <x:v>LABX-0116</x:v>
      </x:c>
      <x:c r="D1388" s="6" t="str">
        <x:v>SVC000116</x:v>
      </x:c>
      <x:c r="E1388" s="6" t="str"/>
      <x:c r="F1388" s="6" t="str">
        <x:v>Labor-reference review</x:v>
      </x:c>
      <x:c r="G1388" s="6" t="n">
        <x:v>6</x:v>
      </x:c>
      <x:c r="H1388" s="6" t="str">
        <x:v>SIDX-0116</x:v>
      </x:c>
      <x:c r="I1388" s="6" t="str">
        <x:f>IF(H1388="","No upstream dependency",IF(ISNUMBER(SEARCH(";",H1388)),"Multiple dependencies - verify source queues",IFERROR(XLOOKUP(H1388,C2:C1586,J2:J1586),"Dependency not found")))</x:f>
        <x:v>Not Started</x:v>
      </x:c>
      <x:c r="J1388" s="6" t="str">
        <x:v>Not Started</x:v>
      </x:c>
      <x:c r="K1388" s="6" t="str">
        <x:v>Normal</x:v>
      </x:c>
      <x:c r="L1388" s="6" t="str"/>
      <x:c r="M1388" s="6" t="str"/>
      <x:c r="N1388" s="6" t="str"/>
      <x:c r="O1388" s="7" t="str"/>
      <x:c r="P1388" s="6" t="str">
        <x:v>Yes</x:v>
      </x:c>
      <x:c r="Q1388" s="7" t="str">
        <x:v>Requires stable service identity; preserve observed labor evidence.</x:v>
      </x:c>
    </x:row>
    <x:row r="1389">
      <x:c r="A1389" s="6" t="str">
        <x:v>SEQ-LAB-0117</x:v>
      </x:c>
      <x:c r="B1389" s="6" t="str">
        <x:v>Labor Reference</x:v>
      </x:c>
      <x:c r="C1389" s="6" t="str">
        <x:v>LABX-0117</x:v>
      </x:c>
      <x:c r="D1389" s="6" t="str">
        <x:v>SVC000117</x:v>
      </x:c>
      <x:c r="E1389" s="6" t="str"/>
      <x:c r="F1389" s="6" t="str">
        <x:v>Labor-reference review</x:v>
      </x:c>
      <x:c r="G1389" s="6" t="n">
        <x:v>6</x:v>
      </x:c>
      <x:c r="H1389" s="6" t="str">
        <x:v>SIDX-0117</x:v>
      </x:c>
      <x:c r="I1389" s="6" t="str">
        <x:f>IF(H1389="","No upstream dependency",IF(ISNUMBER(SEARCH(";",H1389)),"Multiple dependencies - verify source queues",IFERROR(XLOOKUP(H1389,C2:C1586,J2:J1586),"Dependency not found")))</x:f>
        <x:v>Not Started</x:v>
      </x:c>
      <x:c r="J1389" s="6" t="str">
        <x:v>Not Started</x:v>
      </x:c>
      <x:c r="K1389" s="6" t="str">
        <x:v>Normal</x:v>
      </x:c>
      <x:c r="L1389" s="6" t="str"/>
      <x:c r="M1389" s="6" t="str"/>
      <x:c r="N1389" s="6" t="str"/>
      <x:c r="O1389" s="7" t="str"/>
      <x:c r="P1389" s="6" t="str">
        <x:v>Yes</x:v>
      </x:c>
      <x:c r="Q1389" s="7" t="str">
        <x:v>Requires stable service identity; preserve observed labor evidence.</x:v>
      </x:c>
    </x:row>
    <x:row r="1390">
      <x:c r="A1390" s="6" t="str">
        <x:v>SEQ-LAB-0118</x:v>
      </x:c>
      <x:c r="B1390" s="6" t="str">
        <x:v>Labor Reference</x:v>
      </x:c>
      <x:c r="C1390" s="6" t="str">
        <x:v>LABX-0118</x:v>
      </x:c>
      <x:c r="D1390" s="6" t="str">
        <x:v>SVC000118</x:v>
      </x:c>
      <x:c r="E1390" s="6" t="str"/>
      <x:c r="F1390" s="6" t="str">
        <x:v>Labor-reference review</x:v>
      </x:c>
      <x:c r="G1390" s="6" t="n">
        <x:v>6</x:v>
      </x:c>
      <x:c r="H1390" s="6" t="str">
        <x:v>SIDX-0118</x:v>
      </x:c>
      <x:c r="I1390" s="6" t="str">
        <x:f>IF(H1390="","No upstream dependency",IF(ISNUMBER(SEARCH(";",H1390)),"Multiple dependencies - verify source queues",IFERROR(XLOOKUP(H1390,C2:C1586,J2:J1586),"Dependency not found")))</x:f>
        <x:v>Not Started</x:v>
      </x:c>
      <x:c r="J1390" s="6" t="str">
        <x:v>Not Started</x:v>
      </x:c>
      <x:c r="K1390" s="6" t="str">
        <x:v>Normal</x:v>
      </x:c>
      <x:c r="L1390" s="6" t="str"/>
      <x:c r="M1390" s="6" t="str"/>
      <x:c r="N1390" s="6" t="str"/>
      <x:c r="O1390" s="7" t="str"/>
      <x:c r="P1390" s="6" t="str">
        <x:v>Yes</x:v>
      </x:c>
      <x:c r="Q1390" s="7" t="str">
        <x:v>Requires stable service identity; preserve observed labor evidence.</x:v>
      </x:c>
    </x:row>
    <x:row r="1391">
      <x:c r="A1391" s="6" t="str">
        <x:v>SEQ-LAB-0119</x:v>
      </x:c>
      <x:c r="B1391" s="6" t="str">
        <x:v>Labor Reference</x:v>
      </x:c>
      <x:c r="C1391" s="6" t="str">
        <x:v>LABX-0119</x:v>
      </x:c>
      <x:c r="D1391" s="6" t="str">
        <x:v>SVC000119</x:v>
      </x:c>
      <x:c r="E1391" s="6" t="str"/>
      <x:c r="F1391" s="6" t="str">
        <x:v>Labor-reference review</x:v>
      </x:c>
      <x:c r="G1391" s="6" t="n">
        <x:v>6</x:v>
      </x:c>
      <x:c r="H1391" s="6" t="str">
        <x:v>SIDX-0119</x:v>
      </x:c>
      <x:c r="I1391" s="6" t="str">
        <x:f>IF(H1391="","No upstream dependency",IF(ISNUMBER(SEARCH(";",H1391)),"Multiple dependencies - verify source queues",IFERROR(XLOOKUP(H1391,C2:C1586,J2:J1586),"Dependency not found")))</x:f>
        <x:v>Not Started</x:v>
      </x:c>
      <x:c r="J1391" s="6" t="str">
        <x:v>Not Started</x:v>
      </x:c>
      <x:c r="K1391" s="6" t="str">
        <x:v>Normal</x:v>
      </x:c>
      <x:c r="L1391" s="6" t="str"/>
      <x:c r="M1391" s="6" t="str"/>
      <x:c r="N1391" s="6" t="str"/>
      <x:c r="O1391" s="7" t="str"/>
      <x:c r="P1391" s="6" t="str">
        <x:v>Yes</x:v>
      </x:c>
      <x:c r="Q1391" s="7" t="str">
        <x:v>Requires stable service identity; preserve observed labor evidence.</x:v>
      </x:c>
    </x:row>
    <x:row r="1392">
      <x:c r="A1392" s="6" t="str">
        <x:v>SEQ-LAB-0120</x:v>
      </x:c>
      <x:c r="B1392" s="6" t="str">
        <x:v>Labor Reference</x:v>
      </x:c>
      <x:c r="C1392" s="6" t="str">
        <x:v>LABX-0120</x:v>
      </x:c>
      <x:c r="D1392" s="6" t="str">
        <x:v>SVC000120</x:v>
      </x:c>
      <x:c r="E1392" s="6" t="str"/>
      <x:c r="F1392" s="6" t="str">
        <x:v>Labor-reference review</x:v>
      </x:c>
      <x:c r="G1392" s="6" t="n">
        <x:v>6</x:v>
      </x:c>
      <x:c r="H1392" s="6" t="str">
        <x:v>SIDX-0120</x:v>
      </x:c>
      <x:c r="I1392" s="6" t="str">
        <x:f>IF(H1392="","No upstream dependency",IF(ISNUMBER(SEARCH(";",H1392)),"Multiple dependencies - verify source queues",IFERROR(XLOOKUP(H1392,C2:C1586,J2:J1586),"Dependency not found")))</x:f>
        <x:v>Not Started</x:v>
      </x:c>
      <x:c r="J1392" s="6" t="str">
        <x:v>Not Started</x:v>
      </x:c>
      <x:c r="K1392" s="6" t="str">
        <x:v>Normal</x:v>
      </x:c>
      <x:c r="L1392" s="6" t="str"/>
      <x:c r="M1392" s="6" t="str"/>
      <x:c r="N1392" s="6" t="str"/>
      <x:c r="O1392" s="7" t="str"/>
      <x:c r="P1392" s="6" t="str">
        <x:v>Yes</x:v>
      </x:c>
      <x:c r="Q1392" s="7" t="str">
        <x:v>Requires stable service identity; preserve observed labor evidence.</x:v>
      </x:c>
    </x:row>
    <x:row r="1393">
      <x:c r="A1393" s="6" t="str">
        <x:v>SEQ-LAB-0121</x:v>
      </x:c>
      <x:c r="B1393" s="6" t="str">
        <x:v>Labor Reference</x:v>
      </x:c>
      <x:c r="C1393" s="6" t="str">
        <x:v>LABX-0121</x:v>
      </x:c>
      <x:c r="D1393" s="6" t="str">
        <x:v>SVC000121</x:v>
      </x:c>
      <x:c r="E1393" s="6" t="str"/>
      <x:c r="F1393" s="6" t="str">
        <x:v>Labor-reference review</x:v>
      </x:c>
      <x:c r="G1393" s="6" t="n">
        <x:v>6</x:v>
      </x:c>
      <x:c r="H1393" s="6" t="str">
        <x:v>SIDX-0121</x:v>
      </x:c>
      <x:c r="I1393" s="6" t="str">
        <x:f>IF(H1393="","No upstream dependency",IF(ISNUMBER(SEARCH(";",H1393)),"Multiple dependencies - verify source queues",IFERROR(XLOOKUP(H1393,C2:C1586,J2:J1586),"Dependency not found")))</x:f>
        <x:v>Not Started</x:v>
      </x:c>
      <x:c r="J1393" s="6" t="str">
        <x:v>Not Started</x:v>
      </x:c>
      <x:c r="K1393" s="6" t="str">
        <x:v>Normal</x:v>
      </x:c>
      <x:c r="L1393" s="6" t="str"/>
      <x:c r="M1393" s="6" t="str"/>
      <x:c r="N1393" s="6" t="str"/>
      <x:c r="O1393" s="7" t="str"/>
      <x:c r="P1393" s="6" t="str">
        <x:v>Yes</x:v>
      </x:c>
      <x:c r="Q1393" s="7" t="str">
        <x:v>Requires stable service identity; preserve observed labor evidence.</x:v>
      </x:c>
    </x:row>
    <x:row r="1394">
      <x:c r="A1394" s="6" t="str">
        <x:v>SEQ-LAB-0122</x:v>
      </x:c>
      <x:c r="B1394" s="6" t="str">
        <x:v>Labor Reference</x:v>
      </x:c>
      <x:c r="C1394" s="6" t="str">
        <x:v>LABX-0122</x:v>
      </x:c>
      <x:c r="D1394" s="6" t="str">
        <x:v>SVC000122</x:v>
      </x:c>
      <x:c r="E1394" s="6" t="str"/>
      <x:c r="F1394" s="6" t="str">
        <x:v>Labor-reference review</x:v>
      </x:c>
      <x:c r="G1394" s="6" t="n">
        <x:v>6</x:v>
      </x:c>
      <x:c r="H1394" s="6" t="str">
        <x:v>SIDX-0122</x:v>
      </x:c>
      <x:c r="I1394" s="6" t="str">
        <x:f>IF(H1394="","No upstream dependency",IF(ISNUMBER(SEARCH(";",H1394)),"Multiple dependencies - verify source queues",IFERROR(XLOOKUP(H1394,C2:C1586,J2:J1586),"Dependency not found")))</x:f>
        <x:v>Not Started</x:v>
      </x:c>
      <x:c r="J1394" s="6" t="str">
        <x:v>Not Started</x:v>
      </x:c>
      <x:c r="K1394" s="6" t="str">
        <x:v>Normal</x:v>
      </x:c>
      <x:c r="L1394" s="6" t="str"/>
      <x:c r="M1394" s="6" t="str"/>
      <x:c r="N1394" s="6" t="str"/>
      <x:c r="O1394" s="7" t="str"/>
      <x:c r="P1394" s="6" t="str">
        <x:v>Yes</x:v>
      </x:c>
      <x:c r="Q1394" s="7" t="str">
        <x:v>Requires stable service identity; preserve observed labor evidence.</x:v>
      </x:c>
    </x:row>
    <x:row r="1395">
      <x:c r="A1395" s="6" t="str">
        <x:v>SEQ-LAB-0123</x:v>
      </x:c>
      <x:c r="B1395" s="6" t="str">
        <x:v>Labor Reference</x:v>
      </x:c>
      <x:c r="C1395" s="6" t="str">
        <x:v>LABX-0123</x:v>
      </x:c>
      <x:c r="D1395" s="6" t="str">
        <x:v>SVC000123</x:v>
      </x:c>
      <x:c r="E1395" s="6" t="str"/>
      <x:c r="F1395" s="6" t="str">
        <x:v>Labor-reference review</x:v>
      </x:c>
      <x:c r="G1395" s="6" t="n">
        <x:v>6</x:v>
      </x:c>
      <x:c r="H1395" s="6" t="str">
        <x:v>SIDX-0123</x:v>
      </x:c>
      <x:c r="I1395" s="6" t="str">
        <x:f>IF(H1395="","No upstream dependency",IF(ISNUMBER(SEARCH(";",H1395)),"Multiple dependencies - verify source queues",IFERROR(XLOOKUP(H1395,C2:C1586,J2:J1586),"Dependency not found")))</x:f>
        <x:v>Not Started</x:v>
      </x:c>
      <x:c r="J1395" s="6" t="str">
        <x:v>Not Started</x:v>
      </x:c>
      <x:c r="K1395" s="6" t="str">
        <x:v>Normal</x:v>
      </x:c>
      <x:c r="L1395" s="6" t="str"/>
      <x:c r="M1395" s="6" t="str"/>
      <x:c r="N1395" s="6" t="str"/>
      <x:c r="O1395" s="7" t="str"/>
      <x:c r="P1395" s="6" t="str">
        <x:v>Yes</x:v>
      </x:c>
      <x:c r="Q1395" s="7" t="str">
        <x:v>Requires stable service identity; preserve observed labor evidence.</x:v>
      </x:c>
    </x:row>
    <x:row r="1396">
      <x:c r="A1396" s="6" t="str">
        <x:v>SEQ-LAB-0124</x:v>
      </x:c>
      <x:c r="B1396" s="6" t="str">
        <x:v>Labor Reference</x:v>
      </x:c>
      <x:c r="C1396" s="6" t="str">
        <x:v>LABX-0124</x:v>
      </x:c>
      <x:c r="D1396" s="6" t="str">
        <x:v>SVC000124</x:v>
      </x:c>
      <x:c r="E1396" s="6" t="str"/>
      <x:c r="F1396" s="6" t="str">
        <x:v>Labor-reference review</x:v>
      </x:c>
      <x:c r="G1396" s="6" t="n">
        <x:v>6</x:v>
      </x:c>
      <x:c r="H1396" s="6" t="str">
        <x:v>SIDX-0124</x:v>
      </x:c>
      <x:c r="I1396" s="6" t="str">
        <x:f>IF(H1396="","No upstream dependency",IF(ISNUMBER(SEARCH(";",H1396)),"Multiple dependencies - verify source queues",IFERROR(XLOOKUP(H1396,C2:C1586,J2:J1586),"Dependency not found")))</x:f>
        <x:v>Not Started</x:v>
      </x:c>
      <x:c r="J1396" s="6" t="str">
        <x:v>Not Started</x:v>
      </x:c>
      <x:c r="K1396" s="6" t="str">
        <x:v>Normal</x:v>
      </x:c>
      <x:c r="L1396" s="6" t="str"/>
      <x:c r="M1396" s="6" t="str"/>
      <x:c r="N1396" s="6" t="str"/>
      <x:c r="O1396" s="7" t="str"/>
      <x:c r="P1396" s="6" t="str">
        <x:v>Yes</x:v>
      </x:c>
      <x:c r="Q1396" s="7" t="str">
        <x:v>Requires stable service identity; preserve observed labor evidence.</x:v>
      </x:c>
    </x:row>
    <x:row r="1397">
      <x:c r="A1397" s="6" t="str">
        <x:v>SEQ-LAB-0125</x:v>
      </x:c>
      <x:c r="B1397" s="6" t="str">
        <x:v>Labor Reference</x:v>
      </x:c>
      <x:c r="C1397" s="6" t="str">
        <x:v>LABX-0125</x:v>
      </x:c>
      <x:c r="D1397" s="6" t="str">
        <x:v>SVC000125</x:v>
      </x:c>
      <x:c r="E1397" s="6" t="str"/>
      <x:c r="F1397" s="6" t="str">
        <x:v>Labor-reference review</x:v>
      </x:c>
      <x:c r="G1397" s="6" t="n">
        <x:v>6</x:v>
      </x:c>
      <x:c r="H1397" s="6" t="str">
        <x:v>SIDX-0125</x:v>
      </x:c>
      <x:c r="I1397" s="6" t="str">
        <x:f>IF(H1397="","No upstream dependency",IF(ISNUMBER(SEARCH(";",H1397)),"Multiple dependencies - verify source queues",IFERROR(XLOOKUP(H1397,C2:C1586,J2:J1586),"Dependency not found")))</x:f>
        <x:v>Not Started</x:v>
      </x:c>
      <x:c r="J1397" s="6" t="str">
        <x:v>Not Started</x:v>
      </x:c>
      <x:c r="K1397" s="6" t="str">
        <x:v>Normal</x:v>
      </x:c>
      <x:c r="L1397" s="6" t="str"/>
      <x:c r="M1397" s="6" t="str"/>
      <x:c r="N1397" s="6" t="str"/>
      <x:c r="O1397" s="7" t="str"/>
      <x:c r="P1397" s="6" t="str">
        <x:v>Yes</x:v>
      </x:c>
      <x:c r="Q1397" s="7" t="str">
        <x:v>Requires stable service identity; preserve observed labor evidence.</x:v>
      </x:c>
    </x:row>
    <x:row r="1398">
      <x:c r="A1398" s="6" t="str">
        <x:v>SEQ-LAB-0126</x:v>
      </x:c>
      <x:c r="B1398" s="6" t="str">
        <x:v>Labor Reference</x:v>
      </x:c>
      <x:c r="C1398" s="6" t="str">
        <x:v>LABX-0126</x:v>
      </x:c>
      <x:c r="D1398" s="6" t="str">
        <x:v>SVC000126</x:v>
      </x:c>
      <x:c r="E1398" s="6" t="str"/>
      <x:c r="F1398" s="6" t="str">
        <x:v>Labor-reference review</x:v>
      </x:c>
      <x:c r="G1398" s="6" t="n">
        <x:v>6</x:v>
      </x:c>
      <x:c r="H1398" s="6" t="str">
        <x:v>SIDX-0126</x:v>
      </x:c>
      <x:c r="I1398" s="6" t="str">
        <x:f>IF(H1398="","No upstream dependency",IF(ISNUMBER(SEARCH(";",H1398)),"Multiple dependencies - verify source queues",IFERROR(XLOOKUP(H1398,C2:C1586,J2:J1586),"Dependency not found")))</x:f>
        <x:v>Not Started</x:v>
      </x:c>
      <x:c r="J1398" s="6" t="str">
        <x:v>Not Started</x:v>
      </x:c>
      <x:c r="K1398" s="6" t="str">
        <x:v>Normal</x:v>
      </x:c>
      <x:c r="L1398" s="6" t="str"/>
      <x:c r="M1398" s="6" t="str"/>
      <x:c r="N1398" s="6" t="str"/>
      <x:c r="O1398" s="7" t="str"/>
      <x:c r="P1398" s="6" t="str">
        <x:v>Yes</x:v>
      </x:c>
      <x:c r="Q1398" s="7" t="str">
        <x:v>Requires stable service identity; preserve observed labor evidence.</x:v>
      </x:c>
    </x:row>
    <x:row r="1399">
      <x:c r="A1399" s="6" t="str">
        <x:v>SEQ-LAB-0127</x:v>
      </x:c>
      <x:c r="B1399" s="6" t="str">
        <x:v>Labor Reference</x:v>
      </x:c>
      <x:c r="C1399" s="6" t="str">
        <x:v>LABX-0127</x:v>
      </x:c>
      <x:c r="D1399" s="6" t="str">
        <x:v>SVC000127</x:v>
      </x:c>
      <x:c r="E1399" s="6" t="str"/>
      <x:c r="F1399" s="6" t="str">
        <x:v>Labor-reference review</x:v>
      </x:c>
      <x:c r="G1399" s="6" t="n">
        <x:v>6</x:v>
      </x:c>
      <x:c r="H1399" s="6" t="str">
        <x:v>SIDX-0127</x:v>
      </x:c>
      <x:c r="I1399" s="6" t="str">
        <x:f>IF(H1399="","No upstream dependency",IF(ISNUMBER(SEARCH(";",H1399)),"Multiple dependencies - verify source queues",IFERROR(XLOOKUP(H1399,C2:C1586,J2:J1586),"Dependency not found")))</x:f>
        <x:v>Not Started</x:v>
      </x:c>
      <x:c r="J1399" s="6" t="str">
        <x:v>Not Started</x:v>
      </x:c>
      <x:c r="K1399" s="6" t="str">
        <x:v>Normal</x:v>
      </x:c>
      <x:c r="L1399" s="6" t="str"/>
      <x:c r="M1399" s="6" t="str"/>
      <x:c r="N1399" s="6" t="str"/>
      <x:c r="O1399" s="7" t="str"/>
      <x:c r="P1399" s="6" t="str">
        <x:v>Yes</x:v>
      </x:c>
      <x:c r="Q1399" s="7" t="str">
        <x:v>Requires stable service identity; preserve observed labor evidence.</x:v>
      </x:c>
    </x:row>
    <x:row r="1400">
      <x:c r="A1400" s="6" t="str">
        <x:v>SEQ-LAB-0128</x:v>
      </x:c>
      <x:c r="B1400" s="6" t="str">
        <x:v>Labor Reference</x:v>
      </x:c>
      <x:c r="C1400" s="6" t="str">
        <x:v>LABX-0128</x:v>
      </x:c>
      <x:c r="D1400" s="6" t="str">
        <x:v>SVC000128</x:v>
      </x:c>
      <x:c r="E1400" s="6" t="str"/>
      <x:c r="F1400" s="6" t="str">
        <x:v>Labor-reference review</x:v>
      </x:c>
      <x:c r="G1400" s="6" t="n">
        <x:v>6</x:v>
      </x:c>
      <x:c r="H1400" s="6" t="str">
        <x:v>SIDX-0128</x:v>
      </x:c>
      <x:c r="I1400" s="6" t="str">
        <x:f>IF(H1400="","No upstream dependency",IF(ISNUMBER(SEARCH(";",H1400)),"Multiple dependencies - verify source queues",IFERROR(XLOOKUP(H1400,C2:C1586,J2:J1586),"Dependency not found")))</x:f>
        <x:v>Not Started</x:v>
      </x:c>
      <x:c r="J1400" s="6" t="str">
        <x:v>Not Started</x:v>
      </x:c>
      <x:c r="K1400" s="6" t="str">
        <x:v>Normal</x:v>
      </x:c>
      <x:c r="L1400" s="6" t="str"/>
      <x:c r="M1400" s="6" t="str"/>
      <x:c r="N1400" s="6" t="str"/>
      <x:c r="O1400" s="7" t="str"/>
      <x:c r="P1400" s="6" t="str">
        <x:v>Yes</x:v>
      </x:c>
      <x:c r="Q1400" s="7" t="str">
        <x:v>Requires stable service identity; preserve observed labor evidence.</x:v>
      </x:c>
    </x:row>
    <x:row r="1401">
      <x:c r="A1401" s="6" t="str">
        <x:v>SEQ-LAB-0129</x:v>
      </x:c>
      <x:c r="B1401" s="6" t="str">
        <x:v>Labor Reference</x:v>
      </x:c>
      <x:c r="C1401" s="6" t="str">
        <x:v>LABX-0129</x:v>
      </x:c>
      <x:c r="D1401" s="6" t="str">
        <x:v>SVC000129</x:v>
      </x:c>
      <x:c r="E1401" s="6" t="str"/>
      <x:c r="F1401" s="6" t="str">
        <x:v>Labor-reference review</x:v>
      </x:c>
      <x:c r="G1401" s="6" t="n">
        <x:v>6</x:v>
      </x:c>
      <x:c r="H1401" s="6" t="str">
        <x:v>SIDX-0129</x:v>
      </x:c>
      <x:c r="I1401" s="6" t="str">
        <x:f>IF(H1401="","No upstream dependency",IF(ISNUMBER(SEARCH(";",H1401)),"Multiple dependencies - verify source queues",IFERROR(XLOOKUP(H1401,C2:C1586,J2:J1586),"Dependency not found")))</x:f>
        <x:v>Not Started</x:v>
      </x:c>
      <x:c r="J1401" s="6" t="str">
        <x:v>Not Started</x:v>
      </x:c>
      <x:c r="K1401" s="6" t="str">
        <x:v>Normal</x:v>
      </x:c>
      <x:c r="L1401" s="6" t="str"/>
      <x:c r="M1401" s="6" t="str"/>
      <x:c r="N1401" s="6" t="str"/>
      <x:c r="O1401" s="7" t="str"/>
      <x:c r="P1401" s="6" t="str">
        <x:v>Yes</x:v>
      </x:c>
      <x:c r="Q1401" s="7" t="str">
        <x:v>Requires stable service identity; preserve observed labor evidence.</x:v>
      </x:c>
    </x:row>
    <x:row r="1402">
      <x:c r="A1402" s="6" t="str">
        <x:v>SEQ-LAB-0130</x:v>
      </x:c>
      <x:c r="B1402" s="6" t="str">
        <x:v>Labor Reference</x:v>
      </x:c>
      <x:c r="C1402" s="6" t="str">
        <x:v>LABX-0130</x:v>
      </x:c>
      <x:c r="D1402" s="6" t="str">
        <x:v>SVC000130</x:v>
      </x:c>
      <x:c r="E1402" s="6" t="str"/>
      <x:c r="F1402" s="6" t="str">
        <x:v>Labor-reference review</x:v>
      </x:c>
      <x:c r="G1402" s="6" t="n">
        <x:v>6</x:v>
      </x:c>
      <x:c r="H1402" s="6" t="str">
        <x:v>SIDX-0130</x:v>
      </x:c>
      <x:c r="I1402" s="6" t="str">
        <x:f>IF(H1402="","No upstream dependency",IF(ISNUMBER(SEARCH(";",H1402)),"Multiple dependencies - verify source queues",IFERROR(XLOOKUP(H1402,C2:C1586,J2:J1586),"Dependency not found")))</x:f>
        <x:v>Not Started</x:v>
      </x:c>
      <x:c r="J1402" s="6" t="str">
        <x:v>Not Started</x:v>
      </x:c>
      <x:c r="K1402" s="6" t="str">
        <x:v>Normal</x:v>
      </x:c>
      <x:c r="L1402" s="6" t="str"/>
      <x:c r="M1402" s="6" t="str"/>
      <x:c r="N1402" s="6" t="str"/>
      <x:c r="O1402" s="7" t="str"/>
      <x:c r="P1402" s="6" t="str">
        <x:v>Yes</x:v>
      </x:c>
      <x:c r="Q1402" s="7" t="str">
        <x:v>Requires stable service identity; preserve observed labor evidence.</x:v>
      </x:c>
    </x:row>
    <x:row r="1403">
      <x:c r="A1403" s="6" t="str">
        <x:v>SEQ-LAB-0131</x:v>
      </x:c>
      <x:c r="B1403" s="6" t="str">
        <x:v>Labor Reference</x:v>
      </x:c>
      <x:c r="C1403" s="6" t="str">
        <x:v>LABX-0131</x:v>
      </x:c>
      <x:c r="D1403" s="6" t="str">
        <x:v>SVC000131</x:v>
      </x:c>
      <x:c r="E1403" s="6" t="str"/>
      <x:c r="F1403" s="6" t="str">
        <x:v>Labor-reference review</x:v>
      </x:c>
      <x:c r="G1403" s="6" t="n">
        <x:v>6</x:v>
      </x:c>
      <x:c r="H1403" s="6" t="str">
        <x:v>SIDX-0131</x:v>
      </x:c>
      <x:c r="I1403" s="6" t="str">
        <x:f>IF(H1403="","No upstream dependency",IF(ISNUMBER(SEARCH(";",H1403)),"Multiple dependencies - verify source queues",IFERROR(XLOOKUP(H1403,C2:C1586,J2:J1586),"Dependency not found")))</x:f>
        <x:v>Not Started</x:v>
      </x:c>
      <x:c r="J1403" s="6" t="str">
        <x:v>Not Started</x:v>
      </x:c>
      <x:c r="K1403" s="6" t="str">
        <x:v>Normal</x:v>
      </x:c>
      <x:c r="L1403" s="6" t="str"/>
      <x:c r="M1403" s="6" t="str"/>
      <x:c r="N1403" s="6" t="str"/>
      <x:c r="O1403" s="7" t="str"/>
      <x:c r="P1403" s="6" t="str">
        <x:v>Yes</x:v>
      </x:c>
      <x:c r="Q1403" s="7" t="str">
        <x:v>Requires stable service identity; preserve observed labor evidence.</x:v>
      </x:c>
    </x:row>
    <x:row r="1404">
      <x:c r="A1404" s="6" t="str">
        <x:v>SEQ-LAB-0132</x:v>
      </x:c>
      <x:c r="B1404" s="6" t="str">
        <x:v>Labor Reference</x:v>
      </x:c>
      <x:c r="C1404" s="6" t="str">
        <x:v>LABX-0132</x:v>
      </x:c>
      <x:c r="D1404" s="6" t="str">
        <x:v>SVC000132</x:v>
      </x:c>
      <x:c r="E1404" s="6" t="str"/>
      <x:c r="F1404" s="6" t="str">
        <x:v>Labor-reference review</x:v>
      </x:c>
      <x:c r="G1404" s="6" t="n">
        <x:v>6</x:v>
      </x:c>
      <x:c r="H1404" s="6" t="str">
        <x:v>SIDX-0132</x:v>
      </x:c>
      <x:c r="I1404" s="6" t="str">
        <x:f>IF(H1404="","No upstream dependency",IF(ISNUMBER(SEARCH(";",H1404)),"Multiple dependencies - verify source queues",IFERROR(XLOOKUP(H1404,C2:C1586,J2:J1586),"Dependency not found")))</x:f>
        <x:v>Not Started</x:v>
      </x:c>
      <x:c r="J1404" s="6" t="str">
        <x:v>Not Started</x:v>
      </x:c>
      <x:c r="K1404" s="6" t="str">
        <x:v>Normal</x:v>
      </x:c>
      <x:c r="L1404" s="6" t="str"/>
      <x:c r="M1404" s="6" t="str"/>
      <x:c r="N1404" s="6" t="str"/>
      <x:c r="O1404" s="7" t="str"/>
      <x:c r="P1404" s="6" t="str">
        <x:v>Yes</x:v>
      </x:c>
      <x:c r="Q1404" s="7" t="str">
        <x:v>Requires stable service identity; preserve observed labor evidence.</x:v>
      </x:c>
    </x:row>
    <x:row r="1405">
      <x:c r="A1405" s="6" t="str">
        <x:v>SEQ-LAB-0133</x:v>
      </x:c>
      <x:c r="B1405" s="6" t="str">
        <x:v>Labor Reference</x:v>
      </x:c>
      <x:c r="C1405" s="6" t="str">
        <x:v>LABX-0133</x:v>
      </x:c>
      <x:c r="D1405" s="6" t="str">
        <x:v>SVC000133</x:v>
      </x:c>
      <x:c r="E1405" s="6" t="str"/>
      <x:c r="F1405" s="6" t="str">
        <x:v>Labor-reference review</x:v>
      </x:c>
      <x:c r="G1405" s="6" t="n">
        <x:v>6</x:v>
      </x:c>
      <x:c r="H1405" s="6" t="str">
        <x:v>SIDX-0133</x:v>
      </x:c>
      <x:c r="I1405" s="6" t="str">
        <x:f>IF(H1405="","No upstream dependency",IF(ISNUMBER(SEARCH(";",H1405)),"Multiple dependencies - verify source queues",IFERROR(XLOOKUP(H1405,C2:C1586,J2:J1586),"Dependency not found")))</x:f>
        <x:v>Not Started</x:v>
      </x:c>
      <x:c r="J1405" s="6" t="str">
        <x:v>Not Started</x:v>
      </x:c>
      <x:c r="K1405" s="6" t="str">
        <x:v>Normal</x:v>
      </x:c>
      <x:c r="L1405" s="6" t="str"/>
      <x:c r="M1405" s="6" t="str"/>
      <x:c r="N1405" s="6" t="str"/>
      <x:c r="O1405" s="7" t="str"/>
      <x:c r="P1405" s="6" t="str">
        <x:v>Yes</x:v>
      </x:c>
      <x:c r="Q1405" s="7" t="str">
        <x:v>Requires stable service identity; preserve observed labor evidence.</x:v>
      </x:c>
    </x:row>
    <x:row r="1406">
      <x:c r="A1406" s="6" t="str">
        <x:v>SEQ-LAB-0134</x:v>
      </x:c>
      <x:c r="B1406" s="6" t="str">
        <x:v>Labor Reference</x:v>
      </x:c>
      <x:c r="C1406" s="6" t="str">
        <x:v>LABX-0134</x:v>
      </x:c>
      <x:c r="D1406" s="6" t="str">
        <x:v>SVC000134</x:v>
      </x:c>
      <x:c r="E1406" s="6" t="str"/>
      <x:c r="F1406" s="6" t="str">
        <x:v>Labor-reference review</x:v>
      </x:c>
      <x:c r="G1406" s="6" t="n">
        <x:v>6</x:v>
      </x:c>
      <x:c r="H1406" s="6" t="str">
        <x:v>SIDX-0134</x:v>
      </x:c>
      <x:c r="I1406" s="6" t="str">
        <x:f>IF(H1406="","No upstream dependency",IF(ISNUMBER(SEARCH(";",H1406)),"Multiple dependencies - verify source queues",IFERROR(XLOOKUP(H1406,C2:C1586,J2:J1586),"Dependency not found")))</x:f>
        <x:v>Not Started</x:v>
      </x:c>
      <x:c r="J1406" s="6" t="str">
        <x:v>Not Started</x:v>
      </x:c>
      <x:c r="K1406" s="6" t="str">
        <x:v>Normal</x:v>
      </x:c>
      <x:c r="L1406" s="6" t="str"/>
      <x:c r="M1406" s="6" t="str"/>
      <x:c r="N1406" s="6" t="str"/>
      <x:c r="O1406" s="7" t="str"/>
      <x:c r="P1406" s="6" t="str">
        <x:v>Yes</x:v>
      </x:c>
      <x:c r="Q1406" s="7" t="str">
        <x:v>Requires stable service identity; preserve observed labor evidence.</x:v>
      </x:c>
    </x:row>
    <x:row r="1407">
      <x:c r="A1407" s="6" t="str">
        <x:v>SEQ-LAB-0135</x:v>
      </x:c>
      <x:c r="B1407" s="6" t="str">
        <x:v>Labor Reference</x:v>
      </x:c>
      <x:c r="C1407" s="6" t="str">
        <x:v>LABX-0135</x:v>
      </x:c>
      <x:c r="D1407" s="6" t="str">
        <x:v>SVC000135</x:v>
      </x:c>
      <x:c r="E1407" s="6" t="str"/>
      <x:c r="F1407" s="6" t="str">
        <x:v>Labor-reference review</x:v>
      </x:c>
      <x:c r="G1407" s="6" t="n">
        <x:v>6</x:v>
      </x:c>
      <x:c r="H1407" s="6" t="str">
        <x:v>SIDX-0135</x:v>
      </x:c>
      <x:c r="I1407" s="6" t="str">
        <x:f>IF(H1407="","No upstream dependency",IF(ISNUMBER(SEARCH(";",H1407)),"Multiple dependencies - verify source queues",IFERROR(XLOOKUP(H1407,C2:C1586,J2:J1586),"Dependency not found")))</x:f>
        <x:v>Not Started</x:v>
      </x:c>
      <x:c r="J1407" s="6" t="str">
        <x:v>Not Started</x:v>
      </x:c>
      <x:c r="K1407" s="6" t="str">
        <x:v>Normal</x:v>
      </x:c>
      <x:c r="L1407" s="6" t="str"/>
      <x:c r="M1407" s="6" t="str"/>
      <x:c r="N1407" s="6" t="str"/>
      <x:c r="O1407" s="7" t="str"/>
      <x:c r="P1407" s="6" t="str">
        <x:v>Yes</x:v>
      </x:c>
      <x:c r="Q1407" s="7" t="str">
        <x:v>Requires stable service identity; preserve observed labor evidence.</x:v>
      </x:c>
    </x:row>
    <x:row r="1408">
      <x:c r="A1408" s="6" t="str">
        <x:v>SEQ-LAB-0136</x:v>
      </x:c>
      <x:c r="B1408" s="6" t="str">
        <x:v>Labor Reference</x:v>
      </x:c>
      <x:c r="C1408" s="6" t="str">
        <x:v>LABX-0136</x:v>
      </x:c>
      <x:c r="D1408" s="6" t="str">
        <x:v>SVC000136</x:v>
      </x:c>
      <x:c r="E1408" s="6" t="str"/>
      <x:c r="F1408" s="6" t="str">
        <x:v>Labor-reference review</x:v>
      </x:c>
      <x:c r="G1408" s="6" t="n">
        <x:v>6</x:v>
      </x:c>
      <x:c r="H1408" s="6" t="str">
        <x:v>SIDX-0136</x:v>
      </x:c>
      <x:c r="I1408" s="6" t="str">
        <x:f>IF(H1408="","No upstream dependency",IF(ISNUMBER(SEARCH(";",H1408)),"Multiple dependencies - verify source queues",IFERROR(XLOOKUP(H1408,C2:C1586,J2:J1586),"Dependency not found")))</x:f>
        <x:v>Not Started</x:v>
      </x:c>
      <x:c r="J1408" s="6" t="str">
        <x:v>Not Started</x:v>
      </x:c>
      <x:c r="K1408" s="6" t="str">
        <x:v>Normal</x:v>
      </x:c>
      <x:c r="L1408" s="6" t="str"/>
      <x:c r="M1408" s="6" t="str"/>
      <x:c r="N1408" s="6" t="str"/>
      <x:c r="O1408" s="7" t="str"/>
      <x:c r="P1408" s="6" t="str">
        <x:v>Yes</x:v>
      </x:c>
      <x:c r="Q1408" s="7" t="str">
        <x:v>Requires stable service identity; preserve observed labor evidence.</x:v>
      </x:c>
    </x:row>
    <x:row r="1409">
      <x:c r="A1409" s="6" t="str">
        <x:v>SEQ-LAB-0137</x:v>
      </x:c>
      <x:c r="B1409" s="6" t="str">
        <x:v>Labor Reference</x:v>
      </x:c>
      <x:c r="C1409" s="6" t="str">
        <x:v>LABX-0137</x:v>
      </x:c>
      <x:c r="D1409" s="6" t="str">
        <x:v>SVC000137</x:v>
      </x:c>
      <x:c r="E1409" s="6" t="str"/>
      <x:c r="F1409" s="6" t="str">
        <x:v>Labor-reference review</x:v>
      </x:c>
      <x:c r="G1409" s="6" t="n">
        <x:v>6</x:v>
      </x:c>
      <x:c r="H1409" s="6" t="str">
        <x:v>SIDX-0137</x:v>
      </x:c>
      <x:c r="I1409" s="6" t="str">
        <x:f>IF(H1409="","No upstream dependency",IF(ISNUMBER(SEARCH(";",H1409)),"Multiple dependencies - verify source queues",IFERROR(XLOOKUP(H1409,C2:C1586,J2:J1586),"Dependency not found")))</x:f>
        <x:v>Not Started</x:v>
      </x:c>
      <x:c r="J1409" s="6" t="str">
        <x:v>Not Started</x:v>
      </x:c>
      <x:c r="K1409" s="6" t="str">
        <x:v>Normal</x:v>
      </x:c>
      <x:c r="L1409" s="6" t="str"/>
      <x:c r="M1409" s="6" t="str"/>
      <x:c r="N1409" s="6" t="str"/>
      <x:c r="O1409" s="7" t="str"/>
      <x:c r="P1409" s="6" t="str">
        <x:v>Yes</x:v>
      </x:c>
      <x:c r="Q1409" s="7" t="str">
        <x:v>Requires stable service identity; preserve observed labor evidence.</x:v>
      </x:c>
    </x:row>
    <x:row r="1410">
      <x:c r="A1410" s="6" t="str">
        <x:v>SEQ-LAB-0138</x:v>
      </x:c>
      <x:c r="B1410" s="6" t="str">
        <x:v>Labor Reference</x:v>
      </x:c>
      <x:c r="C1410" s="6" t="str">
        <x:v>LABX-0138</x:v>
      </x:c>
      <x:c r="D1410" s="6" t="str">
        <x:v>SVC000138</x:v>
      </x:c>
      <x:c r="E1410" s="6" t="str"/>
      <x:c r="F1410" s="6" t="str">
        <x:v>Labor-reference review</x:v>
      </x:c>
      <x:c r="G1410" s="6" t="n">
        <x:v>6</x:v>
      </x:c>
      <x:c r="H1410" s="6" t="str">
        <x:v>SIDX-0138</x:v>
      </x:c>
      <x:c r="I1410" s="6" t="str">
        <x:f>IF(H1410="","No upstream dependency",IF(ISNUMBER(SEARCH(";",H1410)),"Multiple dependencies - verify source queues",IFERROR(XLOOKUP(H1410,C2:C1586,J2:J1586),"Dependency not found")))</x:f>
        <x:v>Not Started</x:v>
      </x:c>
      <x:c r="J1410" s="6" t="str">
        <x:v>Not Started</x:v>
      </x:c>
      <x:c r="K1410" s="6" t="str">
        <x:v>Normal</x:v>
      </x:c>
      <x:c r="L1410" s="6" t="str"/>
      <x:c r="M1410" s="6" t="str"/>
      <x:c r="N1410" s="6" t="str"/>
      <x:c r="O1410" s="7" t="str"/>
      <x:c r="P1410" s="6" t="str">
        <x:v>Yes</x:v>
      </x:c>
      <x:c r="Q1410" s="7" t="str">
        <x:v>Requires stable service identity; preserve observed labor evidence.</x:v>
      </x:c>
    </x:row>
    <x:row r="1411">
      <x:c r="A1411" s="6" t="str">
        <x:v>SEQ-LAB-0139</x:v>
      </x:c>
      <x:c r="B1411" s="6" t="str">
        <x:v>Labor Reference</x:v>
      </x:c>
      <x:c r="C1411" s="6" t="str">
        <x:v>LABX-0139</x:v>
      </x:c>
      <x:c r="D1411" s="6" t="str">
        <x:v>SVC000139</x:v>
      </x:c>
      <x:c r="E1411" s="6" t="str"/>
      <x:c r="F1411" s="6" t="str">
        <x:v>Labor-reference review</x:v>
      </x:c>
      <x:c r="G1411" s="6" t="n">
        <x:v>6</x:v>
      </x:c>
      <x:c r="H1411" s="6" t="str">
        <x:v>SIDX-0139</x:v>
      </x:c>
      <x:c r="I1411" s="6" t="str">
        <x:f>IF(H1411="","No upstream dependency",IF(ISNUMBER(SEARCH(";",H1411)),"Multiple dependencies - verify source queues",IFERROR(XLOOKUP(H1411,C2:C1586,J2:J1586),"Dependency not found")))</x:f>
        <x:v>Not Started</x:v>
      </x:c>
      <x:c r="J1411" s="6" t="str">
        <x:v>Not Started</x:v>
      </x:c>
      <x:c r="K1411" s="6" t="str">
        <x:v>Normal</x:v>
      </x:c>
      <x:c r="L1411" s="6" t="str"/>
      <x:c r="M1411" s="6" t="str"/>
      <x:c r="N1411" s="6" t="str"/>
      <x:c r="O1411" s="7" t="str"/>
      <x:c r="P1411" s="6" t="str">
        <x:v>Yes</x:v>
      </x:c>
      <x:c r="Q1411" s="7" t="str">
        <x:v>Requires stable service identity; preserve observed labor evidence.</x:v>
      </x:c>
    </x:row>
    <x:row r="1412">
      <x:c r="A1412" s="6" t="str">
        <x:v>SEQ-LAB-0140</x:v>
      </x:c>
      <x:c r="B1412" s="6" t="str">
        <x:v>Labor Reference</x:v>
      </x:c>
      <x:c r="C1412" s="6" t="str">
        <x:v>LABX-0140</x:v>
      </x:c>
      <x:c r="D1412" s="6" t="str">
        <x:v>SVC000140</x:v>
      </x:c>
      <x:c r="E1412" s="6" t="str"/>
      <x:c r="F1412" s="6" t="str">
        <x:v>Labor-reference review</x:v>
      </x:c>
      <x:c r="G1412" s="6" t="n">
        <x:v>6</x:v>
      </x:c>
      <x:c r="H1412" s="6" t="str">
        <x:v>SIDX-0140</x:v>
      </x:c>
      <x:c r="I1412" s="6" t="str">
        <x:f>IF(H1412="","No upstream dependency",IF(ISNUMBER(SEARCH(";",H1412)),"Multiple dependencies - verify source queues",IFERROR(XLOOKUP(H1412,C2:C1586,J2:J1586),"Dependency not found")))</x:f>
        <x:v>Not Started</x:v>
      </x:c>
      <x:c r="J1412" s="6" t="str">
        <x:v>Not Started</x:v>
      </x:c>
      <x:c r="K1412" s="6" t="str">
        <x:v>Normal</x:v>
      </x:c>
      <x:c r="L1412" s="6" t="str"/>
      <x:c r="M1412" s="6" t="str"/>
      <x:c r="N1412" s="6" t="str"/>
      <x:c r="O1412" s="7" t="str"/>
      <x:c r="P1412" s="6" t="str">
        <x:v>Yes</x:v>
      </x:c>
      <x:c r="Q1412" s="7" t="str">
        <x:v>Requires stable service identity; preserve observed labor evidence.</x:v>
      </x:c>
    </x:row>
    <x:row r="1413">
      <x:c r="A1413" s="6" t="str">
        <x:v>SEQ-LAB-0141</x:v>
      </x:c>
      <x:c r="B1413" s="6" t="str">
        <x:v>Labor Reference</x:v>
      </x:c>
      <x:c r="C1413" s="6" t="str">
        <x:v>LABX-0141</x:v>
      </x:c>
      <x:c r="D1413" s="6" t="str">
        <x:v>SVC000141</x:v>
      </x:c>
      <x:c r="E1413" s="6" t="str"/>
      <x:c r="F1413" s="6" t="str">
        <x:v>Labor-reference review</x:v>
      </x:c>
      <x:c r="G1413" s="6" t="n">
        <x:v>6</x:v>
      </x:c>
      <x:c r="H1413" s="6" t="str">
        <x:v>SIDX-0141</x:v>
      </x:c>
      <x:c r="I1413" s="6" t="str">
        <x:f>IF(H1413="","No upstream dependency",IF(ISNUMBER(SEARCH(";",H1413)),"Multiple dependencies - verify source queues",IFERROR(XLOOKUP(H1413,C2:C1586,J2:J1586),"Dependency not found")))</x:f>
        <x:v>Not Started</x:v>
      </x:c>
      <x:c r="J1413" s="6" t="str">
        <x:v>Not Started</x:v>
      </x:c>
      <x:c r="K1413" s="6" t="str">
        <x:v>Normal</x:v>
      </x:c>
      <x:c r="L1413" s="6" t="str"/>
      <x:c r="M1413" s="6" t="str"/>
      <x:c r="N1413" s="6" t="str"/>
      <x:c r="O1413" s="7" t="str"/>
      <x:c r="P1413" s="6" t="str">
        <x:v>Yes</x:v>
      </x:c>
      <x:c r="Q1413" s="7" t="str">
        <x:v>Requires stable service identity; preserve observed labor evidence.</x:v>
      </x:c>
    </x:row>
    <x:row r="1414">
      <x:c r="A1414" s="6" t="str">
        <x:v>SEQ-LAB-0142</x:v>
      </x:c>
      <x:c r="B1414" s="6" t="str">
        <x:v>Labor Reference</x:v>
      </x:c>
      <x:c r="C1414" s="6" t="str">
        <x:v>LABX-0142</x:v>
      </x:c>
      <x:c r="D1414" s="6" t="str">
        <x:v>SVC000142</x:v>
      </x:c>
      <x:c r="E1414" s="6" t="str"/>
      <x:c r="F1414" s="6" t="str">
        <x:v>Labor-reference review</x:v>
      </x:c>
      <x:c r="G1414" s="6" t="n">
        <x:v>6</x:v>
      </x:c>
      <x:c r="H1414" s="6" t="str">
        <x:v>SIDX-0142</x:v>
      </x:c>
      <x:c r="I1414" s="6" t="str">
        <x:f>IF(H1414="","No upstream dependency",IF(ISNUMBER(SEARCH(";",H1414)),"Multiple dependencies - verify source queues",IFERROR(XLOOKUP(H1414,C2:C1586,J2:J1586),"Dependency not found")))</x:f>
        <x:v>Not Started</x:v>
      </x:c>
      <x:c r="J1414" s="6" t="str">
        <x:v>Not Started</x:v>
      </x:c>
      <x:c r="K1414" s="6" t="str">
        <x:v>Normal</x:v>
      </x:c>
      <x:c r="L1414" s="6" t="str"/>
      <x:c r="M1414" s="6" t="str"/>
      <x:c r="N1414" s="6" t="str"/>
      <x:c r="O1414" s="7" t="str"/>
      <x:c r="P1414" s="6" t="str">
        <x:v>Yes</x:v>
      </x:c>
      <x:c r="Q1414" s="7" t="str">
        <x:v>Requires stable service identity; preserve observed labor evidence.</x:v>
      </x:c>
    </x:row>
    <x:row r="1415">
      <x:c r="A1415" s="6" t="str">
        <x:v>SEQ-LAB-0143</x:v>
      </x:c>
      <x:c r="B1415" s="6" t="str">
        <x:v>Labor Reference</x:v>
      </x:c>
      <x:c r="C1415" s="6" t="str">
        <x:v>LABX-0143</x:v>
      </x:c>
      <x:c r="D1415" s="6" t="str">
        <x:v>SVC000143</x:v>
      </x:c>
      <x:c r="E1415" s="6" t="str"/>
      <x:c r="F1415" s="6" t="str">
        <x:v>Labor-reference review</x:v>
      </x:c>
      <x:c r="G1415" s="6" t="n">
        <x:v>6</x:v>
      </x:c>
      <x:c r="H1415" s="6" t="str">
        <x:v>SIDX-0143</x:v>
      </x:c>
      <x:c r="I1415" s="6" t="str">
        <x:f>IF(H1415="","No upstream dependency",IF(ISNUMBER(SEARCH(";",H1415)),"Multiple dependencies - verify source queues",IFERROR(XLOOKUP(H1415,C2:C1586,J2:J1586),"Dependency not found")))</x:f>
        <x:v>Not Started</x:v>
      </x:c>
      <x:c r="J1415" s="6" t="str">
        <x:v>Not Started</x:v>
      </x:c>
      <x:c r="K1415" s="6" t="str">
        <x:v>Normal</x:v>
      </x:c>
      <x:c r="L1415" s="6" t="str"/>
      <x:c r="M1415" s="6" t="str"/>
      <x:c r="N1415" s="6" t="str"/>
      <x:c r="O1415" s="7" t="str"/>
      <x:c r="P1415" s="6" t="str">
        <x:v>Yes</x:v>
      </x:c>
      <x:c r="Q1415" s="7" t="str">
        <x:v>Requires stable service identity; preserve observed labor evidence.</x:v>
      </x:c>
    </x:row>
    <x:row r="1416">
      <x:c r="A1416" s="6" t="str">
        <x:v>SEQ-LAB-0144</x:v>
      </x:c>
      <x:c r="B1416" s="6" t="str">
        <x:v>Labor Reference</x:v>
      </x:c>
      <x:c r="C1416" s="6" t="str">
        <x:v>LABX-0144</x:v>
      </x:c>
      <x:c r="D1416" s="6" t="str">
        <x:v>SVC000144</x:v>
      </x:c>
      <x:c r="E1416" s="6" t="str"/>
      <x:c r="F1416" s="6" t="str">
        <x:v>Labor-reference review</x:v>
      </x:c>
      <x:c r="G1416" s="6" t="n">
        <x:v>6</x:v>
      </x:c>
      <x:c r="H1416" s="6" t="str">
        <x:v>SIDX-0144</x:v>
      </x:c>
      <x:c r="I1416" s="6" t="str">
        <x:f>IF(H1416="","No upstream dependency",IF(ISNUMBER(SEARCH(";",H1416)),"Multiple dependencies - verify source queues",IFERROR(XLOOKUP(H1416,C2:C1586,J2:J1586),"Dependency not found")))</x:f>
        <x:v>Not Started</x:v>
      </x:c>
      <x:c r="J1416" s="6" t="str">
        <x:v>Not Started</x:v>
      </x:c>
      <x:c r="K1416" s="6" t="str">
        <x:v>Normal</x:v>
      </x:c>
      <x:c r="L1416" s="6" t="str"/>
      <x:c r="M1416" s="6" t="str"/>
      <x:c r="N1416" s="6" t="str"/>
      <x:c r="O1416" s="7" t="str"/>
      <x:c r="P1416" s="6" t="str">
        <x:v>Yes</x:v>
      </x:c>
      <x:c r="Q1416" s="7" t="str">
        <x:v>Requires stable service identity; preserve observed labor evidence.</x:v>
      </x:c>
    </x:row>
    <x:row r="1417">
      <x:c r="A1417" s="6" t="str">
        <x:v>SEQ-LAB-0145</x:v>
      </x:c>
      <x:c r="B1417" s="6" t="str">
        <x:v>Labor Reference</x:v>
      </x:c>
      <x:c r="C1417" s="6" t="str">
        <x:v>LABX-0145</x:v>
      </x:c>
      <x:c r="D1417" s="6" t="str">
        <x:v>SVC000145</x:v>
      </x:c>
      <x:c r="E1417" s="6" t="str"/>
      <x:c r="F1417" s="6" t="str">
        <x:v>Labor-reference review</x:v>
      </x:c>
      <x:c r="G1417" s="6" t="n">
        <x:v>6</x:v>
      </x:c>
      <x:c r="H1417" s="6" t="str">
        <x:v>SIDX-0145</x:v>
      </x:c>
      <x:c r="I1417" s="6" t="str">
        <x:f>IF(H1417="","No upstream dependency",IF(ISNUMBER(SEARCH(";",H1417)),"Multiple dependencies - verify source queues",IFERROR(XLOOKUP(H1417,C2:C1586,J2:J1586),"Dependency not found")))</x:f>
        <x:v>Not Started</x:v>
      </x:c>
      <x:c r="J1417" s="6" t="str">
        <x:v>Not Started</x:v>
      </x:c>
      <x:c r="K1417" s="6" t="str">
        <x:v>Normal</x:v>
      </x:c>
      <x:c r="L1417" s="6" t="str"/>
      <x:c r="M1417" s="6" t="str"/>
      <x:c r="N1417" s="6" t="str"/>
      <x:c r="O1417" s="7" t="str"/>
      <x:c r="P1417" s="6" t="str">
        <x:v>Yes</x:v>
      </x:c>
      <x:c r="Q1417" s="7" t="str">
        <x:v>Requires stable service identity; preserve observed labor evidence.</x:v>
      </x:c>
    </x:row>
    <x:row r="1418">
      <x:c r="A1418" s="6" t="str">
        <x:v>SEQ-LAB-0146</x:v>
      </x:c>
      <x:c r="B1418" s="6" t="str">
        <x:v>Labor Reference</x:v>
      </x:c>
      <x:c r="C1418" s="6" t="str">
        <x:v>LABX-0146</x:v>
      </x:c>
      <x:c r="D1418" s="6" t="str">
        <x:v>SVC000146</x:v>
      </x:c>
      <x:c r="E1418" s="6" t="str"/>
      <x:c r="F1418" s="6" t="str">
        <x:v>Labor-reference review</x:v>
      </x:c>
      <x:c r="G1418" s="6" t="n">
        <x:v>6</x:v>
      </x:c>
      <x:c r="H1418" s="6" t="str">
        <x:v>SIDX-0146</x:v>
      </x:c>
      <x:c r="I1418" s="6" t="str">
        <x:f>IF(H1418="","No upstream dependency",IF(ISNUMBER(SEARCH(";",H1418)),"Multiple dependencies - verify source queues",IFERROR(XLOOKUP(H1418,C2:C1586,J2:J1586),"Dependency not found")))</x:f>
        <x:v>Not Started</x:v>
      </x:c>
      <x:c r="J1418" s="6" t="str">
        <x:v>Not Started</x:v>
      </x:c>
      <x:c r="K1418" s="6" t="str">
        <x:v>Normal</x:v>
      </x:c>
      <x:c r="L1418" s="6" t="str"/>
      <x:c r="M1418" s="6" t="str"/>
      <x:c r="N1418" s="6" t="str"/>
      <x:c r="O1418" s="7" t="str"/>
      <x:c r="P1418" s="6" t="str">
        <x:v>Yes</x:v>
      </x:c>
      <x:c r="Q1418" s="7" t="str">
        <x:v>Requires stable service identity; preserve observed labor evidence.</x:v>
      </x:c>
    </x:row>
    <x:row r="1419">
      <x:c r="A1419" s="6" t="str">
        <x:v>SEQ-LAB-0147</x:v>
      </x:c>
      <x:c r="B1419" s="6" t="str">
        <x:v>Labor Reference</x:v>
      </x:c>
      <x:c r="C1419" s="6" t="str">
        <x:v>LABX-0147</x:v>
      </x:c>
      <x:c r="D1419" s="6" t="str">
        <x:v>SVC000147</x:v>
      </x:c>
      <x:c r="E1419" s="6" t="str"/>
      <x:c r="F1419" s="6" t="str">
        <x:v>Labor-reference review</x:v>
      </x:c>
      <x:c r="G1419" s="6" t="n">
        <x:v>6</x:v>
      </x:c>
      <x:c r="H1419" s="6" t="str">
        <x:v>SIDX-0147</x:v>
      </x:c>
      <x:c r="I1419" s="6" t="str">
        <x:f>IF(H1419="","No upstream dependency",IF(ISNUMBER(SEARCH(";",H1419)),"Multiple dependencies - verify source queues",IFERROR(XLOOKUP(H1419,C2:C1586,J2:J1586),"Dependency not found")))</x:f>
        <x:v>Not Started</x:v>
      </x:c>
      <x:c r="J1419" s="6" t="str">
        <x:v>Not Started</x:v>
      </x:c>
      <x:c r="K1419" s="6" t="str">
        <x:v>Normal</x:v>
      </x:c>
      <x:c r="L1419" s="6" t="str"/>
      <x:c r="M1419" s="6" t="str"/>
      <x:c r="N1419" s="6" t="str"/>
      <x:c r="O1419" s="7" t="str"/>
      <x:c r="P1419" s="6" t="str">
        <x:v>Yes</x:v>
      </x:c>
      <x:c r="Q1419" s="7" t="str">
        <x:v>Requires stable service identity; preserve observed labor evidence.</x:v>
      </x:c>
    </x:row>
    <x:row r="1420">
      <x:c r="A1420" s="6" t="str">
        <x:v>SEQ-LAB-0148</x:v>
      </x:c>
      <x:c r="B1420" s="6" t="str">
        <x:v>Labor Reference</x:v>
      </x:c>
      <x:c r="C1420" s="6" t="str">
        <x:v>LABX-0148</x:v>
      </x:c>
      <x:c r="D1420" s="6" t="str">
        <x:v>SVC000148</x:v>
      </x:c>
      <x:c r="E1420" s="6" t="str"/>
      <x:c r="F1420" s="6" t="str">
        <x:v>Labor-reference review</x:v>
      </x:c>
      <x:c r="G1420" s="6" t="n">
        <x:v>6</x:v>
      </x:c>
      <x:c r="H1420" s="6" t="str">
        <x:v>SIDX-0148</x:v>
      </x:c>
      <x:c r="I1420" s="6" t="str">
        <x:f>IF(H1420="","No upstream dependency",IF(ISNUMBER(SEARCH(";",H1420)),"Multiple dependencies - verify source queues",IFERROR(XLOOKUP(H1420,C2:C1586,J2:J1586),"Dependency not found")))</x:f>
        <x:v>Not Started</x:v>
      </x:c>
      <x:c r="J1420" s="6" t="str">
        <x:v>Not Started</x:v>
      </x:c>
      <x:c r="K1420" s="6" t="str">
        <x:v>Normal</x:v>
      </x:c>
      <x:c r="L1420" s="6" t="str"/>
      <x:c r="M1420" s="6" t="str"/>
      <x:c r="N1420" s="6" t="str"/>
      <x:c r="O1420" s="7" t="str"/>
      <x:c r="P1420" s="6" t="str">
        <x:v>Yes</x:v>
      </x:c>
      <x:c r="Q1420" s="7" t="str">
        <x:v>Requires stable service identity; preserve observed labor evidence.</x:v>
      </x:c>
    </x:row>
    <x:row r="1421">
      <x:c r="A1421" s="6" t="str">
        <x:v>SEQ-LAB-0149</x:v>
      </x:c>
      <x:c r="B1421" s="6" t="str">
        <x:v>Labor Reference</x:v>
      </x:c>
      <x:c r="C1421" s="6" t="str">
        <x:v>LABX-0149</x:v>
      </x:c>
      <x:c r="D1421" s="6" t="str">
        <x:v>SVC000149</x:v>
      </x:c>
      <x:c r="E1421" s="6" t="str"/>
      <x:c r="F1421" s="6" t="str">
        <x:v>Labor-reference review</x:v>
      </x:c>
      <x:c r="G1421" s="6" t="n">
        <x:v>6</x:v>
      </x:c>
      <x:c r="H1421" s="6" t="str">
        <x:v>SIDX-0149</x:v>
      </x:c>
      <x:c r="I1421" s="6" t="str">
        <x:f>IF(H1421="","No upstream dependency",IF(ISNUMBER(SEARCH(";",H1421)),"Multiple dependencies - verify source queues",IFERROR(XLOOKUP(H1421,C2:C1586,J2:J1586),"Dependency not found")))</x:f>
        <x:v>Not Started</x:v>
      </x:c>
      <x:c r="J1421" s="6" t="str">
        <x:v>Not Started</x:v>
      </x:c>
      <x:c r="K1421" s="6" t="str">
        <x:v>Normal</x:v>
      </x:c>
      <x:c r="L1421" s="6" t="str"/>
      <x:c r="M1421" s="6" t="str"/>
      <x:c r="N1421" s="6" t="str"/>
      <x:c r="O1421" s="7" t="str"/>
      <x:c r="P1421" s="6" t="str">
        <x:v>Yes</x:v>
      </x:c>
      <x:c r="Q1421" s="7" t="str">
        <x:v>Requires stable service identity; preserve observed labor evidence.</x:v>
      </x:c>
    </x:row>
    <x:row r="1422">
      <x:c r="A1422" s="6" t="str">
        <x:v>SEQ-LAB-0150</x:v>
      </x:c>
      <x:c r="B1422" s="6" t="str">
        <x:v>Labor Reference</x:v>
      </x:c>
      <x:c r="C1422" s="6" t="str">
        <x:v>LABX-0150</x:v>
      </x:c>
      <x:c r="D1422" s="6" t="str">
        <x:v>SVC000150</x:v>
      </x:c>
      <x:c r="E1422" s="6" t="str"/>
      <x:c r="F1422" s="6" t="str">
        <x:v>Labor-reference review</x:v>
      </x:c>
      <x:c r="G1422" s="6" t="n">
        <x:v>6</x:v>
      </x:c>
      <x:c r="H1422" s="6" t="str">
        <x:v>SIDX-0150</x:v>
      </x:c>
      <x:c r="I1422" s="6" t="str">
        <x:f>IF(H1422="","No upstream dependency",IF(ISNUMBER(SEARCH(";",H1422)),"Multiple dependencies - verify source queues",IFERROR(XLOOKUP(H1422,C2:C1586,J2:J1586),"Dependency not found")))</x:f>
        <x:v>Not Started</x:v>
      </x:c>
      <x:c r="J1422" s="6" t="str">
        <x:v>Not Started</x:v>
      </x:c>
      <x:c r="K1422" s="6" t="str">
        <x:v>Normal</x:v>
      </x:c>
      <x:c r="L1422" s="6" t="str"/>
      <x:c r="M1422" s="6" t="str"/>
      <x:c r="N1422" s="6" t="str"/>
      <x:c r="O1422" s="7" t="str"/>
      <x:c r="P1422" s="6" t="str">
        <x:v>Yes</x:v>
      </x:c>
      <x:c r="Q1422" s="7" t="str">
        <x:v>Requires stable service identity; preserve observed labor evidence.</x:v>
      </x:c>
    </x:row>
    <x:row r="1423">
      <x:c r="A1423" s="6" t="str">
        <x:v>SEQ-LAB-0151</x:v>
      </x:c>
      <x:c r="B1423" s="6" t="str">
        <x:v>Labor Reference</x:v>
      </x:c>
      <x:c r="C1423" s="6" t="str">
        <x:v>LABX-0151</x:v>
      </x:c>
      <x:c r="D1423" s="6" t="str">
        <x:v>SVC000151</x:v>
      </x:c>
      <x:c r="E1423" s="6" t="str"/>
      <x:c r="F1423" s="6" t="str">
        <x:v>Labor-reference review</x:v>
      </x:c>
      <x:c r="G1423" s="6" t="n">
        <x:v>6</x:v>
      </x:c>
      <x:c r="H1423" s="6" t="str">
        <x:v>SIDX-0151</x:v>
      </x:c>
      <x:c r="I1423" s="6" t="str">
        <x:f>IF(H1423="","No upstream dependency",IF(ISNUMBER(SEARCH(";",H1423)),"Multiple dependencies - verify source queues",IFERROR(XLOOKUP(H1423,C2:C1586,J2:J1586),"Dependency not found")))</x:f>
        <x:v>Not Started</x:v>
      </x:c>
      <x:c r="J1423" s="6" t="str">
        <x:v>Not Started</x:v>
      </x:c>
      <x:c r="K1423" s="6" t="str">
        <x:v>Normal</x:v>
      </x:c>
      <x:c r="L1423" s="6" t="str"/>
      <x:c r="M1423" s="6" t="str"/>
      <x:c r="N1423" s="6" t="str"/>
      <x:c r="O1423" s="7" t="str"/>
      <x:c r="P1423" s="6" t="str">
        <x:v>Yes</x:v>
      </x:c>
      <x:c r="Q1423" s="7" t="str">
        <x:v>Requires stable service identity; preserve observed labor evidence.</x:v>
      </x:c>
    </x:row>
    <x:row r="1424">
      <x:c r="A1424" s="6" t="str">
        <x:v>SEQ-LAB-0152</x:v>
      </x:c>
      <x:c r="B1424" s="6" t="str">
        <x:v>Labor Reference</x:v>
      </x:c>
      <x:c r="C1424" s="6" t="str">
        <x:v>LABX-0152</x:v>
      </x:c>
      <x:c r="D1424" s="6" t="str">
        <x:v>SVC000152</x:v>
      </x:c>
      <x:c r="E1424" s="6" t="str"/>
      <x:c r="F1424" s="6" t="str">
        <x:v>Labor-reference review</x:v>
      </x:c>
      <x:c r="G1424" s="6" t="n">
        <x:v>6</x:v>
      </x:c>
      <x:c r="H1424" s="6" t="str">
        <x:v>SIDX-0152</x:v>
      </x:c>
      <x:c r="I1424" s="6" t="str">
        <x:f>IF(H1424="","No upstream dependency",IF(ISNUMBER(SEARCH(";",H1424)),"Multiple dependencies - verify source queues",IFERROR(XLOOKUP(H1424,C2:C1586,J2:J1586),"Dependency not found")))</x:f>
        <x:v>Not Started</x:v>
      </x:c>
      <x:c r="J1424" s="6" t="str">
        <x:v>Not Started</x:v>
      </x:c>
      <x:c r="K1424" s="6" t="str">
        <x:v>Normal</x:v>
      </x:c>
      <x:c r="L1424" s="6" t="str"/>
      <x:c r="M1424" s="6" t="str"/>
      <x:c r="N1424" s="6" t="str"/>
      <x:c r="O1424" s="7" t="str"/>
      <x:c r="P1424" s="6" t="str">
        <x:v>Yes</x:v>
      </x:c>
      <x:c r="Q1424" s="7" t="str">
        <x:v>Requires stable service identity; preserve observed labor evidence.</x:v>
      </x:c>
    </x:row>
    <x:row r="1425">
      <x:c r="A1425" s="6" t="str">
        <x:v>SEQ-LAB-0153</x:v>
      </x:c>
      <x:c r="B1425" s="6" t="str">
        <x:v>Labor Reference</x:v>
      </x:c>
      <x:c r="C1425" s="6" t="str">
        <x:v>LABX-0153</x:v>
      </x:c>
      <x:c r="D1425" s="6" t="str">
        <x:v>SVC000153</x:v>
      </x:c>
      <x:c r="E1425" s="6" t="str"/>
      <x:c r="F1425" s="6" t="str">
        <x:v>Labor-reference review</x:v>
      </x:c>
      <x:c r="G1425" s="6" t="n">
        <x:v>6</x:v>
      </x:c>
      <x:c r="H1425" s="6" t="str">
        <x:v>SIDX-0153</x:v>
      </x:c>
      <x:c r="I1425" s="6" t="str">
        <x:f>IF(H1425="","No upstream dependency",IF(ISNUMBER(SEARCH(";",H1425)),"Multiple dependencies - verify source queues",IFERROR(XLOOKUP(H1425,C2:C1586,J2:J1586),"Dependency not found")))</x:f>
        <x:v>Not Started</x:v>
      </x:c>
      <x:c r="J1425" s="6" t="str">
        <x:v>Not Started</x:v>
      </x:c>
      <x:c r="K1425" s="6" t="str">
        <x:v>Normal</x:v>
      </x:c>
      <x:c r="L1425" s="6" t="str"/>
      <x:c r="M1425" s="6" t="str"/>
      <x:c r="N1425" s="6" t="str"/>
      <x:c r="O1425" s="7" t="str"/>
      <x:c r="P1425" s="6" t="str">
        <x:v>Yes</x:v>
      </x:c>
      <x:c r="Q1425" s="7" t="str">
        <x:v>Requires stable service identity; preserve observed labor evidence.</x:v>
      </x:c>
    </x:row>
    <x:row r="1426">
      <x:c r="A1426" s="6" t="str">
        <x:v>SEQ-LAB-0154</x:v>
      </x:c>
      <x:c r="B1426" s="6" t="str">
        <x:v>Labor Reference</x:v>
      </x:c>
      <x:c r="C1426" s="6" t="str">
        <x:v>LABX-0154</x:v>
      </x:c>
      <x:c r="D1426" s="6" t="str">
        <x:v>SVC000154</x:v>
      </x:c>
      <x:c r="E1426" s="6" t="str"/>
      <x:c r="F1426" s="6" t="str">
        <x:v>Labor-reference review</x:v>
      </x:c>
      <x:c r="G1426" s="6" t="n">
        <x:v>6</x:v>
      </x:c>
      <x:c r="H1426" s="6" t="str">
        <x:v>SIDX-0154</x:v>
      </x:c>
      <x:c r="I1426" s="6" t="str">
        <x:f>IF(H1426="","No upstream dependency",IF(ISNUMBER(SEARCH(";",H1426)),"Multiple dependencies - verify source queues",IFERROR(XLOOKUP(H1426,C2:C1586,J2:J1586),"Dependency not found")))</x:f>
        <x:v>Not Started</x:v>
      </x:c>
      <x:c r="J1426" s="6" t="str">
        <x:v>Not Started</x:v>
      </x:c>
      <x:c r="K1426" s="6" t="str">
        <x:v>Normal</x:v>
      </x:c>
      <x:c r="L1426" s="6" t="str"/>
      <x:c r="M1426" s="6" t="str"/>
      <x:c r="N1426" s="6" t="str"/>
      <x:c r="O1426" s="7" t="str"/>
      <x:c r="P1426" s="6" t="str">
        <x:v>Yes</x:v>
      </x:c>
      <x:c r="Q1426" s="7" t="str">
        <x:v>Requires stable service identity; preserve observed labor evidence.</x:v>
      </x:c>
    </x:row>
    <x:row r="1427">
      <x:c r="A1427" s="6" t="str">
        <x:v>SEQ-LAB-0155</x:v>
      </x:c>
      <x:c r="B1427" s="6" t="str">
        <x:v>Labor Reference</x:v>
      </x:c>
      <x:c r="C1427" s="6" t="str">
        <x:v>LABX-0155</x:v>
      </x:c>
      <x:c r="D1427" s="6" t="str">
        <x:v>SVC000155</x:v>
      </x:c>
      <x:c r="E1427" s="6" t="str"/>
      <x:c r="F1427" s="6" t="str">
        <x:v>Labor-reference review</x:v>
      </x:c>
      <x:c r="G1427" s="6" t="n">
        <x:v>6</x:v>
      </x:c>
      <x:c r="H1427" s="6" t="str">
        <x:v>SIDX-0155</x:v>
      </x:c>
      <x:c r="I1427" s="6" t="str">
        <x:f>IF(H1427="","No upstream dependency",IF(ISNUMBER(SEARCH(";",H1427)),"Multiple dependencies - verify source queues",IFERROR(XLOOKUP(H1427,C2:C1586,J2:J1586),"Dependency not found")))</x:f>
        <x:v>Not Started</x:v>
      </x:c>
      <x:c r="J1427" s="6" t="str">
        <x:v>Not Started</x:v>
      </x:c>
      <x:c r="K1427" s="6" t="str">
        <x:v>Normal</x:v>
      </x:c>
      <x:c r="L1427" s="6" t="str"/>
      <x:c r="M1427" s="6" t="str"/>
      <x:c r="N1427" s="6" t="str"/>
      <x:c r="O1427" s="7" t="str"/>
      <x:c r="P1427" s="6" t="str">
        <x:v>Yes</x:v>
      </x:c>
      <x:c r="Q1427" s="7" t="str">
        <x:v>Requires stable service identity; preserve observed labor evidence.</x:v>
      </x:c>
    </x:row>
    <x:row r="1428">
      <x:c r="A1428" s="6" t="str">
        <x:v>SEQ-LAB-0156</x:v>
      </x:c>
      <x:c r="B1428" s="6" t="str">
        <x:v>Labor Reference</x:v>
      </x:c>
      <x:c r="C1428" s="6" t="str">
        <x:v>LABX-0156</x:v>
      </x:c>
      <x:c r="D1428" s="6" t="str">
        <x:v>SVC000156</x:v>
      </x:c>
      <x:c r="E1428" s="6" t="str"/>
      <x:c r="F1428" s="6" t="str">
        <x:v>Labor-reference review</x:v>
      </x:c>
      <x:c r="G1428" s="6" t="n">
        <x:v>6</x:v>
      </x:c>
      <x:c r="H1428" s="6" t="str">
        <x:v>SIDX-0156</x:v>
      </x:c>
      <x:c r="I1428" s="6" t="str">
        <x:f>IF(H1428="","No upstream dependency",IF(ISNUMBER(SEARCH(";",H1428)),"Multiple dependencies - verify source queues",IFERROR(XLOOKUP(H1428,C2:C1586,J2:J1586),"Dependency not found")))</x:f>
        <x:v>Not Started</x:v>
      </x:c>
      <x:c r="J1428" s="6" t="str">
        <x:v>Not Started</x:v>
      </x:c>
      <x:c r="K1428" s="6" t="str">
        <x:v>Normal</x:v>
      </x:c>
      <x:c r="L1428" s="6" t="str"/>
      <x:c r="M1428" s="6" t="str"/>
      <x:c r="N1428" s="6" t="str"/>
      <x:c r="O1428" s="7" t="str"/>
      <x:c r="P1428" s="6" t="str">
        <x:v>Yes</x:v>
      </x:c>
      <x:c r="Q1428" s="7" t="str">
        <x:v>Requires stable service identity; preserve observed labor evidence.</x:v>
      </x:c>
    </x:row>
    <x:row r="1429">
      <x:c r="A1429" s="6" t="str">
        <x:v>SEQ-LAB-0157</x:v>
      </x:c>
      <x:c r="B1429" s="6" t="str">
        <x:v>Labor Reference</x:v>
      </x:c>
      <x:c r="C1429" s="6" t="str">
        <x:v>LABX-0157</x:v>
      </x:c>
      <x:c r="D1429" s="6" t="str">
        <x:v>SVC000157</x:v>
      </x:c>
      <x:c r="E1429" s="6" t="str"/>
      <x:c r="F1429" s="6" t="str">
        <x:v>Labor-reference review</x:v>
      </x:c>
      <x:c r="G1429" s="6" t="n">
        <x:v>6</x:v>
      </x:c>
      <x:c r="H1429" s="6" t="str">
        <x:v>SIDX-0157</x:v>
      </x:c>
      <x:c r="I1429" s="6" t="str">
        <x:f>IF(H1429="","No upstream dependency",IF(ISNUMBER(SEARCH(";",H1429)),"Multiple dependencies - verify source queues",IFERROR(XLOOKUP(H1429,C2:C1586,J2:J1586),"Dependency not found")))</x:f>
        <x:v>Not Started</x:v>
      </x:c>
      <x:c r="J1429" s="6" t="str">
        <x:v>Not Started</x:v>
      </x:c>
      <x:c r="K1429" s="6" t="str">
        <x:v>Normal</x:v>
      </x:c>
      <x:c r="L1429" s="6" t="str"/>
      <x:c r="M1429" s="6" t="str"/>
      <x:c r="N1429" s="6" t="str"/>
      <x:c r="O1429" s="7" t="str"/>
      <x:c r="P1429" s="6" t="str">
        <x:v>Yes</x:v>
      </x:c>
      <x:c r="Q1429" s="7" t="str">
        <x:v>Requires stable service identity; preserve observed labor evidence.</x:v>
      </x:c>
    </x:row>
    <x:row r="1430">
      <x:c r="A1430" s="6" t="str">
        <x:v>SEQ-LAB-0158</x:v>
      </x:c>
      <x:c r="B1430" s="6" t="str">
        <x:v>Labor Reference</x:v>
      </x:c>
      <x:c r="C1430" s="6" t="str">
        <x:v>LABX-0158</x:v>
      </x:c>
      <x:c r="D1430" s="6" t="str">
        <x:v>SVC000158</x:v>
      </x:c>
      <x:c r="E1430" s="6" t="str"/>
      <x:c r="F1430" s="6" t="str">
        <x:v>Labor-reference review</x:v>
      </x:c>
      <x:c r="G1430" s="6" t="n">
        <x:v>6</x:v>
      </x:c>
      <x:c r="H1430" s="6" t="str">
        <x:v>SIDX-0158</x:v>
      </x:c>
      <x:c r="I1430" s="6" t="str">
        <x:f>IF(H1430="","No upstream dependency",IF(ISNUMBER(SEARCH(";",H1430)),"Multiple dependencies - verify source queues",IFERROR(XLOOKUP(H1430,C2:C1586,J2:J1586),"Dependency not found")))</x:f>
        <x:v>Not Started</x:v>
      </x:c>
      <x:c r="J1430" s="6" t="str">
        <x:v>Not Started</x:v>
      </x:c>
      <x:c r="K1430" s="6" t="str">
        <x:v>Normal</x:v>
      </x:c>
      <x:c r="L1430" s="6" t="str"/>
      <x:c r="M1430" s="6" t="str"/>
      <x:c r="N1430" s="6" t="str"/>
      <x:c r="O1430" s="7" t="str"/>
      <x:c r="P1430" s="6" t="str">
        <x:v>Yes</x:v>
      </x:c>
      <x:c r="Q1430" s="7" t="str">
        <x:v>Requires stable service identity; preserve observed labor evidence.</x:v>
      </x:c>
    </x:row>
    <x:row r="1431">
      <x:c r="A1431" s="6" t="str">
        <x:v>SEQ-LAB-0159</x:v>
      </x:c>
      <x:c r="B1431" s="6" t="str">
        <x:v>Labor Reference</x:v>
      </x:c>
      <x:c r="C1431" s="6" t="str">
        <x:v>LABX-0159</x:v>
      </x:c>
      <x:c r="D1431" s="6" t="str">
        <x:v>SVC000159</x:v>
      </x:c>
      <x:c r="E1431" s="6" t="str"/>
      <x:c r="F1431" s="6" t="str">
        <x:v>Labor-reference review</x:v>
      </x:c>
      <x:c r="G1431" s="6" t="n">
        <x:v>6</x:v>
      </x:c>
      <x:c r="H1431" s="6" t="str">
        <x:v>SIDX-0159</x:v>
      </x:c>
      <x:c r="I1431" s="6" t="str">
        <x:f>IF(H1431="","No upstream dependency",IF(ISNUMBER(SEARCH(";",H1431)),"Multiple dependencies - verify source queues",IFERROR(XLOOKUP(H1431,C2:C1586,J2:J1586),"Dependency not found")))</x:f>
        <x:v>Not Started</x:v>
      </x:c>
      <x:c r="J1431" s="6" t="str">
        <x:v>Not Started</x:v>
      </x:c>
      <x:c r="K1431" s="6" t="str">
        <x:v>Normal</x:v>
      </x:c>
      <x:c r="L1431" s="6" t="str"/>
      <x:c r="M1431" s="6" t="str"/>
      <x:c r="N1431" s="6" t="str"/>
      <x:c r="O1431" s="7" t="str"/>
      <x:c r="P1431" s="6" t="str">
        <x:v>Yes</x:v>
      </x:c>
      <x:c r="Q1431" s="7" t="str">
        <x:v>Requires stable service identity; preserve observed labor evidence.</x:v>
      </x:c>
    </x:row>
    <x:row r="1432">
      <x:c r="A1432" s="6" t="str">
        <x:v>SEQ-LAB-0160</x:v>
      </x:c>
      <x:c r="B1432" s="6" t="str">
        <x:v>Labor Reference</x:v>
      </x:c>
      <x:c r="C1432" s="6" t="str">
        <x:v>LABX-0160</x:v>
      </x:c>
      <x:c r="D1432" s="6" t="str">
        <x:v>SVC000160</x:v>
      </x:c>
      <x:c r="E1432" s="6" t="str"/>
      <x:c r="F1432" s="6" t="str">
        <x:v>Labor-reference review</x:v>
      </x:c>
      <x:c r="G1432" s="6" t="n">
        <x:v>6</x:v>
      </x:c>
      <x:c r="H1432" s="6" t="str">
        <x:v>SIDX-0160</x:v>
      </x:c>
      <x:c r="I1432" s="6" t="str">
        <x:f>IF(H1432="","No upstream dependency",IF(ISNUMBER(SEARCH(";",H1432)),"Multiple dependencies - verify source queues",IFERROR(XLOOKUP(H1432,C2:C1586,J2:J1586),"Dependency not found")))</x:f>
        <x:v>Not Started</x:v>
      </x:c>
      <x:c r="J1432" s="6" t="str">
        <x:v>Not Started</x:v>
      </x:c>
      <x:c r="K1432" s="6" t="str">
        <x:v>Normal</x:v>
      </x:c>
      <x:c r="L1432" s="6" t="str"/>
      <x:c r="M1432" s="6" t="str"/>
      <x:c r="N1432" s="6" t="str"/>
      <x:c r="O1432" s="7" t="str"/>
      <x:c r="P1432" s="6" t="str">
        <x:v>Yes</x:v>
      </x:c>
      <x:c r="Q1432" s="7" t="str">
        <x:v>Requires stable service identity; preserve observed labor evidence.</x:v>
      </x:c>
    </x:row>
    <x:row r="1433">
      <x:c r="A1433" s="6" t="str">
        <x:v>SEQ-LAB-0161</x:v>
      </x:c>
      <x:c r="B1433" s="6" t="str">
        <x:v>Labor Reference</x:v>
      </x:c>
      <x:c r="C1433" s="6" t="str">
        <x:v>LABX-0161</x:v>
      </x:c>
      <x:c r="D1433" s="6" t="str">
        <x:v>SVC000161</x:v>
      </x:c>
      <x:c r="E1433" s="6" t="str"/>
      <x:c r="F1433" s="6" t="str">
        <x:v>Labor-reference review</x:v>
      </x:c>
      <x:c r="G1433" s="6" t="n">
        <x:v>6</x:v>
      </x:c>
      <x:c r="H1433" s="6" t="str">
        <x:v>SIDX-0161</x:v>
      </x:c>
      <x:c r="I1433" s="6" t="str">
        <x:f>IF(H1433="","No upstream dependency",IF(ISNUMBER(SEARCH(";",H1433)),"Multiple dependencies - verify source queues",IFERROR(XLOOKUP(H1433,C2:C1586,J2:J1586),"Dependency not found")))</x:f>
        <x:v>Not Started</x:v>
      </x:c>
      <x:c r="J1433" s="6" t="str">
        <x:v>Not Started</x:v>
      </x:c>
      <x:c r="K1433" s="6" t="str">
        <x:v>Normal</x:v>
      </x:c>
      <x:c r="L1433" s="6" t="str"/>
      <x:c r="M1433" s="6" t="str"/>
      <x:c r="N1433" s="6" t="str"/>
      <x:c r="O1433" s="7" t="str"/>
      <x:c r="P1433" s="6" t="str">
        <x:v>Yes</x:v>
      </x:c>
      <x:c r="Q1433" s="7" t="str">
        <x:v>Requires stable service identity; preserve observed labor evidence.</x:v>
      </x:c>
    </x:row>
    <x:row r="1434">
      <x:c r="A1434" s="6" t="str">
        <x:v>SEQ-LAB-0162</x:v>
      </x:c>
      <x:c r="B1434" s="6" t="str">
        <x:v>Labor Reference</x:v>
      </x:c>
      <x:c r="C1434" s="6" t="str">
        <x:v>LABX-0162</x:v>
      </x:c>
      <x:c r="D1434" s="6" t="str">
        <x:v>SVC000162</x:v>
      </x:c>
      <x:c r="E1434" s="6" t="str"/>
      <x:c r="F1434" s="6" t="str">
        <x:v>Labor-reference review</x:v>
      </x:c>
      <x:c r="G1434" s="6" t="n">
        <x:v>6</x:v>
      </x:c>
      <x:c r="H1434" s="6" t="str">
        <x:v>SIDX-0162</x:v>
      </x:c>
      <x:c r="I1434" s="6" t="str">
        <x:f>IF(H1434="","No upstream dependency",IF(ISNUMBER(SEARCH(";",H1434)),"Multiple dependencies - verify source queues",IFERROR(XLOOKUP(H1434,C2:C1586,J2:J1586),"Dependency not found")))</x:f>
        <x:v>Not Started</x:v>
      </x:c>
      <x:c r="J1434" s="6" t="str">
        <x:v>Not Started</x:v>
      </x:c>
      <x:c r="K1434" s="6" t="str">
        <x:v>Normal</x:v>
      </x:c>
      <x:c r="L1434" s="6" t="str"/>
      <x:c r="M1434" s="6" t="str"/>
      <x:c r="N1434" s="6" t="str"/>
      <x:c r="O1434" s="7" t="str"/>
      <x:c r="P1434" s="6" t="str">
        <x:v>Yes</x:v>
      </x:c>
      <x:c r="Q1434" s="7" t="str">
        <x:v>Requires stable service identity; preserve observed labor evidence.</x:v>
      </x:c>
    </x:row>
    <x:row r="1435">
      <x:c r="A1435" s="6" t="str">
        <x:v>SEQ-LAB-0163</x:v>
      </x:c>
      <x:c r="B1435" s="6" t="str">
        <x:v>Labor Reference</x:v>
      </x:c>
      <x:c r="C1435" s="6" t="str">
        <x:v>LABX-0163</x:v>
      </x:c>
      <x:c r="D1435" s="6" t="str">
        <x:v>SVC000163</x:v>
      </x:c>
      <x:c r="E1435" s="6" t="str"/>
      <x:c r="F1435" s="6" t="str">
        <x:v>Labor-reference review</x:v>
      </x:c>
      <x:c r="G1435" s="6" t="n">
        <x:v>6</x:v>
      </x:c>
      <x:c r="H1435" s="6" t="str">
        <x:v>SIDX-0163</x:v>
      </x:c>
      <x:c r="I1435" s="6" t="str">
        <x:f>IF(H1435="","No upstream dependency",IF(ISNUMBER(SEARCH(";",H1435)),"Multiple dependencies - verify source queues",IFERROR(XLOOKUP(H1435,C2:C1586,J2:J1586),"Dependency not found")))</x:f>
        <x:v>Not Started</x:v>
      </x:c>
      <x:c r="J1435" s="6" t="str">
        <x:v>Not Started</x:v>
      </x:c>
      <x:c r="K1435" s="6" t="str">
        <x:v>Normal</x:v>
      </x:c>
      <x:c r="L1435" s="6" t="str"/>
      <x:c r="M1435" s="6" t="str"/>
      <x:c r="N1435" s="6" t="str"/>
      <x:c r="O1435" s="7" t="str"/>
      <x:c r="P1435" s="6" t="str">
        <x:v>Yes</x:v>
      </x:c>
      <x:c r="Q1435" s="7" t="str">
        <x:v>Requires stable service identity; preserve observed labor evidence.</x:v>
      </x:c>
    </x:row>
    <x:row r="1436">
      <x:c r="A1436" s="6" t="str">
        <x:v>SEQ-LAB-0164</x:v>
      </x:c>
      <x:c r="B1436" s="6" t="str">
        <x:v>Labor Reference</x:v>
      </x:c>
      <x:c r="C1436" s="6" t="str">
        <x:v>LABX-0164</x:v>
      </x:c>
      <x:c r="D1436" s="6" t="str">
        <x:v>SVC000164</x:v>
      </x:c>
      <x:c r="E1436" s="6" t="str"/>
      <x:c r="F1436" s="6" t="str">
        <x:v>Labor-reference review</x:v>
      </x:c>
      <x:c r="G1436" s="6" t="n">
        <x:v>6</x:v>
      </x:c>
      <x:c r="H1436" s="6" t="str">
        <x:v>SIDX-0164</x:v>
      </x:c>
      <x:c r="I1436" s="6" t="str">
        <x:f>IF(H1436="","No upstream dependency",IF(ISNUMBER(SEARCH(";",H1436)),"Multiple dependencies - verify source queues",IFERROR(XLOOKUP(H1436,C2:C1586,J2:J1586),"Dependency not found")))</x:f>
        <x:v>Not Started</x:v>
      </x:c>
      <x:c r="J1436" s="6" t="str">
        <x:v>Not Started</x:v>
      </x:c>
      <x:c r="K1436" s="6" t="str">
        <x:v>Normal</x:v>
      </x:c>
      <x:c r="L1436" s="6" t="str"/>
      <x:c r="M1436" s="6" t="str"/>
      <x:c r="N1436" s="6" t="str"/>
      <x:c r="O1436" s="7" t="str"/>
      <x:c r="P1436" s="6" t="str">
        <x:v>Yes</x:v>
      </x:c>
      <x:c r="Q1436" s="7" t="str">
        <x:v>Requires stable service identity; preserve observed labor evidence.</x:v>
      </x:c>
    </x:row>
    <x:row r="1437">
      <x:c r="A1437" s="6" t="str">
        <x:v>SEQ-LAB-0165</x:v>
      </x:c>
      <x:c r="B1437" s="6" t="str">
        <x:v>Labor Reference</x:v>
      </x:c>
      <x:c r="C1437" s="6" t="str">
        <x:v>LABX-0165</x:v>
      </x:c>
      <x:c r="D1437" s="6" t="str">
        <x:v>SVC000165</x:v>
      </x:c>
      <x:c r="E1437" s="6" t="str"/>
      <x:c r="F1437" s="6" t="str">
        <x:v>Labor-reference review</x:v>
      </x:c>
      <x:c r="G1437" s="6" t="n">
        <x:v>6</x:v>
      </x:c>
      <x:c r="H1437" s="6" t="str">
        <x:v>SIDX-0165</x:v>
      </x:c>
      <x:c r="I1437" s="6" t="str">
        <x:f>IF(H1437="","No upstream dependency",IF(ISNUMBER(SEARCH(";",H1437)),"Multiple dependencies - verify source queues",IFERROR(XLOOKUP(H1437,C2:C1586,J2:J1586),"Dependency not found")))</x:f>
        <x:v>Not Started</x:v>
      </x:c>
      <x:c r="J1437" s="6" t="str">
        <x:v>Not Started</x:v>
      </x:c>
      <x:c r="K1437" s="6" t="str">
        <x:v>Normal</x:v>
      </x:c>
      <x:c r="L1437" s="6" t="str"/>
      <x:c r="M1437" s="6" t="str"/>
      <x:c r="N1437" s="6" t="str"/>
      <x:c r="O1437" s="7" t="str"/>
      <x:c r="P1437" s="6" t="str">
        <x:v>Yes</x:v>
      </x:c>
      <x:c r="Q1437" s="7" t="str">
        <x:v>Requires stable service identity; preserve observed labor evidence.</x:v>
      </x:c>
    </x:row>
    <x:row r="1438">
      <x:c r="A1438" s="6" t="str">
        <x:v>SEQ-LAB-0166</x:v>
      </x:c>
      <x:c r="B1438" s="6" t="str">
        <x:v>Labor Reference</x:v>
      </x:c>
      <x:c r="C1438" s="6" t="str">
        <x:v>LABX-0166</x:v>
      </x:c>
      <x:c r="D1438" s="6" t="str">
        <x:v>SVC000166</x:v>
      </x:c>
      <x:c r="E1438" s="6" t="str"/>
      <x:c r="F1438" s="6" t="str">
        <x:v>Labor-reference review</x:v>
      </x:c>
      <x:c r="G1438" s="6" t="n">
        <x:v>6</x:v>
      </x:c>
      <x:c r="H1438" s="6" t="str">
        <x:v>SIDX-0166</x:v>
      </x:c>
      <x:c r="I1438" s="6" t="str">
        <x:f>IF(H1438="","No upstream dependency",IF(ISNUMBER(SEARCH(";",H1438)),"Multiple dependencies - verify source queues",IFERROR(XLOOKUP(H1438,C2:C1586,J2:J1586),"Dependency not found")))</x:f>
        <x:v>Not Started</x:v>
      </x:c>
      <x:c r="J1438" s="6" t="str">
        <x:v>Not Started</x:v>
      </x:c>
      <x:c r="K1438" s="6" t="str">
        <x:v>Normal</x:v>
      </x:c>
      <x:c r="L1438" s="6" t="str"/>
      <x:c r="M1438" s="6" t="str"/>
      <x:c r="N1438" s="6" t="str"/>
      <x:c r="O1438" s="7" t="str"/>
      <x:c r="P1438" s="6" t="str">
        <x:v>Yes</x:v>
      </x:c>
      <x:c r="Q1438" s="7" t="str">
        <x:v>Requires stable service identity; preserve observed labor evidence.</x:v>
      </x:c>
    </x:row>
    <x:row r="1439">
      <x:c r="A1439" s="6" t="str">
        <x:v>SEQ-LAB-0167</x:v>
      </x:c>
      <x:c r="B1439" s="6" t="str">
        <x:v>Labor Reference</x:v>
      </x:c>
      <x:c r="C1439" s="6" t="str">
        <x:v>LABX-0167</x:v>
      </x:c>
      <x:c r="D1439" s="6" t="str">
        <x:v>SVC000167</x:v>
      </x:c>
      <x:c r="E1439" s="6" t="str"/>
      <x:c r="F1439" s="6" t="str">
        <x:v>Labor-reference review</x:v>
      </x:c>
      <x:c r="G1439" s="6" t="n">
        <x:v>6</x:v>
      </x:c>
      <x:c r="H1439" s="6" t="str">
        <x:v>SIDX-0167</x:v>
      </x:c>
      <x:c r="I1439" s="6" t="str">
        <x:f>IF(H1439="","No upstream dependency",IF(ISNUMBER(SEARCH(";",H1439)),"Multiple dependencies - verify source queues",IFERROR(XLOOKUP(H1439,C2:C1586,J2:J1586),"Dependency not found")))</x:f>
        <x:v>Not Started</x:v>
      </x:c>
      <x:c r="J1439" s="6" t="str">
        <x:v>Not Started</x:v>
      </x:c>
      <x:c r="K1439" s="6" t="str">
        <x:v>Normal</x:v>
      </x:c>
      <x:c r="L1439" s="6" t="str"/>
      <x:c r="M1439" s="6" t="str"/>
      <x:c r="N1439" s="6" t="str"/>
      <x:c r="O1439" s="7" t="str"/>
      <x:c r="P1439" s="6" t="str">
        <x:v>Yes</x:v>
      </x:c>
      <x:c r="Q1439" s="7" t="str">
        <x:v>Requires stable service identity; preserve observed labor evidence.</x:v>
      </x:c>
    </x:row>
    <x:row r="1440">
      <x:c r="A1440" s="6" t="str">
        <x:v>SEQ-LAB-0168</x:v>
      </x:c>
      <x:c r="B1440" s="6" t="str">
        <x:v>Labor Reference</x:v>
      </x:c>
      <x:c r="C1440" s="6" t="str">
        <x:v>LABX-0168</x:v>
      </x:c>
      <x:c r="D1440" s="6" t="str">
        <x:v>SVC000168</x:v>
      </x:c>
      <x:c r="E1440" s="6" t="str"/>
      <x:c r="F1440" s="6" t="str">
        <x:v>Labor-reference review</x:v>
      </x:c>
      <x:c r="G1440" s="6" t="n">
        <x:v>6</x:v>
      </x:c>
      <x:c r="H1440" s="6" t="str">
        <x:v>SIDX-0168</x:v>
      </x:c>
      <x:c r="I1440" s="6" t="str">
        <x:f>IF(H1440="","No upstream dependency",IF(ISNUMBER(SEARCH(";",H1440)),"Multiple dependencies - verify source queues",IFERROR(XLOOKUP(H1440,C2:C1586,J2:J1586),"Dependency not found")))</x:f>
        <x:v>Not Started</x:v>
      </x:c>
      <x:c r="J1440" s="6" t="str">
        <x:v>Not Started</x:v>
      </x:c>
      <x:c r="K1440" s="6" t="str">
        <x:v>Normal</x:v>
      </x:c>
      <x:c r="L1440" s="6" t="str"/>
      <x:c r="M1440" s="6" t="str"/>
      <x:c r="N1440" s="6" t="str"/>
      <x:c r="O1440" s="7" t="str"/>
      <x:c r="P1440" s="6" t="str">
        <x:v>Yes</x:v>
      </x:c>
      <x:c r="Q1440" s="7" t="str">
        <x:v>Requires stable service identity; preserve observed labor evidence.</x:v>
      </x:c>
    </x:row>
    <x:row r="1441">
      <x:c r="A1441" s="6" t="str">
        <x:v>SEQ-LAB-0169</x:v>
      </x:c>
      <x:c r="B1441" s="6" t="str">
        <x:v>Labor Reference</x:v>
      </x:c>
      <x:c r="C1441" s="6" t="str">
        <x:v>LABX-0169</x:v>
      </x:c>
      <x:c r="D1441" s="6" t="str">
        <x:v>SVC000169</x:v>
      </x:c>
      <x:c r="E1441" s="6" t="str"/>
      <x:c r="F1441" s="6" t="str">
        <x:v>Labor-reference review</x:v>
      </x:c>
      <x:c r="G1441" s="6" t="n">
        <x:v>6</x:v>
      </x:c>
      <x:c r="H1441" s="6" t="str">
        <x:v>SIDX-0169</x:v>
      </x:c>
      <x:c r="I1441" s="6" t="str">
        <x:f>IF(H1441="","No upstream dependency",IF(ISNUMBER(SEARCH(";",H1441)),"Multiple dependencies - verify source queues",IFERROR(XLOOKUP(H1441,C2:C1586,J2:J1586),"Dependency not found")))</x:f>
        <x:v>Not Started</x:v>
      </x:c>
      <x:c r="J1441" s="6" t="str">
        <x:v>Not Started</x:v>
      </x:c>
      <x:c r="K1441" s="6" t="str">
        <x:v>Normal</x:v>
      </x:c>
      <x:c r="L1441" s="6" t="str"/>
      <x:c r="M1441" s="6" t="str"/>
      <x:c r="N1441" s="6" t="str"/>
      <x:c r="O1441" s="7" t="str"/>
      <x:c r="P1441" s="6" t="str">
        <x:v>Yes</x:v>
      </x:c>
      <x:c r="Q1441" s="7" t="str">
        <x:v>Requires stable service identity; preserve observed labor evidence.</x:v>
      </x:c>
    </x:row>
    <x:row r="1442">
      <x:c r="A1442" s="6" t="str">
        <x:v>SEQ-LAB-0170</x:v>
      </x:c>
      <x:c r="B1442" s="6" t="str">
        <x:v>Labor Reference</x:v>
      </x:c>
      <x:c r="C1442" s="6" t="str">
        <x:v>LABX-0170</x:v>
      </x:c>
      <x:c r="D1442" s="6" t="str">
        <x:v>SVC000170</x:v>
      </x:c>
      <x:c r="E1442" s="6" t="str"/>
      <x:c r="F1442" s="6" t="str">
        <x:v>Labor-reference review</x:v>
      </x:c>
      <x:c r="G1442" s="6" t="n">
        <x:v>6</x:v>
      </x:c>
      <x:c r="H1442" s="6" t="str">
        <x:v>SIDX-0170</x:v>
      </x:c>
      <x:c r="I1442" s="6" t="str">
        <x:f>IF(H1442="","No upstream dependency",IF(ISNUMBER(SEARCH(";",H1442)),"Multiple dependencies - verify source queues",IFERROR(XLOOKUP(H1442,C2:C1586,J2:J1586),"Dependency not found")))</x:f>
        <x:v>Not Started</x:v>
      </x:c>
      <x:c r="J1442" s="6" t="str">
        <x:v>Not Started</x:v>
      </x:c>
      <x:c r="K1442" s="6" t="str">
        <x:v>Normal</x:v>
      </x:c>
      <x:c r="L1442" s="6" t="str"/>
      <x:c r="M1442" s="6" t="str"/>
      <x:c r="N1442" s="6" t="str"/>
      <x:c r="O1442" s="7" t="str"/>
      <x:c r="P1442" s="6" t="str">
        <x:v>Yes</x:v>
      </x:c>
      <x:c r="Q1442" s="7" t="str">
        <x:v>Requires stable service identity; preserve observed labor evidence.</x:v>
      </x:c>
    </x:row>
    <x:row r="1443">
      <x:c r="A1443" s="6" t="str">
        <x:v>SEQ-LAB-0171</x:v>
      </x:c>
      <x:c r="B1443" s="6" t="str">
        <x:v>Labor Reference</x:v>
      </x:c>
      <x:c r="C1443" s="6" t="str">
        <x:v>LABX-0171</x:v>
      </x:c>
      <x:c r="D1443" s="6" t="str">
        <x:v>SVC000171</x:v>
      </x:c>
      <x:c r="E1443" s="6" t="str"/>
      <x:c r="F1443" s="6" t="str">
        <x:v>Labor-reference review</x:v>
      </x:c>
      <x:c r="G1443" s="6" t="n">
        <x:v>6</x:v>
      </x:c>
      <x:c r="H1443" s="6" t="str">
        <x:v>SIDX-0171</x:v>
      </x:c>
      <x:c r="I1443" s="6" t="str">
        <x:f>IF(H1443="","No upstream dependency",IF(ISNUMBER(SEARCH(";",H1443)),"Multiple dependencies - verify source queues",IFERROR(XLOOKUP(H1443,C2:C1586,J2:J1586),"Dependency not found")))</x:f>
        <x:v>Not Started</x:v>
      </x:c>
      <x:c r="J1443" s="6" t="str">
        <x:v>Not Started</x:v>
      </x:c>
      <x:c r="K1443" s="6" t="str">
        <x:v>Normal</x:v>
      </x:c>
      <x:c r="L1443" s="6" t="str"/>
      <x:c r="M1443" s="6" t="str"/>
      <x:c r="N1443" s="6" t="str"/>
      <x:c r="O1443" s="7" t="str"/>
      <x:c r="P1443" s="6" t="str">
        <x:v>Yes</x:v>
      </x:c>
      <x:c r="Q1443" s="7" t="str">
        <x:v>Requires stable service identity; preserve observed labor evidence.</x:v>
      </x:c>
    </x:row>
    <x:row r="1444">
      <x:c r="A1444" s="6" t="str">
        <x:v>SEQ-LAB-0172</x:v>
      </x:c>
      <x:c r="B1444" s="6" t="str">
        <x:v>Labor Reference</x:v>
      </x:c>
      <x:c r="C1444" s="6" t="str">
        <x:v>LABX-0172</x:v>
      </x:c>
      <x:c r="D1444" s="6" t="str">
        <x:v>SVC000172</x:v>
      </x:c>
      <x:c r="E1444" s="6" t="str"/>
      <x:c r="F1444" s="6" t="str">
        <x:v>Labor-reference review</x:v>
      </x:c>
      <x:c r="G1444" s="6" t="n">
        <x:v>6</x:v>
      </x:c>
      <x:c r="H1444" s="6" t="str">
        <x:v>SIDX-0172</x:v>
      </x:c>
      <x:c r="I1444" s="6" t="str">
        <x:f>IF(H1444="","No upstream dependency",IF(ISNUMBER(SEARCH(";",H1444)),"Multiple dependencies - verify source queues",IFERROR(XLOOKUP(H1444,C2:C1586,J2:J1586),"Dependency not found")))</x:f>
        <x:v>Not Started</x:v>
      </x:c>
      <x:c r="J1444" s="6" t="str">
        <x:v>Not Started</x:v>
      </x:c>
      <x:c r="K1444" s="6" t="str">
        <x:v>Normal</x:v>
      </x:c>
      <x:c r="L1444" s="6" t="str"/>
      <x:c r="M1444" s="6" t="str"/>
      <x:c r="N1444" s="6" t="str"/>
      <x:c r="O1444" s="7" t="str"/>
      <x:c r="P1444" s="6" t="str">
        <x:v>Yes</x:v>
      </x:c>
      <x:c r="Q1444" s="7" t="str">
        <x:v>Requires stable service identity; preserve observed labor evidence.</x:v>
      </x:c>
    </x:row>
    <x:row r="1445">
      <x:c r="A1445" s="6" t="str">
        <x:v>SEQ-LAB-0173</x:v>
      </x:c>
      <x:c r="B1445" s="6" t="str">
        <x:v>Labor Reference</x:v>
      </x:c>
      <x:c r="C1445" s="6" t="str">
        <x:v>LABX-0173</x:v>
      </x:c>
      <x:c r="D1445" s="6" t="str">
        <x:v>SVC000173</x:v>
      </x:c>
      <x:c r="E1445" s="6" t="str"/>
      <x:c r="F1445" s="6" t="str">
        <x:v>Labor-reference review</x:v>
      </x:c>
      <x:c r="G1445" s="6" t="n">
        <x:v>6</x:v>
      </x:c>
      <x:c r="H1445" s="6" t="str">
        <x:v>SIDX-0173</x:v>
      </x:c>
      <x:c r="I1445" s="6" t="str">
        <x:f>IF(H1445="","No upstream dependency",IF(ISNUMBER(SEARCH(";",H1445)),"Multiple dependencies - verify source queues",IFERROR(XLOOKUP(H1445,C2:C1586,J2:J1586),"Dependency not found")))</x:f>
        <x:v>Not Started</x:v>
      </x:c>
      <x:c r="J1445" s="6" t="str">
        <x:v>Not Started</x:v>
      </x:c>
      <x:c r="K1445" s="6" t="str">
        <x:v>Normal</x:v>
      </x:c>
      <x:c r="L1445" s="6" t="str"/>
      <x:c r="M1445" s="6" t="str"/>
      <x:c r="N1445" s="6" t="str"/>
      <x:c r="O1445" s="7" t="str"/>
      <x:c r="P1445" s="6" t="str">
        <x:v>Yes</x:v>
      </x:c>
      <x:c r="Q1445" s="7" t="str">
        <x:v>Requires stable service identity; preserve observed labor evidence.</x:v>
      </x:c>
    </x:row>
    <x:row r="1446">
      <x:c r="A1446" s="6" t="str">
        <x:v>SEQ-LAB-0174</x:v>
      </x:c>
      <x:c r="B1446" s="6" t="str">
        <x:v>Labor Reference</x:v>
      </x:c>
      <x:c r="C1446" s="6" t="str">
        <x:v>LABX-0174</x:v>
      </x:c>
      <x:c r="D1446" s="6" t="str">
        <x:v>SVC000174</x:v>
      </x:c>
      <x:c r="E1446" s="6" t="str"/>
      <x:c r="F1446" s="6" t="str">
        <x:v>Labor-reference review</x:v>
      </x:c>
      <x:c r="G1446" s="6" t="n">
        <x:v>6</x:v>
      </x:c>
      <x:c r="H1446" s="6" t="str">
        <x:v>SIDX-0174</x:v>
      </x:c>
      <x:c r="I1446" s="6" t="str">
        <x:f>IF(H1446="","No upstream dependency",IF(ISNUMBER(SEARCH(";",H1446)),"Multiple dependencies - verify source queues",IFERROR(XLOOKUP(H1446,C2:C1586,J2:J1586),"Dependency not found")))</x:f>
        <x:v>Not Started</x:v>
      </x:c>
      <x:c r="J1446" s="6" t="str">
        <x:v>Not Started</x:v>
      </x:c>
      <x:c r="K1446" s="6" t="str">
        <x:v>Normal</x:v>
      </x:c>
      <x:c r="L1446" s="6" t="str"/>
      <x:c r="M1446" s="6" t="str"/>
      <x:c r="N1446" s="6" t="str"/>
      <x:c r="O1446" s="7" t="str"/>
      <x:c r="P1446" s="6" t="str">
        <x:v>Yes</x:v>
      </x:c>
      <x:c r="Q1446" s="7" t="str">
        <x:v>Requires stable service identity; preserve observed labor evidence.</x:v>
      </x:c>
    </x:row>
    <x:row r="1447">
      <x:c r="A1447" s="6" t="str">
        <x:v>SEQ-LAB-0175</x:v>
      </x:c>
      <x:c r="B1447" s="6" t="str">
        <x:v>Labor Reference</x:v>
      </x:c>
      <x:c r="C1447" s="6" t="str">
        <x:v>LABX-0175</x:v>
      </x:c>
      <x:c r="D1447" s="6" t="str">
        <x:v>SVC000175</x:v>
      </x:c>
      <x:c r="E1447" s="6" t="str"/>
      <x:c r="F1447" s="6" t="str">
        <x:v>Labor-reference review</x:v>
      </x:c>
      <x:c r="G1447" s="6" t="n">
        <x:v>6</x:v>
      </x:c>
      <x:c r="H1447" s="6" t="str">
        <x:v>SIDX-0175</x:v>
      </x:c>
      <x:c r="I1447" s="6" t="str">
        <x:f>IF(H1447="","No upstream dependency",IF(ISNUMBER(SEARCH(";",H1447)),"Multiple dependencies - verify source queues",IFERROR(XLOOKUP(H1447,C2:C1586,J2:J1586),"Dependency not found")))</x:f>
        <x:v>Not Started</x:v>
      </x:c>
      <x:c r="J1447" s="6" t="str">
        <x:v>Not Started</x:v>
      </x:c>
      <x:c r="K1447" s="6" t="str">
        <x:v>Normal</x:v>
      </x:c>
      <x:c r="L1447" s="6" t="str"/>
      <x:c r="M1447" s="6" t="str"/>
      <x:c r="N1447" s="6" t="str"/>
      <x:c r="O1447" s="7" t="str"/>
      <x:c r="P1447" s="6" t="str">
        <x:v>Yes</x:v>
      </x:c>
      <x:c r="Q1447" s="7" t="str">
        <x:v>Requires stable service identity; preserve observed labor evidence.</x:v>
      </x:c>
    </x:row>
    <x:row r="1448">
      <x:c r="A1448" s="6" t="str">
        <x:v>SEQ-LAB-0176</x:v>
      </x:c>
      <x:c r="B1448" s="6" t="str">
        <x:v>Labor Reference</x:v>
      </x:c>
      <x:c r="C1448" s="6" t="str">
        <x:v>LABX-0176</x:v>
      </x:c>
      <x:c r="D1448" s="6" t="str">
        <x:v>SVC000176</x:v>
      </x:c>
      <x:c r="E1448" s="6" t="str"/>
      <x:c r="F1448" s="6" t="str">
        <x:v>Labor-reference review</x:v>
      </x:c>
      <x:c r="G1448" s="6" t="n">
        <x:v>6</x:v>
      </x:c>
      <x:c r="H1448" s="6" t="str">
        <x:v>SIDX-0176</x:v>
      </x:c>
      <x:c r="I1448" s="6" t="str">
        <x:f>IF(H1448="","No upstream dependency",IF(ISNUMBER(SEARCH(";",H1448)),"Multiple dependencies - verify source queues",IFERROR(XLOOKUP(H1448,C2:C1586,J2:J1586),"Dependency not found")))</x:f>
        <x:v>Not Started</x:v>
      </x:c>
      <x:c r="J1448" s="6" t="str">
        <x:v>Not Started</x:v>
      </x:c>
      <x:c r="K1448" s="6" t="str">
        <x:v>Normal</x:v>
      </x:c>
      <x:c r="L1448" s="6" t="str"/>
      <x:c r="M1448" s="6" t="str"/>
      <x:c r="N1448" s="6" t="str"/>
      <x:c r="O1448" s="7" t="str"/>
      <x:c r="P1448" s="6" t="str">
        <x:v>Yes</x:v>
      </x:c>
      <x:c r="Q1448" s="7" t="str">
        <x:v>Requires stable service identity; preserve observed labor evidence.</x:v>
      </x:c>
    </x:row>
    <x:row r="1449">
      <x:c r="A1449" s="6" t="str">
        <x:v>SEQ-LAB-0177</x:v>
      </x:c>
      <x:c r="B1449" s="6" t="str">
        <x:v>Labor Reference</x:v>
      </x:c>
      <x:c r="C1449" s="6" t="str">
        <x:v>LABX-0177</x:v>
      </x:c>
      <x:c r="D1449" s="6" t="str">
        <x:v>SVC000177</x:v>
      </x:c>
      <x:c r="E1449" s="6" t="str"/>
      <x:c r="F1449" s="6" t="str">
        <x:v>Labor-reference review</x:v>
      </x:c>
      <x:c r="G1449" s="6" t="n">
        <x:v>6</x:v>
      </x:c>
      <x:c r="H1449" s="6" t="str">
        <x:v>SIDX-0177</x:v>
      </x:c>
      <x:c r="I1449" s="6" t="str">
        <x:f>IF(H1449="","No upstream dependency",IF(ISNUMBER(SEARCH(";",H1449)),"Multiple dependencies - verify source queues",IFERROR(XLOOKUP(H1449,C2:C1586,J2:J1586),"Dependency not found")))</x:f>
        <x:v>Not Started</x:v>
      </x:c>
      <x:c r="J1449" s="6" t="str">
        <x:v>Not Started</x:v>
      </x:c>
      <x:c r="K1449" s="6" t="str">
        <x:v>Normal</x:v>
      </x:c>
      <x:c r="L1449" s="6" t="str"/>
      <x:c r="M1449" s="6" t="str"/>
      <x:c r="N1449" s="6" t="str"/>
      <x:c r="O1449" s="7" t="str"/>
      <x:c r="P1449" s="6" t="str">
        <x:v>Yes</x:v>
      </x:c>
      <x:c r="Q1449" s="7" t="str">
        <x:v>Requires stable service identity; preserve observed labor evidence.</x:v>
      </x:c>
    </x:row>
    <x:row r="1450">
      <x:c r="A1450" s="6" t="str">
        <x:v>SEQ-LAB-0178</x:v>
      </x:c>
      <x:c r="B1450" s="6" t="str">
        <x:v>Labor Reference</x:v>
      </x:c>
      <x:c r="C1450" s="6" t="str">
        <x:v>LABX-0178</x:v>
      </x:c>
      <x:c r="D1450" s="6" t="str">
        <x:v>SVC000178</x:v>
      </x:c>
      <x:c r="E1450" s="6" t="str"/>
      <x:c r="F1450" s="6" t="str">
        <x:v>Labor-reference review</x:v>
      </x:c>
      <x:c r="G1450" s="6" t="n">
        <x:v>6</x:v>
      </x:c>
      <x:c r="H1450" s="6" t="str">
        <x:v>SIDX-0178</x:v>
      </x:c>
      <x:c r="I1450" s="6" t="str">
        <x:f>IF(H1450="","No upstream dependency",IF(ISNUMBER(SEARCH(";",H1450)),"Multiple dependencies - verify source queues",IFERROR(XLOOKUP(H1450,C2:C1586,J2:J1586),"Dependency not found")))</x:f>
        <x:v>Not Started</x:v>
      </x:c>
      <x:c r="J1450" s="6" t="str">
        <x:v>Not Started</x:v>
      </x:c>
      <x:c r="K1450" s="6" t="str">
        <x:v>Normal</x:v>
      </x:c>
      <x:c r="L1450" s="6" t="str"/>
      <x:c r="M1450" s="6" t="str"/>
      <x:c r="N1450" s="6" t="str"/>
      <x:c r="O1450" s="7" t="str"/>
      <x:c r="P1450" s="6" t="str">
        <x:v>Yes</x:v>
      </x:c>
      <x:c r="Q1450" s="7" t="str">
        <x:v>Requires stable service identity; preserve observed labor evidence.</x:v>
      </x:c>
    </x:row>
    <x:row r="1451">
      <x:c r="A1451" s="6" t="str">
        <x:v>SEQ-LAB-0179</x:v>
      </x:c>
      <x:c r="B1451" s="6" t="str">
        <x:v>Labor Reference</x:v>
      </x:c>
      <x:c r="C1451" s="6" t="str">
        <x:v>LABX-0179</x:v>
      </x:c>
      <x:c r="D1451" s="6" t="str">
        <x:v>SVC000179</x:v>
      </x:c>
      <x:c r="E1451" s="6" t="str"/>
      <x:c r="F1451" s="6" t="str">
        <x:v>Labor-reference review</x:v>
      </x:c>
      <x:c r="G1451" s="6" t="n">
        <x:v>6</x:v>
      </x:c>
      <x:c r="H1451" s="6" t="str">
        <x:v>SIDX-0179</x:v>
      </x:c>
      <x:c r="I1451" s="6" t="str">
        <x:f>IF(H1451="","No upstream dependency",IF(ISNUMBER(SEARCH(";",H1451)),"Multiple dependencies - verify source queues",IFERROR(XLOOKUP(H1451,C2:C1586,J2:J1586),"Dependency not found")))</x:f>
        <x:v>Not Started</x:v>
      </x:c>
      <x:c r="J1451" s="6" t="str">
        <x:v>Not Started</x:v>
      </x:c>
      <x:c r="K1451" s="6" t="str">
        <x:v>Normal</x:v>
      </x:c>
      <x:c r="L1451" s="6" t="str"/>
      <x:c r="M1451" s="6" t="str"/>
      <x:c r="N1451" s="6" t="str"/>
      <x:c r="O1451" s="7" t="str"/>
      <x:c r="P1451" s="6" t="str">
        <x:v>Yes</x:v>
      </x:c>
      <x:c r="Q1451" s="7" t="str">
        <x:v>Requires stable service identity; preserve observed labor evidence.</x:v>
      </x:c>
    </x:row>
    <x:row r="1452">
      <x:c r="A1452" s="6" t="str">
        <x:v>SEQ-LAB-0180</x:v>
      </x:c>
      <x:c r="B1452" s="6" t="str">
        <x:v>Labor Reference</x:v>
      </x:c>
      <x:c r="C1452" s="6" t="str">
        <x:v>LABX-0180</x:v>
      </x:c>
      <x:c r="D1452" s="6" t="str">
        <x:v>SVC000180</x:v>
      </x:c>
      <x:c r="E1452" s="6" t="str"/>
      <x:c r="F1452" s="6" t="str">
        <x:v>Labor-reference review</x:v>
      </x:c>
      <x:c r="G1452" s="6" t="n">
        <x:v>6</x:v>
      </x:c>
      <x:c r="H1452" s="6" t="str">
        <x:v>SIDX-0180</x:v>
      </x:c>
      <x:c r="I1452" s="6" t="str">
        <x:f>IF(H1452="","No upstream dependency",IF(ISNUMBER(SEARCH(";",H1452)),"Multiple dependencies - verify source queues",IFERROR(XLOOKUP(H1452,C2:C1586,J2:J1586),"Dependency not found")))</x:f>
        <x:v>Not Started</x:v>
      </x:c>
      <x:c r="J1452" s="6" t="str">
        <x:v>Not Started</x:v>
      </x:c>
      <x:c r="K1452" s="6" t="str">
        <x:v>Normal</x:v>
      </x:c>
      <x:c r="L1452" s="6" t="str"/>
      <x:c r="M1452" s="6" t="str"/>
      <x:c r="N1452" s="6" t="str"/>
      <x:c r="O1452" s="7" t="str"/>
      <x:c r="P1452" s="6" t="str">
        <x:v>Yes</x:v>
      </x:c>
      <x:c r="Q1452" s="7" t="str">
        <x:v>Requires stable service identity; preserve observed labor evidence.</x:v>
      </x:c>
    </x:row>
    <x:row r="1453">
      <x:c r="A1453" s="6" t="str">
        <x:v>SEQ-LAB-0181</x:v>
      </x:c>
      <x:c r="B1453" s="6" t="str">
        <x:v>Labor Reference</x:v>
      </x:c>
      <x:c r="C1453" s="6" t="str">
        <x:v>LABX-0181</x:v>
      </x:c>
      <x:c r="D1453" s="6" t="str">
        <x:v>SVC000181</x:v>
      </x:c>
      <x:c r="E1453" s="6" t="str"/>
      <x:c r="F1453" s="6" t="str">
        <x:v>Labor-reference review</x:v>
      </x:c>
      <x:c r="G1453" s="6" t="n">
        <x:v>6</x:v>
      </x:c>
      <x:c r="H1453" s="6" t="str">
        <x:v>SIDX-0181</x:v>
      </x:c>
      <x:c r="I1453" s="6" t="str">
        <x:f>IF(H1453="","No upstream dependency",IF(ISNUMBER(SEARCH(";",H1453)),"Multiple dependencies - verify source queues",IFERROR(XLOOKUP(H1453,C2:C1586,J2:J1586),"Dependency not found")))</x:f>
        <x:v>Not Started</x:v>
      </x:c>
      <x:c r="J1453" s="6" t="str">
        <x:v>Not Started</x:v>
      </x:c>
      <x:c r="K1453" s="6" t="str">
        <x:v>Normal</x:v>
      </x:c>
      <x:c r="L1453" s="6" t="str"/>
      <x:c r="M1453" s="6" t="str"/>
      <x:c r="N1453" s="6" t="str"/>
      <x:c r="O1453" s="7" t="str"/>
      <x:c r="P1453" s="6" t="str">
        <x:v>Yes</x:v>
      </x:c>
      <x:c r="Q1453" s="7" t="str">
        <x:v>Requires stable service identity; preserve observed labor evidence.</x:v>
      </x:c>
    </x:row>
    <x:row r="1454">
      <x:c r="A1454" s="6" t="str">
        <x:v>SEQ-LAB-0182</x:v>
      </x:c>
      <x:c r="B1454" s="6" t="str">
        <x:v>Labor Reference</x:v>
      </x:c>
      <x:c r="C1454" s="6" t="str">
        <x:v>LABX-0182</x:v>
      </x:c>
      <x:c r="D1454" s="6" t="str">
        <x:v>SVC000182</x:v>
      </x:c>
      <x:c r="E1454" s="6" t="str"/>
      <x:c r="F1454" s="6" t="str">
        <x:v>Labor-reference review</x:v>
      </x:c>
      <x:c r="G1454" s="6" t="n">
        <x:v>6</x:v>
      </x:c>
      <x:c r="H1454" s="6" t="str">
        <x:v>SIDX-0182</x:v>
      </x:c>
      <x:c r="I1454" s="6" t="str">
        <x:f>IF(H1454="","No upstream dependency",IF(ISNUMBER(SEARCH(";",H1454)),"Multiple dependencies - verify source queues",IFERROR(XLOOKUP(H1454,C2:C1586,J2:J1586),"Dependency not found")))</x:f>
        <x:v>Not Started</x:v>
      </x:c>
      <x:c r="J1454" s="6" t="str">
        <x:v>Not Started</x:v>
      </x:c>
      <x:c r="K1454" s="6" t="str">
        <x:v>Normal</x:v>
      </x:c>
      <x:c r="L1454" s="6" t="str"/>
      <x:c r="M1454" s="6" t="str"/>
      <x:c r="N1454" s="6" t="str"/>
      <x:c r="O1454" s="7" t="str"/>
      <x:c r="P1454" s="6" t="str">
        <x:v>Yes</x:v>
      </x:c>
      <x:c r="Q1454" s="7" t="str">
        <x:v>Requires stable service identity; preserve observed labor evidence.</x:v>
      </x:c>
    </x:row>
    <x:row r="1455">
      <x:c r="A1455" s="6" t="str">
        <x:v>SEQ-LAB-0183</x:v>
      </x:c>
      <x:c r="B1455" s="6" t="str">
        <x:v>Labor Reference</x:v>
      </x:c>
      <x:c r="C1455" s="6" t="str">
        <x:v>LABX-0183</x:v>
      </x:c>
      <x:c r="D1455" s="6" t="str">
        <x:v>SVC000183</x:v>
      </x:c>
      <x:c r="E1455" s="6" t="str"/>
      <x:c r="F1455" s="6" t="str">
        <x:v>Labor-reference review</x:v>
      </x:c>
      <x:c r="G1455" s="6" t="n">
        <x:v>6</x:v>
      </x:c>
      <x:c r="H1455" s="6" t="str">
        <x:v>SIDX-0183</x:v>
      </x:c>
      <x:c r="I1455" s="6" t="str">
        <x:f>IF(H1455="","No upstream dependency",IF(ISNUMBER(SEARCH(";",H1455)),"Multiple dependencies - verify source queues",IFERROR(XLOOKUP(H1455,C2:C1586,J2:J1586),"Dependency not found")))</x:f>
        <x:v>Not Started</x:v>
      </x:c>
      <x:c r="J1455" s="6" t="str">
        <x:v>Not Started</x:v>
      </x:c>
      <x:c r="K1455" s="6" t="str">
        <x:v>Normal</x:v>
      </x:c>
      <x:c r="L1455" s="6" t="str"/>
      <x:c r="M1455" s="6" t="str"/>
      <x:c r="N1455" s="6" t="str"/>
      <x:c r="O1455" s="7" t="str"/>
      <x:c r="P1455" s="6" t="str">
        <x:v>Yes</x:v>
      </x:c>
      <x:c r="Q1455" s="7" t="str">
        <x:v>Requires stable service identity; preserve observed labor evidence.</x:v>
      </x:c>
    </x:row>
    <x:row r="1456">
      <x:c r="A1456" s="6" t="str">
        <x:v>SEQ-LAB-0184</x:v>
      </x:c>
      <x:c r="B1456" s="6" t="str">
        <x:v>Labor Reference</x:v>
      </x:c>
      <x:c r="C1456" s="6" t="str">
        <x:v>LABX-0184</x:v>
      </x:c>
      <x:c r="D1456" s="6" t="str">
        <x:v>SVC000184</x:v>
      </x:c>
      <x:c r="E1456" s="6" t="str"/>
      <x:c r="F1456" s="6" t="str">
        <x:v>Labor-reference review</x:v>
      </x:c>
      <x:c r="G1456" s="6" t="n">
        <x:v>6</x:v>
      </x:c>
      <x:c r="H1456" s="6" t="str">
        <x:v>SIDX-0184</x:v>
      </x:c>
      <x:c r="I1456" s="6" t="str">
        <x:f>IF(H1456="","No upstream dependency",IF(ISNUMBER(SEARCH(";",H1456)),"Multiple dependencies - verify source queues",IFERROR(XLOOKUP(H1456,C2:C1586,J2:J1586),"Dependency not found")))</x:f>
        <x:v>Not Started</x:v>
      </x:c>
      <x:c r="J1456" s="6" t="str">
        <x:v>Not Started</x:v>
      </x:c>
      <x:c r="K1456" s="6" t="str">
        <x:v>Normal</x:v>
      </x:c>
      <x:c r="L1456" s="6" t="str"/>
      <x:c r="M1456" s="6" t="str"/>
      <x:c r="N1456" s="6" t="str"/>
      <x:c r="O1456" s="7" t="str"/>
      <x:c r="P1456" s="6" t="str">
        <x:v>Yes</x:v>
      </x:c>
      <x:c r="Q1456" s="7" t="str">
        <x:v>Requires stable service identity; preserve observed labor evidence.</x:v>
      </x:c>
    </x:row>
    <x:row r="1457">
      <x:c r="A1457" s="6" t="str">
        <x:v>SEQ-LAB-0185</x:v>
      </x:c>
      <x:c r="B1457" s="6" t="str">
        <x:v>Labor Reference</x:v>
      </x:c>
      <x:c r="C1457" s="6" t="str">
        <x:v>LABX-0185</x:v>
      </x:c>
      <x:c r="D1457" s="6" t="str">
        <x:v>SVC000185</x:v>
      </x:c>
      <x:c r="E1457" s="6" t="str"/>
      <x:c r="F1457" s="6" t="str">
        <x:v>Labor-reference review</x:v>
      </x:c>
      <x:c r="G1457" s="6" t="n">
        <x:v>6</x:v>
      </x:c>
      <x:c r="H1457" s="6" t="str">
        <x:v>SIDX-0185</x:v>
      </x:c>
      <x:c r="I1457" s="6" t="str">
        <x:f>IF(H1457="","No upstream dependency",IF(ISNUMBER(SEARCH(";",H1457)),"Multiple dependencies - verify source queues",IFERROR(XLOOKUP(H1457,C2:C1586,J2:J1586),"Dependency not found")))</x:f>
        <x:v>Not Started</x:v>
      </x:c>
      <x:c r="J1457" s="6" t="str">
        <x:v>Not Started</x:v>
      </x:c>
      <x:c r="K1457" s="6" t="str">
        <x:v>Normal</x:v>
      </x:c>
      <x:c r="L1457" s="6" t="str"/>
      <x:c r="M1457" s="6" t="str"/>
      <x:c r="N1457" s="6" t="str"/>
      <x:c r="O1457" s="7" t="str"/>
      <x:c r="P1457" s="6" t="str">
        <x:v>Yes</x:v>
      </x:c>
      <x:c r="Q1457" s="7" t="str">
        <x:v>Requires stable service identity; preserve observed labor evidence.</x:v>
      </x:c>
    </x:row>
    <x:row r="1458">
      <x:c r="A1458" s="6" t="str">
        <x:v>SEQ-LAB-0186</x:v>
      </x:c>
      <x:c r="B1458" s="6" t="str">
        <x:v>Labor Reference</x:v>
      </x:c>
      <x:c r="C1458" s="6" t="str">
        <x:v>LABX-0186</x:v>
      </x:c>
      <x:c r="D1458" s="6" t="str">
        <x:v>SVC000186</x:v>
      </x:c>
      <x:c r="E1458" s="6" t="str"/>
      <x:c r="F1458" s="6" t="str">
        <x:v>Labor-reference review</x:v>
      </x:c>
      <x:c r="G1458" s="6" t="n">
        <x:v>6</x:v>
      </x:c>
      <x:c r="H1458" s="6" t="str">
        <x:v>SIDX-0186</x:v>
      </x:c>
      <x:c r="I1458" s="6" t="str">
        <x:f>IF(H1458="","No upstream dependency",IF(ISNUMBER(SEARCH(";",H1458)),"Multiple dependencies - verify source queues",IFERROR(XLOOKUP(H1458,C2:C1586,J2:J1586),"Dependency not found")))</x:f>
        <x:v>Not Started</x:v>
      </x:c>
      <x:c r="J1458" s="6" t="str">
        <x:v>Not Started</x:v>
      </x:c>
      <x:c r="K1458" s="6" t="str">
        <x:v>Normal</x:v>
      </x:c>
      <x:c r="L1458" s="6" t="str"/>
      <x:c r="M1458" s="6" t="str"/>
      <x:c r="N1458" s="6" t="str"/>
      <x:c r="O1458" s="7" t="str"/>
      <x:c r="P1458" s="6" t="str">
        <x:v>Yes</x:v>
      </x:c>
      <x:c r="Q1458" s="7" t="str">
        <x:v>Requires stable service identity; preserve observed labor evidence.</x:v>
      </x:c>
    </x:row>
    <x:row r="1459">
      <x:c r="A1459" s="6" t="str">
        <x:v>SEQ-LAB-0187</x:v>
      </x:c>
      <x:c r="B1459" s="6" t="str">
        <x:v>Labor Reference</x:v>
      </x:c>
      <x:c r="C1459" s="6" t="str">
        <x:v>LABX-0187</x:v>
      </x:c>
      <x:c r="D1459" s="6" t="str">
        <x:v>SVC000187</x:v>
      </x:c>
      <x:c r="E1459" s="6" t="str"/>
      <x:c r="F1459" s="6" t="str">
        <x:v>Labor-reference review</x:v>
      </x:c>
      <x:c r="G1459" s="6" t="n">
        <x:v>6</x:v>
      </x:c>
      <x:c r="H1459" s="6" t="str">
        <x:v>SIDX-0187</x:v>
      </x:c>
      <x:c r="I1459" s="6" t="str">
        <x:f>IF(H1459="","No upstream dependency",IF(ISNUMBER(SEARCH(";",H1459)),"Multiple dependencies - verify source queues",IFERROR(XLOOKUP(H1459,C2:C1586,J2:J1586),"Dependency not found")))</x:f>
        <x:v>Not Started</x:v>
      </x:c>
      <x:c r="J1459" s="6" t="str">
        <x:v>Not Started</x:v>
      </x:c>
      <x:c r="K1459" s="6" t="str">
        <x:v>Normal</x:v>
      </x:c>
      <x:c r="L1459" s="6" t="str"/>
      <x:c r="M1459" s="6" t="str"/>
      <x:c r="N1459" s="6" t="str"/>
      <x:c r="O1459" s="7" t="str"/>
      <x:c r="P1459" s="6" t="str">
        <x:v>Yes</x:v>
      </x:c>
      <x:c r="Q1459" s="7" t="str">
        <x:v>Requires stable service identity; preserve observed labor evidence.</x:v>
      </x:c>
    </x:row>
    <x:row r="1460">
      <x:c r="A1460" s="6" t="str">
        <x:v>SEQ-LAB-0188</x:v>
      </x:c>
      <x:c r="B1460" s="6" t="str">
        <x:v>Labor Reference</x:v>
      </x:c>
      <x:c r="C1460" s="6" t="str">
        <x:v>LABX-0188</x:v>
      </x:c>
      <x:c r="D1460" s="6" t="str">
        <x:v>SVC000188</x:v>
      </x:c>
      <x:c r="E1460" s="6" t="str"/>
      <x:c r="F1460" s="6" t="str">
        <x:v>Labor-reference review</x:v>
      </x:c>
      <x:c r="G1460" s="6" t="n">
        <x:v>6</x:v>
      </x:c>
      <x:c r="H1460" s="6" t="str">
        <x:v>SIDX-0188</x:v>
      </x:c>
      <x:c r="I1460" s="6" t="str">
        <x:f>IF(H1460="","No upstream dependency",IF(ISNUMBER(SEARCH(";",H1460)),"Multiple dependencies - verify source queues",IFERROR(XLOOKUP(H1460,C2:C1586,J2:J1586),"Dependency not found")))</x:f>
        <x:v>Not Started</x:v>
      </x:c>
      <x:c r="J1460" s="6" t="str">
        <x:v>Not Started</x:v>
      </x:c>
      <x:c r="K1460" s="6" t="str">
        <x:v>Normal</x:v>
      </x:c>
      <x:c r="L1460" s="6" t="str"/>
      <x:c r="M1460" s="6" t="str"/>
      <x:c r="N1460" s="6" t="str"/>
      <x:c r="O1460" s="7" t="str"/>
      <x:c r="P1460" s="6" t="str">
        <x:v>Yes</x:v>
      </x:c>
      <x:c r="Q1460" s="7" t="str">
        <x:v>Requires stable service identity; preserve observed labor evidence.</x:v>
      </x:c>
    </x:row>
    <x:row r="1461">
      <x:c r="A1461" s="6" t="str">
        <x:v>SEQ-LAB-0189</x:v>
      </x:c>
      <x:c r="B1461" s="6" t="str">
        <x:v>Labor Reference</x:v>
      </x:c>
      <x:c r="C1461" s="6" t="str">
        <x:v>LABX-0189</x:v>
      </x:c>
      <x:c r="D1461" s="6" t="str">
        <x:v>SVC000189</x:v>
      </x:c>
      <x:c r="E1461" s="6" t="str"/>
      <x:c r="F1461" s="6" t="str">
        <x:v>Labor-reference review</x:v>
      </x:c>
      <x:c r="G1461" s="6" t="n">
        <x:v>6</x:v>
      </x:c>
      <x:c r="H1461" s="6" t="str">
        <x:v>SIDX-0189</x:v>
      </x:c>
      <x:c r="I1461" s="6" t="str">
        <x:f>IF(H1461="","No upstream dependency",IF(ISNUMBER(SEARCH(";",H1461)),"Multiple dependencies - verify source queues",IFERROR(XLOOKUP(H1461,C2:C1586,J2:J1586),"Dependency not found")))</x:f>
        <x:v>Not Started</x:v>
      </x:c>
      <x:c r="J1461" s="6" t="str">
        <x:v>Not Started</x:v>
      </x:c>
      <x:c r="K1461" s="6" t="str">
        <x:v>Normal</x:v>
      </x:c>
      <x:c r="L1461" s="6" t="str"/>
      <x:c r="M1461" s="6" t="str"/>
      <x:c r="N1461" s="6" t="str"/>
      <x:c r="O1461" s="7" t="str"/>
      <x:c r="P1461" s="6" t="str">
        <x:v>Yes</x:v>
      </x:c>
      <x:c r="Q1461" s="7" t="str">
        <x:v>Requires stable service identity; preserve observed labor evidence.</x:v>
      </x:c>
    </x:row>
    <x:row r="1462">
      <x:c r="A1462" s="6" t="str">
        <x:v>SEQ-LAB-0190</x:v>
      </x:c>
      <x:c r="B1462" s="6" t="str">
        <x:v>Labor Reference</x:v>
      </x:c>
      <x:c r="C1462" s="6" t="str">
        <x:v>LABX-0190</x:v>
      </x:c>
      <x:c r="D1462" s="6" t="str">
        <x:v>SVC000190</x:v>
      </x:c>
      <x:c r="E1462" s="6" t="str"/>
      <x:c r="F1462" s="6" t="str">
        <x:v>Labor-reference review</x:v>
      </x:c>
      <x:c r="G1462" s="6" t="n">
        <x:v>6</x:v>
      </x:c>
      <x:c r="H1462" s="6" t="str">
        <x:v>SIDX-0190</x:v>
      </x:c>
      <x:c r="I1462" s="6" t="str">
        <x:f>IF(H1462="","No upstream dependency",IF(ISNUMBER(SEARCH(";",H1462)),"Multiple dependencies - verify source queues",IFERROR(XLOOKUP(H1462,C2:C1586,J2:J1586),"Dependency not found")))</x:f>
        <x:v>Not Started</x:v>
      </x:c>
      <x:c r="J1462" s="6" t="str">
        <x:v>Not Started</x:v>
      </x:c>
      <x:c r="K1462" s="6" t="str">
        <x:v>Normal</x:v>
      </x:c>
      <x:c r="L1462" s="6" t="str"/>
      <x:c r="M1462" s="6" t="str"/>
      <x:c r="N1462" s="6" t="str"/>
      <x:c r="O1462" s="7" t="str"/>
      <x:c r="P1462" s="6" t="str">
        <x:v>Yes</x:v>
      </x:c>
      <x:c r="Q1462" s="7" t="str">
        <x:v>Requires stable service identity; preserve observed labor evidence.</x:v>
      </x:c>
    </x:row>
    <x:row r="1463">
      <x:c r="A1463" s="6" t="str">
        <x:v>SEQ-LAB-0191</x:v>
      </x:c>
      <x:c r="B1463" s="6" t="str">
        <x:v>Labor Reference</x:v>
      </x:c>
      <x:c r="C1463" s="6" t="str">
        <x:v>LABX-0191</x:v>
      </x:c>
      <x:c r="D1463" s="6" t="str">
        <x:v>SVC000191</x:v>
      </x:c>
      <x:c r="E1463" s="6" t="str"/>
      <x:c r="F1463" s="6" t="str">
        <x:v>Labor-reference review</x:v>
      </x:c>
      <x:c r="G1463" s="6" t="n">
        <x:v>6</x:v>
      </x:c>
      <x:c r="H1463" s="6" t="str">
        <x:v>SIDX-0191</x:v>
      </x:c>
      <x:c r="I1463" s="6" t="str">
        <x:f>IF(H1463="","No upstream dependency",IF(ISNUMBER(SEARCH(";",H1463)),"Multiple dependencies - verify source queues",IFERROR(XLOOKUP(H1463,C2:C1586,J2:J1586),"Dependency not found")))</x:f>
        <x:v>Not Started</x:v>
      </x:c>
      <x:c r="J1463" s="6" t="str">
        <x:v>Not Started</x:v>
      </x:c>
      <x:c r="K1463" s="6" t="str">
        <x:v>Normal</x:v>
      </x:c>
      <x:c r="L1463" s="6" t="str"/>
      <x:c r="M1463" s="6" t="str"/>
      <x:c r="N1463" s="6" t="str"/>
      <x:c r="O1463" s="7" t="str"/>
      <x:c r="P1463" s="6" t="str">
        <x:v>Yes</x:v>
      </x:c>
      <x:c r="Q1463" s="7" t="str">
        <x:v>Requires stable service identity; preserve observed labor evidence.</x:v>
      </x:c>
    </x:row>
    <x:row r="1464">
      <x:c r="A1464" s="6" t="str">
        <x:v>SEQ-LAB-0192</x:v>
      </x:c>
      <x:c r="B1464" s="6" t="str">
        <x:v>Labor Reference</x:v>
      </x:c>
      <x:c r="C1464" s="6" t="str">
        <x:v>LABX-0192</x:v>
      </x:c>
      <x:c r="D1464" s="6" t="str">
        <x:v>SVC000192</x:v>
      </x:c>
      <x:c r="E1464" s="6" t="str"/>
      <x:c r="F1464" s="6" t="str">
        <x:v>Labor-reference review</x:v>
      </x:c>
      <x:c r="G1464" s="6" t="n">
        <x:v>6</x:v>
      </x:c>
      <x:c r="H1464" s="6" t="str">
        <x:v>SIDX-0192</x:v>
      </x:c>
      <x:c r="I1464" s="6" t="str">
        <x:f>IF(H1464="","No upstream dependency",IF(ISNUMBER(SEARCH(";",H1464)),"Multiple dependencies - verify source queues",IFERROR(XLOOKUP(H1464,C2:C1586,J2:J1586),"Dependency not found")))</x:f>
        <x:v>Not Started</x:v>
      </x:c>
      <x:c r="J1464" s="6" t="str">
        <x:v>Not Started</x:v>
      </x:c>
      <x:c r="K1464" s="6" t="str">
        <x:v>Normal</x:v>
      </x:c>
      <x:c r="L1464" s="6" t="str"/>
      <x:c r="M1464" s="6" t="str"/>
      <x:c r="N1464" s="6" t="str"/>
      <x:c r="O1464" s="7" t="str"/>
      <x:c r="P1464" s="6" t="str">
        <x:v>Yes</x:v>
      </x:c>
      <x:c r="Q1464" s="7" t="str">
        <x:v>Requires stable service identity; preserve observed labor evidence.</x:v>
      </x:c>
    </x:row>
    <x:row r="1465">
      <x:c r="A1465" s="6" t="str">
        <x:v>SEQ-LAB-0193</x:v>
      </x:c>
      <x:c r="B1465" s="6" t="str">
        <x:v>Labor Reference</x:v>
      </x:c>
      <x:c r="C1465" s="6" t="str">
        <x:v>LABX-0193</x:v>
      </x:c>
      <x:c r="D1465" s="6" t="str">
        <x:v>SVC000193</x:v>
      </x:c>
      <x:c r="E1465" s="6" t="str"/>
      <x:c r="F1465" s="6" t="str">
        <x:v>Labor-reference review</x:v>
      </x:c>
      <x:c r="G1465" s="6" t="n">
        <x:v>6</x:v>
      </x:c>
      <x:c r="H1465" s="6" t="str">
        <x:v>SIDX-0193</x:v>
      </x:c>
      <x:c r="I1465" s="6" t="str">
        <x:f>IF(H1465="","No upstream dependency",IF(ISNUMBER(SEARCH(";",H1465)),"Multiple dependencies - verify source queues",IFERROR(XLOOKUP(H1465,C2:C1586,J2:J1586),"Dependency not found")))</x:f>
        <x:v>Not Started</x:v>
      </x:c>
      <x:c r="J1465" s="6" t="str">
        <x:v>Not Started</x:v>
      </x:c>
      <x:c r="K1465" s="6" t="str">
        <x:v>Normal</x:v>
      </x:c>
      <x:c r="L1465" s="6" t="str"/>
      <x:c r="M1465" s="6" t="str"/>
      <x:c r="N1465" s="6" t="str"/>
      <x:c r="O1465" s="7" t="str"/>
      <x:c r="P1465" s="6" t="str">
        <x:v>Yes</x:v>
      </x:c>
      <x:c r="Q1465" s="7" t="str">
        <x:v>Requires stable service identity; preserve observed labor evidence.</x:v>
      </x:c>
    </x:row>
    <x:row r="1466">
      <x:c r="A1466" s="6" t="str">
        <x:v>SEQ-LAB-0194</x:v>
      </x:c>
      <x:c r="B1466" s="6" t="str">
        <x:v>Labor Reference</x:v>
      </x:c>
      <x:c r="C1466" s="6" t="str">
        <x:v>LABX-0194</x:v>
      </x:c>
      <x:c r="D1466" s="6" t="str">
        <x:v>SVC000194</x:v>
      </x:c>
      <x:c r="E1466" s="6" t="str"/>
      <x:c r="F1466" s="6" t="str">
        <x:v>Labor-reference review</x:v>
      </x:c>
      <x:c r="G1466" s="6" t="n">
        <x:v>6</x:v>
      </x:c>
      <x:c r="H1466" s="6" t="str">
        <x:v>SIDX-0194</x:v>
      </x:c>
      <x:c r="I1466" s="6" t="str">
        <x:f>IF(H1466="","No upstream dependency",IF(ISNUMBER(SEARCH(";",H1466)),"Multiple dependencies - verify source queues",IFERROR(XLOOKUP(H1466,C2:C1586,J2:J1586),"Dependency not found")))</x:f>
        <x:v>Not Started</x:v>
      </x:c>
      <x:c r="J1466" s="6" t="str">
        <x:v>Not Started</x:v>
      </x:c>
      <x:c r="K1466" s="6" t="str">
        <x:v>Normal</x:v>
      </x:c>
      <x:c r="L1466" s="6" t="str"/>
      <x:c r="M1466" s="6" t="str"/>
      <x:c r="N1466" s="6" t="str"/>
      <x:c r="O1466" s="7" t="str"/>
      <x:c r="P1466" s="6" t="str">
        <x:v>Yes</x:v>
      </x:c>
      <x:c r="Q1466" s="7" t="str">
        <x:v>Requires stable service identity; preserve observed labor evidence.</x:v>
      </x:c>
    </x:row>
    <x:row r="1467">
      <x:c r="A1467" s="6" t="str">
        <x:v>SEQ-LAB-0195</x:v>
      </x:c>
      <x:c r="B1467" s="6" t="str">
        <x:v>Labor Reference</x:v>
      </x:c>
      <x:c r="C1467" s="6" t="str">
        <x:v>LABX-0195</x:v>
      </x:c>
      <x:c r="D1467" s="6" t="str">
        <x:v>SVC000195</x:v>
      </x:c>
      <x:c r="E1467" s="6" t="str"/>
      <x:c r="F1467" s="6" t="str">
        <x:v>Labor-reference review</x:v>
      </x:c>
      <x:c r="G1467" s="6" t="n">
        <x:v>6</x:v>
      </x:c>
      <x:c r="H1467" s="6" t="str">
        <x:v>SIDX-0195</x:v>
      </x:c>
      <x:c r="I1467" s="6" t="str">
        <x:f>IF(H1467="","No upstream dependency",IF(ISNUMBER(SEARCH(";",H1467)),"Multiple dependencies - verify source queues",IFERROR(XLOOKUP(H1467,C2:C1586,J2:J1586),"Dependency not found")))</x:f>
        <x:v>Not Started</x:v>
      </x:c>
      <x:c r="J1467" s="6" t="str">
        <x:v>Not Started</x:v>
      </x:c>
      <x:c r="K1467" s="6" t="str">
        <x:v>Normal</x:v>
      </x:c>
      <x:c r="L1467" s="6" t="str"/>
      <x:c r="M1467" s="6" t="str"/>
      <x:c r="N1467" s="6" t="str"/>
      <x:c r="O1467" s="7" t="str"/>
      <x:c r="P1467" s="6" t="str">
        <x:v>Yes</x:v>
      </x:c>
      <x:c r="Q1467" s="7" t="str">
        <x:v>Requires stable service identity; preserve observed labor evidence.</x:v>
      </x:c>
    </x:row>
    <x:row r="1468">
      <x:c r="A1468" s="6" t="str">
        <x:v>SEQ-LAB-0196</x:v>
      </x:c>
      <x:c r="B1468" s="6" t="str">
        <x:v>Labor Reference</x:v>
      </x:c>
      <x:c r="C1468" s="6" t="str">
        <x:v>LABX-0196</x:v>
      </x:c>
      <x:c r="D1468" s="6" t="str">
        <x:v>SVC000196</x:v>
      </x:c>
      <x:c r="E1468" s="6" t="str"/>
      <x:c r="F1468" s="6" t="str">
        <x:v>Labor-reference review</x:v>
      </x:c>
      <x:c r="G1468" s="6" t="n">
        <x:v>6</x:v>
      </x:c>
      <x:c r="H1468" s="6" t="str">
        <x:v>SIDX-0196</x:v>
      </x:c>
      <x:c r="I1468" s="6" t="str">
        <x:f>IF(H1468="","No upstream dependency",IF(ISNUMBER(SEARCH(";",H1468)),"Multiple dependencies - verify source queues",IFERROR(XLOOKUP(H1468,C2:C1586,J2:J1586),"Dependency not found")))</x:f>
        <x:v>Not Started</x:v>
      </x:c>
      <x:c r="J1468" s="6" t="str">
        <x:v>Not Started</x:v>
      </x:c>
      <x:c r="K1468" s="6" t="str">
        <x:v>Normal</x:v>
      </x:c>
      <x:c r="L1468" s="6" t="str"/>
      <x:c r="M1468" s="6" t="str"/>
      <x:c r="N1468" s="6" t="str"/>
      <x:c r="O1468" s="7" t="str"/>
      <x:c r="P1468" s="6" t="str">
        <x:v>Yes</x:v>
      </x:c>
      <x:c r="Q1468" s="7" t="str">
        <x:v>Requires stable service identity; preserve observed labor evidence.</x:v>
      </x:c>
    </x:row>
    <x:row r="1469">
      <x:c r="A1469" s="6" t="str">
        <x:v>SEQ-LAB-0197</x:v>
      </x:c>
      <x:c r="B1469" s="6" t="str">
        <x:v>Labor Reference</x:v>
      </x:c>
      <x:c r="C1469" s="6" t="str">
        <x:v>LABX-0197</x:v>
      </x:c>
      <x:c r="D1469" s="6" t="str">
        <x:v>SVC000197</x:v>
      </x:c>
      <x:c r="E1469" s="6" t="str"/>
      <x:c r="F1469" s="6" t="str">
        <x:v>Labor-reference review</x:v>
      </x:c>
      <x:c r="G1469" s="6" t="n">
        <x:v>6</x:v>
      </x:c>
      <x:c r="H1469" s="6" t="str">
        <x:v>SIDX-0197</x:v>
      </x:c>
      <x:c r="I1469" s="6" t="str">
        <x:f>IF(H1469="","No upstream dependency",IF(ISNUMBER(SEARCH(";",H1469)),"Multiple dependencies - verify source queues",IFERROR(XLOOKUP(H1469,C2:C1586,J2:J1586),"Dependency not found")))</x:f>
        <x:v>Not Started</x:v>
      </x:c>
      <x:c r="J1469" s="6" t="str">
        <x:v>Not Started</x:v>
      </x:c>
      <x:c r="K1469" s="6" t="str">
        <x:v>Normal</x:v>
      </x:c>
      <x:c r="L1469" s="6" t="str"/>
      <x:c r="M1469" s="6" t="str"/>
      <x:c r="N1469" s="6" t="str"/>
      <x:c r="O1469" s="7" t="str"/>
      <x:c r="P1469" s="6" t="str">
        <x:v>Yes</x:v>
      </x:c>
      <x:c r="Q1469" s="7" t="str">
        <x:v>Requires stable service identity; preserve observed labor evidence.</x:v>
      </x:c>
    </x:row>
    <x:row r="1470">
      <x:c r="A1470" s="6" t="str">
        <x:v>SEQ-LAB-0198</x:v>
      </x:c>
      <x:c r="B1470" s="6" t="str">
        <x:v>Labor Reference</x:v>
      </x:c>
      <x:c r="C1470" s="6" t="str">
        <x:v>LABX-0198</x:v>
      </x:c>
      <x:c r="D1470" s="6" t="str">
        <x:v>SVC000198</x:v>
      </x:c>
      <x:c r="E1470" s="6" t="str"/>
      <x:c r="F1470" s="6" t="str">
        <x:v>Labor-reference review</x:v>
      </x:c>
      <x:c r="G1470" s="6" t="n">
        <x:v>6</x:v>
      </x:c>
      <x:c r="H1470" s="6" t="str">
        <x:v>SIDX-0198</x:v>
      </x:c>
      <x:c r="I1470" s="6" t="str">
        <x:f>IF(H1470="","No upstream dependency",IF(ISNUMBER(SEARCH(";",H1470)),"Multiple dependencies - verify source queues",IFERROR(XLOOKUP(H1470,C2:C1586,J2:J1586),"Dependency not found")))</x:f>
        <x:v>Not Started</x:v>
      </x:c>
      <x:c r="J1470" s="6" t="str">
        <x:v>Not Started</x:v>
      </x:c>
      <x:c r="K1470" s="6" t="str">
        <x:v>Normal</x:v>
      </x:c>
      <x:c r="L1470" s="6" t="str"/>
      <x:c r="M1470" s="6" t="str"/>
      <x:c r="N1470" s="6" t="str"/>
      <x:c r="O1470" s="7" t="str"/>
      <x:c r="P1470" s="6" t="str">
        <x:v>Yes</x:v>
      </x:c>
      <x:c r="Q1470" s="7" t="str">
        <x:v>Requires stable service identity; preserve observed labor evidence.</x:v>
      </x:c>
    </x:row>
    <x:row r="1471">
      <x:c r="A1471" s="6" t="str">
        <x:v>SEQ-LAB-0199</x:v>
      </x:c>
      <x:c r="B1471" s="6" t="str">
        <x:v>Labor Reference</x:v>
      </x:c>
      <x:c r="C1471" s="6" t="str">
        <x:v>LABX-0199</x:v>
      </x:c>
      <x:c r="D1471" s="6" t="str">
        <x:v>SVC000199</x:v>
      </x:c>
      <x:c r="E1471" s="6" t="str"/>
      <x:c r="F1471" s="6" t="str">
        <x:v>Labor-reference review</x:v>
      </x:c>
      <x:c r="G1471" s="6" t="n">
        <x:v>6</x:v>
      </x:c>
      <x:c r="H1471" s="6" t="str">
        <x:v>SIDX-0199</x:v>
      </x:c>
      <x:c r="I1471" s="6" t="str">
        <x:f>IF(H1471="","No upstream dependency",IF(ISNUMBER(SEARCH(";",H1471)),"Multiple dependencies - verify source queues",IFERROR(XLOOKUP(H1471,C2:C1586,J2:J1586),"Dependency not found")))</x:f>
        <x:v>Not Started</x:v>
      </x:c>
      <x:c r="J1471" s="6" t="str">
        <x:v>Not Started</x:v>
      </x:c>
      <x:c r="K1471" s="6" t="str">
        <x:v>Normal</x:v>
      </x:c>
      <x:c r="L1471" s="6" t="str"/>
      <x:c r="M1471" s="6" t="str"/>
      <x:c r="N1471" s="6" t="str"/>
      <x:c r="O1471" s="7" t="str"/>
      <x:c r="P1471" s="6" t="str">
        <x:v>Yes</x:v>
      </x:c>
      <x:c r="Q1471" s="7" t="str">
        <x:v>Requires stable service identity; preserve observed labor evidence.</x:v>
      </x:c>
    </x:row>
    <x:row r="1472">
      <x:c r="A1472" s="6" t="str">
        <x:v>SEQ-LAB-0200</x:v>
      </x:c>
      <x:c r="B1472" s="6" t="str">
        <x:v>Labor Reference</x:v>
      </x:c>
      <x:c r="C1472" s="6" t="str">
        <x:v>LABX-0200</x:v>
      </x:c>
      <x:c r="D1472" s="6" t="str">
        <x:v>SVC000200</x:v>
      </x:c>
      <x:c r="E1472" s="6" t="str"/>
      <x:c r="F1472" s="6" t="str">
        <x:v>Labor-reference review</x:v>
      </x:c>
      <x:c r="G1472" s="6" t="n">
        <x:v>6</x:v>
      </x:c>
      <x:c r="H1472" s="6" t="str">
        <x:v>SIDX-0200</x:v>
      </x:c>
      <x:c r="I1472" s="6" t="str">
        <x:f>IF(H1472="","No upstream dependency",IF(ISNUMBER(SEARCH(";",H1472)),"Multiple dependencies - verify source queues",IFERROR(XLOOKUP(H1472,C2:C1586,J2:J1586),"Dependency not found")))</x:f>
        <x:v>Not Started</x:v>
      </x:c>
      <x:c r="J1472" s="6" t="str">
        <x:v>Not Started</x:v>
      </x:c>
      <x:c r="K1472" s="6" t="str">
        <x:v>Normal</x:v>
      </x:c>
      <x:c r="L1472" s="6" t="str"/>
      <x:c r="M1472" s="6" t="str"/>
      <x:c r="N1472" s="6" t="str"/>
      <x:c r="O1472" s="7" t="str"/>
      <x:c r="P1472" s="6" t="str">
        <x:v>Yes</x:v>
      </x:c>
      <x:c r="Q1472" s="7" t="str">
        <x:v>Requires stable service identity; preserve observed labor evidence.</x:v>
      </x:c>
    </x:row>
    <x:row r="1473">
      <x:c r="A1473" s="6" t="str">
        <x:v>SEQ-LAB-0201</x:v>
      </x:c>
      <x:c r="B1473" s="6" t="str">
        <x:v>Labor Reference</x:v>
      </x:c>
      <x:c r="C1473" s="6" t="str">
        <x:v>LABX-0201</x:v>
      </x:c>
      <x:c r="D1473" s="6" t="str">
        <x:v>SVC000201</x:v>
      </x:c>
      <x:c r="E1473" s="6" t="str"/>
      <x:c r="F1473" s="6" t="str">
        <x:v>Labor-reference review</x:v>
      </x:c>
      <x:c r="G1473" s="6" t="n">
        <x:v>6</x:v>
      </x:c>
      <x:c r="H1473" s="6" t="str">
        <x:v>SIDX-0201</x:v>
      </x:c>
      <x:c r="I1473" s="6" t="str">
        <x:f>IF(H1473="","No upstream dependency",IF(ISNUMBER(SEARCH(";",H1473)),"Multiple dependencies - verify source queues",IFERROR(XLOOKUP(H1473,C2:C1586,J2:J1586),"Dependency not found")))</x:f>
        <x:v>Not Started</x:v>
      </x:c>
      <x:c r="J1473" s="6" t="str">
        <x:v>Not Started</x:v>
      </x:c>
      <x:c r="K1473" s="6" t="str">
        <x:v>Normal</x:v>
      </x:c>
      <x:c r="L1473" s="6" t="str"/>
      <x:c r="M1473" s="6" t="str"/>
      <x:c r="N1473" s="6" t="str"/>
      <x:c r="O1473" s="7" t="str"/>
      <x:c r="P1473" s="6" t="str">
        <x:v>Yes</x:v>
      </x:c>
      <x:c r="Q1473" s="7" t="str">
        <x:v>Requires stable service identity; preserve observed labor evidence.</x:v>
      </x:c>
    </x:row>
    <x:row r="1474">
      <x:c r="A1474" s="6" t="str">
        <x:v>SEQ-LAB-0202</x:v>
      </x:c>
      <x:c r="B1474" s="6" t="str">
        <x:v>Labor Reference</x:v>
      </x:c>
      <x:c r="C1474" s="6" t="str">
        <x:v>LABX-0202</x:v>
      </x:c>
      <x:c r="D1474" s="6" t="str">
        <x:v>SVC000202</x:v>
      </x:c>
      <x:c r="E1474" s="6" t="str"/>
      <x:c r="F1474" s="6" t="str">
        <x:v>Labor-reference review</x:v>
      </x:c>
      <x:c r="G1474" s="6" t="n">
        <x:v>6</x:v>
      </x:c>
      <x:c r="H1474" s="6" t="str">
        <x:v>SIDX-0202</x:v>
      </x:c>
      <x:c r="I1474" s="6" t="str">
        <x:f>IF(H1474="","No upstream dependency",IF(ISNUMBER(SEARCH(";",H1474)),"Multiple dependencies - verify source queues",IFERROR(XLOOKUP(H1474,C2:C1586,J2:J1586),"Dependency not found")))</x:f>
        <x:v>Not Started</x:v>
      </x:c>
      <x:c r="J1474" s="6" t="str">
        <x:v>Not Started</x:v>
      </x:c>
      <x:c r="K1474" s="6" t="str">
        <x:v>Normal</x:v>
      </x:c>
      <x:c r="L1474" s="6" t="str"/>
      <x:c r="M1474" s="6" t="str"/>
      <x:c r="N1474" s="6" t="str"/>
      <x:c r="O1474" s="7" t="str"/>
      <x:c r="P1474" s="6" t="str">
        <x:v>Yes</x:v>
      </x:c>
      <x:c r="Q1474" s="7" t="str">
        <x:v>Requires stable service identity; preserve observed labor evidence.</x:v>
      </x:c>
    </x:row>
    <x:row r="1475">
      <x:c r="A1475" s="6" t="str">
        <x:v>SEQ-LAB-0203</x:v>
      </x:c>
      <x:c r="B1475" s="6" t="str">
        <x:v>Labor Reference</x:v>
      </x:c>
      <x:c r="C1475" s="6" t="str">
        <x:v>LABX-0203</x:v>
      </x:c>
      <x:c r="D1475" s="6" t="str">
        <x:v>SVC000203</x:v>
      </x:c>
      <x:c r="E1475" s="6" t="str"/>
      <x:c r="F1475" s="6" t="str">
        <x:v>Labor-reference review</x:v>
      </x:c>
      <x:c r="G1475" s="6" t="n">
        <x:v>6</x:v>
      </x:c>
      <x:c r="H1475" s="6" t="str">
        <x:v>SIDX-0203</x:v>
      </x:c>
      <x:c r="I1475" s="6" t="str">
        <x:f>IF(H1475="","No upstream dependency",IF(ISNUMBER(SEARCH(";",H1475)),"Multiple dependencies - verify source queues",IFERROR(XLOOKUP(H1475,C2:C1586,J2:J1586),"Dependency not found")))</x:f>
        <x:v>Not Started</x:v>
      </x:c>
      <x:c r="J1475" s="6" t="str">
        <x:v>Not Started</x:v>
      </x:c>
      <x:c r="K1475" s="6" t="str">
        <x:v>Normal</x:v>
      </x:c>
      <x:c r="L1475" s="6" t="str"/>
      <x:c r="M1475" s="6" t="str"/>
      <x:c r="N1475" s="6" t="str"/>
      <x:c r="O1475" s="7" t="str"/>
      <x:c r="P1475" s="6" t="str">
        <x:v>Yes</x:v>
      </x:c>
      <x:c r="Q1475" s="7" t="str">
        <x:v>Requires stable service identity; preserve observed labor evidence.</x:v>
      </x:c>
    </x:row>
    <x:row r="1476">
      <x:c r="A1476" s="6" t="str">
        <x:v>SEQ-LAB-0204</x:v>
      </x:c>
      <x:c r="B1476" s="6" t="str">
        <x:v>Labor Reference</x:v>
      </x:c>
      <x:c r="C1476" s="6" t="str">
        <x:v>LABX-0204</x:v>
      </x:c>
      <x:c r="D1476" s="6" t="str">
        <x:v>SVC000204</x:v>
      </x:c>
      <x:c r="E1476" s="6" t="str"/>
      <x:c r="F1476" s="6" t="str">
        <x:v>Labor-reference review</x:v>
      </x:c>
      <x:c r="G1476" s="6" t="n">
        <x:v>6</x:v>
      </x:c>
      <x:c r="H1476" s="6" t="str">
        <x:v>SIDX-0204</x:v>
      </x:c>
      <x:c r="I1476" s="6" t="str">
        <x:f>IF(H1476="","No upstream dependency",IF(ISNUMBER(SEARCH(";",H1476)),"Multiple dependencies - verify source queues",IFERROR(XLOOKUP(H1476,C2:C1586,J2:J1586),"Dependency not found")))</x:f>
        <x:v>Not Started</x:v>
      </x:c>
      <x:c r="J1476" s="6" t="str">
        <x:v>Not Started</x:v>
      </x:c>
      <x:c r="K1476" s="6" t="str">
        <x:v>Normal</x:v>
      </x:c>
      <x:c r="L1476" s="6" t="str"/>
      <x:c r="M1476" s="6" t="str"/>
      <x:c r="N1476" s="6" t="str"/>
      <x:c r="O1476" s="7" t="str"/>
      <x:c r="P1476" s="6" t="str">
        <x:v>Yes</x:v>
      </x:c>
      <x:c r="Q1476" s="7" t="str">
        <x:v>Requires stable service identity; preserve observed labor evidence.</x:v>
      </x:c>
    </x:row>
    <x:row r="1477">
      <x:c r="A1477" s="6" t="str">
        <x:v>SEQ-LAB-0205</x:v>
      </x:c>
      <x:c r="B1477" s="6" t="str">
        <x:v>Labor Reference</x:v>
      </x:c>
      <x:c r="C1477" s="6" t="str">
        <x:v>LABX-0205</x:v>
      </x:c>
      <x:c r="D1477" s="6" t="str">
        <x:v>SVC000205</x:v>
      </x:c>
      <x:c r="E1477" s="6" t="str"/>
      <x:c r="F1477" s="6" t="str">
        <x:v>Labor-reference review</x:v>
      </x:c>
      <x:c r="G1477" s="6" t="n">
        <x:v>6</x:v>
      </x:c>
      <x:c r="H1477" s="6" t="str">
        <x:v>SIDX-0205</x:v>
      </x:c>
      <x:c r="I1477" s="6" t="str">
        <x:f>IF(H1477="","No upstream dependency",IF(ISNUMBER(SEARCH(";",H1477)),"Multiple dependencies - verify source queues",IFERROR(XLOOKUP(H1477,C2:C1586,J2:J1586),"Dependency not found")))</x:f>
        <x:v>Not Started</x:v>
      </x:c>
      <x:c r="J1477" s="6" t="str">
        <x:v>Not Started</x:v>
      </x:c>
      <x:c r="K1477" s="6" t="str">
        <x:v>Normal</x:v>
      </x:c>
      <x:c r="L1477" s="6" t="str"/>
      <x:c r="M1477" s="6" t="str"/>
      <x:c r="N1477" s="6" t="str"/>
      <x:c r="O1477" s="7" t="str"/>
      <x:c r="P1477" s="6" t="str">
        <x:v>Yes</x:v>
      </x:c>
      <x:c r="Q1477" s="7" t="str">
        <x:v>Requires stable service identity; preserve observed labor evidence.</x:v>
      </x:c>
    </x:row>
    <x:row r="1478">
      <x:c r="A1478" s="6" t="str">
        <x:v>SEQ-LAB-0206</x:v>
      </x:c>
      <x:c r="B1478" s="6" t="str">
        <x:v>Labor Reference</x:v>
      </x:c>
      <x:c r="C1478" s="6" t="str">
        <x:v>LABX-0206</x:v>
      </x:c>
      <x:c r="D1478" s="6" t="str">
        <x:v>SVC000206</x:v>
      </x:c>
      <x:c r="E1478" s="6" t="str"/>
      <x:c r="F1478" s="6" t="str">
        <x:v>Labor-reference review</x:v>
      </x:c>
      <x:c r="G1478" s="6" t="n">
        <x:v>6</x:v>
      </x:c>
      <x:c r="H1478" s="6" t="str">
        <x:v>SIDX-0206</x:v>
      </x:c>
      <x:c r="I1478" s="6" t="str">
        <x:f>IF(H1478="","No upstream dependency",IF(ISNUMBER(SEARCH(";",H1478)),"Multiple dependencies - verify source queues",IFERROR(XLOOKUP(H1478,C2:C1586,J2:J1586),"Dependency not found")))</x:f>
        <x:v>Not Started</x:v>
      </x:c>
      <x:c r="J1478" s="6" t="str">
        <x:v>Not Started</x:v>
      </x:c>
      <x:c r="K1478" s="6" t="str">
        <x:v>Normal</x:v>
      </x:c>
      <x:c r="L1478" s="6" t="str"/>
      <x:c r="M1478" s="6" t="str"/>
      <x:c r="N1478" s="6" t="str"/>
      <x:c r="O1478" s="7" t="str"/>
      <x:c r="P1478" s="6" t="str">
        <x:v>Yes</x:v>
      </x:c>
      <x:c r="Q1478" s="7" t="str">
        <x:v>Requires stable service identity; preserve observed labor evidence.</x:v>
      </x:c>
    </x:row>
    <x:row r="1479">
      <x:c r="A1479" s="6" t="str">
        <x:v>SEQ-LAB-0207</x:v>
      </x:c>
      <x:c r="B1479" s="6" t="str">
        <x:v>Labor Reference</x:v>
      </x:c>
      <x:c r="C1479" s="6" t="str">
        <x:v>LABX-0207</x:v>
      </x:c>
      <x:c r="D1479" s="6" t="str">
        <x:v>SVC000207</x:v>
      </x:c>
      <x:c r="E1479" s="6" t="str"/>
      <x:c r="F1479" s="6" t="str">
        <x:v>Labor-reference review</x:v>
      </x:c>
      <x:c r="G1479" s="6" t="n">
        <x:v>6</x:v>
      </x:c>
      <x:c r="H1479" s="6" t="str">
        <x:v>SIDX-0207</x:v>
      </x:c>
      <x:c r="I1479" s="6" t="str">
        <x:f>IF(H1479="","No upstream dependency",IF(ISNUMBER(SEARCH(";",H1479)),"Multiple dependencies - verify source queues",IFERROR(XLOOKUP(H1479,C2:C1586,J2:J1586),"Dependency not found")))</x:f>
        <x:v>Not Started</x:v>
      </x:c>
      <x:c r="J1479" s="6" t="str">
        <x:v>Not Started</x:v>
      </x:c>
      <x:c r="K1479" s="6" t="str">
        <x:v>Normal</x:v>
      </x:c>
      <x:c r="L1479" s="6" t="str"/>
      <x:c r="M1479" s="6" t="str"/>
      <x:c r="N1479" s="6" t="str"/>
      <x:c r="O1479" s="7" t="str"/>
      <x:c r="P1479" s="6" t="str">
        <x:v>Yes</x:v>
      </x:c>
      <x:c r="Q1479" s="7" t="str">
        <x:v>Requires stable service identity; preserve observed labor evidence.</x:v>
      </x:c>
    </x:row>
    <x:row r="1480">
      <x:c r="A1480" s="6" t="str">
        <x:v>SEQ-LAB-0208</x:v>
      </x:c>
      <x:c r="B1480" s="6" t="str">
        <x:v>Labor Reference</x:v>
      </x:c>
      <x:c r="C1480" s="6" t="str">
        <x:v>LABX-0208</x:v>
      </x:c>
      <x:c r="D1480" s="6" t="str">
        <x:v>SVC000208</x:v>
      </x:c>
      <x:c r="E1480" s="6" t="str"/>
      <x:c r="F1480" s="6" t="str">
        <x:v>Labor-reference review</x:v>
      </x:c>
      <x:c r="G1480" s="6" t="n">
        <x:v>6</x:v>
      </x:c>
      <x:c r="H1480" s="6" t="str">
        <x:v>SIDX-0208</x:v>
      </x:c>
      <x:c r="I1480" s="6" t="str">
        <x:f>IF(H1480="","No upstream dependency",IF(ISNUMBER(SEARCH(";",H1480)),"Multiple dependencies - verify source queues",IFERROR(XLOOKUP(H1480,C2:C1586,J2:J1586),"Dependency not found")))</x:f>
        <x:v>Not Started</x:v>
      </x:c>
      <x:c r="J1480" s="6" t="str">
        <x:v>Not Started</x:v>
      </x:c>
      <x:c r="K1480" s="6" t="str">
        <x:v>Normal</x:v>
      </x:c>
      <x:c r="L1480" s="6" t="str"/>
      <x:c r="M1480" s="6" t="str"/>
      <x:c r="N1480" s="6" t="str"/>
      <x:c r="O1480" s="7" t="str"/>
      <x:c r="P1480" s="6" t="str">
        <x:v>Yes</x:v>
      </x:c>
      <x:c r="Q1480" s="7" t="str">
        <x:v>Requires stable service identity; preserve observed labor evidence.</x:v>
      </x:c>
    </x:row>
    <x:row r="1481">
      <x:c r="A1481" s="6" t="str">
        <x:v>SEQ-LAB-0209</x:v>
      </x:c>
      <x:c r="B1481" s="6" t="str">
        <x:v>Labor Reference</x:v>
      </x:c>
      <x:c r="C1481" s="6" t="str">
        <x:v>LABX-0209</x:v>
      </x:c>
      <x:c r="D1481" s="6" t="str">
        <x:v>SVC000209</x:v>
      </x:c>
      <x:c r="E1481" s="6" t="str"/>
      <x:c r="F1481" s="6" t="str">
        <x:v>Labor-reference review</x:v>
      </x:c>
      <x:c r="G1481" s="6" t="n">
        <x:v>6</x:v>
      </x:c>
      <x:c r="H1481" s="6" t="str">
        <x:v>SIDX-0209</x:v>
      </x:c>
      <x:c r="I1481" s="6" t="str">
        <x:f>IF(H1481="","No upstream dependency",IF(ISNUMBER(SEARCH(";",H1481)),"Multiple dependencies - verify source queues",IFERROR(XLOOKUP(H1481,C2:C1586,J2:J1586),"Dependency not found")))</x:f>
        <x:v>Not Started</x:v>
      </x:c>
      <x:c r="J1481" s="6" t="str">
        <x:v>Not Started</x:v>
      </x:c>
      <x:c r="K1481" s="6" t="str">
        <x:v>Normal</x:v>
      </x:c>
      <x:c r="L1481" s="6" t="str"/>
      <x:c r="M1481" s="6" t="str"/>
      <x:c r="N1481" s="6" t="str"/>
      <x:c r="O1481" s="7" t="str"/>
      <x:c r="P1481" s="6" t="str">
        <x:v>Yes</x:v>
      </x:c>
      <x:c r="Q1481" s="7" t="str">
        <x:v>Requires stable service identity; preserve observed labor evidence.</x:v>
      </x:c>
    </x:row>
    <x:row r="1482">
      <x:c r="A1482" s="6" t="str">
        <x:v>SEQ-LAB-0210</x:v>
      </x:c>
      <x:c r="B1482" s="6" t="str">
        <x:v>Labor Reference</x:v>
      </x:c>
      <x:c r="C1482" s="6" t="str">
        <x:v>LABX-0210</x:v>
      </x:c>
      <x:c r="D1482" s="6" t="str">
        <x:v>SVC000210</x:v>
      </x:c>
      <x:c r="E1482" s="6" t="str"/>
      <x:c r="F1482" s="6" t="str">
        <x:v>Labor-reference review</x:v>
      </x:c>
      <x:c r="G1482" s="6" t="n">
        <x:v>6</x:v>
      </x:c>
      <x:c r="H1482" s="6" t="str">
        <x:v>SIDX-0210</x:v>
      </x:c>
      <x:c r="I1482" s="6" t="str">
        <x:f>IF(H1482="","No upstream dependency",IF(ISNUMBER(SEARCH(";",H1482)),"Multiple dependencies - verify source queues",IFERROR(XLOOKUP(H1482,C2:C1586,J2:J1586),"Dependency not found")))</x:f>
        <x:v>Not Started</x:v>
      </x:c>
      <x:c r="J1482" s="6" t="str">
        <x:v>Not Started</x:v>
      </x:c>
      <x:c r="K1482" s="6" t="str">
        <x:v>Normal</x:v>
      </x:c>
      <x:c r="L1482" s="6" t="str"/>
      <x:c r="M1482" s="6" t="str"/>
      <x:c r="N1482" s="6" t="str"/>
      <x:c r="O1482" s="7" t="str"/>
      <x:c r="P1482" s="6" t="str">
        <x:v>Yes</x:v>
      </x:c>
      <x:c r="Q1482" s="7" t="str">
        <x:v>Requires stable service identity; preserve observed labor evidence.</x:v>
      </x:c>
    </x:row>
    <x:row r="1483">
      <x:c r="A1483" s="6" t="str">
        <x:v>SEQ-LAB-0211</x:v>
      </x:c>
      <x:c r="B1483" s="6" t="str">
        <x:v>Labor Reference</x:v>
      </x:c>
      <x:c r="C1483" s="6" t="str">
        <x:v>LABX-0211</x:v>
      </x:c>
      <x:c r="D1483" s="6" t="str">
        <x:v>SVC000211</x:v>
      </x:c>
      <x:c r="E1483" s="6" t="str"/>
      <x:c r="F1483" s="6" t="str">
        <x:v>Labor-reference review</x:v>
      </x:c>
      <x:c r="G1483" s="6" t="n">
        <x:v>6</x:v>
      </x:c>
      <x:c r="H1483" s="6" t="str">
        <x:v>SIDX-0211</x:v>
      </x:c>
      <x:c r="I1483" s="6" t="str">
        <x:f>IF(H1483="","No upstream dependency",IF(ISNUMBER(SEARCH(";",H1483)),"Multiple dependencies - verify source queues",IFERROR(XLOOKUP(H1483,C2:C1586,J2:J1586),"Dependency not found")))</x:f>
        <x:v>Not Started</x:v>
      </x:c>
      <x:c r="J1483" s="6" t="str">
        <x:v>Not Started</x:v>
      </x:c>
      <x:c r="K1483" s="6" t="str">
        <x:v>Normal</x:v>
      </x:c>
      <x:c r="L1483" s="6" t="str"/>
      <x:c r="M1483" s="6" t="str"/>
      <x:c r="N1483" s="6" t="str"/>
      <x:c r="O1483" s="7" t="str"/>
      <x:c r="P1483" s="6" t="str">
        <x:v>Yes</x:v>
      </x:c>
      <x:c r="Q1483" s="7" t="str">
        <x:v>Requires stable service identity; preserve observed labor evidence.</x:v>
      </x:c>
    </x:row>
    <x:row r="1484">
      <x:c r="A1484" s="6" t="str">
        <x:v>SEQ-LAB-0212</x:v>
      </x:c>
      <x:c r="B1484" s="6" t="str">
        <x:v>Labor Reference</x:v>
      </x:c>
      <x:c r="C1484" s="6" t="str">
        <x:v>LABX-0212</x:v>
      </x:c>
      <x:c r="D1484" s="6" t="str">
        <x:v>SVC000212</x:v>
      </x:c>
      <x:c r="E1484" s="6" t="str"/>
      <x:c r="F1484" s="6" t="str">
        <x:v>Labor-reference review</x:v>
      </x:c>
      <x:c r="G1484" s="6" t="n">
        <x:v>6</x:v>
      </x:c>
      <x:c r="H1484" s="6" t="str">
        <x:v>SIDX-0212</x:v>
      </x:c>
      <x:c r="I1484" s="6" t="str">
        <x:f>IF(H1484="","No upstream dependency",IF(ISNUMBER(SEARCH(";",H1484)),"Multiple dependencies - verify source queues",IFERROR(XLOOKUP(H1484,C2:C1586,J2:J1586),"Dependency not found")))</x:f>
        <x:v>Not Started</x:v>
      </x:c>
      <x:c r="J1484" s="6" t="str">
        <x:v>Not Started</x:v>
      </x:c>
      <x:c r="K1484" s="6" t="str">
        <x:v>Normal</x:v>
      </x:c>
      <x:c r="L1484" s="6" t="str"/>
      <x:c r="M1484" s="6" t="str"/>
      <x:c r="N1484" s="6" t="str"/>
      <x:c r="O1484" s="7" t="str"/>
      <x:c r="P1484" s="6" t="str">
        <x:v>Yes</x:v>
      </x:c>
      <x:c r="Q1484" s="7" t="str">
        <x:v>Requires stable service identity; preserve observed labor evidence.</x:v>
      </x:c>
    </x:row>
    <x:row r="1485">
      <x:c r="A1485" s="6" t="str">
        <x:v>SEQ-LAB-0213</x:v>
      </x:c>
      <x:c r="B1485" s="6" t="str">
        <x:v>Labor Reference</x:v>
      </x:c>
      <x:c r="C1485" s="6" t="str">
        <x:v>LABX-0213</x:v>
      </x:c>
      <x:c r="D1485" s="6" t="str">
        <x:v>SVC000213</x:v>
      </x:c>
      <x:c r="E1485" s="6" t="str"/>
      <x:c r="F1485" s="6" t="str">
        <x:v>Labor-reference review</x:v>
      </x:c>
      <x:c r="G1485" s="6" t="n">
        <x:v>6</x:v>
      </x:c>
      <x:c r="H1485" s="6" t="str">
        <x:v>SIDX-0213</x:v>
      </x:c>
      <x:c r="I1485" s="6" t="str">
        <x:f>IF(H1485="","No upstream dependency",IF(ISNUMBER(SEARCH(";",H1485)),"Multiple dependencies - verify source queues",IFERROR(XLOOKUP(H1485,C2:C1586,J2:J1586),"Dependency not found")))</x:f>
        <x:v>Not Started</x:v>
      </x:c>
      <x:c r="J1485" s="6" t="str">
        <x:v>Not Started</x:v>
      </x:c>
      <x:c r="K1485" s="6" t="str">
        <x:v>Normal</x:v>
      </x:c>
      <x:c r="L1485" s="6" t="str"/>
      <x:c r="M1485" s="6" t="str"/>
      <x:c r="N1485" s="6" t="str"/>
      <x:c r="O1485" s="7" t="str"/>
      <x:c r="P1485" s="6" t="str">
        <x:v>Yes</x:v>
      </x:c>
      <x:c r="Q1485" s="7" t="str">
        <x:v>Requires stable service identity; preserve observed labor evidence.</x:v>
      </x:c>
    </x:row>
    <x:row r="1486">
      <x:c r="A1486" s="6" t="str">
        <x:v>SEQ-LAB-0214</x:v>
      </x:c>
      <x:c r="B1486" s="6" t="str">
        <x:v>Labor Reference</x:v>
      </x:c>
      <x:c r="C1486" s="6" t="str">
        <x:v>LABX-0214</x:v>
      </x:c>
      <x:c r="D1486" s="6" t="str">
        <x:v>SVC000214</x:v>
      </x:c>
      <x:c r="E1486" s="6" t="str"/>
      <x:c r="F1486" s="6" t="str">
        <x:v>Labor-reference review</x:v>
      </x:c>
      <x:c r="G1486" s="6" t="n">
        <x:v>6</x:v>
      </x:c>
      <x:c r="H1486" s="6" t="str">
        <x:v>SIDX-0214</x:v>
      </x:c>
      <x:c r="I1486" s="6" t="str">
        <x:f>IF(H1486="","No upstream dependency",IF(ISNUMBER(SEARCH(";",H1486)),"Multiple dependencies - verify source queues",IFERROR(XLOOKUP(H1486,C2:C1586,J2:J1586),"Dependency not found")))</x:f>
        <x:v>Not Started</x:v>
      </x:c>
      <x:c r="J1486" s="6" t="str">
        <x:v>Not Started</x:v>
      </x:c>
      <x:c r="K1486" s="6" t="str">
        <x:v>Normal</x:v>
      </x:c>
      <x:c r="L1486" s="6" t="str"/>
      <x:c r="M1486" s="6" t="str"/>
      <x:c r="N1486" s="6" t="str"/>
      <x:c r="O1486" s="7" t="str"/>
      <x:c r="P1486" s="6" t="str">
        <x:v>Yes</x:v>
      </x:c>
      <x:c r="Q1486" s="7" t="str">
        <x:v>Requires stable service identity; preserve observed labor evidence.</x:v>
      </x:c>
    </x:row>
    <x:row r="1487">
      <x:c r="A1487" s="6" t="str">
        <x:v>SEQ-LAB-0215</x:v>
      </x:c>
      <x:c r="B1487" s="6" t="str">
        <x:v>Labor Reference</x:v>
      </x:c>
      <x:c r="C1487" s="6" t="str">
        <x:v>LABX-0215</x:v>
      </x:c>
      <x:c r="D1487" s="6" t="str">
        <x:v>SVC000215</x:v>
      </x:c>
      <x:c r="E1487" s="6" t="str"/>
      <x:c r="F1487" s="6" t="str">
        <x:v>Labor-reference review</x:v>
      </x:c>
      <x:c r="G1487" s="6" t="n">
        <x:v>6</x:v>
      </x:c>
      <x:c r="H1487" s="6" t="str">
        <x:v>SIDX-0215</x:v>
      </x:c>
      <x:c r="I1487" s="6" t="str">
        <x:f>IF(H1487="","No upstream dependency",IF(ISNUMBER(SEARCH(";",H1487)),"Multiple dependencies - verify source queues",IFERROR(XLOOKUP(H1487,C2:C1586,J2:J1586),"Dependency not found")))</x:f>
        <x:v>Not Started</x:v>
      </x:c>
      <x:c r="J1487" s="6" t="str">
        <x:v>Not Started</x:v>
      </x:c>
      <x:c r="K1487" s="6" t="str">
        <x:v>Normal</x:v>
      </x:c>
      <x:c r="L1487" s="6" t="str"/>
      <x:c r="M1487" s="6" t="str"/>
      <x:c r="N1487" s="6" t="str"/>
      <x:c r="O1487" s="7" t="str"/>
      <x:c r="P1487" s="6" t="str">
        <x:v>Yes</x:v>
      </x:c>
      <x:c r="Q1487" s="7" t="str">
        <x:v>Requires stable service identity; preserve observed labor evidence.</x:v>
      </x:c>
    </x:row>
    <x:row r="1488">
      <x:c r="A1488" s="6" t="str">
        <x:v>SEQ-LAB-0216</x:v>
      </x:c>
      <x:c r="B1488" s="6" t="str">
        <x:v>Labor Reference</x:v>
      </x:c>
      <x:c r="C1488" s="6" t="str">
        <x:v>LABX-0216</x:v>
      </x:c>
      <x:c r="D1488" s="6" t="str">
        <x:v>SVC000216</x:v>
      </x:c>
      <x:c r="E1488" s="6" t="str"/>
      <x:c r="F1488" s="6" t="str">
        <x:v>Labor-reference review</x:v>
      </x:c>
      <x:c r="G1488" s="6" t="n">
        <x:v>6</x:v>
      </x:c>
      <x:c r="H1488" s="6" t="str">
        <x:v>SIDX-0216</x:v>
      </x:c>
      <x:c r="I1488" s="6" t="str">
        <x:f>IF(H1488="","No upstream dependency",IF(ISNUMBER(SEARCH(";",H1488)),"Multiple dependencies - verify source queues",IFERROR(XLOOKUP(H1488,C2:C1586,J2:J1586),"Dependency not found")))</x:f>
        <x:v>Not Started</x:v>
      </x:c>
      <x:c r="J1488" s="6" t="str">
        <x:v>Not Started</x:v>
      </x:c>
      <x:c r="K1488" s="6" t="str">
        <x:v>Normal</x:v>
      </x:c>
      <x:c r="L1488" s="6" t="str"/>
      <x:c r="M1488" s="6" t="str"/>
      <x:c r="N1488" s="6" t="str"/>
      <x:c r="O1488" s="7" t="str"/>
      <x:c r="P1488" s="6" t="str">
        <x:v>Yes</x:v>
      </x:c>
      <x:c r="Q1488" s="7" t="str">
        <x:v>Requires stable service identity; preserve observed labor evidence.</x:v>
      </x:c>
    </x:row>
    <x:row r="1489">
      <x:c r="A1489" s="6" t="str">
        <x:v>SEQ-LAB-0217</x:v>
      </x:c>
      <x:c r="B1489" s="6" t="str">
        <x:v>Labor Reference</x:v>
      </x:c>
      <x:c r="C1489" s="6" t="str">
        <x:v>LABX-0217</x:v>
      </x:c>
      <x:c r="D1489" s="6" t="str">
        <x:v>SVC000217</x:v>
      </x:c>
      <x:c r="E1489" s="6" t="str"/>
      <x:c r="F1489" s="6" t="str">
        <x:v>Labor-reference review</x:v>
      </x:c>
      <x:c r="G1489" s="6" t="n">
        <x:v>6</x:v>
      </x:c>
      <x:c r="H1489" s="6" t="str">
        <x:v>SIDX-0217</x:v>
      </x:c>
      <x:c r="I1489" s="6" t="str">
        <x:f>IF(H1489="","No upstream dependency",IF(ISNUMBER(SEARCH(";",H1489)),"Multiple dependencies - verify source queues",IFERROR(XLOOKUP(H1489,C2:C1586,J2:J1586),"Dependency not found")))</x:f>
        <x:v>Not Started</x:v>
      </x:c>
      <x:c r="J1489" s="6" t="str">
        <x:v>Not Started</x:v>
      </x:c>
      <x:c r="K1489" s="6" t="str">
        <x:v>Normal</x:v>
      </x:c>
      <x:c r="L1489" s="6" t="str"/>
      <x:c r="M1489" s="6" t="str"/>
      <x:c r="N1489" s="6" t="str"/>
      <x:c r="O1489" s="7" t="str"/>
      <x:c r="P1489" s="6" t="str">
        <x:v>Yes</x:v>
      </x:c>
      <x:c r="Q1489" s="7" t="str">
        <x:v>Requires stable service identity; preserve observed labor evidence.</x:v>
      </x:c>
    </x:row>
    <x:row r="1490">
      <x:c r="A1490" s="6" t="str">
        <x:v>SEQ-LAB-0218</x:v>
      </x:c>
      <x:c r="B1490" s="6" t="str">
        <x:v>Labor Reference</x:v>
      </x:c>
      <x:c r="C1490" s="6" t="str">
        <x:v>LABX-0218</x:v>
      </x:c>
      <x:c r="D1490" s="6" t="str">
        <x:v>SVC000218</x:v>
      </x:c>
      <x:c r="E1490" s="6" t="str"/>
      <x:c r="F1490" s="6" t="str">
        <x:v>Labor-reference review</x:v>
      </x:c>
      <x:c r="G1490" s="6" t="n">
        <x:v>6</x:v>
      </x:c>
      <x:c r="H1490" s="6" t="str">
        <x:v>SIDX-0218</x:v>
      </x:c>
      <x:c r="I1490" s="6" t="str">
        <x:f>IF(H1490="","No upstream dependency",IF(ISNUMBER(SEARCH(";",H1490)),"Multiple dependencies - verify source queues",IFERROR(XLOOKUP(H1490,C2:C1586,J2:J1586),"Dependency not found")))</x:f>
        <x:v>Not Started</x:v>
      </x:c>
      <x:c r="J1490" s="6" t="str">
        <x:v>Not Started</x:v>
      </x:c>
      <x:c r="K1490" s="6" t="str">
        <x:v>Normal</x:v>
      </x:c>
      <x:c r="L1490" s="6" t="str"/>
      <x:c r="M1490" s="6" t="str"/>
      <x:c r="N1490" s="6" t="str"/>
      <x:c r="O1490" s="7" t="str"/>
      <x:c r="P1490" s="6" t="str">
        <x:v>Yes</x:v>
      </x:c>
      <x:c r="Q1490" s="7" t="str">
        <x:v>Requires stable service identity; preserve observed labor evidence.</x:v>
      </x:c>
    </x:row>
    <x:row r="1491">
      <x:c r="A1491" s="6" t="str">
        <x:v>SEQ-LAB-0219</x:v>
      </x:c>
      <x:c r="B1491" s="6" t="str">
        <x:v>Labor Reference</x:v>
      </x:c>
      <x:c r="C1491" s="6" t="str">
        <x:v>LABX-0219</x:v>
      </x:c>
      <x:c r="D1491" s="6" t="str">
        <x:v>SVC000219</x:v>
      </x:c>
      <x:c r="E1491" s="6" t="str"/>
      <x:c r="F1491" s="6" t="str">
        <x:v>Labor-reference review</x:v>
      </x:c>
      <x:c r="G1491" s="6" t="n">
        <x:v>6</x:v>
      </x:c>
      <x:c r="H1491" s="6" t="str">
        <x:v>SIDX-0219</x:v>
      </x:c>
      <x:c r="I1491" s="6" t="str">
        <x:f>IF(H1491="","No upstream dependency",IF(ISNUMBER(SEARCH(";",H1491)),"Multiple dependencies - verify source queues",IFERROR(XLOOKUP(H1491,C2:C1586,J2:J1586),"Dependency not found")))</x:f>
        <x:v>Not Started</x:v>
      </x:c>
      <x:c r="J1491" s="6" t="str">
        <x:v>Not Started</x:v>
      </x:c>
      <x:c r="K1491" s="6" t="str">
        <x:v>Normal</x:v>
      </x:c>
      <x:c r="L1491" s="6" t="str"/>
      <x:c r="M1491" s="6" t="str"/>
      <x:c r="N1491" s="6" t="str"/>
      <x:c r="O1491" s="7" t="str"/>
      <x:c r="P1491" s="6" t="str">
        <x:v>Yes</x:v>
      </x:c>
      <x:c r="Q1491" s="7" t="str">
        <x:v>Requires stable service identity; preserve observed labor evidence.</x:v>
      </x:c>
    </x:row>
    <x:row r="1492">
      <x:c r="A1492" s="6" t="str">
        <x:v>SEQ-LAB-0220</x:v>
      </x:c>
      <x:c r="B1492" s="6" t="str">
        <x:v>Labor Reference</x:v>
      </x:c>
      <x:c r="C1492" s="6" t="str">
        <x:v>LABX-0220</x:v>
      </x:c>
      <x:c r="D1492" s="6" t="str">
        <x:v>SVC000220</x:v>
      </x:c>
      <x:c r="E1492" s="6" t="str"/>
      <x:c r="F1492" s="6" t="str">
        <x:v>Labor-reference review</x:v>
      </x:c>
      <x:c r="G1492" s="6" t="n">
        <x:v>6</x:v>
      </x:c>
      <x:c r="H1492" s="6" t="str">
        <x:v>SIDX-0220</x:v>
      </x:c>
      <x:c r="I1492" s="6" t="str">
        <x:f>IF(H1492="","No upstream dependency",IF(ISNUMBER(SEARCH(";",H1492)),"Multiple dependencies - verify source queues",IFERROR(XLOOKUP(H1492,C2:C1586,J2:J1586),"Dependency not found")))</x:f>
        <x:v>Not Started</x:v>
      </x:c>
      <x:c r="J1492" s="6" t="str">
        <x:v>Not Started</x:v>
      </x:c>
      <x:c r="K1492" s="6" t="str">
        <x:v>Normal</x:v>
      </x:c>
      <x:c r="L1492" s="6" t="str"/>
      <x:c r="M1492" s="6" t="str"/>
      <x:c r="N1492" s="6" t="str"/>
      <x:c r="O1492" s="7" t="str"/>
      <x:c r="P1492" s="6" t="str">
        <x:v>Yes</x:v>
      </x:c>
      <x:c r="Q1492" s="7" t="str">
        <x:v>Requires stable service identity; preserve observed labor evidence.</x:v>
      </x:c>
    </x:row>
    <x:row r="1493">
      <x:c r="A1493" s="6" t="str">
        <x:v>SEQ-LAB-0221</x:v>
      </x:c>
      <x:c r="B1493" s="6" t="str">
        <x:v>Labor Reference</x:v>
      </x:c>
      <x:c r="C1493" s="6" t="str">
        <x:v>LABX-0221</x:v>
      </x:c>
      <x:c r="D1493" s="6" t="str">
        <x:v>SVC000221</x:v>
      </x:c>
      <x:c r="E1493" s="6" t="str"/>
      <x:c r="F1493" s="6" t="str">
        <x:v>Labor-reference review</x:v>
      </x:c>
      <x:c r="G1493" s="6" t="n">
        <x:v>6</x:v>
      </x:c>
      <x:c r="H1493" s="6" t="str">
        <x:v>SIDX-0221</x:v>
      </x:c>
      <x:c r="I1493" s="6" t="str">
        <x:f>IF(H1493="","No upstream dependency",IF(ISNUMBER(SEARCH(";",H1493)),"Multiple dependencies - verify source queues",IFERROR(XLOOKUP(H1493,C2:C1586,J2:J1586),"Dependency not found")))</x:f>
        <x:v>Not Started</x:v>
      </x:c>
      <x:c r="J1493" s="6" t="str">
        <x:v>Not Started</x:v>
      </x:c>
      <x:c r="K1493" s="6" t="str">
        <x:v>Normal</x:v>
      </x:c>
      <x:c r="L1493" s="6" t="str"/>
      <x:c r="M1493" s="6" t="str"/>
      <x:c r="N1493" s="6" t="str"/>
      <x:c r="O1493" s="7" t="str"/>
      <x:c r="P1493" s="6" t="str">
        <x:v>Yes</x:v>
      </x:c>
      <x:c r="Q1493" s="7" t="str">
        <x:v>Requires stable service identity; preserve observed labor evidence.</x:v>
      </x:c>
    </x:row>
    <x:row r="1494">
      <x:c r="A1494" s="6" t="str">
        <x:v>SEQ-LAB-0222</x:v>
      </x:c>
      <x:c r="B1494" s="6" t="str">
        <x:v>Labor Reference</x:v>
      </x:c>
      <x:c r="C1494" s="6" t="str">
        <x:v>LABX-0222</x:v>
      </x:c>
      <x:c r="D1494" s="6" t="str">
        <x:v>SVC000222</x:v>
      </x:c>
      <x:c r="E1494" s="6" t="str"/>
      <x:c r="F1494" s="6" t="str">
        <x:v>Labor-reference review</x:v>
      </x:c>
      <x:c r="G1494" s="6" t="n">
        <x:v>6</x:v>
      </x:c>
      <x:c r="H1494" s="6" t="str">
        <x:v>SIDX-0222</x:v>
      </x:c>
      <x:c r="I1494" s="6" t="str">
        <x:f>IF(H1494="","No upstream dependency",IF(ISNUMBER(SEARCH(";",H1494)),"Multiple dependencies - verify source queues",IFERROR(XLOOKUP(H1494,C2:C1586,J2:J1586),"Dependency not found")))</x:f>
        <x:v>Not Started</x:v>
      </x:c>
      <x:c r="J1494" s="6" t="str">
        <x:v>Not Started</x:v>
      </x:c>
      <x:c r="K1494" s="6" t="str">
        <x:v>Normal</x:v>
      </x:c>
      <x:c r="L1494" s="6" t="str"/>
      <x:c r="M1494" s="6" t="str"/>
      <x:c r="N1494" s="6" t="str"/>
      <x:c r="O1494" s="7" t="str"/>
      <x:c r="P1494" s="6" t="str">
        <x:v>Yes</x:v>
      </x:c>
      <x:c r="Q1494" s="7" t="str">
        <x:v>Requires stable service identity; preserve observed labor evidence.</x:v>
      </x:c>
    </x:row>
    <x:row r="1495">
      <x:c r="A1495" s="6" t="str">
        <x:v>SEQ-LAB-0223</x:v>
      </x:c>
      <x:c r="B1495" s="6" t="str">
        <x:v>Labor Reference</x:v>
      </x:c>
      <x:c r="C1495" s="6" t="str">
        <x:v>LABX-0223</x:v>
      </x:c>
      <x:c r="D1495" s="6" t="str">
        <x:v>SVC000223</x:v>
      </x:c>
      <x:c r="E1495" s="6" t="str"/>
      <x:c r="F1495" s="6" t="str">
        <x:v>Labor-reference review</x:v>
      </x:c>
      <x:c r="G1495" s="6" t="n">
        <x:v>6</x:v>
      </x:c>
      <x:c r="H1495" s="6" t="str">
        <x:v>SIDX-0223</x:v>
      </x:c>
      <x:c r="I1495" s="6" t="str">
        <x:f>IF(H1495="","No upstream dependency",IF(ISNUMBER(SEARCH(";",H1495)),"Multiple dependencies - verify source queues",IFERROR(XLOOKUP(H1495,C2:C1586,J2:J1586),"Dependency not found")))</x:f>
        <x:v>Not Started</x:v>
      </x:c>
      <x:c r="J1495" s="6" t="str">
        <x:v>Not Started</x:v>
      </x:c>
      <x:c r="K1495" s="6" t="str">
        <x:v>Normal</x:v>
      </x:c>
      <x:c r="L1495" s="6" t="str"/>
      <x:c r="M1495" s="6" t="str"/>
      <x:c r="N1495" s="6" t="str"/>
      <x:c r="O1495" s="7" t="str"/>
      <x:c r="P1495" s="6" t="str">
        <x:v>Yes</x:v>
      </x:c>
      <x:c r="Q1495" s="7" t="str">
        <x:v>Requires stable service identity; preserve observed labor evidence.</x:v>
      </x:c>
    </x:row>
    <x:row r="1496">
      <x:c r="A1496" s="6" t="str">
        <x:v>SEQ-LAB-0224</x:v>
      </x:c>
      <x:c r="B1496" s="6" t="str">
        <x:v>Labor Reference</x:v>
      </x:c>
      <x:c r="C1496" s="6" t="str">
        <x:v>LABX-0224</x:v>
      </x:c>
      <x:c r="D1496" s="6" t="str">
        <x:v>SVC000224</x:v>
      </x:c>
      <x:c r="E1496" s="6" t="str"/>
      <x:c r="F1496" s="6" t="str">
        <x:v>Labor-reference review</x:v>
      </x:c>
      <x:c r="G1496" s="6" t="n">
        <x:v>6</x:v>
      </x:c>
      <x:c r="H1496" s="6" t="str">
        <x:v>SIDX-0224</x:v>
      </x:c>
      <x:c r="I1496" s="6" t="str">
        <x:f>IF(H1496="","No upstream dependency",IF(ISNUMBER(SEARCH(";",H1496)),"Multiple dependencies - verify source queues",IFERROR(XLOOKUP(H1496,C2:C1586,J2:J1586),"Dependency not found")))</x:f>
        <x:v>Not Started</x:v>
      </x:c>
      <x:c r="J1496" s="6" t="str">
        <x:v>Not Started</x:v>
      </x:c>
      <x:c r="K1496" s="6" t="str">
        <x:v>Normal</x:v>
      </x:c>
      <x:c r="L1496" s="6" t="str"/>
      <x:c r="M1496" s="6" t="str"/>
      <x:c r="N1496" s="6" t="str"/>
      <x:c r="O1496" s="7" t="str"/>
      <x:c r="P1496" s="6" t="str">
        <x:v>Yes</x:v>
      </x:c>
      <x:c r="Q1496" s="7" t="str">
        <x:v>Requires stable service identity; preserve observed labor evidence.</x:v>
      </x:c>
    </x:row>
    <x:row r="1497">
      <x:c r="A1497" s="6" t="str">
        <x:v>SEQ-LAB-0225</x:v>
      </x:c>
      <x:c r="B1497" s="6" t="str">
        <x:v>Labor Reference</x:v>
      </x:c>
      <x:c r="C1497" s="6" t="str">
        <x:v>LABX-0225</x:v>
      </x:c>
      <x:c r="D1497" s="6" t="str">
        <x:v>SVC000225</x:v>
      </x:c>
      <x:c r="E1497" s="6" t="str"/>
      <x:c r="F1497" s="6" t="str">
        <x:v>Labor-reference review</x:v>
      </x:c>
      <x:c r="G1497" s="6" t="n">
        <x:v>6</x:v>
      </x:c>
      <x:c r="H1497" s="6" t="str">
        <x:v>SIDX-0225</x:v>
      </x:c>
      <x:c r="I1497" s="6" t="str">
        <x:f>IF(H1497="","No upstream dependency",IF(ISNUMBER(SEARCH(";",H1497)),"Multiple dependencies - verify source queues",IFERROR(XLOOKUP(H1497,C2:C1586,J2:J1586),"Dependency not found")))</x:f>
        <x:v>Not Started</x:v>
      </x:c>
      <x:c r="J1497" s="6" t="str">
        <x:v>Not Started</x:v>
      </x:c>
      <x:c r="K1497" s="6" t="str">
        <x:v>Normal</x:v>
      </x:c>
      <x:c r="L1497" s="6" t="str"/>
      <x:c r="M1497" s="6" t="str"/>
      <x:c r="N1497" s="6" t="str"/>
      <x:c r="O1497" s="7" t="str"/>
      <x:c r="P1497" s="6" t="str">
        <x:v>Yes</x:v>
      </x:c>
      <x:c r="Q1497" s="7" t="str">
        <x:v>Requires stable service identity; preserve observed labor evidence.</x:v>
      </x:c>
    </x:row>
    <x:row r="1498">
      <x:c r="A1498" s="6" t="str">
        <x:v>SEQ-LAB-0226</x:v>
      </x:c>
      <x:c r="B1498" s="6" t="str">
        <x:v>Labor Reference</x:v>
      </x:c>
      <x:c r="C1498" s="6" t="str">
        <x:v>LABX-0226</x:v>
      </x:c>
      <x:c r="D1498" s="6" t="str">
        <x:v>SVC000226</x:v>
      </x:c>
      <x:c r="E1498" s="6" t="str"/>
      <x:c r="F1498" s="6" t="str">
        <x:v>Labor-reference review</x:v>
      </x:c>
      <x:c r="G1498" s="6" t="n">
        <x:v>6</x:v>
      </x:c>
      <x:c r="H1498" s="6" t="str">
        <x:v>SIDX-0226</x:v>
      </x:c>
      <x:c r="I1498" s="6" t="str">
        <x:f>IF(H1498="","No upstream dependency",IF(ISNUMBER(SEARCH(";",H1498)),"Multiple dependencies - verify source queues",IFERROR(XLOOKUP(H1498,C2:C1586,J2:J1586),"Dependency not found")))</x:f>
        <x:v>Not Started</x:v>
      </x:c>
      <x:c r="J1498" s="6" t="str">
        <x:v>Not Started</x:v>
      </x:c>
      <x:c r="K1498" s="6" t="str">
        <x:v>Normal</x:v>
      </x:c>
      <x:c r="L1498" s="6" t="str"/>
      <x:c r="M1498" s="6" t="str"/>
      <x:c r="N1498" s="6" t="str"/>
      <x:c r="O1498" s="7" t="str"/>
      <x:c r="P1498" s="6" t="str">
        <x:v>Yes</x:v>
      </x:c>
      <x:c r="Q1498" s="7" t="str">
        <x:v>Requires stable service identity; preserve observed labor evidence.</x:v>
      </x:c>
    </x:row>
    <x:row r="1499">
      <x:c r="A1499" s="6" t="str">
        <x:v>SEQ-LAB-0227</x:v>
      </x:c>
      <x:c r="B1499" s="6" t="str">
        <x:v>Labor Reference</x:v>
      </x:c>
      <x:c r="C1499" s="6" t="str">
        <x:v>LABX-0227</x:v>
      </x:c>
      <x:c r="D1499" s="6" t="str">
        <x:v>SVC000227</x:v>
      </x:c>
      <x:c r="E1499" s="6" t="str"/>
      <x:c r="F1499" s="6" t="str">
        <x:v>Labor-reference review</x:v>
      </x:c>
      <x:c r="G1499" s="6" t="n">
        <x:v>6</x:v>
      </x:c>
      <x:c r="H1499" s="6" t="str">
        <x:v>SIDX-0227</x:v>
      </x:c>
      <x:c r="I1499" s="6" t="str">
        <x:f>IF(H1499="","No upstream dependency",IF(ISNUMBER(SEARCH(";",H1499)),"Multiple dependencies - verify source queues",IFERROR(XLOOKUP(H1499,C2:C1586,J2:J1586),"Dependency not found")))</x:f>
        <x:v>Not Started</x:v>
      </x:c>
      <x:c r="J1499" s="6" t="str">
        <x:v>Not Started</x:v>
      </x:c>
      <x:c r="K1499" s="6" t="str">
        <x:v>Normal</x:v>
      </x:c>
      <x:c r="L1499" s="6" t="str"/>
      <x:c r="M1499" s="6" t="str"/>
      <x:c r="N1499" s="6" t="str"/>
      <x:c r="O1499" s="7" t="str"/>
      <x:c r="P1499" s="6" t="str">
        <x:v>Yes</x:v>
      </x:c>
      <x:c r="Q1499" s="7" t="str">
        <x:v>Requires stable service identity; preserve observed labor evidence.</x:v>
      </x:c>
    </x:row>
    <x:row r="1500">
      <x:c r="A1500" s="6" t="str">
        <x:v>SEQ-LAB-0228</x:v>
      </x:c>
      <x:c r="B1500" s="6" t="str">
        <x:v>Labor Reference</x:v>
      </x:c>
      <x:c r="C1500" s="6" t="str">
        <x:v>LABX-0228</x:v>
      </x:c>
      <x:c r="D1500" s="6" t="str">
        <x:v>SVC000228</x:v>
      </x:c>
      <x:c r="E1500" s="6" t="str"/>
      <x:c r="F1500" s="6" t="str">
        <x:v>Labor-reference review</x:v>
      </x:c>
      <x:c r="G1500" s="6" t="n">
        <x:v>6</x:v>
      </x:c>
      <x:c r="H1500" s="6" t="str">
        <x:v>SIDX-0228</x:v>
      </x:c>
      <x:c r="I1500" s="6" t="str">
        <x:f>IF(H1500="","No upstream dependency",IF(ISNUMBER(SEARCH(";",H1500)),"Multiple dependencies - verify source queues",IFERROR(XLOOKUP(H1500,C2:C1586,J2:J1586),"Dependency not found")))</x:f>
        <x:v>Not Started</x:v>
      </x:c>
      <x:c r="J1500" s="6" t="str">
        <x:v>Not Started</x:v>
      </x:c>
      <x:c r="K1500" s="6" t="str">
        <x:v>Normal</x:v>
      </x:c>
      <x:c r="L1500" s="6" t="str"/>
      <x:c r="M1500" s="6" t="str"/>
      <x:c r="N1500" s="6" t="str"/>
      <x:c r="O1500" s="7" t="str"/>
      <x:c r="P1500" s="6" t="str">
        <x:v>Yes</x:v>
      </x:c>
      <x:c r="Q1500" s="7" t="str">
        <x:v>Requires stable service identity; preserve observed labor evidence.</x:v>
      </x:c>
    </x:row>
    <x:row r="1501">
      <x:c r="A1501" s="6" t="str">
        <x:v>SEQ-LAB-0229</x:v>
      </x:c>
      <x:c r="B1501" s="6" t="str">
        <x:v>Labor Reference</x:v>
      </x:c>
      <x:c r="C1501" s="6" t="str">
        <x:v>LABX-0229</x:v>
      </x:c>
      <x:c r="D1501" s="6" t="str">
        <x:v>SVC000229</x:v>
      </x:c>
      <x:c r="E1501" s="6" t="str"/>
      <x:c r="F1501" s="6" t="str">
        <x:v>Labor-reference review</x:v>
      </x:c>
      <x:c r="G1501" s="6" t="n">
        <x:v>6</x:v>
      </x:c>
      <x:c r="H1501" s="6" t="str">
        <x:v>SIDX-0229</x:v>
      </x:c>
      <x:c r="I1501" s="6" t="str">
        <x:f>IF(H1501="","No upstream dependency",IF(ISNUMBER(SEARCH(";",H1501)),"Multiple dependencies - verify source queues",IFERROR(XLOOKUP(H1501,C2:C1586,J2:J1586),"Dependency not found")))</x:f>
        <x:v>Not Started</x:v>
      </x:c>
      <x:c r="J1501" s="6" t="str">
        <x:v>Not Started</x:v>
      </x:c>
      <x:c r="K1501" s="6" t="str">
        <x:v>Normal</x:v>
      </x:c>
      <x:c r="L1501" s="6" t="str"/>
      <x:c r="M1501" s="6" t="str"/>
      <x:c r="N1501" s="6" t="str"/>
      <x:c r="O1501" s="7" t="str"/>
      <x:c r="P1501" s="6" t="str">
        <x:v>Yes</x:v>
      </x:c>
      <x:c r="Q1501" s="7" t="str">
        <x:v>Requires stable service identity; preserve observed labor evidence.</x:v>
      </x:c>
    </x:row>
    <x:row r="1502">
      <x:c r="A1502" s="6" t="str">
        <x:v>SEQ-LAB-0230</x:v>
      </x:c>
      <x:c r="B1502" s="6" t="str">
        <x:v>Labor Reference</x:v>
      </x:c>
      <x:c r="C1502" s="6" t="str">
        <x:v>LABX-0230</x:v>
      </x:c>
      <x:c r="D1502" s="6" t="str">
        <x:v>SVC000230</x:v>
      </x:c>
      <x:c r="E1502" s="6" t="str"/>
      <x:c r="F1502" s="6" t="str">
        <x:v>Labor-reference review</x:v>
      </x:c>
      <x:c r="G1502" s="6" t="n">
        <x:v>6</x:v>
      </x:c>
      <x:c r="H1502" s="6" t="str">
        <x:v>SIDX-0230</x:v>
      </x:c>
      <x:c r="I1502" s="6" t="str">
        <x:f>IF(H1502="","No upstream dependency",IF(ISNUMBER(SEARCH(";",H1502)),"Multiple dependencies - verify source queues",IFERROR(XLOOKUP(H1502,C2:C1586,J2:J1586),"Dependency not found")))</x:f>
        <x:v>Not Started</x:v>
      </x:c>
      <x:c r="J1502" s="6" t="str">
        <x:v>Not Started</x:v>
      </x:c>
      <x:c r="K1502" s="6" t="str">
        <x:v>Normal</x:v>
      </x:c>
      <x:c r="L1502" s="6" t="str"/>
      <x:c r="M1502" s="6" t="str"/>
      <x:c r="N1502" s="6" t="str"/>
      <x:c r="O1502" s="7" t="str"/>
      <x:c r="P1502" s="6" t="str">
        <x:v>Yes</x:v>
      </x:c>
      <x:c r="Q1502" s="7" t="str">
        <x:v>Requires stable service identity; preserve observed labor evidence.</x:v>
      </x:c>
    </x:row>
    <x:row r="1503">
      <x:c r="A1503" s="6" t="str">
        <x:v>SEQ-LAB-0231</x:v>
      </x:c>
      <x:c r="B1503" s="6" t="str">
        <x:v>Labor Reference</x:v>
      </x:c>
      <x:c r="C1503" s="6" t="str">
        <x:v>LABX-0231</x:v>
      </x:c>
      <x:c r="D1503" s="6" t="str">
        <x:v>SVC000231</x:v>
      </x:c>
      <x:c r="E1503" s="6" t="str"/>
      <x:c r="F1503" s="6" t="str">
        <x:v>Labor-reference review</x:v>
      </x:c>
      <x:c r="G1503" s="6" t="n">
        <x:v>6</x:v>
      </x:c>
      <x:c r="H1503" s="6" t="str">
        <x:v>SIDX-0231</x:v>
      </x:c>
      <x:c r="I1503" s="6" t="str">
        <x:f>IF(H1503="","No upstream dependency",IF(ISNUMBER(SEARCH(";",H1503)),"Multiple dependencies - verify source queues",IFERROR(XLOOKUP(H1503,C2:C1586,J2:J1586),"Dependency not found")))</x:f>
        <x:v>Not Started</x:v>
      </x:c>
      <x:c r="J1503" s="6" t="str">
        <x:v>Not Started</x:v>
      </x:c>
      <x:c r="K1503" s="6" t="str">
        <x:v>Normal</x:v>
      </x:c>
      <x:c r="L1503" s="6" t="str"/>
      <x:c r="M1503" s="6" t="str"/>
      <x:c r="N1503" s="6" t="str"/>
      <x:c r="O1503" s="7" t="str"/>
      <x:c r="P1503" s="6" t="str">
        <x:v>Yes</x:v>
      </x:c>
      <x:c r="Q1503" s="7" t="str">
        <x:v>Requires stable service identity; preserve observed labor evidence.</x:v>
      </x:c>
    </x:row>
    <x:row r="1504">
      <x:c r="A1504" s="6" t="str">
        <x:v>SEQ-LAB-0232</x:v>
      </x:c>
      <x:c r="B1504" s="6" t="str">
        <x:v>Labor Reference</x:v>
      </x:c>
      <x:c r="C1504" s="6" t="str">
        <x:v>LABX-0232</x:v>
      </x:c>
      <x:c r="D1504" s="6" t="str">
        <x:v>SVC000232</x:v>
      </x:c>
      <x:c r="E1504" s="6" t="str"/>
      <x:c r="F1504" s="6" t="str">
        <x:v>Labor-reference review</x:v>
      </x:c>
      <x:c r="G1504" s="6" t="n">
        <x:v>6</x:v>
      </x:c>
      <x:c r="H1504" s="6" t="str">
        <x:v>SIDX-0232</x:v>
      </x:c>
      <x:c r="I1504" s="6" t="str">
        <x:f>IF(H1504="","No upstream dependency",IF(ISNUMBER(SEARCH(";",H1504)),"Multiple dependencies - verify source queues",IFERROR(XLOOKUP(H1504,C2:C1586,J2:J1586),"Dependency not found")))</x:f>
        <x:v>Not Started</x:v>
      </x:c>
      <x:c r="J1504" s="6" t="str">
        <x:v>Not Started</x:v>
      </x:c>
      <x:c r="K1504" s="6" t="str">
        <x:v>Normal</x:v>
      </x:c>
      <x:c r="L1504" s="6" t="str"/>
      <x:c r="M1504" s="6" t="str"/>
      <x:c r="N1504" s="6" t="str"/>
      <x:c r="O1504" s="7" t="str"/>
      <x:c r="P1504" s="6" t="str">
        <x:v>Yes</x:v>
      </x:c>
      <x:c r="Q1504" s="7" t="str">
        <x:v>Requires stable service identity; preserve observed labor evidence.</x:v>
      </x:c>
    </x:row>
    <x:row r="1505">
      <x:c r="A1505" s="6" t="str">
        <x:v>SEQ-LAB-0233</x:v>
      </x:c>
      <x:c r="B1505" s="6" t="str">
        <x:v>Labor Reference</x:v>
      </x:c>
      <x:c r="C1505" s="6" t="str">
        <x:v>LABX-0233</x:v>
      </x:c>
      <x:c r="D1505" s="6" t="str">
        <x:v>SVC000233</x:v>
      </x:c>
      <x:c r="E1505" s="6" t="str"/>
      <x:c r="F1505" s="6" t="str">
        <x:v>Labor-reference review</x:v>
      </x:c>
      <x:c r="G1505" s="6" t="n">
        <x:v>6</x:v>
      </x:c>
      <x:c r="H1505" s="6" t="str">
        <x:v>SIDX-0233</x:v>
      </x:c>
      <x:c r="I1505" s="6" t="str">
        <x:f>IF(H1505="","No upstream dependency",IF(ISNUMBER(SEARCH(";",H1505)),"Multiple dependencies - verify source queues",IFERROR(XLOOKUP(H1505,C2:C1586,J2:J1586),"Dependency not found")))</x:f>
        <x:v>Not Started</x:v>
      </x:c>
      <x:c r="J1505" s="6" t="str">
        <x:v>Not Started</x:v>
      </x:c>
      <x:c r="K1505" s="6" t="str">
        <x:v>Normal</x:v>
      </x:c>
      <x:c r="L1505" s="6" t="str"/>
      <x:c r="M1505" s="6" t="str"/>
      <x:c r="N1505" s="6" t="str"/>
      <x:c r="O1505" s="7" t="str"/>
      <x:c r="P1505" s="6" t="str">
        <x:v>Yes</x:v>
      </x:c>
      <x:c r="Q1505" s="7" t="str">
        <x:v>Requires stable service identity; preserve observed labor evidence.</x:v>
      </x:c>
    </x:row>
    <x:row r="1506">
      <x:c r="A1506" s="6" t="str">
        <x:v>SEQ-LAB-0234</x:v>
      </x:c>
      <x:c r="B1506" s="6" t="str">
        <x:v>Labor Reference</x:v>
      </x:c>
      <x:c r="C1506" s="6" t="str">
        <x:v>LABX-0234</x:v>
      </x:c>
      <x:c r="D1506" s="6" t="str">
        <x:v>SVC000234</x:v>
      </x:c>
      <x:c r="E1506" s="6" t="str"/>
      <x:c r="F1506" s="6" t="str">
        <x:v>Labor-reference review</x:v>
      </x:c>
      <x:c r="G1506" s="6" t="n">
        <x:v>6</x:v>
      </x:c>
      <x:c r="H1506" s="6" t="str">
        <x:v>SIDX-0234</x:v>
      </x:c>
      <x:c r="I1506" s="6" t="str">
        <x:f>IF(H1506="","No upstream dependency",IF(ISNUMBER(SEARCH(";",H1506)),"Multiple dependencies - verify source queues",IFERROR(XLOOKUP(H1506,C2:C1586,J2:J1586),"Dependency not found")))</x:f>
        <x:v>Not Started</x:v>
      </x:c>
      <x:c r="J1506" s="6" t="str">
        <x:v>Not Started</x:v>
      </x:c>
      <x:c r="K1506" s="6" t="str">
        <x:v>Normal</x:v>
      </x:c>
      <x:c r="L1506" s="6" t="str"/>
      <x:c r="M1506" s="6" t="str"/>
      <x:c r="N1506" s="6" t="str"/>
      <x:c r="O1506" s="7" t="str"/>
      <x:c r="P1506" s="6" t="str">
        <x:v>Yes</x:v>
      </x:c>
      <x:c r="Q1506" s="7" t="str">
        <x:v>Requires stable service identity; preserve observed labor evidence.</x:v>
      </x:c>
    </x:row>
    <x:row r="1507">
      <x:c r="A1507" s="6" t="str">
        <x:v>SEQ-LAB-0235</x:v>
      </x:c>
      <x:c r="B1507" s="6" t="str">
        <x:v>Labor Reference</x:v>
      </x:c>
      <x:c r="C1507" s="6" t="str">
        <x:v>LABX-0235</x:v>
      </x:c>
      <x:c r="D1507" s="6" t="str">
        <x:v>SVC000235</x:v>
      </x:c>
      <x:c r="E1507" s="6" t="str"/>
      <x:c r="F1507" s="6" t="str">
        <x:v>Labor-reference review</x:v>
      </x:c>
      <x:c r="G1507" s="6" t="n">
        <x:v>6</x:v>
      </x:c>
      <x:c r="H1507" s="6" t="str">
        <x:v>SIDX-0235</x:v>
      </x:c>
      <x:c r="I1507" s="6" t="str">
        <x:f>IF(H1507="","No upstream dependency",IF(ISNUMBER(SEARCH(";",H1507)),"Multiple dependencies - verify source queues",IFERROR(XLOOKUP(H1507,C2:C1586,J2:J1586),"Dependency not found")))</x:f>
        <x:v>Not Started</x:v>
      </x:c>
      <x:c r="J1507" s="6" t="str">
        <x:v>Not Started</x:v>
      </x:c>
      <x:c r="K1507" s="6" t="str">
        <x:v>Normal</x:v>
      </x:c>
      <x:c r="L1507" s="6" t="str"/>
      <x:c r="M1507" s="6" t="str"/>
      <x:c r="N1507" s="6" t="str"/>
      <x:c r="O1507" s="7" t="str"/>
      <x:c r="P1507" s="6" t="str">
        <x:v>Yes</x:v>
      </x:c>
      <x:c r="Q1507" s="7" t="str">
        <x:v>Requires stable service identity; preserve observed labor evidence.</x:v>
      </x:c>
    </x:row>
    <x:row r="1508">
      <x:c r="A1508" s="6" t="str">
        <x:v>SEQ-LAB-0236</x:v>
      </x:c>
      <x:c r="B1508" s="6" t="str">
        <x:v>Labor Reference</x:v>
      </x:c>
      <x:c r="C1508" s="6" t="str">
        <x:v>LABX-0236</x:v>
      </x:c>
      <x:c r="D1508" s="6" t="str">
        <x:v>SVC000236</x:v>
      </x:c>
      <x:c r="E1508" s="6" t="str"/>
      <x:c r="F1508" s="6" t="str">
        <x:v>Labor-reference review</x:v>
      </x:c>
      <x:c r="G1508" s="6" t="n">
        <x:v>6</x:v>
      </x:c>
      <x:c r="H1508" s="6" t="str">
        <x:v>SIDX-0236</x:v>
      </x:c>
      <x:c r="I1508" s="6" t="str">
        <x:f>IF(H1508="","No upstream dependency",IF(ISNUMBER(SEARCH(";",H1508)),"Multiple dependencies - verify source queues",IFERROR(XLOOKUP(H1508,C2:C1586,J2:J1586),"Dependency not found")))</x:f>
        <x:v>Not Started</x:v>
      </x:c>
      <x:c r="J1508" s="6" t="str">
        <x:v>Not Started</x:v>
      </x:c>
      <x:c r="K1508" s="6" t="str">
        <x:v>Normal</x:v>
      </x:c>
      <x:c r="L1508" s="6" t="str"/>
      <x:c r="M1508" s="6" t="str"/>
      <x:c r="N1508" s="6" t="str"/>
      <x:c r="O1508" s="7" t="str"/>
      <x:c r="P1508" s="6" t="str">
        <x:v>Yes</x:v>
      </x:c>
      <x:c r="Q1508" s="7" t="str">
        <x:v>Requires stable service identity; preserve observed labor evidence.</x:v>
      </x:c>
    </x:row>
    <x:row r="1509">
      <x:c r="A1509" s="6" t="str">
        <x:v>SEQ-LAB-0237</x:v>
      </x:c>
      <x:c r="B1509" s="6" t="str">
        <x:v>Labor Reference</x:v>
      </x:c>
      <x:c r="C1509" s="6" t="str">
        <x:v>LABX-0237</x:v>
      </x:c>
      <x:c r="D1509" s="6" t="str">
        <x:v>SVC000237</x:v>
      </x:c>
      <x:c r="E1509" s="6" t="str"/>
      <x:c r="F1509" s="6" t="str">
        <x:v>Labor-reference review</x:v>
      </x:c>
      <x:c r="G1509" s="6" t="n">
        <x:v>6</x:v>
      </x:c>
      <x:c r="H1509" s="6" t="str">
        <x:v>SIDX-0237</x:v>
      </x:c>
      <x:c r="I1509" s="6" t="str">
        <x:f>IF(H1509="","No upstream dependency",IF(ISNUMBER(SEARCH(";",H1509)),"Multiple dependencies - verify source queues",IFERROR(XLOOKUP(H1509,C2:C1586,J2:J1586),"Dependency not found")))</x:f>
        <x:v>Not Started</x:v>
      </x:c>
      <x:c r="J1509" s="6" t="str">
        <x:v>Not Started</x:v>
      </x:c>
      <x:c r="K1509" s="6" t="str">
        <x:v>Normal</x:v>
      </x:c>
      <x:c r="L1509" s="6" t="str"/>
      <x:c r="M1509" s="6" t="str"/>
      <x:c r="N1509" s="6" t="str"/>
      <x:c r="O1509" s="7" t="str"/>
      <x:c r="P1509" s="6" t="str">
        <x:v>Yes</x:v>
      </x:c>
      <x:c r="Q1509" s="7" t="str">
        <x:v>Requires stable service identity; preserve observed labor evidence.</x:v>
      </x:c>
    </x:row>
    <x:row r="1510">
      <x:c r="A1510" s="6" t="str">
        <x:v>SEQ-LAB-0238</x:v>
      </x:c>
      <x:c r="B1510" s="6" t="str">
        <x:v>Labor Reference</x:v>
      </x:c>
      <x:c r="C1510" s="6" t="str">
        <x:v>LABX-0238</x:v>
      </x:c>
      <x:c r="D1510" s="6" t="str">
        <x:v>SVC000238</x:v>
      </x:c>
      <x:c r="E1510" s="6" t="str"/>
      <x:c r="F1510" s="6" t="str">
        <x:v>Labor-reference review</x:v>
      </x:c>
      <x:c r="G1510" s="6" t="n">
        <x:v>6</x:v>
      </x:c>
      <x:c r="H1510" s="6" t="str">
        <x:v>SIDX-0238</x:v>
      </x:c>
      <x:c r="I1510" s="6" t="str">
        <x:f>IF(H1510="","No upstream dependency",IF(ISNUMBER(SEARCH(";",H1510)),"Multiple dependencies - verify source queues",IFERROR(XLOOKUP(H1510,C2:C1586,J2:J1586),"Dependency not found")))</x:f>
        <x:v>Not Started</x:v>
      </x:c>
      <x:c r="J1510" s="6" t="str">
        <x:v>Not Started</x:v>
      </x:c>
      <x:c r="K1510" s="6" t="str">
        <x:v>Normal</x:v>
      </x:c>
      <x:c r="L1510" s="6" t="str"/>
      <x:c r="M1510" s="6" t="str"/>
      <x:c r="N1510" s="6" t="str"/>
      <x:c r="O1510" s="7" t="str"/>
      <x:c r="P1510" s="6" t="str">
        <x:v>Yes</x:v>
      </x:c>
      <x:c r="Q1510" s="7" t="str">
        <x:v>Requires stable service identity; preserve observed labor evidence.</x:v>
      </x:c>
    </x:row>
    <x:row r="1511">
      <x:c r="A1511" s="6" t="str">
        <x:v>SEQ-LAB-0239</x:v>
      </x:c>
      <x:c r="B1511" s="6" t="str">
        <x:v>Labor Reference</x:v>
      </x:c>
      <x:c r="C1511" s="6" t="str">
        <x:v>LABX-0239</x:v>
      </x:c>
      <x:c r="D1511" s="6" t="str">
        <x:v>SVC000239</x:v>
      </x:c>
      <x:c r="E1511" s="6" t="str"/>
      <x:c r="F1511" s="6" t="str">
        <x:v>Labor-reference review</x:v>
      </x:c>
      <x:c r="G1511" s="6" t="n">
        <x:v>6</x:v>
      </x:c>
      <x:c r="H1511" s="6" t="str">
        <x:v>SIDX-0239</x:v>
      </x:c>
      <x:c r="I1511" s="6" t="str">
        <x:f>IF(H1511="","No upstream dependency",IF(ISNUMBER(SEARCH(";",H1511)),"Multiple dependencies - verify source queues",IFERROR(XLOOKUP(H1511,C2:C1586,J2:J1586),"Dependency not found")))</x:f>
        <x:v>Not Started</x:v>
      </x:c>
      <x:c r="J1511" s="6" t="str">
        <x:v>Not Started</x:v>
      </x:c>
      <x:c r="K1511" s="6" t="str">
        <x:v>Normal</x:v>
      </x:c>
      <x:c r="L1511" s="6" t="str"/>
      <x:c r="M1511" s="6" t="str"/>
      <x:c r="N1511" s="6" t="str"/>
      <x:c r="O1511" s="7" t="str"/>
      <x:c r="P1511" s="6" t="str">
        <x:v>Yes</x:v>
      </x:c>
      <x:c r="Q1511" s="7" t="str">
        <x:v>Requires stable service identity; preserve observed labor evidence.</x:v>
      </x:c>
    </x:row>
    <x:row r="1512">
      <x:c r="A1512" s="6" t="str">
        <x:v>SEQ-LAB-0240</x:v>
      </x:c>
      <x:c r="B1512" s="6" t="str">
        <x:v>Labor Reference</x:v>
      </x:c>
      <x:c r="C1512" s="6" t="str">
        <x:v>LABX-0240</x:v>
      </x:c>
      <x:c r="D1512" s="6" t="str">
        <x:v>SVC000240</x:v>
      </x:c>
      <x:c r="E1512" s="6" t="str"/>
      <x:c r="F1512" s="6" t="str">
        <x:v>Labor-reference review</x:v>
      </x:c>
      <x:c r="G1512" s="6" t="n">
        <x:v>6</x:v>
      </x:c>
      <x:c r="H1512" s="6" t="str">
        <x:v>SIDX-0240</x:v>
      </x:c>
      <x:c r="I1512" s="6" t="str">
        <x:f>IF(H1512="","No upstream dependency",IF(ISNUMBER(SEARCH(";",H1512)),"Multiple dependencies - verify source queues",IFERROR(XLOOKUP(H1512,C2:C1586,J2:J1586),"Dependency not found")))</x:f>
        <x:v>Not Started</x:v>
      </x:c>
      <x:c r="J1512" s="6" t="str">
        <x:v>Not Started</x:v>
      </x:c>
      <x:c r="K1512" s="6" t="str">
        <x:v>Normal</x:v>
      </x:c>
      <x:c r="L1512" s="6" t="str"/>
      <x:c r="M1512" s="6" t="str"/>
      <x:c r="N1512" s="6" t="str"/>
      <x:c r="O1512" s="7" t="str"/>
      <x:c r="P1512" s="6" t="str">
        <x:v>Yes</x:v>
      </x:c>
      <x:c r="Q1512" s="7" t="str">
        <x:v>Requires stable service identity; preserve observed labor evidence.</x:v>
      </x:c>
    </x:row>
    <x:row r="1513">
      <x:c r="A1513" s="6" t="str">
        <x:v>SEQ-LAB-0241</x:v>
      </x:c>
      <x:c r="B1513" s="6" t="str">
        <x:v>Labor Reference</x:v>
      </x:c>
      <x:c r="C1513" s="6" t="str">
        <x:v>LABX-0241</x:v>
      </x:c>
      <x:c r="D1513" s="6" t="str">
        <x:v>SVC000241</x:v>
      </x:c>
      <x:c r="E1513" s="6" t="str"/>
      <x:c r="F1513" s="6" t="str">
        <x:v>Labor-reference review</x:v>
      </x:c>
      <x:c r="G1513" s="6" t="n">
        <x:v>6</x:v>
      </x:c>
      <x:c r="H1513" s="6" t="str">
        <x:v>SIDX-0241</x:v>
      </x:c>
      <x:c r="I1513" s="6" t="str">
        <x:f>IF(H1513="","No upstream dependency",IF(ISNUMBER(SEARCH(";",H1513)),"Multiple dependencies - verify source queues",IFERROR(XLOOKUP(H1513,C2:C1586,J2:J1586),"Dependency not found")))</x:f>
        <x:v>Not Started</x:v>
      </x:c>
      <x:c r="J1513" s="6" t="str">
        <x:v>Not Started</x:v>
      </x:c>
      <x:c r="K1513" s="6" t="str">
        <x:v>Normal</x:v>
      </x:c>
      <x:c r="L1513" s="6" t="str"/>
      <x:c r="M1513" s="6" t="str"/>
      <x:c r="N1513" s="6" t="str"/>
      <x:c r="O1513" s="7" t="str"/>
      <x:c r="P1513" s="6" t="str">
        <x:v>Yes</x:v>
      </x:c>
      <x:c r="Q1513" s="7" t="str">
        <x:v>Requires stable service identity; preserve observed labor evidence.</x:v>
      </x:c>
    </x:row>
    <x:row r="1514">
      <x:c r="A1514" s="6" t="str">
        <x:v>SEQ-LAB-0242</x:v>
      </x:c>
      <x:c r="B1514" s="6" t="str">
        <x:v>Labor Reference</x:v>
      </x:c>
      <x:c r="C1514" s="6" t="str">
        <x:v>LABX-0242</x:v>
      </x:c>
      <x:c r="D1514" s="6" t="str">
        <x:v>SVC000242</x:v>
      </x:c>
      <x:c r="E1514" s="6" t="str"/>
      <x:c r="F1514" s="6" t="str">
        <x:v>Labor-reference review</x:v>
      </x:c>
      <x:c r="G1514" s="6" t="n">
        <x:v>6</x:v>
      </x:c>
      <x:c r="H1514" s="6" t="str">
        <x:v>SIDX-0242</x:v>
      </x:c>
      <x:c r="I1514" s="6" t="str">
        <x:f>IF(H1514="","No upstream dependency",IF(ISNUMBER(SEARCH(";",H1514)),"Multiple dependencies - verify source queues",IFERROR(XLOOKUP(H1514,C2:C1586,J2:J1586),"Dependency not found")))</x:f>
        <x:v>Not Started</x:v>
      </x:c>
      <x:c r="J1514" s="6" t="str">
        <x:v>Not Started</x:v>
      </x:c>
      <x:c r="K1514" s="6" t="str">
        <x:v>Normal</x:v>
      </x:c>
      <x:c r="L1514" s="6" t="str"/>
      <x:c r="M1514" s="6" t="str"/>
      <x:c r="N1514" s="6" t="str"/>
      <x:c r="O1514" s="7" t="str"/>
      <x:c r="P1514" s="6" t="str">
        <x:v>Yes</x:v>
      </x:c>
      <x:c r="Q1514" s="7" t="str">
        <x:v>Requires stable service identity; preserve observed labor evidence.</x:v>
      </x:c>
    </x:row>
    <x:row r="1515">
      <x:c r="A1515" s="6" t="str">
        <x:v>SEQ-LAB-0243</x:v>
      </x:c>
      <x:c r="B1515" s="6" t="str">
        <x:v>Labor Reference</x:v>
      </x:c>
      <x:c r="C1515" s="6" t="str">
        <x:v>LABX-0243</x:v>
      </x:c>
      <x:c r="D1515" s="6" t="str">
        <x:v>SVC000243</x:v>
      </x:c>
      <x:c r="E1515" s="6" t="str"/>
      <x:c r="F1515" s="6" t="str">
        <x:v>Labor-reference review</x:v>
      </x:c>
      <x:c r="G1515" s="6" t="n">
        <x:v>6</x:v>
      </x:c>
      <x:c r="H1515" s="6" t="str">
        <x:v>SIDX-0243</x:v>
      </x:c>
      <x:c r="I1515" s="6" t="str">
        <x:f>IF(H1515="","No upstream dependency",IF(ISNUMBER(SEARCH(";",H1515)),"Multiple dependencies - verify source queues",IFERROR(XLOOKUP(H1515,C2:C1586,J2:J1586),"Dependency not found")))</x:f>
        <x:v>Not Started</x:v>
      </x:c>
      <x:c r="J1515" s="6" t="str">
        <x:v>Not Started</x:v>
      </x:c>
      <x:c r="K1515" s="6" t="str">
        <x:v>Normal</x:v>
      </x:c>
      <x:c r="L1515" s="6" t="str"/>
      <x:c r="M1515" s="6" t="str"/>
      <x:c r="N1515" s="6" t="str"/>
      <x:c r="O1515" s="7" t="str"/>
      <x:c r="P1515" s="6" t="str">
        <x:v>Yes</x:v>
      </x:c>
      <x:c r="Q1515" s="7" t="str">
        <x:v>Requires stable service identity; preserve observed labor evidence.</x:v>
      </x:c>
    </x:row>
    <x:row r="1516">
      <x:c r="A1516" s="6" t="str">
        <x:v>SEQ-LAB-0244</x:v>
      </x:c>
      <x:c r="B1516" s="6" t="str">
        <x:v>Labor Reference</x:v>
      </x:c>
      <x:c r="C1516" s="6" t="str">
        <x:v>LABX-0244</x:v>
      </x:c>
      <x:c r="D1516" s="6" t="str">
        <x:v>SVC000244</x:v>
      </x:c>
      <x:c r="E1516" s="6" t="str"/>
      <x:c r="F1516" s="6" t="str">
        <x:v>Labor-reference review</x:v>
      </x:c>
      <x:c r="G1516" s="6" t="n">
        <x:v>6</x:v>
      </x:c>
      <x:c r="H1516" s="6" t="str">
        <x:v>SIDX-0244</x:v>
      </x:c>
      <x:c r="I1516" s="6" t="str">
        <x:f>IF(H1516="","No upstream dependency",IF(ISNUMBER(SEARCH(";",H1516)),"Multiple dependencies - verify source queues",IFERROR(XLOOKUP(H1516,C2:C1586,J2:J1586),"Dependency not found")))</x:f>
        <x:v>Not Started</x:v>
      </x:c>
      <x:c r="J1516" s="6" t="str">
        <x:v>Not Started</x:v>
      </x:c>
      <x:c r="K1516" s="6" t="str">
        <x:v>Normal</x:v>
      </x:c>
      <x:c r="L1516" s="6" t="str"/>
      <x:c r="M1516" s="6" t="str"/>
      <x:c r="N1516" s="6" t="str"/>
      <x:c r="O1516" s="7" t="str"/>
      <x:c r="P1516" s="6" t="str">
        <x:v>Yes</x:v>
      </x:c>
      <x:c r="Q1516" s="7" t="str">
        <x:v>Requires stable service identity; preserve observed labor evidence.</x:v>
      </x:c>
    </x:row>
    <x:row r="1517">
      <x:c r="A1517" s="6" t="str">
        <x:v>SEQ-LAB-0245</x:v>
      </x:c>
      <x:c r="B1517" s="6" t="str">
        <x:v>Labor Reference</x:v>
      </x:c>
      <x:c r="C1517" s="6" t="str">
        <x:v>LABX-0245</x:v>
      </x:c>
      <x:c r="D1517" s="6" t="str">
        <x:v>SVC000245</x:v>
      </x:c>
      <x:c r="E1517" s="6" t="str"/>
      <x:c r="F1517" s="6" t="str">
        <x:v>Labor-reference review</x:v>
      </x:c>
      <x:c r="G1517" s="6" t="n">
        <x:v>6</x:v>
      </x:c>
      <x:c r="H1517" s="6" t="str">
        <x:v>SIDX-0245</x:v>
      </x:c>
      <x:c r="I1517" s="6" t="str">
        <x:f>IF(H1517="","No upstream dependency",IF(ISNUMBER(SEARCH(";",H1517)),"Multiple dependencies - verify source queues",IFERROR(XLOOKUP(H1517,C2:C1586,J2:J1586),"Dependency not found")))</x:f>
        <x:v>Not Started</x:v>
      </x:c>
      <x:c r="J1517" s="6" t="str">
        <x:v>Not Started</x:v>
      </x:c>
      <x:c r="K1517" s="6" t="str">
        <x:v>Normal</x:v>
      </x:c>
      <x:c r="L1517" s="6" t="str"/>
      <x:c r="M1517" s="6" t="str"/>
      <x:c r="N1517" s="6" t="str"/>
      <x:c r="O1517" s="7" t="str"/>
      <x:c r="P1517" s="6" t="str">
        <x:v>Yes</x:v>
      </x:c>
      <x:c r="Q1517" s="7" t="str">
        <x:v>Requires stable service identity; preserve observed labor evidence.</x:v>
      </x:c>
    </x:row>
    <x:row r="1518">
      <x:c r="A1518" s="6" t="str">
        <x:v>SEQ-LAB-0246</x:v>
      </x:c>
      <x:c r="B1518" s="6" t="str">
        <x:v>Labor Reference</x:v>
      </x:c>
      <x:c r="C1518" s="6" t="str">
        <x:v>LABX-0246</x:v>
      </x:c>
      <x:c r="D1518" s="6" t="str">
        <x:v>SVC000246</x:v>
      </x:c>
      <x:c r="E1518" s="6" t="str"/>
      <x:c r="F1518" s="6" t="str">
        <x:v>Labor-reference review</x:v>
      </x:c>
      <x:c r="G1518" s="6" t="n">
        <x:v>6</x:v>
      </x:c>
      <x:c r="H1518" s="6" t="str">
        <x:v>SIDX-0246</x:v>
      </x:c>
      <x:c r="I1518" s="6" t="str">
        <x:f>IF(H1518="","No upstream dependency",IF(ISNUMBER(SEARCH(";",H1518)),"Multiple dependencies - verify source queues",IFERROR(XLOOKUP(H1518,C2:C1586,J2:J1586),"Dependency not found")))</x:f>
        <x:v>Not Started</x:v>
      </x:c>
      <x:c r="J1518" s="6" t="str">
        <x:v>Not Started</x:v>
      </x:c>
      <x:c r="K1518" s="6" t="str">
        <x:v>Normal</x:v>
      </x:c>
      <x:c r="L1518" s="6" t="str"/>
      <x:c r="M1518" s="6" t="str"/>
      <x:c r="N1518" s="6" t="str"/>
      <x:c r="O1518" s="7" t="str"/>
      <x:c r="P1518" s="6" t="str">
        <x:v>Yes</x:v>
      </x:c>
      <x:c r="Q1518" s="7" t="str">
        <x:v>Requires stable service identity; preserve observed labor evidence.</x:v>
      </x:c>
    </x:row>
    <x:row r="1519">
      <x:c r="A1519" s="6" t="str">
        <x:v>SEQ-LAB-0247</x:v>
      </x:c>
      <x:c r="B1519" s="6" t="str">
        <x:v>Labor Reference</x:v>
      </x:c>
      <x:c r="C1519" s="6" t="str">
        <x:v>LABX-0247</x:v>
      </x:c>
      <x:c r="D1519" s="6" t="str">
        <x:v>SVC000247</x:v>
      </x:c>
      <x:c r="E1519" s="6" t="str"/>
      <x:c r="F1519" s="6" t="str">
        <x:v>Labor-reference review</x:v>
      </x:c>
      <x:c r="G1519" s="6" t="n">
        <x:v>6</x:v>
      </x:c>
      <x:c r="H1519" s="6" t="str">
        <x:v>SIDX-0247</x:v>
      </x:c>
      <x:c r="I1519" s="6" t="str">
        <x:f>IF(H1519="","No upstream dependency",IF(ISNUMBER(SEARCH(";",H1519)),"Multiple dependencies - verify source queues",IFERROR(XLOOKUP(H1519,C2:C1586,J2:J1586),"Dependency not found")))</x:f>
        <x:v>Not Started</x:v>
      </x:c>
      <x:c r="J1519" s="6" t="str">
        <x:v>Not Started</x:v>
      </x:c>
      <x:c r="K1519" s="6" t="str">
        <x:v>Normal</x:v>
      </x:c>
      <x:c r="L1519" s="6" t="str"/>
      <x:c r="M1519" s="6" t="str"/>
      <x:c r="N1519" s="6" t="str"/>
      <x:c r="O1519" s="7" t="str"/>
      <x:c r="P1519" s="6" t="str">
        <x:v>Yes</x:v>
      </x:c>
      <x:c r="Q1519" s="7" t="str">
        <x:v>Requires stable service identity; preserve observed labor evidence.</x:v>
      </x:c>
    </x:row>
    <x:row r="1520">
      <x:c r="A1520" s="6" t="str">
        <x:v>SEQ-LAB-0248</x:v>
      </x:c>
      <x:c r="B1520" s="6" t="str">
        <x:v>Labor Reference</x:v>
      </x:c>
      <x:c r="C1520" s="6" t="str">
        <x:v>LABX-0248</x:v>
      </x:c>
      <x:c r="D1520" s="6" t="str">
        <x:v>SVC000248</x:v>
      </x:c>
      <x:c r="E1520" s="6" t="str"/>
      <x:c r="F1520" s="6" t="str">
        <x:v>Labor-reference review</x:v>
      </x:c>
      <x:c r="G1520" s="6" t="n">
        <x:v>6</x:v>
      </x:c>
      <x:c r="H1520" s="6" t="str">
        <x:v>SIDX-0248</x:v>
      </x:c>
      <x:c r="I1520" s="6" t="str">
        <x:f>IF(H1520="","No upstream dependency",IF(ISNUMBER(SEARCH(";",H1520)),"Multiple dependencies - verify source queues",IFERROR(XLOOKUP(H1520,C2:C1586,J2:J1586),"Dependency not found")))</x:f>
        <x:v>Not Started</x:v>
      </x:c>
      <x:c r="J1520" s="6" t="str">
        <x:v>Not Started</x:v>
      </x:c>
      <x:c r="K1520" s="6" t="str">
        <x:v>Normal</x:v>
      </x:c>
      <x:c r="L1520" s="6" t="str"/>
      <x:c r="M1520" s="6" t="str"/>
      <x:c r="N1520" s="6" t="str"/>
      <x:c r="O1520" s="7" t="str"/>
      <x:c r="P1520" s="6" t="str">
        <x:v>Yes</x:v>
      </x:c>
      <x:c r="Q1520" s="7" t="str">
        <x:v>Requires stable service identity; preserve observed labor evidence.</x:v>
      </x:c>
    </x:row>
    <x:row r="1521">
      <x:c r="A1521" s="6" t="str">
        <x:v>SEQ-LAB-0249</x:v>
      </x:c>
      <x:c r="B1521" s="6" t="str">
        <x:v>Labor Reference</x:v>
      </x:c>
      <x:c r="C1521" s="6" t="str">
        <x:v>LABX-0249</x:v>
      </x:c>
      <x:c r="D1521" s="6" t="str">
        <x:v>SVC000249</x:v>
      </x:c>
      <x:c r="E1521" s="6" t="str"/>
      <x:c r="F1521" s="6" t="str">
        <x:v>Labor-reference review</x:v>
      </x:c>
      <x:c r="G1521" s="6" t="n">
        <x:v>6</x:v>
      </x:c>
      <x:c r="H1521" s="6" t="str">
        <x:v>SIDX-0249</x:v>
      </x:c>
      <x:c r="I1521" s="6" t="str">
        <x:f>IF(H1521="","No upstream dependency",IF(ISNUMBER(SEARCH(";",H1521)),"Multiple dependencies - verify source queues",IFERROR(XLOOKUP(H1521,C2:C1586,J2:J1586),"Dependency not found")))</x:f>
        <x:v>Not Started</x:v>
      </x:c>
      <x:c r="J1521" s="6" t="str">
        <x:v>Not Started</x:v>
      </x:c>
      <x:c r="K1521" s="6" t="str">
        <x:v>Normal</x:v>
      </x:c>
      <x:c r="L1521" s="6" t="str"/>
      <x:c r="M1521" s="6" t="str"/>
      <x:c r="N1521" s="6" t="str"/>
      <x:c r="O1521" s="7" t="str"/>
      <x:c r="P1521" s="6" t="str">
        <x:v>Yes</x:v>
      </x:c>
      <x:c r="Q1521" s="7" t="str">
        <x:v>Requires stable service identity; preserve observed labor evidence.</x:v>
      </x:c>
    </x:row>
    <x:row r="1522">
      <x:c r="A1522" s="6" t="str">
        <x:v>SEQ-LAB-0250</x:v>
      </x:c>
      <x:c r="B1522" s="6" t="str">
        <x:v>Labor Reference</x:v>
      </x:c>
      <x:c r="C1522" s="6" t="str">
        <x:v>LABX-0250</x:v>
      </x:c>
      <x:c r="D1522" s="6" t="str">
        <x:v>SVC000250</x:v>
      </x:c>
      <x:c r="E1522" s="6" t="str"/>
      <x:c r="F1522" s="6" t="str">
        <x:v>Labor-reference review</x:v>
      </x:c>
      <x:c r="G1522" s="6" t="n">
        <x:v>6</x:v>
      </x:c>
      <x:c r="H1522" s="6" t="str">
        <x:v>SIDX-0250</x:v>
      </x:c>
      <x:c r="I1522" s="6" t="str">
        <x:f>IF(H1522="","No upstream dependency",IF(ISNUMBER(SEARCH(";",H1522)),"Multiple dependencies - verify source queues",IFERROR(XLOOKUP(H1522,C2:C1586,J2:J1586),"Dependency not found")))</x:f>
        <x:v>Not Started</x:v>
      </x:c>
      <x:c r="J1522" s="6" t="str">
        <x:v>Not Started</x:v>
      </x:c>
      <x:c r="K1522" s="6" t="str">
        <x:v>Normal</x:v>
      </x:c>
      <x:c r="L1522" s="6" t="str"/>
      <x:c r="M1522" s="6" t="str"/>
      <x:c r="N1522" s="6" t="str"/>
      <x:c r="O1522" s="7" t="str"/>
      <x:c r="P1522" s="6" t="str">
        <x:v>Yes</x:v>
      </x:c>
      <x:c r="Q1522" s="7" t="str">
        <x:v>Requires stable service identity; preserve observed labor evidence.</x:v>
      </x:c>
    </x:row>
    <x:row r="1523">
      <x:c r="A1523" s="6" t="str">
        <x:v>SEQ-LAB-0251</x:v>
      </x:c>
      <x:c r="B1523" s="6" t="str">
        <x:v>Labor Reference</x:v>
      </x:c>
      <x:c r="C1523" s="6" t="str">
        <x:v>LABX-0251</x:v>
      </x:c>
      <x:c r="D1523" s="6" t="str">
        <x:v>SVC000251</x:v>
      </x:c>
      <x:c r="E1523" s="6" t="str"/>
      <x:c r="F1523" s="6" t="str">
        <x:v>Labor-reference review</x:v>
      </x:c>
      <x:c r="G1523" s="6" t="n">
        <x:v>6</x:v>
      </x:c>
      <x:c r="H1523" s="6" t="str">
        <x:v>SIDX-0251</x:v>
      </x:c>
      <x:c r="I1523" s="6" t="str">
        <x:f>IF(H1523="","No upstream dependency",IF(ISNUMBER(SEARCH(";",H1523)),"Multiple dependencies - verify source queues",IFERROR(XLOOKUP(H1523,C2:C1586,J2:J1586),"Dependency not found")))</x:f>
        <x:v>Not Started</x:v>
      </x:c>
      <x:c r="J1523" s="6" t="str">
        <x:v>Not Started</x:v>
      </x:c>
      <x:c r="K1523" s="6" t="str">
        <x:v>Normal</x:v>
      </x:c>
      <x:c r="L1523" s="6" t="str"/>
      <x:c r="M1523" s="6" t="str"/>
      <x:c r="N1523" s="6" t="str"/>
      <x:c r="O1523" s="7" t="str"/>
      <x:c r="P1523" s="6" t="str">
        <x:v>Yes</x:v>
      </x:c>
      <x:c r="Q1523" s="7" t="str">
        <x:v>Requires stable service identity; preserve observed labor evidence.</x:v>
      </x:c>
    </x:row>
    <x:row r="1524">
      <x:c r="A1524" s="6" t="str">
        <x:v>SEQ-LAB-0252</x:v>
      </x:c>
      <x:c r="B1524" s="6" t="str">
        <x:v>Labor Reference</x:v>
      </x:c>
      <x:c r="C1524" s="6" t="str">
        <x:v>LABX-0252</x:v>
      </x:c>
      <x:c r="D1524" s="6" t="str">
        <x:v>SVC000252</x:v>
      </x:c>
      <x:c r="E1524" s="6" t="str"/>
      <x:c r="F1524" s="6" t="str">
        <x:v>Labor-reference review</x:v>
      </x:c>
      <x:c r="G1524" s="6" t="n">
        <x:v>6</x:v>
      </x:c>
      <x:c r="H1524" s="6" t="str">
        <x:v>SIDX-0252</x:v>
      </x:c>
      <x:c r="I1524" s="6" t="str">
        <x:f>IF(H1524="","No upstream dependency",IF(ISNUMBER(SEARCH(";",H1524)),"Multiple dependencies - verify source queues",IFERROR(XLOOKUP(H1524,C2:C1586,J2:J1586),"Dependency not found")))</x:f>
        <x:v>Not Started</x:v>
      </x:c>
      <x:c r="J1524" s="6" t="str">
        <x:v>Not Started</x:v>
      </x:c>
      <x:c r="K1524" s="6" t="str">
        <x:v>Normal</x:v>
      </x:c>
      <x:c r="L1524" s="6" t="str"/>
      <x:c r="M1524" s="6" t="str"/>
      <x:c r="N1524" s="6" t="str"/>
      <x:c r="O1524" s="7" t="str"/>
      <x:c r="P1524" s="6" t="str">
        <x:v>Yes</x:v>
      </x:c>
      <x:c r="Q1524" s="7" t="str">
        <x:v>Requires stable service identity; preserve observed labor evidence.</x:v>
      </x:c>
    </x:row>
    <x:row r="1525">
      <x:c r="A1525" s="6" t="str">
        <x:v>SEQ-LAB-0253</x:v>
      </x:c>
      <x:c r="B1525" s="6" t="str">
        <x:v>Labor Reference</x:v>
      </x:c>
      <x:c r="C1525" s="6" t="str">
        <x:v>LABX-0253</x:v>
      </x:c>
      <x:c r="D1525" s="6" t="str">
        <x:v>SVC000253</x:v>
      </x:c>
      <x:c r="E1525" s="6" t="str"/>
      <x:c r="F1525" s="6" t="str">
        <x:v>Labor-reference review</x:v>
      </x:c>
      <x:c r="G1525" s="6" t="n">
        <x:v>6</x:v>
      </x:c>
      <x:c r="H1525" s="6" t="str">
        <x:v>SIDX-0253</x:v>
      </x:c>
      <x:c r="I1525" s="6" t="str">
        <x:f>IF(H1525="","No upstream dependency",IF(ISNUMBER(SEARCH(";",H1525)),"Multiple dependencies - verify source queues",IFERROR(XLOOKUP(H1525,C2:C1586,J2:J1586),"Dependency not found")))</x:f>
        <x:v>Not Started</x:v>
      </x:c>
      <x:c r="J1525" s="6" t="str">
        <x:v>Not Started</x:v>
      </x:c>
      <x:c r="K1525" s="6" t="str">
        <x:v>Normal</x:v>
      </x:c>
      <x:c r="L1525" s="6" t="str"/>
      <x:c r="M1525" s="6" t="str"/>
      <x:c r="N1525" s="6" t="str"/>
      <x:c r="O1525" s="7" t="str"/>
      <x:c r="P1525" s="6" t="str">
        <x:v>Yes</x:v>
      </x:c>
      <x:c r="Q1525" s="7" t="str">
        <x:v>Requires stable service identity; preserve observed labor evidence.</x:v>
      </x:c>
    </x:row>
    <x:row r="1526">
      <x:c r="A1526" s="6" t="str">
        <x:v>SEQ-LAB-0254</x:v>
      </x:c>
      <x:c r="B1526" s="6" t="str">
        <x:v>Labor Reference</x:v>
      </x:c>
      <x:c r="C1526" s="6" t="str">
        <x:v>LABX-0254</x:v>
      </x:c>
      <x:c r="D1526" s="6" t="str">
        <x:v>SVC000254</x:v>
      </x:c>
      <x:c r="E1526" s="6" t="str"/>
      <x:c r="F1526" s="6" t="str">
        <x:v>Labor-reference review</x:v>
      </x:c>
      <x:c r="G1526" s="6" t="n">
        <x:v>6</x:v>
      </x:c>
      <x:c r="H1526" s="6" t="str">
        <x:v>SIDX-0254</x:v>
      </x:c>
      <x:c r="I1526" s="6" t="str">
        <x:f>IF(H1526="","No upstream dependency",IF(ISNUMBER(SEARCH(";",H1526)),"Multiple dependencies - verify source queues",IFERROR(XLOOKUP(H1526,C2:C1586,J2:J1586),"Dependency not found")))</x:f>
        <x:v>Not Started</x:v>
      </x:c>
      <x:c r="J1526" s="6" t="str">
        <x:v>Not Started</x:v>
      </x:c>
      <x:c r="K1526" s="6" t="str">
        <x:v>Normal</x:v>
      </x:c>
      <x:c r="L1526" s="6" t="str"/>
      <x:c r="M1526" s="6" t="str"/>
      <x:c r="N1526" s="6" t="str"/>
      <x:c r="O1526" s="7" t="str"/>
      <x:c r="P1526" s="6" t="str">
        <x:v>Yes</x:v>
      </x:c>
      <x:c r="Q1526" s="7" t="str">
        <x:v>Requires stable service identity; preserve observed labor evidence.</x:v>
      </x:c>
    </x:row>
    <x:row r="1527">
      <x:c r="A1527" s="6" t="str">
        <x:v>SEQ-LAB-0255</x:v>
      </x:c>
      <x:c r="B1527" s="6" t="str">
        <x:v>Labor Reference</x:v>
      </x:c>
      <x:c r="C1527" s="6" t="str">
        <x:v>LABX-0255</x:v>
      </x:c>
      <x:c r="D1527" s="6" t="str">
        <x:v>SVC000255</x:v>
      </x:c>
      <x:c r="E1527" s="6" t="str"/>
      <x:c r="F1527" s="6" t="str">
        <x:v>Labor-reference review</x:v>
      </x:c>
      <x:c r="G1527" s="6" t="n">
        <x:v>6</x:v>
      </x:c>
      <x:c r="H1527" s="6" t="str">
        <x:v>SIDX-0255</x:v>
      </x:c>
      <x:c r="I1527" s="6" t="str">
        <x:f>IF(H1527="","No upstream dependency",IF(ISNUMBER(SEARCH(";",H1527)),"Multiple dependencies - verify source queues",IFERROR(XLOOKUP(H1527,C2:C1586,J2:J1586),"Dependency not found")))</x:f>
        <x:v>Not Started</x:v>
      </x:c>
      <x:c r="J1527" s="6" t="str">
        <x:v>Not Started</x:v>
      </x:c>
      <x:c r="K1527" s="6" t="str">
        <x:v>Normal</x:v>
      </x:c>
      <x:c r="L1527" s="6" t="str"/>
      <x:c r="M1527" s="6" t="str"/>
      <x:c r="N1527" s="6" t="str"/>
      <x:c r="O1527" s="7" t="str"/>
      <x:c r="P1527" s="6" t="str">
        <x:v>Yes</x:v>
      </x:c>
      <x:c r="Q1527" s="7" t="str">
        <x:v>Requires stable service identity; preserve observed labor evidence.</x:v>
      </x:c>
    </x:row>
    <x:row r="1528">
      <x:c r="A1528" s="6" t="str">
        <x:v>SEQ-LAB-0256</x:v>
      </x:c>
      <x:c r="B1528" s="6" t="str">
        <x:v>Labor Reference</x:v>
      </x:c>
      <x:c r="C1528" s="6" t="str">
        <x:v>LABX-0256</x:v>
      </x:c>
      <x:c r="D1528" s="6" t="str">
        <x:v>SVC000256</x:v>
      </x:c>
      <x:c r="E1528" s="6" t="str"/>
      <x:c r="F1528" s="6" t="str">
        <x:v>Labor-reference review</x:v>
      </x:c>
      <x:c r="G1528" s="6" t="n">
        <x:v>6</x:v>
      </x:c>
      <x:c r="H1528" s="6" t="str">
        <x:v>SIDX-0256</x:v>
      </x:c>
      <x:c r="I1528" s="6" t="str">
        <x:f>IF(H1528="","No upstream dependency",IF(ISNUMBER(SEARCH(";",H1528)),"Multiple dependencies - verify source queues",IFERROR(XLOOKUP(H1528,C2:C1586,J2:J1586),"Dependency not found")))</x:f>
        <x:v>Not Started</x:v>
      </x:c>
      <x:c r="J1528" s="6" t="str">
        <x:v>Not Started</x:v>
      </x:c>
      <x:c r="K1528" s="6" t="str">
        <x:v>Normal</x:v>
      </x:c>
      <x:c r="L1528" s="6" t="str"/>
      <x:c r="M1528" s="6" t="str"/>
      <x:c r="N1528" s="6" t="str"/>
      <x:c r="O1528" s="7" t="str"/>
      <x:c r="P1528" s="6" t="str">
        <x:v>Yes</x:v>
      </x:c>
      <x:c r="Q1528" s="7" t="str">
        <x:v>Requires stable service identity; preserve observed labor evidence.</x:v>
      </x:c>
    </x:row>
    <x:row r="1529">
      <x:c r="A1529" s="6" t="str">
        <x:v>SEQ-LAB-0257</x:v>
      </x:c>
      <x:c r="B1529" s="6" t="str">
        <x:v>Labor Reference</x:v>
      </x:c>
      <x:c r="C1529" s="6" t="str">
        <x:v>LABX-0257</x:v>
      </x:c>
      <x:c r="D1529" s="6" t="str">
        <x:v>SVC000257</x:v>
      </x:c>
      <x:c r="E1529" s="6" t="str"/>
      <x:c r="F1529" s="6" t="str">
        <x:v>Labor-reference review</x:v>
      </x:c>
      <x:c r="G1529" s="6" t="n">
        <x:v>6</x:v>
      </x:c>
      <x:c r="H1529" s="6" t="str">
        <x:v>SIDX-0257</x:v>
      </x:c>
      <x:c r="I1529" s="6" t="str">
        <x:f>IF(H1529="","No upstream dependency",IF(ISNUMBER(SEARCH(";",H1529)),"Multiple dependencies - verify source queues",IFERROR(XLOOKUP(H1529,C2:C1586,J2:J1586),"Dependency not found")))</x:f>
        <x:v>Not Started</x:v>
      </x:c>
      <x:c r="J1529" s="6" t="str">
        <x:v>Not Started</x:v>
      </x:c>
      <x:c r="K1529" s="6" t="str">
        <x:v>Normal</x:v>
      </x:c>
      <x:c r="L1529" s="6" t="str"/>
      <x:c r="M1529" s="6" t="str"/>
      <x:c r="N1529" s="6" t="str"/>
      <x:c r="O1529" s="7" t="str"/>
      <x:c r="P1529" s="6" t="str">
        <x:v>Yes</x:v>
      </x:c>
      <x:c r="Q1529" s="7" t="str">
        <x:v>Requires stable service identity; preserve observed labor evidence.</x:v>
      </x:c>
    </x:row>
    <x:row r="1530">
      <x:c r="A1530" s="6" t="str">
        <x:v>SEQ-LAB-0258</x:v>
      </x:c>
      <x:c r="B1530" s="6" t="str">
        <x:v>Labor Reference</x:v>
      </x:c>
      <x:c r="C1530" s="6" t="str">
        <x:v>LABX-0258</x:v>
      </x:c>
      <x:c r="D1530" s="6" t="str">
        <x:v>SVC000258</x:v>
      </x:c>
      <x:c r="E1530" s="6" t="str"/>
      <x:c r="F1530" s="6" t="str">
        <x:v>Labor-reference review</x:v>
      </x:c>
      <x:c r="G1530" s="6" t="n">
        <x:v>6</x:v>
      </x:c>
      <x:c r="H1530" s="6" t="str">
        <x:v>SIDX-0258</x:v>
      </x:c>
      <x:c r="I1530" s="6" t="str">
        <x:f>IF(H1530="","No upstream dependency",IF(ISNUMBER(SEARCH(";",H1530)),"Multiple dependencies - verify source queues",IFERROR(XLOOKUP(H1530,C2:C1586,J2:J1586),"Dependency not found")))</x:f>
        <x:v>Not Started</x:v>
      </x:c>
      <x:c r="J1530" s="6" t="str">
        <x:v>Not Started</x:v>
      </x:c>
      <x:c r="K1530" s="6" t="str">
        <x:v>Normal</x:v>
      </x:c>
      <x:c r="L1530" s="6" t="str"/>
      <x:c r="M1530" s="6" t="str"/>
      <x:c r="N1530" s="6" t="str"/>
      <x:c r="O1530" s="7" t="str"/>
      <x:c r="P1530" s="6" t="str">
        <x:v>Yes</x:v>
      </x:c>
      <x:c r="Q1530" s="7" t="str">
        <x:v>Requires stable service identity; preserve observed labor evidence.</x:v>
      </x:c>
    </x:row>
    <x:row r="1531">
      <x:c r="A1531" s="6" t="str">
        <x:v>SEQ-LAB-0259</x:v>
      </x:c>
      <x:c r="B1531" s="6" t="str">
        <x:v>Labor Reference</x:v>
      </x:c>
      <x:c r="C1531" s="6" t="str">
        <x:v>LABX-0259</x:v>
      </x:c>
      <x:c r="D1531" s="6" t="str">
        <x:v>SVC000259</x:v>
      </x:c>
      <x:c r="E1531" s="6" t="str"/>
      <x:c r="F1531" s="6" t="str">
        <x:v>Labor-reference review</x:v>
      </x:c>
      <x:c r="G1531" s="6" t="n">
        <x:v>6</x:v>
      </x:c>
      <x:c r="H1531" s="6" t="str">
        <x:v>SIDX-0259</x:v>
      </x:c>
      <x:c r="I1531" s="6" t="str">
        <x:f>IF(H1531="","No upstream dependency",IF(ISNUMBER(SEARCH(";",H1531)),"Multiple dependencies - verify source queues",IFERROR(XLOOKUP(H1531,C2:C1586,J2:J1586),"Dependency not found")))</x:f>
        <x:v>Not Started</x:v>
      </x:c>
      <x:c r="J1531" s="6" t="str">
        <x:v>Not Started</x:v>
      </x:c>
      <x:c r="K1531" s="6" t="str">
        <x:v>Normal</x:v>
      </x:c>
      <x:c r="L1531" s="6" t="str"/>
      <x:c r="M1531" s="6" t="str"/>
      <x:c r="N1531" s="6" t="str"/>
      <x:c r="O1531" s="7" t="str"/>
      <x:c r="P1531" s="6" t="str">
        <x:v>Yes</x:v>
      </x:c>
      <x:c r="Q1531" s="7" t="str">
        <x:v>Requires stable service identity; preserve observed labor evidence.</x:v>
      </x:c>
    </x:row>
    <x:row r="1532">
      <x:c r="A1532" s="6" t="str">
        <x:v>SEQ-LAB-0260</x:v>
      </x:c>
      <x:c r="B1532" s="6" t="str">
        <x:v>Labor Reference</x:v>
      </x:c>
      <x:c r="C1532" s="6" t="str">
        <x:v>LABX-0260</x:v>
      </x:c>
      <x:c r="D1532" s="6" t="str">
        <x:v>SVC000260</x:v>
      </x:c>
      <x:c r="E1532" s="6" t="str"/>
      <x:c r="F1532" s="6" t="str">
        <x:v>Labor-reference review</x:v>
      </x:c>
      <x:c r="G1532" s="6" t="n">
        <x:v>6</x:v>
      </x:c>
      <x:c r="H1532" s="6" t="str">
        <x:v>SIDX-0260</x:v>
      </x:c>
      <x:c r="I1532" s="6" t="str">
        <x:f>IF(H1532="","No upstream dependency",IF(ISNUMBER(SEARCH(";",H1532)),"Multiple dependencies - verify source queues",IFERROR(XLOOKUP(H1532,C2:C1586,J2:J1586),"Dependency not found")))</x:f>
        <x:v>Not Started</x:v>
      </x:c>
      <x:c r="J1532" s="6" t="str">
        <x:v>Not Started</x:v>
      </x:c>
      <x:c r="K1532" s="6" t="str">
        <x:v>Normal</x:v>
      </x:c>
      <x:c r="L1532" s="6" t="str"/>
      <x:c r="M1532" s="6" t="str"/>
      <x:c r="N1532" s="6" t="str"/>
      <x:c r="O1532" s="7" t="str"/>
      <x:c r="P1532" s="6" t="str">
        <x:v>Yes</x:v>
      </x:c>
      <x:c r="Q1532" s="7" t="str">
        <x:v>Requires stable service identity; preserve observed labor evidence.</x:v>
      </x:c>
    </x:row>
    <x:row r="1533">
      <x:c r="A1533" s="6" t="str">
        <x:v>SEQ-LAB-0261</x:v>
      </x:c>
      <x:c r="B1533" s="6" t="str">
        <x:v>Labor Reference</x:v>
      </x:c>
      <x:c r="C1533" s="6" t="str">
        <x:v>LABX-0261</x:v>
      </x:c>
      <x:c r="D1533" s="6" t="str">
        <x:v>SVC000261</x:v>
      </x:c>
      <x:c r="E1533" s="6" t="str"/>
      <x:c r="F1533" s="6" t="str">
        <x:v>Labor-reference review</x:v>
      </x:c>
      <x:c r="G1533" s="6" t="n">
        <x:v>6</x:v>
      </x:c>
      <x:c r="H1533" s="6" t="str">
        <x:v>SIDX-0261</x:v>
      </x:c>
      <x:c r="I1533" s="6" t="str">
        <x:f>IF(H1533="","No upstream dependency",IF(ISNUMBER(SEARCH(";",H1533)),"Multiple dependencies - verify source queues",IFERROR(XLOOKUP(H1533,C2:C1586,J2:J1586),"Dependency not found")))</x:f>
        <x:v>Not Started</x:v>
      </x:c>
      <x:c r="J1533" s="6" t="str">
        <x:v>Not Started</x:v>
      </x:c>
      <x:c r="K1533" s="6" t="str">
        <x:v>Normal</x:v>
      </x:c>
      <x:c r="L1533" s="6" t="str"/>
      <x:c r="M1533" s="6" t="str"/>
      <x:c r="N1533" s="6" t="str"/>
      <x:c r="O1533" s="7" t="str"/>
      <x:c r="P1533" s="6" t="str">
        <x:v>Yes</x:v>
      </x:c>
      <x:c r="Q1533" s="7" t="str">
        <x:v>Requires stable service identity; preserve observed labor evidence.</x:v>
      </x:c>
    </x:row>
    <x:row r="1534">
      <x:c r="A1534" s="6" t="str">
        <x:v>SEQ-LAB-0262</x:v>
      </x:c>
      <x:c r="B1534" s="6" t="str">
        <x:v>Labor Reference</x:v>
      </x:c>
      <x:c r="C1534" s="6" t="str">
        <x:v>LABX-0262</x:v>
      </x:c>
      <x:c r="D1534" s="6" t="str">
        <x:v>SVC000262</x:v>
      </x:c>
      <x:c r="E1534" s="6" t="str"/>
      <x:c r="F1534" s="6" t="str">
        <x:v>Labor-reference review</x:v>
      </x:c>
      <x:c r="G1534" s="6" t="n">
        <x:v>6</x:v>
      </x:c>
      <x:c r="H1534" s="6" t="str">
        <x:v>SIDX-0262</x:v>
      </x:c>
      <x:c r="I1534" s="6" t="str">
        <x:f>IF(H1534="","No upstream dependency",IF(ISNUMBER(SEARCH(";",H1534)),"Multiple dependencies - verify source queues",IFERROR(XLOOKUP(H1534,C2:C1586,J2:J1586),"Dependency not found")))</x:f>
        <x:v>Not Started</x:v>
      </x:c>
      <x:c r="J1534" s="6" t="str">
        <x:v>Not Started</x:v>
      </x:c>
      <x:c r="K1534" s="6" t="str">
        <x:v>Normal</x:v>
      </x:c>
      <x:c r="L1534" s="6" t="str"/>
      <x:c r="M1534" s="6" t="str"/>
      <x:c r="N1534" s="6" t="str"/>
      <x:c r="O1534" s="7" t="str"/>
      <x:c r="P1534" s="6" t="str">
        <x:v>Yes</x:v>
      </x:c>
      <x:c r="Q1534" s="7" t="str">
        <x:v>Requires stable service identity; preserve observed labor evidence.</x:v>
      </x:c>
    </x:row>
    <x:row r="1535">
      <x:c r="A1535" s="6" t="str">
        <x:v>SEQ-LAB-0263</x:v>
      </x:c>
      <x:c r="B1535" s="6" t="str">
        <x:v>Labor Reference</x:v>
      </x:c>
      <x:c r="C1535" s="6" t="str">
        <x:v>LABX-0263</x:v>
      </x:c>
      <x:c r="D1535" s="6" t="str">
        <x:v>SVC000263</x:v>
      </x:c>
      <x:c r="E1535" s="6" t="str"/>
      <x:c r="F1535" s="6" t="str">
        <x:v>Labor-reference review</x:v>
      </x:c>
      <x:c r="G1535" s="6" t="n">
        <x:v>6</x:v>
      </x:c>
      <x:c r="H1535" s="6" t="str">
        <x:v>SIDX-0263</x:v>
      </x:c>
      <x:c r="I1535" s="6" t="str">
        <x:f>IF(H1535="","No upstream dependency",IF(ISNUMBER(SEARCH(";",H1535)),"Multiple dependencies - verify source queues",IFERROR(XLOOKUP(H1535,C2:C1586,J2:J1586),"Dependency not found")))</x:f>
        <x:v>Not Started</x:v>
      </x:c>
      <x:c r="J1535" s="6" t="str">
        <x:v>Not Started</x:v>
      </x:c>
      <x:c r="K1535" s="6" t="str">
        <x:v>Normal</x:v>
      </x:c>
      <x:c r="L1535" s="6" t="str"/>
      <x:c r="M1535" s="6" t="str"/>
      <x:c r="N1535" s="6" t="str"/>
      <x:c r="O1535" s="7" t="str"/>
      <x:c r="P1535" s="6" t="str">
        <x:v>Yes</x:v>
      </x:c>
      <x:c r="Q1535" s="7" t="str">
        <x:v>Requires stable service identity; preserve observed labor evidence.</x:v>
      </x:c>
    </x:row>
    <x:row r="1536">
      <x:c r="A1536" s="6" t="str">
        <x:v>SEQ-LAB-0264</x:v>
      </x:c>
      <x:c r="B1536" s="6" t="str">
        <x:v>Labor Reference</x:v>
      </x:c>
      <x:c r="C1536" s="6" t="str">
        <x:v>LABX-0264</x:v>
      </x:c>
      <x:c r="D1536" s="6" t="str">
        <x:v>SVC000264</x:v>
      </x:c>
      <x:c r="E1536" s="6" t="str"/>
      <x:c r="F1536" s="6" t="str">
        <x:v>Labor-reference review</x:v>
      </x:c>
      <x:c r="G1536" s="6" t="n">
        <x:v>6</x:v>
      </x:c>
      <x:c r="H1536" s="6" t="str">
        <x:v>SIDX-0264</x:v>
      </x:c>
      <x:c r="I1536" s="6" t="str">
        <x:f>IF(H1536="","No upstream dependency",IF(ISNUMBER(SEARCH(";",H1536)),"Multiple dependencies - verify source queues",IFERROR(XLOOKUP(H1536,C2:C1586,J2:J1586),"Dependency not found")))</x:f>
        <x:v>Not Started</x:v>
      </x:c>
      <x:c r="J1536" s="6" t="str">
        <x:v>Not Started</x:v>
      </x:c>
      <x:c r="K1536" s="6" t="str">
        <x:v>Normal</x:v>
      </x:c>
      <x:c r="L1536" s="6" t="str"/>
      <x:c r="M1536" s="6" t="str"/>
      <x:c r="N1536" s="6" t="str"/>
      <x:c r="O1536" s="7" t="str"/>
      <x:c r="P1536" s="6" t="str">
        <x:v>Yes</x:v>
      </x:c>
      <x:c r="Q1536" s="7" t="str">
        <x:v>Requires stable service identity; preserve observed labor evidence.</x:v>
      </x:c>
    </x:row>
    <x:row r="1537">
      <x:c r="A1537" s="6" t="str">
        <x:v>SEQ-LAB-0265</x:v>
      </x:c>
      <x:c r="B1537" s="6" t="str">
        <x:v>Labor Reference</x:v>
      </x:c>
      <x:c r="C1537" s="6" t="str">
        <x:v>LABX-0265</x:v>
      </x:c>
      <x:c r="D1537" s="6" t="str">
        <x:v>SVC000265</x:v>
      </x:c>
      <x:c r="E1537" s="6" t="str"/>
      <x:c r="F1537" s="6" t="str">
        <x:v>Labor-reference review</x:v>
      </x:c>
      <x:c r="G1537" s="6" t="n">
        <x:v>6</x:v>
      </x:c>
      <x:c r="H1537" s="6" t="str">
        <x:v>SIDX-0265</x:v>
      </x:c>
      <x:c r="I1537" s="6" t="str">
        <x:f>IF(H1537="","No upstream dependency",IF(ISNUMBER(SEARCH(";",H1537)),"Multiple dependencies - verify source queues",IFERROR(XLOOKUP(H1537,C2:C1586,J2:J1586),"Dependency not found")))</x:f>
        <x:v>Not Started</x:v>
      </x:c>
      <x:c r="J1537" s="6" t="str">
        <x:v>Not Started</x:v>
      </x:c>
      <x:c r="K1537" s="6" t="str">
        <x:v>Normal</x:v>
      </x:c>
      <x:c r="L1537" s="6" t="str"/>
      <x:c r="M1537" s="6" t="str"/>
      <x:c r="N1537" s="6" t="str"/>
      <x:c r="O1537" s="7" t="str"/>
      <x:c r="P1537" s="6" t="str">
        <x:v>Yes</x:v>
      </x:c>
      <x:c r="Q1537" s="7" t="str">
        <x:v>Requires stable service identity; preserve observed labor evidence.</x:v>
      </x:c>
    </x:row>
    <x:row r="1538">
      <x:c r="A1538" s="6" t="str">
        <x:v>SEQ-LAB-0266</x:v>
      </x:c>
      <x:c r="B1538" s="6" t="str">
        <x:v>Labor Reference</x:v>
      </x:c>
      <x:c r="C1538" s="6" t="str">
        <x:v>LABX-0266</x:v>
      </x:c>
      <x:c r="D1538" s="6" t="str">
        <x:v>SVC000266</x:v>
      </x:c>
      <x:c r="E1538" s="6" t="str"/>
      <x:c r="F1538" s="6" t="str">
        <x:v>Labor-reference review</x:v>
      </x:c>
      <x:c r="G1538" s="6" t="n">
        <x:v>6</x:v>
      </x:c>
      <x:c r="H1538" s="6" t="str">
        <x:v>SIDX-0266</x:v>
      </x:c>
      <x:c r="I1538" s="6" t="str">
        <x:f>IF(H1538="","No upstream dependency",IF(ISNUMBER(SEARCH(";",H1538)),"Multiple dependencies - verify source queues",IFERROR(XLOOKUP(H1538,C2:C1586,J2:J1586),"Dependency not found")))</x:f>
        <x:v>Not Started</x:v>
      </x:c>
      <x:c r="J1538" s="6" t="str">
        <x:v>Not Started</x:v>
      </x:c>
      <x:c r="K1538" s="6" t="str">
        <x:v>Normal</x:v>
      </x:c>
      <x:c r="L1538" s="6" t="str"/>
      <x:c r="M1538" s="6" t="str"/>
      <x:c r="N1538" s="6" t="str"/>
      <x:c r="O1538" s="7" t="str"/>
      <x:c r="P1538" s="6" t="str">
        <x:v>Yes</x:v>
      </x:c>
      <x:c r="Q1538" s="7" t="str">
        <x:v>Requires stable service identity; preserve observed labor evidence.</x:v>
      </x:c>
    </x:row>
    <x:row r="1539">
      <x:c r="A1539" s="6" t="str">
        <x:v>SEQ-LAB-0267</x:v>
      </x:c>
      <x:c r="B1539" s="6" t="str">
        <x:v>Labor Reference</x:v>
      </x:c>
      <x:c r="C1539" s="6" t="str">
        <x:v>LABX-0267</x:v>
      </x:c>
      <x:c r="D1539" s="6" t="str">
        <x:v>SVC000267</x:v>
      </x:c>
      <x:c r="E1539" s="6" t="str"/>
      <x:c r="F1539" s="6" t="str">
        <x:v>Labor-reference review</x:v>
      </x:c>
      <x:c r="G1539" s="6" t="n">
        <x:v>6</x:v>
      </x:c>
      <x:c r="H1539" s="6" t="str">
        <x:v>SIDX-0267</x:v>
      </x:c>
      <x:c r="I1539" s="6" t="str">
        <x:f>IF(H1539="","No upstream dependency",IF(ISNUMBER(SEARCH(";",H1539)),"Multiple dependencies - verify source queues",IFERROR(XLOOKUP(H1539,C2:C1586,J2:J1586),"Dependency not found")))</x:f>
        <x:v>Not Started</x:v>
      </x:c>
      <x:c r="J1539" s="6" t="str">
        <x:v>Not Started</x:v>
      </x:c>
      <x:c r="K1539" s="6" t="str">
        <x:v>Normal</x:v>
      </x:c>
      <x:c r="L1539" s="6" t="str"/>
      <x:c r="M1539" s="6" t="str"/>
      <x:c r="N1539" s="6" t="str"/>
      <x:c r="O1539" s="7" t="str"/>
      <x:c r="P1539" s="6" t="str">
        <x:v>Yes</x:v>
      </x:c>
      <x:c r="Q1539" s="7" t="str">
        <x:v>Requires stable service identity; preserve observed labor evidence.</x:v>
      </x:c>
    </x:row>
    <x:row r="1540">
      <x:c r="A1540" s="6" t="str">
        <x:v>SEQ-LAB-0268</x:v>
      </x:c>
      <x:c r="B1540" s="6" t="str">
        <x:v>Labor Reference</x:v>
      </x:c>
      <x:c r="C1540" s="6" t="str">
        <x:v>LABX-0268</x:v>
      </x:c>
      <x:c r="D1540" s="6" t="str">
        <x:v>SVC000268</x:v>
      </x:c>
      <x:c r="E1540" s="6" t="str"/>
      <x:c r="F1540" s="6" t="str">
        <x:v>Labor-reference review</x:v>
      </x:c>
      <x:c r="G1540" s="6" t="n">
        <x:v>6</x:v>
      </x:c>
      <x:c r="H1540" s="6" t="str">
        <x:v>SIDX-0268</x:v>
      </x:c>
      <x:c r="I1540" s="6" t="str">
        <x:f>IF(H1540="","No upstream dependency",IF(ISNUMBER(SEARCH(";",H1540)),"Multiple dependencies - verify source queues",IFERROR(XLOOKUP(H1540,C2:C1586,J2:J1586),"Dependency not found")))</x:f>
        <x:v>Not Started</x:v>
      </x:c>
      <x:c r="J1540" s="6" t="str">
        <x:v>Not Started</x:v>
      </x:c>
      <x:c r="K1540" s="6" t="str">
        <x:v>Normal</x:v>
      </x:c>
      <x:c r="L1540" s="6" t="str"/>
      <x:c r="M1540" s="6" t="str"/>
      <x:c r="N1540" s="6" t="str"/>
      <x:c r="O1540" s="7" t="str"/>
      <x:c r="P1540" s="6" t="str">
        <x:v>Yes</x:v>
      </x:c>
      <x:c r="Q1540" s="7" t="str">
        <x:v>Requires stable service identity; preserve observed labor evidence.</x:v>
      </x:c>
    </x:row>
    <x:row r="1541">
      <x:c r="A1541" s="6" t="str">
        <x:v>SEQ-LAB-0269</x:v>
      </x:c>
      <x:c r="B1541" s="6" t="str">
        <x:v>Labor Reference</x:v>
      </x:c>
      <x:c r="C1541" s="6" t="str">
        <x:v>LABX-0269</x:v>
      </x:c>
      <x:c r="D1541" s="6" t="str">
        <x:v>SVC000269</x:v>
      </x:c>
      <x:c r="E1541" s="6" t="str"/>
      <x:c r="F1541" s="6" t="str">
        <x:v>Labor-reference review</x:v>
      </x:c>
      <x:c r="G1541" s="6" t="n">
        <x:v>6</x:v>
      </x:c>
      <x:c r="H1541" s="6" t="str">
        <x:v>SIDX-0269</x:v>
      </x:c>
      <x:c r="I1541" s="6" t="str">
        <x:f>IF(H1541="","No upstream dependency",IF(ISNUMBER(SEARCH(";",H1541)),"Multiple dependencies - verify source queues",IFERROR(XLOOKUP(H1541,C2:C1586,J2:J1586),"Dependency not found")))</x:f>
        <x:v>Not Started</x:v>
      </x:c>
      <x:c r="J1541" s="6" t="str">
        <x:v>Not Started</x:v>
      </x:c>
      <x:c r="K1541" s="6" t="str">
        <x:v>Normal</x:v>
      </x:c>
      <x:c r="L1541" s="6" t="str"/>
      <x:c r="M1541" s="6" t="str"/>
      <x:c r="N1541" s="6" t="str"/>
      <x:c r="O1541" s="7" t="str"/>
      <x:c r="P1541" s="6" t="str">
        <x:v>Yes</x:v>
      </x:c>
      <x:c r="Q1541" s="7" t="str">
        <x:v>Requires stable service identity; preserve observed labor evidence.</x:v>
      </x:c>
    </x:row>
    <x:row r="1542">
      <x:c r="A1542" s="6" t="str">
        <x:v>SEQ-LAB-0270</x:v>
      </x:c>
      <x:c r="B1542" s="6" t="str">
        <x:v>Labor Reference</x:v>
      </x:c>
      <x:c r="C1542" s="6" t="str">
        <x:v>LABX-0270</x:v>
      </x:c>
      <x:c r="D1542" s="6" t="str">
        <x:v>SVC000270</x:v>
      </x:c>
      <x:c r="E1542" s="6" t="str"/>
      <x:c r="F1542" s="6" t="str">
        <x:v>Labor-reference review</x:v>
      </x:c>
      <x:c r="G1542" s="6" t="n">
        <x:v>6</x:v>
      </x:c>
      <x:c r="H1542" s="6" t="str">
        <x:v>SIDX-0270</x:v>
      </x:c>
      <x:c r="I1542" s="6" t="str">
        <x:f>IF(H1542="","No upstream dependency",IF(ISNUMBER(SEARCH(";",H1542)),"Multiple dependencies - verify source queues",IFERROR(XLOOKUP(H1542,C2:C1586,J2:J1586),"Dependency not found")))</x:f>
        <x:v>Not Started</x:v>
      </x:c>
      <x:c r="J1542" s="6" t="str">
        <x:v>Not Started</x:v>
      </x:c>
      <x:c r="K1542" s="6" t="str">
        <x:v>Normal</x:v>
      </x:c>
      <x:c r="L1542" s="6" t="str"/>
      <x:c r="M1542" s="6" t="str"/>
      <x:c r="N1542" s="6" t="str"/>
      <x:c r="O1542" s="7" t="str"/>
      <x:c r="P1542" s="6" t="str">
        <x:v>Yes</x:v>
      </x:c>
      <x:c r="Q1542" s="7" t="str">
        <x:v>Requires stable service identity; preserve observed labor evidence.</x:v>
      </x:c>
    </x:row>
    <x:row r="1543">
      <x:c r="A1543" s="6" t="str">
        <x:v>SEQ-LAB-0271</x:v>
      </x:c>
      <x:c r="B1543" s="6" t="str">
        <x:v>Labor Reference</x:v>
      </x:c>
      <x:c r="C1543" s="6" t="str">
        <x:v>LABX-0271</x:v>
      </x:c>
      <x:c r="D1543" s="6" t="str">
        <x:v>SVC000271</x:v>
      </x:c>
      <x:c r="E1543" s="6" t="str"/>
      <x:c r="F1543" s="6" t="str">
        <x:v>Labor-reference review</x:v>
      </x:c>
      <x:c r="G1543" s="6" t="n">
        <x:v>6</x:v>
      </x:c>
      <x:c r="H1543" s="6" t="str">
        <x:v>SIDX-0271</x:v>
      </x:c>
      <x:c r="I1543" s="6" t="str">
        <x:f>IF(H1543="","No upstream dependency",IF(ISNUMBER(SEARCH(";",H1543)),"Multiple dependencies - verify source queues",IFERROR(XLOOKUP(H1543,C2:C1586,J2:J1586),"Dependency not found")))</x:f>
        <x:v>Not Started</x:v>
      </x:c>
      <x:c r="J1543" s="6" t="str">
        <x:v>Not Started</x:v>
      </x:c>
      <x:c r="K1543" s="6" t="str">
        <x:v>Normal</x:v>
      </x:c>
      <x:c r="L1543" s="6" t="str"/>
      <x:c r="M1543" s="6" t="str"/>
      <x:c r="N1543" s="6" t="str"/>
      <x:c r="O1543" s="7" t="str"/>
      <x:c r="P1543" s="6" t="str">
        <x:v>Yes</x:v>
      </x:c>
      <x:c r="Q1543" s="7" t="str">
        <x:v>Requires stable service identity; preserve observed labor evidence.</x:v>
      </x:c>
    </x:row>
    <x:row r="1544">
      <x:c r="A1544" s="6" t="str">
        <x:v>SEQ-LAB-0272</x:v>
      </x:c>
      <x:c r="B1544" s="6" t="str">
        <x:v>Labor Reference</x:v>
      </x:c>
      <x:c r="C1544" s="6" t="str">
        <x:v>LABX-0272</x:v>
      </x:c>
      <x:c r="D1544" s="6" t="str">
        <x:v>SVC000272</x:v>
      </x:c>
      <x:c r="E1544" s="6" t="str"/>
      <x:c r="F1544" s="6" t="str">
        <x:v>Labor-reference review</x:v>
      </x:c>
      <x:c r="G1544" s="6" t="n">
        <x:v>6</x:v>
      </x:c>
      <x:c r="H1544" s="6" t="str">
        <x:v>SIDX-0272</x:v>
      </x:c>
      <x:c r="I1544" s="6" t="str">
        <x:f>IF(H1544="","No upstream dependency",IF(ISNUMBER(SEARCH(";",H1544)),"Multiple dependencies - verify source queues",IFERROR(XLOOKUP(H1544,C2:C1586,J2:J1586),"Dependency not found")))</x:f>
        <x:v>Not Started</x:v>
      </x:c>
      <x:c r="J1544" s="6" t="str">
        <x:v>Not Started</x:v>
      </x:c>
      <x:c r="K1544" s="6" t="str">
        <x:v>Normal</x:v>
      </x:c>
      <x:c r="L1544" s="6" t="str"/>
      <x:c r="M1544" s="6" t="str"/>
      <x:c r="N1544" s="6" t="str"/>
      <x:c r="O1544" s="7" t="str"/>
      <x:c r="P1544" s="6" t="str">
        <x:v>Yes</x:v>
      </x:c>
      <x:c r="Q1544" s="7" t="str">
        <x:v>Requires stable service identity; preserve observed labor evidence.</x:v>
      </x:c>
    </x:row>
    <x:row r="1545">
      <x:c r="A1545" s="6" t="str">
        <x:v>SEQ-LAB-0273</x:v>
      </x:c>
      <x:c r="B1545" s="6" t="str">
        <x:v>Labor Reference</x:v>
      </x:c>
      <x:c r="C1545" s="6" t="str">
        <x:v>LABX-0273</x:v>
      </x:c>
      <x:c r="D1545" s="6" t="str">
        <x:v>SVC000273</x:v>
      </x:c>
      <x:c r="E1545" s="6" t="str"/>
      <x:c r="F1545" s="6" t="str">
        <x:v>Labor-reference review</x:v>
      </x:c>
      <x:c r="G1545" s="6" t="n">
        <x:v>6</x:v>
      </x:c>
      <x:c r="H1545" s="6" t="str">
        <x:v>SIDX-0273</x:v>
      </x:c>
      <x:c r="I1545" s="6" t="str">
        <x:f>IF(H1545="","No upstream dependency",IF(ISNUMBER(SEARCH(";",H1545)),"Multiple dependencies - verify source queues",IFERROR(XLOOKUP(H1545,C2:C1586,J2:J1586),"Dependency not found")))</x:f>
        <x:v>Not Started</x:v>
      </x:c>
      <x:c r="J1545" s="6" t="str">
        <x:v>Not Started</x:v>
      </x:c>
      <x:c r="K1545" s="6" t="str">
        <x:v>Normal</x:v>
      </x:c>
      <x:c r="L1545" s="6" t="str"/>
      <x:c r="M1545" s="6" t="str"/>
      <x:c r="N1545" s="6" t="str"/>
      <x:c r="O1545" s="7" t="str"/>
      <x:c r="P1545" s="6" t="str">
        <x:v>Yes</x:v>
      </x:c>
      <x:c r="Q1545" s="7" t="str">
        <x:v>Requires stable service identity; preserve observed labor evidence.</x:v>
      </x:c>
    </x:row>
    <x:row r="1546">
      <x:c r="A1546" s="6" t="str">
        <x:v>SEQ-LAB-0274</x:v>
      </x:c>
      <x:c r="B1546" s="6" t="str">
        <x:v>Labor Reference</x:v>
      </x:c>
      <x:c r="C1546" s="6" t="str">
        <x:v>LABX-0274</x:v>
      </x:c>
      <x:c r="D1546" s="6" t="str">
        <x:v>SVC000274</x:v>
      </x:c>
      <x:c r="E1546" s="6" t="str"/>
      <x:c r="F1546" s="6" t="str">
        <x:v>Labor-reference review</x:v>
      </x:c>
      <x:c r="G1546" s="6" t="n">
        <x:v>6</x:v>
      </x:c>
      <x:c r="H1546" s="6" t="str">
        <x:v>SIDX-0274</x:v>
      </x:c>
      <x:c r="I1546" s="6" t="str">
        <x:f>IF(H1546="","No upstream dependency",IF(ISNUMBER(SEARCH(";",H1546)),"Multiple dependencies - verify source queues",IFERROR(XLOOKUP(H1546,C2:C1586,J2:J1586),"Dependency not found")))</x:f>
        <x:v>Not Started</x:v>
      </x:c>
      <x:c r="J1546" s="6" t="str">
        <x:v>Not Started</x:v>
      </x:c>
      <x:c r="K1546" s="6" t="str">
        <x:v>Normal</x:v>
      </x:c>
      <x:c r="L1546" s="6" t="str"/>
      <x:c r="M1546" s="6" t="str"/>
      <x:c r="N1546" s="6" t="str"/>
      <x:c r="O1546" s="7" t="str"/>
      <x:c r="P1546" s="6" t="str">
        <x:v>Yes</x:v>
      </x:c>
      <x:c r="Q1546" s="7" t="str">
        <x:v>Requires stable service identity; preserve observed labor evidence.</x:v>
      </x:c>
    </x:row>
    <x:row r="1547">
      <x:c r="A1547" s="6" t="str">
        <x:v>SEQ-LAB-0275</x:v>
      </x:c>
      <x:c r="B1547" s="6" t="str">
        <x:v>Labor Reference</x:v>
      </x:c>
      <x:c r="C1547" s="6" t="str">
        <x:v>LABX-0275</x:v>
      </x:c>
      <x:c r="D1547" s="6" t="str">
        <x:v>SVC000275</x:v>
      </x:c>
      <x:c r="E1547" s="6" t="str"/>
      <x:c r="F1547" s="6" t="str">
        <x:v>Labor-reference review</x:v>
      </x:c>
      <x:c r="G1547" s="6" t="n">
        <x:v>6</x:v>
      </x:c>
      <x:c r="H1547" s="6" t="str">
        <x:v>SIDX-0275</x:v>
      </x:c>
      <x:c r="I1547" s="6" t="str">
        <x:f>IF(H1547="","No upstream dependency",IF(ISNUMBER(SEARCH(";",H1547)),"Multiple dependencies - verify source queues",IFERROR(XLOOKUP(H1547,C2:C1586,J2:J1586),"Dependency not found")))</x:f>
        <x:v>Not Started</x:v>
      </x:c>
      <x:c r="J1547" s="6" t="str">
        <x:v>Not Started</x:v>
      </x:c>
      <x:c r="K1547" s="6" t="str">
        <x:v>Normal</x:v>
      </x:c>
      <x:c r="L1547" s="6" t="str"/>
      <x:c r="M1547" s="6" t="str"/>
      <x:c r="N1547" s="6" t="str"/>
      <x:c r="O1547" s="7" t="str"/>
      <x:c r="P1547" s="6" t="str">
        <x:v>Yes</x:v>
      </x:c>
      <x:c r="Q1547" s="7" t="str">
        <x:v>Requires stable service identity; preserve observed labor evidence.</x:v>
      </x:c>
    </x:row>
    <x:row r="1548">
      <x:c r="A1548" s="6" t="str">
        <x:v>SEQ-LAB-0276</x:v>
      </x:c>
      <x:c r="B1548" s="6" t="str">
        <x:v>Labor Reference</x:v>
      </x:c>
      <x:c r="C1548" s="6" t="str">
        <x:v>LABX-0276</x:v>
      </x:c>
      <x:c r="D1548" s="6" t="str">
        <x:v>SVC000276</x:v>
      </x:c>
      <x:c r="E1548" s="6" t="str"/>
      <x:c r="F1548" s="6" t="str">
        <x:v>Labor-reference review</x:v>
      </x:c>
      <x:c r="G1548" s="6" t="n">
        <x:v>6</x:v>
      </x:c>
      <x:c r="H1548" s="6" t="str">
        <x:v>SIDX-0276</x:v>
      </x:c>
      <x:c r="I1548" s="6" t="str">
        <x:f>IF(H1548="","No upstream dependency",IF(ISNUMBER(SEARCH(";",H1548)),"Multiple dependencies - verify source queues",IFERROR(XLOOKUP(H1548,C2:C1586,J2:J1586),"Dependency not found")))</x:f>
        <x:v>Not Started</x:v>
      </x:c>
      <x:c r="J1548" s="6" t="str">
        <x:v>Not Started</x:v>
      </x:c>
      <x:c r="K1548" s="6" t="str">
        <x:v>Normal</x:v>
      </x:c>
      <x:c r="L1548" s="6" t="str"/>
      <x:c r="M1548" s="6" t="str"/>
      <x:c r="N1548" s="6" t="str"/>
      <x:c r="O1548" s="7" t="str"/>
      <x:c r="P1548" s="6" t="str">
        <x:v>Yes</x:v>
      </x:c>
      <x:c r="Q1548" s="7" t="str">
        <x:v>Requires stable service identity; preserve observed labor evidence.</x:v>
      </x:c>
    </x:row>
    <x:row r="1549">
      <x:c r="A1549" s="6" t="str">
        <x:v>SEQ-LAB-0277</x:v>
      </x:c>
      <x:c r="B1549" s="6" t="str">
        <x:v>Labor Reference</x:v>
      </x:c>
      <x:c r="C1549" s="6" t="str">
        <x:v>LABX-0277</x:v>
      </x:c>
      <x:c r="D1549" s="6" t="str">
        <x:v>SVC000277</x:v>
      </x:c>
      <x:c r="E1549" s="6" t="str"/>
      <x:c r="F1549" s="6" t="str">
        <x:v>Labor-reference review</x:v>
      </x:c>
      <x:c r="G1549" s="6" t="n">
        <x:v>6</x:v>
      </x:c>
      <x:c r="H1549" s="6" t="str">
        <x:v>SIDX-0277</x:v>
      </x:c>
      <x:c r="I1549" s="6" t="str">
        <x:f>IF(H1549="","No upstream dependency",IF(ISNUMBER(SEARCH(";",H1549)),"Multiple dependencies - verify source queues",IFERROR(XLOOKUP(H1549,C2:C1586,J2:J1586),"Dependency not found")))</x:f>
        <x:v>Not Started</x:v>
      </x:c>
      <x:c r="J1549" s="6" t="str">
        <x:v>Not Started</x:v>
      </x:c>
      <x:c r="K1549" s="6" t="str">
        <x:v>Normal</x:v>
      </x:c>
      <x:c r="L1549" s="6" t="str"/>
      <x:c r="M1549" s="6" t="str"/>
      <x:c r="N1549" s="6" t="str"/>
      <x:c r="O1549" s="7" t="str"/>
      <x:c r="P1549" s="6" t="str">
        <x:v>Yes</x:v>
      </x:c>
      <x:c r="Q1549" s="7" t="str">
        <x:v>Requires stable service identity; preserve observed labor evidence.</x:v>
      </x:c>
    </x:row>
    <x:row r="1550">
      <x:c r="A1550" s="6" t="str">
        <x:v>SEQ-LAB-0278</x:v>
      </x:c>
      <x:c r="B1550" s="6" t="str">
        <x:v>Labor Reference</x:v>
      </x:c>
      <x:c r="C1550" s="6" t="str">
        <x:v>LABX-0278</x:v>
      </x:c>
      <x:c r="D1550" s="6" t="str">
        <x:v>SVC000278</x:v>
      </x:c>
      <x:c r="E1550" s="6" t="str"/>
      <x:c r="F1550" s="6" t="str">
        <x:v>Labor-reference review</x:v>
      </x:c>
      <x:c r="G1550" s="6" t="n">
        <x:v>6</x:v>
      </x:c>
      <x:c r="H1550" s="6" t="str">
        <x:v>SIDX-0278</x:v>
      </x:c>
      <x:c r="I1550" s="6" t="str">
        <x:f>IF(H1550="","No upstream dependency",IF(ISNUMBER(SEARCH(";",H1550)),"Multiple dependencies - verify source queues",IFERROR(XLOOKUP(H1550,C2:C1586,J2:J1586),"Dependency not found")))</x:f>
        <x:v>Not Started</x:v>
      </x:c>
      <x:c r="J1550" s="6" t="str">
        <x:v>Not Started</x:v>
      </x:c>
      <x:c r="K1550" s="6" t="str">
        <x:v>Normal</x:v>
      </x:c>
      <x:c r="L1550" s="6" t="str"/>
      <x:c r="M1550" s="6" t="str"/>
      <x:c r="N1550" s="6" t="str"/>
      <x:c r="O1550" s="7" t="str"/>
      <x:c r="P1550" s="6" t="str">
        <x:v>Yes</x:v>
      </x:c>
      <x:c r="Q1550" s="7" t="str">
        <x:v>Requires stable service identity; preserve observed labor evidence.</x:v>
      </x:c>
    </x:row>
    <x:row r="1551">
      <x:c r="A1551" s="6" t="str">
        <x:v>SEQ-LAB-0279</x:v>
      </x:c>
      <x:c r="B1551" s="6" t="str">
        <x:v>Labor Reference</x:v>
      </x:c>
      <x:c r="C1551" s="6" t="str">
        <x:v>LABX-0279</x:v>
      </x:c>
      <x:c r="D1551" s="6" t="str">
        <x:v>SVC000279</x:v>
      </x:c>
      <x:c r="E1551" s="6" t="str"/>
      <x:c r="F1551" s="6" t="str">
        <x:v>Labor-reference review</x:v>
      </x:c>
      <x:c r="G1551" s="6" t="n">
        <x:v>6</x:v>
      </x:c>
      <x:c r="H1551" s="6" t="str">
        <x:v>SIDX-0279</x:v>
      </x:c>
      <x:c r="I1551" s="6" t="str">
        <x:f>IF(H1551="","No upstream dependency",IF(ISNUMBER(SEARCH(";",H1551)),"Multiple dependencies - verify source queues",IFERROR(XLOOKUP(H1551,C2:C1586,J2:J1586),"Dependency not found")))</x:f>
        <x:v>Not Started</x:v>
      </x:c>
      <x:c r="J1551" s="6" t="str">
        <x:v>Not Started</x:v>
      </x:c>
      <x:c r="K1551" s="6" t="str">
        <x:v>Normal</x:v>
      </x:c>
      <x:c r="L1551" s="6" t="str"/>
      <x:c r="M1551" s="6" t="str"/>
      <x:c r="N1551" s="6" t="str"/>
      <x:c r="O1551" s="7" t="str"/>
      <x:c r="P1551" s="6" t="str">
        <x:v>Yes</x:v>
      </x:c>
      <x:c r="Q1551" s="7" t="str">
        <x:v>Requires stable service identity; preserve observed labor evidence.</x:v>
      </x:c>
    </x:row>
    <x:row r="1552">
      <x:c r="A1552" s="6" t="str">
        <x:v>SEQ-LAB-0280</x:v>
      </x:c>
      <x:c r="B1552" s="6" t="str">
        <x:v>Labor Reference</x:v>
      </x:c>
      <x:c r="C1552" s="6" t="str">
        <x:v>LABX-0280</x:v>
      </x:c>
      <x:c r="D1552" s="6" t="str">
        <x:v>SVC000280</x:v>
      </x:c>
      <x:c r="E1552" s="6" t="str"/>
      <x:c r="F1552" s="6" t="str">
        <x:v>Labor-reference review</x:v>
      </x:c>
      <x:c r="G1552" s="6" t="n">
        <x:v>6</x:v>
      </x:c>
      <x:c r="H1552" s="6" t="str">
        <x:v>SIDX-0280</x:v>
      </x:c>
      <x:c r="I1552" s="6" t="str">
        <x:f>IF(H1552="","No upstream dependency",IF(ISNUMBER(SEARCH(";",H1552)),"Multiple dependencies - verify source queues",IFERROR(XLOOKUP(H1552,C2:C1586,J2:J1586),"Dependency not found")))</x:f>
        <x:v>Not Started</x:v>
      </x:c>
      <x:c r="J1552" s="6" t="str">
        <x:v>Not Started</x:v>
      </x:c>
      <x:c r="K1552" s="6" t="str">
        <x:v>Normal</x:v>
      </x:c>
      <x:c r="L1552" s="6" t="str"/>
      <x:c r="M1552" s="6" t="str"/>
      <x:c r="N1552" s="6" t="str"/>
      <x:c r="O1552" s="7" t="str"/>
      <x:c r="P1552" s="6" t="str">
        <x:v>Yes</x:v>
      </x:c>
      <x:c r="Q1552" s="7" t="str">
        <x:v>Requires stable service identity; preserve observed labor evidence.</x:v>
      </x:c>
    </x:row>
    <x:row r="1553">
      <x:c r="A1553" s="6" t="str">
        <x:v>SEQ-LAB-0281</x:v>
      </x:c>
      <x:c r="B1553" s="6" t="str">
        <x:v>Labor Reference</x:v>
      </x:c>
      <x:c r="C1553" s="6" t="str">
        <x:v>LABX-0281</x:v>
      </x:c>
      <x:c r="D1553" s="6" t="str">
        <x:v>SVC000281</x:v>
      </x:c>
      <x:c r="E1553" s="6" t="str"/>
      <x:c r="F1553" s="6" t="str">
        <x:v>Labor-reference review</x:v>
      </x:c>
      <x:c r="G1553" s="6" t="n">
        <x:v>6</x:v>
      </x:c>
      <x:c r="H1553" s="6" t="str">
        <x:v>SIDX-0281</x:v>
      </x:c>
      <x:c r="I1553" s="6" t="str">
        <x:f>IF(H1553="","No upstream dependency",IF(ISNUMBER(SEARCH(";",H1553)),"Multiple dependencies - verify source queues",IFERROR(XLOOKUP(H1553,C2:C1586,J2:J1586),"Dependency not found")))</x:f>
        <x:v>Not Started</x:v>
      </x:c>
      <x:c r="J1553" s="6" t="str">
        <x:v>Not Started</x:v>
      </x:c>
      <x:c r="K1553" s="6" t="str">
        <x:v>Normal</x:v>
      </x:c>
      <x:c r="L1553" s="6" t="str"/>
      <x:c r="M1553" s="6" t="str"/>
      <x:c r="N1553" s="6" t="str"/>
      <x:c r="O1553" s="7" t="str"/>
      <x:c r="P1553" s="6" t="str">
        <x:v>Yes</x:v>
      </x:c>
      <x:c r="Q1553" s="7" t="str">
        <x:v>Requires stable service identity; preserve observed labor evidence.</x:v>
      </x:c>
    </x:row>
    <x:row r="1554">
      <x:c r="A1554" s="6" t="str">
        <x:v>SEQ-LAB-0282</x:v>
      </x:c>
      <x:c r="B1554" s="6" t="str">
        <x:v>Labor Reference</x:v>
      </x:c>
      <x:c r="C1554" s="6" t="str">
        <x:v>LABX-0282</x:v>
      </x:c>
      <x:c r="D1554" s="6" t="str">
        <x:v>SVC000282</x:v>
      </x:c>
      <x:c r="E1554" s="6" t="str"/>
      <x:c r="F1554" s="6" t="str">
        <x:v>Labor-reference review</x:v>
      </x:c>
      <x:c r="G1554" s="6" t="n">
        <x:v>6</x:v>
      </x:c>
      <x:c r="H1554" s="6" t="str">
        <x:v>SIDX-0282</x:v>
      </x:c>
      <x:c r="I1554" s="6" t="str">
        <x:f>IF(H1554="","No upstream dependency",IF(ISNUMBER(SEARCH(";",H1554)),"Multiple dependencies - verify source queues",IFERROR(XLOOKUP(H1554,C2:C1586,J2:J1586),"Dependency not found")))</x:f>
        <x:v>Not Started</x:v>
      </x:c>
      <x:c r="J1554" s="6" t="str">
        <x:v>Not Started</x:v>
      </x:c>
      <x:c r="K1554" s="6" t="str">
        <x:v>Normal</x:v>
      </x:c>
      <x:c r="L1554" s="6" t="str"/>
      <x:c r="M1554" s="6" t="str"/>
      <x:c r="N1554" s="6" t="str"/>
      <x:c r="O1554" s="7" t="str"/>
      <x:c r="P1554" s="6" t="str">
        <x:v>Yes</x:v>
      </x:c>
      <x:c r="Q1554" s="7" t="str">
        <x:v>Requires stable service identity; preserve observed labor evidence.</x:v>
      </x:c>
    </x:row>
    <x:row r="1555">
      <x:c r="A1555" s="6" t="str">
        <x:v>SEQ-LAB-0283</x:v>
      </x:c>
      <x:c r="B1555" s="6" t="str">
        <x:v>Labor Reference</x:v>
      </x:c>
      <x:c r="C1555" s="6" t="str">
        <x:v>LABX-0283</x:v>
      </x:c>
      <x:c r="D1555" s="6" t="str">
        <x:v>SVC000283</x:v>
      </x:c>
      <x:c r="E1555" s="6" t="str"/>
      <x:c r="F1555" s="6" t="str">
        <x:v>Labor-reference review</x:v>
      </x:c>
      <x:c r="G1555" s="6" t="n">
        <x:v>6</x:v>
      </x:c>
      <x:c r="H1555" s="6" t="str">
        <x:v>SIDX-0283</x:v>
      </x:c>
      <x:c r="I1555" s="6" t="str">
        <x:f>IF(H1555="","No upstream dependency",IF(ISNUMBER(SEARCH(";",H1555)),"Multiple dependencies - verify source queues",IFERROR(XLOOKUP(H1555,C2:C1586,J2:J1586),"Dependency not found")))</x:f>
        <x:v>Not Started</x:v>
      </x:c>
      <x:c r="J1555" s="6" t="str">
        <x:v>Not Started</x:v>
      </x:c>
      <x:c r="K1555" s="6" t="str">
        <x:v>Normal</x:v>
      </x:c>
      <x:c r="L1555" s="6" t="str"/>
      <x:c r="M1555" s="6" t="str"/>
      <x:c r="N1555" s="6" t="str"/>
      <x:c r="O1555" s="7" t="str"/>
      <x:c r="P1555" s="6" t="str">
        <x:v>Yes</x:v>
      </x:c>
      <x:c r="Q1555" s="7" t="str">
        <x:v>Requires stable service identity; preserve observed labor evidence.</x:v>
      </x:c>
    </x:row>
    <x:row r="1556">
      <x:c r="A1556" s="6" t="str">
        <x:v>SEQ-LAB-0284</x:v>
      </x:c>
      <x:c r="B1556" s="6" t="str">
        <x:v>Labor Reference</x:v>
      </x:c>
      <x:c r="C1556" s="6" t="str">
        <x:v>LABX-0284</x:v>
      </x:c>
      <x:c r="D1556" s="6" t="str">
        <x:v>SVC000284</x:v>
      </x:c>
      <x:c r="E1556" s="6" t="str"/>
      <x:c r="F1556" s="6" t="str">
        <x:v>Labor-reference review</x:v>
      </x:c>
      <x:c r="G1556" s="6" t="n">
        <x:v>6</x:v>
      </x:c>
      <x:c r="H1556" s="6" t="str">
        <x:v>SIDX-0284</x:v>
      </x:c>
      <x:c r="I1556" s="6" t="str">
        <x:f>IF(H1556="","No upstream dependency",IF(ISNUMBER(SEARCH(";",H1556)),"Multiple dependencies - verify source queues",IFERROR(XLOOKUP(H1556,C2:C1586,J2:J1586),"Dependency not found")))</x:f>
        <x:v>Not Started</x:v>
      </x:c>
      <x:c r="J1556" s="6" t="str">
        <x:v>Not Started</x:v>
      </x:c>
      <x:c r="K1556" s="6" t="str">
        <x:v>Normal</x:v>
      </x:c>
      <x:c r="L1556" s="6" t="str"/>
      <x:c r="M1556" s="6" t="str"/>
      <x:c r="N1556" s="6" t="str"/>
      <x:c r="O1556" s="7" t="str"/>
      <x:c r="P1556" s="6" t="str">
        <x:v>Yes</x:v>
      </x:c>
      <x:c r="Q1556" s="7" t="str">
        <x:v>Requires stable service identity; preserve observed labor evidence.</x:v>
      </x:c>
    </x:row>
    <x:row r="1557">
      <x:c r="A1557" s="6" t="str">
        <x:v>SEQ-LAB-0285</x:v>
      </x:c>
      <x:c r="B1557" s="6" t="str">
        <x:v>Labor Reference</x:v>
      </x:c>
      <x:c r="C1557" s="6" t="str">
        <x:v>LABX-0285</x:v>
      </x:c>
      <x:c r="D1557" s="6" t="str">
        <x:v>SVC000285</x:v>
      </x:c>
      <x:c r="E1557" s="6" t="str"/>
      <x:c r="F1557" s="6" t="str">
        <x:v>Labor-reference review</x:v>
      </x:c>
      <x:c r="G1557" s="6" t="n">
        <x:v>6</x:v>
      </x:c>
      <x:c r="H1557" s="6" t="str">
        <x:v>SIDX-0285</x:v>
      </x:c>
      <x:c r="I1557" s="6" t="str">
        <x:f>IF(H1557="","No upstream dependency",IF(ISNUMBER(SEARCH(";",H1557)),"Multiple dependencies - verify source queues",IFERROR(XLOOKUP(H1557,C2:C1586,J2:J1586),"Dependency not found")))</x:f>
        <x:v>Not Started</x:v>
      </x:c>
      <x:c r="J1557" s="6" t="str">
        <x:v>Not Started</x:v>
      </x:c>
      <x:c r="K1557" s="6" t="str">
        <x:v>Normal</x:v>
      </x:c>
      <x:c r="L1557" s="6" t="str"/>
      <x:c r="M1557" s="6" t="str"/>
      <x:c r="N1557" s="6" t="str"/>
      <x:c r="O1557" s="7" t="str"/>
      <x:c r="P1557" s="6" t="str">
        <x:v>Yes</x:v>
      </x:c>
      <x:c r="Q1557" s="7" t="str">
        <x:v>Requires stable service identity; preserve observed labor evidence.</x:v>
      </x:c>
    </x:row>
    <x:row r="1558">
      <x:c r="A1558" s="6" t="str">
        <x:v>SEQ-LAB-0286</x:v>
      </x:c>
      <x:c r="B1558" s="6" t="str">
        <x:v>Labor Reference</x:v>
      </x:c>
      <x:c r="C1558" s="6" t="str">
        <x:v>LABX-0286</x:v>
      </x:c>
      <x:c r="D1558" s="6" t="str">
        <x:v>SVC000286</x:v>
      </x:c>
      <x:c r="E1558" s="6" t="str"/>
      <x:c r="F1558" s="6" t="str">
        <x:v>Labor-reference review</x:v>
      </x:c>
      <x:c r="G1558" s="6" t="n">
        <x:v>6</x:v>
      </x:c>
      <x:c r="H1558" s="6" t="str">
        <x:v>SIDX-0286</x:v>
      </x:c>
      <x:c r="I1558" s="6" t="str">
        <x:f>IF(H1558="","No upstream dependency",IF(ISNUMBER(SEARCH(";",H1558)),"Multiple dependencies - verify source queues",IFERROR(XLOOKUP(H1558,C2:C1586,J2:J1586),"Dependency not found")))</x:f>
        <x:v>Not Started</x:v>
      </x:c>
      <x:c r="J1558" s="6" t="str">
        <x:v>Not Started</x:v>
      </x:c>
      <x:c r="K1558" s="6" t="str">
        <x:v>Normal</x:v>
      </x:c>
      <x:c r="L1558" s="6" t="str"/>
      <x:c r="M1558" s="6" t="str"/>
      <x:c r="N1558" s="6" t="str"/>
      <x:c r="O1558" s="7" t="str"/>
      <x:c r="P1558" s="6" t="str">
        <x:v>Yes</x:v>
      </x:c>
      <x:c r="Q1558" s="7" t="str">
        <x:v>Requires stable service identity; preserve observed labor evidence.</x:v>
      </x:c>
    </x:row>
    <x:row r="1559">
      <x:c r="A1559" s="6" t="str">
        <x:v>SEQ-LAB-0287</x:v>
      </x:c>
      <x:c r="B1559" s="6" t="str">
        <x:v>Labor Reference</x:v>
      </x:c>
      <x:c r="C1559" s="6" t="str">
        <x:v>LABX-0287</x:v>
      </x:c>
      <x:c r="D1559" s="6" t="str">
        <x:v>SVC000287</x:v>
      </x:c>
      <x:c r="E1559" s="6" t="str"/>
      <x:c r="F1559" s="6" t="str">
        <x:v>Labor-reference review</x:v>
      </x:c>
      <x:c r="G1559" s="6" t="n">
        <x:v>6</x:v>
      </x:c>
      <x:c r="H1559" s="6" t="str">
        <x:v>SIDX-0287</x:v>
      </x:c>
      <x:c r="I1559" s="6" t="str">
        <x:f>IF(H1559="","No upstream dependency",IF(ISNUMBER(SEARCH(";",H1559)),"Multiple dependencies - verify source queues",IFERROR(XLOOKUP(H1559,C2:C1586,J2:J1586),"Dependency not found")))</x:f>
        <x:v>Not Started</x:v>
      </x:c>
      <x:c r="J1559" s="6" t="str">
        <x:v>Not Started</x:v>
      </x:c>
      <x:c r="K1559" s="6" t="str">
        <x:v>Normal</x:v>
      </x:c>
      <x:c r="L1559" s="6" t="str"/>
      <x:c r="M1559" s="6" t="str"/>
      <x:c r="N1559" s="6" t="str"/>
      <x:c r="O1559" s="7" t="str"/>
      <x:c r="P1559" s="6" t="str">
        <x:v>Yes</x:v>
      </x:c>
      <x:c r="Q1559" s="7" t="str">
        <x:v>Requires stable service identity; preserve observed labor evidence.</x:v>
      </x:c>
    </x:row>
    <x:row r="1560">
      <x:c r="A1560" s="6" t="str">
        <x:v>SEQ-LAB-0288</x:v>
      </x:c>
      <x:c r="B1560" s="6" t="str">
        <x:v>Labor Reference</x:v>
      </x:c>
      <x:c r="C1560" s="6" t="str">
        <x:v>LABX-0288</x:v>
      </x:c>
      <x:c r="D1560" s="6" t="str">
        <x:v>SVC000288</x:v>
      </x:c>
      <x:c r="E1560" s="6" t="str"/>
      <x:c r="F1560" s="6" t="str">
        <x:v>Labor-reference review</x:v>
      </x:c>
      <x:c r="G1560" s="6" t="n">
        <x:v>6</x:v>
      </x:c>
      <x:c r="H1560" s="6" t="str">
        <x:v>SIDX-0288</x:v>
      </x:c>
      <x:c r="I1560" s="6" t="str">
        <x:f>IF(H1560="","No upstream dependency",IF(ISNUMBER(SEARCH(";",H1560)),"Multiple dependencies - verify source queues",IFERROR(XLOOKUP(H1560,C2:C1586,J2:J1586),"Dependency not found")))</x:f>
        <x:v>Not Started</x:v>
      </x:c>
      <x:c r="J1560" s="6" t="str">
        <x:v>Not Started</x:v>
      </x:c>
      <x:c r="K1560" s="6" t="str">
        <x:v>Normal</x:v>
      </x:c>
      <x:c r="L1560" s="6" t="str"/>
      <x:c r="M1560" s="6" t="str"/>
      <x:c r="N1560" s="6" t="str"/>
      <x:c r="O1560" s="7" t="str"/>
      <x:c r="P1560" s="6" t="str">
        <x:v>Yes</x:v>
      </x:c>
      <x:c r="Q1560" s="7" t="str">
        <x:v>Requires stable service identity; preserve observed labor evidence.</x:v>
      </x:c>
    </x:row>
    <x:row r="1561">
      <x:c r="A1561" s="6" t="str">
        <x:v>SEQ-LAB-0289</x:v>
      </x:c>
      <x:c r="B1561" s="6" t="str">
        <x:v>Labor Reference</x:v>
      </x:c>
      <x:c r="C1561" s="6" t="str">
        <x:v>LABX-0289</x:v>
      </x:c>
      <x:c r="D1561" s="6" t="str">
        <x:v>SVC000289</x:v>
      </x:c>
      <x:c r="E1561" s="6" t="str"/>
      <x:c r="F1561" s="6" t="str">
        <x:v>Labor-reference review</x:v>
      </x:c>
      <x:c r="G1561" s="6" t="n">
        <x:v>6</x:v>
      </x:c>
      <x:c r="H1561" s="6" t="str">
        <x:v>SIDX-0289</x:v>
      </x:c>
      <x:c r="I1561" s="6" t="str">
        <x:f>IF(H1561="","No upstream dependency",IF(ISNUMBER(SEARCH(";",H1561)),"Multiple dependencies - verify source queues",IFERROR(XLOOKUP(H1561,C2:C1586,J2:J1586),"Dependency not found")))</x:f>
        <x:v>Not Started</x:v>
      </x:c>
      <x:c r="J1561" s="6" t="str">
        <x:v>Not Started</x:v>
      </x:c>
      <x:c r="K1561" s="6" t="str">
        <x:v>Normal</x:v>
      </x:c>
      <x:c r="L1561" s="6" t="str"/>
      <x:c r="M1561" s="6" t="str"/>
      <x:c r="N1561" s="6" t="str"/>
      <x:c r="O1561" s="7" t="str"/>
      <x:c r="P1561" s="6" t="str">
        <x:v>Yes</x:v>
      </x:c>
      <x:c r="Q1561" s="7" t="str">
        <x:v>Requires stable service identity; preserve observed labor evidence.</x:v>
      </x:c>
    </x:row>
    <x:row r="1562">
      <x:c r="A1562" s="6" t="str">
        <x:v>SEQ-LAB-0290</x:v>
      </x:c>
      <x:c r="B1562" s="6" t="str">
        <x:v>Labor Reference</x:v>
      </x:c>
      <x:c r="C1562" s="6" t="str">
        <x:v>LABX-0290</x:v>
      </x:c>
      <x:c r="D1562" s="6" t="str">
        <x:v>SVC000290</x:v>
      </x:c>
      <x:c r="E1562" s="6" t="str"/>
      <x:c r="F1562" s="6" t="str">
        <x:v>Labor-reference review</x:v>
      </x:c>
      <x:c r="G1562" s="6" t="n">
        <x:v>6</x:v>
      </x:c>
      <x:c r="H1562" s="6" t="str">
        <x:v>SIDX-0290</x:v>
      </x:c>
      <x:c r="I1562" s="6" t="str">
        <x:f>IF(H1562="","No upstream dependency",IF(ISNUMBER(SEARCH(";",H1562)),"Multiple dependencies - verify source queues",IFERROR(XLOOKUP(H1562,C2:C1586,J2:J1586),"Dependency not found")))</x:f>
        <x:v>Not Started</x:v>
      </x:c>
      <x:c r="J1562" s="6" t="str">
        <x:v>Not Started</x:v>
      </x:c>
      <x:c r="K1562" s="6" t="str">
        <x:v>Normal</x:v>
      </x:c>
      <x:c r="L1562" s="6" t="str"/>
      <x:c r="M1562" s="6" t="str"/>
      <x:c r="N1562" s="6" t="str"/>
      <x:c r="O1562" s="7" t="str"/>
      <x:c r="P1562" s="6" t="str">
        <x:v>Yes</x:v>
      </x:c>
      <x:c r="Q1562" s="7" t="str">
        <x:v>Requires stable service identity; preserve observed labor evidence.</x:v>
      </x:c>
    </x:row>
    <x:row r="1563">
      <x:c r="A1563" s="6" t="str">
        <x:v>SEQ-LAB-0291</x:v>
      </x:c>
      <x:c r="B1563" s="6" t="str">
        <x:v>Labor Reference</x:v>
      </x:c>
      <x:c r="C1563" s="6" t="str">
        <x:v>LABX-0291</x:v>
      </x:c>
      <x:c r="D1563" s="6" t="str">
        <x:v>SVC000291</x:v>
      </x:c>
      <x:c r="E1563" s="6" t="str"/>
      <x:c r="F1563" s="6" t="str">
        <x:v>Labor-reference review</x:v>
      </x:c>
      <x:c r="G1563" s="6" t="n">
        <x:v>6</x:v>
      </x:c>
      <x:c r="H1563" s="6" t="str">
        <x:v>SIDX-0291</x:v>
      </x:c>
      <x:c r="I1563" s="6" t="str">
        <x:f>IF(H1563="","No upstream dependency",IF(ISNUMBER(SEARCH(";",H1563)),"Multiple dependencies - verify source queues",IFERROR(XLOOKUP(H1563,C2:C1586,J2:J1586),"Dependency not found")))</x:f>
        <x:v>Not Started</x:v>
      </x:c>
      <x:c r="J1563" s="6" t="str">
        <x:v>Not Started</x:v>
      </x:c>
      <x:c r="K1563" s="6" t="str">
        <x:v>Normal</x:v>
      </x:c>
      <x:c r="L1563" s="6" t="str"/>
      <x:c r="M1563" s="6" t="str"/>
      <x:c r="N1563" s="6" t="str"/>
      <x:c r="O1563" s="7" t="str"/>
      <x:c r="P1563" s="6" t="str">
        <x:v>Yes</x:v>
      </x:c>
      <x:c r="Q1563" s="7" t="str">
        <x:v>Requires stable service identity; preserve observed labor evidence.</x:v>
      </x:c>
    </x:row>
    <x:row r="1564">
      <x:c r="A1564" s="6" t="str">
        <x:v>SEQ-LAB-0292</x:v>
      </x:c>
      <x:c r="B1564" s="6" t="str">
        <x:v>Labor Reference</x:v>
      </x:c>
      <x:c r="C1564" s="6" t="str">
        <x:v>LABX-0292</x:v>
      </x:c>
      <x:c r="D1564" s="6" t="str">
        <x:v>SVC000292</x:v>
      </x:c>
      <x:c r="E1564" s="6" t="str"/>
      <x:c r="F1564" s="6" t="str">
        <x:v>Labor-reference review</x:v>
      </x:c>
      <x:c r="G1564" s="6" t="n">
        <x:v>6</x:v>
      </x:c>
      <x:c r="H1564" s="6" t="str">
        <x:v>SIDX-0292</x:v>
      </x:c>
      <x:c r="I1564" s="6" t="str">
        <x:f>IF(H1564="","No upstream dependency",IF(ISNUMBER(SEARCH(";",H1564)),"Multiple dependencies - verify source queues",IFERROR(XLOOKUP(H1564,C2:C1586,J2:J1586),"Dependency not found")))</x:f>
        <x:v>Not Started</x:v>
      </x:c>
      <x:c r="J1564" s="6" t="str">
        <x:v>Not Started</x:v>
      </x:c>
      <x:c r="K1564" s="6" t="str">
        <x:v>Normal</x:v>
      </x:c>
      <x:c r="L1564" s="6" t="str"/>
      <x:c r="M1564" s="6" t="str"/>
      <x:c r="N1564" s="6" t="str"/>
      <x:c r="O1564" s="7" t="str"/>
      <x:c r="P1564" s="6" t="str">
        <x:v>Yes</x:v>
      </x:c>
      <x:c r="Q1564" s="7" t="str">
        <x:v>Requires stable service identity; preserve observed labor evidence.</x:v>
      </x:c>
    </x:row>
    <x:row r="1565">
      <x:c r="A1565" s="6" t="str">
        <x:v>SEQ-LAB-0293</x:v>
      </x:c>
      <x:c r="B1565" s="6" t="str">
        <x:v>Labor Reference</x:v>
      </x:c>
      <x:c r="C1565" s="6" t="str">
        <x:v>LABX-0293</x:v>
      </x:c>
      <x:c r="D1565" s="6" t="str">
        <x:v>SVC000293</x:v>
      </x:c>
      <x:c r="E1565" s="6" t="str"/>
      <x:c r="F1565" s="6" t="str">
        <x:v>Labor-reference review</x:v>
      </x:c>
      <x:c r="G1565" s="6" t="n">
        <x:v>6</x:v>
      </x:c>
      <x:c r="H1565" s="6" t="str">
        <x:v>SIDX-0293</x:v>
      </x:c>
      <x:c r="I1565" s="6" t="str">
        <x:f>IF(H1565="","No upstream dependency",IF(ISNUMBER(SEARCH(";",H1565)),"Multiple dependencies - verify source queues",IFERROR(XLOOKUP(H1565,C2:C1586,J2:J1586),"Dependency not found")))</x:f>
        <x:v>Not Started</x:v>
      </x:c>
      <x:c r="J1565" s="6" t="str">
        <x:v>Not Started</x:v>
      </x:c>
      <x:c r="K1565" s="6" t="str">
        <x:v>Normal</x:v>
      </x:c>
      <x:c r="L1565" s="6" t="str"/>
      <x:c r="M1565" s="6" t="str"/>
      <x:c r="N1565" s="6" t="str"/>
      <x:c r="O1565" s="7" t="str"/>
      <x:c r="P1565" s="6" t="str">
        <x:v>Yes</x:v>
      </x:c>
      <x:c r="Q1565" s="7" t="str">
        <x:v>Requires stable service identity; preserve observed labor evidence.</x:v>
      </x:c>
    </x:row>
    <x:row r="1566">
      <x:c r="A1566" s="6" t="str">
        <x:v>SEQ-LAB-0294</x:v>
      </x:c>
      <x:c r="B1566" s="6" t="str">
        <x:v>Labor Reference</x:v>
      </x:c>
      <x:c r="C1566" s="6" t="str">
        <x:v>LABX-0294</x:v>
      </x:c>
      <x:c r="D1566" s="6" t="str">
        <x:v>SVC000294</x:v>
      </x:c>
      <x:c r="E1566" s="6" t="str"/>
      <x:c r="F1566" s="6" t="str">
        <x:v>Labor-reference review</x:v>
      </x:c>
      <x:c r="G1566" s="6" t="n">
        <x:v>6</x:v>
      </x:c>
      <x:c r="H1566" s="6" t="str">
        <x:v>SIDX-0294</x:v>
      </x:c>
      <x:c r="I1566" s="6" t="str">
        <x:f>IF(H1566="","No upstream dependency",IF(ISNUMBER(SEARCH(";",H1566)),"Multiple dependencies - verify source queues",IFERROR(XLOOKUP(H1566,C2:C1586,J2:J1586),"Dependency not found")))</x:f>
        <x:v>Not Started</x:v>
      </x:c>
      <x:c r="J1566" s="6" t="str">
        <x:v>Not Started</x:v>
      </x:c>
      <x:c r="K1566" s="6" t="str">
        <x:v>Normal</x:v>
      </x:c>
      <x:c r="L1566" s="6" t="str"/>
      <x:c r="M1566" s="6" t="str"/>
      <x:c r="N1566" s="6" t="str"/>
      <x:c r="O1566" s="7" t="str"/>
      <x:c r="P1566" s="6" t="str">
        <x:v>Yes</x:v>
      </x:c>
      <x:c r="Q1566" s="7" t="str">
        <x:v>Requires stable service identity; preserve observed labor evidence.</x:v>
      </x:c>
    </x:row>
    <x:row r="1567">
      <x:c r="A1567" s="6" t="str">
        <x:v>SEQ-LAB-0295</x:v>
      </x:c>
      <x:c r="B1567" s="6" t="str">
        <x:v>Labor Reference</x:v>
      </x:c>
      <x:c r="C1567" s="6" t="str">
        <x:v>LABX-0295</x:v>
      </x:c>
      <x:c r="D1567" s="6" t="str">
        <x:v>SVC000295</x:v>
      </x:c>
      <x:c r="E1567" s="6" t="str"/>
      <x:c r="F1567" s="6" t="str">
        <x:v>Labor-reference review</x:v>
      </x:c>
      <x:c r="G1567" s="6" t="n">
        <x:v>6</x:v>
      </x:c>
      <x:c r="H1567" s="6" t="str">
        <x:v>SIDX-0295</x:v>
      </x:c>
      <x:c r="I1567" s="6" t="str">
        <x:f>IF(H1567="","No upstream dependency",IF(ISNUMBER(SEARCH(";",H1567)),"Multiple dependencies - verify source queues",IFERROR(XLOOKUP(H1567,C2:C1586,J2:J1586),"Dependency not found")))</x:f>
        <x:v>Not Started</x:v>
      </x:c>
      <x:c r="J1567" s="6" t="str">
        <x:v>Not Started</x:v>
      </x:c>
      <x:c r="K1567" s="6" t="str">
        <x:v>Normal</x:v>
      </x:c>
      <x:c r="L1567" s="6" t="str"/>
      <x:c r="M1567" s="6" t="str"/>
      <x:c r="N1567" s="6" t="str"/>
      <x:c r="O1567" s="7" t="str"/>
      <x:c r="P1567" s="6" t="str">
        <x:v>Yes</x:v>
      </x:c>
      <x:c r="Q1567" s="7" t="str">
        <x:v>Requires stable service identity; preserve observed labor evidence.</x:v>
      </x:c>
    </x:row>
    <x:row r="1568">
      <x:c r="A1568" s="6" t="str">
        <x:v>SEQ-LAB-0296</x:v>
      </x:c>
      <x:c r="B1568" s="6" t="str">
        <x:v>Labor Reference</x:v>
      </x:c>
      <x:c r="C1568" s="6" t="str">
        <x:v>LABX-0296</x:v>
      </x:c>
      <x:c r="D1568" s="6" t="str">
        <x:v>SVC000296</x:v>
      </x:c>
      <x:c r="E1568" s="6" t="str"/>
      <x:c r="F1568" s="6" t="str">
        <x:v>Labor-reference review</x:v>
      </x:c>
      <x:c r="G1568" s="6" t="n">
        <x:v>6</x:v>
      </x:c>
      <x:c r="H1568" s="6" t="str">
        <x:v>SIDX-0296</x:v>
      </x:c>
      <x:c r="I1568" s="6" t="str">
        <x:f>IF(H1568="","No upstream dependency",IF(ISNUMBER(SEARCH(";",H1568)),"Multiple dependencies - verify source queues",IFERROR(XLOOKUP(H1568,C2:C1586,J2:J1586),"Dependency not found")))</x:f>
        <x:v>Not Started</x:v>
      </x:c>
      <x:c r="J1568" s="6" t="str">
        <x:v>Not Started</x:v>
      </x:c>
      <x:c r="K1568" s="6" t="str">
        <x:v>Normal</x:v>
      </x:c>
      <x:c r="L1568" s="6" t="str"/>
      <x:c r="M1568" s="6" t="str"/>
      <x:c r="N1568" s="6" t="str"/>
      <x:c r="O1568" s="7" t="str"/>
      <x:c r="P1568" s="6" t="str">
        <x:v>Yes</x:v>
      </x:c>
      <x:c r="Q1568" s="7" t="str">
        <x:v>Requires stable service identity; preserve observed labor evidence.</x:v>
      </x:c>
    </x:row>
    <x:row r="1569">
      <x:c r="A1569" s="6" t="str">
        <x:v>SEQ-LAB-0297</x:v>
      </x:c>
      <x:c r="B1569" s="6" t="str">
        <x:v>Labor Reference</x:v>
      </x:c>
      <x:c r="C1569" s="6" t="str">
        <x:v>LABX-0297</x:v>
      </x:c>
      <x:c r="D1569" s="6" t="str">
        <x:v>SVC000297</x:v>
      </x:c>
      <x:c r="E1569" s="6" t="str"/>
      <x:c r="F1569" s="6" t="str">
        <x:v>Labor-reference review</x:v>
      </x:c>
      <x:c r="G1569" s="6" t="n">
        <x:v>6</x:v>
      </x:c>
      <x:c r="H1569" s="6" t="str">
        <x:v>SIDX-0297</x:v>
      </x:c>
      <x:c r="I1569" s="6" t="str">
        <x:f>IF(H1569="","No upstream dependency",IF(ISNUMBER(SEARCH(";",H1569)),"Multiple dependencies - verify source queues",IFERROR(XLOOKUP(H1569,C2:C1586,J2:J1586),"Dependency not found")))</x:f>
        <x:v>Not Started</x:v>
      </x:c>
      <x:c r="J1569" s="6" t="str">
        <x:v>Not Started</x:v>
      </x:c>
      <x:c r="K1569" s="6" t="str">
        <x:v>Normal</x:v>
      </x:c>
      <x:c r="L1569" s="6" t="str"/>
      <x:c r="M1569" s="6" t="str"/>
      <x:c r="N1569" s="6" t="str"/>
      <x:c r="O1569" s="7" t="str"/>
      <x:c r="P1569" s="6" t="str">
        <x:v>Yes</x:v>
      </x:c>
      <x:c r="Q1569" s="7" t="str">
        <x:v>Requires stable service identity; preserve observed labor evidence.</x:v>
      </x:c>
    </x:row>
    <x:row r="1570">
      <x:c r="A1570" s="6" t="str">
        <x:v>SEQ-LAB-0298</x:v>
      </x:c>
      <x:c r="B1570" s="6" t="str">
        <x:v>Labor Reference</x:v>
      </x:c>
      <x:c r="C1570" s="6" t="str">
        <x:v>LABX-0298</x:v>
      </x:c>
      <x:c r="D1570" s="6" t="str">
        <x:v>SVC000298</x:v>
      </x:c>
      <x:c r="E1570" s="6" t="str"/>
      <x:c r="F1570" s="6" t="str">
        <x:v>Labor-reference review</x:v>
      </x:c>
      <x:c r="G1570" s="6" t="n">
        <x:v>6</x:v>
      </x:c>
      <x:c r="H1570" s="6" t="str">
        <x:v>SIDX-0298</x:v>
      </x:c>
      <x:c r="I1570" s="6" t="str">
        <x:f>IF(H1570="","No upstream dependency",IF(ISNUMBER(SEARCH(";",H1570)),"Multiple dependencies - verify source queues",IFERROR(XLOOKUP(H1570,C2:C1586,J2:J1586),"Dependency not found")))</x:f>
        <x:v>Not Started</x:v>
      </x:c>
      <x:c r="J1570" s="6" t="str">
        <x:v>Not Started</x:v>
      </x:c>
      <x:c r="K1570" s="6" t="str">
        <x:v>Normal</x:v>
      </x:c>
      <x:c r="L1570" s="6" t="str"/>
      <x:c r="M1570" s="6" t="str"/>
      <x:c r="N1570" s="6" t="str"/>
      <x:c r="O1570" s="7" t="str"/>
      <x:c r="P1570" s="6" t="str">
        <x:v>Yes</x:v>
      </x:c>
      <x:c r="Q1570" s="7" t="str">
        <x:v>Requires stable service identity; preserve observed labor evidence.</x:v>
      </x:c>
    </x:row>
    <x:row r="1571">
      <x:c r="A1571" s="6" t="str">
        <x:v>SEQ-LAB-0299</x:v>
      </x:c>
      <x:c r="B1571" s="6" t="str">
        <x:v>Labor Reference</x:v>
      </x:c>
      <x:c r="C1571" s="6" t="str">
        <x:v>LABX-0299</x:v>
      </x:c>
      <x:c r="D1571" s="6" t="str">
        <x:v>SVC000299</x:v>
      </x:c>
      <x:c r="E1571" s="6" t="str"/>
      <x:c r="F1571" s="6" t="str">
        <x:v>Labor-reference review</x:v>
      </x:c>
      <x:c r="G1571" s="6" t="n">
        <x:v>6</x:v>
      </x:c>
      <x:c r="H1571" s="6" t="str">
        <x:v>SIDX-0299</x:v>
      </x:c>
      <x:c r="I1571" s="6" t="str">
        <x:f>IF(H1571="","No upstream dependency",IF(ISNUMBER(SEARCH(";",H1571)),"Multiple dependencies - verify source queues",IFERROR(XLOOKUP(H1571,C2:C1586,J2:J1586),"Dependency not found")))</x:f>
        <x:v>Not Started</x:v>
      </x:c>
      <x:c r="J1571" s="6" t="str">
        <x:v>Not Started</x:v>
      </x:c>
      <x:c r="K1571" s="6" t="str">
        <x:v>Normal</x:v>
      </x:c>
      <x:c r="L1571" s="6" t="str"/>
      <x:c r="M1571" s="6" t="str"/>
      <x:c r="N1571" s="6" t="str"/>
      <x:c r="O1571" s="7" t="str"/>
      <x:c r="P1571" s="6" t="str">
        <x:v>Yes</x:v>
      </x:c>
      <x:c r="Q1571" s="7" t="str">
        <x:v>Requires stable service identity; preserve observed labor evidence.</x:v>
      </x:c>
    </x:row>
    <x:row r="1572">
      <x:c r="A1572" s="6" t="str">
        <x:v>SEQ-LAB-0300</x:v>
      </x:c>
      <x:c r="B1572" s="6" t="str">
        <x:v>Labor Reference</x:v>
      </x:c>
      <x:c r="C1572" s="6" t="str">
        <x:v>LABX-0300</x:v>
      </x:c>
      <x:c r="D1572" s="6" t="str">
        <x:v>SVC000300</x:v>
      </x:c>
      <x:c r="E1572" s="6" t="str"/>
      <x:c r="F1572" s="6" t="str">
        <x:v>Labor-reference review</x:v>
      </x:c>
      <x:c r="G1572" s="6" t="n">
        <x:v>6</x:v>
      </x:c>
      <x:c r="H1572" s="6" t="str">
        <x:v>SIDX-0300</x:v>
      </x:c>
      <x:c r="I1572" s="6" t="str">
        <x:f>IF(H1572="","No upstream dependency",IF(ISNUMBER(SEARCH(";",H1572)),"Multiple dependencies - verify source queues",IFERROR(XLOOKUP(H1572,C2:C1586,J2:J1586),"Dependency not found")))</x:f>
        <x:v>Not Started</x:v>
      </x:c>
      <x:c r="J1572" s="6" t="str">
        <x:v>Not Started</x:v>
      </x:c>
      <x:c r="K1572" s="6" t="str">
        <x:v>Normal</x:v>
      </x:c>
      <x:c r="L1572" s="6" t="str"/>
      <x:c r="M1572" s="6" t="str"/>
      <x:c r="N1572" s="6" t="str"/>
      <x:c r="O1572" s="7" t="str"/>
      <x:c r="P1572" s="6" t="str">
        <x:v>Yes</x:v>
      </x:c>
      <x:c r="Q1572" s="7" t="str">
        <x:v>Requires stable service identity; preserve observed labor evidence.</x:v>
      </x:c>
    </x:row>
    <x:row r="1573">
      <x:c r="A1573" s="6" t="str">
        <x:v>SEQ-LAB-0301</x:v>
      </x:c>
      <x:c r="B1573" s="6" t="str">
        <x:v>Labor Reference</x:v>
      </x:c>
      <x:c r="C1573" s="6" t="str">
        <x:v>LABX-0301</x:v>
      </x:c>
      <x:c r="D1573" s="6" t="str">
        <x:v>SVC000301</x:v>
      </x:c>
      <x:c r="E1573" s="6" t="str"/>
      <x:c r="F1573" s="6" t="str">
        <x:v>Labor-reference review</x:v>
      </x:c>
      <x:c r="G1573" s="6" t="n">
        <x:v>6</x:v>
      </x:c>
      <x:c r="H1573" s="6" t="str">
        <x:v>SIDX-0301</x:v>
      </x:c>
      <x:c r="I1573" s="6" t="str">
        <x:f>IF(H1573="","No upstream dependency",IF(ISNUMBER(SEARCH(";",H1573)),"Multiple dependencies - verify source queues",IFERROR(XLOOKUP(H1573,C2:C1586,J2:J1586),"Dependency not found")))</x:f>
        <x:v>Not Started</x:v>
      </x:c>
      <x:c r="J1573" s="6" t="str">
        <x:v>Not Started</x:v>
      </x:c>
      <x:c r="K1573" s="6" t="str">
        <x:v>Normal</x:v>
      </x:c>
      <x:c r="L1573" s="6" t="str"/>
      <x:c r="M1573" s="6" t="str"/>
      <x:c r="N1573" s="6" t="str"/>
      <x:c r="O1573" s="7" t="str"/>
      <x:c r="P1573" s="6" t="str">
        <x:v>Yes</x:v>
      </x:c>
      <x:c r="Q1573" s="7" t="str">
        <x:v>Requires stable service identity; preserve observed labor evidence.</x:v>
      </x:c>
    </x:row>
    <x:row r="1574">
      <x:c r="A1574" s="6" t="str">
        <x:v>SEQ-LAB-0302</x:v>
      </x:c>
      <x:c r="B1574" s="6" t="str">
        <x:v>Labor Reference</x:v>
      </x:c>
      <x:c r="C1574" s="6" t="str">
        <x:v>LABX-0302</x:v>
      </x:c>
      <x:c r="D1574" s="6" t="str">
        <x:v>SVC000302</x:v>
      </x:c>
      <x:c r="E1574" s="6" t="str"/>
      <x:c r="F1574" s="6" t="str">
        <x:v>Labor-reference review</x:v>
      </x:c>
      <x:c r="G1574" s="6" t="n">
        <x:v>6</x:v>
      </x:c>
      <x:c r="H1574" s="6" t="str">
        <x:v>SIDX-0302</x:v>
      </x:c>
      <x:c r="I1574" s="6" t="str">
        <x:f>IF(H1574="","No upstream dependency",IF(ISNUMBER(SEARCH(";",H1574)),"Multiple dependencies - verify source queues",IFERROR(XLOOKUP(H1574,C2:C1586,J2:J1586),"Dependency not found")))</x:f>
        <x:v>Not Started</x:v>
      </x:c>
      <x:c r="J1574" s="6" t="str">
        <x:v>Not Started</x:v>
      </x:c>
      <x:c r="K1574" s="6" t="str">
        <x:v>Normal</x:v>
      </x:c>
      <x:c r="L1574" s="6" t="str"/>
      <x:c r="M1574" s="6" t="str"/>
      <x:c r="N1574" s="6" t="str"/>
      <x:c r="O1574" s="7" t="str"/>
      <x:c r="P1574" s="6" t="str">
        <x:v>Yes</x:v>
      </x:c>
      <x:c r="Q1574" s="7" t="str">
        <x:v>Requires stable service identity; preserve observed labor evidence.</x:v>
      </x:c>
    </x:row>
    <x:row r="1575">
      <x:c r="A1575" s="6" t="str">
        <x:v>SEQ-LAB-0303</x:v>
      </x:c>
      <x:c r="B1575" s="6" t="str">
        <x:v>Labor Reference</x:v>
      </x:c>
      <x:c r="C1575" s="6" t="str">
        <x:v>LABX-0303</x:v>
      </x:c>
      <x:c r="D1575" s="6" t="str">
        <x:v>SVC000303</x:v>
      </x:c>
      <x:c r="E1575" s="6" t="str"/>
      <x:c r="F1575" s="6" t="str">
        <x:v>Labor-reference review</x:v>
      </x:c>
      <x:c r="G1575" s="6" t="n">
        <x:v>6</x:v>
      </x:c>
      <x:c r="H1575" s="6" t="str">
        <x:v>SIDX-0303</x:v>
      </x:c>
      <x:c r="I1575" s="6" t="str">
        <x:f>IF(H1575="","No upstream dependency",IF(ISNUMBER(SEARCH(";",H1575)),"Multiple dependencies - verify source queues",IFERROR(XLOOKUP(H1575,C2:C1586,J2:J1586),"Dependency not found")))</x:f>
        <x:v>Not Started</x:v>
      </x:c>
      <x:c r="J1575" s="6" t="str">
        <x:v>Not Started</x:v>
      </x:c>
      <x:c r="K1575" s="6" t="str">
        <x:v>Normal</x:v>
      </x:c>
      <x:c r="L1575" s="6" t="str"/>
      <x:c r="M1575" s="6" t="str"/>
      <x:c r="N1575" s="6" t="str"/>
      <x:c r="O1575" s="7" t="str"/>
      <x:c r="P1575" s="6" t="str">
        <x:v>Yes</x:v>
      </x:c>
      <x:c r="Q1575" s="7" t="str">
        <x:v>Requires stable service identity; preserve observed labor evidence.</x:v>
      </x:c>
    </x:row>
    <x:row r="1576">
      <x:c r="A1576" s="6" t="str">
        <x:v>SEQ-LAB-0304</x:v>
      </x:c>
      <x:c r="B1576" s="6" t="str">
        <x:v>Labor Reference</x:v>
      </x:c>
      <x:c r="C1576" s="6" t="str">
        <x:v>LABX-0304</x:v>
      </x:c>
      <x:c r="D1576" s="6" t="str">
        <x:v>SVC000304</x:v>
      </x:c>
      <x:c r="E1576" s="6" t="str"/>
      <x:c r="F1576" s="6" t="str">
        <x:v>Labor-reference review</x:v>
      </x:c>
      <x:c r="G1576" s="6" t="n">
        <x:v>6</x:v>
      </x:c>
      <x:c r="H1576" s="6" t="str">
        <x:v>SIDX-0304</x:v>
      </x:c>
      <x:c r="I1576" s="6" t="str">
        <x:f>IF(H1576="","No upstream dependency",IF(ISNUMBER(SEARCH(";",H1576)),"Multiple dependencies - verify source queues",IFERROR(XLOOKUP(H1576,C2:C1586,J2:J1586),"Dependency not found")))</x:f>
        <x:v>Not Started</x:v>
      </x:c>
      <x:c r="J1576" s="6" t="str">
        <x:v>Not Started</x:v>
      </x:c>
      <x:c r="K1576" s="6" t="str">
        <x:v>Normal</x:v>
      </x:c>
      <x:c r="L1576" s="6" t="str"/>
      <x:c r="M1576" s="6" t="str"/>
      <x:c r="N1576" s="6" t="str"/>
      <x:c r="O1576" s="7" t="str"/>
      <x:c r="P1576" s="6" t="str">
        <x:v>Yes</x:v>
      </x:c>
      <x:c r="Q1576" s="7" t="str">
        <x:v>Requires stable service identity; preserve observed labor evidence.</x:v>
      </x:c>
    </x:row>
    <x:row r="1577">
      <x:c r="A1577" s="6" t="str">
        <x:v>SEQ-LAB-0305</x:v>
      </x:c>
      <x:c r="B1577" s="6" t="str">
        <x:v>Labor Reference</x:v>
      </x:c>
      <x:c r="C1577" s="6" t="str">
        <x:v>LABX-0305</x:v>
      </x:c>
      <x:c r="D1577" s="6" t="str">
        <x:v>SVC000305</x:v>
      </x:c>
      <x:c r="E1577" s="6" t="str"/>
      <x:c r="F1577" s="6" t="str">
        <x:v>Labor-reference review</x:v>
      </x:c>
      <x:c r="G1577" s="6" t="n">
        <x:v>6</x:v>
      </x:c>
      <x:c r="H1577" s="6" t="str">
        <x:v>SIDX-0305</x:v>
      </x:c>
      <x:c r="I1577" s="6" t="str">
        <x:f>IF(H1577="","No upstream dependency",IF(ISNUMBER(SEARCH(";",H1577)),"Multiple dependencies - verify source queues",IFERROR(XLOOKUP(H1577,C2:C1586,J2:J1586),"Dependency not found")))</x:f>
        <x:v>Not Started</x:v>
      </x:c>
      <x:c r="J1577" s="6" t="str">
        <x:v>Not Started</x:v>
      </x:c>
      <x:c r="K1577" s="6" t="str">
        <x:v>Normal</x:v>
      </x:c>
      <x:c r="L1577" s="6" t="str"/>
      <x:c r="M1577" s="6" t="str"/>
      <x:c r="N1577" s="6" t="str"/>
      <x:c r="O1577" s="7" t="str"/>
      <x:c r="P1577" s="6" t="str">
        <x:v>Yes</x:v>
      </x:c>
      <x:c r="Q1577" s="7" t="str">
        <x:v>Requires stable service identity; preserve observed labor evidence.</x:v>
      </x:c>
    </x:row>
    <x:row r="1578">
      <x:c r="A1578" s="6" t="str">
        <x:v>SEQ-LAB-0306</x:v>
      </x:c>
      <x:c r="B1578" s="6" t="str">
        <x:v>Labor Reference</x:v>
      </x:c>
      <x:c r="C1578" s="6" t="str">
        <x:v>LABX-0306</x:v>
      </x:c>
      <x:c r="D1578" s="6" t="str">
        <x:v>SVC000306</x:v>
      </x:c>
      <x:c r="E1578" s="6" t="str"/>
      <x:c r="F1578" s="6" t="str">
        <x:v>Labor-reference review</x:v>
      </x:c>
      <x:c r="G1578" s="6" t="n">
        <x:v>6</x:v>
      </x:c>
      <x:c r="H1578" s="6" t="str">
        <x:v>SIDX-0306</x:v>
      </x:c>
      <x:c r="I1578" s="6" t="str">
        <x:f>IF(H1578="","No upstream dependency",IF(ISNUMBER(SEARCH(";",H1578)),"Multiple dependencies - verify source queues",IFERROR(XLOOKUP(H1578,C2:C1586,J2:J1586),"Dependency not found")))</x:f>
        <x:v>Not Started</x:v>
      </x:c>
      <x:c r="J1578" s="6" t="str">
        <x:v>Not Started</x:v>
      </x:c>
      <x:c r="K1578" s="6" t="str">
        <x:v>Normal</x:v>
      </x:c>
      <x:c r="L1578" s="6" t="str"/>
      <x:c r="M1578" s="6" t="str"/>
      <x:c r="N1578" s="6" t="str"/>
      <x:c r="O1578" s="7" t="str"/>
      <x:c r="P1578" s="6" t="str">
        <x:v>Yes</x:v>
      </x:c>
      <x:c r="Q1578" s="7" t="str">
        <x:v>Requires stable service identity; preserve observed labor evidence.</x:v>
      </x:c>
    </x:row>
    <x:row r="1579">
      <x:c r="A1579" s="6" t="str">
        <x:v>SEQ-LAB-0307</x:v>
      </x:c>
      <x:c r="B1579" s="6" t="str">
        <x:v>Labor Reference</x:v>
      </x:c>
      <x:c r="C1579" s="6" t="str">
        <x:v>LABX-0307</x:v>
      </x:c>
      <x:c r="D1579" s="6" t="str">
        <x:v>SVC000307</x:v>
      </x:c>
      <x:c r="E1579" s="6" t="str"/>
      <x:c r="F1579" s="6" t="str">
        <x:v>Labor-reference review</x:v>
      </x:c>
      <x:c r="G1579" s="6" t="n">
        <x:v>6</x:v>
      </x:c>
      <x:c r="H1579" s="6" t="str">
        <x:v>SIDX-0307</x:v>
      </x:c>
      <x:c r="I1579" s="6" t="str">
        <x:f>IF(H1579="","No upstream dependency",IF(ISNUMBER(SEARCH(";",H1579)),"Multiple dependencies - verify source queues",IFERROR(XLOOKUP(H1579,C2:C1586,J2:J1586),"Dependency not found")))</x:f>
        <x:v>Not Started</x:v>
      </x:c>
      <x:c r="J1579" s="6" t="str">
        <x:v>Not Started</x:v>
      </x:c>
      <x:c r="K1579" s="6" t="str">
        <x:v>Normal</x:v>
      </x:c>
      <x:c r="L1579" s="6" t="str"/>
      <x:c r="M1579" s="6" t="str"/>
      <x:c r="N1579" s="6" t="str"/>
      <x:c r="O1579" s="7" t="str"/>
      <x:c r="P1579" s="6" t="str">
        <x:v>Yes</x:v>
      </x:c>
      <x:c r="Q1579" s="7" t="str">
        <x:v>Requires stable service identity; preserve observed labor evidence.</x:v>
      </x:c>
    </x:row>
    <x:row r="1580">
      <x:c r="A1580" s="6" t="str">
        <x:v>SEQ-LAB-0308</x:v>
      </x:c>
      <x:c r="B1580" s="6" t="str">
        <x:v>Labor Reference</x:v>
      </x:c>
      <x:c r="C1580" s="6" t="str">
        <x:v>LABX-0308</x:v>
      </x:c>
      <x:c r="D1580" s="6" t="str">
        <x:v>SVC000308</x:v>
      </x:c>
      <x:c r="E1580" s="6" t="str"/>
      <x:c r="F1580" s="6" t="str">
        <x:v>Labor-reference review</x:v>
      </x:c>
      <x:c r="G1580" s="6" t="n">
        <x:v>6</x:v>
      </x:c>
      <x:c r="H1580" s="6" t="str">
        <x:v>SIDX-0308</x:v>
      </x:c>
      <x:c r="I1580" s="6" t="str">
        <x:f>IF(H1580="","No upstream dependency",IF(ISNUMBER(SEARCH(";",H1580)),"Multiple dependencies - verify source queues",IFERROR(XLOOKUP(H1580,C2:C1586,J2:J1586),"Dependency not found")))</x:f>
        <x:v>Not Started</x:v>
      </x:c>
      <x:c r="J1580" s="6" t="str">
        <x:v>Not Started</x:v>
      </x:c>
      <x:c r="K1580" s="6" t="str">
        <x:v>Normal</x:v>
      </x:c>
      <x:c r="L1580" s="6" t="str"/>
      <x:c r="M1580" s="6" t="str"/>
      <x:c r="N1580" s="6" t="str"/>
      <x:c r="O1580" s="7" t="str"/>
      <x:c r="P1580" s="6" t="str">
        <x:v>Yes</x:v>
      </x:c>
      <x:c r="Q1580" s="7" t="str">
        <x:v>Requires stable service identity; preserve observed labor evidence.</x:v>
      </x:c>
    </x:row>
    <x:row r="1581">
      <x:c r="A1581" s="6" t="str">
        <x:v>SEQ-LAB-0309</x:v>
      </x:c>
      <x:c r="B1581" s="6" t="str">
        <x:v>Labor Reference</x:v>
      </x:c>
      <x:c r="C1581" s="6" t="str">
        <x:v>LABX-0309</x:v>
      </x:c>
      <x:c r="D1581" s="6" t="str">
        <x:v>SVC000309</x:v>
      </x:c>
      <x:c r="E1581" s="6" t="str"/>
      <x:c r="F1581" s="6" t="str">
        <x:v>Labor-reference review</x:v>
      </x:c>
      <x:c r="G1581" s="6" t="n">
        <x:v>6</x:v>
      </x:c>
      <x:c r="H1581" s="6" t="str">
        <x:v>SIDX-0309</x:v>
      </x:c>
      <x:c r="I1581" s="6" t="str">
        <x:f>IF(H1581="","No upstream dependency",IF(ISNUMBER(SEARCH(";",H1581)),"Multiple dependencies - verify source queues",IFERROR(XLOOKUP(H1581,C2:C1586,J2:J1586),"Dependency not found")))</x:f>
        <x:v>Not Started</x:v>
      </x:c>
      <x:c r="J1581" s="6" t="str">
        <x:v>Not Started</x:v>
      </x:c>
      <x:c r="K1581" s="6" t="str">
        <x:v>Normal</x:v>
      </x:c>
      <x:c r="L1581" s="6" t="str"/>
      <x:c r="M1581" s="6" t="str"/>
      <x:c r="N1581" s="6" t="str"/>
      <x:c r="O1581" s="7" t="str"/>
      <x:c r="P1581" s="6" t="str">
        <x:v>Yes</x:v>
      </x:c>
      <x:c r="Q1581" s="7" t="str">
        <x:v>Requires stable service identity; preserve observed labor evidence.</x:v>
      </x:c>
    </x:row>
    <x:row r="1582">
      <x:c r="A1582" s="6" t="str">
        <x:v>SEQ-LAB-0310</x:v>
      </x:c>
      <x:c r="B1582" s="6" t="str">
        <x:v>Labor Reference</x:v>
      </x:c>
      <x:c r="C1582" s="6" t="str">
        <x:v>LABX-0310</x:v>
      </x:c>
      <x:c r="D1582" s="6" t="str">
        <x:v>SVC000310</x:v>
      </x:c>
      <x:c r="E1582" s="6" t="str"/>
      <x:c r="F1582" s="6" t="str">
        <x:v>Labor-reference review</x:v>
      </x:c>
      <x:c r="G1582" s="6" t="n">
        <x:v>6</x:v>
      </x:c>
      <x:c r="H1582" s="6" t="str">
        <x:v>SIDX-0310</x:v>
      </x:c>
      <x:c r="I1582" s="6" t="str">
        <x:f>IF(H1582="","No upstream dependency",IF(ISNUMBER(SEARCH(";",H1582)),"Multiple dependencies - verify source queues",IFERROR(XLOOKUP(H1582,C2:C1586,J2:J1586),"Dependency not found")))</x:f>
        <x:v>Not Started</x:v>
      </x:c>
      <x:c r="J1582" s="6" t="str">
        <x:v>Not Started</x:v>
      </x:c>
      <x:c r="K1582" s="6" t="str">
        <x:v>Normal</x:v>
      </x:c>
      <x:c r="L1582" s="6" t="str"/>
      <x:c r="M1582" s="6" t="str"/>
      <x:c r="N1582" s="6" t="str"/>
      <x:c r="O1582" s="7" t="str"/>
      <x:c r="P1582" s="6" t="str">
        <x:v>Yes</x:v>
      </x:c>
      <x:c r="Q1582" s="7" t="str">
        <x:v>Requires stable service identity; preserve observed labor evidence.</x:v>
      </x:c>
    </x:row>
    <x:row r="1583">
      <x:c r="A1583" s="6" t="str">
        <x:v>SEQ-LAB-0311</x:v>
      </x:c>
      <x:c r="B1583" s="6" t="str">
        <x:v>Labor Reference</x:v>
      </x:c>
      <x:c r="C1583" s="6" t="str">
        <x:v>LABX-0311</x:v>
      </x:c>
      <x:c r="D1583" s="6" t="str">
        <x:v>SVC000311</x:v>
      </x:c>
      <x:c r="E1583" s="6" t="str"/>
      <x:c r="F1583" s="6" t="str">
        <x:v>Labor-reference review</x:v>
      </x:c>
      <x:c r="G1583" s="6" t="n">
        <x:v>6</x:v>
      </x:c>
      <x:c r="H1583" s="6" t="str">
        <x:v>SIDX-0311</x:v>
      </x:c>
      <x:c r="I1583" s="6" t="str">
        <x:f>IF(H1583="","No upstream dependency",IF(ISNUMBER(SEARCH(";",H1583)),"Multiple dependencies - verify source queues",IFERROR(XLOOKUP(H1583,C2:C1586,J2:J1586),"Dependency not found")))</x:f>
        <x:v>Not Started</x:v>
      </x:c>
      <x:c r="J1583" s="6" t="str">
        <x:v>Not Started</x:v>
      </x:c>
      <x:c r="K1583" s="6" t="str">
        <x:v>Normal</x:v>
      </x:c>
      <x:c r="L1583" s="6" t="str"/>
      <x:c r="M1583" s="6" t="str"/>
      <x:c r="N1583" s="6" t="str"/>
      <x:c r="O1583" s="7" t="str"/>
      <x:c r="P1583" s="6" t="str">
        <x:v>Yes</x:v>
      </x:c>
      <x:c r="Q1583" s="7" t="str">
        <x:v>Requires stable service identity; preserve observed labor evidence.</x:v>
      </x:c>
    </x:row>
    <x:row r="1584">
      <x:c r="A1584" s="6" t="str">
        <x:v>SEQ-LAB-0312</x:v>
      </x:c>
      <x:c r="B1584" s="6" t="str">
        <x:v>Labor Reference</x:v>
      </x:c>
      <x:c r="C1584" s="6" t="str">
        <x:v>LABX-0312</x:v>
      </x:c>
      <x:c r="D1584" s="6" t="str">
        <x:v>SVC000312</x:v>
      </x:c>
      <x:c r="E1584" s="6" t="str"/>
      <x:c r="F1584" s="6" t="str">
        <x:v>Labor-reference review</x:v>
      </x:c>
      <x:c r="G1584" s="6" t="n">
        <x:v>6</x:v>
      </x:c>
      <x:c r="H1584" s="6" t="str">
        <x:v>SIDX-0312</x:v>
      </x:c>
      <x:c r="I1584" s="6" t="str">
        <x:f>IF(H1584="","No upstream dependency",IF(ISNUMBER(SEARCH(";",H1584)),"Multiple dependencies - verify source queues",IFERROR(XLOOKUP(H1584,C2:C1586,J2:J1586),"Dependency not found")))</x:f>
        <x:v>Not Started</x:v>
      </x:c>
      <x:c r="J1584" s="6" t="str">
        <x:v>Not Started</x:v>
      </x:c>
      <x:c r="K1584" s="6" t="str">
        <x:v>Normal</x:v>
      </x:c>
      <x:c r="L1584" s="6" t="str"/>
      <x:c r="M1584" s="6" t="str"/>
      <x:c r="N1584" s="6" t="str"/>
      <x:c r="O1584" s="7" t="str"/>
      <x:c r="P1584" s="6" t="str">
        <x:v>Yes</x:v>
      </x:c>
      <x:c r="Q1584" s="7" t="str">
        <x:v>Requires stable service identity; preserve observed labor evidence.</x:v>
      </x:c>
    </x:row>
    <x:row r="1585">
      <x:c r="A1585" s="6" t="str">
        <x:v>SEQ-LAB-0313</x:v>
      </x:c>
      <x:c r="B1585" s="6" t="str">
        <x:v>Labor Reference</x:v>
      </x:c>
      <x:c r="C1585" s="6" t="str">
        <x:v>LABX-0313</x:v>
      </x:c>
      <x:c r="D1585" s="6" t="str">
        <x:v>SVC000313</x:v>
      </x:c>
      <x:c r="E1585" s="6" t="str"/>
      <x:c r="F1585" s="6" t="str">
        <x:v>Labor-reference review</x:v>
      </x:c>
      <x:c r="G1585" s="6" t="n">
        <x:v>6</x:v>
      </x:c>
      <x:c r="H1585" s="6" t="str">
        <x:v>SIDX-0313</x:v>
      </x:c>
      <x:c r="I1585" s="6" t="str">
        <x:f>IF(H1585="","No upstream dependency",IF(ISNUMBER(SEARCH(";",H1585)),"Multiple dependencies - verify source queues",IFERROR(XLOOKUP(H1585,C2:C1586,J2:J1586),"Dependency not found")))</x:f>
        <x:v>Not Started</x:v>
      </x:c>
      <x:c r="J1585" s="6" t="str">
        <x:v>Not Started</x:v>
      </x:c>
      <x:c r="K1585" s="6" t="str">
        <x:v>Normal</x:v>
      </x:c>
      <x:c r="L1585" s="6" t="str"/>
      <x:c r="M1585" s="6" t="str"/>
      <x:c r="N1585" s="6" t="str"/>
      <x:c r="O1585" s="7" t="str"/>
      <x:c r="P1585" s="6" t="str">
        <x:v>Yes</x:v>
      </x:c>
      <x:c r="Q1585" s="7" t="str">
        <x:v>Requires stable service identity; preserve observed labor evidence.</x:v>
      </x:c>
    </x:row>
    <x:row r="1586">
      <x:c r="A1586" s="6" t="str">
        <x:v>SEQ-LAB-0314</x:v>
      </x:c>
      <x:c r="B1586" s="6" t="str">
        <x:v>Labor Reference</x:v>
      </x:c>
      <x:c r="C1586" s="6" t="str">
        <x:v>LABX-0314</x:v>
      </x:c>
      <x:c r="D1586" s="6" t="str">
        <x:v>SVC000314</x:v>
      </x:c>
      <x:c r="E1586" s="6" t="str"/>
      <x:c r="F1586" s="6" t="str">
        <x:v>Labor-reference review</x:v>
      </x:c>
      <x:c r="G1586" s="6" t="n">
        <x:v>6</x:v>
      </x:c>
      <x:c r="H1586" s="6" t="str">
        <x:v>SIDX-0314</x:v>
      </x:c>
      <x:c r="I1586" s="6" t="str">
        <x:f>IF(H1586="","No upstream dependency",IF(ISNUMBER(SEARCH(";",H1586)),"Multiple dependencies - verify source queues",IFERROR(XLOOKUP(H1586,C2:C1586,J2:J1586),"Dependency not found")))</x:f>
        <x:v>Not Started</x:v>
      </x:c>
      <x:c r="J1586" s="6" t="str">
        <x:v>Not Started</x:v>
      </x:c>
      <x:c r="K1586" s="6" t="str">
        <x:v>Normal</x:v>
      </x:c>
      <x:c r="L1586" s="6" t="str"/>
      <x:c r="M1586" s="6" t="str"/>
      <x:c r="N1586" s="6" t="str"/>
      <x:c r="O1586" s="7" t="str"/>
      <x:c r="P1586" s="6" t="str">
        <x:v>Yes</x:v>
      </x:c>
      <x:c r="Q1586" s="7" t="str">
        <x:v>Requires stable service identity; preserve observed labor evidence.</x:v>
      </x:c>
    </x:row>
  </x:sheetData>
  <x:dataValidations count="4">
    <x:dataValidation type="list" sqref="J2:J1586">
      <x:formula1>"Not Started,In Review,Blocked,Reviewer Complete,Awaiting Second-Level Approval,Returned for Rework,Closed Without Approval"</x:formula1>
    </x:dataValidation>
    <x:dataValidation type="list" sqref="K2:K1586">
      <x:formula1>"Critical,High,Normal,Low"</x:formula1>
    </x:dataValidation>
    <x:dataValidation type="list" sqref="P2:P1586">
      <x:formula1>"Yes,No"</x:formula1>
    </x:dataValidation>
    <x:dataValidation type="list" sqref="D2:D158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a9ba080da54c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17.5" hidden="0" customWidth="1"/>
    <x:col min="3" max="3" width="27.25" hidden="0" customWidth="1"/>
    <x:col min="4" max="4" width="81.62999725341797" hidden="0" customWidth="1"/>
    <x:col min="5" max="5" width="45.880001068115234" hidden="0" customWidth="1"/>
    <x:col min="6" max="6" width="23.8799991607666" hidden="0" customWidth="1"/>
    <x:col min="7" max="7" width="19.25" hidden="0" customWidth="1"/>
    <x:col min="8" max="8" width="25.6299991607666" hidden="0" customWidth="1"/>
    <x:col min="9" max="9" width="25" hidden="0" customWidth="1"/>
    <x:col min="10" max="10" width="17" hidden="0" customWidth="1"/>
    <x:col min="11" max="11" width="14.880000114440918" hidden="0" customWidth="1"/>
    <x:col min="12" max="12" width="12.380000114440918" hidden="0" customWidth="1"/>
    <x:col min="13" max="13" width="25.75" hidden="0" customWidth="1"/>
    <x:col min="14" max="14" width="14.880000114440918" hidden="0" customWidth="1"/>
    <x:col min="15" max="15" width="13.75" hidden="0" customWidth="1"/>
    <x:col min="16" max="16" width="14" hidden="0" customWidth="1"/>
    <x:col min="17" max="17" width="18.25" hidden="0" customWidth="1"/>
    <x:col min="18" max="18" width="7.630000114440918" hidden="0" customWidth="1"/>
  </x:cols>
  <x:sheetData>
    <x:row r="1">
      <x:c r="A1" s="5" t="str">
        <x:v>Execution Item ID</x:v>
      </x:c>
      <x:c r="B1" s="5" t="str">
        <x:v>Duplicate Group ID</x:v>
      </x:c>
      <x:c r="C1" s="5" t="str">
        <x:v>Service IDs</x:v>
      </x:c>
      <x:c r="D1" s="5" t="str">
        <x:v>Service Names</x:v>
      </x:c>
      <x:c r="E1" s="5" t="str">
        <x:v>Duplicate Reason</x:v>
      </x:c>
      <x:c r="F1" s="5" t="str">
        <x:v>Source Evidence Reference</x:v>
      </x:c>
      <x:c r="G1" s="5" t="str">
        <x:v>Proposed Disposition</x:v>
      </x:c>
      <x:c r="H1" s="5" t="str">
        <x:v>Proposed Surviving Service ID</x:v>
      </x:c>
      <x:c r="I1" s="5" t="str">
        <x:v>Proposed Retired Service IDs</x:v>
      </x:c>
      <x:c r="J1" s="5" t="str">
        <x:v>Reviewer Decision</x:v>
      </x:c>
      <x:c r="K1" s="5" t="str">
        <x:v>Reviewer Name</x:v>
      </x:c>
      <x:c r="L1" s="5" t="str">
        <x:v>Review Date</x:v>
      </x:c>
      <x:c r="M1" s="5" t="str">
        <x:v>Second-Level Approval Status</x:v>
      </x:c>
      <x:c r="N1" s="5" t="str">
        <x:v>Approver Name</x:v>
      </x:c>
      <x:c r="O1" s="5" t="str">
        <x:v>Approval Date</x:v>
      </x:c>
      <x:c r="P1" s="5" t="str">
        <x:v>Blocking Issue</x:v>
      </x:c>
      <x:c r="Q1" s="5" t="str">
        <x:v>Escalation Required</x:v>
      </x:c>
      <x:c r="R1" s="5" t="str">
        <x:v>Notes</x:v>
      </x:c>
    </x:row>
    <x:row r="2">
      <x:c r="A2" s="6" t="str">
        <x:v>DUPX-0001</x:v>
      </x:c>
      <x:c r="B2" s="6" t="str">
        <x:v>DUP000001</x:v>
      </x:c>
      <x:c r="C2" s="7" t="str">
        <x:v>SVC000008; SVC000086; SVC000087</x:v>
      </x:c>
      <x:c r="D2" s="7" t="str">
        <x:v>iPhone 6 Screen replacement; iPhone 6+ Screen replacement; iPhone 6 Screen replacement</x:v>
      </x:c>
      <x:c r="E2" s="7" t="str">
        <x:v>Exact normalized service identity fields match multiple records.</x:v>
      </x:c>
      <x:c r="F2" s="7" t="str"/>
      <x:c r="G2" s="6" t="str">
        <x:v>Unresolved</x:v>
      </x:c>
      <x:c r="H2" s="6" t="str"/>
      <x:c r="I2" s="7" t="str"/>
      <x:c r="J2" s="6" t="str">
        <x:v>Unresolved</x:v>
      </x:c>
      <x:c r="K2" s="6" t="str"/>
      <x:c r="L2" s="6" t="str"/>
      <x:c r="M2" s="6" t="str">
        <x:v>Pending</x:v>
      </x:c>
      <x:c r="N2" s="6" t="str"/>
      <x:c r="O2" s="6" t="str"/>
      <x:c r="P2" s="7" t="str"/>
      <x:c r="Q2" s="6" t="str">
        <x:v>No</x:v>
      </x:c>
      <x:c r="R2" s="7" t="str"/>
    </x:row>
    <x:row r="3">
      <x:c r="A3" s="6" t="str">
        <x:v>DUPX-0002</x:v>
      </x:c>
      <x:c r="B3" s="6" t="str">
        <x:v>DUP000002</x:v>
      </x:c>
      <x:c r="C3" s="7" t="str">
        <x:v>SVC000009; SVC000088; SVC000089</x:v>
      </x:c>
      <x:c r="D3" s="7" t="str">
        <x:v>iPhone 6S+ Screen replacement; iPhone 6S+ Screen replacement; iPhone 6S Screen replacement</x:v>
      </x:c>
      <x:c r="E3" s="7" t="str">
        <x:v>Exact normalized service identity fields match multiple records.</x:v>
      </x:c>
      <x:c r="F3" s="7" t="str"/>
      <x:c r="G3" s="6" t="str">
        <x:v>Unresolved</x:v>
      </x:c>
      <x:c r="H3" s="6" t="str"/>
      <x:c r="I3" s="7" t="str"/>
      <x:c r="J3" s="6" t="str">
        <x:v>Unresolved</x:v>
      </x:c>
      <x:c r="K3" s="6" t="str"/>
      <x:c r="L3" s="6" t="str"/>
      <x:c r="M3" s="6" t="str">
        <x:v>Pending</x:v>
      </x:c>
      <x:c r="N3" s="6" t="str"/>
      <x:c r="O3" s="6" t="str"/>
      <x:c r="P3" s="7" t="str"/>
      <x:c r="Q3" s="6" t="str">
        <x:v>No</x:v>
      </x:c>
      <x:c r="R3" s="7" t="str"/>
    </x:row>
    <x:row r="4">
      <x:c r="A4" s="6" t="str">
        <x:v>DUPX-0003</x:v>
      </x:c>
      <x:c r="B4" s="6" t="str">
        <x:v>DUP000003</x:v>
      </x:c>
      <x:c r="C4" s="7" t="str">
        <x:v>SVC000090; SVC000091</x:v>
      </x:c>
      <x:c r="D4" s="7" t="str">
        <x:v>iPhone 7+ Screen replacement; iPhone 7 Screen replacement</x:v>
      </x:c>
      <x:c r="E4" s="7" t="str">
        <x:v>Exact normalized service identity fields match multiple records.</x:v>
      </x:c>
      <x:c r="F4" s="7" t="str"/>
      <x:c r="G4" s="6" t="str">
        <x:v>Unresolved</x:v>
      </x:c>
      <x:c r="H4" s="6" t="str"/>
      <x:c r="I4" s="7" t="str"/>
      <x:c r="J4" s="6" t="str">
        <x:v>Unresolved</x:v>
      </x:c>
      <x:c r="K4" s="6" t="str"/>
      <x:c r="L4" s="6" t="str"/>
      <x:c r="M4" s="6" t="str">
        <x:v>Pending</x:v>
      </x:c>
      <x:c r="N4" s="6" t="str"/>
      <x:c r="O4" s="6" t="str"/>
      <x:c r="P4" s="7" t="str"/>
      <x:c r="Q4" s="6" t="str">
        <x:v>No</x:v>
      </x:c>
      <x:c r="R4" s="7" t="str"/>
    </x:row>
    <x:row r="5">
      <x:c r="A5" s="6" t="str">
        <x:v>DUPX-0004</x:v>
      </x:c>
      <x:c r="B5" s="6" t="str">
        <x:v>DUP000004</x:v>
      </x:c>
      <x:c r="C5" s="7" t="str">
        <x:v>SVC000092; SVC000093</x:v>
      </x:c>
      <x:c r="D5" s="7" t="str">
        <x:v>iPhone 8+ Screen replacement; iPhone 8 Screen replacement</x:v>
      </x:c>
      <x:c r="E5" s="7" t="str">
        <x:v>Exact normalized service identity fields match multiple records.</x:v>
      </x:c>
      <x:c r="F5" s="7" t="str"/>
      <x:c r="G5" s="6" t="str">
        <x:v>Unresolved</x:v>
      </x:c>
      <x:c r="H5" s="6" t="str"/>
      <x:c r="I5" s="7" t="str"/>
      <x:c r="J5" s="6" t="str">
        <x:v>Unresolved</x:v>
      </x:c>
      <x:c r="K5" s="6" t="str"/>
      <x:c r="L5" s="6" t="str"/>
      <x:c r="M5" s="6" t="str">
        <x:v>Pending</x:v>
      </x:c>
      <x:c r="N5" s="6" t="str"/>
      <x:c r="O5" s="6" t="str"/>
      <x:c r="P5" s="7" t="str"/>
      <x:c r="Q5" s="6" t="str">
        <x:v>No</x:v>
      </x:c>
      <x:c r="R5" s="7" t="str"/>
    </x:row>
    <x:row r="6">
      <x:c r="A6" s="6" t="str">
        <x:v>DUPX-0005</x:v>
      </x:c>
      <x:c r="B6" s="6" t="str">
        <x:v>DUP000005</x:v>
      </x:c>
      <x:c r="C6" s="7" t="str">
        <x:v>SVC000101; SVC000102; SVC000103</x:v>
      </x:c>
      <x:c r="D6" s="7" t="str">
        <x:v>iPhone 4S Screen replacement; iPhone 4S Screen replacement; iPhone 4S Screen replacement</x:v>
      </x:c>
      <x:c r="E6" s="7" t="str">
        <x:v>Exact normalized service identity fields match multiple records.</x:v>
      </x:c>
      <x:c r="F6" s="7" t="str"/>
      <x:c r="G6" s="6" t="str">
        <x:v>Unresolved</x:v>
      </x:c>
      <x:c r="H6" s="6" t="str"/>
      <x:c r="I6" s="7" t="str"/>
      <x:c r="J6" s="6" t="str">
        <x:v>Unresolved</x:v>
      </x:c>
      <x:c r="K6" s="6" t="str"/>
      <x:c r="L6" s="6" t="str"/>
      <x:c r="M6" s="6" t="str">
        <x:v>Pending</x:v>
      </x:c>
      <x:c r="N6" s="6" t="str"/>
      <x:c r="O6" s="6" t="str"/>
      <x:c r="P6" s="7" t="str"/>
      <x:c r="Q6" s="6" t="str">
        <x:v>No</x:v>
      </x:c>
      <x:c r="R6" s="7" t="str"/>
    </x:row>
    <x:row r="7">
      <x:c r="A7" s="6" t="str">
        <x:v>DUPX-0006</x:v>
      </x:c>
      <x:c r="B7" s="6" t="str">
        <x:v>DUP000006</x:v>
      </x:c>
      <x:c r="C7" s="7" t="str">
        <x:v>SVC000167; SVC000202</x:v>
      </x:c>
      <x:c r="D7" s="7" t="str">
        <x:v>iPhone 7+ Battery Replacement; iPhone 7 Battery Replacement</x:v>
      </x:c>
      <x:c r="E7" s="7" t="str">
        <x:v>Exact normalized service identity fields match multiple records.</x:v>
      </x:c>
      <x:c r="F7" s="7" t="str"/>
      <x:c r="G7" s="6" t="str">
        <x:v>Unresolved</x:v>
      </x:c>
      <x:c r="H7" s="6" t="str"/>
      <x:c r="I7" s="7" t="str"/>
      <x:c r="J7" s="6" t="str">
        <x:v>Unresolved</x:v>
      </x:c>
      <x:c r="K7" s="6" t="str"/>
      <x:c r="L7" s="6" t="str"/>
      <x:c r="M7" s="6" t="str">
        <x:v>Pending</x:v>
      </x:c>
      <x:c r="N7" s="6" t="str"/>
      <x:c r="O7" s="6" t="str"/>
      <x:c r="P7" s="7" t="str"/>
      <x:c r="Q7" s="6" t="str">
        <x:v>No</x:v>
      </x:c>
      <x:c r="R7" s="7" t="str"/>
    </x:row>
    <x:row r="8">
      <x:c r="A8" s="6" t="str">
        <x:v>DUPX-0007</x:v>
      </x:c>
      <x:c r="B8" s="6" t="str">
        <x:v>DUP000007</x:v>
      </x:c>
      <x:c r="C8" s="7" t="str">
        <x:v>SVC000170; SVC000203; SVC000204</x:v>
      </x:c>
      <x:c r="D8" s="7" t="str">
        <x:v>iPhone 4S Battery Replacement; iPhone 4S Battery Replacement; iPhone 4S Battery Replacement</x:v>
      </x:c>
      <x:c r="E8" s="7" t="str">
        <x:v>Exact normalized service identity fields match multiple records.</x:v>
      </x:c>
      <x:c r="F8" s="7" t="str"/>
      <x:c r="G8" s="6" t="str">
        <x:v>Unresolved</x:v>
      </x:c>
      <x:c r="H8" s="6" t="str"/>
      <x:c r="I8" s="7" t="str"/>
      <x:c r="J8" s="6" t="str">
        <x:v>Unresolved</x:v>
      </x:c>
      <x:c r="K8" s="6" t="str"/>
      <x:c r="L8" s="6" t="str"/>
      <x:c r="M8" s="6" t="str">
        <x:v>Pending</x:v>
      </x:c>
      <x:c r="N8" s="6" t="str"/>
      <x:c r="O8" s="6" t="str"/>
      <x:c r="P8" s="7" t="str"/>
      <x:c r="Q8" s="6" t="str">
        <x:v>No</x:v>
      </x:c>
      <x:c r="R8" s="7" t="str"/>
    </x:row>
    <x:row r="9">
      <x:c r="A9" s="6" t="str">
        <x:v>DUPX-0008</x:v>
      </x:c>
      <x:c r="B9" s="6" t="str">
        <x:v>DUP000008</x:v>
      </x:c>
      <x:c r="C9" s="7" t="str">
        <x:v>SVC000173; SVC000175</x:v>
      </x:c>
      <x:c r="D9" s="7" t="str">
        <x:v>iPhone 8+ Battery Replacement; iPhone 8 Battery Replacement</x:v>
      </x:c>
      <x:c r="E9" s="7" t="str">
        <x:v>Exact normalized service identity fields match multiple records.</x:v>
      </x:c>
      <x:c r="F9" s="7" t="str"/>
      <x:c r="G9" s="6" t="str">
        <x:v>Unresolved</x:v>
      </x:c>
      <x:c r="H9" s="6" t="str"/>
      <x:c r="I9" s="7" t="str"/>
      <x:c r="J9" s="6" t="str">
        <x:v>Unresolved</x:v>
      </x:c>
      <x:c r="K9" s="6" t="str"/>
      <x:c r="L9" s="6" t="str"/>
      <x:c r="M9" s="6" t="str">
        <x:v>Pending</x:v>
      </x:c>
      <x:c r="N9" s="6" t="str"/>
      <x:c r="O9" s="6" t="str"/>
      <x:c r="P9" s="7" t="str"/>
      <x:c r="Q9" s="6" t="str">
        <x:v>No</x:v>
      </x:c>
      <x:c r="R9" s="7" t="str"/>
    </x:row>
    <x:row r="10">
      <x:c r="A10" s="6" t="str">
        <x:v>DUPX-0009</x:v>
      </x:c>
      <x:c r="B10" s="6" t="str">
        <x:v>DUP000009</x:v>
      </x:c>
      <x:c r="C10" s="7" t="str">
        <x:v>SVC000174; SVC000176; SVC000177</x:v>
      </x:c>
      <x:c r="D10" s="7" t="str">
        <x:v>iPhone 6S Battery Replacement; iPhone 6S+ Battery Replacement; iPhone 6S+ Battery Replacement</x:v>
      </x:c>
      <x:c r="E10" s="7" t="str">
        <x:v>Exact normalized service identity fields match multiple records.</x:v>
      </x:c>
      <x:c r="F10" s="7" t="str"/>
      <x:c r="G10" s="6" t="str">
        <x:v>Unresolved</x:v>
      </x:c>
      <x:c r="H10" s="6" t="str"/>
      <x:c r="I10" s="7" t="str"/>
      <x:c r="J10" s="6" t="str">
        <x:v>Unresolved</x:v>
      </x:c>
      <x:c r="K10" s="6" t="str"/>
      <x:c r="L10" s="6" t="str"/>
      <x:c r="M10" s="6" t="str">
        <x:v>Pending</x:v>
      </x:c>
      <x:c r="N10" s="6" t="str"/>
      <x:c r="O10" s="6" t="str"/>
      <x:c r="P10" s="7" t="str"/>
      <x:c r="Q10" s="6" t="str">
        <x:v>No</x:v>
      </x:c>
      <x:c r="R10" s="7" t="str"/>
    </x:row>
    <x:row r="11">
      <x:c r="A11" s="6" t="str">
        <x:v>DUPX-0010</x:v>
      </x:c>
      <x:c r="B11" s="6" t="str">
        <x:v>DUP000010</x:v>
      </x:c>
      <x:c r="C11" s="7" t="str">
        <x:v>SVC000180; SVC000206; SVC000207</x:v>
      </x:c>
      <x:c r="D11" s="7" t="str">
        <x:v>iPhone 6+ Battery Replacement; iPhone 6 Battery Replacement; iPhone 6 Battery Replacement</x:v>
      </x:c>
      <x:c r="E11" s="7" t="str">
        <x:v>Exact normalized service identity fields match multiple records.</x:v>
      </x:c>
      <x:c r="F11" s="7" t="str"/>
      <x:c r="G11" s="6" t="str">
        <x:v>Unresolved</x:v>
      </x:c>
      <x:c r="H11" s="6" t="str"/>
      <x:c r="I11" s="7" t="str"/>
      <x:c r="J11" s="6" t="str">
        <x:v>Unresolved</x:v>
      </x:c>
      <x:c r="K11" s="6" t="str"/>
      <x:c r="L11" s="6" t="str"/>
      <x:c r="M11" s="6" t="str">
        <x:v>Pending</x:v>
      </x:c>
      <x:c r="N11" s="6" t="str"/>
      <x:c r="O11" s="6" t="str"/>
      <x:c r="P11" s="7" t="str"/>
      <x:c r="Q11" s="6" t="str">
        <x:v>No</x:v>
      </x:c>
      <x:c r="R11" s="7" t="str"/>
    </x:row>
    <x:row r="12">
      <x:c r="A12" s="6" t="str">
        <x:v>DUPX-0011</x:v>
      </x:c>
      <x:c r="B12" s="6" t="str">
        <x:v>DUP000011</x:v>
      </x:c>
      <x:c r="C12" s="7" t="str">
        <x:v>SVC000217; SVC000218; SVC000219</x:v>
      </x:c>
      <x:c r="D12" s="7" t="str">
        <x:v>iPhone 4S Charge Port Replacement; iPhone 4S Charge Port Replacement; iPhone 4S Charge Port Replacement</x:v>
      </x:c>
      <x:c r="E12" s="7" t="str">
        <x:v>Exact normalized service identity fields match multiple records.</x:v>
      </x:c>
      <x:c r="F12" s="7" t="str"/>
      <x:c r="G12" s="6" t="str">
        <x:v>Unresolved</x:v>
      </x:c>
      <x:c r="H12" s="6" t="str"/>
      <x:c r="I12" s="7" t="str"/>
      <x:c r="J12" s="6" t="str">
        <x:v>Unresolved</x:v>
      </x:c>
      <x:c r="K12" s="6" t="str"/>
      <x:c r="L12" s="6" t="str"/>
      <x:c r="M12" s="6" t="str">
        <x:v>Pending</x:v>
      </x:c>
      <x:c r="N12" s="6" t="str"/>
      <x:c r="O12" s="6" t="str"/>
      <x:c r="P12" s="7" t="str"/>
      <x:c r="Q12" s="6" t="str">
        <x:v>No</x:v>
      </x:c>
      <x:c r="R12" s="7" t="str"/>
    </x:row>
    <x:row r="13">
      <x:c r="A13" s="6" t="str">
        <x:v>DUPX-0012</x:v>
      </x:c>
      <x:c r="B13" s="6" t="str">
        <x:v>DUP000012</x:v>
      </x:c>
      <x:c r="C13" s="7" t="str">
        <x:v>SVC000223; SVC000224</x:v>
      </x:c>
      <x:c r="D13" s="7" t="str">
        <x:v>iPhone 6 Charge Port Replacement; iPhone 6+ Charge Port Replacement</x:v>
      </x:c>
      <x:c r="E13" s="7" t="str">
        <x:v>Exact normalized service identity fields match multiple records.</x:v>
      </x:c>
      <x:c r="F13" s="7" t="str"/>
      <x:c r="G13" s="6" t="str">
        <x:v>Unresolved</x:v>
      </x:c>
      <x:c r="H13" s="6" t="str"/>
      <x:c r="I13" s="7" t="str"/>
      <x:c r="J13" s="6" t="str">
        <x:v>Unresolved</x:v>
      </x:c>
      <x:c r="K13" s="6" t="str"/>
      <x:c r="L13" s="6" t="str"/>
      <x:c r="M13" s="6" t="str">
        <x:v>Pending</x:v>
      </x:c>
      <x:c r="N13" s="6" t="str"/>
      <x:c r="O13" s="6" t="str"/>
      <x:c r="P13" s="7" t="str"/>
      <x:c r="Q13" s="6" t="str">
        <x:v>No</x:v>
      </x:c>
      <x:c r="R13" s="7" t="str"/>
    </x:row>
    <x:row r="14">
      <x:c r="A14" s="6" t="str">
        <x:v>DUPX-0013</x:v>
      </x:c>
      <x:c r="B14" s="6" t="str">
        <x:v>DUP000013</x:v>
      </x:c>
      <x:c r="C14" s="7" t="str">
        <x:v>SVC000225; SVC000226; SVC000227</x:v>
      </x:c>
      <x:c r="D14" s="7" t="str">
        <x:v>iPhone 6S Charge Port Replacement; iPhone 6S+ Charge Port Replacement; iPhone 6S+ Charge Port Replacement</x:v>
      </x:c>
      <x:c r="E14" s="7" t="str">
        <x:v>Exact normalized service identity fields match multiple records.</x:v>
      </x:c>
      <x:c r="F14" s="7" t="str"/>
      <x:c r="G14" s="6" t="str">
        <x:v>Unresolved</x:v>
      </x:c>
      <x:c r="H14" s="6" t="str"/>
      <x:c r="I14" s="7" t="str"/>
      <x:c r="J14" s="6" t="str">
        <x:v>Unresolved</x:v>
      </x:c>
      <x:c r="K14" s="6" t="str"/>
      <x:c r="L14" s="6" t="str"/>
      <x:c r="M14" s="6" t="str">
        <x:v>Pending</x:v>
      </x:c>
      <x:c r="N14" s="6" t="str"/>
      <x:c r="O14" s="6" t="str"/>
      <x:c r="P14" s="7" t="str"/>
      <x:c r="Q14" s="6" t="str">
        <x:v>No</x:v>
      </x:c>
      <x:c r="R14" s="7" t="str"/>
    </x:row>
    <x:row r="15">
      <x:c r="A15" s="6" t="str">
        <x:v>DUPX-0014</x:v>
      </x:c>
      <x:c r="B15" s="6" t="str">
        <x:v>DUP000014</x:v>
      </x:c>
      <x:c r="C15" s="7" t="str">
        <x:v>SVC000229; SVC000230</x:v>
      </x:c>
      <x:c r="D15" s="7" t="str">
        <x:v>iPhone 7 Charge Port Replacement; iPhone 7+ Charge Port Replacement</x:v>
      </x:c>
      <x:c r="E15" s="7" t="str">
        <x:v>Exact normalized service identity fields match multiple records.</x:v>
      </x:c>
      <x:c r="F15" s="7" t="str"/>
      <x:c r="G15" s="6" t="str">
        <x:v>Unresolved</x:v>
      </x:c>
      <x:c r="H15" s="6" t="str"/>
      <x:c r="I15" s="7" t="str"/>
      <x:c r="J15" s="6" t="str">
        <x:v>Unresolved</x:v>
      </x:c>
      <x:c r="K15" s="6" t="str"/>
      <x:c r="L15" s="6" t="str"/>
      <x:c r="M15" s="6" t="str">
        <x:v>Pending</x:v>
      </x:c>
      <x:c r="N15" s="6" t="str"/>
      <x:c r="O15" s="6" t="str"/>
      <x:c r="P15" s="7" t="str"/>
      <x:c r="Q15" s="6" t="str">
        <x:v>No</x:v>
      </x:c>
      <x:c r="R15" s="7" t="str"/>
    </x:row>
    <x:row r="16">
      <x:c r="A16" s="6" t="str">
        <x:v>DUPX-0015</x:v>
      </x:c>
      <x:c r="B16" s="6" t="str">
        <x:v>DUP000015</x:v>
      </x:c>
      <x:c r="C16" s="7" t="str">
        <x:v>SVC000231; SVC000232</x:v>
      </x:c>
      <x:c r="D16" s="7" t="str">
        <x:v>iPhone 8 Charge Port Replacement; iPhone 8+ Charge Port Replacement</x:v>
      </x:c>
      <x:c r="E16" s="7" t="str">
        <x:v>Exact normalized service identity fields match multiple records.</x:v>
      </x:c>
      <x:c r="F16" s="7" t="str"/>
      <x:c r="G16" s="6" t="str">
        <x:v>Unresolved</x:v>
      </x:c>
      <x:c r="H16" s="6" t="str"/>
      <x:c r="I16" s="7" t="str"/>
      <x:c r="J16" s="6" t="str">
        <x:v>Unresolved</x:v>
      </x:c>
      <x:c r="K16" s="6" t="str"/>
      <x:c r="L16" s="6" t="str"/>
      <x:c r="M16" s="6" t="str">
        <x:v>Pending</x:v>
      </x:c>
      <x:c r="N16" s="6" t="str"/>
      <x:c r="O16" s="6" t="str"/>
      <x:c r="P16" s="7" t="str"/>
      <x:c r="Q16" s="6" t="str">
        <x:v>No</x:v>
      </x:c>
      <x:c r="R16" s="7" t="str"/>
    </x:row>
  </x:sheetData>
  <x:dataValidations count="5">
    <x:dataValidation type="list" sqref="G2:G16">
      <x:formula1>"Keep Separate,Merge Proposed,Rename Proposed,Parent-Child Relationship,Reject Source Record,Escalate,Unresolved"</x:formula1>
    </x:dataValidation>
    <x:dataValidation type="list" sqref="J2:J16">
      <x:formula1>"Confirm Current Identity,Propose Identity Change,Keep Separate,Suspected Duplicate,Reject Source Record,Escalate,Unresolved"</x:formula1>
    </x:dataValidation>
    <x:dataValidation type="list" sqref="M2:M16">
      <x:formula1>"Pending,Approved,Rejected,Escalated,Not Approved"</x:formula1>
    </x:dataValidation>
    <x:dataValidation type="list" sqref="Q2:Q16">
      <x:formula1>"Yes,No"</x:formula1>
    </x:dataValidation>
    <x:dataValidation type="list" sqref="H2:H16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5d72f310e245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21.6299991607666" hidden="0" customWidth="1"/>
    <x:col min="3" max="3" width="10.75" hidden="0" customWidth="1"/>
    <x:col min="4" max="4" width="38.130001068115234" hidden="0" customWidth="1"/>
    <x:col min="5" max="5" width="29.25" hidden="0" customWidth="1"/>
    <x:col min="6" max="6" width="17.5" hidden="0" customWidth="1"/>
    <x:col min="7" max="7" width="14.130000114440918" hidden="0" customWidth="1"/>
    <x:col min="8" max="8" width="15.630000114440918" hidden="0" customWidth="1"/>
    <x:col min="9" max="9" width="16" hidden="0" customWidth="1"/>
    <x:col min="10" max="10" width="20.3799991607666" hidden="0" customWidth="1"/>
    <x:col min="11" max="11" width="25.6299991607666" hidden="0" customWidth="1"/>
    <x:col min="12" max="12" width="17" hidden="0" customWidth="1"/>
    <x:col min="13" max="13" width="14.25" hidden="0" customWidth="1"/>
    <x:col min="14" max="14" width="18.1299991607666" hidden="0" customWidth="1"/>
    <x:col min="15" max="15" width="14.880000114440918" hidden="0" customWidth="1"/>
    <x:col min="16" max="16" width="12.380000114440918" hidden="0" customWidth="1"/>
    <x:col min="17" max="17" width="25.75" hidden="0" customWidth="1"/>
    <x:col min="18" max="18" width="14" hidden="0" customWidth="1"/>
    <x:col min="19" max="19" width="18.25" hidden="0" customWidth="1"/>
    <x:col min="20" max="20" width="7.630000114440918" hidden="0" customWidth="1"/>
  </x:cols>
  <x:sheetData>
    <x:row r="1">
      <x:c r="A1" s="5" t="str">
        <x:v>Execution Item ID</x:v>
      </x:c>
      <x:c r="B1" s="5" t="str">
        <x:v>Phase 4B Review Item ID</x:v>
      </x:c>
      <x:c r="C1" s="5" t="str">
        <x:v>Service ID</x:v>
      </x:c>
      <x:c r="D1" s="5" t="str">
        <x:v>Current Canonical Service Name</x:v>
      </x:c>
      <x:c r="E1" s="5" t="str">
        <x:v>Proposed Canonical Service Name</x:v>
      </x:c>
      <x:c r="F1" s="5" t="str">
        <x:v>Proposed Category</x:v>
      </x:c>
      <x:c r="G1" s="5" t="str">
        <x:v>Proposed Type</x:v>
      </x:c>
      <x:c r="H1" s="5" t="str">
        <x:v>Proposed Family</x:v>
      </x:c>
      <x:c r="I1" s="5" t="str">
        <x:v>Proposed Variant</x:v>
      </x:c>
      <x:c r="J1" s="5" t="str">
        <x:v>Duplicate Dependency</x:v>
      </x:c>
      <x:c r="K1" s="5" t="str">
        <x:v>Duplicate Dependency Status</x:v>
      </x:c>
      <x:c r="L1" s="5" t="str">
        <x:v>Reviewer Decision</x:v>
      </x:c>
      <x:c r="M1" s="5" t="str">
        <x:v>Decision Basis</x:v>
      </x:c>
      <x:c r="N1" s="5" t="str">
        <x:v>Evidence Reference</x:v>
      </x:c>
      <x:c r="O1" s="5" t="str">
        <x:v>Reviewer Name</x:v>
      </x:c>
      <x:c r="P1" s="5" t="str">
        <x:v>Review Date</x:v>
      </x:c>
      <x:c r="Q1" s="5" t="str">
        <x:v>Second-Level Approval Status</x:v>
      </x:c>
      <x:c r="R1" s="5" t="str">
        <x:v>Blocking Issue</x:v>
      </x:c>
      <x:c r="S1" s="5" t="str">
        <x:v>Escalation Required</x:v>
      </x:c>
      <x:c r="T1" s="5" t="str">
        <x:v>Notes</x:v>
      </x:c>
    </x:row>
    <x:row r="2">
      <x:c r="A2" s="6" t="str">
        <x:v>SIDX-0001</x:v>
      </x:c>
      <x:c r="B2" s="6" t="str">
        <x:v>SIR-000001</x:v>
      </x:c>
      <x:c r="C2" s="6" t="str">
        <x:v>SVC000001</x:v>
      </x:c>
      <x:c r="D2" s="6" t="str">
        <x:v>Galaxy Note 9 Screen replacement</x:v>
      </x:c>
      <x:c r="E2" s="6" t="str"/>
      <x:c r="F2" s="6" t="str"/>
      <x:c r="G2" s="6" t="str"/>
      <x:c r="H2" s="6" t="str"/>
      <x:c r="I2" s="6" t="str"/>
      <x:c r="J2" s="6" t="str"/>
      <x:c r="K2" s="6" t="str">
        <x:f>IF(J2="","No duplicate dependency",IFERROR(XLOOKUP(J2,'Duplicate Review Queue'!B2:B16,'Duplicate Review Queue'!J2:J16),"Dependency not found"))</x:f>
        <x:v>No duplicate dependency</x:v>
      </x:c>
      <x:c r="L2" s="6" t="str">
        <x:v>Unresolved</x:v>
      </x:c>
      <x:c r="M2" s="6" t="str"/>
      <x:c r="N2" s="7" t="str"/>
      <x:c r="O2" s="6" t="str"/>
      <x:c r="P2" s="6" t="str"/>
      <x:c r="Q2" s="6" t="str">
        <x:v>Pending</x:v>
      </x:c>
      <x:c r="R2" s="7" t="str">
        <x:f>IF(AND(J2&lt;&gt;"",K2="Unresolved"),"Duplicate dependency unresolved","")</x:f>
      </x:c>
      <x:c r="S2" s="6" t="str">
        <x:v>No</x:v>
      </x:c>
      <x:c r="T2" s="7" t="str"/>
    </x:row>
    <x:row r="3">
      <x:c r="A3" s="6" t="str">
        <x:v>SIDX-0002</x:v>
      </x:c>
      <x:c r="B3" s="6" t="str">
        <x:v>SIR-000002</x:v>
      </x:c>
      <x:c r="C3" s="6" t="str">
        <x:v>SVC000002</x:v>
      </x:c>
      <x:c r="D3" s="6" t="str">
        <x:v>Galaxy S 8 Active Screen replacement</x:v>
      </x:c>
      <x:c r="E3" s="6" t="str"/>
      <x:c r="F3" s="6" t="str"/>
      <x:c r="G3" s="6" t="str"/>
      <x:c r="H3" s="6" t="str"/>
      <x:c r="I3" s="6" t="str"/>
      <x:c r="J3" s="6" t="str"/>
      <x:c r="K3" s="6" t="str">
        <x:f>IF(J3="","No duplicate dependency",IFERROR(XLOOKUP(J3,'Duplicate Review Queue'!B2:B16,'Duplicate Review Queue'!J2:J16),"Dependency not found"))</x:f>
        <x:v>No duplicate dependency</x:v>
      </x:c>
      <x:c r="L3" s="6" t="str">
        <x:v>Unresolved</x:v>
      </x:c>
      <x:c r="M3" s="6" t="str"/>
      <x:c r="N3" s="7" t="str"/>
      <x:c r="O3" s="6" t="str"/>
      <x:c r="P3" s="6" t="str"/>
      <x:c r="Q3" s="6" t="str">
        <x:v>Pending</x:v>
      </x:c>
      <x:c r="R3" s="7" t="str">
        <x:f>IF(AND(J3&lt;&gt;"",K3="Unresolved"),"Duplicate dependency unresolved","")</x:f>
      </x:c>
      <x:c r="S3" s="6" t="str">
        <x:v>No</x:v>
      </x:c>
      <x:c r="T3" s="7" t="str"/>
    </x:row>
    <x:row r="4">
      <x:c r="A4" s="6" t="str">
        <x:v>SIDX-0003</x:v>
      </x:c>
      <x:c r="B4" s="6" t="str">
        <x:v>SIR-000003</x:v>
      </x:c>
      <x:c r="C4" s="6" t="str">
        <x:v>SVC000003</x:v>
      </x:c>
      <x:c r="D4" s="6" t="str">
        <x:v>Galaxy S 24 Screen replacement</x:v>
      </x:c>
      <x:c r="E4" s="6" t="str"/>
      <x:c r="F4" s="6" t="str"/>
      <x:c r="G4" s="6" t="str"/>
      <x:c r="H4" s="6" t="str"/>
      <x:c r="I4" s="6" t="str"/>
      <x:c r="J4" s="6" t="str"/>
      <x:c r="K4" s="6" t="str">
        <x:f>IF(J4="","No duplicate dependency",IFERROR(XLOOKUP(J4,'Duplicate Review Queue'!B2:B16,'Duplicate Review Queue'!J2:J16),"Dependency not found"))</x:f>
        <x:v>No duplicate dependency</x:v>
      </x:c>
      <x:c r="L4" s="6" t="str">
        <x:v>Unresolved</x:v>
      </x:c>
      <x:c r="M4" s="6" t="str"/>
      <x:c r="N4" s="7" t="str"/>
      <x:c r="O4" s="6" t="str"/>
      <x:c r="P4" s="6" t="str"/>
      <x:c r="Q4" s="6" t="str">
        <x:v>Pending</x:v>
      </x:c>
      <x:c r="R4" s="7" t="str">
        <x:f>IF(AND(J4&lt;&gt;"",K4="Unresolved"),"Duplicate dependency unresolved","")</x:f>
      </x:c>
      <x:c r="S4" s="6" t="str">
        <x:v>No</x:v>
      </x:c>
      <x:c r="T4" s="7" t="str"/>
    </x:row>
    <x:row r="5">
      <x:c r="A5" s="6" t="str">
        <x:v>SIDX-0004</x:v>
      </x:c>
      <x:c r="B5" s="6" t="str">
        <x:v>SIR-000004</x:v>
      </x:c>
      <x:c r="C5" s="6" t="str">
        <x:v>SVC000004</x:v>
      </x:c>
      <x:c r="D5" s="6" t="str">
        <x:v>Galaxy Note 10 Plus Screen replacement</x:v>
      </x:c>
      <x:c r="E5" s="6" t="str"/>
      <x:c r="F5" s="6" t="str"/>
      <x:c r="G5" s="6" t="str"/>
      <x:c r="H5" s="6" t="str"/>
      <x:c r="I5" s="6" t="str"/>
      <x:c r="J5" s="6" t="str"/>
      <x:c r="K5" s="6" t="str">
        <x:f>IF(J5="","No duplicate dependency",IFERROR(XLOOKUP(J5,'Duplicate Review Queue'!B2:B16,'Duplicate Review Queue'!J2:J16),"Dependency not found"))</x:f>
        <x:v>No duplicate dependency</x:v>
      </x:c>
      <x:c r="L5" s="6" t="str">
        <x:v>Unresolved</x:v>
      </x:c>
      <x:c r="M5" s="6" t="str"/>
      <x:c r="N5" s="7" t="str"/>
      <x:c r="O5" s="6" t="str"/>
      <x:c r="P5" s="6" t="str"/>
      <x:c r="Q5" s="6" t="str">
        <x:v>Pending</x:v>
      </x:c>
      <x:c r="R5" s="7" t="str">
        <x:f>IF(AND(J5&lt;&gt;"",K5="Unresolved"),"Duplicate dependency unresolved","")</x:f>
      </x:c>
      <x:c r="S5" s="6" t="str">
        <x:v>No</x:v>
      </x:c>
      <x:c r="T5" s="7" t="str"/>
    </x:row>
    <x:row r="6">
      <x:c r="A6" s="6" t="str">
        <x:v>SIDX-0005</x:v>
      </x:c>
      <x:c r="B6" s="6" t="str">
        <x:v>SIR-000005</x:v>
      </x:c>
      <x:c r="C6" s="6" t="str">
        <x:v>SVC000005</x:v>
      </x:c>
      <x:c r="D6" s="6" t="str">
        <x:v>Galaxy Note 8 Screen replacement</x:v>
      </x:c>
      <x:c r="E6" s="6" t="str"/>
      <x:c r="F6" s="6" t="str"/>
      <x:c r="G6" s="6" t="str"/>
      <x:c r="H6" s="6" t="str"/>
      <x:c r="I6" s="6" t="str"/>
      <x:c r="J6" s="6" t="str"/>
      <x:c r="K6" s="6" t="str">
        <x:f>IF(J6="","No duplicate dependency",IFERROR(XLOOKUP(J6,'Duplicate Review Queue'!B2:B16,'Duplicate Review Queue'!J2:J16),"Dependency not found"))</x:f>
        <x:v>No duplicate dependency</x:v>
      </x:c>
      <x:c r="L6" s="6" t="str">
        <x:v>Unresolved</x:v>
      </x:c>
      <x:c r="M6" s="6" t="str"/>
      <x:c r="N6" s="7" t="str"/>
      <x:c r="O6" s="6" t="str"/>
      <x:c r="P6" s="6" t="str"/>
      <x:c r="Q6" s="6" t="str">
        <x:v>Pending</x:v>
      </x:c>
      <x:c r="R6" s="7" t="str">
        <x:f>IF(AND(J6&lt;&gt;"",K6="Unresolved"),"Duplicate dependency unresolved","")</x:f>
      </x:c>
      <x:c r="S6" s="6" t="str">
        <x:v>No</x:v>
      </x:c>
      <x:c r="T6" s="7" t="str"/>
    </x:row>
    <x:row r="7">
      <x:c r="A7" s="6" t="str">
        <x:v>SIDX-0006</x:v>
      </x:c>
      <x:c r="B7" s="6" t="str">
        <x:v>SIR-000006</x:v>
      </x:c>
      <x:c r="C7" s="6" t="str">
        <x:v>SVC000006</x:v>
      </x:c>
      <x:c r="D7" s="6" t="str">
        <x:v>Galaxy S 25 Edge Screen replacement</x:v>
      </x:c>
      <x:c r="E7" s="6" t="str"/>
      <x:c r="F7" s="6" t="str"/>
      <x:c r="G7" s="6" t="str"/>
      <x:c r="H7" s="6" t="str"/>
      <x:c r="I7" s="6" t="str"/>
      <x:c r="J7" s="6" t="str"/>
      <x:c r="K7" s="6" t="str">
        <x:f>IF(J7="","No duplicate dependency",IFERROR(XLOOKUP(J7,'Duplicate Review Queue'!B2:B16,'Duplicate Review Queue'!J2:J16),"Dependency not found"))</x:f>
        <x:v>No duplicate dependency</x:v>
      </x:c>
      <x:c r="L7" s="6" t="str">
        <x:v>Unresolved</x:v>
      </x:c>
      <x:c r="M7" s="6" t="str"/>
      <x:c r="N7" s="7" t="str"/>
      <x:c r="O7" s="6" t="str"/>
      <x:c r="P7" s="6" t="str"/>
      <x:c r="Q7" s="6" t="str">
        <x:v>Pending</x:v>
      </x:c>
      <x:c r="R7" s="7" t="str">
        <x:f>IF(AND(J7&lt;&gt;"",K7="Unresolved"),"Duplicate dependency unresolved","")</x:f>
      </x:c>
      <x:c r="S7" s="6" t="str">
        <x:v>No</x:v>
      </x:c>
      <x:c r="T7" s="7" t="str"/>
    </x:row>
    <x:row r="8">
      <x:c r="A8" s="6" t="str">
        <x:v>SIDX-0007</x:v>
      </x:c>
      <x:c r="B8" s="6" t="str">
        <x:v>SIR-000007</x:v>
      </x:c>
      <x:c r="C8" s="6" t="str">
        <x:v>SVC000007</x:v>
      </x:c>
      <x:c r="D8" s="6" t="str">
        <x:v>Galaxy S 25 FE Screen replacement</x:v>
      </x:c>
      <x:c r="E8" s="6" t="str"/>
      <x:c r="F8" s="6" t="str"/>
      <x:c r="G8" s="6" t="str"/>
      <x:c r="H8" s="6" t="str"/>
      <x:c r="I8" s="6" t="str"/>
      <x:c r="J8" s="6" t="str"/>
      <x:c r="K8" s="6" t="str">
        <x:f>IF(J8="","No duplicate dependency",IFERROR(XLOOKUP(J8,'Duplicate Review Queue'!B2:B16,'Duplicate Review Queue'!J2:J16),"Dependency not found"))</x:f>
        <x:v>No duplicate dependency</x:v>
      </x:c>
      <x:c r="L8" s="6" t="str">
        <x:v>Unresolved</x:v>
      </x:c>
      <x:c r="M8" s="6" t="str"/>
      <x:c r="N8" s="7" t="str"/>
      <x:c r="O8" s="6" t="str"/>
      <x:c r="P8" s="6" t="str"/>
      <x:c r="Q8" s="6" t="str">
        <x:v>Pending</x:v>
      </x:c>
      <x:c r="R8" s="7" t="str">
        <x:f>IF(AND(J8&lt;&gt;"",K8="Unresolved"),"Duplicate dependency unresolved","")</x:f>
      </x:c>
      <x:c r="S8" s="6" t="str">
        <x:v>No</x:v>
      </x:c>
      <x:c r="T8" s="7" t="str"/>
    </x:row>
    <x:row r="9">
      <x:c r="A9" s="6" t="str">
        <x:v>SIDX-0008</x:v>
      </x:c>
      <x:c r="B9" s="6" t="str">
        <x:v>SIR-000008</x:v>
      </x:c>
      <x:c r="C9" s="6" t="str">
        <x:v>SVC000008</x:v>
      </x:c>
      <x:c r="D9" s="6" t="str">
        <x:v>iPhone 6 Screen replacement</x:v>
      </x:c>
      <x:c r="E9" s="6" t="str"/>
      <x:c r="F9" s="6" t="str"/>
      <x:c r="G9" s="6" t="str"/>
      <x:c r="H9" s="6" t="str"/>
      <x:c r="I9" s="6" t="str"/>
      <x:c r="J9" s="6" t="str">
        <x:v>DUP000001</x:v>
      </x:c>
      <x:c r="K9" s="6" t="str">
        <x:f>IF(J9="","No duplicate dependency",IFERROR(XLOOKUP(J9,'Duplicate Review Queue'!B2:B16,'Duplicate Review Queue'!J2:J16),"Dependency not found"))</x:f>
        <x:v>Unresolved</x:v>
      </x:c>
      <x:c r="L9" s="6" t="str">
        <x:v>Unresolved</x:v>
      </x:c>
      <x:c r="M9" s="6" t="str"/>
      <x:c r="N9" s="7" t="str"/>
      <x:c r="O9" s="6" t="str"/>
      <x:c r="P9" s="6" t="str"/>
      <x:c r="Q9" s="6" t="str">
        <x:v>Pending</x:v>
      </x:c>
      <x:c r="R9" s="7" t="str">
        <x:f>IF(AND(J9&lt;&gt;"",K9="Unresolved"),"Duplicate dependency unresolved","")</x:f>
        <x:v>Duplicate dependency unresolved</x:v>
      </x:c>
      <x:c r="S9" s="6" t="str">
        <x:v>Yes</x:v>
      </x:c>
      <x:c r="T9" s="7" t="str"/>
    </x:row>
    <x:row r="10">
      <x:c r="A10" s="6" t="str">
        <x:v>SIDX-0009</x:v>
      </x:c>
      <x:c r="B10" s="6" t="str">
        <x:v>SIR-000009</x:v>
      </x:c>
      <x:c r="C10" s="6" t="str">
        <x:v>SVC000009</x:v>
      </x:c>
      <x:c r="D10" s="6" t="str">
        <x:v>iPhone 6S+ Screen replacement</x:v>
      </x:c>
      <x:c r="E10" s="6" t="str"/>
      <x:c r="F10" s="6" t="str"/>
      <x:c r="G10" s="6" t="str"/>
      <x:c r="H10" s="6" t="str"/>
      <x:c r="I10" s="6" t="str"/>
      <x:c r="J10" s="6" t="str">
        <x:v>DUP000002</x:v>
      </x:c>
      <x:c r="K10" s="6" t="str">
        <x:f>IF(J10="","No duplicate dependency",IFERROR(XLOOKUP(J10,'Duplicate Review Queue'!B2:B16,'Duplicate Review Queue'!J2:J16),"Dependency not found"))</x:f>
        <x:v>Unresolved</x:v>
      </x:c>
      <x:c r="L10" s="6" t="str">
        <x:v>Unresolved</x:v>
      </x:c>
      <x:c r="M10" s="6" t="str"/>
      <x:c r="N10" s="7" t="str"/>
      <x:c r="O10" s="6" t="str"/>
      <x:c r="P10" s="6" t="str"/>
      <x:c r="Q10" s="6" t="str">
        <x:v>Pending</x:v>
      </x:c>
      <x:c r="R10" s="7" t="str">
        <x:f>IF(AND(J10&lt;&gt;"",K10="Unresolved"),"Duplicate dependency unresolved","")</x:f>
        <x:v>Duplicate dependency unresolved</x:v>
      </x:c>
      <x:c r="S10" s="6" t="str">
        <x:v>Yes</x:v>
      </x:c>
      <x:c r="T10" s="7" t="str"/>
    </x:row>
    <x:row r="11">
      <x:c r="A11" s="6" t="str">
        <x:v>SIDX-0010</x:v>
      </x:c>
      <x:c r="B11" s="6" t="str">
        <x:v>SIR-000010</x:v>
      </x:c>
      <x:c r="C11" s="6" t="str">
        <x:v>SVC000010</x:v>
      </x:c>
      <x:c r="D11" s="6" t="str">
        <x:v>Galaxy S 22 Screen replacement</x:v>
      </x:c>
      <x:c r="E11" s="6" t="str"/>
      <x:c r="F11" s="6" t="str"/>
      <x:c r="G11" s="6" t="str"/>
      <x:c r="H11" s="6" t="str"/>
      <x:c r="I11" s="6" t="str"/>
      <x:c r="J11" s="6" t="str"/>
      <x:c r="K11" s="6" t="str">
        <x:f>IF(J11="","No duplicate dependency",IFERROR(XLOOKUP(J11,'Duplicate Review Queue'!B2:B16,'Duplicate Review Queue'!J2:J16),"Dependency not found"))</x:f>
        <x:v>No duplicate dependency</x:v>
      </x:c>
      <x:c r="L11" s="6" t="str">
        <x:v>Unresolved</x:v>
      </x:c>
      <x:c r="M11" s="6" t="str"/>
      <x:c r="N11" s="7" t="str"/>
      <x:c r="O11" s="6" t="str"/>
      <x:c r="P11" s="6" t="str"/>
      <x:c r="Q11" s="6" t="str">
        <x:v>Pending</x:v>
      </x:c>
      <x:c r="R11" s="7" t="str">
        <x:f>IF(AND(J11&lt;&gt;"",K11="Unresolved"),"Duplicate dependency unresolved","")</x:f>
      </x:c>
      <x:c r="S11" s="6" t="str">
        <x:v>No</x:v>
      </x:c>
      <x:c r="T11" s="7" t="str"/>
    </x:row>
    <x:row r="12">
      <x:c r="A12" s="6" t="str">
        <x:v>SIDX-0011</x:v>
      </x:c>
      <x:c r="B12" s="6" t="str">
        <x:v>SIR-000011</x:v>
      </x:c>
      <x:c r="C12" s="6" t="str">
        <x:v>SVC000011</x:v>
      </x:c>
      <x:c r="D12" s="6" t="str">
        <x:v>Galaxy S 20 Plus Screen replacement</x:v>
      </x:c>
      <x:c r="E12" s="6" t="str"/>
      <x:c r="F12" s="6" t="str"/>
      <x:c r="G12" s="6" t="str"/>
      <x:c r="H12" s="6" t="str"/>
      <x:c r="I12" s="6" t="str"/>
      <x:c r="J12" s="6" t="str"/>
      <x:c r="K12" s="6" t="str">
        <x:f>IF(J12="","No duplicate dependency",IFERROR(XLOOKUP(J12,'Duplicate Review Queue'!B2:B16,'Duplicate Review Queue'!J2:J16),"Dependency not found"))</x:f>
        <x:v>No duplicate dependency</x:v>
      </x:c>
      <x:c r="L12" s="6" t="str">
        <x:v>Unresolved</x:v>
      </x:c>
      <x:c r="M12" s="6" t="str"/>
      <x:c r="N12" s="7" t="str"/>
      <x:c r="O12" s="6" t="str"/>
      <x:c r="P12" s="6" t="str"/>
      <x:c r="Q12" s="6" t="str">
        <x:v>Pending</x:v>
      </x:c>
      <x:c r="R12" s="7" t="str">
        <x:f>IF(AND(J12&lt;&gt;"",K12="Unresolved"),"Duplicate dependency unresolved","")</x:f>
      </x:c>
      <x:c r="S12" s="6" t="str">
        <x:v>No</x:v>
      </x:c>
      <x:c r="T12" s="7" t="str"/>
    </x:row>
    <x:row r="13">
      <x:c r="A13" s="6" t="str">
        <x:v>SIDX-0012</x:v>
      </x:c>
      <x:c r="B13" s="6" t="str">
        <x:v>SIR-000012</x:v>
      </x:c>
      <x:c r="C13" s="6" t="str">
        <x:v>SVC000012</x:v>
      </x:c>
      <x:c r="D13" s="6" t="str">
        <x:v>Galaxy S 23 Ultra Screen replacement</x:v>
      </x:c>
      <x:c r="E13" s="6" t="str"/>
      <x:c r="F13" s="6" t="str"/>
      <x:c r="G13" s="6" t="str"/>
      <x:c r="H13" s="6" t="str"/>
      <x:c r="I13" s="6" t="str"/>
      <x:c r="J13" s="6" t="str"/>
      <x:c r="K13" s="6" t="str">
        <x:f>IF(J13="","No duplicate dependency",IFERROR(XLOOKUP(J13,'Duplicate Review Queue'!B2:B16,'Duplicate Review Queue'!J2:J16),"Dependency not found"))</x:f>
        <x:v>No duplicate dependency</x:v>
      </x:c>
      <x:c r="L13" s="6" t="str">
        <x:v>Unresolved</x:v>
      </x:c>
      <x:c r="M13" s="6" t="str"/>
      <x:c r="N13" s="7" t="str"/>
      <x:c r="O13" s="6" t="str"/>
      <x:c r="P13" s="6" t="str"/>
      <x:c r="Q13" s="6" t="str">
        <x:v>Pending</x:v>
      </x:c>
      <x:c r="R13" s="7" t="str">
        <x:f>IF(AND(J13&lt;&gt;"",K13="Unresolved"),"Duplicate dependency unresolved","")</x:f>
      </x:c>
      <x:c r="S13" s="6" t="str">
        <x:v>No</x:v>
      </x:c>
      <x:c r="T13" s="7" t="str"/>
    </x:row>
    <x:row r="14">
      <x:c r="A14" s="6" t="str">
        <x:v>SIDX-0013</x:v>
      </x:c>
      <x:c r="B14" s="6" t="str">
        <x:v>SIR-000013</x:v>
      </x:c>
      <x:c r="C14" s="6" t="str">
        <x:v>SVC000013</x:v>
      </x:c>
      <x:c r="D14" s="6" t="str">
        <x:v>Galaxy S 24 Ultra Screen replacement</x:v>
      </x:c>
      <x:c r="E14" s="6" t="str"/>
      <x:c r="F14" s="6" t="str"/>
      <x:c r="G14" s="6" t="str"/>
      <x:c r="H14" s="6" t="str"/>
      <x:c r="I14" s="6" t="str"/>
      <x:c r="J14" s="6" t="str"/>
      <x:c r="K14" s="6" t="str">
        <x:f>IF(J14="","No duplicate dependency",IFERROR(XLOOKUP(J14,'Duplicate Review Queue'!B2:B16,'Duplicate Review Queue'!J2:J16),"Dependency not found"))</x:f>
        <x:v>No duplicate dependency</x:v>
      </x:c>
      <x:c r="L14" s="6" t="str">
        <x:v>Unresolved</x:v>
      </x:c>
      <x:c r="M14" s="6" t="str"/>
      <x:c r="N14" s="7" t="str"/>
      <x:c r="O14" s="6" t="str"/>
      <x:c r="P14" s="6" t="str"/>
      <x:c r="Q14" s="6" t="str">
        <x:v>Pending</x:v>
      </x:c>
      <x:c r="R14" s="7" t="str">
        <x:f>IF(AND(J14&lt;&gt;"",K14="Unresolved"),"Duplicate dependency unresolved","")</x:f>
      </x:c>
      <x:c r="S14" s="6" t="str">
        <x:v>No</x:v>
      </x:c>
      <x:c r="T14" s="7" t="str"/>
    </x:row>
    <x:row r="15">
      <x:c r="A15" s="6" t="str">
        <x:v>SIDX-0014</x:v>
      </x:c>
      <x:c r="B15" s="6" t="str">
        <x:v>SIR-000014</x:v>
      </x:c>
      <x:c r="C15" s="6" t="str">
        <x:v>SVC000014</x:v>
      </x:c>
      <x:c r="D15" s="6" t="str">
        <x:v>Galaxy S 20 FE Screen replacement</x:v>
      </x:c>
      <x:c r="E15" s="6" t="str"/>
      <x:c r="F15" s="6" t="str"/>
      <x:c r="G15" s="6" t="str"/>
      <x:c r="H15" s="6" t="str"/>
      <x:c r="I15" s="6" t="str"/>
      <x:c r="J15" s="6" t="str"/>
      <x:c r="K15" s="6" t="str">
        <x:f>IF(J15="","No duplicate dependency",IFERROR(XLOOKUP(J15,'Duplicate Review Queue'!B2:B16,'Duplicate Review Queue'!J2:J16),"Dependency not found"))</x:f>
        <x:v>No duplicate dependency</x:v>
      </x:c>
      <x:c r="L15" s="6" t="str">
        <x:v>Unresolved</x:v>
      </x:c>
      <x:c r="M15" s="6" t="str"/>
      <x:c r="N15" s="7" t="str"/>
      <x:c r="O15" s="6" t="str"/>
      <x:c r="P15" s="6" t="str"/>
      <x:c r="Q15" s="6" t="str">
        <x:v>Pending</x:v>
      </x:c>
      <x:c r="R15" s="7" t="str">
        <x:f>IF(AND(J15&lt;&gt;"",K15="Unresolved"),"Duplicate dependency unresolved","")</x:f>
      </x:c>
      <x:c r="S15" s="6" t="str">
        <x:v>No</x:v>
      </x:c>
      <x:c r="T15" s="7" t="str"/>
    </x:row>
    <x:row r="16">
      <x:c r="A16" s="6" t="str">
        <x:v>SIDX-0015</x:v>
      </x:c>
      <x:c r="B16" s="6" t="str">
        <x:v>SIR-000015</x:v>
      </x:c>
      <x:c r="C16" s="6" t="str">
        <x:v>SVC000015</x:v>
      </x:c>
      <x:c r="D16" s="6" t="str">
        <x:v>Galaxy S 9 Plus Screen replacement</x:v>
      </x:c>
      <x:c r="E16" s="6" t="str"/>
      <x:c r="F16" s="6" t="str"/>
      <x:c r="G16" s="6" t="str"/>
      <x:c r="H16" s="6" t="str"/>
      <x:c r="I16" s="6" t="str"/>
      <x:c r="J16" s="6" t="str"/>
      <x:c r="K16" s="6" t="str">
        <x:f>IF(J16="","No duplicate dependency",IFERROR(XLOOKUP(J16,'Duplicate Review Queue'!B2:B16,'Duplicate Review Queue'!J2:J16),"Dependency not found"))</x:f>
        <x:v>No duplicate dependency</x:v>
      </x:c>
      <x:c r="L16" s="6" t="str">
        <x:v>Unresolved</x:v>
      </x:c>
      <x:c r="M16" s="6" t="str"/>
      <x:c r="N16" s="7" t="str"/>
      <x:c r="O16" s="6" t="str"/>
      <x:c r="P16" s="6" t="str"/>
      <x:c r="Q16" s="6" t="str">
        <x:v>Pending</x:v>
      </x:c>
      <x:c r="R16" s="7" t="str">
        <x:f>IF(AND(J16&lt;&gt;"",K16="Unresolved"),"Duplicate dependency unresolved","")</x:f>
      </x:c>
      <x:c r="S16" s="6" t="str">
        <x:v>No</x:v>
      </x:c>
      <x:c r="T16" s="7" t="str"/>
    </x:row>
    <x:row r="17">
      <x:c r="A17" s="6" t="str">
        <x:v>SIDX-0016</x:v>
      </x:c>
      <x:c r="B17" s="6" t="str">
        <x:v>SIR-000016</x:v>
      </x:c>
      <x:c r="C17" s="6" t="str">
        <x:v>SVC000016</x:v>
      </x:c>
      <x:c r="D17" s="6" t="str">
        <x:v>Galaxy S 24 FE Screen replacement</x:v>
      </x:c>
      <x:c r="E17" s="6" t="str"/>
      <x:c r="F17" s="6" t="str"/>
      <x:c r="G17" s="6" t="str"/>
      <x:c r="H17" s="6" t="str"/>
      <x:c r="I17" s="6" t="str"/>
      <x:c r="J17" s="6" t="str"/>
      <x:c r="K17" s="6" t="str">
        <x:f>IF(J17="","No duplicate dependency",IFERROR(XLOOKUP(J17,'Duplicate Review Queue'!B2:B16,'Duplicate Review Queue'!J2:J16),"Dependency not found"))</x:f>
        <x:v>No duplicate dependency</x:v>
      </x:c>
      <x:c r="L17" s="6" t="str">
        <x:v>Unresolved</x:v>
      </x:c>
      <x:c r="M17" s="6" t="str"/>
      <x:c r="N17" s="7" t="str"/>
      <x:c r="O17" s="6" t="str"/>
      <x:c r="P17" s="6" t="str"/>
      <x:c r="Q17" s="6" t="str">
        <x:v>Pending</x:v>
      </x:c>
      <x:c r="R17" s="7" t="str">
        <x:f>IF(AND(J17&lt;&gt;"",K17="Unresolved"),"Duplicate dependency unresolved","")</x:f>
      </x:c>
      <x:c r="S17" s="6" t="str">
        <x:v>No</x:v>
      </x:c>
      <x:c r="T17" s="7" t="str"/>
    </x:row>
    <x:row r="18">
      <x:c r="A18" s="6" t="str">
        <x:v>SIDX-0017</x:v>
      </x:c>
      <x:c r="B18" s="6" t="str">
        <x:v>SIR-000017</x:v>
      </x:c>
      <x:c r="C18" s="6" t="str">
        <x:v>SVC000017</x:v>
      </x:c>
      <x:c r="D18" s="6" t="str">
        <x:v>Galaxy S 8 Plus Screen replacement</x:v>
      </x:c>
      <x:c r="E18" s="6" t="str"/>
      <x:c r="F18" s="6" t="str"/>
      <x:c r="G18" s="6" t="str"/>
      <x:c r="H18" s="6" t="str"/>
      <x:c r="I18" s="6" t="str"/>
      <x:c r="J18" s="6" t="str"/>
      <x:c r="K18" s="6" t="str">
        <x:f>IF(J18="","No duplicate dependency",IFERROR(XLOOKUP(J18,'Duplicate Review Queue'!B2:B16,'Duplicate Review Queue'!J2:J16),"Dependency not found"))</x:f>
        <x:v>No duplicate dependency</x:v>
      </x:c>
      <x:c r="L18" s="6" t="str">
        <x:v>Unresolved</x:v>
      </x:c>
      <x:c r="M18" s="6" t="str"/>
      <x:c r="N18" s="7" t="str"/>
      <x:c r="O18" s="6" t="str"/>
      <x:c r="P18" s="6" t="str"/>
      <x:c r="Q18" s="6" t="str">
        <x:v>Pending</x:v>
      </x:c>
      <x:c r="R18" s="7" t="str">
        <x:f>IF(AND(J18&lt;&gt;"",K18="Unresolved"),"Duplicate dependency unresolved","")</x:f>
      </x:c>
      <x:c r="S18" s="6" t="str">
        <x:v>No</x:v>
      </x:c>
      <x:c r="T18" s="7" t="str"/>
    </x:row>
    <x:row r="19">
      <x:c r="A19" s="6" t="str">
        <x:v>SIDX-0018</x:v>
      </x:c>
      <x:c r="B19" s="6" t="str">
        <x:v>SIR-000018</x:v>
      </x:c>
      <x:c r="C19" s="6" t="str">
        <x:v>SVC000018</x:v>
      </x:c>
      <x:c r="D19" s="6" t="str">
        <x:v>Galaxy S 25 Plus Screen replacement</x:v>
      </x:c>
      <x:c r="E19" s="6" t="str"/>
      <x:c r="F19" s="6" t="str"/>
      <x:c r="G19" s="6" t="str"/>
      <x:c r="H19" s="6" t="str"/>
      <x:c r="I19" s="6" t="str"/>
      <x:c r="J19" s="6" t="str"/>
      <x:c r="K19" s="6" t="str">
        <x:f>IF(J19="","No duplicate dependency",IFERROR(XLOOKUP(J19,'Duplicate Review Queue'!B2:B16,'Duplicate Review Queue'!J2:J16),"Dependency not found"))</x:f>
        <x:v>No duplicate dependency</x:v>
      </x:c>
      <x:c r="L19" s="6" t="str">
        <x:v>Unresolved</x:v>
      </x:c>
      <x:c r="M19" s="6" t="str"/>
      <x:c r="N19" s="7" t="str"/>
      <x:c r="O19" s="6" t="str"/>
      <x:c r="P19" s="6" t="str"/>
      <x:c r="Q19" s="6" t="str">
        <x:v>Pending</x:v>
      </x:c>
      <x:c r="R19" s="7" t="str">
        <x:f>IF(AND(J19&lt;&gt;"",K19="Unresolved"),"Duplicate dependency unresolved","")</x:f>
      </x:c>
      <x:c r="S19" s="6" t="str">
        <x:v>No</x:v>
      </x:c>
      <x:c r="T19" s="7" t="str"/>
    </x:row>
    <x:row r="20">
      <x:c r="A20" s="6" t="str">
        <x:v>SIDX-0019</x:v>
      </x:c>
      <x:c r="B20" s="6" t="str">
        <x:v>SIR-000019</x:v>
      </x:c>
      <x:c r="C20" s="6" t="str">
        <x:v>SVC000019</x:v>
      </x:c>
      <x:c r="D20" s="6" t="str">
        <x:v>Galaxy S 21 Screen replacement</x:v>
      </x:c>
      <x:c r="E20" s="6" t="str"/>
      <x:c r="F20" s="6" t="str"/>
      <x:c r="G20" s="6" t="str"/>
      <x:c r="H20" s="6" t="str"/>
      <x:c r="I20" s="6" t="str"/>
      <x:c r="J20" s="6" t="str"/>
      <x:c r="K20" s="6" t="str">
        <x:f>IF(J20="","No duplicate dependency",IFERROR(XLOOKUP(J20,'Duplicate Review Queue'!B2:B16,'Duplicate Review Queue'!J2:J16),"Dependency not found"))</x:f>
        <x:v>No duplicate dependency</x:v>
      </x:c>
      <x:c r="L20" s="6" t="str">
        <x:v>Unresolved</x:v>
      </x:c>
      <x:c r="M20" s="6" t="str"/>
      <x:c r="N20" s="7" t="str"/>
      <x:c r="O20" s="6" t="str"/>
      <x:c r="P20" s="6" t="str"/>
      <x:c r="Q20" s="6" t="str">
        <x:v>Pending</x:v>
      </x:c>
      <x:c r="R20" s="7" t="str">
        <x:f>IF(AND(J20&lt;&gt;"",K20="Unresolved"),"Duplicate dependency unresolved","")</x:f>
      </x:c>
      <x:c r="S20" s="6" t="str">
        <x:v>No</x:v>
      </x:c>
      <x:c r="T20" s="7" t="str"/>
    </x:row>
    <x:row r="21">
      <x:c r="A21" s="6" t="str">
        <x:v>SIDX-0020</x:v>
      </x:c>
      <x:c r="B21" s="6" t="str">
        <x:v>SIR-000020</x:v>
      </x:c>
      <x:c r="C21" s="6" t="str">
        <x:v>SVC000020</x:v>
      </x:c>
      <x:c r="D21" s="6" t="str">
        <x:v>Galaxy S 22 Plus Screen replacement</x:v>
      </x:c>
      <x:c r="E21" s="6" t="str"/>
      <x:c r="F21" s="6" t="str"/>
      <x:c r="G21" s="6" t="str"/>
      <x:c r="H21" s="6" t="str"/>
      <x:c r="I21" s="6" t="str"/>
      <x:c r="J21" s="6" t="str"/>
      <x:c r="K21" s="6" t="str">
        <x:f>IF(J21="","No duplicate dependency",IFERROR(XLOOKUP(J21,'Duplicate Review Queue'!B2:B16,'Duplicate Review Queue'!J2:J16),"Dependency not found"))</x:f>
        <x:v>No duplicate dependency</x:v>
      </x:c>
      <x:c r="L21" s="6" t="str">
        <x:v>Unresolved</x:v>
      </x:c>
      <x:c r="M21" s="6" t="str"/>
      <x:c r="N21" s="7" t="str"/>
      <x:c r="O21" s="6" t="str"/>
      <x:c r="P21" s="6" t="str"/>
      <x:c r="Q21" s="6" t="str">
        <x:v>Pending</x:v>
      </x:c>
      <x:c r="R21" s="7" t="str">
        <x:f>IF(AND(J21&lt;&gt;"",K21="Unresolved"),"Duplicate dependency unresolved","")</x:f>
      </x:c>
      <x:c r="S21" s="6" t="str">
        <x:v>No</x:v>
      </x:c>
      <x:c r="T21" s="7" t="str"/>
    </x:row>
    <x:row r="22">
      <x:c r="A22" s="6" t="str">
        <x:v>SIDX-0021</x:v>
      </x:c>
      <x:c r="B22" s="6" t="str">
        <x:v>SIR-000021</x:v>
      </x:c>
      <x:c r="C22" s="6" t="str">
        <x:v>SVC000021</x:v>
      </x:c>
      <x:c r="D22" s="6" t="str">
        <x:v>Galaxy S 22 Ultra Screen replacement</x:v>
      </x:c>
      <x:c r="E22" s="6" t="str"/>
      <x:c r="F22" s="6" t="str"/>
      <x:c r="G22" s="6" t="str"/>
      <x:c r="H22" s="6" t="str"/>
      <x:c r="I22" s="6" t="str"/>
      <x:c r="J22" s="6" t="str"/>
      <x:c r="K22" s="6" t="str">
        <x:f>IF(J22="","No duplicate dependency",IFERROR(XLOOKUP(J22,'Duplicate Review Queue'!B2:B16,'Duplicate Review Queue'!J2:J16),"Dependency not found"))</x:f>
        <x:v>No duplicate dependency</x:v>
      </x:c>
      <x:c r="L22" s="6" t="str">
        <x:v>Unresolved</x:v>
      </x:c>
      <x:c r="M22" s="6" t="str"/>
      <x:c r="N22" s="7" t="str"/>
      <x:c r="O22" s="6" t="str"/>
      <x:c r="P22" s="6" t="str"/>
      <x:c r="Q22" s="6" t="str">
        <x:v>Pending</x:v>
      </x:c>
      <x:c r="R22" s="7" t="str">
        <x:f>IF(AND(J22&lt;&gt;"",K22="Unresolved"),"Duplicate dependency unresolved","")</x:f>
      </x:c>
      <x:c r="S22" s="6" t="str">
        <x:v>No</x:v>
      </x:c>
      <x:c r="T22" s="7" t="str"/>
    </x:row>
    <x:row r="23">
      <x:c r="A23" s="6" t="str">
        <x:v>SIDX-0022</x:v>
      </x:c>
      <x:c r="B23" s="6" t="str">
        <x:v>SIR-000022</x:v>
      </x:c>
      <x:c r="C23" s="6" t="str">
        <x:v>SVC000022</x:v>
      </x:c>
      <x:c r="D23" s="6" t="str">
        <x:v>Galaxy S 24 FE Battery Replacement</x:v>
      </x:c>
      <x:c r="E23" s="6" t="str"/>
      <x:c r="F23" s="6" t="str"/>
      <x:c r="G23" s="6" t="str"/>
      <x:c r="H23" s="6" t="str"/>
      <x:c r="I23" s="6" t="str"/>
      <x:c r="J23" s="6" t="str"/>
      <x:c r="K23" s="6" t="str">
        <x:f>IF(J23="","No duplicate dependency",IFERROR(XLOOKUP(J23,'Duplicate Review Queue'!B2:B16,'Duplicate Review Queue'!J2:J16),"Dependency not found"))</x:f>
        <x:v>No duplicate dependency</x:v>
      </x:c>
      <x:c r="L23" s="6" t="str">
        <x:v>Unresolved</x:v>
      </x:c>
      <x:c r="M23" s="6" t="str"/>
      <x:c r="N23" s="7" t="str"/>
      <x:c r="O23" s="6" t="str"/>
      <x:c r="P23" s="6" t="str"/>
      <x:c r="Q23" s="6" t="str">
        <x:v>Pending</x:v>
      </x:c>
      <x:c r="R23" s="7" t="str">
        <x:f>IF(AND(J23&lt;&gt;"",K23="Unresolved"),"Duplicate dependency unresolved","")</x:f>
      </x:c>
      <x:c r="S23" s="6" t="str">
        <x:v>No</x:v>
      </x:c>
      <x:c r="T23" s="7" t="str"/>
    </x:row>
    <x:row r="24">
      <x:c r="A24" s="6" t="str">
        <x:v>SIDX-0023</x:v>
      </x:c>
      <x:c r="B24" s="6" t="str">
        <x:v>SIR-000023</x:v>
      </x:c>
      <x:c r="C24" s="6" t="str">
        <x:v>SVC000023</x:v>
      </x:c>
      <x:c r="D24" s="6" t="str">
        <x:v>Galaxy S 7 Active Screen replacement</x:v>
      </x:c>
      <x:c r="E24" s="6" t="str"/>
      <x:c r="F24" s="6" t="str"/>
      <x:c r="G24" s="6" t="str"/>
      <x:c r="H24" s="6" t="str"/>
      <x:c r="I24" s="6" t="str"/>
      <x:c r="J24" s="6" t="str"/>
      <x:c r="K24" s="6" t="str">
        <x:f>IF(J24="","No duplicate dependency",IFERROR(XLOOKUP(J24,'Duplicate Review Queue'!B2:B16,'Duplicate Review Queue'!J2:J16),"Dependency not found"))</x:f>
        <x:v>No duplicate dependency</x:v>
      </x:c>
      <x:c r="L24" s="6" t="str">
        <x:v>Unresolved</x:v>
      </x:c>
      <x:c r="M24" s="6" t="str"/>
      <x:c r="N24" s="7" t="str"/>
      <x:c r="O24" s="6" t="str"/>
      <x:c r="P24" s="6" t="str"/>
      <x:c r="Q24" s="6" t="str">
        <x:v>Pending</x:v>
      </x:c>
      <x:c r="R24" s="7" t="str">
        <x:f>IF(AND(J24&lt;&gt;"",K24="Unresolved"),"Duplicate dependency unresolved","")</x:f>
      </x:c>
      <x:c r="S24" s="6" t="str">
        <x:v>No</x:v>
      </x:c>
      <x:c r="T24" s="7" t="str"/>
    </x:row>
    <x:row r="25">
      <x:c r="A25" s="6" t="str">
        <x:v>SIDX-0024</x:v>
      </x:c>
      <x:c r="B25" s="6" t="str">
        <x:v>SIR-000024</x:v>
      </x:c>
      <x:c r="C25" s="6" t="str">
        <x:v>SVC000024</x:v>
      </x:c>
      <x:c r="D25" s="6" t="str">
        <x:v>Galaxy S 10 Plus Screen replacement</x:v>
      </x:c>
      <x:c r="E25" s="6" t="str"/>
      <x:c r="F25" s="6" t="str"/>
      <x:c r="G25" s="6" t="str"/>
      <x:c r="H25" s="6" t="str"/>
      <x:c r="I25" s="6" t="str"/>
      <x:c r="J25" s="6" t="str"/>
      <x:c r="K25" s="6" t="str">
        <x:f>IF(J25="","No duplicate dependency",IFERROR(XLOOKUP(J25,'Duplicate Review Queue'!B2:B16,'Duplicate Review Queue'!J2:J16),"Dependency not found"))</x:f>
        <x:v>No duplicate dependency</x:v>
      </x:c>
      <x:c r="L25" s="6" t="str">
        <x:v>Unresolved</x:v>
      </x:c>
      <x:c r="M25" s="6" t="str"/>
      <x:c r="N25" s="7" t="str"/>
      <x:c r="O25" s="6" t="str"/>
      <x:c r="P25" s="6" t="str"/>
      <x:c r="Q25" s="6" t="str">
        <x:v>Pending</x:v>
      </x:c>
      <x:c r="R25" s="7" t="str">
        <x:f>IF(AND(J25&lt;&gt;"",K25="Unresolved"),"Duplicate dependency unresolved","")</x:f>
      </x:c>
      <x:c r="S25" s="6" t="str">
        <x:v>No</x:v>
      </x:c>
      <x:c r="T25" s="7" t="str"/>
    </x:row>
    <x:row r="26">
      <x:c r="A26" s="6" t="str">
        <x:v>SIDX-0025</x:v>
      </x:c>
      <x:c r="B26" s="6" t="str">
        <x:v>SIR-000025</x:v>
      </x:c>
      <x:c r="C26" s="6" t="str">
        <x:v>SVC000025</x:v>
      </x:c>
      <x:c r="D26" s="6" t="str">
        <x:v>Galaxy S 6 Active Screen replacement</x:v>
      </x:c>
      <x:c r="E26" s="6" t="str"/>
      <x:c r="F26" s="6" t="str"/>
      <x:c r="G26" s="6" t="str"/>
      <x:c r="H26" s="6" t="str"/>
      <x:c r="I26" s="6" t="str"/>
      <x:c r="J26" s="6" t="str"/>
      <x:c r="K26" s="6" t="str">
        <x:f>IF(J26="","No duplicate dependency",IFERROR(XLOOKUP(J26,'Duplicate Review Queue'!B2:B16,'Duplicate Review Queue'!J2:J16),"Dependency not found"))</x:f>
        <x:v>No duplicate dependency</x:v>
      </x:c>
      <x:c r="L26" s="6" t="str">
        <x:v>Unresolved</x:v>
      </x:c>
      <x:c r="M26" s="6" t="str"/>
      <x:c r="N26" s="7" t="str"/>
      <x:c r="O26" s="6" t="str"/>
      <x:c r="P26" s="6" t="str"/>
      <x:c r="Q26" s="6" t="str">
        <x:v>Pending</x:v>
      </x:c>
      <x:c r="R26" s="7" t="str">
        <x:f>IF(AND(J26&lt;&gt;"",K26="Unresolved"),"Duplicate dependency unresolved","")</x:f>
      </x:c>
      <x:c r="S26" s="6" t="str">
        <x:v>No</x:v>
      </x:c>
      <x:c r="T26" s="7" t="str"/>
    </x:row>
    <x:row r="27">
      <x:c r="A27" s="6" t="str">
        <x:v>SIDX-0026</x:v>
      </x:c>
      <x:c r="B27" s="6" t="str">
        <x:v>SIR-000026</x:v>
      </x:c>
      <x:c r="C27" s="6" t="str">
        <x:v>SVC000026</x:v>
      </x:c>
      <x:c r="D27" s="6" t="str">
        <x:v>Galaxy S 6 Screen replacement</x:v>
      </x:c>
      <x:c r="E27" s="6" t="str"/>
      <x:c r="F27" s="6" t="str"/>
      <x:c r="G27" s="6" t="str"/>
      <x:c r="H27" s="6" t="str"/>
      <x:c r="I27" s="6" t="str"/>
      <x:c r="J27" s="6" t="str"/>
      <x:c r="K27" s="6" t="str">
        <x:f>IF(J27="","No duplicate dependency",IFERROR(XLOOKUP(J27,'Duplicate Review Queue'!B2:B16,'Duplicate Review Queue'!J2:J16),"Dependency not found"))</x:f>
        <x:v>No duplicate dependency</x:v>
      </x:c>
      <x:c r="L27" s="6" t="str">
        <x:v>Unresolved</x:v>
      </x:c>
      <x:c r="M27" s="6" t="str"/>
      <x:c r="N27" s="7" t="str"/>
      <x:c r="O27" s="6" t="str"/>
      <x:c r="P27" s="6" t="str"/>
      <x:c r="Q27" s="6" t="str">
        <x:v>Pending</x:v>
      </x:c>
      <x:c r="R27" s="7" t="str">
        <x:f>IF(AND(J27&lt;&gt;"",K27="Unresolved"),"Duplicate dependency unresolved","")</x:f>
      </x:c>
      <x:c r="S27" s="6" t="str">
        <x:v>No</x:v>
      </x:c>
      <x:c r="T27" s="7" t="str"/>
    </x:row>
    <x:row r="28">
      <x:c r="A28" s="6" t="str">
        <x:v>SIDX-0027</x:v>
      </x:c>
      <x:c r="B28" s="6" t="str">
        <x:v>SIR-000027</x:v>
      </x:c>
      <x:c r="C28" s="6" t="str">
        <x:v>SVC000027</x:v>
      </x:c>
      <x:c r="D28" s="6" t="str">
        <x:v>Galaxy S 21 FE Screen replacement</x:v>
      </x:c>
      <x:c r="E28" s="6" t="str"/>
      <x:c r="F28" s="6" t="str"/>
      <x:c r="G28" s="6" t="str"/>
      <x:c r="H28" s="6" t="str"/>
      <x:c r="I28" s="6" t="str"/>
      <x:c r="J28" s="6" t="str"/>
      <x:c r="K28" s="6" t="str">
        <x:f>IF(J28="","No duplicate dependency",IFERROR(XLOOKUP(J28,'Duplicate Review Queue'!B2:B16,'Duplicate Review Queue'!J2:J16),"Dependency not found"))</x:f>
        <x:v>No duplicate dependency</x:v>
      </x:c>
      <x:c r="L28" s="6" t="str">
        <x:v>Unresolved</x:v>
      </x:c>
      <x:c r="M28" s="6" t="str"/>
      <x:c r="N28" s="7" t="str"/>
      <x:c r="O28" s="6" t="str"/>
      <x:c r="P28" s="6" t="str"/>
      <x:c r="Q28" s="6" t="str">
        <x:v>Pending</x:v>
      </x:c>
      <x:c r="R28" s="7" t="str">
        <x:f>IF(AND(J28&lt;&gt;"",K28="Unresolved"),"Duplicate dependency unresolved","")</x:f>
      </x:c>
      <x:c r="S28" s="6" t="str">
        <x:v>No</x:v>
      </x:c>
      <x:c r="T28" s="7" t="str"/>
    </x:row>
    <x:row r="29">
      <x:c r="A29" s="6" t="str">
        <x:v>SIDX-0028</x:v>
      </x:c>
      <x:c r="B29" s="6" t="str">
        <x:v>SIR-000028</x:v>
      </x:c>
      <x:c r="C29" s="6" t="str">
        <x:v>SVC000028</x:v>
      </x:c>
      <x:c r="D29" s="6" t="str">
        <x:v>Galaxy S 6 Edge Screen replacement</x:v>
      </x:c>
      <x:c r="E29" s="6" t="str"/>
      <x:c r="F29" s="6" t="str"/>
      <x:c r="G29" s="6" t="str"/>
      <x:c r="H29" s="6" t="str"/>
      <x:c r="I29" s="6" t="str"/>
      <x:c r="J29" s="6" t="str"/>
      <x:c r="K29" s="6" t="str">
        <x:f>IF(J29="","No duplicate dependency",IFERROR(XLOOKUP(J29,'Duplicate Review Queue'!B2:B16,'Duplicate Review Queue'!J2:J16),"Dependency not found"))</x:f>
        <x:v>No duplicate dependency</x:v>
      </x:c>
      <x:c r="L29" s="6" t="str">
        <x:v>Unresolved</x:v>
      </x:c>
      <x:c r="M29" s="6" t="str"/>
      <x:c r="N29" s="7" t="str"/>
      <x:c r="O29" s="6" t="str"/>
      <x:c r="P29" s="6" t="str"/>
      <x:c r="Q29" s="6" t="str">
        <x:v>Pending</x:v>
      </x:c>
      <x:c r="R29" s="7" t="str">
        <x:f>IF(AND(J29&lt;&gt;"",K29="Unresolved"),"Duplicate dependency unresolved","")</x:f>
      </x:c>
      <x:c r="S29" s="6" t="str">
        <x:v>No</x:v>
      </x:c>
      <x:c r="T29" s="7" t="str"/>
    </x:row>
    <x:row r="30">
      <x:c r="A30" s="6" t="str">
        <x:v>SIDX-0029</x:v>
      </x:c>
      <x:c r="B30" s="6" t="str">
        <x:v>SIR-000029</x:v>
      </x:c>
      <x:c r="C30" s="6" t="str">
        <x:v>SVC000029</x:v>
      </x:c>
      <x:c r="D30" s="6" t="str">
        <x:v>Galaxy S 21 Plus Screen replacement</x:v>
      </x:c>
      <x:c r="E30" s="6" t="str"/>
      <x:c r="F30" s="6" t="str"/>
      <x:c r="G30" s="6" t="str"/>
      <x:c r="H30" s="6" t="str"/>
      <x:c r="I30" s="6" t="str"/>
      <x:c r="J30" s="6" t="str"/>
      <x:c r="K30" s="6" t="str">
        <x:f>IF(J30="","No duplicate dependency",IFERROR(XLOOKUP(J30,'Duplicate Review Queue'!B2:B16,'Duplicate Review Queue'!J2:J16),"Dependency not found"))</x:f>
        <x:v>No duplicate dependency</x:v>
      </x:c>
      <x:c r="L30" s="6" t="str">
        <x:v>Unresolved</x:v>
      </x:c>
      <x:c r="M30" s="6" t="str"/>
      <x:c r="N30" s="7" t="str"/>
      <x:c r="O30" s="6" t="str"/>
      <x:c r="P30" s="6" t="str"/>
      <x:c r="Q30" s="6" t="str">
        <x:v>Pending</x:v>
      </x:c>
      <x:c r="R30" s="7" t="str">
        <x:f>IF(AND(J30&lt;&gt;"",K30="Unresolved"),"Duplicate dependency unresolved","")</x:f>
      </x:c>
      <x:c r="S30" s="6" t="str">
        <x:v>No</x:v>
      </x:c>
      <x:c r="T30" s="7" t="str"/>
    </x:row>
    <x:row r="31">
      <x:c r="A31" s="6" t="str">
        <x:v>SIDX-0030</x:v>
      </x:c>
      <x:c r="B31" s="6" t="str">
        <x:v>SIR-000030</x:v>
      </x:c>
      <x:c r="C31" s="6" t="str">
        <x:v>SVC000030</x:v>
      </x:c>
      <x:c r="D31" s="6" t="str">
        <x:v>Galaxy S 6 Edge Plus Screen replacement</x:v>
      </x:c>
      <x:c r="E31" s="6" t="str"/>
      <x:c r="F31" s="6" t="str"/>
      <x:c r="G31" s="6" t="str"/>
      <x:c r="H31" s="6" t="str"/>
      <x:c r="I31" s="6" t="str"/>
      <x:c r="J31" s="6" t="str"/>
      <x:c r="K31" s="6" t="str">
        <x:f>IF(J31="","No duplicate dependency",IFERROR(XLOOKUP(J31,'Duplicate Review Queue'!B2:B16,'Duplicate Review Queue'!J2:J16),"Dependency not found"))</x:f>
        <x:v>No duplicate dependency</x:v>
      </x:c>
      <x:c r="L31" s="6" t="str">
        <x:v>Unresolved</x:v>
      </x:c>
      <x:c r="M31" s="6" t="str"/>
      <x:c r="N31" s="7" t="str"/>
      <x:c r="O31" s="6" t="str"/>
      <x:c r="P31" s="6" t="str"/>
      <x:c r="Q31" s="6" t="str">
        <x:v>Pending</x:v>
      </x:c>
      <x:c r="R31" s="7" t="str">
        <x:f>IF(AND(J31&lt;&gt;"",K31="Unresolved"),"Duplicate dependency unresolved","")</x:f>
      </x:c>
      <x:c r="S31" s="6" t="str">
        <x:v>No</x:v>
      </x:c>
      <x:c r="T31" s="7" t="str"/>
    </x:row>
    <x:row r="32">
      <x:c r="A32" s="6" t="str">
        <x:v>SIDX-0031</x:v>
      </x:c>
      <x:c r="B32" s="6" t="str">
        <x:v>SIR-000031</x:v>
      </x:c>
      <x:c r="C32" s="6" t="str">
        <x:v>SVC000031</x:v>
      </x:c>
      <x:c r="D32" s="6" t="str">
        <x:v>Galaxy S 25 Screen replacement</x:v>
      </x:c>
      <x:c r="E32" s="6" t="str"/>
      <x:c r="F32" s="6" t="str"/>
      <x:c r="G32" s="6" t="str"/>
      <x:c r="H32" s="6" t="str"/>
      <x:c r="I32" s="6" t="str"/>
      <x:c r="J32" s="6" t="str"/>
      <x:c r="K32" s="6" t="str">
        <x:f>IF(J32="","No duplicate dependency",IFERROR(XLOOKUP(J32,'Duplicate Review Queue'!B2:B16,'Duplicate Review Queue'!J2:J16),"Dependency not found"))</x:f>
        <x:v>No duplicate dependency</x:v>
      </x:c>
      <x:c r="L32" s="6" t="str">
        <x:v>Unresolved</x:v>
      </x:c>
      <x:c r="M32" s="6" t="str"/>
      <x:c r="N32" s="7" t="str"/>
      <x:c r="O32" s="6" t="str"/>
      <x:c r="P32" s="6" t="str"/>
      <x:c r="Q32" s="6" t="str">
        <x:v>Pending</x:v>
      </x:c>
      <x:c r="R32" s="7" t="str">
        <x:f>IF(AND(J32&lt;&gt;"",K32="Unresolved"),"Duplicate dependency unresolved","")</x:f>
      </x:c>
      <x:c r="S32" s="6" t="str">
        <x:v>No</x:v>
      </x:c>
      <x:c r="T32" s="7" t="str"/>
    </x:row>
    <x:row r="33">
      <x:c r="A33" s="6" t="str">
        <x:v>SIDX-0032</x:v>
      </x:c>
      <x:c r="B33" s="6" t="str">
        <x:v>SIR-000032</x:v>
      </x:c>
      <x:c r="C33" s="6" t="str">
        <x:v>SVC000032</x:v>
      </x:c>
      <x:c r="D33" s="6" t="str">
        <x:v>Galaxy S 10 E Screen replacement</x:v>
      </x:c>
      <x:c r="E33" s="6" t="str"/>
      <x:c r="F33" s="6" t="str"/>
      <x:c r="G33" s="6" t="str"/>
      <x:c r="H33" s="6" t="str"/>
      <x:c r="I33" s="6" t="str"/>
      <x:c r="J33" s="6" t="str"/>
      <x:c r="K33" s="6" t="str">
        <x:f>IF(J33="","No duplicate dependency",IFERROR(XLOOKUP(J33,'Duplicate Review Queue'!B2:B16,'Duplicate Review Queue'!J2:J16),"Dependency not found"))</x:f>
        <x:v>No duplicate dependency</x:v>
      </x:c>
      <x:c r="L33" s="6" t="str">
        <x:v>Unresolved</x:v>
      </x:c>
      <x:c r="M33" s="6" t="str"/>
      <x:c r="N33" s="7" t="str"/>
      <x:c r="O33" s="6" t="str"/>
      <x:c r="P33" s="6" t="str"/>
      <x:c r="Q33" s="6" t="str">
        <x:v>Pending</x:v>
      </x:c>
      <x:c r="R33" s="7" t="str">
        <x:f>IF(AND(J33&lt;&gt;"",K33="Unresolved"),"Duplicate dependency unresolved","")</x:f>
      </x:c>
      <x:c r="S33" s="6" t="str">
        <x:v>No</x:v>
      </x:c>
      <x:c r="T33" s="7" t="str"/>
    </x:row>
    <x:row r="34">
      <x:c r="A34" s="6" t="str">
        <x:v>SIDX-0033</x:v>
      </x:c>
      <x:c r="B34" s="6" t="str">
        <x:v>SIR-000033</x:v>
      </x:c>
      <x:c r="C34" s="6" t="str">
        <x:v>SVC000033</x:v>
      </x:c>
      <x:c r="D34" s="6" t="str">
        <x:v>Galaxy S 23 Plus Screen replacement</x:v>
      </x:c>
      <x:c r="E34" s="6" t="str"/>
      <x:c r="F34" s="6" t="str"/>
      <x:c r="G34" s="6" t="str"/>
      <x:c r="H34" s="6" t="str"/>
      <x:c r="I34" s="6" t="str"/>
      <x:c r="J34" s="6" t="str"/>
      <x:c r="K34" s="6" t="str">
        <x:f>IF(J34="","No duplicate dependency",IFERROR(XLOOKUP(J34,'Duplicate Review Queue'!B2:B16,'Duplicate Review Queue'!J2:J16),"Dependency not found"))</x:f>
        <x:v>No duplicate dependency</x:v>
      </x:c>
      <x:c r="L34" s="6" t="str">
        <x:v>Unresolved</x:v>
      </x:c>
      <x:c r="M34" s="6" t="str"/>
      <x:c r="N34" s="7" t="str"/>
      <x:c r="O34" s="6" t="str"/>
      <x:c r="P34" s="6" t="str"/>
      <x:c r="Q34" s="6" t="str">
        <x:v>Pending</x:v>
      </x:c>
      <x:c r="R34" s="7" t="str">
        <x:f>IF(AND(J34&lt;&gt;"",K34="Unresolved"),"Duplicate dependency unresolved","")</x:f>
      </x:c>
      <x:c r="S34" s="6" t="str">
        <x:v>No</x:v>
      </x:c>
      <x:c r="T34" s="7" t="str"/>
    </x:row>
    <x:row r="35">
      <x:c r="A35" s="6" t="str">
        <x:v>SIDX-0034</x:v>
      </x:c>
      <x:c r="B35" s="6" t="str">
        <x:v>SIR-000034</x:v>
      </x:c>
      <x:c r="C35" s="6" t="str">
        <x:v>SVC000034</x:v>
      </x:c>
      <x:c r="D35" s="6" t="str">
        <x:v>Galaxy S 8 Screen replacement</x:v>
      </x:c>
      <x:c r="E35" s="6" t="str"/>
      <x:c r="F35" s="6" t="str"/>
      <x:c r="G35" s="6" t="str"/>
      <x:c r="H35" s="6" t="str"/>
      <x:c r="I35" s="6" t="str"/>
      <x:c r="J35" s="6" t="str"/>
      <x:c r="K35" s="6" t="str">
        <x:f>IF(J35="","No duplicate dependency",IFERROR(XLOOKUP(J35,'Duplicate Review Queue'!B2:B16,'Duplicate Review Queue'!J2:J16),"Dependency not found"))</x:f>
        <x:v>No duplicate dependency</x:v>
      </x:c>
      <x:c r="L35" s="6" t="str">
        <x:v>Unresolved</x:v>
      </x:c>
      <x:c r="M35" s="6" t="str"/>
      <x:c r="N35" s="7" t="str"/>
      <x:c r="O35" s="6" t="str"/>
      <x:c r="P35" s="6" t="str"/>
      <x:c r="Q35" s="6" t="str">
        <x:v>Pending</x:v>
      </x:c>
      <x:c r="R35" s="7" t="str">
        <x:f>IF(AND(J35&lt;&gt;"",K35="Unresolved"),"Duplicate dependency unresolved","")</x:f>
      </x:c>
      <x:c r="S35" s="6" t="str">
        <x:v>No</x:v>
      </x:c>
      <x:c r="T35" s="7" t="str"/>
    </x:row>
    <x:row r="36">
      <x:c r="A36" s="6" t="str">
        <x:v>SIDX-0035</x:v>
      </x:c>
      <x:c r="B36" s="6" t="str">
        <x:v>SIR-000035</x:v>
      </x:c>
      <x:c r="C36" s="6" t="str">
        <x:v>SVC000035</x:v>
      </x:c>
      <x:c r="D36" s="6" t="str">
        <x:v>Galaxy S 20 Screen replacement</x:v>
      </x:c>
      <x:c r="E36" s="6" t="str"/>
      <x:c r="F36" s="6" t="str"/>
      <x:c r="G36" s="6" t="str"/>
      <x:c r="H36" s="6" t="str"/>
      <x:c r="I36" s="6" t="str"/>
      <x:c r="J36" s="6" t="str"/>
      <x:c r="K36" s="6" t="str">
        <x:f>IF(J36="","No duplicate dependency",IFERROR(XLOOKUP(J36,'Duplicate Review Queue'!B2:B16,'Duplicate Review Queue'!J2:J16),"Dependency not found"))</x:f>
        <x:v>No duplicate dependency</x:v>
      </x:c>
      <x:c r="L36" s="6" t="str">
        <x:v>Unresolved</x:v>
      </x:c>
      <x:c r="M36" s="6" t="str"/>
      <x:c r="N36" s="7" t="str"/>
      <x:c r="O36" s="6" t="str"/>
      <x:c r="P36" s="6" t="str"/>
      <x:c r="Q36" s="6" t="str">
        <x:v>Pending</x:v>
      </x:c>
      <x:c r="R36" s="7" t="str">
        <x:f>IF(AND(J36&lt;&gt;"",K36="Unresolved"),"Duplicate dependency unresolved","")</x:f>
      </x:c>
      <x:c r="S36" s="6" t="str">
        <x:v>No</x:v>
      </x:c>
      <x:c r="T36" s="7" t="str"/>
    </x:row>
    <x:row r="37">
      <x:c r="A37" s="6" t="str">
        <x:v>SIDX-0036</x:v>
      </x:c>
      <x:c r="B37" s="6" t="str">
        <x:v>SIR-000036</x:v>
      </x:c>
      <x:c r="C37" s="6" t="str">
        <x:v>SVC000036</x:v>
      </x:c>
      <x:c r="D37" s="6" t="str">
        <x:v>Galaxy S 20 Ultra Screen replacement</x:v>
      </x:c>
      <x:c r="E37" s="6" t="str"/>
      <x:c r="F37" s="6" t="str"/>
      <x:c r="G37" s="6" t="str"/>
      <x:c r="H37" s="6" t="str"/>
      <x:c r="I37" s="6" t="str"/>
      <x:c r="J37" s="6" t="str"/>
      <x:c r="K37" s="6" t="str">
        <x:f>IF(J37="","No duplicate dependency",IFERROR(XLOOKUP(J37,'Duplicate Review Queue'!B2:B16,'Duplicate Review Queue'!J2:J16),"Dependency not found"))</x:f>
        <x:v>No duplicate dependency</x:v>
      </x:c>
      <x:c r="L37" s="6" t="str">
        <x:v>Unresolved</x:v>
      </x:c>
      <x:c r="M37" s="6" t="str"/>
      <x:c r="N37" s="7" t="str"/>
      <x:c r="O37" s="6" t="str"/>
      <x:c r="P37" s="6" t="str"/>
      <x:c r="Q37" s="6" t="str">
        <x:v>Pending</x:v>
      </x:c>
      <x:c r="R37" s="7" t="str">
        <x:f>IF(AND(J37&lt;&gt;"",K37="Unresolved"),"Duplicate dependency unresolved","")</x:f>
      </x:c>
      <x:c r="S37" s="6" t="str">
        <x:v>No</x:v>
      </x:c>
      <x:c r="T37" s="7" t="str"/>
    </x:row>
    <x:row r="38">
      <x:c r="A38" s="6" t="str">
        <x:v>SIDX-0037</x:v>
      </x:c>
      <x:c r="B38" s="6" t="str">
        <x:v>SIR-000037</x:v>
      </x:c>
      <x:c r="C38" s="6" t="str">
        <x:v>SVC000037</x:v>
      </x:c>
      <x:c r="D38" s="6" t="str">
        <x:v>Galaxy S 24 Plus Screen replacement</x:v>
      </x:c>
      <x:c r="E38" s="6" t="str"/>
      <x:c r="F38" s="6" t="str"/>
      <x:c r="G38" s="6" t="str"/>
      <x:c r="H38" s="6" t="str"/>
      <x:c r="I38" s="6" t="str"/>
      <x:c r="J38" s="6" t="str"/>
      <x:c r="K38" s="6" t="str">
        <x:f>IF(J38="","No duplicate dependency",IFERROR(XLOOKUP(J38,'Duplicate Review Queue'!B2:B16,'Duplicate Review Queue'!J2:J16),"Dependency not found"))</x:f>
        <x:v>No duplicate dependency</x:v>
      </x:c>
      <x:c r="L38" s="6" t="str">
        <x:v>Unresolved</x:v>
      </x:c>
      <x:c r="M38" s="6" t="str"/>
      <x:c r="N38" s="7" t="str"/>
      <x:c r="O38" s="6" t="str"/>
      <x:c r="P38" s="6" t="str"/>
      <x:c r="Q38" s="6" t="str">
        <x:v>Pending</x:v>
      </x:c>
      <x:c r="R38" s="7" t="str">
        <x:f>IF(AND(J38&lt;&gt;"",K38="Unresolved"),"Duplicate dependency unresolved","")</x:f>
      </x:c>
      <x:c r="S38" s="6" t="str">
        <x:v>No</x:v>
      </x:c>
      <x:c r="T38" s="7" t="str"/>
    </x:row>
    <x:row r="39">
      <x:c r="A39" s="6" t="str">
        <x:v>SIDX-0038</x:v>
      </x:c>
      <x:c r="B39" s="6" t="str">
        <x:v>SIR-000038</x:v>
      </x:c>
      <x:c r="C39" s="6" t="str">
        <x:v>SVC000038</x:v>
      </x:c>
      <x:c r="D39" s="6" t="str">
        <x:v>Galaxy S 7 Screen replacement</x:v>
      </x:c>
      <x:c r="E39" s="6" t="str"/>
      <x:c r="F39" s="6" t="str"/>
      <x:c r="G39" s="6" t="str"/>
      <x:c r="H39" s="6" t="str"/>
      <x:c r="I39" s="6" t="str"/>
      <x:c r="J39" s="6" t="str"/>
      <x:c r="K39" s="6" t="str">
        <x:f>IF(J39="","No duplicate dependency",IFERROR(XLOOKUP(J39,'Duplicate Review Queue'!B2:B16,'Duplicate Review Queue'!J2:J16),"Dependency not found"))</x:f>
        <x:v>No duplicate dependency</x:v>
      </x:c>
      <x:c r="L39" s="6" t="str">
        <x:v>Unresolved</x:v>
      </x:c>
      <x:c r="M39" s="6" t="str"/>
      <x:c r="N39" s="7" t="str"/>
      <x:c r="O39" s="6" t="str"/>
      <x:c r="P39" s="6" t="str"/>
      <x:c r="Q39" s="6" t="str">
        <x:v>Pending</x:v>
      </x:c>
      <x:c r="R39" s="7" t="str">
        <x:f>IF(AND(J39&lt;&gt;"",K39="Unresolved"),"Duplicate dependency unresolved","")</x:f>
      </x:c>
      <x:c r="S39" s="6" t="str">
        <x:v>No</x:v>
      </x:c>
      <x:c r="T39" s="7" t="str"/>
    </x:row>
    <x:row r="40">
      <x:c r="A40" s="6" t="str">
        <x:v>SIDX-0039</x:v>
      </x:c>
      <x:c r="B40" s="6" t="str">
        <x:v>SIR-000039</x:v>
      </x:c>
      <x:c r="C40" s="6" t="str">
        <x:v>SVC000039</x:v>
      </x:c>
      <x:c r="D40" s="6" t="str">
        <x:v>Galaxy S 10 Screen replacement</x:v>
      </x:c>
      <x:c r="E40" s="6" t="str"/>
      <x:c r="F40" s="6" t="str"/>
      <x:c r="G40" s="6" t="str"/>
      <x:c r="H40" s="6" t="str"/>
      <x:c r="I40" s="6" t="str"/>
      <x:c r="J40" s="6" t="str"/>
      <x:c r="K40" s="6" t="str">
        <x:f>IF(J40="","No duplicate dependency",IFERROR(XLOOKUP(J40,'Duplicate Review Queue'!B2:B16,'Duplicate Review Queue'!J2:J16),"Dependency not found"))</x:f>
        <x:v>No duplicate dependency</x:v>
      </x:c>
      <x:c r="L40" s="6" t="str">
        <x:v>Unresolved</x:v>
      </x:c>
      <x:c r="M40" s="6" t="str"/>
      <x:c r="N40" s="7" t="str"/>
      <x:c r="O40" s="6" t="str"/>
      <x:c r="P40" s="6" t="str"/>
      <x:c r="Q40" s="6" t="str">
        <x:v>Pending</x:v>
      </x:c>
      <x:c r="R40" s="7" t="str">
        <x:f>IF(AND(J40&lt;&gt;"",K40="Unresolved"),"Duplicate dependency unresolved","")</x:f>
      </x:c>
      <x:c r="S40" s="6" t="str">
        <x:v>No</x:v>
      </x:c>
      <x:c r="T40" s="7" t="str"/>
    </x:row>
    <x:row r="41">
      <x:c r="A41" s="6" t="str">
        <x:v>SIDX-0040</x:v>
      </x:c>
      <x:c r="B41" s="6" t="str">
        <x:v>SIR-000040</x:v>
      </x:c>
      <x:c r="C41" s="6" t="str">
        <x:v>SVC000040</x:v>
      </x:c>
      <x:c r="D41" s="6" t="str">
        <x:v>Galaxy S 7 Edge Screen replacement</x:v>
      </x:c>
      <x:c r="E41" s="6" t="str"/>
      <x:c r="F41" s="6" t="str"/>
      <x:c r="G41" s="6" t="str"/>
      <x:c r="H41" s="6" t="str"/>
      <x:c r="I41" s="6" t="str"/>
      <x:c r="J41" s="6" t="str"/>
      <x:c r="K41" s="6" t="str">
        <x:f>IF(J41="","No duplicate dependency",IFERROR(XLOOKUP(J41,'Duplicate Review Queue'!B2:B16,'Duplicate Review Queue'!J2:J16),"Dependency not found"))</x:f>
        <x:v>No duplicate dependency</x:v>
      </x:c>
      <x:c r="L41" s="6" t="str">
        <x:v>Unresolved</x:v>
      </x:c>
      <x:c r="M41" s="6" t="str"/>
      <x:c r="N41" s="7" t="str"/>
      <x:c r="O41" s="6" t="str"/>
      <x:c r="P41" s="6" t="str"/>
      <x:c r="Q41" s="6" t="str">
        <x:v>Pending</x:v>
      </x:c>
      <x:c r="R41" s="7" t="str">
        <x:f>IF(AND(J41&lt;&gt;"",K41="Unresolved"),"Duplicate dependency unresolved","")</x:f>
      </x:c>
      <x:c r="S41" s="6" t="str">
        <x:v>No</x:v>
      </x:c>
      <x:c r="T41" s="7" t="str"/>
    </x:row>
    <x:row r="42">
      <x:c r="A42" s="6" t="str">
        <x:v>SIDX-0041</x:v>
      </x:c>
      <x:c r="B42" s="6" t="str">
        <x:v>SIR-000041</x:v>
      </x:c>
      <x:c r="C42" s="6" t="str">
        <x:v>SVC000041</x:v>
      </x:c>
      <x:c r="D42" s="6" t="str">
        <x:v>Galaxy S 9 Screen replacement</x:v>
      </x:c>
      <x:c r="E42" s="6" t="str"/>
      <x:c r="F42" s="6" t="str"/>
      <x:c r="G42" s="6" t="str"/>
      <x:c r="H42" s="6" t="str"/>
      <x:c r="I42" s="6" t="str"/>
      <x:c r="J42" s="6" t="str"/>
      <x:c r="K42" s="6" t="str">
        <x:f>IF(J42="","No duplicate dependency",IFERROR(XLOOKUP(J42,'Duplicate Review Queue'!B2:B16,'Duplicate Review Queue'!J2:J16),"Dependency not found"))</x:f>
        <x:v>No duplicate dependency</x:v>
      </x:c>
      <x:c r="L42" s="6" t="str">
        <x:v>Unresolved</x:v>
      </x:c>
      <x:c r="M42" s="6" t="str"/>
      <x:c r="N42" s="7" t="str"/>
      <x:c r="O42" s="6" t="str"/>
      <x:c r="P42" s="6" t="str"/>
      <x:c r="Q42" s="6" t="str">
        <x:v>Pending</x:v>
      </x:c>
      <x:c r="R42" s="7" t="str">
        <x:f>IF(AND(J42&lt;&gt;"",K42="Unresolved"),"Duplicate dependency unresolved","")</x:f>
      </x:c>
      <x:c r="S42" s="6" t="str">
        <x:v>No</x:v>
      </x:c>
      <x:c r="T42" s="7" t="str"/>
    </x:row>
    <x:row r="43">
      <x:c r="A43" s="6" t="str">
        <x:v>SIDX-0042</x:v>
      </x:c>
      <x:c r="B43" s="6" t="str">
        <x:v>SIR-000042</x:v>
      </x:c>
      <x:c r="C43" s="6" t="str">
        <x:v>SVC000042</x:v>
      </x:c>
      <x:c r="D43" s="6" t="str">
        <x:v>Galaxy S 23 Screen replacement</x:v>
      </x:c>
      <x:c r="E43" s="6" t="str"/>
      <x:c r="F43" s="6" t="str"/>
      <x:c r="G43" s="6" t="str"/>
      <x:c r="H43" s="6" t="str"/>
      <x:c r="I43" s="6" t="str"/>
      <x:c r="J43" s="6" t="str"/>
      <x:c r="K43" s="6" t="str">
        <x:f>IF(J43="","No duplicate dependency",IFERROR(XLOOKUP(J43,'Duplicate Review Queue'!B2:B16,'Duplicate Review Queue'!J2:J16),"Dependency not found"))</x:f>
        <x:v>No duplicate dependency</x:v>
      </x:c>
      <x:c r="L43" s="6" t="str">
        <x:v>Unresolved</x:v>
      </x:c>
      <x:c r="M43" s="6" t="str"/>
      <x:c r="N43" s="7" t="str"/>
      <x:c r="O43" s="6" t="str"/>
      <x:c r="P43" s="6" t="str"/>
      <x:c r="Q43" s="6" t="str">
        <x:v>Pending</x:v>
      </x:c>
      <x:c r="R43" s="7" t="str">
        <x:f>IF(AND(J43&lt;&gt;"",K43="Unresolved"),"Duplicate dependency unresolved","")</x:f>
      </x:c>
      <x:c r="S43" s="6" t="str">
        <x:v>No</x:v>
      </x:c>
      <x:c r="T43" s="7" t="str"/>
    </x:row>
    <x:row r="44">
      <x:c r="A44" s="6" t="str">
        <x:v>SIDX-0043</x:v>
      </x:c>
      <x:c r="B44" s="6" t="str">
        <x:v>SIR-000043</x:v>
      </x:c>
      <x:c r="C44" s="6" t="str">
        <x:v>SVC000043</x:v>
      </x:c>
      <x:c r="D44" s="6" t="str">
        <x:v>Galaxy S 23 FE Screen replacement</x:v>
      </x:c>
      <x:c r="E44" s="6" t="str"/>
      <x:c r="F44" s="6" t="str"/>
      <x:c r="G44" s="6" t="str"/>
      <x:c r="H44" s="6" t="str"/>
      <x:c r="I44" s="6" t="str"/>
      <x:c r="J44" s="6" t="str"/>
      <x:c r="K44" s="6" t="str">
        <x:f>IF(J44="","No duplicate dependency",IFERROR(XLOOKUP(J44,'Duplicate Review Queue'!B2:B16,'Duplicate Review Queue'!J2:J16),"Dependency not found"))</x:f>
        <x:v>No duplicate dependency</x:v>
      </x:c>
      <x:c r="L44" s="6" t="str">
        <x:v>Unresolved</x:v>
      </x:c>
      <x:c r="M44" s="6" t="str"/>
      <x:c r="N44" s="7" t="str"/>
      <x:c r="O44" s="6" t="str"/>
      <x:c r="P44" s="6" t="str"/>
      <x:c r="Q44" s="6" t="str">
        <x:v>Pending</x:v>
      </x:c>
      <x:c r="R44" s="7" t="str">
        <x:f>IF(AND(J44&lt;&gt;"",K44="Unresolved"),"Duplicate dependency unresolved","")</x:f>
      </x:c>
      <x:c r="S44" s="6" t="str">
        <x:v>No</x:v>
      </x:c>
      <x:c r="T44" s="7" t="str"/>
    </x:row>
    <x:row r="45">
      <x:c r="A45" s="6" t="str">
        <x:v>SIDX-0044</x:v>
      </x:c>
      <x:c r="B45" s="6" t="str">
        <x:v>SIR-000044</x:v>
      </x:c>
      <x:c r="C45" s="6" t="str">
        <x:v>SVC000044</x:v>
      </x:c>
      <x:c r="D45" s="6" t="str">
        <x:v>Galaxy S3 Mini Screen replacement</x:v>
      </x:c>
      <x:c r="E45" s="6" t="str"/>
      <x:c r="F45" s="6" t="str"/>
      <x:c r="G45" s="6" t="str"/>
      <x:c r="H45" s="6" t="str"/>
      <x:c r="I45" s="6" t="str"/>
      <x:c r="J45" s="6" t="str"/>
      <x:c r="K45" s="6" t="str">
        <x:f>IF(J45="","No duplicate dependency",IFERROR(XLOOKUP(J45,'Duplicate Review Queue'!B2:B16,'Duplicate Review Queue'!J2:J16),"Dependency not found"))</x:f>
        <x:v>No duplicate dependency</x:v>
      </x:c>
      <x:c r="L45" s="6" t="str">
        <x:v>Unresolved</x:v>
      </x:c>
      <x:c r="M45" s="6" t="str"/>
      <x:c r="N45" s="7" t="str"/>
      <x:c r="O45" s="6" t="str"/>
      <x:c r="P45" s="6" t="str"/>
      <x:c r="Q45" s="6" t="str">
        <x:v>Pending</x:v>
      </x:c>
      <x:c r="R45" s="7" t="str">
        <x:f>IF(AND(J45&lt;&gt;"",K45="Unresolved"),"Duplicate dependency unresolved","")</x:f>
      </x:c>
      <x:c r="S45" s="6" t="str">
        <x:v>No</x:v>
      </x:c>
      <x:c r="T45" s="7" t="str"/>
    </x:row>
    <x:row r="46">
      <x:c r="A46" s="6" t="str">
        <x:v>SIDX-0045</x:v>
      </x:c>
      <x:c r="B46" s="6" t="str">
        <x:v>SIR-000045</x:v>
      </x:c>
      <x:c r="C46" s="6" t="str">
        <x:v>SVC000045</x:v>
      </x:c>
      <x:c r="D46" s="6" t="str">
        <x:v>Galaxy S 4 Mini Screen replacement</x:v>
      </x:c>
      <x:c r="E46" s="6" t="str"/>
      <x:c r="F46" s="6" t="str"/>
      <x:c r="G46" s="6" t="str"/>
      <x:c r="H46" s="6" t="str"/>
      <x:c r="I46" s="6" t="str"/>
      <x:c r="J46" s="6" t="str"/>
      <x:c r="K46" s="6" t="str">
        <x:f>IF(J46="","No duplicate dependency",IFERROR(XLOOKUP(J46,'Duplicate Review Queue'!B2:B16,'Duplicate Review Queue'!J2:J16),"Dependency not found"))</x:f>
        <x:v>No duplicate dependency</x:v>
      </x:c>
      <x:c r="L46" s="6" t="str">
        <x:v>Unresolved</x:v>
      </x:c>
      <x:c r="M46" s="6" t="str"/>
      <x:c r="N46" s="7" t="str"/>
      <x:c r="O46" s="6" t="str"/>
      <x:c r="P46" s="6" t="str"/>
      <x:c r="Q46" s="6" t="str">
        <x:v>Pending</x:v>
      </x:c>
      <x:c r="R46" s="7" t="str">
        <x:f>IF(AND(J46&lt;&gt;"",K46="Unresolved"),"Duplicate dependency unresolved","")</x:f>
      </x:c>
      <x:c r="S46" s="6" t="str">
        <x:v>No</x:v>
      </x:c>
      <x:c r="T46" s="7" t="str"/>
    </x:row>
    <x:row r="47">
      <x:c r="A47" s="6" t="str">
        <x:v>SIDX-0046</x:v>
      </x:c>
      <x:c r="B47" s="6" t="str">
        <x:v>SIR-000046</x:v>
      </x:c>
      <x:c r="C47" s="6" t="str">
        <x:v>SVC000046</x:v>
      </x:c>
      <x:c r="D47" s="6" t="str">
        <x:v>Galaxy S Classic Screen replacement</x:v>
      </x:c>
      <x:c r="E47" s="6" t="str"/>
      <x:c r="F47" s="6" t="str"/>
      <x:c r="G47" s="6" t="str"/>
      <x:c r="H47" s="6" t="str"/>
      <x:c r="I47" s="6" t="str"/>
      <x:c r="J47" s="6" t="str"/>
      <x:c r="K47" s="6" t="str">
        <x:f>IF(J47="","No duplicate dependency",IFERROR(XLOOKUP(J47,'Duplicate Review Queue'!B2:B16,'Duplicate Review Queue'!J2:J16),"Dependency not found"))</x:f>
        <x:v>No duplicate dependency</x:v>
      </x:c>
      <x:c r="L47" s="6" t="str">
        <x:v>Unresolved</x:v>
      </x:c>
      <x:c r="M47" s="6" t="str"/>
      <x:c r="N47" s="7" t="str"/>
      <x:c r="O47" s="6" t="str"/>
      <x:c r="P47" s="6" t="str"/>
      <x:c r="Q47" s="6" t="str">
        <x:v>Pending</x:v>
      </x:c>
      <x:c r="R47" s="7" t="str">
        <x:f>IF(AND(J47&lt;&gt;"",K47="Unresolved"),"Duplicate dependency unresolved","")</x:f>
      </x:c>
      <x:c r="S47" s="6" t="str">
        <x:v>No</x:v>
      </x:c>
      <x:c r="T47" s="7" t="str"/>
    </x:row>
    <x:row r="48">
      <x:c r="A48" s="6" t="str">
        <x:v>SIDX-0047</x:v>
      </x:c>
      <x:c r="B48" s="6" t="str">
        <x:v>SIR-000047</x:v>
      </x:c>
      <x:c r="C48" s="6" t="str">
        <x:v>SVC000047</x:v>
      </x:c>
      <x:c r="D48" s="6" t="str">
        <x:v>Galaxy S 5 Active Screen replacement</x:v>
      </x:c>
      <x:c r="E48" s="6" t="str"/>
      <x:c r="F48" s="6" t="str"/>
      <x:c r="G48" s="6" t="str"/>
      <x:c r="H48" s="6" t="str"/>
      <x:c r="I48" s="6" t="str"/>
      <x:c r="J48" s="6" t="str"/>
      <x:c r="K48" s="6" t="str">
        <x:f>IF(J48="","No duplicate dependency",IFERROR(XLOOKUP(J48,'Duplicate Review Queue'!B2:B16,'Duplicate Review Queue'!J2:J16),"Dependency not found"))</x:f>
        <x:v>No duplicate dependency</x:v>
      </x:c>
      <x:c r="L48" s="6" t="str">
        <x:v>Unresolved</x:v>
      </x:c>
      <x:c r="M48" s="6" t="str"/>
      <x:c r="N48" s="7" t="str"/>
      <x:c r="O48" s="6" t="str"/>
      <x:c r="P48" s="6" t="str"/>
      <x:c r="Q48" s="6" t="str">
        <x:v>Pending</x:v>
      </x:c>
      <x:c r="R48" s="7" t="str">
        <x:f>IF(AND(J48&lt;&gt;"",K48="Unresolved"),"Duplicate dependency unresolved","")</x:f>
      </x:c>
      <x:c r="S48" s="6" t="str">
        <x:v>No</x:v>
      </x:c>
      <x:c r="T48" s="7" t="str"/>
    </x:row>
    <x:row r="49">
      <x:c r="A49" s="6" t="str">
        <x:v>SIDX-0048</x:v>
      </x:c>
      <x:c r="B49" s="6" t="str">
        <x:v>SIR-000048</x:v>
      </x:c>
      <x:c r="C49" s="6" t="str">
        <x:v>SVC000048</x:v>
      </x:c>
      <x:c r="D49" s="6" t="str">
        <x:v>Galaxy S 5 Neo Screen replacement</x:v>
      </x:c>
      <x:c r="E49" s="6" t="str"/>
      <x:c r="F49" s="6" t="str"/>
      <x:c r="G49" s="6" t="str"/>
      <x:c r="H49" s="6" t="str"/>
      <x:c r="I49" s="6" t="str"/>
      <x:c r="J49" s="6" t="str"/>
      <x:c r="K49" s="6" t="str">
        <x:f>IF(J49="","No duplicate dependency",IFERROR(XLOOKUP(J49,'Duplicate Review Queue'!B2:B16,'Duplicate Review Queue'!J2:J16),"Dependency not found"))</x:f>
        <x:v>No duplicate dependency</x:v>
      </x:c>
      <x:c r="L49" s="6" t="str">
        <x:v>Unresolved</x:v>
      </x:c>
      <x:c r="M49" s="6" t="str"/>
      <x:c r="N49" s="7" t="str"/>
      <x:c r="O49" s="6" t="str"/>
      <x:c r="P49" s="6" t="str"/>
      <x:c r="Q49" s="6" t="str">
        <x:v>Pending</x:v>
      </x:c>
      <x:c r="R49" s="7" t="str">
        <x:f>IF(AND(J49&lt;&gt;"",K49="Unresolved"),"Duplicate dependency unresolved","")</x:f>
      </x:c>
      <x:c r="S49" s="6" t="str">
        <x:v>No</x:v>
      </x:c>
      <x:c r="T49" s="7" t="str"/>
    </x:row>
    <x:row r="50">
      <x:c r="A50" s="6" t="str">
        <x:v>SIDX-0049</x:v>
      </x:c>
      <x:c r="B50" s="6" t="str">
        <x:v>SIR-000049</x:v>
      </x:c>
      <x:c r="C50" s="6" t="str">
        <x:v>SVC000049</x:v>
      </x:c>
      <x:c r="D50" s="6" t="str">
        <x:v>Galaxy S2 Screen replacement</x:v>
      </x:c>
      <x:c r="E50" s="6" t="str"/>
      <x:c r="F50" s="6" t="str"/>
      <x:c r="G50" s="6" t="str"/>
      <x:c r="H50" s="6" t="str"/>
      <x:c r="I50" s="6" t="str"/>
      <x:c r="J50" s="6" t="str"/>
      <x:c r="K50" s="6" t="str">
        <x:f>IF(J50="","No duplicate dependency",IFERROR(XLOOKUP(J50,'Duplicate Review Queue'!B2:B16,'Duplicate Review Queue'!J2:J16),"Dependency not found"))</x:f>
        <x:v>No duplicate dependency</x:v>
      </x:c>
      <x:c r="L50" s="6" t="str">
        <x:v>Unresolved</x:v>
      </x:c>
      <x:c r="M50" s="6" t="str"/>
      <x:c r="N50" s="7" t="str"/>
      <x:c r="O50" s="6" t="str"/>
      <x:c r="P50" s="6" t="str"/>
      <x:c r="Q50" s="6" t="str">
        <x:v>Pending</x:v>
      </x:c>
      <x:c r="R50" s="7" t="str">
        <x:f>IF(AND(J50&lt;&gt;"",K50="Unresolved"),"Duplicate dependency unresolved","")</x:f>
      </x:c>
      <x:c r="S50" s="6" t="str">
        <x:v>No</x:v>
      </x:c>
      <x:c r="T50" s="7" t="str"/>
    </x:row>
    <x:row r="51">
      <x:c r="A51" s="6" t="str">
        <x:v>SIDX-0050</x:v>
      </x:c>
      <x:c r="B51" s="6" t="str">
        <x:v>SIR-000050</x:v>
      </x:c>
      <x:c r="C51" s="6" t="str">
        <x:v>SVC000050</x:v>
      </x:c>
      <x:c r="D51" s="6" t="str">
        <x:v>Galaxy S3 Neo Screen replacement</x:v>
      </x:c>
      <x:c r="E51" s="6" t="str"/>
      <x:c r="F51" s="6" t="str"/>
      <x:c r="G51" s="6" t="str"/>
      <x:c r="H51" s="6" t="str"/>
      <x:c r="I51" s="6" t="str"/>
      <x:c r="J51" s="6" t="str"/>
      <x:c r="K51" s="6" t="str">
        <x:f>IF(J51="","No duplicate dependency",IFERROR(XLOOKUP(J51,'Duplicate Review Queue'!B2:B16,'Duplicate Review Queue'!J2:J16),"Dependency not found"))</x:f>
        <x:v>No duplicate dependency</x:v>
      </x:c>
      <x:c r="L51" s="6" t="str">
        <x:v>Unresolved</x:v>
      </x:c>
      <x:c r="M51" s="6" t="str"/>
      <x:c r="N51" s="7" t="str"/>
      <x:c r="O51" s="6" t="str"/>
      <x:c r="P51" s="6" t="str"/>
      <x:c r="Q51" s="6" t="str">
        <x:v>Pending</x:v>
      </x:c>
      <x:c r="R51" s="7" t="str">
        <x:f>IF(AND(J51&lt;&gt;"",K51="Unresolved"),"Duplicate dependency unresolved","")</x:f>
      </x:c>
      <x:c r="S51" s="6" t="str">
        <x:v>No</x:v>
      </x:c>
      <x:c r="T51" s="7" t="str"/>
    </x:row>
    <x:row r="52">
      <x:c r="A52" s="6" t="str">
        <x:v>SIDX-0051</x:v>
      </x:c>
      <x:c r="B52" s="6" t="str">
        <x:v>SIR-000051</x:v>
      </x:c>
      <x:c r="C52" s="6" t="str">
        <x:v>SVC000051</x:v>
      </x:c>
      <x:c r="D52" s="6" t="str">
        <x:v>Galaxy S3 Screen replacement</x:v>
      </x:c>
      <x:c r="E52" s="6" t="str"/>
      <x:c r="F52" s="6" t="str"/>
      <x:c r="G52" s="6" t="str"/>
      <x:c r="H52" s="6" t="str"/>
      <x:c r="I52" s="6" t="str"/>
      <x:c r="J52" s="6" t="str"/>
      <x:c r="K52" s="6" t="str">
        <x:f>IF(J52="","No duplicate dependency",IFERROR(XLOOKUP(J52,'Duplicate Review Queue'!B2:B16,'Duplicate Review Queue'!J2:J16),"Dependency not found"))</x:f>
        <x:v>No duplicate dependency</x:v>
      </x:c>
      <x:c r="L52" s="6" t="str">
        <x:v>Unresolved</x:v>
      </x:c>
      <x:c r="M52" s="6" t="str"/>
      <x:c r="N52" s="7" t="str"/>
      <x:c r="O52" s="6" t="str"/>
      <x:c r="P52" s="6" t="str"/>
      <x:c r="Q52" s="6" t="str">
        <x:v>Pending</x:v>
      </x:c>
      <x:c r="R52" s="7" t="str">
        <x:f>IF(AND(J52&lt;&gt;"",K52="Unresolved"),"Duplicate dependency unresolved","")</x:f>
      </x:c>
      <x:c r="S52" s="6" t="str">
        <x:v>No</x:v>
      </x:c>
      <x:c r="T52" s="7" t="str"/>
    </x:row>
    <x:row r="53">
      <x:c r="A53" s="6" t="str">
        <x:v>SIDX-0052</x:v>
      </x:c>
      <x:c r="B53" s="6" t="str">
        <x:v>SIR-000052</x:v>
      </x:c>
      <x:c r="C53" s="6" t="str">
        <x:v>SVC000052</x:v>
      </x:c>
      <x:c r="D53" s="6" t="str">
        <x:v>Galaxy S4 Screen replacement</x:v>
      </x:c>
      <x:c r="E53" s="6" t="str"/>
      <x:c r="F53" s="6" t="str"/>
      <x:c r="G53" s="6" t="str"/>
      <x:c r="H53" s="6" t="str"/>
      <x:c r="I53" s="6" t="str"/>
      <x:c r="J53" s="6" t="str"/>
      <x:c r="K53" s="6" t="str">
        <x:f>IF(J53="","No duplicate dependency",IFERROR(XLOOKUP(J53,'Duplicate Review Queue'!B2:B16,'Duplicate Review Queue'!J2:J16),"Dependency not found"))</x:f>
        <x:v>No duplicate dependency</x:v>
      </x:c>
      <x:c r="L53" s="6" t="str">
        <x:v>Unresolved</x:v>
      </x:c>
      <x:c r="M53" s="6" t="str"/>
      <x:c r="N53" s="7" t="str"/>
      <x:c r="O53" s="6" t="str"/>
      <x:c r="P53" s="6" t="str"/>
      <x:c r="Q53" s="6" t="str">
        <x:v>Pending</x:v>
      </x:c>
      <x:c r="R53" s="7" t="str">
        <x:f>IF(AND(J53&lt;&gt;"",K53="Unresolved"),"Duplicate dependency unresolved","")</x:f>
      </x:c>
      <x:c r="S53" s="6" t="str">
        <x:v>No</x:v>
      </x:c>
      <x:c r="T53" s="7" t="str"/>
    </x:row>
    <x:row r="54">
      <x:c r="A54" s="6" t="str">
        <x:v>SIDX-0053</x:v>
      </x:c>
      <x:c r="B54" s="6" t="str">
        <x:v>SIR-000053</x:v>
      </x:c>
      <x:c r="C54" s="6" t="str">
        <x:v>SVC000053</x:v>
      </x:c>
      <x:c r="D54" s="6" t="str">
        <x:v>Galaxy S 4 Active Screen replacement</x:v>
      </x:c>
      <x:c r="E54" s="6" t="str"/>
      <x:c r="F54" s="6" t="str"/>
      <x:c r="G54" s="6" t="str"/>
      <x:c r="H54" s="6" t="str"/>
      <x:c r="I54" s="6" t="str"/>
      <x:c r="J54" s="6" t="str"/>
      <x:c r="K54" s="6" t="str">
        <x:f>IF(J54="","No duplicate dependency",IFERROR(XLOOKUP(J54,'Duplicate Review Queue'!B2:B16,'Duplicate Review Queue'!J2:J16),"Dependency not found"))</x:f>
        <x:v>No duplicate dependency</x:v>
      </x:c>
      <x:c r="L54" s="6" t="str">
        <x:v>Unresolved</x:v>
      </x:c>
      <x:c r="M54" s="6" t="str"/>
      <x:c r="N54" s="7" t="str"/>
      <x:c r="O54" s="6" t="str"/>
      <x:c r="P54" s="6" t="str"/>
      <x:c r="Q54" s="6" t="str">
        <x:v>Pending</x:v>
      </x:c>
      <x:c r="R54" s="7" t="str">
        <x:f>IF(AND(J54&lt;&gt;"",K54="Unresolved"),"Duplicate dependency unresolved","")</x:f>
      </x:c>
      <x:c r="S54" s="6" t="str">
        <x:v>No</x:v>
      </x:c>
      <x:c r="T54" s="7" t="str"/>
    </x:row>
    <x:row r="55">
      <x:c r="A55" s="6" t="str">
        <x:v>SIDX-0054</x:v>
      </x:c>
      <x:c r="B55" s="6" t="str">
        <x:v>SIR-000054</x:v>
      </x:c>
      <x:c r="C55" s="6" t="str">
        <x:v>SVC000054</x:v>
      </x:c>
      <x:c r="D55" s="6" t="str">
        <x:v>Galaxy S 5 Screen replacement</x:v>
      </x:c>
      <x:c r="E55" s="6" t="str"/>
      <x:c r="F55" s="6" t="str"/>
      <x:c r="G55" s="6" t="str"/>
      <x:c r="H55" s="6" t="str"/>
      <x:c r="I55" s="6" t="str"/>
      <x:c r="J55" s="6" t="str"/>
      <x:c r="K55" s="6" t="str">
        <x:f>IF(J55="","No duplicate dependency",IFERROR(XLOOKUP(J55,'Duplicate Review Queue'!B2:B16,'Duplicate Review Queue'!J2:J16),"Dependency not found"))</x:f>
        <x:v>No duplicate dependency</x:v>
      </x:c>
      <x:c r="L55" s="6" t="str">
        <x:v>Unresolved</x:v>
      </x:c>
      <x:c r="M55" s="6" t="str"/>
      <x:c r="N55" s="7" t="str"/>
      <x:c r="O55" s="6" t="str"/>
      <x:c r="P55" s="6" t="str"/>
      <x:c r="Q55" s="6" t="str">
        <x:v>Pending</x:v>
      </x:c>
      <x:c r="R55" s="7" t="str">
        <x:f>IF(AND(J55&lt;&gt;"",K55="Unresolved"),"Duplicate dependency unresolved","")</x:f>
      </x:c>
      <x:c r="S55" s="6" t="str">
        <x:v>No</x:v>
      </x:c>
      <x:c r="T55" s="7" t="str"/>
    </x:row>
    <x:row r="56">
      <x:c r="A56" s="6" t="str">
        <x:v>SIDX-0055</x:v>
      </x:c>
      <x:c r="B56" s="6" t="str">
        <x:v>SIR-000055</x:v>
      </x:c>
      <x:c r="C56" s="6" t="str">
        <x:v>SVC000055</x:v>
      </x:c>
      <x:c r="D56" s="6" t="str">
        <x:v>iPhone X Screen replacement</x:v>
      </x:c>
      <x:c r="E56" s="6" t="str"/>
      <x:c r="F56" s="6" t="str"/>
      <x:c r="G56" s="6" t="str"/>
      <x:c r="H56" s="6" t="str"/>
      <x:c r="I56" s="6" t="str"/>
      <x:c r="J56" s="6" t="str"/>
      <x:c r="K56" s="6" t="str">
        <x:f>IF(J56="","No duplicate dependency",IFERROR(XLOOKUP(J56,'Duplicate Review Queue'!B2:B16,'Duplicate Review Queue'!J2:J16),"Dependency not found"))</x:f>
        <x:v>No duplicate dependency</x:v>
      </x:c>
      <x:c r="L56" s="6" t="str">
        <x:v>Unresolved</x:v>
      </x:c>
      <x:c r="M56" s="6" t="str"/>
      <x:c r="N56" s="7" t="str"/>
      <x:c r="O56" s="6" t="str"/>
      <x:c r="P56" s="6" t="str"/>
      <x:c r="Q56" s="6" t="str">
        <x:v>Pending</x:v>
      </x:c>
      <x:c r="R56" s="7" t="str">
        <x:f>IF(AND(J56&lt;&gt;"",K56="Unresolved"),"Duplicate dependency unresolved","")</x:f>
      </x:c>
      <x:c r="S56" s="6" t="str">
        <x:v>No</x:v>
      </x:c>
      <x:c r="T56" s="7" t="str"/>
    </x:row>
    <x:row r="57">
      <x:c r="A57" s="6" t="str">
        <x:v>SIDX-0056</x:v>
      </x:c>
      <x:c r="B57" s="6" t="str">
        <x:v>SIR-000056</x:v>
      </x:c>
      <x:c r="C57" s="6" t="str">
        <x:v>SVC000056</x:v>
      </x:c>
      <x:c r="D57" s="6" t="str">
        <x:v>iPhone XS Max Screen replacement</x:v>
      </x:c>
      <x:c r="E57" s="6" t="str"/>
      <x:c r="F57" s="6" t="str"/>
      <x:c r="G57" s="6" t="str"/>
      <x:c r="H57" s="6" t="str"/>
      <x:c r="I57" s="6" t="str"/>
      <x:c r="J57" s="6" t="str"/>
      <x:c r="K57" s="6" t="str">
        <x:f>IF(J57="","No duplicate dependency",IFERROR(XLOOKUP(J57,'Duplicate Review Queue'!B2:B16,'Duplicate Review Queue'!J2:J16),"Dependency not found"))</x:f>
        <x:v>No duplicate dependency</x:v>
      </x:c>
      <x:c r="L57" s="6" t="str">
        <x:v>Unresolved</x:v>
      </x:c>
      <x:c r="M57" s="6" t="str"/>
      <x:c r="N57" s="7" t="str"/>
      <x:c r="O57" s="6" t="str"/>
      <x:c r="P57" s="6" t="str"/>
      <x:c r="Q57" s="6" t="str">
        <x:v>Pending</x:v>
      </x:c>
      <x:c r="R57" s="7" t="str">
        <x:f>IF(AND(J57&lt;&gt;"",K57="Unresolved"),"Duplicate dependency unresolved","")</x:f>
      </x:c>
      <x:c r="S57" s="6" t="str">
        <x:v>No</x:v>
      </x:c>
      <x:c r="T57" s="7" t="str"/>
    </x:row>
    <x:row r="58">
      <x:c r="A58" s="6" t="str">
        <x:v>SIDX-0057</x:v>
      </x:c>
      <x:c r="B58" s="6" t="str">
        <x:v>SIR-000057</x:v>
      </x:c>
      <x:c r="C58" s="6" t="str">
        <x:v>SVC000057</x:v>
      </x:c>
      <x:c r="D58" s="6" t="str">
        <x:v>iPhone 12 Screen replacement</x:v>
      </x:c>
      <x:c r="E58" s="6" t="str"/>
      <x:c r="F58" s="6" t="str"/>
      <x:c r="G58" s="6" t="str"/>
      <x:c r="H58" s="6" t="str"/>
      <x:c r="I58" s="6" t="str"/>
      <x:c r="J58" s="6" t="str"/>
      <x:c r="K58" s="6" t="str">
        <x:f>IF(J58="","No duplicate dependency",IFERROR(XLOOKUP(J58,'Duplicate Review Queue'!B2:B16,'Duplicate Review Queue'!J2:J16),"Dependency not found"))</x:f>
        <x:v>No duplicate dependency</x:v>
      </x:c>
      <x:c r="L58" s="6" t="str">
        <x:v>Unresolved</x:v>
      </x:c>
      <x:c r="M58" s="6" t="str"/>
      <x:c r="N58" s="7" t="str"/>
      <x:c r="O58" s="6" t="str"/>
      <x:c r="P58" s="6" t="str"/>
      <x:c r="Q58" s="6" t="str">
        <x:v>Pending</x:v>
      </x:c>
      <x:c r="R58" s="7" t="str">
        <x:f>IF(AND(J58&lt;&gt;"",K58="Unresolved"),"Duplicate dependency unresolved","")</x:f>
      </x:c>
      <x:c r="S58" s="6" t="str">
        <x:v>No</x:v>
      </x:c>
      <x:c r="T58" s="7" t="str"/>
    </x:row>
    <x:row r="59">
      <x:c r="A59" s="6" t="str">
        <x:v>SIDX-0058</x:v>
      </x:c>
      <x:c r="B59" s="6" t="str">
        <x:v>SIR-000058</x:v>
      </x:c>
      <x:c r="C59" s="6" t="str">
        <x:v>SVC000058</x:v>
      </x:c>
      <x:c r="D59" s="6" t="str">
        <x:v>iPhone 12 Pro Max Screen replacement</x:v>
      </x:c>
      <x:c r="E59" s="6" t="str"/>
      <x:c r="F59" s="6" t="str"/>
      <x:c r="G59" s="6" t="str"/>
      <x:c r="H59" s="6" t="str"/>
      <x:c r="I59" s="6" t="str"/>
      <x:c r="J59" s="6" t="str"/>
      <x:c r="K59" s="6" t="str">
        <x:f>IF(J59="","No duplicate dependency",IFERROR(XLOOKUP(J59,'Duplicate Review Queue'!B2:B16,'Duplicate Review Queue'!J2:J16),"Dependency not found"))</x:f>
        <x:v>No duplicate dependency</x:v>
      </x:c>
      <x:c r="L59" s="6" t="str">
        <x:v>Unresolved</x:v>
      </x:c>
      <x:c r="M59" s="6" t="str"/>
      <x:c r="N59" s="7" t="str"/>
      <x:c r="O59" s="6" t="str"/>
      <x:c r="P59" s="6" t="str"/>
      <x:c r="Q59" s="6" t="str">
        <x:v>Pending</x:v>
      </x:c>
      <x:c r="R59" s="7" t="str">
        <x:f>IF(AND(J59&lt;&gt;"",K59="Unresolved"),"Duplicate dependency unresolved","")</x:f>
      </x:c>
      <x:c r="S59" s="6" t="str">
        <x:v>No</x:v>
      </x:c>
      <x:c r="T59" s="7" t="str"/>
    </x:row>
    <x:row r="60">
      <x:c r="A60" s="6" t="str">
        <x:v>SIDX-0059</x:v>
      </x:c>
      <x:c r="B60" s="6" t="str">
        <x:v>SIR-000059</x:v>
      </x:c>
      <x:c r="C60" s="6" t="str">
        <x:v>SVC000059</x:v>
      </x:c>
      <x:c r="D60" s="6" t="str">
        <x:v>iPhone 12 Mini Screen replacement</x:v>
      </x:c>
      <x:c r="E60" s="6" t="str"/>
      <x:c r="F60" s="6" t="str"/>
      <x:c r="G60" s="6" t="str"/>
      <x:c r="H60" s="6" t="str"/>
      <x:c r="I60" s="6" t="str"/>
      <x:c r="J60" s="6" t="str"/>
      <x:c r="K60" s="6" t="str">
        <x:f>IF(J60="","No duplicate dependency",IFERROR(XLOOKUP(J60,'Duplicate Review Queue'!B2:B16,'Duplicate Review Queue'!J2:J16),"Dependency not found"))</x:f>
        <x:v>No duplicate dependency</x:v>
      </x:c>
      <x:c r="L60" s="6" t="str">
        <x:v>Unresolved</x:v>
      </x:c>
      <x:c r="M60" s="6" t="str"/>
      <x:c r="N60" s="7" t="str"/>
      <x:c r="O60" s="6" t="str"/>
      <x:c r="P60" s="6" t="str"/>
      <x:c r="Q60" s="6" t="str">
        <x:v>Pending</x:v>
      </x:c>
      <x:c r="R60" s="7" t="str">
        <x:f>IF(AND(J60&lt;&gt;"",K60="Unresolved"),"Duplicate dependency unresolved","")</x:f>
      </x:c>
      <x:c r="S60" s="6" t="str">
        <x:v>No</x:v>
      </x:c>
      <x:c r="T60" s="7" t="str"/>
    </x:row>
    <x:row r="61">
      <x:c r="A61" s="6" t="str">
        <x:v>SIDX-0060</x:v>
      </x:c>
      <x:c r="B61" s="6" t="str">
        <x:v>SIR-000060</x:v>
      </x:c>
      <x:c r="C61" s="6" t="str">
        <x:v>SVC000060</x:v>
      </x:c>
      <x:c r="D61" s="6" t="str">
        <x:v>iPhone 11 Pro Screen replacement</x:v>
      </x:c>
      <x:c r="E61" s="6" t="str"/>
      <x:c r="F61" s="6" t="str"/>
      <x:c r="G61" s="6" t="str"/>
      <x:c r="H61" s="6" t="str"/>
      <x:c r="I61" s="6" t="str"/>
      <x:c r="J61" s="6" t="str"/>
      <x:c r="K61" s="6" t="str">
        <x:f>IF(J61="","No duplicate dependency",IFERROR(XLOOKUP(J61,'Duplicate Review Queue'!B2:B16,'Duplicate Review Queue'!J2:J16),"Dependency not found"))</x:f>
        <x:v>No duplicate dependency</x:v>
      </x:c>
      <x:c r="L61" s="6" t="str">
        <x:v>Unresolved</x:v>
      </x:c>
      <x:c r="M61" s="6" t="str"/>
      <x:c r="N61" s="7" t="str"/>
      <x:c r="O61" s="6" t="str"/>
      <x:c r="P61" s="6" t="str"/>
      <x:c r="Q61" s="6" t="str">
        <x:v>Pending</x:v>
      </x:c>
      <x:c r="R61" s="7" t="str">
        <x:f>IF(AND(J61&lt;&gt;"",K61="Unresolved"),"Duplicate dependency unresolved","")</x:f>
      </x:c>
      <x:c r="S61" s="6" t="str">
        <x:v>No</x:v>
      </x:c>
      <x:c r="T61" s="7" t="str"/>
    </x:row>
    <x:row r="62">
      <x:c r="A62" s="6" t="str">
        <x:v>SIDX-0061</x:v>
      </x:c>
      <x:c r="B62" s="6" t="str">
        <x:v>SIR-000061</x:v>
      </x:c>
      <x:c r="C62" s="6" t="str">
        <x:v>SVC000061</x:v>
      </x:c>
      <x:c r="D62" s="6" t="str">
        <x:v>iPhone 11 Screen replacement</x:v>
      </x:c>
      <x:c r="E62" s="6" t="str"/>
      <x:c r="F62" s="6" t="str"/>
      <x:c r="G62" s="6" t="str"/>
      <x:c r="H62" s="6" t="str"/>
      <x:c r="I62" s="6" t="str"/>
      <x:c r="J62" s="6" t="str"/>
      <x:c r="K62" s="6" t="str">
        <x:f>IF(J62="","No duplicate dependency",IFERROR(XLOOKUP(J62,'Duplicate Review Queue'!B2:B16,'Duplicate Review Queue'!J2:J16),"Dependency not found"))</x:f>
        <x:v>No duplicate dependency</x:v>
      </x:c>
      <x:c r="L62" s="6" t="str">
        <x:v>Unresolved</x:v>
      </x:c>
      <x:c r="M62" s="6" t="str"/>
      <x:c r="N62" s="7" t="str"/>
      <x:c r="O62" s="6" t="str"/>
      <x:c r="P62" s="6" t="str"/>
      <x:c r="Q62" s="6" t="str">
        <x:v>Pending</x:v>
      </x:c>
      <x:c r="R62" s="7" t="str">
        <x:f>IF(AND(J62&lt;&gt;"",K62="Unresolved"),"Duplicate dependency unresolved","")</x:f>
      </x:c>
      <x:c r="S62" s="6" t="str">
        <x:v>No</x:v>
      </x:c>
      <x:c r="T62" s="7" t="str"/>
    </x:row>
    <x:row r="63">
      <x:c r="A63" s="6" t="str">
        <x:v>SIDX-0062</x:v>
      </x:c>
      <x:c r="B63" s="6" t="str">
        <x:v>SIR-000062</x:v>
      </x:c>
      <x:c r="C63" s="6" t="str">
        <x:v>SVC000062</x:v>
      </x:c>
      <x:c r="D63" s="6" t="str">
        <x:v>iPhone 11 Pro Max Screen replacement</x:v>
      </x:c>
      <x:c r="E63" s="6" t="str"/>
      <x:c r="F63" s="6" t="str"/>
      <x:c r="G63" s="6" t="str"/>
      <x:c r="H63" s="6" t="str"/>
      <x:c r="I63" s="6" t="str"/>
      <x:c r="J63" s="6" t="str"/>
      <x:c r="K63" s="6" t="str">
        <x:f>IF(J63="","No duplicate dependency",IFERROR(XLOOKUP(J63,'Duplicate Review Queue'!B2:B16,'Duplicate Review Queue'!J2:J16),"Dependency not found"))</x:f>
        <x:v>No duplicate dependency</x:v>
      </x:c>
      <x:c r="L63" s="6" t="str">
        <x:v>Unresolved</x:v>
      </x:c>
      <x:c r="M63" s="6" t="str"/>
      <x:c r="N63" s="7" t="str"/>
      <x:c r="O63" s="6" t="str"/>
      <x:c r="P63" s="6" t="str"/>
      <x:c r="Q63" s="6" t="str">
        <x:v>Pending</x:v>
      </x:c>
      <x:c r="R63" s="7" t="str">
        <x:f>IF(AND(J63&lt;&gt;"",K63="Unresolved"),"Duplicate dependency unresolved","")</x:f>
      </x:c>
      <x:c r="S63" s="6" t="str">
        <x:v>No</x:v>
      </x:c>
      <x:c r="T63" s="7" t="str"/>
    </x:row>
    <x:row r="64">
      <x:c r="A64" s="6" t="str">
        <x:v>SIDX-0063</x:v>
      </x:c>
      <x:c r="B64" s="6" t="str">
        <x:v>SIR-000063</x:v>
      </x:c>
      <x:c r="C64" s="6" t="str">
        <x:v>SVC000063</x:v>
      </x:c>
      <x:c r="D64" s="6" t="str">
        <x:v>iPhone 12 Pro Screen replacement</x:v>
      </x:c>
      <x:c r="E64" s="6" t="str"/>
      <x:c r="F64" s="6" t="str"/>
      <x:c r="G64" s="6" t="str"/>
      <x:c r="H64" s="6" t="str"/>
      <x:c r="I64" s="6" t="str"/>
      <x:c r="J64" s="6" t="str"/>
      <x:c r="K64" s="6" t="str">
        <x:f>IF(J64="","No duplicate dependency",IFERROR(XLOOKUP(J64,'Duplicate Review Queue'!B2:B16,'Duplicate Review Queue'!J2:J16),"Dependency not found"))</x:f>
        <x:v>No duplicate dependency</x:v>
      </x:c>
      <x:c r="L64" s="6" t="str">
        <x:v>Unresolved</x:v>
      </x:c>
      <x:c r="M64" s="6" t="str"/>
      <x:c r="N64" s="7" t="str"/>
      <x:c r="O64" s="6" t="str"/>
      <x:c r="P64" s="6" t="str"/>
      <x:c r="Q64" s="6" t="str">
        <x:v>Pending</x:v>
      </x:c>
      <x:c r="R64" s="7" t="str">
        <x:f>IF(AND(J64&lt;&gt;"",K64="Unresolved"),"Duplicate dependency unresolved","")</x:f>
      </x:c>
      <x:c r="S64" s="6" t="str">
        <x:v>No</x:v>
      </x:c>
      <x:c r="T64" s="7" t="str"/>
    </x:row>
    <x:row r="65">
      <x:c r="A65" s="6" t="str">
        <x:v>SIDX-0064</x:v>
      </x:c>
      <x:c r="B65" s="6" t="str">
        <x:v>SIR-000064</x:v>
      </x:c>
      <x:c r="C65" s="6" t="str">
        <x:v>SVC000064</x:v>
      </x:c>
      <x:c r="D65" s="6" t="str">
        <x:v>iPhone 13 Pro Screen replacement</x:v>
      </x:c>
      <x:c r="E65" s="6" t="str"/>
      <x:c r="F65" s="6" t="str"/>
      <x:c r="G65" s="6" t="str"/>
      <x:c r="H65" s="6" t="str"/>
      <x:c r="I65" s="6" t="str"/>
      <x:c r="J65" s="6" t="str"/>
      <x:c r="K65" s="6" t="str">
        <x:f>IF(J65="","No duplicate dependency",IFERROR(XLOOKUP(J65,'Duplicate Review Queue'!B2:B16,'Duplicate Review Queue'!J2:J16),"Dependency not found"))</x:f>
        <x:v>No duplicate dependency</x:v>
      </x:c>
      <x:c r="L65" s="6" t="str">
        <x:v>Unresolved</x:v>
      </x:c>
      <x:c r="M65" s="6" t="str"/>
      <x:c r="N65" s="7" t="str"/>
      <x:c r="O65" s="6" t="str"/>
      <x:c r="P65" s="6" t="str"/>
      <x:c r="Q65" s="6" t="str">
        <x:v>Pending</x:v>
      </x:c>
      <x:c r="R65" s="7" t="str">
        <x:f>IF(AND(J65&lt;&gt;"",K65="Unresolved"),"Duplicate dependency unresolved","")</x:f>
      </x:c>
      <x:c r="S65" s="6" t="str">
        <x:v>No</x:v>
      </x:c>
      <x:c r="T65" s="7" t="str"/>
    </x:row>
    <x:row r="66">
      <x:c r="A66" s="6" t="str">
        <x:v>SIDX-0065</x:v>
      </x:c>
      <x:c r="B66" s="6" t="str">
        <x:v>SIR-000065</x:v>
      </x:c>
      <x:c r="C66" s="6" t="str">
        <x:v>SVC000065</x:v>
      </x:c>
      <x:c r="D66" s="6" t="str">
        <x:v>iPhone 13 Screen replacement</x:v>
      </x:c>
      <x:c r="E66" s="6" t="str"/>
      <x:c r="F66" s="6" t="str"/>
      <x:c r="G66" s="6" t="str"/>
      <x:c r="H66" s="6" t="str"/>
      <x:c r="I66" s="6" t="str"/>
      <x:c r="J66" s="6" t="str"/>
      <x:c r="K66" s="6" t="str">
        <x:f>IF(J66="","No duplicate dependency",IFERROR(XLOOKUP(J66,'Duplicate Review Queue'!B2:B16,'Duplicate Review Queue'!J2:J16),"Dependency not found"))</x:f>
        <x:v>No duplicate dependency</x:v>
      </x:c>
      <x:c r="L66" s="6" t="str">
        <x:v>Unresolved</x:v>
      </x:c>
      <x:c r="M66" s="6" t="str"/>
      <x:c r="N66" s="7" t="str"/>
      <x:c r="O66" s="6" t="str"/>
      <x:c r="P66" s="6" t="str"/>
      <x:c r="Q66" s="6" t="str">
        <x:v>Pending</x:v>
      </x:c>
      <x:c r="R66" s="7" t="str">
        <x:f>IF(AND(J66&lt;&gt;"",K66="Unresolved"),"Duplicate dependency unresolved","")</x:f>
      </x:c>
      <x:c r="S66" s="6" t="str">
        <x:v>No</x:v>
      </x:c>
      <x:c r="T66" s="7" t="str"/>
    </x:row>
    <x:row r="67">
      <x:c r="A67" s="6" t="str">
        <x:v>SIDX-0066</x:v>
      </x:c>
      <x:c r="B67" s="6" t="str">
        <x:v>SIR-000066</x:v>
      </x:c>
      <x:c r="C67" s="6" t="str">
        <x:v>SVC000066</x:v>
      </x:c>
      <x:c r="D67" s="6" t="str">
        <x:v>iPhone 13 Pro Max Screen replacement</x:v>
      </x:c>
      <x:c r="E67" s="6" t="str"/>
      <x:c r="F67" s="6" t="str"/>
      <x:c r="G67" s="6" t="str"/>
      <x:c r="H67" s="6" t="str"/>
      <x:c r="I67" s="6" t="str"/>
      <x:c r="J67" s="6" t="str"/>
      <x:c r="K67" s="6" t="str">
        <x:f>IF(J67="","No duplicate dependency",IFERROR(XLOOKUP(J67,'Duplicate Review Queue'!B2:B16,'Duplicate Review Queue'!J2:J16),"Dependency not found"))</x:f>
        <x:v>No duplicate dependency</x:v>
      </x:c>
      <x:c r="L67" s="6" t="str">
        <x:v>Unresolved</x:v>
      </x:c>
      <x:c r="M67" s="6" t="str"/>
      <x:c r="N67" s="7" t="str"/>
      <x:c r="O67" s="6" t="str"/>
      <x:c r="P67" s="6" t="str"/>
      <x:c r="Q67" s="6" t="str">
        <x:v>Pending</x:v>
      </x:c>
      <x:c r="R67" s="7" t="str">
        <x:f>IF(AND(J67&lt;&gt;"",K67="Unresolved"),"Duplicate dependency unresolved","")</x:f>
      </x:c>
      <x:c r="S67" s="6" t="str">
        <x:v>No</x:v>
      </x:c>
      <x:c r="T67" s="7" t="str"/>
    </x:row>
    <x:row r="68">
      <x:c r="A68" s="6" t="str">
        <x:v>SIDX-0067</x:v>
      </x:c>
      <x:c r="B68" s="6" t="str">
        <x:v>SIR-000067</x:v>
      </x:c>
      <x:c r="C68" s="6" t="str">
        <x:v>SVC000067</x:v>
      </x:c>
      <x:c r="D68" s="6" t="str">
        <x:v>iPhone 13 Mini Screen replacement</x:v>
      </x:c>
      <x:c r="E68" s="6" t="str"/>
      <x:c r="F68" s="6" t="str"/>
      <x:c r="G68" s="6" t="str"/>
      <x:c r="H68" s="6" t="str"/>
      <x:c r="I68" s="6" t="str"/>
      <x:c r="J68" s="6" t="str"/>
      <x:c r="K68" s="6" t="str">
        <x:f>IF(J68="","No duplicate dependency",IFERROR(XLOOKUP(J68,'Duplicate Review Queue'!B2:B16,'Duplicate Review Queue'!J2:J16),"Dependency not found"))</x:f>
        <x:v>No duplicate dependency</x:v>
      </x:c>
      <x:c r="L68" s="6" t="str">
        <x:v>Unresolved</x:v>
      </x:c>
      <x:c r="M68" s="6" t="str"/>
      <x:c r="N68" s="7" t="str"/>
      <x:c r="O68" s="6" t="str"/>
      <x:c r="P68" s="6" t="str"/>
      <x:c r="Q68" s="6" t="str">
        <x:v>Pending</x:v>
      </x:c>
      <x:c r="R68" s="7" t="str">
        <x:f>IF(AND(J68&lt;&gt;"",K68="Unresolved"),"Duplicate dependency unresolved","")</x:f>
      </x:c>
      <x:c r="S68" s="6" t="str">
        <x:v>No</x:v>
      </x:c>
      <x:c r="T68" s="7" t="str"/>
    </x:row>
    <x:row r="69">
      <x:c r="A69" s="6" t="str">
        <x:v>SIDX-0068</x:v>
      </x:c>
      <x:c r="B69" s="6" t="str">
        <x:v>SIR-000068</x:v>
      </x:c>
      <x:c r="C69" s="6" t="str">
        <x:v>SVC000068</x:v>
      </x:c>
      <x:c r="D69" s="6" t="str">
        <x:v>iPhone 14 Screen replacement</x:v>
      </x:c>
      <x:c r="E69" s="6" t="str"/>
      <x:c r="F69" s="6" t="str"/>
      <x:c r="G69" s="6" t="str"/>
      <x:c r="H69" s="6" t="str"/>
      <x:c r="I69" s="6" t="str"/>
      <x:c r="J69" s="6" t="str"/>
      <x:c r="K69" s="6" t="str">
        <x:f>IF(J69="","No duplicate dependency",IFERROR(XLOOKUP(J69,'Duplicate Review Queue'!B2:B16,'Duplicate Review Queue'!J2:J16),"Dependency not found"))</x:f>
        <x:v>No duplicate dependency</x:v>
      </x:c>
      <x:c r="L69" s="6" t="str">
        <x:v>Unresolved</x:v>
      </x:c>
      <x:c r="M69" s="6" t="str"/>
      <x:c r="N69" s="7" t="str"/>
      <x:c r="O69" s="6" t="str"/>
      <x:c r="P69" s="6" t="str"/>
      <x:c r="Q69" s="6" t="str">
        <x:v>Pending</x:v>
      </x:c>
      <x:c r="R69" s="7" t="str">
        <x:f>IF(AND(J69&lt;&gt;"",K69="Unresolved"),"Duplicate dependency unresolved","")</x:f>
      </x:c>
      <x:c r="S69" s="6" t="str">
        <x:v>No</x:v>
      </x:c>
      <x:c r="T69" s="7" t="str"/>
    </x:row>
    <x:row r="70">
      <x:c r="A70" s="6" t="str">
        <x:v>SIDX-0069</x:v>
      </x:c>
      <x:c r="B70" s="6" t="str">
        <x:v>SIR-000069</x:v>
      </x:c>
      <x:c r="C70" s="6" t="str">
        <x:v>SVC000069</x:v>
      </x:c>
      <x:c r="D70" s="6" t="str">
        <x:v>iPhone 14 Pro Max Screen replacement</x:v>
      </x:c>
      <x:c r="E70" s="6" t="str"/>
      <x:c r="F70" s="6" t="str"/>
      <x:c r="G70" s="6" t="str"/>
      <x:c r="H70" s="6" t="str"/>
      <x:c r="I70" s="6" t="str"/>
      <x:c r="J70" s="6" t="str"/>
      <x:c r="K70" s="6" t="str">
        <x:f>IF(J70="","No duplicate dependency",IFERROR(XLOOKUP(J70,'Duplicate Review Queue'!B2:B16,'Duplicate Review Queue'!J2:J16),"Dependency not found"))</x:f>
        <x:v>No duplicate dependency</x:v>
      </x:c>
      <x:c r="L70" s="6" t="str">
        <x:v>Unresolved</x:v>
      </x:c>
      <x:c r="M70" s="6" t="str"/>
      <x:c r="N70" s="7" t="str"/>
      <x:c r="O70" s="6" t="str"/>
      <x:c r="P70" s="6" t="str"/>
      <x:c r="Q70" s="6" t="str">
        <x:v>Pending</x:v>
      </x:c>
      <x:c r="R70" s="7" t="str">
        <x:f>IF(AND(J70&lt;&gt;"",K70="Unresolved"),"Duplicate dependency unresolved","")</x:f>
      </x:c>
      <x:c r="S70" s="6" t="str">
        <x:v>No</x:v>
      </x:c>
      <x:c r="T70" s="7" t="str"/>
    </x:row>
    <x:row r="71">
      <x:c r="A71" s="6" t="str">
        <x:v>SIDX-0070</x:v>
      </x:c>
      <x:c r="B71" s="6" t="str">
        <x:v>SIR-000070</x:v>
      </x:c>
      <x:c r="C71" s="6" t="str">
        <x:v>SVC000070</x:v>
      </x:c>
      <x:c r="D71" s="6" t="str">
        <x:v>iPhone 14 Plus Screen replacement</x:v>
      </x:c>
      <x:c r="E71" s="6" t="str"/>
      <x:c r="F71" s="6" t="str"/>
      <x:c r="G71" s="6" t="str"/>
      <x:c r="H71" s="6" t="str"/>
      <x:c r="I71" s="6" t="str"/>
      <x:c r="J71" s="6" t="str"/>
      <x:c r="K71" s="6" t="str">
        <x:f>IF(J71="","No duplicate dependency",IFERROR(XLOOKUP(J71,'Duplicate Review Queue'!B2:B16,'Duplicate Review Queue'!J2:J16),"Dependency not found"))</x:f>
        <x:v>No duplicate dependency</x:v>
      </x:c>
      <x:c r="L71" s="6" t="str">
        <x:v>Unresolved</x:v>
      </x:c>
      <x:c r="M71" s="6" t="str"/>
      <x:c r="N71" s="7" t="str"/>
      <x:c r="O71" s="6" t="str"/>
      <x:c r="P71" s="6" t="str"/>
      <x:c r="Q71" s="6" t="str">
        <x:v>Pending</x:v>
      </x:c>
      <x:c r="R71" s="7" t="str">
        <x:f>IF(AND(J71&lt;&gt;"",K71="Unresolved"),"Duplicate dependency unresolved","")</x:f>
      </x:c>
      <x:c r="S71" s="6" t="str">
        <x:v>No</x:v>
      </x:c>
      <x:c r="T71" s="7" t="str"/>
    </x:row>
    <x:row r="72">
      <x:c r="A72" s="6" t="str">
        <x:v>SIDX-0071</x:v>
      </x:c>
      <x:c r="B72" s="6" t="str">
        <x:v>SIR-000071</x:v>
      </x:c>
      <x:c r="C72" s="6" t="str">
        <x:v>SVC000071</x:v>
      </x:c>
      <x:c r="D72" s="6" t="str">
        <x:v>iPhone 14 Pro Screen replacement</x:v>
      </x:c>
      <x:c r="E72" s="6" t="str"/>
      <x:c r="F72" s="6" t="str"/>
      <x:c r="G72" s="6" t="str"/>
      <x:c r="H72" s="6" t="str"/>
      <x:c r="I72" s="6" t="str"/>
      <x:c r="J72" s="6" t="str"/>
      <x:c r="K72" s="6" t="str">
        <x:f>IF(J72="","No duplicate dependency",IFERROR(XLOOKUP(J72,'Duplicate Review Queue'!B2:B16,'Duplicate Review Queue'!J2:J16),"Dependency not found"))</x:f>
        <x:v>No duplicate dependency</x:v>
      </x:c>
      <x:c r="L72" s="6" t="str">
        <x:v>Unresolved</x:v>
      </x:c>
      <x:c r="M72" s="6" t="str"/>
      <x:c r="N72" s="7" t="str"/>
      <x:c r="O72" s="6" t="str"/>
      <x:c r="P72" s="6" t="str"/>
      <x:c r="Q72" s="6" t="str">
        <x:v>Pending</x:v>
      </x:c>
      <x:c r="R72" s="7" t="str">
        <x:f>IF(AND(J72&lt;&gt;"",K72="Unresolved"),"Duplicate dependency unresolved","")</x:f>
      </x:c>
      <x:c r="S72" s="6" t="str">
        <x:v>No</x:v>
      </x:c>
      <x:c r="T72" s="7" t="str"/>
    </x:row>
    <x:row r="73">
      <x:c r="A73" s="6" t="str">
        <x:v>SIDX-0072</x:v>
      </x:c>
      <x:c r="B73" s="6" t="str">
        <x:v>SIR-000072</x:v>
      </x:c>
      <x:c r="C73" s="6" t="str">
        <x:v>SVC000072</x:v>
      </x:c>
      <x:c r="D73" s="6" t="str">
        <x:v>iPhone 15 Pro Screen replacement</x:v>
      </x:c>
      <x:c r="E73" s="6" t="str"/>
      <x:c r="F73" s="6" t="str"/>
      <x:c r="G73" s="6" t="str"/>
      <x:c r="H73" s="6" t="str"/>
      <x:c r="I73" s="6" t="str"/>
      <x:c r="J73" s="6" t="str"/>
      <x:c r="K73" s="6" t="str">
        <x:f>IF(J73="","No duplicate dependency",IFERROR(XLOOKUP(J73,'Duplicate Review Queue'!B2:B16,'Duplicate Review Queue'!J2:J16),"Dependency not found"))</x:f>
        <x:v>No duplicate dependency</x:v>
      </x:c>
      <x:c r="L73" s="6" t="str">
        <x:v>Unresolved</x:v>
      </x:c>
      <x:c r="M73" s="6" t="str"/>
      <x:c r="N73" s="7" t="str"/>
      <x:c r="O73" s="6" t="str"/>
      <x:c r="P73" s="6" t="str"/>
      <x:c r="Q73" s="6" t="str">
        <x:v>Pending</x:v>
      </x:c>
      <x:c r="R73" s="7" t="str">
        <x:f>IF(AND(J73&lt;&gt;"",K73="Unresolved"),"Duplicate dependency unresolved","")</x:f>
      </x:c>
      <x:c r="S73" s="6" t="str">
        <x:v>No</x:v>
      </x:c>
      <x:c r="T73" s="7" t="str"/>
    </x:row>
    <x:row r="74">
      <x:c r="A74" s="6" t="str">
        <x:v>SIDX-0073</x:v>
      </x:c>
      <x:c r="B74" s="6" t="str">
        <x:v>SIR-000073</x:v>
      </x:c>
      <x:c r="C74" s="6" t="str">
        <x:v>SVC000073</x:v>
      </x:c>
      <x:c r="D74" s="6" t="str">
        <x:v>iPhone 15 Pro Max Screen replacement</x:v>
      </x:c>
      <x:c r="E74" s="6" t="str"/>
      <x:c r="F74" s="6" t="str"/>
      <x:c r="G74" s="6" t="str"/>
      <x:c r="H74" s="6" t="str"/>
      <x:c r="I74" s="6" t="str"/>
      <x:c r="J74" s="6" t="str"/>
      <x:c r="K74" s="6" t="str">
        <x:f>IF(J74="","No duplicate dependency",IFERROR(XLOOKUP(J74,'Duplicate Review Queue'!B2:B16,'Duplicate Review Queue'!J2:J16),"Dependency not found"))</x:f>
        <x:v>No duplicate dependency</x:v>
      </x:c>
      <x:c r="L74" s="6" t="str">
        <x:v>Unresolved</x:v>
      </x:c>
      <x:c r="M74" s="6" t="str"/>
      <x:c r="N74" s="7" t="str"/>
      <x:c r="O74" s="6" t="str"/>
      <x:c r="P74" s="6" t="str"/>
      <x:c r="Q74" s="6" t="str">
        <x:v>Pending</x:v>
      </x:c>
      <x:c r="R74" s="7" t="str">
        <x:f>IF(AND(J74&lt;&gt;"",K74="Unresolved"),"Duplicate dependency unresolved","")</x:f>
      </x:c>
      <x:c r="S74" s="6" t="str">
        <x:v>No</x:v>
      </x:c>
      <x:c r="T74" s="7" t="str"/>
    </x:row>
    <x:row r="75">
      <x:c r="A75" s="6" t="str">
        <x:v>SIDX-0074</x:v>
      </x:c>
      <x:c r="B75" s="6" t="str">
        <x:v>SIR-000074</x:v>
      </x:c>
      <x:c r="C75" s="6" t="str">
        <x:v>SVC000074</x:v>
      </x:c>
      <x:c r="D75" s="6" t="str">
        <x:v>iPhone 15 Screen replacement</x:v>
      </x:c>
      <x:c r="E75" s="6" t="str"/>
      <x:c r="F75" s="6" t="str"/>
      <x:c r="G75" s="6" t="str"/>
      <x:c r="H75" s="6" t="str"/>
      <x:c r="I75" s="6" t="str"/>
      <x:c r="J75" s="6" t="str"/>
      <x:c r="K75" s="6" t="str">
        <x:f>IF(J75="","No duplicate dependency",IFERROR(XLOOKUP(J75,'Duplicate Review Queue'!B2:B16,'Duplicate Review Queue'!J2:J16),"Dependency not found"))</x:f>
        <x:v>No duplicate dependency</x:v>
      </x:c>
      <x:c r="L75" s="6" t="str">
        <x:v>Unresolved</x:v>
      </x:c>
      <x:c r="M75" s="6" t="str"/>
      <x:c r="N75" s="7" t="str"/>
      <x:c r="O75" s="6" t="str"/>
      <x:c r="P75" s="6" t="str"/>
      <x:c r="Q75" s="6" t="str">
        <x:v>Pending</x:v>
      </x:c>
      <x:c r="R75" s="7" t="str">
        <x:f>IF(AND(J75&lt;&gt;"",K75="Unresolved"),"Duplicate dependency unresolved","")</x:f>
      </x:c>
      <x:c r="S75" s="6" t="str">
        <x:v>No</x:v>
      </x:c>
      <x:c r="T75" s="7" t="str"/>
    </x:row>
    <x:row r="76">
      <x:c r="A76" s="6" t="str">
        <x:v>SIDX-0075</x:v>
      </x:c>
      <x:c r="B76" s="6" t="str">
        <x:v>SIR-000075</x:v>
      </x:c>
      <x:c r="C76" s="6" t="str">
        <x:v>SVC000075</x:v>
      </x:c>
      <x:c r="D76" s="6" t="str">
        <x:v>iPhone 15 Plus Screen replacement</x:v>
      </x:c>
      <x:c r="E76" s="6" t="str"/>
      <x:c r="F76" s="6" t="str"/>
      <x:c r="G76" s="6" t="str"/>
      <x:c r="H76" s="6" t="str"/>
      <x:c r="I76" s="6" t="str"/>
      <x:c r="J76" s="6" t="str"/>
      <x:c r="K76" s="6" t="str">
        <x:f>IF(J76="","No duplicate dependency",IFERROR(XLOOKUP(J76,'Duplicate Review Queue'!B2:B16,'Duplicate Review Queue'!J2:J16),"Dependency not found"))</x:f>
        <x:v>No duplicate dependency</x:v>
      </x:c>
      <x:c r="L76" s="6" t="str">
        <x:v>Unresolved</x:v>
      </x:c>
      <x:c r="M76" s="6" t="str"/>
      <x:c r="N76" s="7" t="str"/>
      <x:c r="O76" s="6" t="str"/>
      <x:c r="P76" s="6" t="str"/>
      <x:c r="Q76" s="6" t="str">
        <x:v>Pending</x:v>
      </x:c>
      <x:c r="R76" s="7" t="str">
        <x:f>IF(AND(J76&lt;&gt;"",K76="Unresolved"),"Duplicate dependency unresolved","")</x:f>
      </x:c>
      <x:c r="S76" s="6" t="str">
        <x:v>No</x:v>
      </x:c>
      <x:c r="T76" s="7" t="str"/>
    </x:row>
    <x:row r="77">
      <x:c r="A77" s="6" t="str">
        <x:v>SIDX-0076</x:v>
      </x:c>
      <x:c r="B77" s="6" t="str">
        <x:v>SIR-000076</x:v>
      </x:c>
      <x:c r="C77" s="6" t="str">
        <x:v>SVC000076</x:v>
      </x:c>
      <x:c r="D77" s="6" t="str">
        <x:v>iPhone 16 Plus Screen replacement</x:v>
      </x:c>
      <x:c r="E77" s="6" t="str"/>
      <x:c r="F77" s="6" t="str"/>
      <x:c r="G77" s="6" t="str"/>
      <x:c r="H77" s="6" t="str"/>
      <x:c r="I77" s="6" t="str"/>
      <x:c r="J77" s="6" t="str"/>
      <x:c r="K77" s="6" t="str">
        <x:f>IF(J77="","No duplicate dependency",IFERROR(XLOOKUP(J77,'Duplicate Review Queue'!B2:B16,'Duplicate Review Queue'!J2:J16),"Dependency not found"))</x:f>
        <x:v>No duplicate dependency</x:v>
      </x:c>
      <x:c r="L77" s="6" t="str">
        <x:v>Unresolved</x:v>
      </x:c>
      <x:c r="M77" s="6" t="str"/>
      <x:c r="N77" s="7" t="str"/>
      <x:c r="O77" s="6" t="str"/>
      <x:c r="P77" s="6" t="str"/>
      <x:c r="Q77" s="6" t="str">
        <x:v>Pending</x:v>
      </x:c>
      <x:c r="R77" s="7" t="str">
        <x:f>IF(AND(J77&lt;&gt;"",K77="Unresolved"),"Duplicate dependency unresolved","")</x:f>
      </x:c>
      <x:c r="S77" s="6" t="str">
        <x:v>No</x:v>
      </x:c>
      <x:c r="T77" s="7" t="str"/>
    </x:row>
    <x:row r="78">
      <x:c r="A78" s="6" t="str">
        <x:v>SIDX-0077</x:v>
      </x:c>
      <x:c r="B78" s="6" t="str">
        <x:v>SIR-000077</x:v>
      </x:c>
      <x:c r="C78" s="6" t="str">
        <x:v>SVC000077</x:v>
      </x:c>
      <x:c r="D78" s="6" t="str">
        <x:v>iPhone 16 Pro Max Screen replacement</x:v>
      </x:c>
      <x:c r="E78" s="6" t="str"/>
      <x:c r="F78" s="6" t="str"/>
      <x:c r="G78" s="6" t="str"/>
      <x:c r="H78" s="6" t="str"/>
      <x:c r="I78" s="6" t="str"/>
      <x:c r="J78" s="6" t="str"/>
      <x:c r="K78" s="6" t="str">
        <x:f>IF(J78="","No duplicate dependency",IFERROR(XLOOKUP(J78,'Duplicate Review Queue'!B2:B16,'Duplicate Review Queue'!J2:J16),"Dependency not found"))</x:f>
        <x:v>No duplicate dependency</x:v>
      </x:c>
      <x:c r="L78" s="6" t="str">
        <x:v>Unresolved</x:v>
      </x:c>
      <x:c r="M78" s="6" t="str"/>
      <x:c r="N78" s="7" t="str"/>
      <x:c r="O78" s="6" t="str"/>
      <x:c r="P78" s="6" t="str"/>
      <x:c r="Q78" s="6" t="str">
        <x:v>Pending</x:v>
      </x:c>
      <x:c r="R78" s="7" t="str">
        <x:f>IF(AND(J78&lt;&gt;"",K78="Unresolved"),"Duplicate dependency unresolved","")</x:f>
      </x:c>
      <x:c r="S78" s="6" t="str">
        <x:v>No</x:v>
      </x:c>
      <x:c r="T78" s="7" t="str"/>
    </x:row>
    <x:row r="79">
      <x:c r="A79" s="6" t="str">
        <x:v>SIDX-0078</x:v>
      </x:c>
      <x:c r="B79" s="6" t="str">
        <x:v>SIR-000078</x:v>
      </x:c>
      <x:c r="C79" s="6" t="str">
        <x:v>SVC000078</x:v>
      </x:c>
      <x:c r="D79" s="6" t="str">
        <x:v>iPhone 16 Screen replacement</x:v>
      </x:c>
      <x:c r="E79" s="6" t="str"/>
      <x:c r="F79" s="6" t="str"/>
      <x:c r="G79" s="6" t="str"/>
      <x:c r="H79" s="6" t="str"/>
      <x:c r="I79" s="6" t="str"/>
      <x:c r="J79" s="6" t="str"/>
      <x:c r="K79" s="6" t="str">
        <x:f>IF(J79="","No duplicate dependency",IFERROR(XLOOKUP(J79,'Duplicate Review Queue'!B2:B16,'Duplicate Review Queue'!J2:J16),"Dependency not found"))</x:f>
        <x:v>No duplicate dependency</x:v>
      </x:c>
      <x:c r="L79" s="6" t="str">
        <x:v>Unresolved</x:v>
      </x:c>
      <x:c r="M79" s="6" t="str"/>
      <x:c r="N79" s="7" t="str"/>
      <x:c r="O79" s="6" t="str"/>
      <x:c r="P79" s="6" t="str"/>
      <x:c r="Q79" s="6" t="str">
        <x:v>Pending</x:v>
      </x:c>
      <x:c r="R79" s="7" t="str">
        <x:f>IF(AND(J79&lt;&gt;"",K79="Unresolved"),"Duplicate dependency unresolved","")</x:f>
      </x:c>
      <x:c r="S79" s="6" t="str">
        <x:v>No</x:v>
      </x:c>
      <x:c r="T79" s="7" t="str"/>
    </x:row>
    <x:row r="80">
      <x:c r="A80" s="6" t="str">
        <x:v>SIDX-0079</x:v>
      </x:c>
      <x:c r="B80" s="6" t="str">
        <x:v>SIR-000079</x:v>
      </x:c>
      <x:c r="C80" s="6" t="str">
        <x:v>SVC000079</x:v>
      </x:c>
      <x:c r="D80" s="6" t="str">
        <x:v>iPhone 16 Pro Screen replacement</x:v>
      </x:c>
      <x:c r="E80" s="6" t="str"/>
      <x:c r="F80" s="6" t="str"/>
      <x:c r="G80" s="6" t="str"/>
      <x:c r="H80" s="6" t="str"/>
      <x:c r="I80" s="6" t="str"/>
      <x:c r="J80" s="6" t="str"/>
      <x:c r="K80" s="6" t="str">
        <x:f>IF(J80="","No duplicate dependency",IFERROR(XLOOKUP(J80,'Duplicate Review Queue'!B2:B16,'Duplicate Review Queue'!J2:J16),"Dependency not found"))</x:f>
        <x:v>No duplicate dependency</x:v>
      </x:c>
      <x:c r="L80" s="6" t="str">
        <x:v>Unresolved</x:v>
      </x:c>
      <x:c r="M80" s="6" t="str"/>
      <x:c r="N80" s="7" t="str"/>
      <x:c r="O80" s="6" t="str"/>
      <x:c r="P80" s="6" t="str"/>
      <x:c r="Q80" s="6" t="str">
        <x:v>Pending</x:v>
      </x:c>
      <x:c r="R80" s="7" t="str">
        <x:f>IF(AND(J80&lt;&gt;"",K80="Unresolved"),"Duplicate dependency unresolved","")</x:f>
      </x:c>
      <x:c r="S80" s="6" t="str">
        <x:v>No</x:v>
      </x:c>
      <x:c r="T80" s="7" t="str"/>
    </x:row>
    <x:row r="81">
      <x:c r="A81" s="6" t="str">
        <x:v>SIDX-0080</x:v>
      </x:c>
      <x:c r="B81" s="6" t="str">
        <x:v>SIR-000080</x:v>
      </x:c>
      <x:c r="C81" s="6" t="str">
        <x:v>SVC000080</x:v>
      </x:c>
      <x:c r="D81" s="6" t="str">
        <x:v>iPhone 16E Screen replacement</x:v>
      </x:c>
      <x:c r="E81" s="6" t="str"/>
      <x:c r="F81" s="6" t="str"/>
      <x:c r="G81" s="6" t="str"/>
      <x:c r="H81" s="6" t="str"/>
      <x:c r="I81" s="6" t="str"/>
      <x:c r="J81" s="6" t="str"/>
      <x:c r="K81" s="6" t="str">
        <x:f>IF(J81="","No duplicate dependency",IFERROR(XLOOKUP(J81,'Duplicate Review Queue'!B2:B16,'Duplicate Review Queue'!J2:J16),"Dependency not found"))</x:f>
        <x:v>No duplicate dependency</x:v>
      </x:c>
      <x:c r="L81" s="6" t="str">
        <x:v>Unresolved</x:v>
      </x:c>
      <x:c r="M81" s="6" t="str"/>
      <x:c r="N81" s="7" t="str"/>
      <x:c r="O81" s="6" t="str"/>
      <x:c r="P81" s="6" t="str"/>
      <x:c r="Q81" s="6" t="str">
        <x:v>Pending</x:v>
      </x:c>
      <x:c r="R81" s="7" t="str">
        <x:f>IF(AND(J81&lt;&gt;"",K81="Unresolved"),"Duplicate dependency unresolved","")</x:f>
      </x:c>
      <x:c r="S81" s="6" t="str">
        <x:v>No</x:v>
      </x:c>
      <x:c r="T81" s="7" t="str"/>
    </x:row>
    <x:row r="82">
      <x:c r="A82" s="6" t="str">
        <x:v>SIDX-0081</x:v>
      </x:c>
      <x:c r="B82" s="6" t="str">
        <x:v>SIR-000081</x:v>
      </x:c>
      <x:c r="C82" s="6" t="str">
        <x:v>SVC000081</x:v>
      </x:c>
      <x:c r="D82" s="6" t="str">
        <x:v>iPhone 17 Pro Max Phone* Screen replacement</x:v>
      </x:c>
      <x:c r="E82" s="6" t="str"/>
      <x:c r="F82" s="6" t="str"/>
      <x:c r="G82" s="6" t="str"/>
      <x:c r="H82" s="6" t="str"/>
      <x:c r="I82" s="6" t="str"/>
      <x:c r="J82" s="6" t="str"/>
      <x:c r="K82" s="6" t="str">
        <x:f>IF(J82="","No duplicate dependency",IFERROR(XLOOKUP(J82,'Duplicate Review Queue'!B2:B16,'Duplicate Review Queue'!J2:J16),"Dependency not found"))</x:f>
        <x:v>No duplicate dependency</x:v>
      </x:c>
      <x:c r="L82" s="6" t="str">
        <x:v>Unresolved</x:v>
      </x:c>
      <x:c r="M82" s="6" t="str"/>
      <x:c r="N82" s="7" t="str"/>
      <x:c r="O82" s="6" t="str"/>
      <x:c r="P82" s="6" t="str"/>
      <x:c r="Q82" s="6" t="str">
        <x:v>Pending</x:v>
      </x:c>
      <x:c r="R82" s="7" t="str">
        <x:f>IF(AND(J82&lt;&gt;"",K82="Unresolved"),"Duplicate dependency unresolved","")</x:f>
      </x:c>
      <x:c r="S82" s="6" t="str">
        <x:v>No</x:v>
      </x:c>
      <x:c r="T82" s="7" t="str"/>
    </x:row>
    <x:row r="83">
      <x:c r="A83" s="6" t="str">
        <x:v>SIDX-0082</x:v>
      </x:c>
      <x:c r="B83" s="6" t="str">
        <x:v>SIR-000082</x:v>
      </x:c>
      <x:c r="C83" s="6" t="str">
        <x:v>SVC000082</x:v>
      </x:c>
      <x:c r="D83" s="6" t="str">
        <x:v>iPhone 17 Pro Screen replacement</x:v>
      </x:c>
      <x:c r="E83" s="6" t="str"/>
      <x:c r="F83" s="6" t="str"/>
      <x:c r="G83" s="6" t="str"/>
      <x:c r="H83" s="6" t="str"/>
      <x:c r="I83" s="6" t="str"/>
      <x:c r="J83" s="6" t="str"/>
      <x:c r="K83" s="6" t="str">
        <x:f>IF(J83="","No duplicate dependency",IFERROR(XLOOKUP(J83,'Duplicate Review Queue'!B2:B16,'Duplicate Review Queue'!J2:J16),"Dependency not found"))</x:f>
        <x:v>No duplicate dependency</x:v>
      </x:c>
      <x:c r="L83" s="6" t="str">
        <x:v>Unresolved</x:v>
      </x:c>
      <x:c r="M83" s="6" t="str"/>
      <x:c r="N83" s="7" t="str"/>
      <x:c r="O83" s="6" t="str"/>
      <x:c r="P83" s="6" t="str"/>
      <x:c r="Q83" s="6" t="str">
        <x:v>Pending</x:v>
      </x:c>
      <x:c r="R83" s="7" t="str">
        <x:f>IF(AND(J83&lt;&gt;"",K83="Unresolved"),"Duplicate dependency unresolved","")</x:f>
      </x:c>
      <x:c r="S83" s="6" t="str">
        <x:v>No</x:v>
      </x:c>
      <x:c r="T83" s="7" t="str"/>
    </x:row>
    <x:row r="84">
      <x:c r="A84" s="6" t="str">
        <x:v>SIDX-0083</x:v>
      </x:c>
      <x:c r="B84" s="6" t="str">
        <x:v>SIR-000083</x:v>
      </x:c>
      <x:c r="C84" s="6" t="str">
        <x:v>SVC000083</x:v>
      </x:c>
      <x:c r="D84" s="6" t="str">
        <x:v>iPhone 17 Screen replacement</x:v>
      </x:c>
      <x:c r="E84" s="6" t="str"/>
      <x:c r="F84" s="6" t="str"/>
      <x:c r="G84" s="6" t="str"/>
      <x:c r="H84" s="6" t="str"/>
      <x:c r="I84" s="6" t="str"/>
      <x:c r="J84" s="6" t="str"/>
      <x:c r="K84" s="6" t="str">
        <x:f>IF(J84="","No duplicate dependency",IFERROR(XLOOKUP(J84,'Duplicate Review Queue'!B2:B16,'Duplicate Review Queue'!J2:J16),"Dependency not found"))</x:f>
        <x:v>No duplicate dependency</x:v>
      </x:c>
      <x:c r="L84" s="6" t="str">
        <x:v>Unresolved</x:v>
      </x:c>
      <x:c r="M84" s="6" t="str"/>
      <x:c r="N84" s="7" t="str"/>
      <x:c r="O84" s="6" t="str"/>
      <x:c r="P84" s="6" t="str"/>
      <x:c r="Q84" s="6" t="str">
        <x:v>Pending</x:v>
      </x:c>
      <x:c r="R84" s="7" t="str">
        <x:f>IF(AND(J84&lt;&gt;"",K84="Unresolved"),"Duplicate dependency unresolved","")</x:f>
      </x:c>
      <x:c r="S84" s="6" t="str">
        <x:v>No</x:v>
      </x:c>
      <x:c r="T84" s="7" t="str"/>
    </x:row>
    <x:row r="85">
      <x:c r="A85" s="6" t="str">
        <x:v>SIDX-0084</x:v>
      </x:c>
      <x:c r="B85" s="6" t="str">
        <x:v>SIR-000084</x:v>
      </x:c>
      <x:c r="C85" s="6" t="str">
        <x:v>SVC000084</x:v>
      </x:c>
      <x:c r="D85" s="6" t="str">
        <x:v>iPhone 5C Screen replacement</x:v>
      </x:c>
      <x:c r="E85" s="6" t="str"/>
      <x:c r="F85" s="6" t="str"/>
      <x:c r="G85" s="6" t="str"/>
      <x:c r="H85" s="6" t="str"/>
      <x:c r="I85" s="6" t="str"/>
      <x:c r="J85" s="6" t="str"/>
      <x:c r="K85" s="6" t="str">
        <x:f>IF(J85="","No duplicate dependency",IFERROR(XLOOKUP(J85,'Duplicate Review Queue'!B2:B16,'Duplicate Review Queue'!J2:J16),"Dependency not found"))</x:f>
        <x:v>No duplicate dependency</x:v>
      </x:c>
      <x:c r="L85" s="6" t="str">
        <x:v>Unresolved</x:v>
      </x:c>
      <x:c r="M85" s="6" t="str"/>
      <x:c r="N85" s="7" t="str"/>
      <x:c r="O85" s="6" t="str"/>
      <x:c r="P85" s="6" t="str"/>
      <x:c r="Q85" s="6" t="str">
        <x:v>Pending</x:v>
      </x:c>
      <x:c r="R85" s="7" t="str">
        <x:f>IF(AND(J85&lt;&gt;"",K85="Unresolved"),"Duplicate dependency unresolved","")</x:f>
      </x:c>
      <x:c r="S85" s="6" t="str">
        <x:v>No</x:v>
      </x:c>
      <x:c r="T85" s="7" t="str"/>
    </x:row>
    <x:row r="86">
      <x:c r="A86" s="6" t="str">
        <x:v>SIDX-0085</x:v>
      </x:c>
      <x:c r="B86" s="6" t="str">
        <x:v>SIR-000085</x:v>
      </x:c>
      <x:c r="C86" s="6" t="str">
        <x:v>SVC000085</x:v>
      </x:c>
      <x:c r="D86" s="6" t="str">
        <x:v>iPhone 5S Screen replacement</x:v>
      </x:c>
      <x:c r="E86" s="6" t="str"/>
      <x:c r="F86" s="6" t="str"/>
      <x:c r="G86" s="6" t="str"/>
      <x:c r="H86" s="6" t="str"/>
      <x:c r="I86" s="6" t="str"/>
      <x:c r="J86" s="6" t="str"/>
      <x:c r="K86" s="6" t="str">
        <x:f>IF(J86="","No duplicate dependency",IFERROR(XLOOKUP(J86,'Duplicate Review Queue'!B2:B16,'Duplicate Review Queue'!J2:J16),"Dependency not found"))</x:f>
        <x:v>No duplicate dependency</x:v>
      </x:c>
      <x:c r="L86" s="6" t="str">
        <x:v>Unresolved</x:v>
      </x:c>
      <x:c r="M86" s="6" t="str"/>
      <x:c r="N86" s="7" t="str"/>
      <x:c r="O86" s="6" t="str"/>
      <x:c r="P86" s="6" t="str"/>
      <x:c r="Q86" s="6" t="str">
        <x:v>Pending</x:v>
      </x:c>
      <x:c r="R86" s="7" t="str">
        <x:f>IF(AND(J86&lt;&gt;"",K86="Unresolved"),"Duplicate dependency unresolved","")</x:f>
      </x:c>
      <x:c r="S86" s="6" t="str">
        <x:v>No</x:v>
      </x:c>
      <x:c r="T86" s="7" t="str"/>
    </x:row>
    <x:row r="87">
      <x:c r="A87" s="6" t="str">
        <x:v>SIDX-0086</x:v>
      </x:c>
      <x:c r="B87" s="6" t="str">
        <x:v>SIR-000086</x:v>
      </x:c>
      <x:c r="C87" s="6" t="str">
        <x:v>SVC000086</x:v>
      </x:c>
      <x:c r="D87" s="6" t="str">
        <x:v>iPhone 6+ Screen replacement</x:v>
      </x:c>
      <x:c r="E87" s="6" t="str"/>
      <x:c r="F87" s="6" t="str"/>
      <x:c r="G87" s="6" t="str"/>
      <x:c r="H87" s="6" t="str"/>
      <x:c r="I87" s="6" t="str"/>
      <x:c r="J87" s="6" t="str">
        <x:v>DUP000001</x:v>
      </x:c>
      <x:c r="K87" s="6" t="str">
        <x:f>IF(J87="","No duplicate dependency",IFERROR(XLOOKUP(J87,'Duplicate Review Queue'!B2:B16,'Duplicate Review Queue'!J2:J16),"Dependency not found"))</x:f>
        <x:v>Unresolved</x:v>
      </x:c>
      <x:c r="L87" s="6" t="str">
        <x:v>Unresolved</x:v>
      </x:c>
      <x:c r="M87" s="6" t="str"/>
      <x:c r="N87" s="7" t="str"/>
      <x:c r="O87" s="6" t="str"/>
      <x:c r="P87" s="6" t="str"/>
      <x:c r="Q87" s="6" t="str">
        <x:v>Pending</x:v>
      </x:c>
      <x:c r="R87" s="7" t="str">
        <x:f>IF(AND(J87&lt;&gt;"",K87="Unresolved"),"Duplicate dependency unresolved","")</x:f>
        <x:v>Duplicate dependency unresolved</x:v>
      </x:c>
      <x:c r="S87" s="6" t="str">
        <x:v>Yes</x:v>
      </x:c>
      <x:c r="T87" s="7" t="str"/>
    </x:row>
    <x:row r="88">
      <x:c r="A88" s="6" t="str">
        <x:v>SIDX-0087</x:v>
      </x:c>
      <x:c r="B88" s="6" t="str">
        <x:v>SIR-000087</x:v>
      </x:c>
      <x:c r="C88" s="6" t="str">
        <x:v>SVC000087</x:v>
      </x:c>
      <x:c r="D88" s="6" t="str">
        <x:v>iPhone 6 Screen replacement</x:v>
      </x:c>
      <x:c r="E88" s="6" t="str"/>
      <x:c r="F88" s="6" t="str"/>
      <x:c r="G88" s="6" t="str"/>
      <x:c r="H88" s="6" t="str"/>
      <x:c r="I88" s="6" t="str"/>
      <x:c r="J88" s="6" t="str">
        <x:v>DUP000001</x:v>
      </x:c>
      <x:c r="K88" s="6" t="str">
        <x:f>IF(J88="","No duplicate dependency",IFERROR(XLOOKUP(J88,'Duplicate Review Queue'!B2:B16,'Duplicate Review Queue'!J2:J16),"Dependency not found"))</x:f>
        <x:v>Unresolved</x:v>
      </x:c>
      <x:c r="L88" s="6" t="str">
        <x:v>Unresolved</x:v>
      </x:c>
      <x:c r="M88" s="6" t="str"/>
      <x:c r="N88" s="7" t="str"/>
      <x:c r="O88" s="6" t="str"/>
      <x:c r="P88" s="6" t="str"/>
      <x:c r="Q88" s="6" t="str">
        <x:v>Pending</x:v>
      </x:c>
      <x:c r="R88" s="7" t="str">
        <x:f>IF(AND(J88&lt;&gt;"",K88="Unresolved"),"Duplicate dependency unresolved","")</x:f>
        <x:v>Duplicate dependency unresolved</x:v>
      </x:c>
      <x:c r="S88" s="6" t="str">
        <x:v>Yes</x:v>
      </x:c>
      <x:c r="T88" s="7" t="str"/>
    </x:row>
    <x:row r="89">
      <x:c r="A89" s="6" t="str">
        <x:v>SIDX-0088</x:v>
      </x:c>
      <x:c r="B89" s="6" t="str">
        <x:v>SIR-000088</x:v>
      </x:c>
      <x:c r="C89" s="6" t="str">
        <x:v>SVC000088</x:v>
      </x:c>
      <x:c r="D89" s="6" t="str">
        <x:v>iPhone 6S+ Screen replacement</x:v>
      </x:c>
      <x:c r="E89" s="6" t="str"/>
      <x:c r="F89" s="6" t="str"/>
      <x:c r="G89" s="6" t="str"/>
      <x:c r="H89" s="6" t="str"/>
      <x:c r="I89" s="6" t="str"/>
      <x:c r="J89" s="6" t="str">
        <x:v>DUP000002</x:v>
      </x:c>
      <x:c r="K89" s="6" t="str">
        <x:f>IF(J89="","No duplicate dependency",IFERROR(XLOOKUP(J89,'Duplicate Review Queue'!B2:B16,'Duplicate Review Queue'!J2:J16),"Dependency not found"))</x:f>
        <x:v>Unresolved</x:v>
      </x:c>
      <x:c r="L89" s="6" t="str">
        <x:v>Unresolved</x:v>
      </x:c>
      <x:c r="M89" s="6" t="str"/>
      <x:c r="N89" s="7" t="str"/>
      <x:c r="O89" s="6" t="str"/>
      <x:c r="P89" s="6" t="str"/>
      <x:c r="Q89" s="6" t="str">
        <x:v>Pending</x:v>
      </x:c>
      <x:c r="R89" s="7" t="str">
        <x:f>IF(AND(J89&lt;&gt;"",K89="Unresolved"),"Duplicate dependency unresolved","")</x:f>
        <x:v>Duplicate dependency unresolved</x:v>
      </x:c>
      <x:c r="S89" s="6" t="str">
        <x:v>Yes</x:v>
      </x:c>
      <x:c r="T89" s="7" t="str"/>
    </x:row>
    <x:row r="90">
      <x:c r="A90" s="6" t="str">
        <x:v>SIDX-0089</x:v>
      </x:c>
      <x:c r="B90" s="6" t="str">
        <x:v>SIR-000089</x:v>
      </x:c>
      <x:c r="C90" s="6" t="str">
        <x:v>SVC000089</x:v>
      </x:c>
      <x:c r="D90" s="6" t="str">
        <x:v>iPhone 6S Screen replacement</x:v>
      </x:c>
      <x:c r="E90" s="6" t="str"/>
      <x:c r="F90" s="6" t="str"/>
      <x:c r="G90" s="6" t="str"/>
      <x:c r="H90" s="6" t="str"/>
      <x:c r="I90" s="6" t="str"/>
      <x:c r="J90" s="6" t="str">
        <x:v>DUP000002</x:v>
      </x:c>
      <x:c r="K90" s="6" t="str">
        <x:f>IF(J90="","No duplicate dependency",IFERROR(XLOOKUP(J90,'Duplicate Review Queue'!B2:B16,'Duplicate Review Queue'!J2:J16),"Dependency not found"))</x:f>
        <x:v>Unresolved</x:v>
      </x:c>
      <x:c r="L90" s="6" t="str">
        <x:v>Unresolved</x:v>
      </x:c>
      <x:c r="M90" s="6" t="str"/>
      <x:c r="N90" s="7" t="str"/>
      <x:c r="O90" s="6" t="str"/>
      <x:c r="P90" s="6" t="str"/>
      <x:c r="Q90" s="6" t="str">
        <x:v>Pending</x:v>
      </x:c>
      <x:c r="R90" s="7" t="str">
        <x:f>IF(AND(J90&lt;&gt;"",K90="Unresolved"),"Duplicate dependency unresolved","")</x:f>
        <x:v>Duplicate dependency unresolved</x:v>
      </x:c>
      <x:c r="S90" s="6" t="str">
        <x:v>Yes</x:v>
      </x:c>
      <x:c r="T90" s="7" t="str"/>
    </x:row>
    <x:row r="91">
      <x:c r="A91" s="6" t="str">
        <x:v>SIDX-0090</x:v>
      </x:c>
      <x:c r="B91" s="6" t="str">
        <x:v>SIR-000090</x:v>
      </x:c>
      <x:c r="C91" s="6" t="str">
        <x:v>SVC000090</x:v>
      </x:c>
      <x:c r="D91" s="6" t="str">
        <x:v>iPhone 7+ Screen replacement</x:v>
      </x:c>
      <x:c r="E91" s="6" t="str"/>
      <x:c r="F91" s="6" t="str"/>
      <x:c r="G91" s="6" t="str"/>
      <x:c r="H91" s="6" t="str"/>
      <x:c r="I91" s="6" t="str"/>
      <x:c r="J91" s="6" t="str">
        <x:v>DUP000003</x:v>
      </x:c>
      <x:c r="K91" s="6" t="str">
        <x:f>IF(J91="","No duplicate dependency",IFERROR(XLOOKUP(J91,'Duplicate Review Queue'!B2:B16,'Duplicate Review Queue'!J2:J16),"Dependency not found"))</x:f>
        <x:v>Unresolved</x:v>
      </x:c>
      <x:c r="L91" s="6" t="str">
        <x:v>Unresolved</x:v>
      </x:c>
      <x:c r="M91" s="6" t="str"/>
      <x:c r="N91" s="7" t="str"/>
      <x:c r="O91" s="6" t="str"/>
      <x:c r="P91" s="6" t="str"/>
      <x:c r="Q91" s="6" t="str">
        <x:v>Pending</x:v>
      </x:c>
      <x:c r="R91" s="7" t="str">
        <x:f>IF(AND(J91&lt;&gt;"",K91="Unresolved"),"Duplicate dependency unresolved","")</x:f>
        <x:v>Duplicate dependency unresolved</x:v>
      </x:c>
      <x:c r="S91" s="6" t="str">
        <x:v>Yes</x:v>
      </x:c>
      <x:c r="T91" s="7" t="str"/>
    </x:row>
    <x:row r="92">
      <x:c r="A92" s="6" t="str">
        <x:v>SIDX-0091</x:v>
      </x:c>
      <x:c r="B92" s="6" t="str">
        <x:v>SIR-000091</x:v>
      </x:c>
      <x:c r="C92" s="6" t="str">
        <x:v>SVC000091</x:v>
      </x:c>
      <x:c r="D92" s="6" t="str">
        <x:v>iPhone 7 Screen replacement</x:v>
      </x:c>
      <x:c r="E92" s="6" t="str"/>
      <x:c r="F92" s="6" t="str"/>
      <x:c r="G92" s="6" t="str"/>
      <x:c r="H92" s="6" t="str"/>
      <x:c r="I92" s="6" t="str"/>
      <x:c r="J92" s="6" t="str">
        <x:v>DUP000003</x:v>
      </x:c>
      <x:c r="K92" s="6" t="str">
        <x:f>IF(J92="","No duplicate dependency",IFERROR(XLOOKUP(J92,'Duplicate Review Queue'!B2:B16,'Duplicate Review Queue'!J2:J16),"Dependency not found"))</x:f>
        <x:v>Unresolved</x:v>
      </x:c>
      <x:c r="L92" s="6" t="str">
        <x:v>Unresolved</x:v>
      </x:c>
      <x:c r="M92" s="6" t="str"/>
      <x:c r="N92" s="7" t="str"/>
      <x:c r="O92" s="6" t="str"/>
      <x:c r="P92" s="6" t="str"/>
      <x:c r="Q92" s="6" t="str">
        <x:v>Pending</x:v>
      </x:c>
      <x:c r="R92" s="7" t="str">
        <x:f>IF(AND(J92&lt;&gt;"",K92="Unresolved"),"Duplicate dependency unresolved","")</x:f>
        <x:v>Duplicate dependency unresolved</x:v>
      </x:c>
      <x:c r="S92" s="6" t="str">
        <x:v>Yes</x:v>
      </x:c>
      <x:c r="T92" s="7" t="str"/>
    </x:row>
    <x:row r="93">
      <x:c r="A93" s="6" t="str">
        <x:v>SIDX-0092</x:v>
      </x:c>
      <x:c r="B93" s="6" t="str">
        <x:v>SIR-000092</x:v>
      </x:c>
      <x:c r="C93" s="6" t="str">
        <x:v>SVC000092</x:v>
      </x:c>
      <x:c r="D93" s="6" t="str">
        <x:v>iPhone 8+ Screen replacement</x:v>
      </x:c>
      <x:c r="E93" s="6" t="str"/>
      <x:c r="F93" s="6" t="str"/>
      <x:c r="G93" s="6" t="str"/>
      <x:c r="H93" s="6" t="str"/>
      <x:c r="I93" s="6" t="str"/>
      <x:c r="J93" s="6" t="str">
        <x:v>DUP000004</x:v>
      </x:c>
      <x:c r="K93" s="6" t="str">
        <x:f>IF(J93="","No duplicate dependency",IFERROR(XLOOKUP(J93,'Duplicate Review Queue'!B2:B16,'Duplicate Review Queue'!J2:J16),"Dependency not found"))</x:f>
        <x:v>Unresolved</x:v>
      </x:c>
      <x:c r="L93" s="6" t="str">
        <x:v>Unresolved</x:v>
      </x:c>
      <x:c r="M93" s="6" t="str"/>
      <x:c r="N93" s="7" t="str"/>
      <x:c r="O93" s="6" t="str"/>
      <x:c r="P93" s="6" t="str"/>
      <x:c r="Q93" s="6" t="str">
        <x:v>Pending</x:v>
      </x:c>
      <x:c r="R93" s="7" t="str">
        <x:f>IF(AND(J93&lt;&gt;"",K93="Unresolved"),"Duplicate dependency unresolved","")</x:f>
        <x:v>Duplicate dependency unresolved</x:v>
      </x:c>
      <x:c r="S93" s="6" t="str">
        <x:v>Yes</x:v>
      </x:c>
      <x:c r="T93" s="7" t="str"/>
    </x:row>
    <x:row r="94">
      <x:c r="A94" s="6" t="str">
        <x:v>SIDX-0093</x:v>
      </x:c>
      <x:c r="B94" s="6" t="str">
        <x:v>SIR-000093</x:v>
      </x:c>
      <x:c r="C94" s="6" t="str">
        <x:v>SVC000093</x:v>
      </x:c>
      <x:c r="D94" s="6" t="str">
        <x:v>iPhone 8 Screen replacement</x:v>
      </x:c>
      <x:c r="E94" s="6" t="str"/>
      <x:c r="F94" s="6" t="str"/>
      <x:c r="G94" s="6" t="str"/>
      <x:c r="H94" s="6" t="str"/>
      <x:c r="I94" s="6" t="str"/>
      <x:c r="J94" s="6" t="str">
        <x:v>DUP000004</x:v>
      </x:c>
      <x:c r="K94" s="6" t="str">
        <x:f>IF(J94="","No duplicate dependency",IFERROR(XLOOKUP(J94,'Duplicate Review Queue'!B2:B16,'Duplicate Review Queue'!J2:J16),"Dependency not found"))</x:f>
        <x:v>Unresolved</x:v>
      </x:c>
      <x:c r="L94" s="6" t="str">
        <x:v>Unresolved</x:v>
      </x:c>
      <x:c r="M94" s="6" t="str"/>
      <x:c r="N94" s="7" t="str"/>
      <x:c r="O94" s="6" t="str"/>
      <x:c r="P94" s="6" t="str"/>
      <x:c r="Q94" s="6" t="str">
        <x:v>Pending</x:v>
      </x:c>
      <x:c r="R94" s="7" t="str">
        <x:f>IF(AND(J94&lt;&gt;"",K94="Unresolved"),"Duplicate dependency unresolved","")</x:f>
        <x:v>Duplicate dependency unresolved</x:v>
      </x:c>
      <x:c r="S94" s="6" t="str">
        <x:v>Yes</x:v>
      </x:c>
      <x:c r="T94" s="7" t="str"/>
    </x:row>
    <x:row r="95">
      <x:c r="A95" s="6" t="str">
        <x:v>SIDX-0094</x:v>
      </x:c>
      <x:c r="B95" s="6" t="str">
        <x:v>SIR-000094</x:v>
      </x:c>
      <x:c r="C95" s="6" t="str">
        <x:v>SVC000094</x:v>
      </x:c>
      <x:c r="D95" s="6" t="str">
        <x:v>iPhone Air Screen replacement</x:v>
      </x:c>
      <x:c r="E95" s="6" t="str"/>
      <x:c r="F95" s="6" t="str"/>
      <x:c r="G95" s="6" t="str"/>
      <x:c r="H95" s="6" t="str"/>
      <x:c r="I95" s="6" t="str"/>
      <x:c r="J95" s="6" t="str"/>
      <x:c r="K95" s="6" t="str">
        <x:f>IF(J95="","No duplicate dependency",IFERROR(XLOOKUP(J95,'Duplicate Review Queue'!B2:B16,'Duplicate Review Queue'!J2:J16),"Dependency not found"))</x:f>
        <x:v>No duplicate dependency</x:v>
      </x:c>
      <x:c r="L95" s="6" t="str">
        <x:v>Unresolved</x:v>
      </x:c>
      <x:c r="M95" s="6" t="str"/>
      <x:c r="N95" s="7" t="str"/>
      <x:c r="O95" s="6" t="str"/>
      <x:c r="P95" s="6" t="str"/>
      <x:c r="Q95" s="6" t="str">
        <x:v>Pending</x:v>
      </x:c>
      <x:c r="R95" s="7" t="str">
        <x:f>IF(AND(J95&lt;&gt;"",K95="Unresolved"),"Duplicate dependency unresolved","")</x:f>
      </x:c>
      <x:c r="S95" s="6" t="str">
        <x:v>No</x:v>
      </x:c>
      <x:c r="T95" s="7" t="str"/>
    </x:row>
    <x:row r="96">
      <x:c r="A96" s="6" t="str">
        <x:v>SIDX-0095</x:v>
      </x:c>
      <x:c r="B96" s="6" t="str">
        <x:v>SIR-000095</x:v>
      </x:c>
      <x:c r="C96" s="6" t="str">
        <x:v>SVC000095</x:v>
      </x:c>
      <x:c r="D96" s="6" t="str">
        <x:v>iPhone SE(1ST GEN) Screen replacement</x:v>
      </x:c>
      <x:c r="E96" s="6" t="str"/>
      <x:c r="F96" s="6" t="str"/>
      <x:c r="G96" s="6" t="str"/>
      <x:c r="H96" s="6" t="str"/>
      <x:c r="I96" s="6" t="str"/>
      <x:c r="J96" s="6" t="str"/>
      <x:c r="K96" s="6" t="str">
        <x:f>IF(J96="","No duplicate dependency",IFERROR(XLOOKUP(J96,'Duplicate Review Queue'!B2:B16,'Duplicate Review Queue'!J2:J16),"Dependency not found"))</x:f>
        <x:v>No duplicate dependency</x:v>
      </x:c>
      <x:c r="L96" s="6" t="str">
        <x:v>Unresolved</x:v>
      </x:c>
      <x:c r="M96" s="6" t="str"/>
      <x:c r="N96" s="7" t="str"/>
      <x:c r="O96" s="6" t="str"/>
      <x:c r="P96" s="6" t="str"/>
      <x:c r="Q96" s="6" t="str">
        <x:v>Pending</x:v>
      </x:c>
      <x:c r="R96" s="7" t="str">
        <x:f>IF(AND(J96&lt;&gt;"",K96="Unresolved"),"Duplicate dependency unresolved","")</x:f>
      </x:c>
      <x:c r="S96" s="6" t="str">
        <x:v>No</x:v>
      </x:c>
      <x:c r="T96" s="7" t="str"/>
    </x:row>
    <x:row r="97">
      <x:c r="A97" s="6" t="str">
        <x:v>SIDX-0096</x:v>
      </x:c>
      <x:c r="B97" s="6" t="str">
        <x:v>SIR-000096</x:v>
      </x:c>
      <x:c r="C97" s="6" t="str">
        <x:v>SVC000096</x:v>
      </x:c>
      <x:c r="D97" s="6" t="str">
        <x:v>iPhone SE (2ND GEN) Screen replacement</x:v>
      </x:c>
      <x:c r="E97" s="6" t="str"/>
      <x:c r="F97" s="6" t="str"/>
      <x:c r="G97" s="6" t="str"/>
      <x:c r="H97" s="6" t="str"/>
      <x:c r="I97" s="6" t="str"/>
      <x:c r="J97" s="6" t="str"/>
      <x:c r="K97" s="6" t="str">
        <x:f>IF(J97="","No duplicate dependency",IFERROR(XLOOKUP(J97,'Duplicate Review Queue'!B2:B16,'Duplicate Review Queue'!J2:J16),"Dependency not found"))</x:f>
        <x:v>No duplicate dependency</x:v>
      </x:c>
      <x:c r="L97" s="6" t="str">
        <x:v>Unresolved</x:v>
      </x:c>
      <x:c r="M97" s="6" t="str"/>
      <x:c r="N97" s="7" t="str"/>
      <x:c r="O97" s="6" t="str"/>
      <x:c r="P97" s="6" t="str"/>
      <x:c r="Q97" s="6" t="str">
        <x:v>Pending</x:v>
      </x:c>
      <x:c r="R97" s="7" t="str">
        <x:f>IF(AND(J97&lt;&gt;"",K97="Unresolved"),"Duplicate dependency unresolved","")</x:f>
      </x:c>
      <x:c r="S97" s="6" t="str">
        <x:v>No</x:v>
      </x:c>
      <x:c r="T97" s="7" t="str"/>
    </x:row>
    <x:row r="98">
      <x:c r="A98" s="6" t="str">
        <x:v>SIDX-0097</x:v>
      </x:c>
      <x:c r="B98" s="6" t="str">
        <x:v>SIR-000097</x:v>
      </x:c>
      <x:c r="C98" s="6" t="str">
        <x:v>SVC000097</x:v>
      </x:c>
      <x:c r="D98" s="6" t="str">
        <x:v>iPhone SE (3RD GEN) Screen replacement</x:v>
      </x:c>
      <x:c r="E98" s="6" t="str"/>
      <x:c r="F98" s="6" t="str"/>
      <x:c r="G98" s="6" t="str"/>
      <x:c r="H98" s="6" t="str"/>
      <x:c r="I98" s="6" t="str"/>
      <x:c r="J98" s="6" t="str"/>
      <x:c r="K98" s="6" t="str">
        <x:f>IF(J98="","No duplicate dependency",IFERROR(XLOOKUP(J98,'Duplicate Review Queue'!B2:B16,'Duplicate Review Queue'!J2:J16),"Dependency not found"))</x:f>
        <x:v>No duplicate dependency</x:v>
      </x:c>
      <x:c r="L98" s="6" t="str">
        <x:v>Unresolved</x:v>
      </x:c>
      <x:c r="M98" s="6" t="str"/>
      <x:c r="N98" s="7" t="str"/>
      <x:c r="O98" s="6" t="str"/>
      <x:c r="P98" s="6" t="str"/>
      <x:c r="Q98" s="6" t="str">
        <x:v>Pending</x:v>
      </x:c>
      <x:c r="R98" s="7" t="str">
        <x:f>IF(AND(J98&lt;&gt;"",K98="Unresolved"),"Duplicate dependency unresolved","")</x:f>
      </x:c>
      <x:c r="S98" s="6" t="str">
        <x:v>No</x:v>
      </x:c>
      <x:c r="T98" s="7" t="str"/>
    </x:row>
    <x:row r="99">
      <x:c r="A99" s="6" t="str">
        <x:v>SIDX-0098</x:v>
      </x:c>
      <x:c r="B99" s="6" t="str">
        <x:v>SIR-000098</x:v>
      </x:c>
      <x:c r="C99" s="6" t="str">
        <x:v>SVC000098</x:v>
      </x:c>
      <x:c r="D99" s="6" t="str">
        <x:v>iPhone XR Screen replacement</x:v>
      </x:c>
      <x:c r="E99" s="6" t="str"/>
      <x:c r="F99" s="6" t="str"/>
      <x:c r="G99" s="6" t="str"/>
      <x:c r="H99" s="6" t="str"/>
      <x:c r="I99" s="6" t="str"/>
      <x:c r="J99" s="6" t="str"/>
      <x:c r="K99" s="6" t="str">
        <x:f>IF(J99="","No duplicate dependency",IFERROR(XLOOKUP(J99,'Duplicate Review Queue'!B2:B16,'Duplicate Review Queue'!J2:J16),"Dependency not found"))</x:f>
        <x:v>No duplicate dependency</x:v>
      </x:c>
      <x:c r="L99" s="6" t="str">
        <x:v>Unresolved</x:v>
      </x:c>
      <x:c r="M99" s="6" t="str"/>
      <x:c r="N99" s="7" t="str"/>
      <x:c r="O99" s="6" t="str"/>
      <x:c r="P99" s="6" t="str"/>
      <x:c r="Q99" s="6" t="str">
        <x:v>Pending</x:v>
      </x:c>
      <x:c r="R99" s="7" t="str">
        <x:f>IF(AND(J99&lt;&gt;"",K99="Unresolved"),"Duplicate dependency unresolved","")</x:f>
      </x:c>
      <x:c r="S99" s="6" t="str">
        <x:v>No</x:v>
      </x:c>
      <x:c r="T99" s="7" t="str"/>
    </x:row>
    <x:row r="100">
      <x:c r="A100" s="6" t="str">
        <x:v>SIDX-0099</x:v>
      </x:c>
      <x:c r="B100" s="6" t="str">
        <x:v>SIR-000099</x:v>
      </x:c>
      <x:c r="C100" s="6" t="str">
        <x:v>SVC000099</x:v>
      </x:c>
      <x:c r="D100" s="6" t="str">
        <x:v>iPhone XS Screen replacement</x:v>
      </x:c>
      <x:c r="E100" s="6" t="str"/>
      <x:c r="F100" s="6" t="str"/>
      <x:c r="G100" s="6" t="str"/>
      <x:c r="H100" s="6" t="str"/>
      <x:c r="I100" s="6" t="str"/>
      <x:c r="J100" s="6" t="str"/>
      <x:c r="K100" s="6" t="str">
        <x:f>IF(J100="","No duplicate dependency",IFERROR(XLOOKUP(J100,'Duplicate Review Queue'!B2:B16,'Duplicate Review Queue'!J2:J16),"Dependency not found"))</x:f>
        <x:v>No duplicate dependency</x:v>
      </x:c>
      <x:c r="L100" s="6" t="str">
        <x:v>Unresolved</x:v>
      </x:c>
      <x:c r="M100" s="6" t="str"/>
      <x:c r="N100" s="7" t="str"/>
      <x:c r="O100" s="6" t="str"/>
      <x:c r="P100" s="6" t="str"/>
      <x:c r="Q100" s="6" t="str">
        <x:v>Pending</x:v>
      </x:c>
      <x:c r="R100" s="7" t="str">
        <x:f>IF(AND(J100&lt;&gt;"",K100="Unresolved"),"Duplicate dependency unresolved","")</x:f>
      </x:c>
      <x:c r="S100" s="6" t="str">
        <x:v>No</x:v>
      </x:c>
      <x:c r="T100" s="7" t="str"/>
    </x:row>
    <x:row r="101">
      <x:c r="A101" s="6" t="str">
        <x:v>SIDX-0100</x:v>
      </x:c>
      <x:c r="B101" s="6" t="str">
        <x:v>SIR-000100</x:v>
      </x:c>
      <x:c r="C101" s="6" t="str">
        <x:v>SVC000100</x:v>
      </x:c>
      <x:c r="D101" s="6" t="str">
        <x:v>iPhone 5 Screen replacement</x:v>
      </x:c>
      <x:c r="E101" s="6" t="str"/>
      <x:c r="F101" s="6" t="str"/>
      <x:c r="G101" s="6" t="str"/>
      <x:c r="H101" s="6" t="str"/>
      <x:c r="I101" s="6" t="str"/>
      <x:c r="J101" s="6" t="str"/>
      <x:c r="K101" s="6" t="str">
        <x:f>IF(J101="","No duplicate dependency",IFERROR(XLOOKUP(J101,'Duplicate Review Queue'!B2:B16,'Duplicate Review Queue'!J2:J16),"Dependency not found"))</x:f>
        <x:v>No duplicate dependency</x:v>
      </x:c>
      <x:c r="L101" s="6" t="str">
        <x:v>Unresolved</x:v>
      </x:c>
      <x:c r="M101" s="6" t="str"/>
      <x:c r="N101" s="7" t="str"/>
      <x:c r="O101" s="6" t="str"/>
      <x:c r="P101" s="6" t="str"/>
      <x:c r="Q101" s="6" t="str">
        <x:v>Pending</x:v>
      </x:c>
      <x:c r="R101" s="7" t="str">
        <x:f>IF(AND(J101&lt;&gt;"",K101="Unresolved"),"Duplicate dependency unresolved","")</x:f>
      </x:c>
      <x:c r="S101" s="6" t="str">
        <x:v>No</x:v>
      </x:c>
      <x:c r="T101" s="7" t="str"/>
    </x:row>
    <x:row r="102">
      <x:c r="A102" s="6" t="str">
        <x:v>SIDX-0101</x:v>
      </x:c>
      <x:c r="B102" s="6" t="str">
        <x:v>SIR-000101</x:v>
      </x:c>
      <x:c r="C102" s="6" t="str">
        <x:v>SVC000101</x:v>
      </x:c>
      <x:c r="D102" s="6" t="str">
        <x:v>iPhone 4S Screen replacement</x:v>
      </x:c>
      <x:c r="E102" s="6" t="str"/>
      <x:c r="F102" s="6" t="str"/>
      <x:c r="G102" s="6" t="str"/>
      <x:c r="H102" s="6" t="str"/>
      <x:c r="I102" s="6" t="str"/>
      <x:c r="J102" s="6" t="str">
        <x:v>DUP000005</x:v>
      </x:c>
      <x:c r="K102" s="6" t="str">
        <x:f>IF(J102="","No duplicate dependency",IFERROR(XLOOKUP(J102,'Duplicate Review Queue'!B2:B16,'Duplicate Review Queue'!J2:J16),"Dependency not found"))</x:f>
        <x:v>Unresolved</x:v>
      </x:c>
      <x:c r="L102" s="6" t="str">
        <x:v>Unresolved</x:v>
      </x:c>
      <x:c r="M102" s="6" t="str"/>
      <x:c r="N102" s="7" t="str"/>
      <x:c r="O102" s="6" t="str"/>
      <x:c r="P102" s="6" t="str"/>
      <x:c r="Q102" s="6" t="str">
        <x:v>Pending</x:v>
      </x:c>
      <x:c r="R102" s="7" t="str">
        <x:f>IF(AND(J102&lt;&gt;"",K102="Unresolved"),"Duplicate dependency unresolved","")</x:f>
        <x:v>Duplicate dependency unresolved</x:v>
      </x:c>
      <x:c r="S102" s="6" t="str">
        <x:v>Yes</x:v>
      </x:c>
      <x:c r="T102" s="7" t="str"/>
    </x:row>
    <x:row r="103">
      <x:c r="A103" s="6" t="str">
        <x:v>SIDX-0102</x:v>
      </x:c>
      <x:c r="B103" s="6" t="str">
        <x:v>SIR-000102</x:v>
      </x:c>
      <x:c r="C103" s="6" t="str">
        <x:v>SVC000102</x:v>
      </x:c>
      <x:c r="D103" s="6" t="str">
        <x:v>iPhone 4S Screen replacement</x:v>
      </x:c>
      <x:c r="E103" s="6" t="str"/>
      <x:c r="F103" s="6" t="str"/>
      <x:c r="G103" s="6" t="str"/>
      <x:c r="H103" s="6" t="str"/>
      <x:c r="I103" s="6" t="str"/>
      <x:c r="J103" s="6" t="str">
        <x:v>DUP000005</x:v>
      </x:c>
      <x:c r="K103" s="6" t="str">
        <x:f>IF(J103="","No duplicate dependency",IFERROR(XLOOKUP(J103,'Duplicate Review Queue'!B2:B16,'Duplicate Review Queue'!J2:J16),"Dependency not found"))</x:f>
        <x:v>Unresolved</x:v>
      </x:c>
      <x:c r="L103" s="6" t="str">
        <x:v>Unresolved</x:v>
      </x:c>
      <x:c r="M103" s="6" t="str"/>
      <x:c r="N103" s="7" t="str"/>
      <x:c r="O103" s="6" t="str"/>
      <x:c r="P103" s="6" t="str"/>
      <x:c r="Q103" s="6" t="str">
        <x:v>Pending</x:v>
      </x:c>
      <x:c r="R103" s="7" t="str">
        <x:f>IF(AND(J103&lt;&gt;"",K103="Unresolved"),"Duplicate dependency unresolved","")</x:f>
        <x:v>Duplicate dependency unresolved</x:v>
      </x:c>
      <x:c r="S103" s="6" t="str">
        <x:v>Yes</x:v>
      </x:c>
      <x:c r="T103" s="7" t="str"/>
    </x:row>
    <x:row r="104">
      <x:c r="A104" s="6" t="str">
        <x:v>SIDX-0103</x:v>
      </x:c>
      <x:c r="B104" s="6" t="str">
        <x:v>SIR-000103</x:v>
      </x:c>
      <x:c r="C104" s="6" t="str">
        <x:v>SVC000103</x:v>
      </x:c>
      <x:c r="D104" s="6" t="str">
        <x:v>iPhone 4S Screen replacement</x:v>
      </x:c>
      <x:c r="E104" s="6" t="str"/>
      <x:c r="F104" s="6" t="str"/>
      <x:c r="G104" s="6" t="str"/>
      <x:c r="H104" s="6" t="str"/>
      <x:c r="I104" s="6" t="str"/>
      <x:c r="J104" s="6" t="str">
        <x:v>DUP000005</x:v>
      </x:c>
      <x:c r="K104" s="6" t="str">
        <x:f>IF(J104="","No duplicate dependency",IFERROR(XLOOKUP(J104,'Duplicate Review Queue'!B2:B16,'Duplicate Review Queue'!J2:J16),"Dependency not found"))</x:f>
        <x:v>Unresolved</x:v>
      </x:c>
      <x:c r="L104" s="6" t="str">
        <x:v>Unresolved</x:v>
      </x:c>
      <x:c r="M104" s="6" t="str"/>
      <x:c r="N104" s="7" t="str"/>
      <x:c r="O104" s="6" t="str"/>
      <x:c r="P104" s="6" t="str"/>
      <x:c r="Q104" s="6" t="str">
        <x:v>Pending</x:v>
      </x:c>
      <x:c r="R104" s="7" t="str">
        <x:f>IF(AND(J104&lt;&gt;"",K104="Unresolved"),"Duplicate dependency unresolved","")</x:f>
        <x:v>Duplicate dependency unresolved</x:v>
      </x:c>
      <x:c r="S104" s="6" t="str">
        <x:v>Yes</x:v>
      </x:c>
      <x:c r="T104" s="7" t="str"/>
    </x:row>
    <x:row r="105">
      <x:c r="A105" s="6" t="str">
        <x:v>SIDX-0104</x:v>
      </x:c>
      <x:c r="B105" s="6" t="str">
        <x:v>SIR-000104</x:v>
      </x:c>
      <x:c r="C105" s="6" t="str">
        <x:v>SVC000104</x:v>
      </x:c>
      <x:c r="D105" s="6" t="str">
        <x:v>iPhone 3GS Screen replacement</x:v>
      </x:c>
      <x:c r="E105" s="6" t="str"/>
      <x:c r="F105" s="6" t="str"/>
      <x:c r="G105" s="6" t="str"/>
      <x:c r="H105" s="6" t="str"/>
      <x:c r="I105" s="6" t="str"/>
      <x:c r="J105" s="6" t="str"/>
      <x:c r="K105" s="6" t="str">
        <x:f>IF(J105="","No duplicate dependency",IFERROR(XLOOKUP(J105,'Duplicate Review Queue'!B2:B16,'Duplicate Review Queue'!J2:J16),"Dependency not found"))</x:f>
        <x:v>No duplicate dependency</x:v>
      </x:c>
      <x:c r="L105" s="6" t="str">
        <x:v>Unresolved</x:v>
      </x:c>
      <x:c r="M105" s="6" t="str"/>
      <x:c r="N105" s="7" t="str"/>
      <x:c r="O105" s="6" t="str"/>
      <x:c r="P105" s="6" t="str"/>
      <x:c r="Q105" s="6" t="str">
        <x:v>Pending</x:v>
      </x:c>
      <x:c r="R105" s="7" t="str">
        <x:f>IF(AND(J105&lt;&gt;"",K105="Unresolved"),"Duplicate dependency unresolved","")</x:f>
      </x:c>
      <x:c r="S105" s="6" t="str">
        <x:v>No</x:v>
      </x:c>
      <x:c r="T105" s="7" t="str"/>
    </x:row>
    <x:row r="106">
      <x:c r="A106" s="6" t="str">
        <x:v>SIDX-0105</x:v>
      </x:c>
      <x:c r="B106" s="6" t="str">
        <x:v>SIR-000105</x:v>
      </x:c>
      <x:c r="C106" s="6" t="str">
        <x:v>SVC000105</x:v>
      </x:c>
      <x:c r="D106" s="6" t="str">
        <x:v>iPhone 3G Screen replacement</x:v>
      </x:c>
      <x:c r="E106" s="6" t="str"/>
      <x:c r="F106" s="6" t="str"/>
      <x:c r="G106" s="6" t="str"/>
      <x:c r="H106" s="6" t="str"/>
      <x:c r="I106" s="6" t="str"/>
      <x:c r="J106" s="6" t="str"/>
      <x:c r="K106" s="6" t="str">
        <x:f>IF(J106="","No duplicate dependency",IFERROR(XLOOKUP(J106,'Duplicate Review Queue'!B2:B16,'Duplicate Review Queue'!J2:J16),"Dependency not found"))</x:f>
        <x:v>No duplicate dependency</x:v>
      </x:c>
      <x:c r="L106" s="6" t="str">
        <x:v>Unresolved</x:v>
      </x:c>
      <x:c r="M106" s="6" t="str"/>
      <x:c r="N106" s="7" t="str"/>
      <x:c r="O106" s="6" t="str"/>
      <x:c r="P106" s="6" t="str"/>
      <x:c r="Q106" s="6" t="str">
        <x:v>Pending</x:v>
      </x:c>
      <x:c r="R106" s="7" t="str">
        <x:f>IF(AND(J106&lt;&gt;"",K106="Unresolved"),"Duplicate dependency unresolved","")</x:f>
      </x:c>
      <x:c r="S106" s="6" t="str">
        <x:v>No</x:v>
      </x:c>
      <x:c r="T106" s="7" t="str"/>
    </x:row>
    <x:row r="107">
      <x:c r="A107" s="6" t="str">
        <x:v>SIDX-0106</x:v>
      </x:c>
      <x:c r="B107" s="6" t="str">
        <x:v>SIR-000106</x:v>
      </x:c>
      <x:c r="C107" s="6" t="str">
        <x:v>SVC000106</x:v>
      </x:c>
      <x:c r="D107" s="6" t="str">
        <x:v>iPhone Screen replacement</x:v>
      </x:c>
      <x:c r="E107" s="6" t="str"/>
      <x:c r="F107" s="6" t="str"/>
      <x:c r="G107" s="6" t="str"/>
      <x:c r="H107" s="6" t="str"/>
      <x:c r="I107" s="6" t="str"/>
      <x:c r="J107" s="6" t="str"/>
      <x:c r="K107" s="6" t="str">
        <x:f>IF(J107="","No duplicate dependency",IFERROR(XLOOKUP(J107,'Duplicate Review Queue'!B2:B16,'Duplicate Review Queue'!J2:J16),"Dependency not found"))</x:f>
        <x:v>No duplicate dependency</x:v>
      </x:c>
      <x:c r="L107" s="6" t="str">
        <x:v>Unresolved</x:v>
      </x:c>
      <x:c r="M107" s="6" t="str"/>
      <x:c r="N107" s="7" t="str"/>
      <x:c r="O107" s="6" t="str"/>
      <x:c r="P107" s="6" t="str"/>
      <x:c r="Q107" s="6" t="str">
        <x:v>Pending</x:v>
      </x:c>
      <x:c r="R107" s="7" t="str">
        <x:f>IF(AND(J107&lt;&gt;"",K107="Unresolved"),"Duplicate dependency unresolved","")</x:f>
      </x:c>
      <x:c r="S107" s="6" t="str">
        <x:v>No</x:v>
      </x:c>
      <x:c r="T107" s="7" t="str"/>
    </x:row>
    <x:row r="108">
      <x:c r="A108" s="6" t="str">
        <x:v>SIDX-0107</x:v>
      </x:c>
      <x:c r="B108" s="6" t="str">
        <x:v>SIR-000107</x:v>
      </x:c>
      <x:c r="C108" s="6" t="str">
        <x:v>SVC000107</x:v>
      </x:c>
      <x:c r="D108" s="6" t="str">
        <x:v>Galaxy S 24 FE Charge Port Replacement</x:v>
      </x:c>
      <x:c r="E108" s="6" t="str"/>
      <x:c r="F108" s="6" t="str"/>
      <x:c r="G108" s="6" t="str"/>
      <x:c r="H108" s="6" t="str"/>
      <x:c r="I108" s="6" t="str"/>
      <x:c r="J108" s="6" t="str"/>
      <x:c r="K108" s="6" t="str">
        <x:f>IF(J108="","No duplicate dependency",IFERROR(XLOOKUP(J108,'Duplicate Review Queue'!B2:B16,'Duplicate Review Queue'!J2:J16),"Dependency not found"))</x:f>
        <x:v>No duplicate dependency</x:v>
      </x:c>
      <x:c r="L108" s="6" t="str">
        <x:v>Unresolved</x:v>
      </x:c>
      <x:c r="M108" s="6" t="str"/>
      <x:c r="N108" s="7" t="str"/>
      <x:c r="O108" s="6" t="str"/>
      <x:c r="P108" s="6" t="str"/>
      <x:c r="Q108" s="6" t="str">
        <x:v>Pending</x:v>
      </x:c>
      <x:c r="R108" s="7" t="str">
        <x:f>IF(AND(J108&lt;&gt;"",K108="Unresolved"),"Duplicate dependency unresolved","")</x:f>
      </x:c>
      <x:c r="S108" s="6" t="str">
        <x:v>No</x:v>
      </x:c>
      <x:c r="T108" s="7" t="str"/>
    </x:row>
    <x:row r="109">
      <x:c r="A109" s="6" t="str">
        <x:v>SIDX-0108</x:v>
      </x:c>
      <x:c r="B109" s="6" t="str">
        <x:v>SIR-000108</x:v>
      </x:c>
      <x:c r="C109" s="6" t="str">
        <x:v>SVC000108</x:v>
      </x:c>
      <x:c r="D109" s="6" t="str">
        <x:v>Galaxy S 25 Charge Port Replacement</x:v>
      </x:c>
      <x:c r="E109" s="6" t="str"/>
      <x:c r="F109" s="6" t="str"/>
      <x:c r="G109" s="6" t="str"/>
      <x:c r="H109" s="6" t="str"/>
      <x:c r="I109" s="6" t="str"/>
      <x:c r="J109" s="6" t="str"/>
      <x:c r="K109" s="6" t="str">
        <x:f>IF(J109="","No duplicate dependency",IFERROR(XLOOKUP(J109,'Duplicate Review Queue'!B2:B16,'Duplicate Review Queue'!J2:J16),"Dependency not found"))</x:f>
        <x:v>No duplicate dependency</x:v>
      </x:c>
      <x:c r="L109" s="6" t="str">
        <x:v>Unresolved</x:v>
      </x:c>
      <x:c r="M109" s="6" t="str"/>
      <x:c r="N109" s="7" t="str"/>
      <x:c r="O109" s="6" t="str"/>
      <x:c r="P109" s="6" t="str"/>
      <x:c r="Q109" s="6" t="str">
        <x:v>Pending</x:v>
      </x:c>
      <x:c r="R109" s="7" t="str">
        <x:f>IF(AND(J109&lt;&gt;"",K109="Unresolved"),"Duplicate dependency unresolved","")</x:f>
      </x:c>
      <x:c r="S109" s="6" t="str">
        <x:v>No</x:v>
      </x:c>
      <x:c r="T109" s="7" t="str"/>
    </x:row>
    <x:row r="110">
      <x:c r="A110" s="6" t="str">
        <x:v>SIDX-0109</x:v>
      </x:c>
      <x:c r="B110" s="6" t="str">
        <x:v>SIR-000109</x:v>
      </x:c>
      <x:c r="C110" s="6" t="str">
        <x:v>SVC000109</x:v>
      </x:c>
      <x:c r="D110" s="6" t="str">
        <x:v>Galaxy S 25 Plus Charge Port Replacement</x:v>
      </x:c>
      <x:c r="E110" s="6" t="str"/>
      <x:c r="F110" s="6" t="str"/>
      <x:c r="G110" s="6" t="str"/>
      <x:c r="H110" s="6" t="str"/>
      <x:c r="I110" s="6" t="str"/>
      <x:c r="J110" s="6" t="str"/>
      <x:c r="K110" s="6" t="str">
        <x:f>IF(J110="","No duplicate dependency",IFERROR(XLOOKUP(J110,'Duplicate Review Queue'!B2:B16,'Duplicate Review Queue'!J2:J16),"Dependency not found"))</x:f>
        <x:v>No duplicate dependency</x:v>
      </x:c>
      <x:c r="L110" s="6" t="str">
        <x:v>Unresolved</x:v>
      </x:c>
      <x:c r="M110" s="6" t="str"/>
      <x:c r="N110" s="7" t="str"/>
      <x:c r="O110" s="6" t="str"/>
      <x:c r="P110" s="6" t="str"/>
      <x:c r="Q110" s="6" t="str">
        <x:v>Pending</x:v>
      </x:c>
      <x:c r="R110" s="7" t="str">
        <x:f>IF(AND(J110&lt;&gt;"",K110="Unresolved"),"Duplicate dependency unresolved","")</x:f>
      </x:c>
      <x:c r="S110" s="6" t="str">
        <x:v>No</x:v>
      </x:c>
      <x:c r="T110" s="7" t="str"/>
    </x:row>
    <x:row r="111">
      <x:c r="A111" s="6" t="str">
        <x:v>SIDX-0110</x:v>
      </x:c>
      <x:c r="B111" s="6" t="str">
        <x:v>SIR-000110</x:v>
      </x:c>
      <x:c r="C111" s="6" t="str">
        <x:v>SVC000110</x:v>
      </x:c>
      <x:c r="D111" s="6" t="str">
        <x:v>Galaxy S 25 Edge Charge Port Replacement</x:v>
      </x:c>
      <x:c r="E111" s="6" t="str"/>
      <x:c r="F111" s="6" t="str"/>
      <x:c r="G111" s="6" t="str"/>
      <x:c r="H111" s="6" t="str"/>
      <x:c r="I111" s="6" t="str"/>
      <x:c r="J111" s="6" t="str"/>
      <x:c r="K111" s="6" t="str">
        <x:f>IF(J111="","No duplicate dependency",IFERROR(XLOOKUP(J111,'Duplicate Review Queue'!B2:B16,'Duplicate Review Queue'!J2:J16),"Dependency not found"))</x:f>
        <x:v>No duplicate dependency</x:v>
      </x:c>
      <x:c r="L111" s="6" t="str">
        <x:v>Unresolved</x:v>
      </x:c>
      <x:c r="M111" s="6" t="str"/>
      <x:c r="N111" s="7" t="str"/>
      <x:c r="O111" s="6" t="str"/>
      <x:c r="P111" s="6" t="str"/>
      <x:c r="Q111" s="6" t="str">
        <x:v>Pending</x:v>
      </x:c>
      <x:c r="R111" s="7" t="str">
        <x:f>IF(AND(J111&lt;&gt;"",K111="Unresolved"),"Duplicate dependency unresolved","")</x:f>
      </x:c>
      <x:c r="S111" s="6" t="str">
        <x:v>No</x:v>
      </x:c>
      <x:c r="T111" s="7" t="str"/>
    </x:row>
    <x:row r="112">
      <x:c r="A112" s="6" t="str">
        <x:v>SIDX-0111</x:v>
      </x:c>
      <x:c r="B112" s="6" t="str">
        <x:v>SIR-000111</x:v>
      </x:c>
      <x:c r="C112" s="6" t="str">
        <x:v>SVC000111</x:v>
      </x:c>
      <x:c r="D112" s="6" t="str">
        <x:v>Galaxy S 22 Plus Battery Replacement</x:v>
      </x:c>
      <x:c r="E112" s="6" t="str"/>
      <x:c r="F112" s="6" t="str"/>
      <x:c r="G112" s="6" t="str"/>
      <x:c r="H112" s="6" t="str"/>
      <x:c r="I112" s="6" t="str"/>
      <x:c r="J112" s="6" t="str"/>
      <x:c r="K112" s="6" t="str">
        <x:f>IF(J112="","No duplicate dependency",IFERROR(XLOOKUP(J112,'Duplicate Review Queue'!B2:B16,'Duplicate Review Queue'!J2:J16),"Dependency not found"))</x:f>
        <x:v>No duplicate dependency</x:v>
      </x:c>
      <x:c r="L112" s="6" t="str">
        <x:v>Unresolved</x:v>
      </x:c>
      <x:c r="M112" s="6" t="str"/>
      <x:c r="N112" s="7" t="str"/>
      <x:c r="O112" s="6" t="str"/>
      <x:c r="P112" s="6" t="str"/>
      <x:c r="Q112" s="6" t="str">
        <x:v>Pending</x:v>
      </x:c>
      <x:c r="R112" s="7" t="str">
        <x:f>IF(AND(J112&lt;&gt;"",K112="Unresolved"),"Duplicate dependency unresolved","")</x:f>
      </x:c>
      <x:c r="S112" s="6" t="str">
        <x:v>No</x:v>
      </x:c>
      <x:c r="T112" s="7" t="str"/>
    </x:row>
    <x:row r="113">
      <x:c r="A113" s="6" t="str">
        <x:v>SIDX-0112</x:v>
      </x:c>
      <x:c r="B113" s="6" t="str">
        <x:v>SIR-000112</x:v>
      </x:c>
      <x:c r="C113" s="6" t="str">
        <x:v>SVC000112</x:v>
      </x:c>
      <x:c r="D113" s="6" t="str">
        <x:v>Galaxy S 22 Ultra Battery Replacement</x:v>
      </x:c>
      <x:c r="E113" s="6" t="str"/>
      <x:c r="F113" s="6" t="str"/>
      <x:c r="G113" s="6" t="str"/>
      <x:c r="H113" s="6" t="str"/>
      <x:c r="I113" s="6" t="str"/>
      <x:c r="J113" s="6" t="str"/>
      <x:c r="K113" s="6" t="str">
        <x:f>IF(J113="","No duplicate dependency",IFERROR(XLOOKUP(J113,'Duplicate Review Queue'!B2:B16,'Duplicate Review Queue'!J2:J16),"Dependency not found"))</x:f>
        <x:v>No duplicate dependency</x:v>
      </x:c>
      <x:c r="L113" s="6" t="str">
        <x:v>Unresolved</x:v>
      </x:c>
      <x:c r="M113" s="6" t="str"/>
      <x:c r="N113" s="7" t="str"/>
      <x:c r="O113" s="6" t="str"/>
      <x:c r="P113" s="6" t="str"/>
      <x:c r="Q113" s="6" t="str">
        <x:v>Pending</x:v>
      </x:c>
      <x:c r="R113" s="7" t="str">
        <x:f>IF(AND(J113&lt;&gt;"",K113="Unresolved"),"Duplicate dependency unresolved","")</x:f>
      </x:c>
      <x:c r="S113" s="6" t="str">
        <x:v>No</x:v>
      </x:c>
      <x:c r="T113" s="7" t="str"/>
    </x:row>
    <x:row r="114">
      <x:c r="A114" s="6" t="str">
        <x:v>SIDX-0113</x:v>
      </x:c>
      <x:c r="B114" s="6" t="str">
        <x:v>SIR-000113</x:v>
      </x:c>
      <x:c r="C114" s="6" t="str">
        <x:v>SVC000113</x:v>
      </x:c>
      <x:c r="D114" s="6" t="str">
        <x:v>Galaxy S 23 Plus Battery Replacement</x:v>
      </x:c>
      <x:c r="E114" s="6" t="str"/>
      <x:c r="F114" s="6" t="str"/>
      <x:c r="G114" s="6" t="str"/>
      <x:c r="H114" s="6" t="str"/>
      <x:c r="I114" s="6" t="str"/>
      <x:c r="J114" s="6" t="str"/>
      <x:c r="K114" s="6" t="str">
        <x:f>IF(J114="","No duplicate dependency",IFERROR(XLOOKUP(J114,'Duplicate Review Queue'!B2:B16,'Duplicate Review Queue'!J2:J16),"Dependency not found"))</x:f>
        <x:v>No duplicate dependency</x:v>
      </x:c>
      <x:c r="L114" s="6" t="str">
        <x:v>Unresolved</x:v>
      </x:c>
      <x:c r="M114" s="6" t="str"/>
      <x:c r="N114" s="7" t="str"/>
      <x:c r="O114" s="6" t="str"/>
      <x:c r="P114" s="6" t="str"/>
      <x:c r="Q114" s="6" t="str">
        <x:v>Pending</x:v>
      </x:c>
      <x:c r="R114" s="7" t="str">
        <x:f>IF(AND(J114&lt;&gt;"",K114="Unresolved"),"Duplicate dependency unresolved","")</x:f>
      </x:c>
      <x:c r="S114" s="6" t="str">
        <x:v>No</x:v>
      </x:c>
      <x:c r="T114" s="7" t="str"/>
    </x:row>
    <x:row r="115">
      <x:c r="A115" s="6" t="str">
        <x:v>SIDX-0114</x:v>
      </x:c>
      <x:c r="B115" s="6" t="str">
        <x:v>SIR-000114</x:v>
      </x:c>
      <x:c r="C115" s="6" t="str">
        <x:v>SVC000114</x:v>
      </x:c>
      <x:c r="D115" s="6" t="str">
        <x:v>Galaxy S 24 Battery Replacement</x:v>
      </x:c>
      <x:c r="E115" s="6" t="str"/>
      <x:c r="F115" s="6" t="str"/>
      <x:c r="G115" s="6" t="str"/>
      <x:c r="H115" s="6" t="str"/>
      <x:c r="I115" s="6" t="str"/>
      <x:c r="J115" s="6" t="str"/>
      <x:c r="K115" s="6" t="str">
        <x:f>IF(J115="","No duplicate dependency",IFERROR(XLOOKUP(J115,'Duplicate Review Queue'!B2:B16,'Duplicate Review Queue'!J2:J16),"Dependency not found"))</x:f>
        <x:v>No duplicate dependency</x:v>
      </x:c>
      <x:c r="L115" s="6" t="str">
        <x:v>Unresolved</x:v>
      </x:c>
      <x:c r="M115" s="6" t="str"/>
      <x:c r="N115" s="7" t="str"/>
      <x:c r="O115" s="6" t="str"/>
      <x:c r="P115" s="6" t="str"/>
      <x:c r="Q115" s="6" t="str">
        <x:v>Pending</x:v>
      </x:c>
      <x:c r="R115" s="7" t="str">
        <x:f>IF(AND(J115&lt;&gt;"",K115="Unresolved"),"Duplicate dependency unresolved","")</x:f>
      </x:c>
      <x:c r="S115" s="6" t="str">
        <x:v>No</x:v>
      </x:c>
      <x:c r="T115" s="7" t="str"/>
    </x:row>
    <x:row r="116">
      <x:c r="A116" s="6" t="str">
        <x:v>SIDX-0115</x:v>
      </x:c>
      <x:c r="B116" s="6" t="str">
        <x:v>SIR-000115</x:v>
      </x:c>
      <x:c r="C116" s="6" t="str">
        <x:v>SVC000115</x:v>
      </x:c>
      <x:c r="D116" s="6" t="str">
        <x:v>Galaxy S 24 Plus Battery Replacement</x:v>
      </x:c>
      <x:c r="E116" s="6" t="str"/>
      <x:c r="F116" s="6" t="str"/>
      <x:c r="G116" s="6" t="str"/>
      <x:c r="H116" s="6" t="str"/>
      <x:c r="I116" s="6" t="str"/>
      <x:c r="J116" s="6" t="str"/>
      <x:c r="K116" s="6" t="str">
        <x:f>IF(J116="","No duplicate dependency",IFERROR(XLOOKUP(J116,'Duplicate Review Queue'!B2:B16,'Duplicate Review Queue'!J2:J16),"Dependency not found"))</x:f>
        <x:v>No duplicate dependency</x:v>
      </x:c>
      <x:c r="L116" s="6" t="str">
        <x:v>Unresolved</x:v>
      </x:c>
      <x:c r="M116" s="6" t="str"/>
      <x:c r="N116" s="7" t="str"/>
      <x:c r="O116" s="6" t="str"/>
      <x:c r="P116" s="6" t="str"/>
      <x:c r="Q116" s="6" t="str">
        <x:v>Pending</x:v>
      </x:c>
      <x:c r="R116" s="7" t="str">
        <x:f>IF(AND(J116&lt;&gt;"",K116="Unresolved"),"Duplicate dependency unresolved","")</x:f>
      </x:c>
      <x:c r="S116" s="6" t="str">
        <x:v>No</x:v>
      </x:c>
      <x:c r="T116" s="7" t="str"/>
    </x:row>
    <x:row r="117">
      <x:c r="A117" s="6" t="str">
        <x:v>SIDX-0116</x:v>
      </x:c>
      <x:c r="B117" s="6" t="str">
        <x:v>SIR-000116</x:v>
      </x:c>
      <x:c r="C117" s="6" t="str">
        <x:v>SVC000116</x:v>
      </x:c>
      <x:c r="D117" s="6" t="str">
        <x:v>Galaxy S 24 Ultra Battery Replacement</x:v>
      </x:c>
      <x:c r="E117" s="6" t="str"/>
      <x:c r="F117" s="6" t="str"/>
      <x:c r="G117" s="6" t="str"/>
      <x:c r="H117" s="6" t="str"/>
      <x:c r="I117" s="6" t="str"/>
      <x:c r="J117" s="6" t="str"/>
      <x:c r="K117" s="6" t="str">
        <x:f>IF(J117="","No duplicate dependency",IFERROR(XLOOKUP(J117,'Duplicate Review Queue'!B2:B16,'Duplicate Review Queue'!J2:J16),"Dependency not found"))</x:f>
        <x:v>No duplicate dependency</x:v>
      </x:c>
      <x:c r="L117" s="6" t="str">
        <x:v>Unresolved</x:v>
      </x:c>
      <x:c r="M117" s="6" t="str"/>
      <x:c r="N117" s="7" t="str"/>
      <x:c r="O117" s="6" t="str"/>
      <x:c r="P117" s="6" t="str"/>
      <x:c r="Q117" s="6" t="str">
        <x:v>Pending</x:v>
      </x:c>
      <x:c r="R117" s="7" t="str">
        <x:f>IF(AND(J117&lt;&gt;"",K117="Unresolved"),"Duplicate dependency unresolved","")</x:f>
      </x:c>
      <x:c r="S117" s="6" t="str">
        <x:v>No</x:v>
      </x:c>
      <x:c r="T117" s="7" t="str"/>
    </x:row>
    <x:row r="118">
      <x:c r="A118" s="6" t="str">
        <x:v>SIDX-0117</x:v>
      </x:c>
      <x:c r="B118" s="6" t="str">
        <x:v>SIR-000117</x:v>
      </x:c>
      <x:c r="C118" s="6" t="str">
        <x:v>SVC000117</x:v>
      </x:c>
      <x:c r="D118" s="6" t="str">
        <x:v>Galaxy S 25 Plus Battery Replacement</x:v>
      </x:c>
      <x:c r="E118" s="6" t="str"/>
      <x:c r="F118" s="6" t="str"/>
      <x:c r="G118" s="6" t="str"/>
      <x:c r="H118" s="6" t="str"/>
      <x:c r="I118" s="6" t="str"/>
      <x:c r="J118" s="6" t="str"/>
      <x:c r="K118" s="6" t="str">
        <x:f>IF(J118="","No duplicate dependency",IFERROR(XLOOKUP(J118,'Duplicate Review Queue'!B2:B16,'Duplicate Review Queue'!J2:J16),"Dependency not found"))</x:f>
        <x:v>No duplicate dependency</x:v>
      </x:c>
      <x:c r="L118" s="6" t="str">
        <x:v>Unresolved</x:v>
      </x:c>
      <x:c r="M118" s="6" t="str"/>
      <x:c r="N118" s="7" t="str"/>
      <x:c r="O118" s="6" t="str"/>
      <x:c r="P118" s="6" t="str"/>
      <x:c r="Q118" s="6" t="str">
        <x:v>Pending</x:v>
      </x:c>
      <x:c r="R118" s="7" t="str">
        <x:f>IF(AND(J118&lt;&gt;"",K118="Unresolved"),"Duplicate dependency unresolved","")</x:f>
      </x:c>
      <x:c r="S118" s="6" t="str">
        <x:v>No</x:v>
      </x:c>
      <x:c r="T118" s="7" t="str"/>
    </x:row>
    <x:row r="119">
      <x:c r="A119" s="6" t="str">
        <x:v>SIDX-0118</x:v>
      </x:c>
      <x:c r="B119" s="6" t="str">
        <x:v>SIR-000118</x:v>
      </x:c>
      <x:c r="C119" s="6" t="str">
        <x:v>SVC000118</x:v>
      </x:c>
      <x:c r="D119" s="6" t="str">
        <x:v>Galaxy S 10 Battery Replacement</x:v>
      </x:c>
      <x:c r="E119" s="6" t="str"/>
      <x:c r="F119" s="6" t="str"/>
      <x:c r="G119" s="6" t="str"/>
      <x:c r="H119" s="6" t="str"/>
      <x:c r="I119" s="6" t="str"/>
      <x:c r="J119" s="6" t="str"/>
      <x:c r="K119" s="6" t="str">
        <x:f>IF(J119="","No duplicate dependency",IFERROR(XLOOKUP(J119,'Duplicate Review Queue'!B2:B16,'Duplicate Review Queue'!J2:J16),"Dependency not found"))</x:f>
        <x:v>No duplicate dependency</x:v>
      </x:c>
      <x:c r="L119" s="6" t="str">
        <x:v>Unresolved</x:v>
      </x:c>
      <x:c r="M119" s="6" t="str"/>
      <x:c r="N119" s="7" t="str"/>
      <x:c r="O119" s="6" t="str"/>
      <x:c r="P119" s="6" t="str"/>
      <x:c r="Q119" s="6" t="str">
        <x:v>Pending</x:v>
      </x:c>
      <x:c r="R119" s="7" t="str">
        <x:f>IF(AND(J119&lt;&gt;"",K119="Unresolved"),"Duplicate dependency unresolved","")</x:f>
      </x:c>
      <x:c r="S119" s="6" t="str">
        <x:v>No</x:v>
      </x:c>
      <x:c r="T119" s="7" t="str"/>
    </x:row>
    <x:row r="120">
      <x:c r="A120" s="6" t="str">
        <x:v>SIDX-0119</x:v>
      </x:c>
      <x:c r="B120" s="6" t="str">
        <x:v>SIR-000119</x:v>
      </x:c>
      <x:c r="C120" s="6" t="str">
        <x:v>SVC000119</x:v>
      </x:c>
      <x:c r="D120" s="6" t="str">
        <x:v>Galaxy S 10 Plus Battery Replacement</x:v>
      </x:c>
      <x:c r="E120" s="6" t="str"/>
      <x:c r="F120" s="6" t="str"/>
      <x:c r="G120" s="6" t="str"/>
      <x:c r="H120" s="6" t="str"/>
      <x:c r="I120" s="6" t="str"/>
      <x:c r="J120" s="6" t="str"/>
      <x:c r="K120" s="6" t="str">
        <x:f>IF(J120="","No duplicate dependency",IFERROR(XLOOKUP(J120,'Duplicate Review Queue'!B2:B16,'Duplicate Review Queue'!J2:J16),"Dependency not found"))</x:f>
        <x:v>No duplicate dependency</x:v>
      </x:c>
      <x:c r="L120" s="6" t="str">
        <x:v>Unresolved</x:v>
      </x:c>
      <x:c r="M120" s="6" t="str"/>
      <x:c r="N120" s="7" t="str"/>
      <x:c r="O120" s="6" t="str"/>
      <x:c r="P120" s="6" t="str"/>
      <x:c r="Q120" s="6" t="str">
        <x:v>Pending</x:v>
      </x:c>
      <x:c r="R120" s="7" t="str">
        <x:f>IF(AND(J120&lt;&gt;"",K120="Unresolved"),"Duplicate dependency unresolved","")</x:f>
      </x:c>
      <x:c r="S120" s="6" t="str">
        <x:v>No</x:v>
      </x:c>
      <x:c r="T120" s="7" t="str"/>
    </x:row>
    <x:row r="121">
      <x:c r="A121" s="6" t="str">
        <x:v>SIDX-0120</x:v>
      </x:c>
      <x:c r="B121" s="6" t="str">
        <x:v>SIR-000120</x:v>
      </x:c>
      <x:c r="C121" s="6" t="str">
        <x:v>SVC000120</x:v>
      </x:c>
      <x:c r="D121" s="6" t="str">
        <x:v>Galaxy S 10 E Battery Replacement</x:v>
      </x:c>
      <x:c r="E121" s="6" t="str"/>
      <x:c r="F121" s="6" t="str"/>
      <x:c r="G121" s="6" t="str"/>
      <x:c r="H121" s="6" t="str"/>
      <x:c r="I121" s="6" t="str"/>
      <x:c r="J121" s="6" t="str"/>
      <x:c r="K121" s="6" t="str">
        <x:f>IF(J121="","No duplicate dependency",IFERROR(XLOOKUP(J121,'Duplicate Review Queue'!B2:B16,'Duplicate Review Queue'!J2:J16),"Dependency not found"))</x:f>
        <x:v>No duplicate dependency</x:v>
      </x:c>
      <x:c r="L121" s="6" t="str">
        <x:v>Unresolved</x:v>
      </x:c>
      <x:c r="M121" s="6" t="str"/>
      <x:c r="N121" s="7" t="str"/>
      <x:c r="O121" s="6" t="str"/>
      <x:c r="P121" s="6" t="str"/>
      <x:c r="Q121" s="6" t="str">
        <x:v>Pending</x:v>
      </x:c>
      <x:c r="R121" s="7" t="str">
        <x:f>IF(AND(J121&lt;&gt;"",K121="Unresolved"),"Duplicate dependency unresolved","")</x:f>
      </x:c>
      <x:c r="S121" s="6" t="str">
        <x:v>No</x:v>
      </x:c>
      <x:c r="T121" s="7" t="str"/>
    </x:row>
    <x:row r="122">
      <x:c r="A122" s="6" t="str">
        <x:v>SIDX-0121</x:v>
      </x:c>
      <x:c r="B122" s="6" t="str">
        <x:v>SIR-000121</x:v>
      </x:c>
      <x:c r="C122" s="6" t="str">
        <x:v>SVC000121</x:v>
      </x:c>
      <x:c r="D122" s="6" t="str">
        <x:v>Galaxy Note 9 Battery Replacement</x:v>
      </x:c>
      <x:c r="E122" s="6" t="str"/>
      <x:c r="F122" s="6" t="str"/>
      <x:c r="G122" s="6" t="str"/>
      <x:c r="H122" s="6" t="str"/>
      <x:c r="I122" s="6" t="str"/>
      <x:c r="J122" s="6" t="str"/>
      <x:c r="K122" s="6" t="str">
        <x:f>IF(J122="","No duplicate dependency",IFERROR(XLOOKUP(J122,'Duplicate Review Queue'!B2:B16,'Duplicate Review Queue'!J2:J16),"Dependency not found"))</x:f>
        <x:v>No duplicate dependency</x:v>
      </x:c>
      <x:c r="L122" s="6" t="str">
        <x:v>Unresolved</x:v>
      </x:c>
      <x:c r="M122" s="6" t="str"/>
      <x:c r="N122" s="7" t="str"/>
      <x:c r="O122" s="6" t="str"/>
      <x:c r="P122" s="6" t="str"/>
      <x:c r="Q122" s="6" t="str">
        <x:v>Pending</x:v>
      </x:c>
      <x:c r="R122" s="7" t="str">
        <x:f>IF(AND(J122&lt;&gt;"",K122="Unresolved"),"Duplicate dependency unresolved","")</x:f>
      </x:c>
      <x:c r="S122" s="6" t="str">
        <x:v>No</x:v>
      </x:c>
      <x:c r="T122" s="7" t="str"/>
    </x:row>
    <x:row r="123">
      <x:c r="A123" s="6" t="str">
        <x:v>SIDX-0122</x:v>
      </x:c>
      <x:c r="B123" s="6" t="str">
        <x:v>SIR-000122</x:v>
      </x:c>
      <x:c r="C123" s="6" t="str">
        <x:v>SVC000122</x:v>
      </x:c>
      <x:c r="D123" s="6" t="str">
        <x:v>Galaxy Note 10 Plus Battery Replacement</x:v>
      </x:c>
      <x:c r="E123" s="6" t="str"/>
      <x:c r="F123" s="6" t="str"/>
      <x:c r="G123" s="6" t="str"/>
      <x:c r="H123" s="6" t="str"/>
      <x:c r="I123" s="6" t="str"/>
      <x:c r="J123" s="6" t="str"/>
      <x:c r="K123" s="6" t="str">
        <x:f>IF(J123="","No duplicate dependency",IFERROR(XLOOKUP(J123,'Duplicate Review Queue'!B2:B16,'Duplicate Review Queue'!J2:J16),"Dependency not found"))</x:f>
        <x:v>No duplicate dependency</x:v>
      </x:c>
      <x:c r="L123" s="6" t="str">
        <x:v>Unresolved</x:v>
      </x:c>
      <x:c r="M123" s="6" t="str"/>
      <x:c r="N123" s="7" t="str"/>
      <x:c r="O123" s="6" t="str"/>
      <x:c r="P123" s="6" t="str"/>
      <x:c r="Q123" s="6" t="str">
        <x:v>Pending</x:v>
      </x:c>
      <x:c r="R123" s="7" t="str">
        <x:f>IF(AND(J123&lt;&gt;"",K123="Unresolved"),"Duplicate dependency unresolved","")</x:f>
      </x:c>
      <x:c r="S123" s="6" t="str">
        <x:v>No</x:v>
      </x:c>
      <x:c r="T123" s="7" t="str"/>
    </x:row>
    <x:row r="124">
      <x:c r="A124" s="6" t="str">
        <x:v>SIDX-0123</x:v>
      </x:c>
      <x:c r="B124" s="6" t="str">
        <x:v>SIR-000123</x:v>
      </x:c>
      <x:c r="C124" s="6" t="str">
        <x:v>SVC000123</x:v>
      </x:c>
      <x:c r="D124" s="6" t="str">
        <x:v>Galaxy S 20 Battery Replacement</x:v>
      </x:c>
      <x:c r="E124" s="6" t="str"/>
      <x:c r="F124" s="6" t="str"/>
      <x:c r="G124" s="6" t="str"/>
      <x:c r="H124" s="6" t="str"/>
      <x:c r="I124" s="6" t="str"/>
      <x:c r="J124" s="6" t="str"/>
      <x:c r="K124" s="6" t="str">
        <x:f>IF(J124="","No duplicate dependency",IFERROR(XLOOKUP(J124,'Duplicate Review Queue'!B2:B16,'Duplicate Review Queue'!J2:J16),"Dependency not found"))</x:f>
        <x:v>No duplicate dependency</x:v>
      </x:c>
      <x:c r="L124" s="6" t="str">
        <x:v>Unresolved</x:v>
      </x:c>
      <x:c r="M124" s="6" t="str"/>
      <x:c r="N124" s="7" t="str"/>
      <x:c r="O124" s="6" t="str"/>
      <x:c r="P124" s="6" t="str"/>
      <x:c r="Q124" s="6" t="str">
        <x:v>Pending</x:v>
      </x:c>
      <x:c r="R124" s="7" t="str">
        <x:f>IF(AND(J124&lt;&gt;"",K124="Unresolved"),"Duplicate dependency unresolved","")</x:f>
      </x:c>
      <x:c r="S124" s="6" t="str">
        <x:v>No</x:v>
      </x:c>
      <x:c r="T124" s="7" t="str"/>
    </x:row>
    <x:row r="125">
      <x:c r="A125" s="6" t="str">
        <x:v>SIDX-0124</x:v>
      </x:c>
      <x:c r="B125" s="6" t="str">
        <x:v>SIR-000124</x:v>
      </x:c>
      <x:c r="C125" s="6" t="str">
        <x:v>SVC000124</x:v>
      </x:c>
      <x:c r="D125" s="6" t="str">
        <x:v>Galaxy S 20 Plus Battery Replacement</x:v>
      </x:c>
      <x:c r="E125" s="6" t="str"/>
      <x:c r="F125" s="6" t="str"/>
      <x:c r="G125" s="6" t="str"/>
      <x:c r="H125" s="6" t="str"/>
      <x:c r="I125" s="6" t="str"/>
      <x:c r="J125" s="6" t="str"/>
      <x:c r="K125" s="6" t="str">
        <x:f>IF(J125="","No duplicate dependency",IFERROR(XLOOKUP(J125,'Duplicate Review Queue'!B2:B16,'Duplicate Review Queue'!J2:J16),"Dependency not found"))</x:f>
        <x:v>No duplicate dependency</x:v>
      </x:c>
      <x:c r="L125" s="6" t="str">
        <x:v>Unresolved</x:v>
      </x:c>
      <x:c r="M125" s="6" t="str"/>
      <x:c r="N125" s="7" t="str"/>
      <x:c r="O125" s="6" t="str"/>
      <x:c r="P125" s="6" t="str"/>
      <x:c r="Q125" s="6" t="str">
        <x:v>Pending</x:v>
      </x:c>
      <x:c r="R125" s="7" t="str">
        <x:f>IF(AND(J125&lt;&gt;"",K125="Unresolved"),"Duplicate dependency unresolved","")</x:f>
      </x:c>
      <x:c r="S125" s="6" t="str">
        <x:v>No</x:v>
      </x:c>
      <x:c r="T125" s="7" t="str"/>
    </x:row>
    <x:row r="126">
      <x:c r="A126" s="6" t="str">
        <x:v>SIDX-0125</x:v>
      </x:c>
      <x:c r="B126" s="6" t="str">
        <x:v>SIR-000125</x:v>
      </x:c>
      <x:c r="C126" s="6" t="str">
        <x:v>SVC000125</x:v>
      </x:c>
      <x:c r="D126" s="6" t="str">
        <x:v>Galaxy S 21 Plus Battery Replacement</x:v>
      </x:c>
      <x:c r="E126" s="6" t="str"/>
      <x:c r="F126" s="6" t="str"/>
      <x:c r="G126" s="6" t="str"/>
      <x:c r="H126" s="6" t="str"/>
      <x:c r="I126" s="6" t="str"/>
      <x:c r="J126" s="6" t="str"/>
      <x:c r="K126" s="6" t="str">
        <x:f>IF(J126="","No duplicate dependency",IFERROR(XLOOKUP(J126,'Duplicate Review Queue'!B2:B16,'Duplicate Review Queue'!J2:J16),"Dependency not found"))</x:f>
        <x:v>No duplicate dependency</x:v>
      </x:c>
      <x:c r="L126" s="6" t="str">
        <x:v>Unresolved</x:v>
      </x:c>
      <x:c r="M126" s="6" t="str"/>
      <x:c r="N126" s="7" t="str"/>
      <x:c r="O126" s="6" t="str"/>
      <x:c r="P126" s="6" t="str"/>
      <x:c r="Q126" s="6" t="str">
        <x:v>Pending</x:v>
      </x:c>
      <x:c r="R126" s="7" t="str">
        <x:f>IF(AND(J126&lt;&gt;"",K126="Unresolved"),"Duplicate dependency unresolved","")</x:f>
      </x:c>
      <x:c r="S126" s="6" t="str">
        <x:v>No</x:v>
      </x:c>
      <x:c r="T126" s="7" t="str"/>
    </x:row>
    <x:row r="127">
      <x:c r="A127" s="6" t="str">
        <x:v>SIDX-0126</x:v>
      </x:c>
      <x:c r="B127" s="6" t="str">
        <x:v>SIR-000126</x:v>
      </x:c>
      <x:c r="C127" s="6" t="str">
        <x:v>SVC000126</x:v>
      </x:c>
      <x:c r="D127" s="6" t="str">
        <x:v>Galaxy S 7 Battery Replacement</x:v>
      </x:c>
      <x:c r="E127" s="6" t="str"/>
      <x:c r="F127" s="6" t="str"/>
      <x:c r="G127" s="6" t="str"/>
      <x:c r="H127" s="6" t="str"/>
      <x:c r="I127" s="6" t="str"/>
      <x:c r="J127" s="6" t="str"/>
      <x:c r="K127" s="6" t="str">
        <x:f>IF(J127="","No duplicate dependency",IFERROR(XLOOKUP(J127,'Duplicate Review Queue'!B2:B16,'Duplicate Review Queue'!J2:J16),"Dependency not found"))</x:f>
        <x:v>No duplicate dependency</x:v>
      </x:c>
      <x:c r="L127" s="6" t="str">
        <x:v>Unresolved</x:v>
      </x:c>
      <x:c r="M127" s="6" t="str"/>
      <x:c r="N127" s="7" t="str"/>
      <x:c r="O127" s="6" t="str"/>
      <x:c r="P127" s="6" t="str"/>
      <x:c r="Q127" s="6" t="str">
        <x:v>Pending</x:v>
      </x:c>
      <x:c r="R127" s="7" t="str">
        <x:f>IF(AND(J127&lt;&gt;"",K127="Unresolved"),"Duplicate dependency unresolved","")</x:f>
      </x:c>
      <x:c r="S127" s="6" t="str">
        <x:v>No</x:v>
      </x:c>
      <x:c r="T127" s="7" t="str"/>
    </x:row>
    <x:row r="128">
      <x:c r="A128" s="6" t="str">
        <x:v>SIDX-0127</x:v>
      </x:c>
      <x:c r="B128" s="6" t="str">
        <x:v>SIR-000127</x:v>
      </x:c>
      <x:c r="C128" s="6" t="str">
        <x:v>SVC000127</x:v>
      </x:c>
      <x:c r="D128" s="6" t="str">
        <x:v>Galaxy S 7 Edge Battery Replacement</x:v>
      </x:c>
      <x:c r="E128" s="6" t="str"/>
      <x:c r="F128" s="6" t="str"/>
      <x:c r="G128" s="6" t="str"/>
      <x:c r="H128" s="6" t="str"/>
      <x:c r="I128" s="6" t="str"/>
      <x:c r="J128" s="6" t="str"/>
      <x:c r="K128" s="6" t="str">
        <x:f>IF(J128="","No duplicate dependency",IFERROR(XLOOKUP(J128,'Duplicate Review Queue'!B2:B16,'Duplicate Review Queue'!J2:J16),"Dependency not found"))</x:f>
        <x:v>No duplicate dependency</x:v>
      </x:c>
      <x:c r="L128" s="6" t="str">
        <x:v>Unresolved</x:v>
      </x:c>
      <x:c r="M128" s="6" t="str"/>
      <x:c r="N128" s="7" t="str"/>
      <x:c r="O128" s="6" t="str"/>
      <x:c r="P128" s="6" t="str"/>
      <x:c r="Q128" s="6" t="str">
        <x:v>Pending</x:v>
      </x:c>
      <x:c r="R128" s="7" t="str">
        <x:f>IF(AND(J128&lt;&gt;"",K128="Unresolved"),"Duplicate dependency unresolved","")</x:f>
      </x:c>
      <x:c r="S128" s="6" t="str">
        <x:v>No</x:v>
      </x:c>
      <x:c r="T128" s="7" t="str"/>
    </x:row>
    <x:row r="129">
      <x:c r="A129" s="6" t="str">
        <x:v>SIDX-0128</x:v>
      </x:c>
      <x:c r="B129" s="6" t="str">
        <x:v>SIR-000128</x:v>
      </x:c>
      <x:c r="C129" s="6" t="str">
        <x:v>SVC000128</x:v>
      </x:c>
      <x:c r="D129" s="6" t="str">
        <x:v>Galaxy S 5 Active Battery Replacement</x:v>
      </x:c>
      <x:c r="E129" s="6" t="str"/>
      <x:c r="F129" s="6" t="str"/>
      <x:c r="G129" s="6" t="str"/>
      <x:c r="H129" s="6" t="str"/>
      <x:c r="I129" s="6" t="str"/>
      <x:c r="J129" s="6" t="str"/>
      <x:c r="K129" s="6" t="str">
        <x:f>IF(J129="","No duplicate dependency",IFERROR(XLOOKUP(J129,'Duplicate Review Queue'!B2:B16,'Duplicate Review Queue'!J2:J16),"Dependency not found"))</x:f>
        <x:v>No duplicate dependency</x:v>
      </x:c>
      <x:c r="L129" s="6" t="str">
        <x:v>Unresolved</x:v>
      </x:c>
      <x:c r="M129" s="6" t="str"/>
      <x:c r="N129" s="7" t="str"/>
      <x:c r="O129" s="6" t="str"/>
      <x:c r="P129" s="6" t="str"/>
      <x:c r="Q129" s="6" t="str">
        <x:v>Pending</x:v>
      </x:c>
      <x:c r="R129" s="7" t="str">
        <x:f>IF(AND(J129&lt;&gt;"",K129="Unresolved"),"Duplicate dependency unresolved","")</x:f>
      </x:c>
      <x:c r="S129" s="6" t="str">
        <x:v>No</x:v>
      </x:c>
      <x:c r="T129" s="7" t="str"/>
    </x:row>
    <x:row r="130">
      <x:c r="A130" s="6" t="str">
        <x:v>SIDX-0129</x:v>
      </x:c>
      <x:c r="B130" s="6" t="str">
        <x:v>SIR-000129</x:v>
      </x:c>
      <x:c r="C130" s="6" t="str">
        <x:v>SVC000129</x:v>
      </x:c>
      <x:c r="D130" s="6" t="str">
        <x:v>Galaxy S 6 Edge Battery Replacement</x:v>
      </x:c>
      <x:c r="E130" s="6" t="str"/>
      <x:c r="F130" s="6" t="str"/>
      <x:c r="G130" s="6" t="str"/>
      <x:c r="H130" s="6" t="str"/>
      <x:c r="I130" s="6" t="str"/>
      <x:c r="J130" s="6" t="str"/>
      <x:c r="K130" s="6" t="str">
        <x:f>IF(J130="","No duplicate dependency",IFERROR(XLOOKUP(J130,'Duplicate Review Queue'!B2:B16,'Duplicate Review Queue'!J2:J16),"Dependency not found"))</x:f>
        <x:v>No duplicate dependency</x:v>
      </x:c>
      <x:c r="L130" s="6" t="str">
        <x:v>Unresolved</x:v>
      </x:c>
      <x:c r="M130" s="6" t="str"/>
      <x:c r="N130" s="7" t="str"/>
      <x:c r="O130" s="6" t="str"/>
      <x:c r="P130" s="6" t="str"/>
      <x:c r="Q130" s="6" t="str">
        <x:v>Pending</x:v>
      </x:c>
      <x:c r="R130" s="7" t="str">
        <x:f>IF(AND(J130&lt;&gt;"",K130="Unresolved"),"Duplicate dependency unresolved","")</x:f>
      </x:c>
      <x:c r="S130" s="6" t="str">
        <x:v>No</x:v>
      </x:c>
      <x:c r="T130" s="7" t="str"/>
    </x:row>
    <x:row r="131">
      <x:c r="A131" s="6" t="str">
        <x:v>SIDX-0130</x:v>
      </x:c>
      <x:c r="B131" s="6" t="str">
        <x:v>SIR-000130</x:v>
      </x:c>
      <x:c r="C131" s="6" t="str">
        <x:v>SVC000130</x:v>
      </x:c>
      <x:c r="D131" s="6" t="str">
        <x:v>Galaxy S 8 Plus Battery Replacement</x:v>
      </x:c>
      <x:c r="E131" s="6" t="str"/>
      <x:c r="F131" s="6" t="str"/>
      <x:c r="G131" s="6" t="str"/>
      <x:c r="H131" s="6" t="str"/>
      <x:c r="I131" s="6" t="str"/>
      <x:c r="J131" s="6" t="str"/>
      <x:c r="K131" s="6" t="str">
        <x:f>IF(J131="","No duplicate dependency",IFERROR(XLOOKUP(J131,'Duplicate Review Queue'!B2:B16,'Duplicate Review Queue'!J2:J16),"Dependency not found"))</x:f>
        <x:v>No duplicate dependency</x:v>
      </x:c>
      <x:c r="L131" s="6" t="str">
        <x:v>Unresolved</x:v>
      </x:c>
      <x:c r="M131" s="6" t="str"/>
      <x:c r="N131" s="7" t="str"/>
      <x:c r="O131" s="6" t="str"/>
      <x:c r="P131" s="6" t="str"/>
      <x:c r="Q131" s="6" t="str">
        <x:v>Pending</x:v>
      </x:c>
      <x:c r="R131" s="7" t="str">
        <x:f>IF(AND(J131&lt;&gt;"",K131="Unresolved"),"Duplicate dependency unresolved","")</x:f>
      </x:c>
      <x:c r="S131" s="6" t="str">
        <x:v>No</x:v>
      </x:c>
      <x:c r="T131" s="7" t="str"/>
    </x:row>
    <x:row r="132">
      <x:c r="A132" s="6" t="str">
        <x:v>SIDX-0131</x:v>
      </x:c>
      <x:c r="B132" s="6" t="str">
        <x:v>SIR-000131</x:v>
      </x:c>
      <x:c r="C132" s="6" t="str">
        <x:v>SVC000131</x:v>
      </x:c>
      <x:c r="D132" s="6" t="str">
        <x:v>Galaxy S 8 Active Battery Replacement</x:v>
      </x:c>
      <x:c r="E132" s="6" t="str"/>
      <x:c r="F132" s="6" t="str"/>
      <x:c r="G132" s="6" t="str"/>
      <x:c r="H132" s="6" t="str"/>
      <x:c r="I132" s="6" t="str"/>
      <x:c r="J132" s="6" t="str"/>
      <x:c r="K132" s="6" t="str">
        <x:f>IF(J132="","No duplicate dependency",IFERROR(XLOOKUP(J132,'Duplicate Review Queue'!B2:B16,'Duplicate Review Queue'!J2:J16),"Dependency not found"))</x:f>
        <x:v>No duplicate dependency</x:v>
      </x:c>
      <x:c r="L132" s="6" t="str">
        <x:v>Unresolved</x:v>
      </x:c>
      <x:c r="M132" s="6" t="str"/>
      <x:c r="N132" s="7" t="str"/>
      <x:c r="O132" s="6" t="str"/>
      <x:c r="P132" s="6" t="str"/>
      <x:c r="Q132" s="6" t="str">
        <x:v>Pending</x:v>
      </x:c>
      <x:c r="R132" s="7" t="str">
        <x:f>IF(AND(J132&lt;&gt;"",K132="Unresolved"),"Duplicate dependency unresolved","")</x:f>
      </x:c>
      <x:c r="S132" s="6" t="str">
        <x:v>No</x:v>
      </x:c>
      <x:c r="T132" s="7" t="str"/>
    </x:row>
    <x:row r="133">
      <x:c r="A133" s="6" t="str">
        <x:v>SIDX-0132</x:v>
      </x:c>
      <x:c r="B133" s="6" t="str">
        <x:v>SIR-000132</x:v>
      </x:c>
      <x:c r="C133" s="6" t="str">
        <x:v>SVC000132</x:v>
      </x:c>
      <x:c r="D133" s="6" t="str">
        <x:v>Galaxy S 9 Plus Battery Replacement</x:v>
      </x:c>
      <x:c r="E133" s="6" t="str"/>
      <x:c r="F133" s="6" t="str"/>
      <x:c r="G133" s="6" t="str"/>
      <x:c r="H133" s="6" t="str"/>
      <x:c r="I133" s="6" t="str"/>
      <x:c r="J133" s="6" t="str"/>
      <x:c r="K133" s="6" t="str">
        <x:f>IF(J133="","No duplicate dependency",IFERROR(XLOOKUP(J133,'Duplicate Review Queue'!B2:B16,'Duplicate Review Queue'!J2:J16),"Dependency not found"))</x:f>
        <x:v>No duplicate dependency</x:v>
      </x:c>
      <x:c r="L133" s="6" t="str">
        <x:v>Unresolved</x:v>
      </x:c>
      <x:c r="M133" s="6" t="str"/>
      <x:c r="N133" s="7" t="str"/>
      <x:c r="O133" s="6" t="str"/>
      <x:c r="P133" s="6" t="str"/>
      <x:c r="Q133" s="6" t="str">
        <x:v>Pending</x:v>
      </x:c>
      <x:c r="R133" s="7" t="str">
        <x:f>IF(AND(J133&lt;&gt;"",K133="Unresolved"),"Duplicate dependency unresolved","")</x:f>
      </x:c>
      <x:c r="S133" s="6" t="str">
        <x:v>No</x:v>
      </x:c>
      <x:c r="T133" s="7" t="str"/>
    </x:row>
    <x:row r="134">
      <x:c r="A134" s="6" t="str">
        <x:v>SIDX-0133</x:v>
      </x:c>
      <x:c r="B134" s="6" t="str">
        <x:v>SIR-000133</x:v>
      </x:c>
      <x:c r="C134" s="6" t="str">
        <x:v>SVC000133</x:v>
      </x:c>
      <x:c r="D134" s="6" t="str">
        <x:v>Galaxy S 20 Ultra Battery Replacement</x:v>
      </x:c>
      <x:c r="E134" s="6" t="str"/>
      <x:c r="F134" s="6" t="str"/>
      <x:c r="G134" s="6" t="str"/>
      <x:c r="H134" s="6" t="str"/>
      <x:c r="I134" s="6" t="str"/>
      <x:c r="J134" s="6" t="str"/>
      <x:c r="K134" s="6" t="str">
        <x:f>IF(J134="","No duplicate dependency",IFERROR(XLOOKUP(J134,'Duplicate Review Queue'!B2:B16,'Duplicate Review Queue'!J2:J16),"Dependency not found"))</x:f>
        <x:v>No duplicate dependency</x:v>
      </x:c>
      <x:c r="L134" s="6" t="str">
        <x:v>Unresolved</x:v>
      </x:c>
      <x:c r="M134" s="6" t="str"/>
      <x:c r="N134" s="7" t="str"/>
      <x:c r="O134" s="6" t="str"/>
      <x:c r="P134" s="6" t="str"/>
      <x:c r="Q134" s="6" t="str">
        <x:v>Pending</x:v>
      </x:c>
      <x:c r="R134" s="7" t="str">
        <x:f>IF(AND(J134&lt;&gt;"",K134="Unresolved"),"Duplicate dependency unresolved","")</x:f>
      </x:c>
      <x:c r="S134" s="6" t="str">
        <x:v>No</x:v>
      </x:c>
      <x:c r="T134" s="7" t="str"/>
    </x:row>
    <x:row r="135">
      <x:c r="A135" s="6" t="str">
        <x:v>SIDX-0134</x:v>
      </x:c>
      <x:c r="B135" s="6" t="str">
        <x:v>SIR-000134</x:v>
      </x:c>
      <x:c r="C135" s="6" t="str">
        <x:v>SVC000134</x:v>
      </x:c>
      <x:c r="D135" s="6" t="str">
        <x:v>Galaxy S 5 Neo Battery Replacement</x:v>
      </x:c>
      <x:c r="E135" s="6" t="str"/>
      <x:c r="F135" s="6" t="str"/>
      <x:c r="G135" s="6" t="str"/>
      <x:c r="H135" s="6" t="str"/>
      <x:c r="I135" s="6" t="str"/>
      <x:c r="J135" s="6" t="str"/>
      <x:c r="K135" s="6" t="str">
        <x:f>IF(J135="","No duplicate dependency",IFERROR(XLOOKUP(J135,'Duplicate Review Queue'!B2:B16,'Duplicate Review Queue'!J2:J16),"Dependency not found"))</x:f>
        <x:v>No duplicate dependency</x:v>
      </x:c>
      <x:c r="L135" s="6" t="str">
        <x:v>Unresolved</x:v>
      </x:c>
      <x:c r="M135" s="6" t="str"/>
      <x:c r="N135" s="7" t="str"/>
      <x:c r="O135" s="6" t="str"/>
      <x:c r="P135" s="6" t="str"/>
      <x:c r="Q135" s="6" t="str">
        <x:v>Pending</x:v>
      </x:c>
      <x:c r="R135" s="7" t="str">
        <x:f>IF(AND(J135&lt;&gt;"",K135="Unresolved"),"Duplicate dependency unresolved","")</x:f>
      </x:c>
      <x:c r="S135" s="6" t="str">
        <x:v>No</x:v>
      </x:c>
      <x:c r="T135" s="7" t="str"/>
    </x:row>
    <x:row r="136">
      <x:c r="A136" s="6" t="str">
        <x:v>SIDX-0135</x:v>
      </x:c>
      <x:c r="B136" s="6" t="str">
        <x:v>SIR-000135</x:v>
      </x:c>
      <x:c r="C136" s="6" t="str">
        <x:v>SVC000135</x:v>
      </x:c>
      <x:c r="D136" s="6" t="str">
        <x:v>Galaxy S 4 Mini Battery Replacement</x:v>
      </x:c>
      <x:c r="E136" s="6" t="str"/>
      <x:c r="F136" s="6" t="str"/>
      <x:c r="G136" s="6" t="str"/>
      <x:c r="H136" s="6" t="str"/>
      <x:c r="I136" s="6" t="str"/>
      <x:c r="J136" s="6" t="str"/>
      <x:c r="K136" s="6" t="str">
        <x:f>IF(J136="","No duplicate dependency",IFERROR(XLOOKUP(J136,'Duplicate Review Queue'!B2:B16,'Duplicate Review Queue'!J2:J16),"Dependency not found"))</x:f>
        <x:v>No duplicate dependency</x:v>
      </x:c>
      <x:c r="L136" s="6" t="str">
        <x:v>Unresolved</x:v>
      </x:c>
      <x:c r="M136" s="6" t="str"/>
      <x:c r="N136" s="7" t="str"/>
      <x:c r="O136" s="6" t="str"/>
      <x:c r="P136" s="6" t="str"/>
      <x:c r="Q136" s="6" t="str">
        <x:v>Pending</x:v>
      </x:c>
      <x:c r="R136" s="7" t="str">
        <x:f>IF(AND(J136&lt;&gt;"",K136="Unresolved"),"Duplicate dependency unresolved","")</x:f>
      </x:c>
      <x:c r="S136" s="6" t="str">
        <x:v>No</x:v>
      </x:c>
      <x:c r="T136" s="7" t="str"/>
    </x:row>
    <x:row r="137">
      <x:c r="A137" s="6" t="str">
        <x:v>SIDX-0136</x:v>
      </x:c>
      <x:c r="B137" s="6" t="str">
        <x:v>SIR-000136</x:v>
      </x:c>
      <x:c r="C137" s="6" t="str">
        <x:v>SVC000136</x:v>
      </x:c>
      <x:c r="D137" s="6" t="str">
        <x:v>Galaxy S 23 Ultra Battery Replacement</x:v>
      </x:c>
      <x:c r="E137" s="6" t="str"/>
      <x:c r="F137" s="6" t="str"/>
      <x:c r="G137" s="6" t="str"/>
      <x:c r="H137" s="6" t="str"/>
      <x:c r="I137" s="6" t="str"/>
      <x:c r="J137" s="6" t="str"/>
      <x:c r="K137" s="6" t="str">
        <x:f>IF(J137="","No duplicate dependency",IFERROR(XLOOKUP(J137,'Duplicate Review Queue'!B2:B16,'Duplicate Review Queue'!J2:J16),"Dependency not found"))</x:f>
        <x:v>No duplicate dependency</x:v>
      </x:c>
      <x:c r="L137" s="6" t="str">
        <x:v>Unresolved</x:v>
      </x:c>
      <x:c r="M137" s="6" t="str"/>
      <x:c r="N137" s="7" t="str"/>
      <x:c r="O137" s="6" t="str"/>
      <x:c r="P137" s="6" t="str"/>
      <x:c r="Q137" s="6" t="str">
        <x:v>Pending</x:v>
      </x:c>
      <x:c r="R137" s="7" t="str">
        <x:f>IF(AND(J137&lt;&gt;"",K137="Unresolved"),"Duplicate dependency unresolved","")</x:f>
      </x:c>
      <x:c r="S137" s="6" t="str">
        <x:v>No</x:v>
      </x:c>
      <x:c r="T137" s="7" t="str"/>
    </x:row>
    <x:row r="138">
      <x:c r="A138" s="6" t="str">
        <x:v>SIDX-0137</x:v>
      </x:c>
      <x:c r="B138" s="6" t="str">
        <x:v>SIR-000137</x:v>
      </x:c>
      <x:c r="C138" s="6" t="str">
        <x:v>SVC000137</x:v>
      </x:c>
      <x:c r="D138" s="6" t="str">
        <x:v>Galaxy S 23 FE Battery Replacement</x:v>
      </x:c>
      <x:c r="E138" s="6" t="str"/>
      <x:c r="F138" s="6" t="str"/>
      <x:c r="G138" s="6" t="str"/>
      <x:c r="H138" s="6" t="str"/>
      <x:c r="I138" s="6" t="str"/>
      <x:c r="J138" s="6" t="str"/>
      <x:c r="K138" s="6" t="str">
        <x:f>IF(J138="","No duplicate dependency",IFERROR(XLOOKUP(J138,'Duplicate Review Queue'!B2:B16,'Duplicate Review Queue'!J2:J16),"Dependency not found"))</x:f>
        <x:v>No duplicate dependency</x:v>
      </x:c>
      <x:c r="L138" s="6" t="str">
        <x:v>Unresolved</x:v>
      </x:c>
      <x:c r="M138" s="6" t="str"/>
      <x:c r="N138" s="7" t="str"/>
      <x:c r="O138" s="6" t="str"/>
      <x:c r="P138" s="6" t="str"/>
      <x:c r="Q138" s="6" t="str">
        <x:v>Pending</x:v>
      </x:c>
      <x:c r="R138" s="7" t="str">
        <x:f>IF(AND(J138&lt;&gt;"",K138="Unresolved"),"Duplicate dependency unresolved","")</x:f>
      </x:c>
      <x:c r="S138" s="6" t="str">
        <x:v>No</x:v>
      </x:c>
      <x:c r="T138" s="7" t="str"/>
    </x:row>
    <x:row r="139">
      <x:c r="A139" s="6" t="str">
        <x:v>SIDX-0138</x:v>
      </x:c>
      <x:c r="B139" s="6" t="str">
        <x:v>SIR-000138</x:v>
      </x:c>
      <x:c r="C139" s="6" t="str">
        <x:v>SVC000138</x:v>
      </x:c>
      <x:c r="D139" s="6" t="str">
        <x:v>Galaxy S 25 Battery Replacement</x:v>
      </x:c>
      <x:c r="E139" s="6" t="str"/>
      <x:c r="F139" s="6" t="str"/>
      <x:c r="G139" s="6" t="str"/>
      <x:c r="H139" s="6" t="str"/>
      <x:c r="I139" s="6" t="str"/>
      <x:c r="J139" s="6" t="str"/>
      <x:c r="K139" s="6" t="str">
        <x:f>IF(J139="","No duplicate dependency",IFERROR(XLOOKUP(J139,'Duplicate Review Queue'!B2:B16,'Duplicate Review Queue'!J2:J16),"Dependency not found"))</x:f>
        <x:v>No duplicate dependency</x:v>
      </x:c>
      <x:c r="L139" s="6" t="str">
        <x:v>Unresolved</x:v>
      </x:c>
      <x:c r="M139" s="6" t="str"/>
      <x:c r="N139" s="7" t="str"/>
      <x:c r="O139" s="6" t="str"/>
      <x:c r="P139" s="6" t="str"/>
      <x:c r="Q139" s="6" t="str">
        <x:v>Pending</x:v>
      </x:c>
      <x:c r="R139" s="7" t="str">
        <x:f>IF(AND(J139&lt;&gt;"",K139="Unresolved"),"Duplicate dependency unresolved","")</x:f>
      </x:c>
      <x:c r="S139" s="6" t="str">
        <x:v>No</x:v>
      </x:c>
      <x:c r="T139" s="7" t="str"/>
    </x:row>
    <x:row r="140">
      <x:c r="A140" s="6" t="str">
        <x:v>SIDX-0139</x:v>
      </x:c>
      <x:c r="B140" s="6" t="str">
        <x:v>SIR-000139</x:v>
      </x:c>
      <x:c r="C140" s="6" t="str">
        <x:v>SVC000139</x:v>
      </x:c>
      <x:c r="D140" s="6" t="str">
        <x:v>Galaxy S 25 Edge Battery Replacement</x:v>
      </x:c>
      <x:c r="E140" s="6" t="str"/>
      <x:c r="F140" s="6" t="str"/>
      <x:c r="G140" s="6" t="str"/>
      <x:c r="H140" s="6" t="str"/>
      <x:c r="I140" s="6" t="str"/>
      <x:c r="J140" s="6" t="str"/>
      <x:c r="K140" s="6" t="str">
        <x:f>IF(J140="","No duplicate dependency",IFERROR(XLOOKUP(J140,'Duplicate Review Queue'!B2:B16,'Duplicate Review Queue'!J2:J16),"Dependency not found"))</x:f>
        <x:v>No duplicate dependency</x:v>
      </x:c>
      <x:c r="L140" s="6" t="str">
        <x:v>Unresolved</x:v>
      </x:c>
      <x:c r="M140" s="6" t="str"/>
      <x:c r="N140" s="7" t="str"/>
      <x:c r="O140" s="6" t="str"/>
      <x:c r="P140" s="6" t="str"/>
      <x:c r="Q140" s="6" t="str">
        <x:v>Pending</x:v>
      </x:c>
      <x:c r="R140" s="7" t="str">
        <x:f>IF(AND(J140&lt;&gt;"",K140="Unresolved"),"Duplicate dependency unresolved","")</x:f>
      </x:c>
      <x:c r="S140" s="6" t="str">
        <x:v>No</x:v>
      </x:c>
      <x:c r="T140" s="7" t="str"/>
    </x:row>
    <x:row r="141">
      <x:c r="A141" s="6" t="str">
        <x:v>SIDX-0140</x:v>
      </x:c>
      <x:c r="B141" s="6" t="str">
        <x:v>SIR-000140</x:v>
      </x:c>
      <x:c r="C141" s="6" t="str">
        <x:v>SVC000140</x:v>
      </x:c>
      <x:c r="D141" s="6" t="str">
        <x:v>iPhone 14 Plus Battery Replacement</x:v>
      </x:c>
      <x:c r="E141" s="6" t="str"/>
      <x:c r="F141" s="6" t="str"/>
      <x:c r="G141" s="6" t="str"/>
      <x:c r="H141" s="6" t="str"/>
      <x:c r="I141" s="6" t="str"/>
      <x:c r="J141" s="6" t="str"/>
      <x:c r="K141" s="6" t="str">
        <x:f>IF(J141="","No duplicate dependency",IFERROR(XLOOKUP(J141,'Duplicate Review Queue'!B2:B16,'Duplicate Review Queue'!J2:J16),"Dependency not found"))</x:f>
        <x:v>No duplicate dependency</x:v>
      </x:c>
      <x:c r="L141" s="6" t="str">
        <x:v>Unresolved</x:v>
      </x:c>
      <x:c r="M141" s="6" t="str"/>
      <x:c r="N141" s="7" t="str"/>
      <x:c r="O141" s="6" t="str"/>
      <x:c r="P141" s="6" t="str"/>
      <x:c r="Q141" s="6" t="str">
        <x:v>Pending</x:v>
      </x:c>
      <x:c r="R141" s="7" t="str">
        <x:f>IF(AND(J141&lt;&gt;"",K141="Unresolved"),"Duplicate dependency unresolved","")</x:f>
      </x:c>
      <x:c r="S141" s="6" t="str">
        <x:v>No</x:v>
      </x:c>
      <x:c r="T141" s="7" t="str"/>
    </x:row>
    <x:row r="142">
      <x:c r="A142" s="6" t="str">
        <x:v>SIDX-0141</x:v>
      </x:c>
      <x:c r="B142" s="6" t="str">
        <x:v>SIR-000141</x:v>
      </x:c>
      <x:c r="C142" s="6" t="str">
        <x:v>SVC000141</x:v>
      </x:c>
      <x:c r="D142" s="6" t="str">
        <x:v>iPhone 13 Pro Battery Replacement</x:v>
      </x:c>
      <x:c r="E142" s="6" t="str"/>
      <x:c r="F142" s="6" t="str"/>
      <x:c r="G142" s="6" t="str"/>
      <x:c r="H142" s="6" t="str"/>
      <x:c r="I142" s="6" t="str"/>
      <x:c r="J142" s="6" t="str"/>
      <x:c r="K142" s="6" t="str">
        <x:f>IF(J142="","No duplicate dependency",IFERROR(XLOOKUP(J142,'Duplicate Review Queue'!B2:B16,'Duplicate Review Queue'!J2:J16),"Dependency not found"))</x:f>
        <x:v>No duplicate dependency</x:v>
      </x:c>
      <x:c r="L142" s="6" t="str">
        <x:v>Unresolved</x:v>
      </x:c>
      <x:c r="M142" s="6" t="str"/>
      <x:c r="N142" s="7" t="str"/>
      <x:c r="O142" s="6" t="str"/>
      <x:c r="P142" s="6" t="str"/>
      <x:c r="Q142" s="6" t="str">
        <x:v>Pending</x:v>
      </x:c>
      <x:c r="R142" s="7" t="str">
        <x:f>IF(AND(J142&lt;&gt;"",K142="Unresolved"),"Duplicate dependency unresolved","")</x:f>
      </x:c>
      <x:c r="S142" s="6" t="str">
        <x:v>No</x:v>
      </x:c>
      <x:c r="T142" s="7" t="str"/>
    </x:row>
    <x:row r="143">
      <x:c r="A143" s="6" t="str">
        <x:v>SIDX-0142</x:v>
      </x:c>
      <x:c r="B143" s="6" t="str">
        <x:v>SIR-000142</x:v>
      </x:c>
      <x:c r="C143" s="6" t="str">
        <x:v>SVC000142</x:v>
      </x:c>
      <x:c r="D143" s="6" t="str">
        <x:v>iPhone 13 Mini Battery Replacement</x:v>
      </x:c>
      <x:c r="E143" s="6" t="str"/>
      <x:c r="F143" s="6" t="str"/>
      <x:c r="G143" s="6" t="str"/>
      <x:c r="H143" s="6" t="str"/>
      <x:c r="I143" s="6" t="str"/>
      <x:c r="J143" s="6" t="str"/>
      <x:c r="K143" s="6" t="str">
        <x:f>IF(J143="","No duplicate dependency",IFERROR(XLOOKUP(J143,'Duplicate Review Queue'!B2:B16,'Duplicate Review Queue'!J2:J16),"Dependency not found"))</x:f>
        <x:v>No duplicate dependency</x:v>
      </x:c>
      <x:c r="L143" s="6" t="str">
        <x:v>Unresolved</x:v>
      </x:c>
      <x:c r="M143" s="6" t="str"/>
      <x:c r="N143" s="7" t="str"/>
      <x:c r="O143" s="6" t="str"/>
      <x:c r="P143" s="6" t="str"/>
      <x:c r="Q143" s="6" t="str">
        <x:v>Pending</x:v>
      </x:c>
      <x:c r="R143" s="7" t="str">
        <x:f>IF(AND(J143&lt;&gt;"",K143="Unresolved"),"Duplicate dependency unresolved","")</x:f>
      </x:c>
      <x:c r="S143" s="6" t="str">
        <x:v>No</x:v>
      </x:c>
      <x:c r="T143" s="7" t="str"/>
    </x:row>
    <x:row r="144">
      <x:c r="A144" s="6" t="str">
        <x:v>SIDX-0143</x:v>
      </x:c>
      <x:c r="B144" s="6" t="str">
        <x:v>SIR-000143</x:v>
      </x:c>
      <x:c r="C144" s="6" t="str">
        <x:v>SVC000143</x:v>
      </x:c>
      <x:c r="D144" s="6" t="str">
        <x:v>iPhone 13 Battery Replacement</x:v>
      </x:c>
      <x:c r="E144" s="6" t="str"/>
      <x:c r="F144" s="6" t="str"/>
      <x:c r="G144" s="6" t="str"/>
      <x:c r="H144" s="6" t="str"/>
      <x:c r="I144" s="6" t="str"/>
      <x:c r="J144" s="6" t="str"/>
      <x:c r="K144" s="6" t="str">
        <x:f>IF(J144="","No duplicate dependency",IFERROR(XLOOKUP(J144,'Duplicate Review Queue'!B2:B16,'Duplicate Review Queue'!J2:J16),"Dependency not found"))</x:f>
        <x:v>No duplicate dependency</x:v>
      </x:c>
      <x:c r="L144" s="6" t="str">
        <x:v>Unresolved</x:v>
      </x:c>
      <x:c r="M144" s="6" t="str"/>
      <x:c r="N144" s="7" t="str"/>
      <x:c r="O144" s="6" t="str"/>
      <x:c r="P144" s="6" t="str"/>
      <x:c r="Q144" s="6" t="str">
        <x:v>Pending</x:v>
      </x:c>
      <x:c r="R144" s="7" t="str">
        <x:f>IF(AND(J144&lt;&gt;"",K144="Unresolved"),"Duplicate dependency unresolved","")</x:f>
      </x:c>
      <x:c r="S144" s="6" t="str">
        <x:v>No</x:v>
      </x:c>
      <x:c r="T144" s="7" t="str"/>
    </x:row>
    <x:row r="145">
      <x:c r="A145" s="6" t="str">
        <x:v>SIDX-0144</x:v>
      </x:c>
      <x:c r="B145" s="6" t="str">
        <x:v>SIR-000144</x:v>
      </x:c>
      <x:c r="C145" s="6" t="str">
        <x:v>SVC000144</x:v>
      </x:c>
      <x:c r="D145" s="6" t="str">
        <x:v>iPhone 12 Battery Replacement</x:v>
      </x:c>
      <x:c r="E145" s="6" t="str"/>
      <x:c r="F145" s="6" t="str"/>
      <x:c r="G145" s="6" t="str"/>
      <x:c r="H145" s="6" t="str"/>
      <x:c r="I145" s="6" t="str"/>
      <x:c r="J145" s="6" t="str"/>
      <x:c r="K145" s="6" t="str">
        <x:f>IF(J145="","No duplicate dependency",IFERROR(XLOOKUP(J145,'Duplicate Review Queue'!B2:B16,'Duplicate Review Queue'!J2:J16),"Dependency not found"))</x:f>
        <x:v>No duplicate dependency</x:v>
      </x:c>
      <x:c r="L145" s="6" t="str">
        <x:v>Unresolved</x:v>
      </x:c>
      <x:c r="M145" s="6" t="str"/>
      <x:c r="N145" s="7" t="str"/>
      <x:c r="O145" s="6" t="str"/>
      <x:c r="P145" s="6" t="str"/>
      <x:c r="Q145" s="6" t="str">
        <x:v>Pending</x:v>
      </x:c>
      <x:c r="R145" s="7" t="str">
        <x:f>IF(AND(J145&lt;&gt;"",K145="Unresolved"),"Duplicate dependency unresolved","")</x:f>
      </x:c>
      <x:c r="S145" s="6" t="str">
        <x:v>No</x:v>
      </x:c>
      <x:c r="T145" s="7" t="str"/>
    </x:row>
    <x:row r="146">
      <x:c r="A146" s="6" t="str">
        <x:v>SIDX-0145</x:v>
      </x:c>
      <x:c r="B146" s="6" t="str">
        <x:v>SIR-000145</x:v>
      </x:c>
      <x:c r="C146" s="6" t="str">
        <x:v>SVC000145</x:v>
      </x:c>
      <x:c r="D146" s="6" t="str">
        <x:v>iPhone 12 Pro Max Battery Replacement</x:v>
      </x:c>
      <x:c r="E146" s="6" t="str"/>
      <x:c r="F146" s="6" t="str"/>
      <x:c r="G146" s="6" t="str"/>
      <x:c r="H146" s="6" t="str"/>
      <x:c r="I146" s="6" t="str"/>
      <x:c r="J146" s="6" t="str"/>
      <x:c r="K146" s="6" t="str">
        <x:f>IF(J146="","No duplicate dependency",IFERROR(XLOOKUP(J146,'Duplicate Review Queue'!B2:B16,'Duplicate Review Queue'!J2:J16),"Dependency not found"))</x:f>
        <x:v>No duplicate dependency</x:v>
      </x:c>
      <x:c r="L146" s="6" t="str">
        <x:v>Unresolved</x:v>
      </x:c>
      <x:c r="M146" s="6" t="str"/>
      <x:c r="N146" s="7" t="str"/>
      <x:c r="O146" s="6" t="str"/>
      <x:c r="P146" s="6" t="str"/>
      <x:c r="Q146" s="6" t="str">
        <x:v>Pending</x:v>
      </x:c>
      <x:c r="R146" s="7" t="str">
        <x:f>IF(AND(J146&lt;&gt;"",K146="Unresolved"),"Duplicate dependency unresolved","")</x:f>
      </x:c>
      <x:c r="S146" s="6" t="str">
        <x:v>No</x:v>
      </x:c>
      <x:c r="T146" s="7" t="str"/>
    </x:row>
    <x:row r="147">
      <x:c r="A147" s="6" t="str">
        <x:v>SIDX-0146</x:v>
      </x:c>
      <x:c r="B147" s="6" t="str">
        <x:v>SIR-000146</x:v>
      </x:c>
      <x:c r="C147" s="6" t="str">
        <x:v>SVC000146</x:v>
      </x:c>
      <x:c r="D147" s="6" t="str">
        <x:v>iPhone 12 Pro Battery Replacement</x:v>
      </x:c>
      <x:c r="E147" s="6" t="str"/>
      <x:c r="F147" s="6" t="str"/>
      <x:c r="G147" s="6" t="str"/>
      <x:c r="H147" s="6" t="str"/>
      <x:c r="I147" s="6" t="str"/>
      <x:c r="J147" s="6" t="str"/>
      <x:c r="K147" s="6" t="str">
        <x:f>IF(J147="","No duplicate dependency",IFERROR(XLOOKUP(J147,'Duplicate Review Queue'!B2:B16,'Duplicate Review Queue'!J2:J16),"Dependency not found"))</x:f>
        <x:v>No duplicate dependency</x:v>
      </x:c>
      <x:c r="L147" s="6" t="str">
        <x:v>Unresolved</x:v>
      </x:c>
      <x:c r="M147" s="6" t="str"/>
      <x:c r="N147" s="7" t="str"/>
      <x:c r="O147" s="6" t="str"/>
      <x:c r="P147" s="6" t="str"/>
      <x:c r="Q147" s="6" t="str">
        <x:v>Pending</x:v>
      </x:c>
      <x:c r="R147" s="7" t="str">
        <x:f>IF(AND(J147&lt;&gt;"",K147="Unresolved"),"Duplicate dependency unresolved","")</x:f>
      </x:c>
      <x:c r="S147" s="6" t="str">
        <x:v>No</x:v>
      </x:c>
      <x:c r="T147" s="7" t="str"/>
    </x:row>
    <x:row r="148">
      <x:c r="A148" s="6" t="str">
        <x:v>SIDX-0147</x:v>
      </x:c>
      <x:c r="B148" s="6" t="str">
        <x:v>SIR-000147</x:v>
      </x:c>
      <x:c r="C148" s="6" t="str">
        <x:v>SVC000147</x:v>
      </x:c>
      <x:c r="D148" s="6" t="str">
        <x:v>iPhone 13 Pro Max Battery Replacement</x:v>
      </x:c>
      <x:c r="E148" s="6" t="str"/>
      <x:c r="F148" s="6" t="str"/>
      <x:c r="G148" s="6" t="str"/>
      <x:c r="H148" s="6" t="str"/>
      <x:c r="I148" s="6" t="str"/>
      <x:c r="J148" s="6" t="str"/>
      <x:c r="K148" s="6" t="str">
        <x:f>IF(J148="","No duplicate dependency",IFERROR(XLOOKUP(J148,'Duplicate Review Queue'!B2:B16,'Duplicate Review Queue'!J2:J16),"Dependency not found"))</x:f>
        <x:v>No duplicate dependency</x:v>
      </x:c>
      <x:c r="L148" s="6" t="str">
        <x:v>Unresolved</x:v>
      </x:c>
      <x:c r="M148" s="6" t="str"/>
      <x:c r="N148" s="7" t="str"/>
      <x:c r="O148" s="6" t="str"/>
      <x:c r="P148" s="6" t="str"/>
      <x:c r="Q148" s="6" t="str">
        <x:v>Pending</x:v>
      </x:c>
      <x:c r="R148" s="7" t="str">
        <x:f>IF(AND(J148&lt;&gt;"",K148="Unresolved"),"Duplicate dependency unresolved","")</x:f>
      </x:c>
      <x:c r="S148" s="6" t="str">
        <x:v>No</x:v>
      </x:c>
      <x:c r="T148" s="7" t="str"/>
    </x:row>
    <x:row r="149">
      <x:c r="A149" s="6" t="str">
        <x:v>SIDX-0148</x:v>
      </x:c>
      <x:c r="B149" s="6" t="str">
        <x:v>SIR-000148</x:v>
      </x:c>
      <x:c r="C149" s="6" t="str">
        <x:v>SVC000148</x:v>
      </x:c>
      <x:c r="D149" s="6" t="str">
        <x:v>iPhone 12 Mini Battery Replacement</x:v>
      </x:c>
      <x:c r="E149" s="6" t="str"/>
      <x:c r="F149" s="6" t="str"/>
      <x:c r="G149" s="6" t="str"/>
      <x:c r="H149" s="6" t="str"/>
      <x:c r="I149" s="6" t="str"/>
      <x:c r="J149" s="6" t="str"/>
      <x:c r="K149" s="6" t="str">
        <x:f>IF(J149="","No duplicate dependency",IFERROR(XLOOKUP(J149,'Duplicate Review Queue'!B2:B16,'Duplicate Review Queue'!J2:J16),"Dependency not found"))</x:f>
        <x:v>No duplicate dependency</x:v>
      </x:c>
      <x:c r="L149" s="6" t="str">
        <x:v>Unresolved</x:v>
      </x:c>
      <x:c r="M149" s="6" t="str"/>
      <x:c r="N149" s="7" t="str"/>
      <x:c r="O149" s="6" t="str"/>
      <x:c r="P149" s="6" t="str"/>
      <x:c r="Q149" s="6" t="str">
        <x:v>Pending</x:v>
      </x:c>
      <x:c r="R149" s="7" t="str">
        <x:f>IF(AND(J149&lt;&gt;"",K149="Unresolved"),"Duplicate dependency unresolved","")</x:f>
      </x:c>
      <x:c r="S149" s="6" t="str">
        <x:v>No</x:v>
      </x:c>
      <x:c r="T149" s="7" t="str"/>
    </x:row>
    <x:row r="150">
      <x:c r="A150" s="6" t="str">
        <x:v>SIDX-0149</x:v>
      </x:c>
      <x:c r="B150" s="6" t="str">
        <x:v>SIR-000149</x:v>
      </x:c>
      <x:c r="C150" s="6" t="str">
        <x:v>SVC000149</x:v>
      </x:c>
      <x:c r="D150" s="6" t="str">
        <x:v>iPhone 14 Pro Max Battery Replacement</x:v>
      </x:c>
      <x:c r="E150" s="6" t="str"/>
      <x:c r="F150" s="6" t="str"/>
      <x:c r="G150" s="6" t="str"/>
      <x:c r="H150" s="6" t="str"/>
      <x:c r="I150" s="6" t="str"/>
      <x:c r="J150" s="6" t="str"/>
      <x:c r="K150" s="6" t="str">
        <x:f>IF(J150="","No duplicate dependency",IFERROR(XLOOKUP(J150,'Duplicate Review Queue'!B2:B16,'Duplicate Review Queue'!J2:J16),"Dependency not found"))</x:f>
        <x:v>No duplicate dependency</x:v>
      </x:c>
      <x:c r="L150" s="6" t="str">
        <x:v>Unresolved</x:v>
      </x:c>
      <x:c r="M150" s="6" t="str"/>
      <x:c r="N150" s="7" t="str"/>
      <x:c r="O150" s="6" t="str"/>
      <x:c r="P150" s="6" t="str"/>
      <x:c r="Q150" s="6" t="str">
        <x:v>Pending</x:v>
      </x:c>
      <x:c r="R150" s="7" t="str">
        <x:f>IF(AND(J150&lt;&gt;"",K150="Unresolved"),"Duplicate dependency unresolved","")</x:f>
      </x:c>
      <x:c r="S150" s="6" t="str">
        <x:v>No</x:v>
      </x:c>
      <x:c r="T150" s="7" t="str"/>
    </x:row>
    <x:row r="151">
      <x:c r="A151" s="6" t="str">
        <x:v>SIDX-0150</x:v>
      </x:c>
      <x:c r="B151" s="6" t="str">
        <x:v>SIR-000150</x:v>
      </x:c>
      <x:c r="C151" s="6" t="str">
        <x:v>SVC000150</x:v>
      </x:c>
      <x:c r="D151" s="6" t="str">
        <x:v>Galaxy S 21 FE Battery Replacement</x:v>
      </x:c>
      <x:c r="E151" s="6" t="str"/>
      <x:c r="F151" s="6" t="str"/>
      <x:c r="G151" s="6" t="str"/>
      <x:c r="H151" s="6" t="str"/>
      <x:c r="I151" s="6" t="str"/>
      <x:c r="J151" s="6" t="str"/>
      <x:c r="K151" s="6" t="str">
        <x:f>IF(J151="","No duplicate dependency",IFERROR(XLOOKUP(J151,'Duplicate Review Queue'!B2:B16,'Duplicate Review Queue'!J2:J16),"Dependency not found"))</x:f>
        <x:v>No duplicate dependency</x:v>
      </x:c>
      <x:c r="L151" s="6" t="str">
        <x:v>Unresolved</x:v>
      </x:c>
      <x:c r="M151" s="6" t="str"/>
      <x:c r="N151" s="7" t="str"/>
      <x:c r="O151" s="6" t="str"/>
      <x:c r="P151" s="6" t="str"/>
      <x:c r="Q151" s="6" t="str">
        <x:v>Pending</x:v>
      </x:c>
      <x:c r="R151" s="7" t="str">
        <x:f>IF(AND(J151&lt;&gt;"",K151="Unresolved"),"Duplicate dependency unresolved","")</x:f>
      </x:c>
      <x:c r="S151" s="6" t="str">
        <x:v>No</x:v>
      </x:c>
      <x:c r="T151" s="7" t="str"/>
    </x:row>
    <x:row r="152">
      <x:c r="A152" s="6" t="str">
        <x:v>SIDX-0151</x:v>
      </x:c>
      <x:c r="B152" s="6" t="str">
        <x:v>SIR-000151</x:v>
      </x:c>
      <x:c r="C152" s="6" t="str">
        <x:v>SVC000151</x:v>
      </x:c>
      <x:c r="D152" s="6" t="str">
        <x:v>Galaxy S 6 Active Battery Replacement</x:v>
      </x:c>
      <x:c r="E152" s="6" t="str"/>
      <x:c r="F152" s="6" t="str"/>
      <x:c r="G152" s="6" t="str"/>
      <x:c r="H152" s="6" t="str"/>
      <x:c r="I152" s="6" t="str"/>
      <x:c r="J152" s="6" t="str"/>
      <x:c r="K152" s="6" t="str">
        <x:f>IF(J152="","No duplicate dependency",IFERROR(XLOOKUP(J152,'Duplicate Review Queue'!B2:B16,'Duplicate Review Queue'!J2:J16),"Dependency not found"))</x:f>
        <x:v>No duplicate dependency</x:v>
      </x:c>
      <x:c r="L152" s="6" t="str">
        <x:v>Unresolved</x:v>
      </x:c>
      <x:c r="M152" s="6" t="str"/>
      <x:c r="N152" s="7" t="str"/>
      <x:c r="O152" s="6" t="str"/>
      <x:c r="P152" s="6" t="str"/>
      <x:c r="Q152" s="6" t="str">
        <x:v>Pending</x:v>
      </x:c>
      <x:c r="R152" s="7" t="str">
        <x:f>IF(AND(J152&lt;&gt;"",K152="Unresolved"),"Duplicate dependency unresolved","")</x:f>
      </x:c>
      <x:c r="S152" s="6" t="str">
        <x:v>No</x:v>
      </x:c>
      <x:c r="T152" s="7" t="str"/>
    </x:row>
    <x:row r="153">
      <x:c r="A153" s="6" t="str">
        <x:v>SIDX-0152</x:v>
      </x:c>
      <x:c r="B153" s="6" t="str">
        <x:v>SIR-000152</x:v>
      </x:c>
      <x:c r="C153" s="6" t="str">
        <x:v>SVC000152</x:v>
      </x:c>
      <x:c r="D153" s="6" t="str">
        <x:v>Galaxy S 21 Battery Replacement</x:v>
      </x:c>
      <x:c r="E153" s="6" t="str"/>
      <x:c r="F153" s="6" t="str"/>
      <x:c r="G153" s="6" t="str"/>
      <x:c r="H153" s="6" t="str"/>
      <x:c r="I153" s="6" t="str"/>
      <x:c r="J153" s="6" t="str"/>
      <x:c r="K153" s="6" t="str">
        <x:f>IF(J153="","No duplicate dependency",IFERROR(XLOOKUP(J153,'Duplicate Review Queue'!B2:B16,'Duplicate Review Queue'!J2:J16),"Dependency not found"))</x:f>
        <x:v>No duplicate dependency</x:v>
      </x:c>
      <x:c r="L153" s="6" t="str">
        <x:v>Unresolved</x:v>
      </x:c>
      <x:c r="M153" s="6" t="str"/>
      <x:c r="N153" s="7" t="str"/>
      <x:c r="O153" s="6" t="str"/>
      <x:c r="P153" s="6" t="str"/>
      <x:c r="Q153" s="6" t="str">
        <x:v>Pending</x:v>
      </x:c>
      <x:c r="R153" s="7" t="str">
        <x:f>IF(AND(J153&lt;&gt;"",K153="Unresolved"),"Duplicate dependency unresolved","")</x:f>
      </x:c>
      <x:c r="S153" s="6" t="str">
        <x:v>No</x:v>
      </x:c>
      <x:c r="T153" s="7" t="str"/>
    </x:row>
    <x:row r="154">
      <x:c r="A154" s="6" t="str">
        <x:v>SIDX-0153</x:v>
      </x:c>
      <x:c r="B154" s="6" t="str">
        <x:v>SIR-000153</x:v>
      </x:c>
      <x:c r="C154" s="6" t="str">
        <x:v>SVC000153</x:v>
      </x:c>
      <x:c r="D154" s="6" t="str">
        <x:v>Galaxy S 6 Battery Replacement</x:v>
      </x:c>
      <x:c r="E154" s="6" t="str"/>
      <x:c r="F154" s="6" t="str"/>
      <x:c r="G154" s="6" t="str"/>
      <x:c r="H154" s="6" t="str"/>
      <x:c r="I154" s="6" t="str"/>
      <x:c r="J154" s="6" t="str"/>
      <x:c r="K154" s="6" t="str">
        <x:f>IF(J154="","No duplicate dependency",IFERROR(XLOOKUP(J154,'Duplicate Review Queue'!B2:B16,'Duplicate Review Queue'!J2:J16),"Dependency not found"))</x:f>
        <x:v>No duplicate dependency</x:v>
      </x:c>
      <x:c r="L154" s="6" t="str">
        <x:v>Unresolved</x:v>
      </x:c>
      <x:c r="M154" s="6" t="str"/>
      <x:c r="N154" s="7" t="str"/>
      <x:c r="O154" s="6" t="str"/>
      <x:c r="P154" s="6" t="str"/>
      <x:c r="Q154" s="6" t="str">
        <x:v>Pending</x:v>
      </x:c>
      <x:c r="R154" s="7" t="str">
        <x:f>IF(AND(J154&lt;&gt;"",K154="Unresolved"),"Duplicate dependency unresolved","")</x:f>
      </x:c>
      <x:c r="S154" s="6" t="str">
        <x:v>No</x:v>
      </x:c>
      <x:c r="T154" s="7" t="str"/>
    </x:row>
    <x:row r="155">
      <x:c r="A155" s="6" t="str">
        <x:v>SIDX-0154</x:v>
      </x:c>
      <x:c r="B155" s="6" t="str">
        <x:v>SIR-000154</x:v>
      </x:c>
      <x:c r="C155" s="6" t="str">
        <x:v>SVC000154</x:v>
      </x:c>
      <x:c r="D155" s="6" t="str">
        <x:v>Galaxy S 6 Edge Plus Battery Replacement</x:v>
      </x:c>
      <x:c r="E155" s="6" t="str"/>
      <x:c r="F155" s="6" t="str"/>
      <x:c r="G155" s="6" t="str"/>
      <x:c r="H155" s="6" t="str"/>
      <x:c r="I155" s="6" t="str"/>
      <x:c r="J155" s="6" t="str"/>
      <x:c r="K155" s="6" t="str">
        <x:f>IF(J155="","No duplicate dependency",IFERROR(XLOOKUP(J155,'Duplicate Review Queue'!B2:B16,'Duplicate Review Queue'!J2:J16),"Dependency not found"))</x:f>
        <x:v>No duplicate dependency</x:v>
      </x:c>
      <x:c r="L155" s="6" t="str">
        <x:v>Unresolved</x:v>
      </x:c>
      <x:c r="M155" s="6" t="str"/>
      <x:c r="N155" s="7" t="str"/>
      <x:c r="O155" s="6" t="str"/>
      <x:c r="P155" s="6" t="str"/>
      <x:c r="Q155" s="6" t="str">
        <x:v>Pending</x:v>
      </x:c>
      <x:c r="R155" s="7" t="str">
        <x:f>IF(AND(J155&lt;&gt;"",K155="Unresolved"),"Duplicate dependency unresolved","")</x:f>
      </x:c>
      <x:c r="S155" s="6" t="str">
        <x:v>No</x:v>
      </x:c>
      <x:c r="T155" s="7" t="str"/>
    </x:row>
    <x:row r="156">
      <x:c r="A156" s="6" t="str">
        <x:v>SIDX-0155</x:v>
      </x:c>
      <x:c r="B156" s="6" t="str">
        <x:v>SIR-000155</x:v>
      </x:c>
      <x:c r="C156" s="6" t="str">
        <x:v>SVC000155</x:v>
      </x:c>
      <x:c r="D156" s="6" t="str">
        <x:v>Galaxy S 7 Active Battery Replacement</x:v>
      </x:c>
      <x:c r="E156" s="6" t="str"/>
      <x:c r="F156" s="6" t="str"/>
      <x:c r="G156" s="6" t="str"/>
      <x:c r="H156" s="6" t="str"/>
      <x:c r="I156" s="6" t="str"/>
      <x:c r="J156" s="6" t="str"/>
      <x:c r="K156" s="6" t="str">
        <x:f>IF(J156="","No duplicate dependency",IFERROR(XLOOKUP(J156,'Duplicate Review Queue'!B2:B16,'Duplicate Review Queue'!J2:J16),"Dependency not found"))</x:f>
        <x:v>No duplicate dependency</x:v>
      </x:c>
      <x:c r="L156" s="6" t="str">
        <x:v>Unresolved</x:v>
      </x:c>
      <x:c r="M156" s="6" t="str"/>
      <x:c r="N156" s="7" t="str"/>
      <x:c r="O156" s="6" t="str"/>
      <x:c r="P156" s="6" t="str"/>
      <x:c r="Q156" s="6" t="str">
        <x:v>Pending</x:v>
      </x:c>
      <x:c r="R156" s="7" t="str">
        <x:f>IF(AND(J156&lt;&gt;"",K156="Unresolved"),"Duplicate dependency unresolved","")</x:f>
      </x:c>
      <x:c r="S156" s="6" t="str">
        <x:v>No</x:v>
      </x:c>
      <x:c r="T156" s="7" t="str"/>
    </x:row>
    <x:row r="157">
      <x:c r="A157" s="6" t="str">
        <x:v>SIDX-0156</x:v>
      </x:c>
      <x:c r="B157" s="6" t="str">
        <x:v>SIR-000156</x:v>
      </x:c>
      <x:c r="C157" s="6" t="str">
        <x:v>SVC000156</x:v>
      </x:c>
      <x:c r="D157" s="6" t="str">
        <x:v>Galaxy S 8 Battery Replacement</x:v>
      </x:c>
      <x:c r="E157" s="6" t="str"/>
      <x:c r="F157" s="6" t="str"/>
      <x:c r="G157" s="6" t="str"/>
      <x:c r="H157" s="6" t="str"/>
      <x:c r="I157" s="6" t="str"/>
      <x:c r="J157" s="6" t="str"/>
      <x:c r="K157" s="6" t="str">
        <x:f>IF(J157="","No duplicate dependency",IFERROR(XLOOKUP(J157,'Duplicate Review Queue'!B2:B16,'Duplicate Review Queue'!J2:J16),"Dependency not found"))</x:f>
        <x:v>No duplicate dependency</x:v>
      </x:c>
      <x:c r="L157" s="6" t="str">
        <x:v>Unresolved</x:v>
      </x:c>
      <x:c r="M157" s="6" t="str"/>
      <x:c r="N157" s="7" t="str"/>
      <x:c r="O157" s="6" t="str"/>
      <x:c r="P157" s="6" t="str"/>
      <x:c r="Q157" s="6" t="str">
        <x:v>Pending</x:v>
      </x:c>
      <x:c r="R157" s="7" t="str">
        <x:f>IF(AND(J157&lt;&gt;"",K157="Unresolved"),"Duplicate dependency unresolved","")</x:f>
      </x:c>
      <x:c r="S157" s="6" t="str">
        <x:v>No</x:v>
      </x:c>
      <x:c r="T157" s="7" t="str"/>
    </x:row>
    <x:row r="158">
      <x:c r="A158" s="6" t="str">
        <x:v>SIDX-0157</x:v>
      </x:c>
      <x:c r="B158" s="6" t="str">
        <x:v>SIR-000157</x:v>
      </x:c>
      <x:c r="C158" s="6" t="str">
        <x:v>SVC000157</x:v>
      </x:c>
      <x:c r="D158" s="6" t="str">
        <x:v>Galaxy S 9 Battery Replacement</x:v>
      </x:c>
      <x:c r="E158" s="6" t="str"/>
      <x:c r="F158" s="6" t="str"/>
      <x:c r="G158" s="6" t="str"/>
      <x:c r="H158" s="6" t="str"/>
      <x:c r="I158" s="6" t="str"/>
      <x:c r="J158" s="6" t="str"/>
      <x:c r="K158" s="6" t="str">
        <x:f>IF(J158="","No duplicate dependency",IFERROR(XLOOKUP(J158,'Duplicate Review Queue'!B2:B16,'Duplicate Review Queue'!J2:J16),"Dependency not found"))</x:f>
        <x:v>No duplicate dependency</x:v>
      </x:c>
      <x:c r="L158" s="6" t="str">
        <x:v>Unresolved</x:v>
      </x:c>
      <x:c r="M158" s="6" t="str"/>
      <x:c r="N158" s="7" t="str"/>
      <x:c r="O158" s="6" t="str"/>
      <x:c r="P158" s="6" t="str"/>
      <x:c r="Q158" s="6" t="str">
        <x:v>Pending</x:v>
      </x:c>
      <x:c r="R158" s="7" t="str">
        <x:f>IF(AND(J158&lt;&gt;"",K158="Unresolved"),"Duplicate dependency unresolved","")</x:f>
      </x:c>
      <x:c r="S158" s="6" t="str">
        <x:v>No</x:v>
      </x:c>
      <x:c r="T158" s="7" t="str"/>
    </x:row>
    <x:row r="159">
      <x:c r="A159" s="6" t="str">
        <x:v>SIDX-0158</x:v>
      </x:c>
      <x:c r="B159" s="6" t="str">
        <x:v>SIR-000158</x:v>
      </x:c>
      <x:c r="C159" s="6" t="str">
        <x:v>SVC000158</x:v>
      </x:c>
      <x:c r="D159" s="6" t="str">
        <x:v>Galaxy S 20 FE Battery Replacement</x:v>
      </x:c>
      <x:c r="E159" s="6" t="str"/>
      <x:c r="F159" s="6" t="str"/>
      <x:c r="G159" s="6" t="str"/>
      <x:c r="H159" s="6" t="str"/>
      <x:c r="I159" s="6" t="str"/>
      <x:c r="J159" s="6" t="str"/>
      <x:c r="K159" s="6" t="str">
        <x:f>IF(J159="","No duplicate dependency",IFERROR(XLOOKUP(J159,'Duplicate Review Queue'!B2:B16,'Duplicate Review Queue'!J2:J16),"Dependency not found"))</x:f>
        <x:v>No duplicate dependency</x:v>
      </x:c>
      <x:c r="L159" s="6" t="str">
        <x:v>Unresolved</x:v>
      </x:c>
      <x:c r="M159" s="6" t="str"/>
      <x:c r="N159" s="7" t="str"/>
      <x:c r="O159" s="6" t="str"/>
      <x:c r="P159" s="6" t="str"/>
      <x:c r="Q159" s="6" t="str">
        <x:v>Pending</x:v>
      </x:c>
      <x:c r="R159" s="7" t="str">
        <x:f>IF(AND(J159&lt;&gt;"",K159="Unresolved"),"Duplicate dependency unresolved","")</x:f>
      </x:c>
      <x:c r="S159" s="6" t="str">
        <x:v>No</x:v>
      </x:c>
      <x:c r="T159" s="7" t="str"/>
    </x:row>
    <x:row r="160">
      <x:c r="A160" s="6" t="str">
        <x:v>SIDX-0159</x:v>
      </x:c>
      <x:c r="B160" s="6" t="str">
        <x:v>SIR-000159</x:v>
      </x:c>
      <x:c r="C160" s="6" t="str">
        <x:v>SVC000159</x:v>
      </x:c>
      <x:c r="D160" s="6" t="str">
        <x:v>Galaxy S Classic Battery Replacement</x:v>
      </x:c>
      <x:c r="E160" s="6" t="str"/>
      <x:c r="F160" s="6" t="str"/>
      <x:c r="G160" s="6" t="str"/>
      <x:c r="H160" s="6" t="str"/>
      <x:c r="I160" s="6" t="str"/>
      <x:c r="J160" s="6" t="str"/>
      <x:c r="K160" s="6" t="str">
        <x:f>IF(J160="","No duplicate dependency",IFERROR(XLOOKUP(J160,'Duplicate Review Queue'!B2:B16,'Duplicate Review Queue'!J2:J16),"Dependency not found"))</x:f>
        <x:v>No duplicate dependency</x:v>
      </x:c>
      <x:c r="L160" s="6" t="str">
        <x:v>Unresolved</x:v>
      </x:c>
      <x:c r="M160" s="6" t="str"/>
      <x:c r="N160" s="7" t="str"/>
      <x:c r="O160" s="6" t="str"/>
      <x:c r="P160" s="6" t="str"/>
      <x:c r="Q160" s="6" t="str">
        <x:v>Pending</x:v>
      </x:c>
      <x:c r="R160" s="7" t="str">
        <x:f>IF(AND(J160&lt;&gt;"",K160="Unresolved"),"Duplicate dependency unresolved","")</x:f>
      </x:c>
      <x:c r="S160" s="6" t="str">
        <x:v>No</x:v>
      </x:c>
      <x:c r="T160" s="7" t="str"/>
    </x:row>
    <x:row r="161">
      <x:c r="A161" s="6" t="str">
        <x:v>SIDX-0160</x:v>
      </x:c>
      <x:c r="B161" s="6" t="str">
        <x:v>SIR-000160</x:v>
      </x:c>
      <x:c r="C161" s="6" t="str">
        <x:v>SVC000160</x:v>
      </x:c>
      <x:c r="D161" s="6" t="str">
        <x:v>Galaxy S2 Battery Replacement</x:v>
      </x:c>
      <x:c r="E161" s="6" t="str"/>
      <x:c r="F161" s="6" t="str"/>
      <x:c r="G161" s="6" t="str"/>
      <x:c r="H161" s="6" t="str"/>
      <x:c r="I161" s="6" t="str"/>
      <x:c r="J161" s="6" t="str"/>
      <x:c r="K161" s="6" t="str">
        <x:f>IF(J161="","No duplicate dependency",IFERROR(XLOOKUP(J161,'Duplicate Review Queue'!B2:B16,'Duplicate Review Queue'!J2:J16),"Dependency not found"))</x:f>
        <x:v>No duplicate dependency</x:v>
      </x:c>
      <x:c r="L161" s="6" t="str">
        <x:v>Unresolved</x:v>
      </x:c>
      <x:c r="M161" s="6" t="str"/>
      <x:c r="N161" s="7" t="str"/>
      <x:c r="O161" s="6" t="str"/>
      <x:c r="P161" s="6" t="str"/>
      <x:c r="Q161" s="6" t="str">
        <x:v>Pending</x:v>
      </x:c>
      <x:c r="R161" s="7" t="str">
        <x:f>IF(AND(J161&lt;&gt;"",K161="Unresolved"),"Duplicate dependency unresolved","")</x:f>
      </x:c>
      <x:c r="S161" s="6" t="str">
        <x:v>No</x:v>
      </x:c>
      <x:c r="T161" s="7" t="str"/>
    </x:row>
    <x:row r="162">
      <x:c r="A162" s="6" t="str">
        <x:v>SIDX-0161</x:v>
      </x:c>
      <x:c r="B162" s="6" t="str">
        <x:v>SIR-000161</x:v>
      </x:c>
      <x:c r="C162" s="6" t="str">
        <x:v>SVC000161</x:v>
      </x:c>
      <x:c r="D162" s="6" t="str">
        <x:v>Galaxy S3 Battery Replacement</x:v>
      </x:c>
      <x:c r="E162" s="6" t="str"/>
      <x:c r="F162" s="6" t="str"/>
      <x:c r="G162" s="6" t="str"/>
      <x:c r="H162" s="6" t="str"/>
      <x:c r="I162" s="6" t="str"/>
      <x:c r="J162" s="6" t="str"/>
      <x:c r="K162" s="6" t="str">
        <x:f>IF(J162="","No duplicate dependency",IFERROR(XLOOKUP(J162,'Duplicate Review Queue'!B2:B16,'Duplicate Review Queue'!J2:J16),"Dependency not found"))</x:f>
        <x:v>No duplicate dependency</x:v>
      </x:c>
      <x:c r="L162" s="6" t="str">
        <x:v>Unresolved</x:v>
      </x:c>
      <x:c r="M162" s="6" t="str"/>
      <x:c r="N162" s="7" t="str"/>
      <x:c r="O162" s="6" t="str"/>
      <x:c r="P162" s="6" t="str"/>
      <x:c r="Q162" s="6" t="str">
        <x:v>Pending</x:v>
      </x:c>
      <x:c r="R162" s="7" t="str">
        <x:f>IF(AND(J162&lt;&gt;"",K162="Unresolved"),"Duplicate dependency unresolved","")</x:f>
      </x:c>
      <x:c r="S162" s="6" t="str">
        <x:v>No</x:v>
      </x:c>
      <x:c r="T162" s="7" t="str"/>
    </x:row>
    <x:row r="163">
      <x:c r="A163" s="6" t="str">
        <x:v>SIDX-0162</x:v>
      </x:c>
      <x:c r="B163" s="6" t="str">
        <x:v>SIR-000162</x:v>
      </x:c>
      <x:c r="C163" s="6" t="str">
        <x:v>SVC000162</x:v>
      </x:c>
      <x:c r="D163" s="6" t="str">
        <x:v>Galaxy S3 Mini Battery Replacement</x:v>
      </x:c>
      <x:c r="E163" s="6" t="str"/>
      <x:c r="F163" s="6" t="str"/>
      <x:c r="G163" s="6" t="str"/>
      <x:c r="H163" s="6" t="str"/>
      <x:c r="I163" s="6" t="str"/>
      <x:c r="J163" s="6" t="str"/>
      <x:c r="K163" s="6" t="str">
        <x:f>IF(J163="","No duplicate dependency",IFERROR(XLOOKUP(J163,'Duplicate Review Queue'!B2:B16,'Duplicate Review Queue'!J2:J16),"Dependency not found"))</x:f>
        <x:v>No duplicate dependency</x:v>
      </x:c>
      <x:c r="L163" s="6" t="str">
        <x:v>Unresolved</x:v>
      </x:c>
      <x:c r="M163" s="6" t="str"/>
      <x:c r="N163" s="7" t="str"/>
      <x:c r="O163" s="6" t="str"/>
      <x:c r="P163" s="6" t="str"/>
      <x:c r="Q163" s="6" t="str">
        <x:v>Pending</x:v>
      </x:c>
      <x:c r="R163" s="7" t="str">
        <x:f>IF(AND(J163&lt;&gt;"",K163="Unresolved"),"Duplicate dependency unresolved","")</x:f>
      </x:c>
      <x:c r="S163" s="6" t="str">
        <x:v>No</x:v>
      </x:c>
      <x:c r="T163" s="7" t="str"/>
    </x:row>
    <x:row r="164">
      <x:c r="A164" s="6" t="str">
        <x:v>SIDX-0163</x:v>
      </x:c>
      <x:c r="B164" s="6" t="str">
        <x:v>SIR-000163</x:v>
      </x:c>
      <x:c r="C164" s="6" t="str">
        <x:v>SVC000163</x:v>
      </x:c>
      <x:c r="D164" s="6" t="str">
        <x:v>Galaxy S3 Neo Battery Replacement</x:v>
      </x:c>
      <x:c r="E164" s="6" t="str"/>
      <x:c r="F164" s="6" t="str"/>
      <x:c r="G164" s="6" t="str"/>
      <x:c r="H164" s="6" t="str"/>
      <x:c r="I164" s="6" t="str"/>
      <x:c r="J164" s="6" t="str"/>
      <x:c r="K164" s="6" t="str">
        <x:f>IF(J164="","No duplicate dependency",IFERROR(XLOOKUP(J164,'Duplicate Review Queue'!B2:B16,'Duplicate Review Queue'!J2:J16),"Dependency not found"))</x:f>
        <x:v>No duplicate dependency</x:v>
      </x:c>
      <x:c r="L164" s="6" t="str">
        <x:v>Unresolved</x:v>
      </x:c>
      <x:c r="M164" s="6" t="str"/>
      <x:c r="N164" s="7" t="str"/>
      <x:c r="O164" s="6" t="str"/>
      <x:c r="P164" s="6" t="str"/>
      <x:c r="Q164" s="6" t="str">
        <x:v>Pending</x:v>
      </x:c>
      <x:c r="R164" s="7" t="str">
        <x:f>IF(AND(J164&lt;&gt;"",K164="Unresolved"),"Duplicate dependency unresolved","")</x:f>
      </x:c>
      <x:c r="S164" s="6" t="str">
        <x:v>No</x:v>
      </x:c>
      <x:c r="T164" s="7" t="str"/>
    </x:row>
    <x:row r="165">
      <x:c r="A165" s="6" t="str">
        <x:v>SIDX-0164</x:v>
      </x:c>
      <x:c r="B165" s="6" t="str">
        <x:v>SIR-000164</x:v>
      </x:c>
      <x:c r="C165" s="6" t="str">
        <x:v>SVC000164</x:v>
      </x:c>
      <x:c r="D165" s="6" t="str">
        <x:v>Galaxy S4 Battery Replacement</x:v>
      </x:c>
      <x:c r="E165" s="6" t="str"/>
      <x:c r="F165" s="6" t="str"/>
      <x:c r="G165" s="6" t="str"/>
      <x:c r="H165" s="6" t="str"/>
      <x:c r="I165" s="6" t="str"/>
      <x:c r="J165" s="6" t="str"/>
      <x:c r="K165" s="6" t="str">
        <x:f>IF(J165="","No duplicate dependency",IFERROR(XLOOKUP(J165,'Duplicate Review Queue'!B2:B16,'Duplicate Review Queue'!J2:J16),"Dependency not found"))</x:f>
        <x:v>No duplicate dependency</x:v>
      </x:c>
      <x:c r="L165" s="6" t="str">
        <x:v>Unresolved</x:v>
      </x:c>
      <x:c r="M165" s="6" t="str"/>
      <x:c r="N165" s="7" t="str"/>
      <x:c r="O165" s="6" t="str"/>
      <x:c r="P165" s="6" t="str"/>
      <x:c r="Q165" s="6" t="str">
        <x:v>Pending</x:v>
      </x:c>
      <x:c r="R165" s="7" t="str">
        <x:f>IF(AND(J165&lt;&gt;"",K165="Unresolved"),"Duplicate dependency unresolved","")</x:f>
      </x:c>
      <x:c r="S165" s="6" t="str">
        <x:v>No</x:v>
      </x:c>
      <x:c r="T165" s="7" t="str"/>
    </x:row>
    <x:row r="166">
      <x:c r="A166" s="6" t="str">
        <x:v>SIDX-0165</x:v>
      </x:c>
      <x:c r="B166" s="6" t="str">
        <x:v>SIR-000165</x:v>
      </x:c>
      <x:c r="C166" s="6" t="str">
        <x:v>SVC000165</x:v>
      </x:c>
      <x:c r="D166" s="6" t="str">
        <x:v>Galaxy S 4 Active Battery Replacement</x:v>
      </x:c>
      <x:c r="E166" s="6" t="str"/>
      <x:c r="F166" s="6" t="str"/>
      <x:c r="G166" s="6" t="str"/>
      <x:c r="H166" s="6" t="str"/>
      <x:c r="I166" s="6" t="str"/>
      <x:c r="J166" s="6" t="str"/>
      <x:c r="K166" s="6" t="str">
        <x:f>IF(J166="","No duplicate dependency",IFERROR(XLOOKUP(J166,'Duplicate Review Queue'!B2:B16,'Duplicate Review Queue'!J2:J16),"Dependency not found"))</x:f>
        <x:v>No duplicate dependency</x:v>
      </x:c>
      <x:c r="L166" s="6" t="str">
        <x:v>Unresolved</x:v>
      </x:c>
      <x:c r="M166" s="6" t="str"/>
      <x:c r="N166" s="7" t="str"/>
      <x:c r="O166" s="6" t="str"/>
      <x:c r="P166" s="6" t="str"/>
      <x:c r="Q166" s="6" t="str">
        <x:v>Pending</x:v>
      </x:c>
      <x:c r="R166" s="7" t="str">
        <x:f>IF(AND(J166&lt;&gt;"",K166="Unresolved"),"Duplicate dependency unresolved","")</x:f>
      </x:c>
      <x:c r="S166" s="6" t="str">
        <x:v>No</x:v>
      </x:c>
      <x:c r="T166" s="7" t="str"/>
    </x:row>
    <x:row r="167">
      <x:c r="A167" s="6" t="str">
        <x:v>SIDX-0166</x:v>
      </x:c>
      <x:c r="B167" s="6" t="str">
        <x:v>SIR-000166</x:v>
      </x:c>
      <x:c r="C167" s="6" t="str">
        <x:v>SVC000166</x:v>
      </x:c>
      <x:c r="D167" s="6" t="str">
        <x:v>Galaxy S 5 Battery Replacement</x:v>
      </x:c>
      <x:c r="E167" s="6" t="str"/>
      <x:c r="F167" s="6" t="str"/>
      <x:c r="G167" s="6" t="str"/>
      <x:c r="H167" s="6" t="str"/>
      <x:c r="I167" s="6" t="str"/>
      <x:c r="J167" s="6" t="str"/>
      <x:c r="K167" s="6" t="str">
        <x:f>IF(J167="","No duplicate dependency",IFERROR(XLOOKUP(J167,'Duplicate Review Queue'!B2:B16,'Duplicate Review Queue'!J2:J16),"Dependency not found"))</x:f>
        <x:v>No duplicate dependency</x:v>
      </x:c>
      <x:c r="L167" s="6" t="str">
        <x:v>Unresolved</x:v>
      </x:c>
      <x:c r="M167" s="6" t="str"/>
      <x:c r="N167" s="7" t="str"/>
      <x:c r="O167" s="6" t="str"/>
      <x:c r="P167" s="6" t="str"/>
      <x:c r="Q167" s="6" t="str">
        <x:v>Pending</x:v>
      </x:c>
      <x:c r="R167" s="7" t="str">
        <x:f>IF(AND(J167&lt;&gt;"",K167="Unresolved"),"Duplicate dependency unresolved","")</x:f>
      </x:c>
      <x:c r="S167" s="6" t="str">
        <x:v>No</x:v>
      </x:c>
      <x:c r="T167" s="7" t="str"/>
    </x:row>
    <x:row r="168">
      <x:c r="A168" s="6" t="str">
        <x:v>SIDX-0167</x:v>
      </x:c>
      <x:c r="B168" s="6" t="str">
        <x:v>SIR-000167</x:v>
      </x:c>
      <x:c r="C168" s="6" t="str">
        <x:v>SVC000167</x:v>
      </x:c>
      <x:c r="D168" s="6" t="str">
        <x:v>iPhone 7+ Battery Replacement</x:v>
      </x:c>
      <x:c r="E168" s="6" t="str"/>
      <x:c r="F168" s="6" t="str"/>
      <x:c r="G168" s="6" t="str"/>
      <x:c r="H168" s="6" t="str"/>
      <x:c r="I168" s="6" t="str"/>
      <x:c r="J168" s="6" t="str">
        <x:v>DUP000006</x:v>
      </x:c>
      <x:c r="K168" s="6" t="str">
        <x:f>IF(J168="","No duplicate dependency",IFERROR(XLOOKUP(J168,'Duplicate Review Queue'!B2:B16,'Duplicate Review Queue'!J2:J16),"Dependency not found"))</x:f>
        <x:v>Unresolved</x:v>
      </x:c>
      <x:c r="L168" s="6" t="str">
        <x:v>Unresolved</x:v>
      </x:c>
      <x:c r="M168" s="6" t="str"/>
      <x:c r="N168" s="7" t="str"/>
      <x:c r="O168" s="6" t="str"/>
      <x:c r="P168" s="6" t="str"/>
      <x:c r="Q168" s="6" t="str">
        <x:v>Pending</x:v>
      </x:c>
      <x:c r="R168" s="7" t="str">
        <x:f>IF(AND(J168&lt;&gt;"",K168="Unresolved"),"Duplicate dependency unresolved","")</x:f>
        <x:v>Duplicate dependency unresolved</x:v>
      </x:c>
      <x:c r="S168" s="6" t="str">
        <x:v>Yes</x:v>
      </x:c>
      <x:c r="T168" s="7" t="str"/>
    </x:row>
    <x:row r="169">
      <x:c r="A169" s="6" t="str">
        <x:v>SIDX-0168</x:v>
      </x:c>
      <x:c r="B169" s="6" t="str">
        <x:v>SIR-000168</x:v>
      </x:c>
      <x:c r="C169" s="6" t="str">
        <x:v>SVC000168</x:v>
      </x:c>
      <x:c r="D169" s="6" t="str">
        <x:v>iPhone Battery Replacement</x:v>
      </x:c>
      <x:c r="E169" s="6" t="str"/>
      <x:c r="F169" s="6" t="str"/>
      <x:c r="G169" s="6" t="str"/>
      <x:c r="H169" s="6" t="str"/>
      <x:c r="I169" s="6" t="str"/>
      <x:c r="J169" s="6" t="str"/>
      <x:c r="K169" s="6" t="str">
        <x:f>IF(J169="","No duplicate dependency",IFERROR(XLOOKUP(J169,'Duplicate Review Queue'!B2:B16,'Duplicate Review Queue'!J2:J16),"Dependency not found"))</x:f>
        <x:v>No duplicate dependency</x:v>
      </x:c>
      <x:c r="L169" s="6" t="str">
        <x:v>Unresolved</x:v>
      </x:c>
      <x:c r="M169" s="6" t="str"/>
      <x:c r="N169" s="7" t="str"/>
      <x:c r="O169" s="6" t="str"/>
      <x:c r="P169" s="6" t="str"/>
      <x:c r="Q169" s="6" t="str">
        <x:v>Pending</x:v>
      </x:c>
      <x:c r="R169" s="7" t="str">
        <x:f>IF(AND(J169&lt;&gt;"",K169="Unresolved"),"Duplicate dependency unresolved","")</x:f>
      </x:c>
      <x:c r="S169" s="6" t="str">
        <x:v>No</x:v>
      </x:c>
      <x:c r="T169" s="7" t="str"/>
    </x:row>
    <x:row r="170">
      <x:c r="A170" s="6" t="str">
        <x:v>SIDX-0169</x:v>
      </x:c>
      <x:c r="B170" s="6" t="str">
        <x:v>SIR-000169</x:v>
      </x:c>
      <x:c r="C170" s="6" t="str">
        <x:v>SVC000169</x:v>
      </x:c>
      <x:c r="D170" s="6" t="str">
        <x:v>iPhone 3GS Battery Replacement</x:v>
      </x:c>
      <x:c r="E170" s="6" t="str"/>
      <x:c r="F170" s="6" t="str"/>
      <x:c r="G170" s="6" t="str"/>
      <x:c r="H170" s="6" t="str"/>
      <x:c r="I170" s="6" t="str"/>
      <x:c r="J170" s="6" t="str"/>
      <x:c r="K170" s="6" t="str">
        <x:f>IF(J170="","No duplicate dependency",IFERROR(XLOOKUP(J170,'Duplicate Review Queue'!B2:B16,'Duplicate Review Queue'!J2:J16),"Dependency not found"))</x:f>
        <x:v>No duplicate dependency</x:v>
      </x:c>
      <x:c r="L170" s="6" t="str">
        <x:v>Unresolved</x:v>
      </x:c>
      <x:c r="M170" s="6" t="str"/>
      <x:c r="N170" s="7" t="str"/>
      <x:c r="O170" s="6" t="str"/>
      <x:c r="P170" s="6" t="str"/>
      <x:c r="Q170" s="6" t="str">
        <x:v>Pending</x:v>
      </x:c>
      <x:c r="R170" s="7" t="str">
        <x:f>IF(AND(J170&lt;&gt;"",K170="Unresolved"),"Duplicate dependency unresolved","")</x:f>
      </x:c>
      <x:c r="S170" s="6" t="str">
        <x:v>No</x:v>
      </x:c>
      <x:c r="T170" s="7" t="str"/>
    </x:row>
    <x:row r="171">
      <x:c r="A171" s="6" t="str">
        <x:v>SIDX-0170</x:v>
      </x:c>
      <x:c r="B171" s="6" t="str">
        <x:v>SIR-000170</x:v>
      </x:c>
      <x:c r="C171" s="6" t="str">
        <x:v>SVC000170</x:v>
      </x:c>
      <x:c r="D171" s="6" t="str">
        <x:v>iPhone 4S Battery Replacement</x:v>
      </x:c>
      <x:c r="E171" s="6" t="str"/>
      <x:c r="F171" s="6" t="str"/>
      <x:c r="G171" s="6" t="str"/>
      <x:c r="H171" s="6" t="str"/>
      <x:c r="I171" s="6" t="str"/>
      <x:c r="J171" s="6" t="str">
        <x:v>DUP000007</x:v>
      </x:c>
      <x:c r="K171" s="6" t="str">
        <x:f>IF(J171="","No duplicate dependency",IFERROR(XLOOKUP(J171,'Duplicate Review Queue'!B2:B16,'Duplicate Review Queue'!J2:J16),"Dependency not found"))</x:f>
        <x:v>Unresolved</x:v>
      </x:c>
      <x:c r="L171" s="6" t="str">
        <x:v>Unresolved</x:v>
      </x:c>
      <x:c r="M171" s="6" t="str"/>
      <x:c r="N171" s="7" t="str"/>
      <x:c r="O171" s="6" t="str"/>
      <x:c r="P171" s="6" t="str"/>
      <x:c r="Q171" s="6" t="str">
        <x:v>Pending</x:v>
      </x:c>
      <x:c r="R171" s="7" t="str">
        <x:f>IF(AND(J171&lt;&gt;"",K171="Unresolved"),"Duplicate dependency unresolved","")</x:f>
        <x:v>Duplicate dependency unresolved</x:v>
      </x:c>
      <x:c r="S171" s="6" t="str">
        <x:v>Yes</x:v>
      </x:c>
      <x:c r="T171" s="7" t="str"/>
    </x:row>
    <x:row r="172">
      <x:c r="A172" s="6" t="str">
        <x:v>SIDX-0171</x:v>
      </x:c>
      <x:c r="B172" s="6" t="str">
        <x:v>SIR-000171</x:v>
      </x:c>
      <x:c r="C172" s="6" t="str">
        <x:v>SVC000171</x:v>
      </x:c>
      <x:c r="D172" s="6" t="str">
        <x:v>iPhone 5 Battery Replacement</x:v>
      </x:c>
      <x:c r="E172" s="6" t="str"/>
      <x:c r="F172" s="6" t="str"/>
      <x:c r="G172" s="6" t="str"/>
      <x:c r="H172" s="6" t="str"/>
      <x:c r="I172" s="6" t="str"/>
      <x:c r="J172" s="6" t="str"/>
      <x:c r="K172" s="6" t="str">
        <x:f>IF(J172="","No duplicate dependency",IFERROR(XLOOKUP(J172,'Duplicate Review Queue'!B2:B16,'Duplicate Review Queue'!J2:J16),"Dependency not found"))</x:f>
        <x:v>No duplicate dependency</x:v>
      </x:c>
      <x:c r="L172" s="6" t="str">
        <x:v>Unresolved</x:v>
      </x:c>
      <x:c r="M172" s="6" t="str"/>
      <x:c r="N172" s="7" t="str"/>
      <x:c r="O172" s="6" t="str"/>
      <x:c r="P172" s="6" t="str"/>
      <x:c r="Q172" s="6" t="str">
        <x:v>Pending</x:v>
      </x:c>
      <x:c r="R172" s="7" t="str">
        <x:f>IF(AND(J172&lt;&gt;"",K172="Unresolved"),"Duplicate dependency unresolved","")</x:f>
      </x:c>
      <x:c r="S172" s="6" t="str">
        <x:v>No</x:v>
      </x:c>
      <x:c r="T172" s="7" t="str"/>
    </x:row>
    <x:row r="173">
      <x:c r="A173" s="6" t="str">
        <x:v>SIDX-0172</x:v>
      </x:c>
      <x:c r="B173" s="6" t="str">
        <x:v>SIR-000172</x:v>
      </x:c>
      <x:c r="C173" s="6" t="str">
        <x:v>SVC000172</x:v>
      </x:c>
      <x:c r="D173" s="6" t="str">
        <x:v>iPhone 5C Battery Replacement</x:v>
      </x:c>
      <x:c r="E173" s="6" t="str"/>
      <x:c r="F173" s="6" t="str"/>
      <x:c r="G173" s="6" t="str"/>
      <x:c r="H173" s="6" t="str"/>
      <x:c r="I173" s="6" t="str"/>
      <x:c r="J173" s="6" t="str"/>
      <x:c r="K173" s="6" t="str">
        <x:f>IF(J173="","No duplicate dependency",IFERROR(XLOOKUP(J173,'Duplicate Review Queue'!B2:B16,'Duplicate Review Queue'!J2:J16),"Dependency not found"))</x:f>
        <x:v>No duplicate dependency</x:v>
      </x:c>
      <x:c r="L173" s="6" t="str">
        <x:v>Unresolved</x:v>
      </x:c>
      <x:c r="M173" s="6" t="str"/>
      <x:c r="N173" s="7" t="str"/>
      <x:c r="O173" s="6" t="str"/>
      <x:c r="P173" s="6" t="str"/>
      <x:c r="Q173" s="6" t="str">
        <x:v>Pending</x:v>
      </x:c>
      <x:c r="R173" s="7" t="str">
        <x:f>IF(AND(J173&lt;&gt;"",K173="Unresolved"),"Duplicate dependency unresolved","")</x:f>
      </x:c>
      <x:c r="S173" s="6" t="str">
        <x:v>No</x:v>
      </x:c>
      <x:c r="T173" s="7" t="str"/>
    </x:row>
    <x:row r="174">
      <x:c r="A174" s="6" t="str">
        <x:v>SIDX-0173</x:v>
      </x:c>
      <x:c r="B174" s="6" t="str">
        <x:v>SIR-000173</x:v>
      </x:c>
      <x:c r="C174" s="6" t="str">
        <x:v>SVC000173</x:v>
      </x:c>
      <x:c r="D174" s="6" t="str">
        <x:v>iPhone 8+ Battery Replacement</x:v>
      </x:c>
      <x:c r="E174" s="6" t="str"/>
      <x:c r="F174" s="6" t="str"/>
      <x:c r="G174" s="6" t="str"/>
      <x:c r="H174" s="6" t="str"/>
      <x:c r="I174" s="6" t="str"/>
      <x:c r="J174" s="6" t="str">
        <x:v>DUP000008</x:v>
      </x:c>
      <x:c r="K174" s="6" t="str">
        <x:f>IF(J174="","No duplicate dependency",IFERROR(XLOOKUP(J174,'Duplicate Review Queue'!B2:B16,'Duplicate Review Queue'!J2:J16),"Dependency not found"))</x:f>
        <x:v>Unresolved</x:v>
      </x:c>
      <x:c r="L174" s="6" t="str">
        <x:v>Unresolved</x:v>
      </x:c>
      <x:c r="M174" s="6" t="str"/>
      <x:c r="N174" s="7" t="str"/>
      <x:c r="O174" s="6" t="str"/>
      <x:c r="P174" s="6" t="str"/>
      <x:c r="Q174" s="6" t="str">
        <x:v>Pending</x:v>
      </x:c>
      <x:c r="R174" s="7" t="str">
        <x:f>IF(AND(J174&lt;&gt;"",K174="Unresolved"),"Duplicate dependency unresolved","")</x:f>
        <x:v>Duplicate dependency unresolved</x:v>
      </x:c>
      <x:c r="S174" s="6" t="str">
        <x:v>Yes</x:v>
      </x:c>
      <x:c r="T174" s="7" t="str"/>
    </x:row>
    <x:row r="175">
      <x:c r="A175" s="6" t="str">
        <x:v>SIDX-0174</x:v>
      </x:c>
      <x:c r="B175" s="6" t="str">
        <x:v>SIR-000174</x:v>
      </x:c>
      <x:c r="C175" s="6" t="str">
        <x:v>SVC000174</x:v>
      </x:c>
      <x:c r="D175" s="6" t="str">
        <x:v>iPhone 6S Battery Replacement</x:v>
      </x:c>
      <x:c r="E175" s="6" t="str"/>
      <x:c r="F175" s="6" t="str"/>
      <x:c r="G175" s="6" t="str"/>
      <x:c r="H175" s="6" t="str"/>
      <x:c r="I175" s="6" t="str"/>
      <x:c r="J175" s="6" t="str">
        <x:v>DUP000009</x:v>
      </x:c>
      <x:c r="K175" s="6" t="str">
        <x:f>IF(J175="","No duplicate dependency",IFERROR(XLOOKUP(J175,'Duplicate Review Queue'!B2:B16,'Duplicate Review Queue'!J2:J16),"Dependency not found"))</x:f>
        <x:v>Unresolved</x:v>
      </x:c>
      <x:c r="L175" s="6" t="str">
        <x:v>Unresolved</x:v>
      </x:c>
      <x:c r="M175" s="6" t="str"/>
      <x:c r="N175" s="7" t="str"/>
      <x:c r="O175" s="6" t="str"/>
      <x:c r="P175" s="6" t="str"/>
      <x:c r="Q175" s="6" t="str">
        <x:v>Pending</x:v>
      </x:c>
      <x:c r="R175" s="7" t="str">
        <x:f>IF(AND(J175&lt;&gt;"",K175="Unresolved"),"Duplicate dependency unresolved","")</x:f>
        <x:v>Duplicate dependency unresolved</x:v>
      </x:c>
      <x:c r="S175" s="6" t="str">
        <x:v>Yes</x:v>
      </x:c>
      <x:c r="T175" s="7" t="str"/>
    </x:row>
    <x:row r="176">
      <x:c r="A176" s="6" t="str">
        <x:v>SIDX-0175</x:v>
      </x:c>
      <x:c r="B176" s="6" t="str">
        <x:v>SIR-000175</x:v>
      </x:c>
      <x:c r="C176" s="6" t="str">
        <x:v>SVC000175</x:v>
      </x:c>
      <x:c r="D176" s="6" t="str">
        <x:v>iPhone 8 Battery Replacement</x:v>
      </x:c>
      <x:c r="E176" s="6" t="str"/>
      <x:c r="F176" s="6" t="str"/>
      <x:c r="G176" s="6" t="str"/>
      <x:c r="H176" s="6" t="str"/>
      <x:c r="I176" s="6" t="str"/>
      <x:c r="J176" s="6" t="str">
        <x:v>DUP000008</x:v>
      </x:c>
      <x:c r="K176" s="6" t="str">
        <x:f>IF(J176="","No duplicate dependency",IFERROR(XLOOKUP(J176,'Duplicate Review Queue'!B2:B16,'Duplicate Review Queue'!J2:J16),"Dependency not found"))</x:f>
        <x:v>Unresolved</x:v>
      </x:c>
      <x:c r="L176" s="6" t="str">
        <x:v>Unresolved</x:v>
      </x:c>
      <x:c r="M176" s="6" t="str"/>
      <x:c r="N176" s="7" t="str"/>
      <x:c r="O176" s="6" t="str"/>
      <x:c r="P176" s="6" t="str"/>
      <x:c r="Q176" s="6" t="str">
        <x:v>Pending</x:v>
      </x:c>
      <x:c r="R176" s="7" t="str">
        <x:f>IF(AND(J176&lt;&gt;"",K176="Unresolved"),"Duplicate dependency unresolved","")</x:f>
        <x:v>Duplicate dependency unresolved</x:v>
      </x:c>
      <x:c r="S176" s="6" t="str">
        <x:v>Yes</x:v>
      </x:c>
      <x:c r="T176" s="7" t="str"/>
    </x:row>
    <x:row r="177">
      <x:c r="A177" s="6" t="str">
        <x:v>SIDX-0176</x:v>
      </x:c>
      <x:c r="B177" s="6" t="str">
        <x:v>SIR-000176</x:v>
      </x:c>
      <x:c r="C177" s="6" t="str">
        <x:v>SVC000176</x:v>
      </x:c>
      <x:c r="D177" s="6" t="str">
        <x:v>iPhone 6S+ Battery Replacement</x:v>
      </x:c>
      <x:c r="E177" s="6" t="str"/>
      <x:c r="F177" s="6" t="str"/>
      <x:c r="G177" s="6" t="str"/>
      <x:c r="H177" s="6" t="str"/>
      <x:c r="I177" s="6" t="str"/>
      <x:c r="J177" s="6" t="str">
        <x:v>DUP000009</x:v>
      </x:c>
      <x:c r="K177" s="6" t="str">
        <x:f>IF(J177="","No duplicate dependency",IFERROR(XLOOKUP(J177,'Duplicate Review Queue'!B2:B16,'Duplicate Review Queue'!J2:J16),"Dependency not found"))</x:f>
        <x:v>Unresolved</x:v>
      </x:c>
      <x:c r="L177" s="6" t="str">
        <x:v>Unresolved</x:v>
      </x:c>
      <x:c r="M177" s="6" t="str"/>
      <x:c r="N177" s="7" t="str"/>
      <x:c r="O177" s="6" t="str"/>
      <x:c r="P177" s="6" t="str"/>
      <x:c r="Q177" s="6" t="str">
        <x:v>Pending</x:v>
      </x:c>
      <x:c r="R177" s="7" t="str">
        <x:f>IF(AND(J177&lt;&gt;"",K177="Unresolved"),"Duplicate dependency unresolved","")</x:f>
        <x:v>Duplicate dependency unresolved</x:v>
      </x:c>
      <x:c r="S177" s="6" t="str">
        <x:v>Yes</x:v>
      </x:c>
      <x:c r="T177" s="7" t="str"/>
    </x:row>
    <x:row r="178">
      <x:c r="A178" s="6" t="str">
        <x:v>SIDX-0177</x:v>
      </x:c>
      <x:c r="B178" s="6" t="str">
        <x:v>SIR-000177</x:v>
      </x:c>
      <x:c r="C178" s="6" t="str">
        <x:v>SVC000177</x:v>
      </x:c>
      <x:c r="D178" s="6" t="str">
        <x:v>iPhone 6S+ Battery Replacement</x:v>
      </x:c>
      <x:c r="E178" s="6" t="str"/>
      <x:c r="F178" s="6" t="str"/>
      <x:c r="G178" s="6" t="str"/>
      <x:c r="H178" s="6" t="str"/>
      <x:c r="I178" s="6" t="str"/>
      <x:c r="J178" s="6" t="str">
        <x:v>DUP000009</x:v>
      </x:c>
      <x:c r="K178" s="6" t="str">
        <x:f>IF(J178="","No duplicate dependency",IFERROR(XLOOKUP(J178,'Duplicate Review Queue'!B2:B16,'Duplicate Review Queue'!J2:J16),"Dependency not found"))</x:f>
        <x:v>Unresolved</x:v>
      </x:c>
      <x:c r="L178" s="6" t="str">
        <x:v>Unresolved</x:v>
      </x:c>
      <x:c r="M178" s="6" t="str"/>
      <x:c r="N178" s="7" t="str"/>
      <x:c r="O178" s="6" t="str"/>
      <x:c r="P178" s="6" t="str"/>
      <x:c r="Q178" s="6" t="str">
        <x:v>Pending</x:v>
      </x:c>
      <x:c r="R178" s="7" t="str">
        <x:f>IF(AND(J178&lt;&gt;"",K178="Unresolved"),"Duplicate dependency unresolved","")</x:f>
        <x:v>Duplicate dependency unresolved</x:v>
      </x:c>
      <x:c r="S178" s="6" t="str">
        <x:v>Yes</x:v>
      </x:c>
      <x:c r="T178" s="7" t="str"/>
    </x:row>
    <x:row r="179">
      <x:c r="A179" s="6" t="str">
        <x:v>SIDX-0178</x:v>
      </x:c>
      <x:c r="B179" s="6" t="str">
        <x:v>SIR-000178</x:v>
      </x:c>
      <x:c r="C179" s="6" t="str">
        <x:v>SVC000178</x:v>
      </x:c>
      <x:c r="D179" s="6" t="str">
        <x:v>iPhone 5S Battery Replacement</x:v>
      </x:c>
      <x:c r="E179" s="6" t="str"/>
      <x:c r="F179" s="6" t="str"/>
      <x:c r="G179" s="6" t="str"/>
      <x:c r="H179" s="6" t="str"/>
      <x:c r="I179" s="6" t="str"/>
      <x:c r="J179" s="6" t="str"/>
      <x:c r="K179" s="6" t="str">
        <x:f>IF(J179="","No duplicate dependency",IFERROR(XLOOKUP(J179,'Duplicate Review Queue'!B2:B16,'Duplicate Review Queue'!J2:J16),"Dependency not found"))</x:f>
        <x:v>No duplicate dependency</x:v>
      </x:c>
      <x:c r="L179" s="6" t="str">
        <x:v>Unresolved</x:v>
      </x:c>
      <x:c r="M179" s="6" t="str"/>
      <x:c r="N179" s="7" t="str"/>
      <x:c r="O179" s="6" t="str"/>
      <x:c r="P179" s="6" t="str"/>
      <x:c r="Q179" s="6" t="str">
        <x:v>Pending</x:v>
      </x:c>
      <x:c r="R179" s="7" t="str">
        <x:f>IF(AND(J179&lt;&gt;"",K179="Unresolved"),"Duplicate dependency unresolved","")</x:f>
      </x:c>
      <x:c r="S179" s="6" t="str">
        <x:v>No</x:v>
      </x:c>
      <x:c r="T179" s="7" t="str"/>
    </x:row>
    <x:row r="180">
      <x:c r="A180" s="6" t="str">
        <x:v>SIDX-0179</x:v>
      </x:c>
      <x:c r="B180" s="6" t="str">
        <x:v>SIR-000179</x:v>
      </x:c>
      <x:c r="C180" s="6" t="str">
        <x:v>SVC000179</x:v>
      </x:c>
      <x:c r="D180" s="6" t="str">
        <x:v>iPhone 14 Battery Replacement</x:v>
      </x:c>
      <x:c r="E180" s="6" t="str"/>
      <x:c r="F180" s="6" t="str"/>
      <x:c r="G180" s="6" t="str"/>
      <x:c r="H180" s="6" t="str"/>
      <x:c r="I180" s="6" t="str"/>
      <x:c r="J180" s="6" t="str"/>
      <x:c r="K180" s="6" t="str">
        <x:f>IF(J180="","No duplicate dependency",IFERROR(XLOOKUP(J180,'Duplicate Review Queue'!B2:B16,'Duplicate Review Queue'!J2:J16),"Dependency not found"))</x:f>
        <x:v>No duplicate dependency</x:v>
      </x:c>
      <x:c r="L180" s="6" t="str">
        <x:v>Unresolved</x:v>
      </x:c>
      <x:c r="M180" s="6" t="str"/>
      <x:c r="N180" s="7" t="str"/>
      <x:c r="O180" s="6" t="str"/>
      <x:c r="P180" s="6" t="str"/>
      <x:c r="Q180" s="6" t="str">
        <x:v>Pending</x:v>
      </x:c>
      <x:c r="R180" s="7" t="str">
        <x:f>IF(AND(J180&lt;&gt;"",K180="Unresolved"),"Duplicate dependency unresolved","")</x:f>
      </x:c>
      <x:c r="S180" s="6" t="str">
        <x:v>No</x:v>
      </x:c>
      <x:c r="T180" s="7" t="str"/>
    </x:row>
    <x:row r="181">
      <x:c r="A181" s="6" t="str">
        <x:v>SIDX-0180</x:v>
      </x:c>
      <x:c r="B181" s="6" t="str">
        <x:v>SIR-000180</x:v>
      </x:c>
      <x:c r="C181" s="6" t="str">
        <x:v>SVC000180</x:v>
      </x:c>
      <x:c r="D181" s="6" t="str">
        <x:v>iPhone 6+ Battery Replacement</x:v>
      </x:c>
      <x:c r="E181" s="6" t="str"/>
      <x:c r="F181" s="6" t="str"/>
      <x:c r="G181" s="6" t="str"/>
      <x:c r="H181" s="6" t="str"/>
      <x:c r="I181" s="6" t="str"/>
      <x:c r="J181" s="6" t="str">
        <x:v>DUP000010</x:v>
      </x:c>
      <x:c r="K181" s="6" t="str">
        <x:f>IF(J181="","No duplicate dependency",IFERROR(XLOOKUP(J181,'Duplicate Review Queue'!B2:B16,'Duplicate Review Queue'!J2:J16),"Dependency not found"))</x:f>
        <x:v>Unresolved</x:v>
      </x:c>
      <x:c r="L181" s="6" t="str">
        <x:v>Unresolved</x:v>
      </x:c>
      <x:c r="M181" s="6" t="str"/>
      <x:c r="N181" s="7" t="str"/>
      <x:c r="O181" s="6" t="str"/>
      <x:c r="P181" s="6" t="str"/>
      <x:c r="Q181" s="6" t="str">
        <x:v>Pending</x:v>
      </x:c>
      <x:c r="R181" s="7" t="str">
        <x:f>IF(AND(J181&lt;&gt;"",K181="Unresolved"),"Duplicate dependency unresolved","")</x:f>
        <x:v>Duplicate dependency unresolved</x:v>
      </x:c>
      <x:c r="S181" s="6" t="str">
        <x:v>Yes</x:v>
      </x:c>
      <x:c r="T181" s="7" t="str"/>
    </x:row>
    <x:row r="182">
      <x:c r="A182" s="6" t="str">
        <x:v>SIDX-0181</x:v>
      </x:c>
      <x:c r="B182" s="6" t="str">
        <x:v>SIR-000181</x:v>
      </x:c>
      <x:c r="C182" s="6" t="str">
        <x:v>SVC000181</x:v>
      </x:c>
      <x:c r="D182" s="6" t="str">
        <x:v>iPhone 16E Battery Replacement</x:v>
      </x:c>
      <x:c r="E182" s="6" t="str"/>
      <x:c r="F182" s="6" t="str"/>
      <x:c r="G182" s="6" t="str"/>
      <x:c r="H182" s="6" t="str"/>
      <x:c r="I182" s="6" t="str"/>
      <x:c r="J182" s="6" t="str"/>
      <x:c r="K182" s="6" t="str">
        <x:f>IF(J182="","No duplicate dependency",IFERROR(XLOOKUP(J182,'Duplicate Review Queue'!B2:B16,'Duplicate Review Queue'!J2:J16),"Dependency not found"))</x:f>
        <x:v>No duplicate dependency</x:v>
      </x:c>
      <x:c r="L182" s="6" t="str">
        <x:v>Unresolved</x:v>
      </x:c>
      <x:c r="M182" s="6" t="str"/>
      <x:c r="N182" s="7" t="str"/>
      <x:c r="O182" s="6" t="str"/>
      <x:c r="P182" s="6" t="str"/>
      <x:c r="Q182" s="6" t="str">
        <x:v>Pending</x:v>
      </x:c>
      <x:c r="R182" s="7" t="str">
        <x:f>IF(AND(J182&lt;&gt;"",K182="Unresolved"),"Duplicate dependency unresolved","")</x:f>
      </x:c>
      <x:c r="S182" s="6" t="str">
        <x:v>No</x:v>
      </x:c>
      <x:c r="T182" s="7" t="str"/>
    </x:row>
    <x:row r="183">
      <x:c r="A183" s="6" t="str">
        <x:v>SIDX-0182</x:v>
      </x:c>
      <x:c r="B183" s="6" t="str">
        <x:v>SIR-000182</x:v>
      </x:c>
      <x:c r="C183" s="6" t="str">
        <x:v>SVC000182</x:v>
      </x:c>
      <x:c r="D183" s="6" t="str">
        <x:v>iPhone 17 Battery Replacement</x:v>
      </x:c>
      <x:c r="E183" s="6" t="str"/>
      <x:c r="F183" s="6" t="str"/>
      <x:c r="G183" s="6" t="str"/>
      <x:c r="H183" s="6" t="str"/>
      <x:c r="I183" s="6" t="str"/>
      <x:c r="J183" s="6" t="str"/>
      <x:c r="K183" s="6" t="str">
        <x:f>IF(J183="","No duplicate dependency",IFERROR(XLOOKUP(J183,'Duplicate Review Queue'!B2:B16,'Duplicate Review Queue'!J2:J16),"Dependency not found"))</x:f>
        <x:v>No duplicate dependency</x:v>
      </x:c>
      <x:c r="L183" s="6" t="str">
        <x:v>Unresolved</x:v>
      </x:c>
      <x:c r="M183" s="6" t="str"/>
      <x:c r="N183" s="7" t="str"/>
      <x:c r="O183" s="6" t="str"/>
      <x:c r="P183" s="6" t="str"/>
      <x:c r="Q183" s="6" t="str">
        <x:v>Pending</x:v>
      </x:c>
      <x:c r="R183" s="7" t="str">
        <x:f>IF(AND(J183&lt;&gt;"",K183="Unresolved"),"Duplicate dependency unresolved","")</x:f>
      </x:c>
      <x:c r="S183" s="6" t="str">
        <x:v>No</x:v>
      </x:c>
      <x:c r="T183" s="7" t="str"/>
    </x:row>
    <x:row r="184">
      <x:c r="A184" s="6" t="str">
        <x:v>SIDX-0183</x:v>
      </x:c>
      <x:c r="B184" s="6" t="str">
        <x:v>SIR-000183</x:v>
      </x:c>
      <x:c r="C184" s="6" t="str">
        <x:v>SVC000183</x:v>
      </x:c>
      <x:c r="D184" s="6" t="str">
        <x:v>iPhone 16 Plus Battery Replacement</x:v>
      </x:c>
      <x:c r="E184" s="6" t="str"/>
      <x:c r="F184" s="6" t="str"/>
      <x:c r="G184" s="6" t="str"/>
      <x:c r="H184" s="6" t="str"/>
      <x:c r="I184" s="6" t="str"/>
      <x:c r="J184" s="6" t="str"/>
      <x:c r="K184" s="6" t="str">
        <x:f>IF(J184="","No duplicate dependency",IFERROR(XLOOKUP(J184,'Duplicate Review Queue'!B2:B16,'Duplicate Review Queue'!J2:J16),"Dependency not found"))</x:f>
        <x:v>No duplicate dependency</x:v>
      </x:c>
      <x:c r="L184" s="6" t="str">
        <x:v>Unresolved</x:v>
      </x:c>
      <x:c r="M184" s="6" t="str"/>
      <x:c r="N184" s="7" t="str"/>
      <x:c r="O184" s="6" t="str"/>
      <x:c r="P184" s="6" t="str"/>
      <x:c r="Q184" s="6" t="str">
        <x:v>Pending</x:v>
      </x:c>
      <x:c r="R184" s="7" t="str">
        <x:f>IF(AND(J184&lt;&gt;"",K184="Unresolved"),"Duplicate dependency unresolved","")</x:f>
      </x:c>
      <x:c r="S184" s="6" t="str">
        <x:v>No</x:v>
      </x:c>
      <x:c r="T184" s="7" t="str"/>
    </x:row>
    <x:row r="185">
      <x:c r="A185" s="6" t="str">
        <x:v>SIDX-0184</x:v>
      </x:c>
      <x:c r="B185" s="6" t="str">
        <x:v>SIR-000184</x:v>
      </x:c>
      <x:c r="C185" s="6" t="str">
        <x:v>SVC000184</x:v>
      </x:c>
      <x:c r="D185" s="6" t="str">
        <x:v>iPhone 16 Pro Max Battery Replacement</x:v>
      </x:c>
      <x:c r="E185" s="6" t="str"/>
      <x:c r="F185" s="6" t="str"/>
      <x:c r="G185" s="6" t="str"/>
      <x:c r="H185" s="6" t="str"/>
      <x:c r="I185" s="6" t="str"/>
      <x:c r="J185" s="6" t="str"/>
      <x:c r="K185" s="6" t="str">
        <x:f>IF(J185="","No duplicate dependency",IFERROR(XLOOKUP(J185,'Duplicate Review Queue'!B2:B16,'Duplicate Review Queue'!J2:J16),"Dependency not found"))</x:f>
        <x:v>No duplicate dependency</x:v>
      </x:c>
      <x:c r="L185" s="6" t="str">
        <x:v>Unresolved</x:v>
      </x:c>
      <x:c r="M185" s="6" t="str"/>
      <x:c r="N185" s="7" t="str"/>
      <x:c r="O185" s="6" t="str"/>
      <x:c r="P185" s="6" t="str"/>
      <x:c r="Q185" s="6" t="str">
        <x:v>Pending</x:v>
      </x:c>
      <x:c r="R185" s="7" t="str">
        <x:f>IF(AND(J185&lt;&gt;"",K185="Unresolved"),"Duplicate dependency unresolved","")</x:f>
      </x:c>
      <x:c r="S185" s="6" t="str">
        <x:v>No</x:v>
      </x:c>
      <x:c r="T185" s="7" t="str"/>
    </x:row>
    <x:row r="186">
      <x:c r="A186" s="6" t="str">
        <x:v>SIDX-0185</x:v>
      </x:c>
      <x:c r="B186" s="6" t="str">
        <x:v>SIR-000185</x:v>
      </x:c>
      <x:c r="C186" s="6" t="str">
        <x:v>SVC000185</x:v>
      </x:c>
      <x:c r="D186" s="6" t="str">
        <x:v>iPhone 16 Battery Replacement</x:v>
      </x:c>
      <x:c r="E186" s="6" t="str"/>
      <x:c r="F186" s="6" t="str"/>
      <x:c r="G186" s="6" t="str"/>
      <x:c r="H186" s="6" t="str"/>
      <x:c r="I186" s="6" t="str"/>
      <x:c r="J186" s="6" t="str"/>
      <x:c r="K186" s="6" t="str">
        <x:f>IF(J186="","No duplicate dependency",IFERROR(XLOOKUP(J186,'Duplicate Review Queue'!B2:B16,'Duplicate Review Queue'!J2:J16),"Dependency not found"))</x:f>
        <x:v>No duplicate dependency</x:v>
      </x:c>
      <x:c r="L186" s="6" t="str">
        <x:v>Unresolved</x:v>
      </x:c>
      <x:c r="M186" s="6" t="str"/>
      <x:c r="N186" s="7" t="str"/>
      <x:c r="O186" s="6" t="str"/>
      <x:c r="P186" s="6" t="str"/>
      <x:c r="Q186" s="6" t="str">
        <x:v>Pending</x:v>
      </x:c>
      <x:c r="R186" s="7" t="str">
        <x:f>IF(AND(J186&lt;&gt;"",K186="Unresolved"),"Duplicate dependency unresolved","")</x:f>
      </x:c>
      <x:c r="S186" s="6" t="str">
        <x:v>No</x:v>
      </x:c>
      <x:c r="T186" s="7" t="str"/>
    </x:row>
    <x:row r="187">
      <x:c r="A187" s="6" t="str">
        <x:v>SIDX-0186</x:v>
      </x:c>
      <x:c r="B187" s="6" t="str">
        <x:v>SIR-000186</x:v>
      </x:c>
      <x:c r="C187" s="6" t="str">
        <x:v>SVC000186</x:v>
      </x:c>
      <x:c r="D187" s="6" t="str">
        <x:v>iPhone 15 Pro Max Battery Replacement</x:v>
      </x:c>
      <x:c r="E187" s="6" t="str"/>
      <x:c r="F187" s="6" t="str"/>
      <x:c r="G187" s="6" t="str"/>
      <x:c r="H187" s="6" t="str"/>
      <x:c r="I187" s="6" t="str"/>
      <x:c r="J187" s="6" t="str"/>
      <x:c r="K187" s="6" t="str">
        <x:f>IF(J187="","No duplicate dependency",IFERROR(XLOOKUP(J187,'Duplicate Review Queue'!B2:B16,'Duplicate Review Queue'!J2:J16),"Dependency not found"))</x:f>
        <x:v>No duplicate dependency</x:v>
      </x:c>
      <x:c r="L187" s="6" t="str">
        <x:v>Unresolved</x:v>
      </x:c>
      <x:c r="M187" s="6" t="str"/>
      <x:c r="N187" s="7" t="str"/>
      <x:c r="O187" s="6" t="str"/>
      <x:c r="P187" s="6" t="str"/>
      <x:c r="Q187" s="6" t="str">
        <x:v>Pending</x:v>
      </x:c>
      <x:c r="R187" s="7" t="str">
        <x:f>IF(AND(J187&lt;&gt;"",K187="Unresolved"),"Duplicate dependency unresolved","")</x:f>
      </x:c>
      <x:c r="S187" s="6" t="str">
        <x:v>No</x:v>
      </x:c>
      <x:c r="T187" s="7" t="str"/>
    </x:row>
    <x:row r="188">
      <x:c r="A188" s="6" t="str">
        <x:v>SIDX-0187</x:v>
      </x:c>
      <x:c r="B188" s="6" t="str">
        <x:v>SIR-000187</x:v>
      </x:c>
      <x:c r="C188" s="6" t="str">
        <x:v>SVC000187</x:v>
      </x:c>
      <x:c r="D188" s="6" t="str">
        <x:v>iPhone 15 Pro Phone Battery Replacement</x:v>
      </x:c>
      <x:c r="E188" s="6" t="str"/>
      <x:c r="F188" s="6" t="str"/>
      <x:c r="G188" s="6" t="str"/>
      <x:c r="H188" s="6" t="str"/>
      <x:c r="I188" s="6" t="str"/>
      <x:c r="J188" s="6" t="str"/>
      <x:c r="K188" s="6" t="str">
        <x:f>IF(J188="","No duplicate dependency",IFERROR(XLOOKUP(J188,'Duplicate Review Queue'!B2:B16,'Duplicate Review Queue'!J2:J16),"Dependency not found"))</x:f>
        <x:v>No duplicate dependency</x:v>
      </x:c>
      <x:c r="L188" s="6" t="str">
        <x:v>Unresolved</x:v>
      </x:c>
      <x:c r="M188" s="6" t="str"/>
      <x:c r="N188" s="7" t="str"/>
      <x:c r="O188" s="6" t="str"/>
      <x:c r="P188" s="6" t="str"/>
      <x:c r="Q188" s="6" t="str">
        <x:v>Pending</x:v>
      </x:c>
      <x:c r="R188" s="7" t="str">
        <x:f>IF(AND(J188&lt;&gt;"",K188="Unresolved"),"Duplicate dependency unresolved","")</x:f>
      </x:c>
      <x:c r="S188" s="6" t="str">
        <x:v>No</x:v>
      </x:c>
      <x:c r="T188" s="7" t="str"/>
    </x:row>
    <x:row r="189">
      <x:c r="A189" s="6" t="str">
        <x:v>SIDX-0188</x:v>
      </x:c>
      <x:c r="B189" s="6" t="str">
        <x:v>SIR-000188</x:v>
      </x:c>
      <x:c r="C189" s="6" t="str">
        <x:v>SVC000188</x:v>
      </x:c>
      <x:c r="D189" s="6" t="str">
        <x:v>iPhone 15 Plus Battery Replacement</x:v>
      </x:c>
      <x:c r="E189" s="6" t="str"/>
      <x:c r="F189" s="6" t="str"/>
      <x:c r="G189" s="6" t="str"/>
      <x:c r="H189" s="6" t="str"/>
      <x:c r="I189" s="6" t="str"/>
      <x:c r="J189" s="6" t="str"/>
      <x:c r="K189" s="6" t="str">
        <x:f>IF(J189="","No duplicate dependency",IFERROR(XLOOKUP(J189,'Duplicate Review Queue'!B2:B16,'Duplicate Review Queue'!J2:J16),"Dependency not found"))</x:f>
        <x:v>No duplicate dependency</x:v>
      </x:c>
      <x:c r="L189" s="6" t="str">
        <x:v>Unresolved</x:v>
      </x:c>
      <x:c r="M189" s="6" t="str"/>
      <x:c r="N189" s="7" t="str"/>
      <x:c r="O189" s="6" t="str"/>
      <x:c r="P189" s="6" t="str"/>
      <x:c r="Q189" s="6" t="str">
        <x:v>Pending</x:v>
      </x:c>
      <x:c r="R189" s="7" t="str">
        <x:f>IF(AND(J189&lt;&gt;"",K189="Unresolved"),"Duplicate dependency unresolved","")</x:f>
      </x:c>
      <x:c r="S189" s="6" t="str">
        <x:v>No</x:v>
      </x:c>
      <x:c r="T189" s="7" t="str"/>
    </x:row>
    <x:row r="190">
      <x:c r="A190" s="6" t="str">
        <x:v>SIDX-0189</x:v>
      </x:c>
      <x:c r="B190" s="6" t="str">
        <x:v>SIR-000189</x:v>
      </x:c>
      <x:c r="C190" s="6" t="str">
        <x:v>SVC000189</x:v>
      </x:c>
      <x:c r="D190" s="6" t="str">
        <x:v>iPhone 16 Pro Battery Replacement</x:v>
      </x:c>
      <x:c r="E190" s="6" t="str"/>
      <x:c r="F190" s="6" t="str"/>
      <x:c r="G190" s="6" t="str"/>
      <x:c r="H190" s="6" t="str"/>
      <x:c r="I190" s="6" t="str"/>
      <x:c r="J190" s="6" t="str"/>
      <x:c r="K190" s="6" t="str">
        <x:f>IF(J190="","No duplicate dependency",IFERROR(XLOOKUP(J190,'Duplicate Review Queue'!B2:B16,'Duplicate Review Queue'!J2:J16),"Dependency not found"))</x:f>
        <x:v>No duplicate dependency</x:v>
      </x:c>
      <x:c r="L190" s="6" t="str">
        <x:v>Unresolved</x:v>
      </x:c>
      <x:c r="M190" s="6" t="str"/>
      <x:c r="N190" s="7" t="str"/>
      <x:c r="O190" s="6" t="str"/>
      <x:c r="P190" s="6" t="str"/>
      <x:c r="Q190" s="6" t="str">
        <x:v>Pending</x:v>
      </x:c>
      <x:c r="R190" s="7" t="str">
        <x:f>IF(AND(J190&lt;&gt;"",K190="Unresolved"),"Duplicate dependency unresolved","")</x:f>
      </x:c>
      <x:c r="S190" s="6" t="str">
        <x:v>No</x:v>
      </x:c>
      <x:c r="T190" s="7" t="str"/>
    </x:row>
    <x:row r="191">
      <x:c r="A191" s="6" t="str">
        <x:v>SIDX-0190</x:v>
      </x:c>
      <x:c r="B191" s="6" t="str">
        <x:v>SIR-000190</x:v>
      </x:c>
      <x:c r="C191" s="6" t="str">
        <x:v>SVC000190</x:v>
      </x:c>
      <x:c r="D191" s="6" t="str">
        <x:v>iPhone 15 Battery Replacement</x:v>
      </x:c>
      <x:c r="E191" s="6" t="str"/>
      <x:c r="F191" s="6" t="str"/>
      <x:c r="G191" s="6" t="str"/>
      <x:c r="H191" s="6" t="str"/>
      <x:c r="I191" s="6" t="str"/>
      <x:c r="J191" s="6" t="str"/>
      <x:c r="K191" s="6" t="str">
        <x:f>IF(J191="","No duplicate dependency",IFERROR(XLOOKUP(J191,'Duplicate Review Queue'!B2:B16,'Duplicate Review Queue'!J2:J16),"Dependency not found"))</x:f>
        <x:v>No duplicate dependency</x:v>
      </x:c>
      <x:c r="L191" s="6" t="str">
        <x:v>Unresolved</x:v>
      </x:c>
      <x:c r="M191" s="6" t="str"/>
      <x:c r="N191" s="7" t="str"/>
      <x:c r="O191" s="6" t="str"/>
      <x:c r="P191" s="6" t="str"/>
      <x:c r="Q191" s="6" t="str">
        <x:v>Pending</x:v>
      </x:c>
      <x:c r="R191" s="7" t="str">
        <x:f>IF(AND(J191&lt;&gt;"",K191="Unresolved"),"Duplicate dependency unresolved","")</x:f>
      </x:c>
      <x:c r="S191" s="6" t="str">
        <x:v>No</x:v>
      </x:c>
      <x:c r="T191" s="7" t="str"/>
    </x:row>
    <x:row r="192">
      <x:c r="A192" s="6" t="str">
        <x:v>SIDX-0191</x:v>
      </x:c>
      <x:c r="B192" s="6" t="str">
        <x:v>SIR-000191</x:v>
      </x:c>
      <x:c r="C192" s="6" t="str">
        <x:v>SVC000191</x:v>
      </x:c>
      <x:c r="D192" s="6" t="str">
        <x:v>iPhone 14 Pro Battery Replacement</x:v>
      </x:c>
      <x:c r="E192" s="6" t="str"/>
      <x:c r="F192" s="6" t="str"/>
      <x:c r="G192" s="6" t="str"/>
      <x:c r="H192" s="6" t="str"/>
      <x:c r="I192" s="6" t="str"/>
      <x:c r="J192" s="6" t="str"/>
      <x:c r="K192" s="6" t="str">
        <x:f>IF(J192="","No duplicate dependency",IFERROR(XLOOKUP(J192,'Duplicate Review Queue'!B2:B16,'Duplicate Review Queue'!J2:J16),"Dependency not found"))</x:f>
        <x:v>No duplicate dependency</x:v>
      </x:c>
      <x:c r="L192" s="6" t="str">
        <x:v>Unresolved</x:v>
      </x:c>
      <x:c r="M192" s="6" t="str"/>
      <x:c r="N192" s="7" t="str"/>
      <x:c r="O192" s="6" t="str"/>
      <x:c r="P192" s="6" t="str"/>
      <x:c r="Q192" s="6" t="str">
        <x:v>Pending</x:v>
      </x:c>
      <x:c r="R192" s="7" t="str">
        <x:f>IF(AND(J192&lt;&gt;"",K192="Unresolved"),"Duplicate dependency unresolved","")</x:f>
      </x:c>
      <x:c r="S192" s="6" t="str">
        <x:v>No</x:v>
      </x:c>
      <x:c r="T192" s="7" t="str"/>
    </x:row>
    <x:row r="193">
      <x:c r="A193" s="6" t="str">
        <x:v>SIDX-0192</x:v>
      </x:c>
      <x:c r="B193" s="6" t="str">
        <x:v>SIR-000192</x:v>
      </x:c>
      <x:c r="C193" s="6" t="str">
        <x:v>SVC000192</x:v>
      </x:c>
      <x:c r="D193" s="6" t="str">
        <x:v>iPhone 17 Pro Battery Replacement</x:v>
      </x:c>
      <x:c r="E193" s="6" t="str"/>
      <x:c r="F193" s="6" t="str"/>
      <x:c r="G193" s="6" t="str"/>
      <x:c r="H193" s="6" t="str"/>
      <x:c r="I193" s="6" t="str"/>
      <x:c r="J193" s="6" t="str"/>
      <x:c r="K193" s="6" t="str">
        <x:f>IF(J193="","No duplicate dependency",IFERROR(XLOOKUP(J193,'Duplicate Review Queue'!B2:B16,'Duplicate Review Queue'!J2:J16),"Dependency not found"))</x:f>
        <x:v>No duplicate dependency</x:v>
      </x:c>
      <x:c r="L193" s="6" t="str">
        <x:v>Unresolved</x:v>
      </x:c>
      <x:c r="M193" s="6" t="str"/>
      <x:c r="N193" s="7" t="str"/>
      <x:c r="O193" s="6" t="str"/>
      <x:c r="P193" s="6" t="str"/>
      <x:c r="Q193" s="6" t="str">
        <x:v>Pending</x:v>
      </x:c>
      <x:c r="R193" s="7" t="str">
        <x:f>IF(AND(J193&lt;&gt;"",K193="Unresolved"),"Duplicate dependency unresolved","")</x:f>
      </x:c>
      <x:c r="S193" s="6" t="str">
        <x:v>No</x:v>
      </x:c>
      <x:c r="T193" s="7" t="str"/>
    </x:row>
    <x:row r="194">
      <x:c r="A194" s="6" t="str">
        <x:v>SIDX-0193</x:v>
      </x:c>
      <x:c r="B194" s="6" t="str">
        <x:v>SIR-000193</x:v>
      </x:c>
      <x:c r="C194" s="6" t="str">
        <x:v>SVC000193</x:v>
      </x:c>
      <x:c r="D194" s="6" t="str">
        <x:v>iPhone 17 Pro Max Phone* Battery Replacement</x:v>
      </x:c>
      <x:c r="E194" s="6" t="str"/>
      <x:c r="F194" s="6" t="str"/>
      <x:c r="G194" s="6" t="str"/>
      <x:c r="H194" s="6" t="str"/>
      <x:c r="I194" s="6" t="str"/>
      <x:c r="J194" s="6" t="str"/>
      <x:c r="K194" s="6" t="str">
        <x:f>IF(J194="","No duplicate dependency",IFERROR(XLOOKUP(J194,'Duplicate Review Queue'!B2:B16,'Duplicate Review Queue'!J2:J16),"Dependency not found"))</x:f>
        <x:v>No duplicate dependency</x:v>
      </x:c>
      <x:c r="L194" s="6" t="str">
        <x:v>Unresolved</x:v>
      </x:c>
      <x:c r="M194" s="6" t="str"/>
      <x:c r="N194" s="7" t="str"/>
      <x:c r="O194" s="6" t="str"/>
      <x:c r="P194" s="6" t="str"/>
      <x:c r="Q194" s="6" t="str">
        <x:v>Pending</x:v>
      </x:c>
      <x:c r="R194" s="7" t="str">
        <x:f>IF(AND(J194&lt;&gt;"",K194="Unresolved"),"Duplicate dependency unresolved","")</x:f>
      </x:c>
      <x:c r="S194" s="6" t="str">
        <x:v>No</x:v>
      </x:c>
      <x:c r="T194" s="7" t="str"/>
    </x:row>
    <x:row r="195">
      <x:c r="A195" s="6" t="str">
        <x:v>SIDX-0194</x:v>
      </x:c>
      <x:c r="B195" s="6" t="str">
        <x:v>SIR-000194</x:v>
      </x:c>
      <x:c r="C195" s="6" t="str">
        <x:v>SVC000194</x:v>
      </x:c>
      <x:c r="D195" s="6" t="str">
        <x:v>iPhone Air Battery Replacement</x:v>
      </x:c>
      <x:c r="E195" s="6" t="str"/>
      <x:c r="F195" s="6" t="str"/>
      <x:c r="G195" s="6" t="str"/>
      <x:c r="H195" s="6" t="str"/>
      <x:c r="I195" s="6" t="str"/>
      <x:c r="J195" s="6" t="str"/>
      <x:c r="K195" s="6" t="str">
        <x:f>IF(J195="","No duplicate dependency",IFERROR(XLOOKUP(J195,'Duplicate Review Queue'!B2:B16,'Duplicate Review Queue'!J2:J16),"Dependency not found"))</x:f>
        <x:v>No duplicate dependency</x:v>
      </x:c>
      <x:c r="L195" s="6" t="str">
        <x:v>Unresolved</x:v>
      </x:c>
      <x:c r="M195" s="6" t="str"/>
      <x:c r="N195" s="7" t="str"/>
      <x:c r="O195" s="6" t="str"/>
      <x:c r="P195" s="6" t="str"/>
      <x:c r="Q195" s="6" t="str">
        <x:v>Pending</x:v>
      </x:c>
      <x:c r="R195" s="7" t="str">
        <x:f>IF(AND(J195&lt;&gt;"",K195="Unresolved"),"Duplicate dependency unresolved","")</x:f>
      </x:c>
      <x:c r="S195" s="6" t="str">
        <x:v>No</x:v>
      </x:c>
      <x:c r="T195" s="7" t="str"/>
    </x:row>
    <x:row r="196">
      <x:c r="A196" s="6" t="str">
        <x:v>SIDX-0195</x:v>
      </x:c>
      <x:c r="B196" s="6" t="str">
        <x:v>SIR-000195</x:v>
      </x:c>
      <x:c r="C196" s="6" t="str">
        <x:v>SVC000195</x:v>
      </x:c>
      <x:c r="D196" s="6" t="str">
        <x:v>iPhone XR Battery Replacement</x:v>
      </x:c>
      <x:c r="E196" s="6" t="str"/>
      <x:c r="F196" s="6" t="str"/>
      <x:c r="G196" s="6" t="str"/>
      <x:c r="H196" s="6" t="str"/>
      <x:c r="I196" s="6" t="str"/>
      <x:c r="J196" s="6" t="str"/>
      <x:c r="K196" s="6" t="str">
        <x:f>IF(J196="","No duplicate dependency",IFERROR(XLOOKUP(J196,'Duplicate Review Queue'!B2:B16,'Duplicate Review Queue'!J2:J16),"Dependency not found"))</x:f>
        <x:v>No duplicate dependency</x:v>
      </x:c>
      <x:c r="L196" s="6" t="str">
        <x:v>Unresolved</x:v>
      </x:c>
      <x:c r="M196" s="6" t="str"/>
      <x:c r="N196" s="7" t="str"/>
      <x:c r="O196" s="6" t="str"/>
      <x:c r="P196" s="6" t="str"/>
      <x:c r="Q196" s="6" t="str">
        <x:v>Pending</x:v>
      </x:c>
      <x:c r="R196" s="7" t="str">
        <x:f>IF(AND(J196&lt;&gt;"",K196="Unresolved"),"Duplicate dependency unresolved","")</x:f>
      </x:c>
      <x:c r="S196" s="6" t="str">
        <x:v>No</x:v>
      </x:c>
      <x:c r="T196" s="7" t="str"/>
    </x:row>
    <x:row r="197">
      <x:c r="A197" s="6" t="str">
        <x:v>SIDX-0196</x:v>
      </x:c>
      <x:c r="B197" s="6" t="str">
        <x:v>SIR-000196</x:v>
      </x:c>
      <x:c r="C197" s="6" t="str">
        <x:v>SVC000196</x:v>
      </x:c>
      <x:c r="D197" s="6" t="str">
        <x:v>iPhone XS Max Battery Replacement</x:v>
      </x:c>
      <x:c r="E197" s="6" t="str"/>
      <x:c r="F197" s="6" t="str"/>
      <x:c r="G197" s="6" t="str"/>
      <x:c r="H197" s="6" t="str"/>
      <x:c r="I197" s="6" t="str"/>
      <x:c r="J197" s="6" t="str"/>
      <x:c r="K197" s="6" t="str">
        <x:f>IF(J197="","No duplicate dependency",IFERROR(XLOOKUP(J197,'Duplicate Review Queue'!B2:B16,'Duplicate Review Queue'!J2:J16),"Dependency not found"))</x:f>
        <x:v>No duplicate dependency</x:v>
      </x:c>
      <x:c r="L197" s="6" t="str">
        <x:v>Unresolved</x:v>
      </x:c>
      <x:c r="M197" s="6" t="str"/>
      <x:c r="N197" s="7" t="str"/>
      <x:c r="O197" s="6" t="str"/>
      <x:c r="P197" s="6" t="str"/>
      <x:c r="Q197" s="6" t="str">
        <x:v>Pending</x:v>
      </x:c>
      <x:c r="R197" s="7" t="str">
        <x:f>IF(AND(J197&lt;&gt;"",K197="Unresolved"),"Duplicate dependency unresolved","")</x:f>
      </x:c>
      <x:c r="S197" s="6" t="str">
        <x:v>No</x:v>
      </x:c>
      <x:c r="T197" s="7" t="str"/>
    </x:row>
    <x:row r="198">
      <x:c r="A198" s="6" t="str">
        <x:v>SIDX-0197</x:v>
      </x:c>
      <x:c r="B198" s="6" t="str">
        <x:v>SIR-000197</x:v>
      </x:c>
      <x:c r="C198" s="6" t="str">
        <x:v>SVC000197</x:v>
      </x:c>
      <x:c r="D198" s="6" t="str">
        <x:v>iPhone X Battery Replacement</x:v>
      </x:c>
      <x:c r="E198" s="6" t="str"/>
      <x:c r="F198" s="6" t="str"/>
      <x:c r="G198" s="6" t="str"/>
      <x:c r="H198" s="6" t="str"/>
      <x:c r="I198" s="6" t="str"/>
      <x:c r="J198" s="6" t="str"/>
      <x:c r="K198" s="6" t="str">
        <x:f>IF(J198="","No duplicate dependency",IFERROR(XLOOKUP(J198,'Duplicate Review Queue'!B2:B16,'Duplicate Review Queue'!J2:J16),"Dependency not found"))</x:f>
        <x:v>No duplicate dependency</x:v>
      </x:c>
      <x:c r="L198" s="6" t="str">
        <x:v>Unresolved</x:v>
      </x:c>
      <x:c r="M198" s="6" t="str"/>
      <x:c r="N198" s="7" t="str"/>
      <x:c r="O198" s="6" t="str"/>
      <x:c r="P198" s="6" t="str"/>
      <x:c r="Q198" s="6" t="str">
        <x:v>Pending</x:v>
      </x:c>
      <x:c r="R198" s="7" t="str">
        <x:f>IF(AND(J198&lt;&gt;"",K198="Unresolved"),"Duplicate dependency unresolved","")</x:f>
      </x:c>
      <x:c r="S198" s="6" t="str">
        <x:v>No</x:v>
      </x:c>
      <x:c r="T198" s="7" t="str"/>
    </x:row>
    <x:row r="199">
      <x:c r="A199" s="6" t="str">
        <x:v>SIDX-0198</x:v>
      </x:c>
      <x:c r="B199" s="6" t="str">
        <x:v>SIR-000198</x:v>
      </x:c>
      <x:c r="C199" s="6" t="str">
        <x:v>SVC000198</x:v>
      </x:c>
      <x:c r="D199" s="6" t="str">
        <x:v>iPhone SE(1ST GEN) Battery Replacement</x:v>
      </x:c>
      <x:c r="E199" s="6" t="str"/>
      <x:c r="F199" s="6" t="str"/>
      <x:c r="G199" s="6" t="str"/>
      <x:c r="H199" s="6" t="str"/>
      <x:c r="I199" s="6" t="str"/>
      <x:c r="J199" s="6" t="str"/>
      <x:c r="K199" s="6" t="str">
        <x:f>IF(J199="","No duplicate dependency",IFERROR(XLOOKUP(J199,'Duplicate Review Queue'!B2:B16,'Duplicate Review Queue'!J2:J16),"Dependency not found"))</x:f>
        <x:v>No duplicate dependency</x:v>
      </x:c>
      <x:c r="L199" s="6" t="str">
        <x:v>Unresolved</x:v>
      </x:c>
      <x:c r="M199" s="6" t="str"/>
      <x:c r="N199" s="7" t="str"/>
      <x:c r="O199" s="6" t="str"/>
      <x:c r="P199" s="6" t="str"/>
      <x:c r="Q199" s="6" t="str">
        <x:v>Pending</x:v>
      </x:c>
      <x:c r="R199" s="7" t="str">
        <x:f>IF(AND(J199&lt;&gt;"",K199="Unresolved"),"Duplicate dependency unresolved","")</x:f>
      </x:c>
      <x:c r="S199" s="6" t="str">
        <x:v>No</x:v>
      </x:c>
      <x:c r="T199" s="7" t="str"/>
    </x:row>
    <x:row r="200">
      <x:c r="A200" s="6" t="str">
        <x:v>SIDX-0199</x:v>
      </x:c>
      <x:c r="B200" s="6" t="str">
        <x:v>SIR-000199</x:v>
      </x:c>
      <x:c r="C200" s="6" t="str">
        <x:v>SVC000199</x:v>
      </x:c>
      <x:c r="D200" s="6" t="str">
        <x:v>iPhone XS Battery Replacement</x:v>
      </x:c>
      <x:c r="E200" s="6" t="str"/>
      <x:c r="F200" s="6" t="str"/>
      <x:c r="G200" s="6" t="str"/>
      <x:c r="H200" s="6" t="str"/>
      <x:c r="I200" s="6" t="str"/>
      <x:c r="J200" s="6" t="str"/>
      <x:c r="K200" s="6" t="str">
        <x:f>IF(J200="","No duplicate dependency",IFERROR(XLOOKUP(J200,'Duplicate Review Queue'!B2:B16,'Duplicate Review Queue'!J2:J16),"Dependency not found"))</x:f>
        <x:v>No duplicate dependency</x:v>
      </x:c>
      <x:c r="L200" s="6" t="str">
        <x:v>Unresolved</x:v>
      </x:c>
      <x:c r="M200" s="6" t="str"/>
      <x:c r="N200" s="7" t="str"/>
      <x:c r="O200" s="6" t="str"/>
      <x:c r="P200" s="6" t="str"/>
      <x:c r="Q200" s="6" t="str">
        <x:v>Pending</x:v>
      </x:c>
      <x:c r="R200" s="7" t="str">
        <x:f>IF(AND(J200&lt;&gt;"",K200="Unresolved"),"Duplicate dependency unresolved","")</x:f>
      </x:c>
      <x:c r="S200" s="6" t="str">
        <x:v>No</x:v>
      </x:c>
      <x:c r="T200" s="7" t="str"/>
    </x:row>
    <x:row r="201">
      <x:c r="A201" s="6" t="str">
        <x:v>SIDX-0200</x:v>
      </x:c>
      <x:c r="B201" s="6" t="str">
        <x:v>SIR-000200</x:v>
      </x:c>
      <x:c r="C201" s="6" t="str">
        <x:v>SVC000200</x:v>
      </x:c>
      <x:c r="D201" s="6" t="str">
        <x:v>iPhone SE (3RD GEN) Battery Replacement</x:v>
      </x:c>
      <x:c r="E201" s="6" t="str"/>
      <x:c r="F201" s="6" t="str"/>
      <x:c r="G201" s="6" t="str"/>
      <x:c r="H201" s="6" t="str"/>
      <x:c r="I201" s="6" t="str"/>
      <x:c r="J201" s="6" t="str"/>
      <x:c r="K201" s="6" t="str">
        <x:f>IF(J201="","No duplicate dependency",IFERROR(XLOOKUP(J201,'Duplicate Review Queue'!B2:B16,'Duplicate Review Queue'!J2:J16),"Dependency not found"))</x:f>
        <x:v>No duplicate dependency</x:v>
      </x:c>
      <x:c r="L201" s="6" t="str">
        <x:v>Unresolved</x:v>
      </x:c>
      <x:c r="M201" s="6" t="str"/>
      <x:c r="N201" s="7" t="str"/>
      <x:c r="O201" s="6" t="str"/>
      <x:c r="P201" s="6" t="str"/>
      <x:c r="Q201" s="6" t="str">
        <x:v>Pending</x:v>
      </x:c>
      <x:c r="R201" s="7" t="str">
        <x:f>IF(AND(J201&lt;&gt;"",K201="Unresolved"),"Duplicate dependency unresolved","")</x:f>
      </x:c>
      <x:c r="S201" s="6" t="str">
        <x:v>No</x:v>
      </x:c>
      <x:c r="T201" s="7" t="str"/>
    </x:row>
    <x:row r="202">
      <x:c r="A202" s="6" t="str">
        <x:v>SIDX-0201</x:v>
      </x:c>
      <x:c r="B202" s="6" t="str">
        <x:v>SIR-000201</x:v>
      </x:c>
      <x:c r="C202" s="6" t="str">
        <x:v>SVC000201</x:v>
      </x:c>
      <x:c r="D202" s="6" t="str">
        <x:v>iPhone SE (2ND GEN) Battery Replacement</x:v>
      </x:c>
      <x:c r="E202" s="6" t="str"/>
      <x:c r="F202" s="6" t="str"/>
      <x:c r="G202" s="6" t="str"/>
      <x:c r="H202" s="6" t="str"/>
      <x:c r="I202" s="6" t="str"/>
      <x:c r="J202" s="6" t="str"/>
      <x:c r="K202" s="6" t="str">
        <x:f>IF(J202="","No duplicate dependency",IFERROR(XLOOKUP(J202,'Duplicate Review Queue'!B2:B16,'Duplicate Review Queue'!J2:J16),"Dependency not found"))</x:f>
        <x:v>No duplicate dependency</x:v>
      </x:c>
      <x:c r="L202" s="6" t="str">
        <x:v>Unresolved</x:v>
      </x:c>
      <x:c r="M202" s="6" t="str"/>
      <x:c r="N202" s="7" t="str"/>
      <x:c r="O202" s="6" t="str"/>
      <x:c r="P202" s="6" t="str"/>
      <x:c r="Q202" s="6" t="str">
        <x:v>Pending</x:v>
      </x:c>
      <x:c r="R202" s="7" t="str">
        <x:f>IF(AND(J202&lt;&gt;"",K202="Unresolved"),"Duplicate dependency unresolved","")</x:f>
      </x:c>
      <x:c r="S202" s="6" t="str">
        <x:v>No</x:v>
      </x:c>
      <x:c r="T202" s="7" t="str"/>
    </x:row>
    <x:row r="203">
      <x:c r="A203" s="6" t="str">
        <x:v>SIDX-0202</x:v>
      </x:c>
      <x:c r="B203" s="6" t="str">
        <x:v>SIR-000202</x:v>
      </x:c>
      <x:c r="C203" s="6" t="str">
        <x:v>SVC000202</x:v>
      </x:c>
      <x:c r="D203" s="6" t="str">
        <x:v>iPhone 7 Battery Replacement</x:v>
      </x:c>
      <x:c r="E203" s="6" t="str"/>
      <x:c r="F203" s="6" t="str"/>
      <x:c r="G203" s="6" t="str"/>
      <x:c r="H203" s="6" t="str"/>
      <x:c r="I203" s="6" t="str"/>
      <x:c r="J203" s="6" t="str">
        <x:v>DUP000006</x:v>
      </x:c>
      <x:c r="K203" s="6" t="str">
        <x:f>IF(J203="","No duplicate dependency",IFERROR(XLOOKUP(J203,'Duplicate Review Queue'!B2:B16,'Duplicate Review Queue'!J2:J16),"Dependency not found"))</x:f>
        <x:v>Unresolved</x:v>
      </x:c>
      <x:c r="L203" s="6" t="str">
        <x:v>Unresolved</x:v>
      </x:c>
      <x:c r="M203" s="6" t="str"/>
      <x:c r="N203" s="7" t="str"/>
      <x:c r="O203" s="6" t="str"/>
      <x:c r="P203" s="6" t="str"/>
      <x:c r="Q203" s="6" t="str">
        <x:v>Pending</x:v>
      </x:c>
      <x:c r="R203" s="7" t="str">
        <x:f>IF(AND(J203&lt;&gt;"",K203="Unresolved"),"Duplicate dependency unresolved","")</x:f>
        <x:v>Duplicate dependency unresolved</x:v>
      </x:c>
      <x:c r="S203" s="6" t="str">
        <x:v>Yes</x:v>
      </x:c>
      <x:c r="T203" s="7" t="str"/>
    </x:row>
    <x:row r="204">
      <x:c r="A204" s="6" t="str">
        <x:v>SIDX-0203</x:v>
      </x:c>
      <x:c r="B204" s="6" t="str">
        <x:v>SIR-000203</x:v>
      </x:c>
      <x:c r="C204" s="6" t="str">
        <x:v>SVC000203</x:v>
      </x:c>
      <x:c r="D204" s="6" t="str">
        <x:v>iPhone 4S Battery Replacement</x:v>
      </x:c>
      <x:c r="E204" s="6" t="str"/>
      <x:c r="F204" s="6" t="str"/>
      <x:c r="G204" s="6" t="str"/>
      <x:c r="H204" s="6" t="str"/>
      <x:c r="I204" s="6" t="str"/>
      <x:c r="J204" s="6" t="str">
        <x:v>DUP000007</x:v>
      </x:c>
      <x:c r="K204" s="6" t="str">
        <x:f>IF(J204="","No duplicate dependency",IFERROR(XLOOKUP(J204,'Duplicate Review Queue'!B2:B16,'Duplicate Review Queue'!J2:J16),"Dependency not found"))</x:f>
        <x:v>Unresolved</x:v>
      </x:c>
      <x:c r="L204" s="6" t="str">
        <x:v>Unresolved</x:v>
      </x:c>
      <x:c r="M204" s="6" t="str"/>
      <x:c r="N204" s="7" t="str"/>
      <x:c r="O204" s="6" t="str"/>
      <x:c r="P204" s="6" t="str"/>
      <x:c r="Q204" s="6" t="str">
        <x:v>Pending</x:v>
      </x:c>
      <x:c r="R204" s="7" t="str">
        <x:f>IF(AND(J204&lt;&gt;"",K204="Unresolved"),"Duplicate dependency unresolved","")</x:f>
        <x:v>Duplicate dependency unresolved</x:v>
      </x:c>
      <x:c r="S204" s="6" t="str">
        <x:v>Yes</x:v>
      </x:c>
      <x:c r="T204" s="7" t="str"/>
    </x:row>
    <x:row r="205">
      <x:c r="A205" s="6" t="str">
        <x:v>SIDX-0204</x:v>
      </x:c>
      <x:c r="B205" s="6" t="str">
        <x:v>SIR-000204</x:v>
      </x:c>
      <x:c r="C205" s="6" t="str">
        <x:v>SVC000204</x:v>
      </x:c>
      <x:c r="D205" s="6" t="str">
        <x:v>iPhone 4S Battery Replacement</x:v>
      </x:c>
      <x:c r="E205" s="6" t="str"/>
      <x:c r="F205" s="6" t="str"/>
      <x:c r="G205" s="6" t="str"/>
      <x:c r="H205" s="6" t="str"/>
      <x:c r="I205" s="6" t="str"/>
      <x:c r="J205" s="6" t="str">
        <x:v>DUP000007</x:v>
      </x:c>
      <x:c r="K205" s="6" t="str">
        <x:f>IF(J205="","No duplicate dependency",IFERROR(XLOOKUP(J205,'Duplicate Review Queue'!B2:B16,'Duplicate Review Queue'!J2:J16),"Dependency not found"))</x:f>
        <x:v>Unresolved</x:v>
      </x:c>
      <x:c r="L205" s="6" t="str">
        <x:v>Unresolved</x:v>
      </x:c>
      <x:c r="M205" s="6" t="str"/>
      <x:c r="N205" s="7" t="str"/>
      <x:c r="O205" s="6" t="str"/>
      <x:c r="P205" s="6" t="str"/>
      <x:c r="Q205" s="6" t="str">
        <x:v>Pending</x:v>
      </x:c>
      <x:c r="R205" s="7" t="str">
        <x:f>IF(AND(J205&lt;&gt;"",K205="Unresolved"),"Duplicate dependency unresolved","")</x:f>
        <x:v>Duplicate dependency unresolved</x:v>
      </x:c>
      <x:c r="S205" s="6" t="str">
        <x:v>Yes</x:v>
      </x:c>
      <x:c r="T205" s="7" t="str"/>
    </x:row>
    <x:row r="206">
      <x:c r="A206" s="6" t="str">
        <x:v>SIDX-0205</x:v>
      </x:c>
      <x:c r="B206" s="6" t="str">
        <x:v>SIR-000205</x:v>
      </x:c>
      <x:c r="C206" s="6" t="str">
        <x:v>SVC000205</x:v>
      </x:c>
      <x:c r="D206" s="6" t="str">
        <x:v>Galaxy S 25 FE Battery Replacement</x:v>
      </x:c>
      <x:c r="E206" s="6" t="str"/>
      <x:c r="F206" s="6" t="str"/>
      <x:c r="G206" s="6" t="str"/>
      <x:c r="H206" s="6" t="str"/>
      <x:c r="I206" s="6" t="str"/>
      <x:c r="J206" s="6" t="str"/>
      <x:c r="K206" s="6" t="str">
        <x:f>IF(J206="","No duplicate dependency",IFERROR(XLOOKUP(J206,'Duplicate Review Queue'!B2:B16,'Duplicate Review Queue'!J2:J16),"Dependency not found"))</x:f>
        <x:v>No duplicate dependency</x:v>
      </x:c>
      <x:c r="L206" s="6" t="str">
        <x:v>Unresolved</x:v>
      </x:c>
      <x:c r="M206" s="6" t="str"/>
      <x:c r="N206" s="7" t="str"/>
      <x:c r="O206" s="6" t="str"/>
      <x:c r="P206" s="6" t="str"/>
      <x:c r="Q206" s="6" t="str">
        <x:v>Pending</x:v>
      </x:c>
      <x:c r="R206" s="7" t="str">
        <x:f>IF(AND(J206&lt;&gt;"",K206="Unresolved"),"Duplicate dependency unresolved","")</x:f>
      </x:c>
      <x:c r="S206" s="6" t="str">
        <x:v>No</x:v>
      </x:c>
      <x:c r="T206" s="7" t="str"/>
    </x:row>
    <x:row r="207">
      <x:c r="A207" s="6" t="str">
        <x:v>SIDX-0206</x:v>
      </x:c>
      <x:c r="B207" s="6" t="str">
        <x:v>SIR-000206</x:v>
      </x:c>
      <x:c r="C207" s="6" t="str">
        <x:v>SVC000206</x:v>
      </x:c>
      <x:c r="D207" s="6" t="str">
        <x:v>iPhone 6 Battery Replacement</x:v>
      </x:c>
      <x:c r="E207" s="6" t="str"/>
      <x:c r="F207" s="6" t="str"/>
      <x:c r="G207" s="6" t="str"/>
      <x:c r="H207" s="6" t="str"/>
      <x:c r="I207" s="6" t="str"/>
      <x:c r="J207" s="6" t="str">
        <x:v>DUP000010</x:v>
      </x:c>
      <x:c r="K207" s="6" t="str">
        <x:f>IF(J207="","No duplicate dependency",IFERROR(XLOOKUP(J207,'Duplicate Review Queue'!B2:B16,'Duplicate Review Queue'!J2:J16),"Dependency not found"))</x:f>
        <x:v>Unresolved</x:v>
      </x:c>
      <x:c r="L207" s="6" t="str">
        <x:v>Unresolved</x:v>
      </x:c>
      <x:c r="M207" s="6" t="str"/>
      <x:c r="N207" s="7" t="str"/>
      <x:c r="O207" s="6" t="str"/>
      <x:c r="P207" s="6" t="str"/>
      <x:c r="Q207" s="6" t="str">
        <x:v>Pending</x:v>
      </x:c>
      <x:c r="R207" s="7" t="str">
        <x:f>IF(AND(J207&lt;&gt;"",K207="Unresolved"),"Duplicate dependency unresolved","")</x:f>
        <x:v>Duplicate dependency unresolved</x:v>
      </x:c>
      <x:c r="S207" s="6" t="str">
        <x:v>Yes</x:v>
      </x:c>
      <x:c r="T207" s="7" t="str"/>
    </x:row>
    <x:row r="208">
      <x:c r="A208" s="6" t="str">
        <x:v>SIDX-0207</x:v>
      </x:c>
      <x:c r="B208" s="6" t="str">
        <x:v>SIR-000207</x:v>
      </x:c>
      <x:c r="C208" s="6" t="str">
        <x:v>SVC000207</x:v>
      </x:c>
      <x:c r="D208" s="6" t="str">
        <x:v>iPhone 6 Battery Replacement</x:v>
      </x:c>
      <x:c r="E208" s="6" t="str"/>
      <x:c r="F208" s="6" t="str"/>
      <x:c r="G208" s="6" t="str"/>
      <x:c r="H208" s="6" t="str"/>
      <x:c r="I208" s="6" t="str"/>
      <x:c r="J208" s="6" t="str">
        <x:v>DUP000010</x:v>
      </x:c>
      <x:c r="K208" s="6" t="str">
        <x:f>IF(J208="","No duplicate dependency",IFERROR(XLOOKUP(J208,'Duplicate Review Queue'!B2:B16,'Duplicate Review Queue'!J2:J16),"Dependency not found"))</x:f>
        <x:v>Unresolved</x:v>
      </x:c>
      <x:c r="L208" s="6" t="str">
        <x:v>Unresolved</x:v>
      </x:c>
      <x:c r="M208" s="6" t="str"/>
      <x:c r="N208" s="7" t="str"/>
      <x:c r="O208" s="6" t="str"/>
      <x:c r="P208" s="6" t="str"/>
      <x:c r="Q208" s="6" t="str">
        <x:v>Pending</x:v>
      </x:c>
      <x:c r="R208" s="7" t="str">
        <x:f>IF(AND(J208&lt;&gt;"",K208="Unresolved"),"Duplicate dependency unresolved","")</x:f>
        <x:v>Duplicate dependency unresolved</x:v>
      </x:c>
      <x:c r="S208" s="6" t="str">
        <x:v>Yes</x:v>
      </x:c>
      <x:c r="T208" s="7" t="str"/>
    </x:row>
    <x:row r="209">
      <x:c r="A209" s="6" t="str">
        <x:v>SIDX-0208</x:v>
      </x:c>
      <x:c r="B209" s="6" t="str">
        <x:v>SIR-000208</x:v>
      </x:c>
      <x:c r="C209" s="6" t="str">
        <x:v>SVC000208</x:v>
      </x:c>
      <x:c r="D209" s="6" t="str">
        <x:v>Galaxy Note 8 Battery Replacement</x:v>
      </x:c>
      <x:c r="E209" s="6" t="str"/>
      <x:c r="F209" s="6" t="str"/>
      <x:c r="G209" s="6" t="str"/>
      <x:c r="H209" s="6" t="str"/>
      <x:c r="I209" s="6" t="str"/>
      <x:c r="J209" s="6" t="str"/>
      <x:c r="K209" s="6" t="str">
        <x:f>IF(J209="","No duplicate dependency",IFERROR(XLOOKUP(J209,'Duplicate Review Queue'!B2:B16,'Duplicate Review Queue'!J2:J16),"Dependency not found"))</x:f>
        <x:v>No duplicate dependency</x:v>
      </x:c>
      <x:c r="L209" s="6" t="str">
        <x:v>Unresolved</x:v>
      </x:c>
      <x:c r="M209" s="6" t="str"/>
      <x:c r="N209" s="7" t="str"/>
      <x:c r="O209" s="6" t="str"/>
      <x:c r="P209" s="6" t="str"/>
      <x:c r="Q209" s="6" t="str">
        <x:v>Pending</x:v>
      </x:c>
      <x:c r="R209" s="7" t="str">
        <x:f>IF(AND(J209&lt;&gt;"",K209="Unresolved"),"Duplicate dependency unresolved","")</x:f>
      </x:c>
      <x:c r="S209" s="6" t="str">
        <x:v>No</x:v>
      </x:c>
      <x:c r="T209" s="7" t="str"/>
    </x:row>
    <x:row r="210">
      <x:c r="A210" s="6" t="str">
        <x:v>SIDX-0209</x:v>
      </x:c>
      <x:c r="B210" s="6" t="str">
        <x:v>SIR-000209</x:v>
      </x:c>
      <x:c r="C210" s="6" t="str">
        <x:v>SVC000209</x:v>
      </x:c>
      <x:c r="D210" s="6" t="str">
        <x:v>Galaxy S 22 Battery Replacement</x:v>
      </x:c>
      <x:c r="E210" s="6" t="str"/>
      <x:c r="F210" s="6" t="str"/>
      <x:c r="G210" s="6" t="str"/>
      <x:c r="H210" s="6" t="str"/>
      <x:c r="I210" s="6" t="str"/>
      <x:c r="J210" s="6" t="str"/>
      <x:c r="K210" s="6" t="str">
        <x:f>IF(J210="","No duplicate dependency",IFERROR(XLOOKUP(J210,'Duplicate Review Queue'!B2:B16,'Duplicate Review Queue'!J2:J16),"Dependency not found"))</x:f>
        <x:v>No duplicate dependency</x:v>
      </x:c>
      <x:c r="L210" s="6" t="str">
        <x:v>Unresolved</x:v>
      </x:c>
      <x:c r="M210" s="6" t="str"/>
      <x:c r="N210" s="7" t="str"/>
      <x:c r="O210" s="6" t="str"/>
      <x:c r="P210" s="6" t="str"/>
      <x:c r="Q210" s="6" t="str">
        <x:v>Pending</x:v>
      </x:c>
      <x:c r="R210" s="7" t="str">
        <x:f>IF(AND(J210&lt;&gt;"",K210="Unresolved"),"Duplicate dependency unresolved","")</x:f>
      </x:c>
      <x:c r="S210" s="6" t="str">
        <x:v>No</x:v>
      </x:c>
      <x:c r="T210" s="7" t="str"/>
    </x:row>
    <x:row r="211">
      <x:c r="A211" s="6" t="str">
        <x:v>SIDX-0210</x:v>
      </x:c>
      <x:c r="B211" s="6" t="str">
        <x:v>SIR-000210</x:v>
      </x:c>
      <x:c r="C211" s="6" t="str">
        <x:v>SVC000210</x:v>
      </x:c>
      <x:c r="D211" s="6" t="str">
        <x:v>iPhone 3G Battery Replacement</x:v>
      </x:c>
      <x:c r="E211" s="6" t="str"/>
      <x:c r="F211" s="6" t="str"/>
      <x:c r="G211" s="6" t="str"/>
      <x:c r="H211" s="6" t="str"/>
      <x:c r="I211" s="6" t="str"/>
      <x:c r="J211" s="6" t="str"/>
      <x:c r="K211" s="6" t="str">
        <x:f>IF(J211="","No duplicate dependency",IFERROR(XLOOKUP(J211,'Duplicate Review Queue'!B2:B16,'Duplicate Review Queue'!J2:J16),"Dependency not found"))</x:f>
        <x:v>No duplicate dependency</x:v>
      </x:c>
      <x:c r="L211" s="6" t="str">
        <x:v>Unresolved</x:v>
      </x:c>
      <x:c r="M211" s="6" t="str"/>
      <x:c r="N211" s="7" t="str"/>
      <x:c r="O211" s="6" t="str"/>
      <x:c r="P211" s="6" t="str"/>
      <x:c r="Q211" s="6" t="str">
        <x:v>Pending</x:v>
      </x:c>
      <x:c r="R211" s="7" t="str">
        <x:f>IF(AND(J211&lt;&gt;"",K211="Unresolved"),"Duplicate dependency unresolved","")</x:f>
      </x:c>
      <x:c r="S211" s="6" t="str">
        <x:v>No</x:v>
      </x:c>
      <x:c r="T211" s="7" t="str"/>
    </x:row>
    <x:row r="212">
      <x:c r="A212" s="6" t="str">
        <x:v>SIDX-0211</x:v>
      </x:c>
      <x:c r="B212" s="6" t="str">
        <x:v>SIR-000211</x:v>
      </x:c>
      <x:c r="C212" s="6" t="str">
        <x:v>SVC000211</x:v>
      </x:c>
      <x:c r="D212" s="6" t="str">
        <x:v>iPhone 11 Battery Replacement</x:v>
      </x:c>
      <x:c r="E212" s="6" t="str"/>
      <x:c r="F212" s="6" t="str"/>
      <x:c r="G212" s="6" t="str"/>
      <x:c r="H212" s="6" t="str"/>
      <x:c r="I212" s="6" t="str"/>
      <x:c r="J212" s="6" t="str"/>
      <x:c r="K212" s="6" t="str">
        <x:f>IF(J212="","No duplicate dependency",IFERROR(XLOOKUP(J212,'Duplicate Review Queue'!B2:B16,'Duplicate Review Queue'!J2:J16),"Dependency not found"))</x:f>
        <x:v>No duplicate dependency</x:v>
      </x:c>
      <x:c r="L212" s="6" t="str">
        <x:v>Unresolved</x:v>
      </x:c>
      <x:c r="M212" s="6" t="str"/>
      <x:c r="N212" s="7" t="str"/>
      <x:c r="O212" s="6" t="str"/>
      <x:c r="P212" s="6" t="str"/>
      <x:c r="Q212" s="6" t="str">
        <x:v>Pending</x:v>
      </x:c>
      <x:c r="R212" s="7" t="str">
        <x:f>IF(AND(J212&lt;&gt;"",K212="Unresolved"),"Duplicate dependency unresolved","")</x:f>
      </x:c>
      <x:c r="S212" s="6" t="str">
        <x:v>No</x:v>
      </x:c>
      <x:c r="T212" s="7" t="str"/>
    </x:row>
    <x:row r="213">
      <x:c r="A213" s="6" t="str">
        <x:v>SIDX-0212</x:v>
      </x:c>
      <x:c r="B213" s="6" t="str">
        <x:v>SIR-000212</x:v>
      </x:c>
      <x:c r="C213" s="6" t="str">
        <x:v>SVC000212</x:v>
      </x:c>
      <x:c r="D213" s="6" t="str">
        <x:v>iPhone 11 Pro Battery Replacement</x:v>
      </x:c>
      <x:c r="E213" s="6" t="str"/>
      <x:c r="F213" s="6" t="str"/>
      <x:c r="G213" s="6" t="str"/>
      <x:c r="H213" s="6" t="str"/>
      <x:c r="I213" s="6" t="str"/>
      <x:c r="J213" s="6" t="str"/>
      <x:c r="K213" s="6" t="str">
        <x:f>IF(J213="","No duplicate dependency",IFERROR(XLOOKUP(J213,'Duplicate Review Queue'!B2:B16,'Duplicate Review Queue'!J2:J16),"Dependency not found"))</x:f>
        <x:v>No duplicate dependency</x:v>
      </x:c>
      <x:c r="L213" s="6" t="str">
        <x:v>Unresolved</x:v>
      </x:c>
      <x:c r="M213" s="6" t="str"/>
      <x:c r="N213" s="7" t="str"/>
      <x:c r="O213" s="6" t="str"/>
      <x:c r="P213" s="6" t="str"/>
      <x:c r="Q213" s="6" t="str">
        <x:v>Pending</x:v>
      </x:c>
      <x:c r="R213" s="7" t="str">
        <x:f>IF(AND(J213&lt;&gt;"",K213="Unresolved"),"Duplicate dependency unresolved","")</x:f>
      </x:c>
      <x:c r="S213" s="6" t="str">
        <x:v>No</x:v>
      </x:c>
      <x:c r="T213" s="7" t="str"/>
    </x:row>
    <x:row r="214">
      <x:c r="A214" s="6" t="str">
        <x:v>SIDX-0213</x:v>
      </x:c>
      <x:c r="B214" s="6" t="str">
        <x:v>SIR-000213</x:v>
      </x:c>
      <x:c r="C214" s="6" t="str">
        <x:v>SVC000213</x:v>
      </x:c>
      <x:c r="D214" s="6" t="str">
        <x:v>iPhone 11 Pro Max Battery Replacement</x:v>
      </x:c>
      <x:c r="E214" s="6" t="str"/>
      <x:c r="F214" s="6" t="str"/>
      <x:c r="G214" s="6" t="str"/>
      <x:c r="H214" s="6" t="str"/>
      <x:c r="I214" s="6" t="str"/>
      <x:c r="J214" s="6" t="str"/>
      <x:c r="K214" s="6" t="str">
        <x:f>IF(J214="","No duplicate dependency",IFERROR(XLOOKUP(J214,'Duplicate Review Queue'!B2:B16,'Duplicate Review Queue'!J2:J16),"Dependency not found"))</x:f>
        <x:v>No duplicate dependency</x:v>
      </x:c>
      <x:c r="L214" s="6" t="str">
        <x:v>Unresolved</x:v>
      </x:c>
      <x:c r="M214" s="6" t="str"/>
      <x:c r="N214" s="7" t="str"/>
      <x:c r="O214" s="6" t="str"/>
      <x:c r="P214" s="6" t="str"/>
      <x:c r="Q214" s="6" t="str">
        <x:v>Pending</x:v>
      </x:c>
      <x:c r="R214" s="7" t="str">
        <x:f>IF(AND(J214&lt;&gt;"",K214="Unresolved"),"Duplicate dependency unresolved","")</x:f>
      </x:c>
      <x:c r="S214" s="6" t="str">
        <x:v>No</x:v>
      </x:c>
      <x:c r="T214" s="7" t="str"/>
    </x:row>
    <x:row r="215">
      <x:c r="A215" s="6" t="str">
        <x:v>SIDX-0214</x:v>
      </x:c>
      <x:c r="B215" s="6" t="str">
        <x:v>SIR-000214</x:v>
      </x:c>
      <x:c r="C215" s="6" t="str">
        <x:v>SVC000214</x:v>
      </x:c>
      <x:c r="D215" s="6" t="str">
        <x:v>iPhone Charge Port Replacement</x:v>
      </x:c>
      <x:c r="E215" s="6" t="str"/>
      <x:c r="F215" s="6" t="str"/>
      <x:c r="G215" s="6" t="str"/>
      <x:c r="H215" s="6" t="str"/>
      <x:c r="I215" s="6" t="str"/>
      <x:c r="J215" s="6" t="str"/>
      <x:c r="K215" s="6" t="str">
        <x:f>IF(J215="","No duplicate dependency",IFERROR(XLOOKUP(J215,'Duplicate Review Queue'!B2:B16,'Duplicate Review Queue'!J2:J16),"Dependency not found"))</x:f>
        <x:v>No duplicate dependency</x:v>
      </x:c>
      <x:c r="L215" s="6" t="str">
        <x:v>Unresolved</x:v>
      </x:c>
      <x:c r="M215" s="6" t="str"/>
      <x:c r="N215" s="7" t="str"/>
      <x:c r="O215" s="6" t="str"/>
      <x:c r="P215" s="6" t="str"/>
      <x:c r="Q215" s="6" t="str">
        <x:v>Pending</x:v>
      </x:c>
      <x:c r="R215" s="7" t="str">
        <x:f>IF(AND(J215&lt;&gt;"",K215="Unresolved"),"Duplicate dependency unresolved","")</x:f>
      </x:c>
      <x:c r="S215" s="6" t="str">
        <x:v>No</x:v>
      </x:c>
      <x:c r="T215" s="7" t="str"/>
    </x:row>
    <x:row r="216">
      <x:c r="A216" s="6" t="str">
        <x:v>SIDX-0215</x:v>
      </x:c>
      <x:c r="B216" s="6" t="str">
        <x:v>SIR-000215</x:v>
      </x:c>
      <x:c r="C216" s="6" t="str">
        <x:v>SVC000215</x:v>
      </x:c>
      <x:c r="D216" s="6" t="str">
        <x:v>iPhone 3G Charge Port Replacement</x:v>
      </x:c>
      <x:c r="E216" s="6" t="str"/>
      <x:c r="F216" s="6" t="str"/>
      <x:c r="G216" s="6" t="str"/>
      <x:c r="H216" s="6" t="str"/>
      <x:c r="I216" s="6" t="str"/>
      <x:c r="J216" s="6" t="str"/>
      <x:c r="K216" s="6" t="str">
        <x:f>IF(J216="","No duplicate dependency",IFERROR(XLOOKUP(J216,'Duplicate Review Queue'!B2:B16,'Duplicate Review Queue'!J2:J16),"Dependency not found"))</x:f>
        <x:v>No duplicate dependency</x:v>
      </x:c>
      <x:c r="L216" s="6" t="str">
        <x:v>Unresolved</x:v>
      </x:c>
      <x:c r="M216" s="6" t="str"/>
      <x:c r="N216" s="7" t="str"/>
      <x:c r="O216" s="6" t="str"/>
      <x:c r="P216" s="6" t="str"/>
      <x:c r="Q216" s="6" t="str">
        <x:v>Pending</x:v>
      </x:c>
      <x:c r="R216" s="7" t="str">
        <x:f>IF(AND(J216&lt;&gt;"",K216="Unresolved"),"Duplicate dependency unresolved","")</x:f>
      </x:c>
      <x:c r="S216" s="6" t="str">
        <x:v>No</x:v>
      </x:c>
      <x:c r="T216" s="7" t="str"/>
    </x:row>
    <x:row r="217">
      <x:c r="A217" s="6" t="str">
        <x:v>SIDX-0216</x:v>
      </x:c>
      <x:c r="B217" s="6" t="str">
        <x:v>SIR-000216</x:v>
      </x:c>
      <x:c r="C217" s="6" t="str">
        <x:v>SVC000216</x:v>
      </x:c>
      <x:c r="D217" s="6" t="str">
        <x:v>iPhone 3GS Charge Port Replacement</x:v>
      </x:c>
      <x:c r="E217" s="6" t="str"/>
      <x:c r="F217" s="6" t="str"/>
      <x:c r="G217" s="6" t="str"/>
      <x:c r="H217" s="6" t="str"/>
      <x:c r="I217" s="6" t="str"/>
      <x:c r="J217" s="6" t="str"/>
      <x:c r="K217" s="6" t="str">
        <x:f>IF(J217="","No duplicate dependency",IFERROR(XLOOKUP(J217,'Duplicate Review Queue'!B2:B16,'Duplicate Review Queue'!J2:J16),"Dependency not found"))</x:f>
        <x:v>No duplicate dependency</x:v>
      </x:c>
      <x:c r="L217" s="6" t="str">
        <x:v>Unresolved</x:v>
      </x:c>
      <x:c r="M217" s="6" t="str"/>
      <x:c r="N217" s="7" t="str"/>
      <x:c r="O217" s="6" t="str"/>
      <x:c r="P217" s="6" t="str"/>
      <x:c r="Q217" s="6" t="str">
        <x:v>Pending</x:v>
      </x:c>
      <x:c r="R217" s="7" t="str">
        <x:f>IF(AND(J217&lt;&gt;"",K217="Unresolved"),"Duplicate dependency unresolved","")</x:f>
      </x:c>
      <x:c r="S217" s="6" t="str">
        <x:v>No</x:v>
      </x:c>
      <x:c r="T217" s="7" t="str"/>
    </x:row>
    <x:row r="218">
      <x:c r="A218" s="6" t="str">
        <x:v>SIDX-0217</x:v>
      </x:c>
      <x:c r="B218" s="6" t="str">
        <x:v>SIR-000217</x:v>
      </x:c>
      <x:c r="C218" s="6" t="str">
        <x:v>SVC000217</x:v>
      </x:c>
      <x:c r="D218" s="6" t="str">
        <x:v>iPhone 4S Charge Port Replacement</x:v>
      </x:c>
      <x:c r="E218" s="6" t="str"/>
      <x:c r="F218" s="6" t="str"/>
      <x:c r="G218" s="6" t="str"/>
      <x:c r="H218" s="6" t="str"/>
      <x:c r="I218" s="6" t="str"/>
      <x:c r="J218" s="6" t="str">
        <x:v>DUP000011</x:v>
      </x:c>
      <x:c r="K218" s="6" t="str">
        <x:f>IF(J218="","No duplicate dependency",IFERROR(XLOOKUP(J218,'Duplicate Review Queue'!B2:B16,'Duplicate Review Queue'!J2:J16),"Dependency not found"))</x:f>
        <x:v>Unresolved</x:v>
      </x:c>
      <x:c r="L218" s="6" t="str">
        <x:v>Unresolved</x:v>
      </x:c>
      <x:c r="M218" s="6" t="str"/>
      <x:c r="N218" s="7" t="str"/>
      <x:c r="O218" s="6" t="str"/>
      <x:c r="P218" s="6" t="str"/>
      <x:c r="Q218" s="6" t="str">
        <x:v>Pending</x:v>
      </x:c>
      <x:c r="R218" s="7" t="str">
        <x:f>IF(AND(J218&lt;&gt;"",K218="Unresolved"),"Duplicate dependency unresolved","")</x:f>
        <x:v>Duplicate dependency unresolved</x:v>
      </x:c>
      <x:c r="S218" s="6" t="str">
        <x:v>Yes</x:v>
      </x:c>
      <x:c r="T218" s="7" t="str"/>
    </x:row>
    <x:row r="219">
      <x:c r="A219" s="6" t="str">
        <x:v>SIDX-0218</x:v>
      </x:c>
      <x:c r="B219" s="6" t="str">
        <x:v>SIR-000218</x:v>
      </x:c>
      <x:c r="C219" s="6" t="str">
        <x:v>SVC000218</x:v>
      </x:c>
      <x:c r="D219" s="6" t="str">
        <x:v>iPhone 4S Charge Port Replacement</x:v>
      </x:c>
      <x:c r="E219" s="6" t="str"/>
      <x:c r="F219" s="6" t="str"/>
      <x:c r="G219" s="6" t="str"/>
      <x:c r="H219" s="6" t="str"/>
      <x:c r="I219" s="6" t="str"/>
      <x:c r="J219" s="6" t="str">
        <x:v>DUP000011</x:v>
      </x:c>
      <x:c r="K219" s="6" t="str">
        <x:f>IF(J219="","No duplicate dependency",IFERROR(XLOOKUP(J219,'Duplicate Review Queue'!B2:B16,'Duplicate Review Queue'!J2:J16),"Dependency not found"))</x:f>
        <x:v>Unresolved</x:v>
      </x:c>
      <x:c r="L219" s="6" t="str">
        <x:v>Unresolved</x:v>
      </x:c>
      <x:c r="M219" s="6" t="str"/>
      <x:c r="N219" s="7" t="str"/>
      <x:c r="O219" s="6" t="str"/>
      <x:c r="P219" s="6" t="str"/>
      <x:c r="Q219" s="6" t="str">
        <x:v>Pending</x:v>
      </x:c>
      <x:c r="R219" s="7" t="str">
        <x:f>IF(AND(J219&lt;&gt;"",K219="Unresolved"),"Duplicate dependency unresolved","")</x:f>
        <x:v>Duplicate dependency unresolved</x:v>
      </x:c>
      <x:c r="S219" s="6" t="str">
        <x:v>Yes</x:v>
      </x:c>
      <x:c r="T219" s="7" t="str"/>
    </x:row>
    <x:row r="220">
      <x:c r="A220" s="6" t="str">
        <x:v>SIDX-0219</x:v>
      </x:c>
      <x:c r="B220" s="6" t="str">
        <x:v>SIR-000219</x:v>
      </x:c>
      <x:c r="C220" s="6" t="str">
        <x:v>SVC000219</x:v>
      </x:c>
      <x:c r="D220" s="6" t="str">
        <x:v>iPhone 4S Charge Port Replacement</x:v>
      </x:c>
      <x:c r="E220" s="6" t="str"/>
      <x:c r="F220" s="6" t="str"/>
      <x:c r="G220" s="6" t="str"/>
      <x:c r="H220" s="6" t="str"/>
      <x:c r="I220" s="6" t="str"/>
      <x:c r="J220" s="6" t="str">
        <x:v>DUP000011</x:v>
      </x:c>
      <x:c r="K220" s="6" t="str">
        <x:f>IF(J220="","No duplicate dependency",IFERROR(XLOOKUP(J220,'Duplicate Review Queue'!B2:B16,'Duplicate Review Queue'!J2:J16),"Dependency not found"))</x:f>
        <x:v>Unresolved</x:v>
      </x:c>
      <x:c r="L220" s="6" t="str">
        <x:v>Unresolved</x:v>
      </x:c>
      <x:c r="M220" s="6" t="str"/>
      <x:c r="N220" s="7" t="str"/>
      <x:c r="O220" s="6" t="str"/>
      <x:c r="P220" s="6" t="str"/>
      <x:c r="Q220" s="6" t="str">
        <x:v>Pending</x:v>
      </x:c>
      <x:c r="R220" s="7" t="str">
        <x:f>IF(AND(J220&lt;&gt;"",K220="Unresolved"),"Duplicate dependency unresolved","")</x:f>
        <x:v>Duplicate dependency unresolved</x:v>
      </x:c>
      <x:c r="S220" s="6" t="str">
        <x:v>Yes</x:v>
      </x:c>
      <x:c r="T220" s="7" t="str"/>
    </x:row>
    <x:row r="221">
      <x:c r="A221" s="6" t="str">
        <x:v>SIDX-0220</x:v>
      </x:c>
      <x:c r="B221" s="6" t="str">
        <x:v>SIR-000220</x:v>
      </x:c>
      <x:c r="C221" s="6" t="str">
        <x:v>SVC000220</x:v>
      </x:c>
      <x:c r="D221" s="6" t="str">
        <x:v>iPhone 5 Charge Port Replacement</x:v>
      </x:c>
      <x:c r="E221" s="6" t="str"/>
      <x:c r="F221" s="6" t="str"/>
      <x:c r="G221" s="6" t="str"/>
      <x:c r="H221" s="6" t="str"/>
      <x:c r="I221" s="6" t="str"/>
      <x:c r="J221" s="6" t="str"/>
      <x:c r="K221" s="6" t="str">
        <x:f>IF(J221="","No duplicate dependency",IFERROR(XLOOKUP(J221,'Duplicate Review Queue'!B2:B16,'Duplicate Review Queue'!J2:J16),"Dependency not found"))</x:f>
        <x:v>No duplicate dependency</x:v>
      </x:c>
      <x:c r="L221" s="6" t="str">
        <x:v>Unresolved</x:v>
      </x:c>
      <x:c r="M221" s="6" t="str"/>
      <x:c r="N221" s="7" t="str"/>
      <x:c r="O221" s="6" t="str"/>
      <x:c r="P221" s="6" t="str"/>
      <x:c r="Q221" s="6" t="str">
        <x:v>Pending</x:v>
      </x:c>
      <x:c r="R221" s="7" t="str">
        <x:f>IF(AND(J221&lt;&gt;"",K221="Unresolved"),"Duplicate dependency unresolved","")</x:f>
      </x:c>
      <x:c r="S221" s="6" t="str">
        <x:v>No</x:v>
      </x:c>
      <x:c r="T221" s="7" t="str"/>
    </x:row>
    <x:row r="222">
      <x:c r="A222" s="6" t="str">
        <x:v>SIDX-0221</x:v>
      </x:c>
      <x:c r="B222" s="6" t="str">
        <x:v>SIR-000221</x:v>
      </x:c>
      <x:c r="C222" s="6" t="str">
        <x:v>SVC000221</x:v>
      </x:c>
      <x:c r="D222" s="6" t="str">
        <x:v>iPhone 5C Charge Port Replacement</x:v>
      </x:c>
      <x:c r="E222" s="6" t="str"/>
      <x:c r="F222" s="6" t="str"/>
      <x:c r="G222" s="6" t="str"/>
      <x:c r="H222" s="6" t="str"/>
      <x:c r="I222" s="6" t="str"/>
      <x:c r="J222" s="6" t="str"/>
      <x:c r="K222" s="6" t="str">
        <x:f>IF(J222="","No duplicate dependency",IFERROR(XLOOKUP(J222,'Duplicate Review Queue'!B2:B16,'Duplicate Review Queue'!J2:J16),"Dependency not found"))</x:f>
        <x:v>No duplicate dependency</x:v>
      </x:c>
      <x:c r="L222" s="6" t="str">
        <x:v>Unresolved</x:v>
      </x:c>
      <x:c r="M222" s="6" t="str"/>
      <x:c r="N222" s="7" t="str"/>
      <x:c r="O222" s="6" t="str"/>
      <x:c r="P222" s="6" t="str"/>
      <x:c r="Q222" s="6" t="str">
        <x:v>Pending</x:v>
      </x:c>
      <x:c r="R222" s="7" t="str">
        <x:f>IF(AND(J222&lt;&gt;"",K222="Unresolved"),"Duplicate dependency unresolved","")</x:f>
      </x:c>
      <x:c r="S222" s="6" t="str">
        <x:v>No</x:v>
      </x:c>
      <x:c r="T222" s="7" t="str"/>
    </x:row>
    <x:row r="223">
      <x:c r="A223" s="6" t="str">
        <x:v>SIDX-0222</x:v>
      </x:c>
      <x:c r="B223" s="6" t="str">
        <x:v>SIR-000222</x:v>
      </x:c>
      <x:c r="C223" s="6" t="str">
        <x:v>SVC000222</x:v>
      </x:c>
      <x:c r="D223" s="6" t="str">
        <x:v>iPhone 5S Charge Port Replacement</x:v>
      </x:c>
      <x:c r="E223" s="6" t="str"/>
      <x:c r="F223" s="6" t="str"/>
      <x:c r="G223" s="6" t="str"/>
      <x:c r="H223" s="6" t="str"/>
      <x:c r="I223" s="6" t="str"/>
      <x:c r="J223" s="6" t="str"/>
      <x:c r="K223" s="6" t="str">
        <x:f>IF(J223="","No duplicate dependency",IFERROR(XLOOKUP(J223,'Duplicate Review Queue'!B2:B16,'Duplicate Review Queue'!J2:J16),"Dependency not found"))</x:f>
        <x:v>No duplicate dependency</x:v>
      </x:c>
      <x:c r="L223" s="6" t="str">
        <x:v>Unresolved</x:v>
      </x:c>
      <x:c r="M223" s="6" t="str"/>
      <x:c r="N223" s="7" t="str"/>
      <x:c r="O223" s="6" t="str"/>
      <x:c r="P223" s="6" t="str"/>
      <x:c r="Q223" s="6" t="str">
        <x:v>Pending</x:v>
      </x:c>
      <x:c r="R223" s="7" t="str">
        <x:f>IF(AND(J223&lt;&gt;"",K223="Unresolved"),"Duplicate dependency unresolved","")</x:f>
      </x:c>
      <x:c r="S223" s="6" t="str">
        <x:v>No</x:v>
      </x:c>
      <x:c r="T223" s="7" t="str"/>
    </x:row>
    <x:row r="224">
      <x:c r="A224" s="6" t="str">
        <x:v>SIDX-0223</x:v>
      </x:c>
      <x:c r="B224" s="6" t="str">
        <x:v>SIR-000223</x:v>
      </x:c>
      <x:c r="C224" s="6" t="str">
        <x:v>SVC000223</x:v>
      </x:c>
      <x:c r="D224" s="6" t="str">
        <x:v>iPhone 6 Charge Port Replacement</x:v>
      </x:c>
      <x:c r="E224" s="6" t="str"/>
      <x:c r="F224" s="6" t="str"/>
      <x:c r="G224" s="6" t="str"/>
      <x:c r="H224" s="6" t="str"/>
      <x:c r="I224" s="6" t="str"/>
      <x:c r="J224" s="6" t="str">
        <x:v>DUP000012</x:v>
      </x:c>
      <x:c r="K224" s="6" t="str">
        <x:f>IF(J224="","No duplicate dependency",IFERROR(XLOOKUP(J224,'Duplicate Review Queue'!B2:B16,'Duplicate Review Queue'!J2:J16),"Dependency not found"))</x:f>
        <x:v>Unresolved</x:v>
      </x:c>
      <x:c r="L224" s="6" t="str">
        <x:v>Unresolved</x:v>
      </x:c>
      <x:c r="M224" s="6" t="str"/>
      <x:c r="N224" s="7" t="str"/>
      <x:c r="O224" s="6" t="str"/>
      <x:c r="P224" s="6" t="str"/>
      <x:c r="Q224" s="6" t="str">
        <x:v>Pending</x:v>
      </x:c>
      <x:c r="R224" s="7" t="str">
        <x:f>IF(AND(J224&lt;&gt;"",K224="Unresolved"),"Duplicate dependency unresolved","")</x:f>
        <x:v>Duplicate dependency unresolved</x:v>
      </x:c>
      <x:c r="S224" s="6" t="str">
        <x:v>Yes</x:v>
      </x:c>
      <x:c r="T224" s="7" t="str"/>
    </x:row>
    <x:row r="225">
      <x:c r="A225" s="6" t="str">
        <x:v>SIDX-0224</x:v>
      </x:c>
      <x:c r="B225" s="6" t="str">
        <x:v>SIR-000224</x:v>
      </x:c>
      <x:c r="C225" s="6" t="str">
        <x:v>SVC000224</x:v>
      </x:c>
      <x:c r="D225" s="6" t="str">
        <x:v>iPhone 6+ Charge Port Replacement</x:v>
      </x:c>
      <x:c r="E225" s="6" t="str"/>
      <x:c r="F225" s="6" t="str"/>
      <x:c r="G225" s="6" t="str"/>
      <x:c r="H225" s="6" t="str"/>
      <x:c r="I225" s="6" t="str"/>
      <x:c r="J225" s="6" t="str">
        <x:v>DUP000012</x:v>
      </x:c>
      <x:c r="K225" s="6" t="str">
        <x:f>IF(J225="","No duplicate dependency",IFERROR(XLOOKUP(J225,'Duplicate Review Queue'!B2:B16,'Duplicate Review Queue'!J2:J16),"Dependency not found"))</x:f>
        <x:v>Unresolved</x:v>
      </x:c>
      <x:c r="L225" s="6" t="str">
        <x:v>Unresolved</x:v>
      </x:c>
      <x:c r="M225" s="6" t="str"/>
      <x:c r="N225" s="7" t="str"/>
      <x:c r="O225" s="6" t="str"/>
      <x:c r="P225" s="6" t="str"/>
      <x:c r="Q225" s="6" t="str">
        <x:v>Pending</x:v>
      </x:c>
      <x:c r="R225" s="7" t="str">
        <x:f>IF(AND(J225&lt;&gt;"",K225="Unresolved"),"Duplicate dependency unresolved","")</x:f>
        <x:v>Duplicate dependency unresolved</x:v>
      </x:c>
      <x:c r="S225" s="6" t="str">
        <x:v>Yes</x:v>
      </x:c>
      <x:c r="T225" s="7" t="str"/>
    </x:row>
    <x:row r="226">
      <x:c r="A226" s="6" t="str">
        <x:v>SIDX-0225</x:v>
      </x:c>
      <x:c r="B226" s="6" t="str">
        <x:v>SIR-000225</x:v>
      </x:c>
      <x:c r="C226" s="6" t="str">
        <x:v>SVC000225</x:v>
      </x:c>
      <x:c r="D226" s="6" t="str">
        <x:v>iPhone 6S Charge Port Replacement</x:v>
      </x:c>
      <x:c r="E226" s="6" t="str"/>
      <x:c r="F226" s="6" t="str"/>
      <x:c r="G226" s="6" t="str"/>
      <x:c r="H226" s="6" t="str"/>
      <x:c r="I226" s="6" t="str"/>
      <x:c r="J226" s="6" t="str">
        <x:v>DUP000013</x:v>
      </x:c>
      <x:c r="K226" s="6" t="str">
        <x:f>IF(J226="","No duplicate dependency",IFERROR(XLOOKUP(J226,'Duplicate Review Queue'!B2:B16,'Duplicate Review Queue'!J2:J16),"Dependency not found"))</x:f>
        <x:v>Unresolved</x:v>
      </x:c>
      <x:c r="L226" s="6" t="str">
        <x:v>Unresolved</x:v>
      </x:c>
      <x:c r="M226" s="6" t="str"/>
      <x:c r="N226" s="7" t="str"/>
      <x:c r="O226" s="6" t="str"/>
      <x:c r="P226" s="6" t="str"/>
      <x:c r="Q226" s="6" t="str">
        <x:v>Pending</x:v>
      </x:c>
      <x:c r="R226" s="7" t="str">
        <x:f>IF(AND(J226&lt;&gt;"",K226="Unresolved"),"Duplicate dependency unresolved","")</x:f>
        <x:v>Duplicate dependency unresolved</x:v>
      </x:c>
      <x:c r="S226" s="6" t="str">
        <x:v>Yes</x:v>
      </x:c>
      <x:c r="T226" s="7" t="str"/>
    </x:row>
    <x:row r="227">
      <x:c r="A227" s="6" t="str">
        <x:v>SIDX-0226</x:v>
      </x:c>
      <x:c r="B227" s="6" t="str">
        <x:v>SIR-000226</x:v>
      </x:c>
      <x:c r="C227" s="6" t="str">
        <x:v>SVC000226</x:v>
      </x:c>
      <x:c r="D227" s="6" t="str">
        <x:v>iPhone 6S+ Charge Port Replacement</x:v>
      </x:c>
      <x:c r="E227" s="6" t="str"/>
      <x:c r="F227" s="6" t="str"/>
      <x:c r="G227" s="6" t="str"/>
      <x:c r="H227" s="6" t="str"/>
      <x:c r="I227" s="6" t="str"/>
      <x:c r="J227" s="6" t="str">
        <x:v>DUP000013</x:v>
      </x:c>
      <x:c r="K227" s="6" t="str">
        <x:f>IF(J227="","No duplicate dependency",IFERROR(XLOOKUP(J227,'Duplicate Review Queue'!B2:B16,'Duplicate Review Queue'!J2:J16),"Dependency not found"))</x:f>
        <x:v>Unresolved</x:v>
      </x:c>
      <x:c r="L227" s="6" t="str">
        <x:v>Unresolved</x:v>
      </x:c>
      <x:c r="M227" s="6" t="str"/>
      <x:c r="N227" s="7" t="str"/>
      <x:c r="O227" s="6" t="str"/>
      <x:c r="P227" s="6" t="str"/>
      <x:c r="Q227" s="6" t="str">
        <x:v>Pending</x:v>
      </x:c>
      <x:c r="R227" s="7" t="str">
        <x:f>IF(AND(J227&lt;&gt;"",K227="Unresolved"),"Duplicate dependency unresolved","")</x:f>
        <x:v>Duplicate dependency unresolved</x:v>
      </x:c>
      <x:c r="S227" s="6" t="str">
        <x:v>Yes</x:v>
      </x:c>
      <x:c r="T227" s="7" t="str"/>
    </x:row>
    <x:row r="228">
      <x:c r="A228" s="6" t="str">
        <x:v>SIDX-0227</x:v>
      </x:c>
      <x:c r="B228" s="6" t="str">
        <x:v>SIR-000227</x:v>
      </x:c>
      <x:c r="C228" s="6" t="str">
        <x:v>SVC000227</x:v>
      </x:c>
      <x:c r="D228" s="6" t="str">
        <x:v>iPhone 6S+ Charge Port Replacement</x:v>
      </x:c>
      <x:c r="E228" s="6" t="str"/>
      <x:c r="F228" s="6" t="str"/>
      <x:c r="G228" s="6" t="str"/>
      <x:c r="H228" s="6" t="str"/>
      <x:c r="I228" s="6" t="str"/>
      <x:c r="J228" s="6" t="str">
        <x:v>DUP000013</x:v>
      </x:c>
      <x:c r="K228" s="6" t="str">
        <x:f>IF(J228="","No duplicate dependency",IFERROR(XLOOKUP(J228,'Duplicate Review Queue'!B2:B16,'Duplicate Review Queue'!J2:J16),"Dependency not found"))</x:f>
        <x:v>Unresolved</x:v>
      </x:c>
      <x:c r="L228" s="6" t="str">
        <x:v>Unresolved</x:v>
      </x:c>
      <x:c r="M228" s="6" t="str"/>
      <x:c r="N228" s="7" t="str"/>
      <x:c r="O228" s="6" t="str"/>
      <x:c r="P228" s="6" t="str"/>
      <x:c r="Q228" s="6" t="str">
        <x:v>Pending</x:v>
      </x:c>
      <x:c r="R228" s="7" t="str">
        <x:f>IF(AND(J228&lt;&gt;"",K228="Unresolved"),"Duplicate dependency unresolved","")</x:f>
        <x:v>Duplicate dependency unresolved</x:v>
      </x:c>
      <x:c r="S228" s="6" t="str">
        <x:v>Yes</x:v>
      </x:c>
      <x:c r="T228" s="7" t="str"/>
    </x:row>
    <x:row r="229">
      <x:c r="A229" s="6" t="str">
        <x:v>SIDX-0228</x:v>
      </x:c>
      <x:c r="B229" s="6" t="str">
        <x:v>SIR-000228</x:v>
      </x:c>
      <x:c r="C229" s="6" t="str">
        <x:v>SVC000228</x:v>
      </x:c>
      <x:c r="D229" s="6" t="str">
        <x:v>iPhone SE(1ST GEN) Charge Port Replacement</x:v>
      </x:c>
      <x:c r="E229" s="6" t="str"/>
      <x:c r="F229" s="6" t="str"/>
      <x:c r="G229" s="6" t="str"/>
      <x:c r="H229" s="6" t="str"/>
      <x:c r="I229" s="6" t="str"/>
      <x:c r="J229" s="6" t="str"/>
      <x:c r="K229" s="6" t="str">
        <x:f>IF(J229="","No duplicate dependency",IFERROR(XLOOKUP(J229,'Duplicate Review Queue'!B2:B16,'Duplicate Review Queue'!J2:J16),"Dependency not found"))</x:f>
        <x:v>No duplicate dependency</x:v>
      </x:c>
      <x:c r="L229" s="6" t="str">
        <x:v>Unresolved</x:v>
      </x:c>
      <x:c r="M229" s="6" t="str"/>
      <x:c r="N229" s="7" t="str"/>
      <x:c r="O229" s="6" t="str"/>
      <x:c r="P229" s="6" t="str"/>
      <x:c r="Q229" s="6" t="str">
        <x:v>Pending</x:v>
      </x:c>
      <x:c r="R229" s="7" t="str">
        <x:f>IF(AND(J229&lt;&gt;"",K229="Unresolved"),"Duplicate dependency unresolved","")</x:f>
      </x:c>
      <x:c r="S229" s="6" t="str">
        <x:v>No</x:v>
      </x:c>
      <x:c r="T229" s="7" t="str"/>
    </x:row>
    <x:row r="230">
      <x:c r="A230" s="6" t="str">
        <x:v>SIDX-0229</x:v>
      </x:c>
      <x:c r="B230" s="6" t="str">
        <x:v>SIR-000229</x:v>
      </x:c>
      <x:c r="C230" s="6" t="str">
        <x:v>SVC000229</x:v>
      </x:c>
      <x:c r="D230" s="6" t="str">
        <x:v>iPhone 7 Charge Port Replacement</x:v>
      </x:c>
      <x:c r="E230" s="6" t="str"/>
      <x:c r="F230" s="6" t="str"/>
      <x:c r="G230" s="6" t="str"/>
      <x:c r="H230" s="6" t="str"/>
      <x:c r="I230" s="6" t="str"/>
      <x:c r="J230" s="6" t="str">
        <x:v>DUP000014</x:v>
      </x:c>
      <x:c r="K230" s="6" t="str">
        <x:f>IF(J230="","No duplicate dependency",IFERROR(XLOOKUP(J230,'Duplicate Review Queue'!B2:B16,'Duplicate Review Queue'!J2:J16),"Dependency not found"))</x:f>
        <x:v>Unresolved</x:v>
      </x:c>
      <x:c r="L230" s="6" t="str">
        <x:v>Unresolved</x:v>
      </x:c>
      <x:c r="M230" s="6" t="str"/>
      <x:c r="N230" s="7" t="str"/>
      <x:c r="O230" s="6" t="str"/>
      <x:c r="P230" s="6" t="str"/>
      <x:c r="Q230" s="6" t="str">
        <x:v>Pending</x:v>
      </x:c>
      <x:c r="R230" s="7" t="str">
        <x:f>IF(AND(J230&lt;&gt;"",K230="Unresolved"),"Duplicate dependency unresolved","")</x:f>
        <x:v>Duplicate dependency unresolved</x:v>
      </x:c>
      <x:c r="S230" s="6" t="str">
        <x:v>Yes</x:v>
      </x:c>
      <x:c r="T230" s="7" t="str"/>
    </x:row>
    <x:row r="231">
      <x:c r="A231" s="6" t="str">
        <x:v>SIDX-0230</x:v>
      </x:c>
      <x:c r="B231" s="6" t="str">
        <x:v>SIR-000230</x:v>
      </x:c>
      <x:c r="C231" s="6" t="str">
        <x:v>SVC000230</x:v>
      </x:c>
      <x:c r="D231" s="6" t="str">
        <x:v>iPhone 7+ Charge Port Replacement</x:v>
      </x:c>
      <x:c r="E231" s="6" t="str"/>
      <x:c r="F231" s="6" t="str"/>
      <x:c r="G231" s="6" t="str"/>
      <x:c r="H231" s="6" t="str"/>
      <x:c r="I231" s="6" t="str"/>
      <x:c r="J231" s="6" t="str">
        <x:v>DUP000014</x:v>
      </x:c>
      <x:c r="K231" s="6" t="str">
        <x:f>IF(J231="","No duplicate dependency",IFERROR(XLOOKUP(J231,'Duplicate Review Queue'!B2:B16,'Duplicate Review Queue'!J2:J16),"Dependency not found"))</x:f>
        <x:v>Unresolved</x:v>
      </x:c>
      <x:c r="L231" s="6" t="str">
        <x:v>Unresolved</x:v>
      </x:c>
      <x:c r="M231" s="6" t="str"/>
      <x:c r="N231" s="7" t="str"/>
      <x:c r="O231" s="6" t="str"/>
      <x:c r="P231" s="6" t="str"/>
      <x:c r="Q231" s="6" t="str">
        <x:v>Pending</x:v>
      </x:c>
      <x:c r="R231" s="7" t="str">
        <x:f>IF(AND(J231&lt;&gt;"",K231="Unresolved"),"Duplicate dependency unresolved","")</x:f>
        <x:v>Duplicate dependency unresolved</x:v>
      </x:c>
      <x:c r="S231" s="6" t="str">
        <x:v>Yes</x:v>
      </x:c>
      <x:c r="T231" s="7" t="str"/>
    </x:row>
    <x:row r="232">
      <x:c r="A232" s="6" t="str">
        <x:v>SIDX-0231</x:v>
      </x:c>
      <x:c r="B232" s="6" t="str">
        <x:v>SIR-000231</x:v>
      </x:c>
      <x:c r="C232" s="6" t="str">
        <x:v>SVC000231</x:v>
      </x:c>
      <x:c r="D232" s="6" t="str">
        <x:v>iPhone 8 Charge Port Replacement</x:v>
      </x:c>
      <x:c r="E232" s="6" t="str"/>
      <x:c r="F232" s="6" t="str"/>
      <x:c r="G232" s="6" t="str"/>
      <x:c r="H232" s="6" t="str"/>
      <x:c r="I232" s="6" t="str"/>
      <x:c r="J232" s="6" t="str">
        <x:v>DUP000015</x:v>
      </x:c>
      <x:c r="K232" s="6" t="str">
        <x:f>IF(J232="","No duplicate dependency",IFERROR(XLOOKUP(J232,'Duplicate Review Queue'!B2:B16,'Duplicate Review Queue'!J2:J16),"Dependency not found"))</x:f>
        <x:v>Unresolved</x:v>
      </x:c>
      <x:c r="L232" s="6" t="str">
        <x:v>Unresolved</x:v>
      </x:c>
      <x:c r="M232" s="6" t="str"/>
      <x:c r="N232" s="7" t="str"/>
      <x:c r="O232" s="6" t="str"/>
      <x:c r="P232" s="6" t="str"/>
      <x:c r="Q232" s="6" t="str">
        <x:v>Pending</x:v>
      </x:c>
      <x:c r="R232" s="7" t="str">
        <x:f>IF(AND(J232&lt;&gt;"",K232="Unresolved"),"Duplicate dependency unresolved","")</x:f>
        <x:v>Duplicate dependency unresolved</x:v>
      </x:c>
      <x:c r="S232" s="6" t="str">
        <x:v>Yes</x:v>
      </x:c>
      <x:c r="T232" s="7" t="str"/>
    </x:row>
    <x:row r="233">
      <x:c r="A233" s="6" t="str">
        <x:v>SIDX-0232</x:v>
      </x:c>
      <x:c r="B233" s="6" t="str">
        <x:v>SIR-000232</x:v>
      </x:c>
      <x:c r="C233" s="6" t="str">
        <x:v>SVC000232</x:v>
      </x:c>
      <x:c r="D233" s="6" t="str">
        <x:v>iPhone 8+ Charge Port Replacement</x:v>
      </x:c>
      <x:c r="E233" s="6" t="str"/>
      <x:c r="F233" s="6" t="str"/>
      <x:c r="G233" s="6" t="str"/>
      <x:c r="H233" s="6" t="str"/>
      <x:c r="I233" s="6" t="str"/>
      <x:c r="J233" s="6" t="str">
        <x:v>DUP000015</x:v>
      </x:c>
      <x:c r="K233" s="6" t="str">
        <x:f>IF(J233="","No duplicate dependency",IFERROR(XLOOKUP(J233,'Duplicate Review Queue'!B2:B16,'Duplicate Review Queue'!J2:J16),"Dependency not found"))</x:f>
        <x:v>Unresolved</x:v>
      </x:c>
      <x:c r="L233" s="6" t="str">
        <x:v>Unresolved</x:v>
      </x:c>
      <x:c r="M233" s="6" t="str"/>
      <x:c r="N233" s="7" t="str"/>
      <x:c r="O233" s="6" t="str"/>
      <x:c r="P233" s="6" t="str"/>
      <x:c r="Q233" s="6" t="str">
        <x:v>Pending</x:v>
      </x:c>
      <x:c r="R233" s="7" t="str">
        <x:f>IF(AND(J233&lt;&gt;"",K233="Unresolved"),"Duplicate dependency unresolved","")</x:f>
        <x:v>Duplicate dependency unresolved</x:v>
      </x:c>
      <x:c r="S233" s="6" t="str">
        <x:v>Yes</x:v>
      </x:c>
      <x:c r="T233" s="7" t="str"/>
    </x:row>
    <x:row r="234">
      <x:c r="A234" s="6" t="str">
        <x:v>SIDX-0233</x:v>
      </x:c>
      <x:c r="B234" s="6" t="str">
        <x:v>SIR-000233</x:v>
      </x:c>
      <x:c r="C234" s="6" t="str">
        <x:v>SVC000233</x:v>
      </x:c>
      <x:c r="D234" s="6" t="str">
        <x:v>iPhone X Charge Port Replacement</x:v>
      </x:c>
      <x:c r="E234" s="6" t="str"/>
      <x:c r="F234" s="6" t="str"/>
      <x:c r="G234" s="6" t="str"/>
      <x:c r="H234" s="6" t="str"/>
      <x:c r="I234" s="6" t="str"/>
      <x:c r="J234" s="6" t="str"/>
      <x:c r="K234" s="6" t="str">
        <x:f>IF(J234="","No duplicate dependency",IFERROR(XLOOKUP(J234,'Duplicate Review Queue'!B2:B16,'Duplicate Review Queue'!J2:J16),"Dependency not found"))</x:f>
        <x:v>No duplicate dependency</x:v>
      </x:c>
      <x:c r="L234" s="6" t="str">
        <x:v>Unresolved</x:v>
      </x:c>
      <x:c r="M234" s="6" t="str"/>
      <x:c r="N234" s="7" t="str"/>
      <x:c r="O234" s="6" t="str"/>
      <x:c r="P234" s="6" t="str"/>
      <x:c r="Q234" s="6" t="str">
        <x:v>Pending</x:v>
      </x:c>
      <x:c r="R234" s="7" t="str">
        <x:f>IF(AND(J234&lt;&gt;"",K234="Unresolved"),"Duplicate dependency unresolved","")</x:f>
      </x:c>
      <x:c r="S234" s="6" t="str">
        <x:v>No</x:v>
      </x:c>
      <x:c r="T234" s="7" t="str"/>
    </x:row>
    <x:row r="235">
      <x:c r="A235" s="6" t="str">
        <x:v>SIDX-0234</x:v>
      </x:c>
      <x:c r="B235" s="6" t="str">
        <x:v>SIR-000234</x:v>
      </x:c>
      <x:c r="C235" s="6" t="str">
        <x:v>SVC000234</x:v>
      </x:c>
      <x:c r="D235" s="6" t="str">
        <x:v>iPhone XR Charge Port Replacement</x:v>
      </x:c>
      <x:c r="E235" s="6" t="str"/>
      <x:c r="F235" s="6" t="str"/>
      <x:c r="G235" s="6" t="str"/>
      <x:c r="H235" s="6" t="str"/>
      <x:c r="I235" s="6" t="str"/>
      <x:c r="J235" s="6" t="str"/>
      <x:c r="K235" s="6" t="str">
        <x:f>IF(J235="","No duplicate dependency",IFERROR(XLOOKUP(J235,'Duplicate Review Queue'!B2:B16,'Duplicate Review Queue'!J2:J16),"Dependency not found"))</x:f>
        <x:v>No duplicate dependency</x:v>
      </x:c>
      <x:c r="L235" s="6" t="str">
        <x:v>Unresolved</x:v>
      </x:c>
      <x:c r="M235" s="6" t="str"/>
      <x:c r="N235" s="7" t="str"/>
      <x:c r="O235" s="6" t="str"/>
      <x:c r="P235" s="6" t="str"/>
      <x:c r="Q235" s="6" t="str">
        <x:v>Pending</x:v>
      </x:c>
      <x:c r="R235" s="7" t="str">
        <x:f>IF(AND(J235&lt;&gt;"",K235="Unresolved"),"Duplicate dependency unresolved","")</x:f>
      </x:c>
      <x:c r="S235" s="6" t="str">
        <x:v>No</x:v>
      </x:c>
      <x:c r="T235" s="7" t="str"/>
    </x:row>
    <x:row r="236">
      <x:c r="A236" s="6" t="str">
        <x:v>SIDX-0235</x:v>
      </x:c>
      <x:c r="B236" s="6" t="str">
        <x:v>SIR-000235</x:v>
      </x:c>
      <x:c r="C236" s="6" t="str">
        <x:v>SVC000235</x:v>
      </x:c>
      <x:c r="D236" s="6" t="str">
        <x:v>Galaxy S 23 Battery Replacement</x:v>
      </x:c>
      <x:c r="E236" s="6" t="str"/>
      <x:c r="F236" s="6" t="str"/>
      <x:c r="G236" s="6" t="str"/>
      <x:c r="H236" s="6" t="str"/>
      <x:c r="I236" s="6" t="str"/>
      <x:c r="J236" s="6" t="str"/>
      <x:c r="K236" s="6" t="str">
        <x:f>IF(J236="","No duplicate dependency",IFERROR(XLOOKUP(J236,'Duplicate Review Queue'!B2:B16,'Duplicate Review Queue'!J2:J16),"Dependency not found"))</x:f>
        <x:v>No duplicate dependency</x:v>
      </x:c>
      <x:c r="L236" s="6" t="str">
        <x:v>Unresolved</x:v>
      </x:c>
      <x:c r="M236" s="6" t="str"/>
      <x:c r="N236" s="7" t="str"/>
      <x:c r="O236" s="6" t="str"/>
      <x:c r="P236" s="6" t="str"/>
      <x:c r="Q236" s="6" t="str">
        <x:v>Pending</x:v>
      </x:c>
      <x:c r="R236" s="7" t="str">
        <x:f>IF(AND(J236&lt;&gt;"",K236="Unresolved"),"Duplicate dependency unresolved","")</x:f>
      </x:c>
      <x:c r="S236" s="6" t="str">
        <x:v>No</x:v>
      </x:c>
      <x:c r="T236" s="7" t="str"/>
    </x:row>
    <x:row r="237">
      <x:c r="A237" s="6" t="str">
        <x:v>SIDX-0236</x:v>
      </x:c>
      <x:c r="B237" s="6" t="str">
        <x:v>SIR-000236</x:v>
      </x:c>
      <x:c r="C237" s="6" t="str">
        <x:v>SVC000236</x:v>
      </x:c>
      <x:c r="D237" s="6" t="str">
        <x:v>iPhone XS Charge Port Replacement</x:v>
      </x:c>
      <x:c r="E237" s="6" t="str"/>
      <x:c r="F237" s="6" t="str"/>
      <x:c r="G237" s="6" t="str"/>
      <x:c r="H237" s="6" t="str"/>
      <x:c r="I237" s="6" t="str"/>
      <x:c r="J237" s="6" t="str"/>
      <x:c r="K237" s="6" t="str">
        <x:f>IF(J237="","No duplicate dependency",IFERROR(XLOOKUP(J237,'Duplicate Review Queue'!B2:B16,'Duplicate Review Queue'!J2:J16),"Dependency not found"))</x:f>
        <x:v>No duplicate dependency</x:v>
      </x:c>
      <x:c r="L237" s="6" t="str">
        <x:v>Unresolved</x:v>
      </x:c>
      <x:c r="M237" s="6" t="str"/>
      <x:c r="N237" s="7" t="str"/>
      <x:c r="O237" s="6" t="str"/>
      <x:c r="P237" s="6" t="str"/>
      <x:c r="Q237" s="6" t="str">
        <x:v>Pending</x:v>
      </x:c>
      <x:c r="R237" s="7" t="str">
        <x:f>IF(AND(J237&lt;&gt;"",K237="Unresolved"),"Duplicate dependency unresolved","")</x:f>
      </x:c>
      <x:c r="S237" s="6" t="str">
        <x:v>No</x:v>
      </x:c>
      <x:c r="T237" s="7" t="str"/>
    </x:row>
    <x:row r="238">
      <x:c r="A238" s="6" t="str">
        <x:v>SIDX-0237</x:v>
      </x:c>
      <x:c r="B238" s="6" t="str">
        <x:v>SIR-000237</x:v>
      </x:c>
      <x:c r="C238" s="6" t="str">
        <x:v>SVC000237</x:v>
      </x:c>
      <x:c r="D238" s="6" t="str">
        <x:v>iPhone XS Max Charge Port Replacement</x:v>
      </x:c>
      <x:c r="E238" s="6" t="str"/>
      <x:c r="F238" s="6" t="str"/>
      <x:c r="G238" s="6" t="str"/>
      <x:c r="H238" s="6" t="str"/>
      <x:c r="I238" s="6" t="str"/>
      <x:c r="J238" s="6" t="str"/>
      <x:c r="K238" s="6" t="str">
        <x:f>IF(J238="","No duplicate dependency",IFERROR(XLOOKUP(J238,'Duplicate Review Queue'!B2:B16,'Duplicate Review Queue'!J2:J16),"Dependency not found"))</x:f>
        <x:v>No duplicate dependency</x:v>
      </x:c>
      <x:c r="L238" s="6" t="str">
        <x:v>Unresolved</x:v>
      </x:c>
      <x:c r="M238" s="6" t="str"/>
      <x:c r="N238" s="7" t="str"/>
      <x:c r="O238" s="6" t="str"/>
      <x:c r="P238" s="6" t="str"/>
      <x:c r="Q238" s="6" t="str">
        <x:v>Pending</x:v>
      </x:c>
      <x:c r="R238" s="7" t="str">
        <x:f>IF(AND(J238&lt;&gt;"",K238="Unresolved"),"Duplicate dependency unresolved","")</x:f>
      </x:c>
      <x:c r="S238" s="6" t="str">
        <x:v>No</x:v>
      </x:c>
      <x:c r="T238" s="7" t="str"/>
    </x:row>
    <x:row r="239">
      <x:c r="A239" s="6" t="str">
        <x:v>SIDX-0238</x:v>
      </x:c>
      <x:c r="B239" s="6" t="str">
        <x:v>SIR-000238</x:v>
      </x:c>
      <x:c r="C239" s="6" t="str">
        <x:v>SVC000238</x:v>
      </x:c>
      <x:c r="D239" s="6" t="str">
        <x:v>iPhone 11 Charge Port Replacement</x:v>
      </x:c>
      <x:c r="E239" s="6" t="str"/>
      <x:c r="F239" s="6" t="str"/>
      <x:c r="G239" s="6" t="str"/>
      <x:c r="H239" s="6" t="str"/>
      <x:c r="I239" s="6" t="str"/>
      <x:c r="J239" s="6" t="str"/>
      <x:c r="K239" s="6" t="str">
        <x:f>IF(J239="","No duplicate dependency",IFERROR(XLOOKUP(J239,'Duplicate Review Queue'!B2:B16,'Duplicate Review Queue'!J2:J16),"Dependency not found"))</x:f>
        <x:v>No duplicate dependency</x:v>
      </x:c>
      <x:c r="L239" s="6" t="str">
        <x:v>Unresolved</x:v>
      </x:c>
      <x:c r="M239" s="6" t="str"/>
      <x:c r="N239" s="7" t="str"/>
      <x:c r="O239" s="6" t="str"/>
      <x:c r="P239" s="6" t="str"/>
      <x:c r="Q239" s="6" t="str">
        <x:v>Pending</x:v>
      </x:c>
      <x:c r="R239" s="7" t="str">
        <x:f>IF(AND(J239&lt;&gt;"",K239="Unresolved"),"Duplicate dependency unresolved","")</x:f>
      </x:c>
      <x:c r="S239" s="6" t="str">
        <x:v>No</x:v>
      </x:c>
      <x:c r="T239" s="7" t="str"/>
    </x:row>
    <x:row r="240">
      <x:c r="A240" s="6" t="str">
        <x:v>SIDX-0239</x:v>
      </x:c>
      <x:c r="B240" s="6" t="str">
        <x:v>SIR-000239</x:v>
      </x:c>
      <x:c r="C240" s="6" t="str">
        <x:v>SVC000239</x:v>
      </x:c>
      <x:c r="D240" s="6" t="str">
        <x:v>iPhone 11 Pro Charge Port Replacement</x:v>
      </x:c>
      <x:c r="E240" s="6" t="str"/>
      <x:c r="F240" s="6" t="str"/>
      <x:c r="G240" s="6" t="str"/>
      <x:c r="H240" s="6" t="str"/>
      <x:c r="I240" s="6" t="str"/>
      <x:c r="J240" s="6" t="str"/>
      <x:c r="K240" s="6" t="str">
        <x:f>IF(J240="","No duplicate dependency",IFERROR(XLOOKUP(J240,'Duplicate Review Queue'!B2:B16,'Duplicate Review Queue'!J2:J16),"Dependency not found"))</x:f>
        <x:v>No duplicate dependency</x:v>
      </x:c>
      <x:c r="L240" s="6" t="str">
        <x:v>Unresolved</x:v>
      </x:c>
      <x:c r="M240" s="6" t="str"/>
      <x:c r="N240" s="7" t="str"/>
      <x:c r="O240" s="6" t="str"/>
      <x:c r="P240" s="6" t="str"/>
      <x:c r="Q240" s="6" t="str">
        <x:v>Pending</x:v>
      </x:c>
      <x:c r="R240" s="7" t="str">
        <x:f>IF(AND(J240&lt;&gt;"",K240="Unresolved"),"Duplicate dependency unresolved","")</x:f>
      </x:c>
      <x:c r="S240" s="6" t="str">
        <x:v>No</x:v>
      </x:c>
      <x:c r="T240" s="7" t="str"/>
    </x:row>
    <x:row r="241">
      <x:c r="A241" s="6" t="str">
        <x:v>SIDX-0240</x:v>
      </x:c>
      <x:c r="B241" s="6" t="str">
        <x:v>SIR-000240</x:v>
      </x:c>
      <x:c r="C241" s="6" t="str">
        <x:v>SVC000240</x:v>
      </x:c>
      <x:c r="D241" s="6" t="str">
        <x:v>iPhone 11 Pro Max Charge Port Replacement</x:v>
      </x:c>
      <x:c r="E241" s="6" t="str"/>
      <x:c r="F241" s="6" t="str"/>
      <x:c r="G241" s="6" t="str"/>
      <x:c r="H241" s="6" t="str"/>
      <x:c r="I241" s="6" t="str"/>
      <x:c r="J241" s="6" t="str"/>
      <x:c r="K241" s="6" t="str">
        <x:f>IF(J241="","No duplicate dependency",IFERROR(XLOOKUP(J241,'Duplicate Review Queue'!B2:B16,'Duplicate Review Queue'!J2:J16),"Dependency not found"))</x:f>
        <x:v>No duplicate dependency</x:v>
      </x:c>
      <x:c r="L241" s="6" t="str">
        <x:v>Unresolved</x:v>
      </x:c>
      <x:c r="M241" s="6" t="str"/>
      <x:c r="N241" s="7" t="str"/>
      <x:c r="O241" s="6" t="str"/>
      <x:c r="P241" s="6" t="str"/>
      <x:c r="Q241" s="6" t="str">
        <x:v>Pending</x:v>
      </x:c>
      <x:c r="R241" s="7" t="str">
        <x:f>IF(AND(J241&lt;&gt;"",K241="Unresolved"),"Duplicate dependency unresolved","")</x:f>
      </x:c>
      <x:c r="S241" s="6" t="str">
        <x:v>No</x:v>
      </x:c>
      <x:c r="T241" s="7" t="str"/>
    </x:row>
    <x:row r="242">
      <x:c r="A242" s="6" t="str">
        <x:v>SIDX-0241</x:v>
      </x:c>
      <x:c r="B242" s="6" t="str">
        <x:v>SIR-000241</x:v>
      </x:c>
      <x:c r="C242" s="6" t="str">
        <x:v>SVC000241</x:v>
      </x:c>
      <x:c r="D242" s="6" t="str">
        <x:v>iPhone SE (2ND GEN) Charge Port Replacement</x:v>
      </x:c>
      <x:c r="E242" s="6" t="str"/>
      <x:c r="F242" s="6" t="str"/>
      <x:c r="G242" s="6" t="str"/>
      <x:c r="H242" s="6" t="str"/>
      <x:c r="I242" s="6" t="str"/>
      <x:c r="J242" s="6" t="str"/>
      <x:c r="K242" s="6" t="str">
        <x:f>IF(J242="","No duplicate dependency",IFERROR(XLOOKUP(J242,'Duplicate Review Queue'!B2:B16,'Duplicate Review Queue'!J2:J16),"Dependency not found"))</x:f>
        <x:v>No duplicate dependency</x:v>
      </x:c>
      <x:c r="L242" s="6" t="str">
        <x:v>Unresolved</x:v>
      </x:c>
      <x:c r="M242" s="6" t="str"/>
      <x:c r="N242" s="7" t="str"/>
      <x:c r="O242" s="6" t="str"/>
      <x:c r="P242" s="6" t="str"/>
      <x:c r="Q242" s="6" t="str">
        <x:v>Pending</x:v>
      </x:c>
      <x:c r="R242" s="7" t="str">
        <x:f>IF(AND(J242&lt;&gt;"",K242="Unresolved"),"Duplicate dependency unresolved","")</x:f>
      </x:c>
      <x:c r="S242" s="6" t="str">
        <x:v>No</x:v>
      </x:c>
      <x:c r="T242" s="7" t="str"/>
    </x:row>
    <x:row r="243">
      <x:c r="A243" s="6" t="str">
        <x:v>SIDX-0242</x:v>
      </x:c>
      <x:c r="B243" s="6" t="str">
        <x:v>SIR-000242</x:v>
      </x:c>
      <x:c r="C243" s="6" t="str">
        <x:v>SVC000242</x:v>
      </x:c>
      <x:c r="D243" s="6" t="str">
        <x:v>iPhone 12 Charge Port Replacement</x:v>
      </x:c>
      <x:c r="E243" s="6" t="str"/>
      <x:c r="F243" s="6" t="str"/>
      <x:c r="G243" s="6" t="str"/>
      <x:c r="H243" s="6" t="str"/>
      <x:c r="I243" s="6" t="str"/>
      <x:c r="J243" s="6" t="str"/>
      <x:c r="K243" s="6" t="str">
        <x:f>IF(J243="","No duplicate dependency",IFERROR(XLOOKUP(J243,'Duplicate Review Queue'!B2:B16,'Duplicate Review Queue'!J2:J16),"Dependency not found"))</x:f>
        <x:v>No duplicate dependency</x:v>
      </x:c>
      <x:c r="L243" s="6" t="str">
        <x:v>Unresolved</x:v>
      </x:c>
      <x:c r="M243" s="6" t="str"/>
      <x:c r="N243" s="7" t="str"/>
      <x:c r="O243" s="6" t="str"/>
      <x:c r="P243" s="6" t="str"/>
      <x:c r="Q243" s="6" t="str">
        <x:v>Pending</x:v>
      </x:c>
      <x:c r="R243" s="7" t="str">
        <x:f>IF(AND(J243&lt;&gt;"",K243="Unresolved"),"Duplicate dependency unresolved","")</x:f>
      </x:c>
      <x:c r="S243" s="6" t="str">
        <x:v>No</x:v>
      </x:c>
      <x:c r="T243" s="7" t="str"/>
    </x:row>
    <x:row r="244">
      <x:c r="A244" s="6" t="str">
        <x:v>SIDX-0243</x:v>
      </x:c>
      <x:c r="B244" s="6" t="str">
        <x:v>SIR-000243</x:v>
      </x:c>
      <x:c r="C244" s="6" t="str">
        <x:v>SVC000243</x:v>
      </x:c>
      <x:c r="D244" s="6" t="str">
        <x:v>iPhone 12 Mini Charge Port Replacement</x:v>
      </x:c>
      <x:c r="E244" s="6" t="str"/>
      <x:c r="F244" s="6" t="str"/>
      <x:c r="G244" s="6" t="str"/>
      <x:c r="H244" s="6" t="str"/>
      <x:c r="I244" s="6" t="str"/>
      <x:c r="J244" s="6" t="str"/>
      <x:c r="K244" s="6" t="str">
        <x:f>IF(J244="","No duplicate dependency",IFERROR(XLOOKUP(J244,'Duplicate Review Queue'!B2:B16,'Duplicate Review Queue'!J2:J16),"Dependency not found"))</x:f>
        <x:v>No duplicate dependency</x:v>
      </x:c>
      <x:c r="L244" s="6" t="str">
        <x:v>Unresolved</x:v>
      </x:c>
      <x:c r="M244" s="6" t="str"/>
      <x:c r="N244" s="7" t="str"/>
      <x:c r="O244" s="6" t="str"/>
      <x:c r="P244" s="6" t="str"/>
      <x:c r="Q244" s="6" t="str">
        <x:v>Pending</x:v>
      </x:c>
      <x:c r="R244" s="7" t="str">
        <x:f>IF(AND(J244&lt;&gt;"",K244="Unresolved"),"Duplicate dependency unresolved","")</x:f>
      </x:c>
      <x:c r="S244" s="6" t="str">
        <x:v>No</x:v>
      </x:c>
      <x:c r="T244" s="7" t="str"/>
    </x:row>
    <x:row r="245">
      <x:c r="A245" s="6" t="str">
        <x:v>SIDX-0244</x:v>
      </x:c>
      <x:c r="B245" s="6" t="str">
        <x:v>SIR-000244</x:v>
      </x:c>
      <x:c r="C245" s="6" t="str">
        <x:v>SVC000244</x:v>
      </x:c>
      <x:c r="D245" s="6" t="str">
        <x:v>iPhone 12 Pro Charge Port Replacement</x:v>
      </x:c>
      <x:c r="E245" s="6" t="str"/>
      <x:c r="F245" s="6" t="str"/>
      <x:c r="G245" s="6" t="str"/>
      <x:c r="H245" s="6" t="str"/>
      <x:c r="I245" s="6" t="str"/>
      <x:c r="J245" s="6" t="str"/>
      <x:c r="K245" s="6" t="str">
        <x:f>IF(J245="","No duplicate dependency",IFERROR(XLOOKUP(J245,'Duplicate Review Queue'!B2:B16,'Duplicate Review Queue'!J2:J16),"Dependency not found"))</x:f>
        <x:v>No duplicate dependency</x:v>
      </x:c>
      <x:c r="L245" s="6" t="str">
        <x:v>Unresolved</x:v>
      </x:c>
      <x:c r="M245" s="6" t="str"/>
      <x:c r="N245" s="7" t="str"/>
      <x:c r="O245" s="6" t="str"/>
      <x:c r="P245" s="6" t="str"/>
      <x:c r="Q245" s="6" t="str">
        <x:v>Pending</x:v>
      </x:c>
      <x:c r="R245" s="7" t="str">
        <x:f>IF(AND(J245&lt;&gt;"",K245="Unresolved"),"Duplicate dependency unresolved","")</x:f>
      </x:c>
      <x:c r="S245" s="6" t="str">
        <x:v>No</x:v>
      </x:c>
      <x:c r="T245" s="7" t="str"/>
    </x:row>
    <x:row r="246">
      <x:c r="A246" s="6" t="str">
        <x:v>SIDX-0245</x:v>
      </x:c>
      <x:c r="B246" s="6" t="str">
        <x:v>SIR-000245</x:v>
      </x:c>
      <x:c r="C246" s="6" t="str">
        <x:v>SVC000245</x:v>
      </x:c>
      <x:c r="D246" s="6" t="str">
        <x:v>iPhone 12 Pro Max Charge Port Replacement</x:v>
      </x:c>
      <x:c r="E246" s="6" t="str"/>
      <x:c r="F246" s="6" t="str"/>
      <x:c r="G246" s="6" t="str"/>
      <x:c r="H246" s="6" t="str"/>
      <x:c r="I246" s="6" t="str"/>
      <x:c r="J246" s="6" t="str"/>
      <x:c r="K246" s="6" t="str">
        <x:f>IF(J246="","No duplicate dependency",IFERROR(XLOOKUP(J246,'Duplicate Review Queue'!B2:B16,'Duplicate Review Queue'!J2:J16),"Dependency not found"))</x:f>
        <x:v>No duplicate dependency</x:v>
      </x:c>
      <x:c r="L246" s="6" t="str">
        <x:v>Unresolved</x:v>
      </x:c>
      <x:c r="M246" s="6" t="str"/>
      <x:c r="N246" s="7" t="str"/>
      <x:c r="O246" s="6" t="str"/>
      <x:c r="P246" s="6" t="str"/>
      <x:c r="Q246" s="6" t="str">
        <x:v>Pending</x:v>
      </x:c>
      <x:c r="R246" s="7" t="str">
        <x:f>IF(AND(J246&lt;&gt;"",K246="Unresolved"),"Duplicate dependency unresolved","")</x:f>
      </x:c>
      <x:c r="S246" s="6" t="str">
        <x:v>No</x:v>
      </x:c>
      <x:c r="T246" s="7" t="str"/>
    </x:row>
    <x:row r="247">
      <x:c r="A247" s="6" t="str">
        <x:v>SIDX-0246</x:v>
      </x:c>
      <x:c r="B247" s="6" t="str">
        <x:v>SIR-000246</x:v>
      </x:c>
      <x:c r="C247" s="6" t="str">
        <x:v>SVC000246</x:v>
      </x:c>
      <x:c r="D247" s="6" t="str">
        <x:v>iPhone 13 Charge Port Replacement</x:v>
      </x:c>
      <x:c r="E247" s="6" t="str"/>
      <x:c r="F247" s="6" t="str"/>
      <x:c r="G247" s="6" t="str"/>
      <x:c r="H247" s="6" t="str"/>
      <x:c r="I247" s="6" t="str"/>
      <x:c r="J247" s="6" t="str"/>
      <x:c r="K247" s="6" t="str">
        <x:f>IF(J247="","No duplicate dependency",IFERROR(XLOOKUP(J247,'Duplicate Review Queue'!B2:B16,'Duplicate Review Queue'!J2:J16),"Dependency not found"))</x:f>
        <x:v>No duplicate dependency</x:v>
      </x:c>
      <x:c r="L247" s="6" t="str">
        <x:v>Unresolved</x:v>
      </x:c>
      <x:c r="M247" s="6" t="str"/>
      <x:c r="N247" s="7" t="str"/>
      <x:c r="O247" s="6" t="str"/>
      <x:c r="P247" s="6" t="str"/>
      <x:c r="Q247" s="6" t="str">
        <x:v>Pending</x:v>
      </x:c>
      <x:c r="R247" s="7" t="str">
        <x:f>IF(AND(J247&lt;&gt;"",K247="Unresolved"),"Duplicate dependency unresolved","")</x:f>
      </x:c>
      <x:c r="S247" s="6" t="str">
        <x:v>No</x:v>
      </x:c>
      <x:c r="T247" s="7" t="str"/>
    </x:row>
    <x:row r="248">
      <x:c r="A248" s="6" t="str">
        <x:v>SIDX-0247</x:v>
      </x:c>
      <x:c r="B248" s="6" t="str">
        <x:v>SIR-000247</x:v>
      </x:c>
      <x:c r="C248" s="6" t="str">
        <x:v>SVC000247</x:v>
      </x:c>
      <x:c r="D248" s="6" t="str">
        <x:v>iPhone 13 Mini Charge Port Replacement</x:v>
      </x:c>
      <x:c r="E248" s="6" t="str"/>
      <x:c r="F248" s="6" t="str"/>
      <x:c r="G248" s="6" t="str"/>
      <x:c r="H248" s="6" t="str"/>
      <x:c r="I248" s="6" t="str"/>
      <x:c r="J248" s="6" t="str"/>
      <x:c r="K248" s="6" t="str">
        <x:f>IF(J248="","No duplicate dependency",IFERROR(XLOOKUP(J248,'Duplicate Review Queue'!B2:B16,'Duplicate Review Queue'!J2:J16),"Dependency not found"))</x:f>
        <x:v>No duplicate dependency</x:v>
      </x:c>
      <x:c r="L248" s="6" t="str">
        <x:v>Unresolved</x:v>
      </x:c>
      <x:c r="M248" s="6" t="str"/>
      <x:c r="N248" s="7" t="str"/>
      <x:c r="O248" s="6" t="str"/>
      <x:c r="P248" s="6" t="str"/>
      <x:c r="Q248" s="6" t="str">
        <x:v>Pending</x:v>
      </x:c>
      <x:c r="R248" s="7" t="str">
        <x:f>IF(AND(J248&lt;&gt;"",K248="Unresolved"),"Duplicate dependency unresolved","")</x:f>
      </x:c>
      <x:c r="S248" s="6" t="str">
        <x:v>No</x:v>
      </x:c>
      <x:c r="T248" s="7" t="str"/>
    </x:row>
    <x:row r="249">
      <x:c r="A249" s="6" t="str">
        <x:v>SIDX-0248</x:v>
      </x:c>
      <x:c r="B249" s="6" t="str">
        <x:v>SIR-000248</x:v>
      </x:c>
      <x:c r="C249" s="6" t="str">
        <x:v>SVC000248</x:v>
      </x:c>
      <x:c r="D249" s="6" t="str">
        <x:v>iPhone 13 Pro Charge Port Replacement</x:v>
      </x:c>
      <x:c r="E249" s="6" t="str"/>
      <x:c r="F249" s="6" t="str"/>
      <x:c r="G249" s="6" t="str"/>
      <x:c r="H249" s="6" t="str"/>
      <x:c r="I249" s="6" t="str"/>
      <x:c r="J249" s="6" t="str"/>
      <x:c r="K249" s="6" t="str">
        <x:f>IF(J249="","No duplicate dependency",IFERROR(XLOOKUP(J249,'Duplicate Review Queue'!B2:B16,'Duplicate Review Queue'!J2:J16),"Dependency not found"))</x:f>
        <x:v>No duplicate dependency</x:v>
      </x:c>
      <x:c r="L249" s="6" t="str">
        <x:v>Unresolved</x:v>
      </x:c>
      <x:c r="M249" s="6" t="str"/>
      <x:c r="N249" s="7" t="str"/>
      <x:c r="O249" s="6" t="str"/>
      <x:c r="P249" s="6" t="str"/>
      <x:c r="Q249" s="6" t="str">
        <x:v>Pending</x:v>
      </x:c>
      <x:c r="R249" s="7" t="str">
        <x:f>IF(AND(J249&lt;&gt;"",K249="Unresolved"),"Duplicate dependency unresolved","")</x:f>
      </x:c>
      <x:c r="S249" s="6" t="str">
        <x:v>No</x:v>
      </x:c>
      <x:c r="T249" s="7" t="str"/>
    </x:row>
    <x:row r="250">
      <x:c r="A250" s="6" t="str">
        <x:v>SIDX-0249</x:v>
      </x:c>
      <x:c r="B250" s="6" t="str">
        <x:v>SIR-000249</x:v>
      </x:c>
      <x:c r="C250" s="6" t="str">
        <x:v>SVC000249</x:v>
      </x:c>
      <x:c r="D250" s="6" t="str">
        <x:v>iPhone 13 Pro Max Charge Port Replacement</x:v>
      </x:c>
      <x:c r="E250" s="6" t="str"/>
      <x:c r="F250" s="6" t="str"/>
      <x:c r="G250" s="6" t="str"/>
      <x:c r="H250" s="6" t="str"/>
      <x:c r="I250" s="6" t="str"/>
      <x:c r="J250" s="6" t="str"/>
      <x:c r="K250" s="6" t="str">
        <x:f>IF(J250="","No duplicate dependency",IFERROR(XLOOKUP(J250,'Duplicate Review Queue'!B2:B16,'Duplicate Review Queue'!J2:J16),"Dependency not found"))</x:f>
        <x:v>No duplicate dependency</x:v>
      </x:c>
      <x:c r="L250" s="6" t="str">
        <x:v>Unresolved</x:v>
      </x:c>
      <x:c r="M250" s="6" t="str"/>
      <x:c r="N250" s="7" t="str"/>
      <x:c r="O250" s="6" t="str"/>
      <x:c r="P250" s="6" t="str"/>
      <x:c r="Q250" s="6" t="str">
        <x:v>Pending</x:v>
      </x:c>
      <x:c r="R250" s="7" t="str">
        <x:f>IF(AND(J250&lt;&gt;"",K250="Unresolved"),"Duplicate dependency unresolved","")</x:f>
      </x:c>
      <x:c r="S250" s="6" t="str">
        <x:v>No</x:v>
      </x:c>
      <x:c r="T250" s="7" t="str"/>
    </x:row>
    <x:row r="251">
      <x:c r="A251" s="6" t="str">
        <x:v>SIDX-0250</x:v>
      </x:c>
      <x:c r="B251" s="6" t="str">
        <x:v>SIR-000250</x:v>
      </x:c>
      <x:c r="C251" s="6" t="str">
        <x:v>SVC000250</x:v>
      </x:c>
      <x:c r="D251" s="6" t="str">
        <x:v>iPhone SE (3RD GEN) Charge Port Replacement</x:v>
      </x:c>
      <x:c r="E251" s="6" t="str"/>
      <x:c r="F251" s="6" t="str"/>
      <x:c r="G251" s="6" t="str"/>
      <x:c r="H251" s="6" t="str"/>
      <x:c r="I251" s="6" t="str"/>
      <x:c r="J251" s="6" t="str"/>
      <x:c r="K251" s="6" t="str">
        <x:f>IF(J251="","No duplicate dependency",IFERROR(XLOOKUP(J251,'Duplicate Review Queue'!B2:B16,'Duplicate Review Queue'!J2:J16),"Dependency not found"))</x:f>
        <x:v>No duplicate dependency</x:v>
      </x:c>
      <x:c r="L251" s="6" t="str">
        <x:v>Unresolved</x:v>
      </x:c>
      <x:c r="M251" s="6" t="str"/>
      <x:c r="N251" s="7" t="str"/>
      <x:c r="O251" s="6" t="str"/>
      <x:c r="P251" s="6" t="str"/>
      <x:c r="Q251" s="6" t="str">
        <x:v>Pending</x:v>
      </x:c>
      <x:c r="R251" s="7" t="str">
        <x:f>IF(AND(J251&lt;&gt;"",K251="Unresolved"),"Duplicate dependency unresolved","")</x:f>
      </x:c>
      <x:c r="S251" s="6" t="str">
        <x:v>No</x:v>
      </x:c>
      <x:c r="T251" s="7" t="str"/>
    </x:row>
    <x:row r="252">
      <x:c r="A252" s="6" t="str">
        <x:v>SIDX-0251</x:v>
      </x:c>
      <x:c r="B252" s="6" t="str">
        <x:v>SIR-000251</x:v>
      </x:c>
      <x:c r="C252" s="6" t="str">
        <x:v>SVC000251</x:v>
      </x:c>
      <x:c r="D252" s="6" t="str">
        <x:v>iPhone 14 Charge Port Replacement</x:v>
      </x:c>
      <x:c r="E252" s="6" t="str"/>
      <x:c r="F252" s="6" t="str"/>
      <x:c r="G252" s="6" t="str"/>
      <x:c r="H252" s="6" t="str"/>
      <x:c r="I252" s="6" t="str"/>
      <x:c r="J252" s="6" t="str"/>
      <x:c r="K252" s="6" t="str">
        <x:f>IF(J252="","No duplicate dependency",IFERROR(XLOOKUP(J252,'Duplicate Review Queue'!B2:B16,'Duplicate Review Queue'!J2:J16),"Dependency not found"))</x:f>
        <x:v>No duplicate dependency</x:v>
      </x:c>
      <x:c r="L252" s="6" t="str">
        <x:v>Unresolved</x:v>
      </x:c>
      <x:c r="M252" s="6" t="str"/>
      <x:c r="N252" s="7" t="str"/>
      <x:c r="O252" s="6" t="str"/>
      <x:c r="P252" s="6" t="str"/>
      <x:c r="Q252" s="6" t="str">
        <x:v>Pending</x:v>
      </x:c>
      <x:c r="R252" s="7" t="str">
        <x:f>IF(AND(J252&lt;&gt;"",K252="Unresolved"),"Duplicate dependency unresolved","")</x:f>
      </x:c>
      <x:c r="S252" s="6" t="str">
        <x:v>No</x:v>
      </x:c>
      <x:c r="T252" s="7" t="str"/>
    </x:row>
    <x:row r="253">
      <x:c r="A253" s="6" t="str">
        <x:v>SIDX-0252</x:v>
      </x:c>
      <x:c r="B253" s="6" t="str">
        <x:v>SIR-000252</x:v>
      </x:c>
      <x:c r="C253" s="6" t="str">
        <x:v>SVC000252</x:v>
      </x:c>
      <x:c r="D253" s="6" t="str">
        <x:v>iPhone 14 Plus Charge Port Replacement</x:v>
      </x:c>
      <x:c r="E253" s="6" t="str"/>
      <x:c r="F253" s="6" t="str"/>
      <x:c r="G253" s="6" t="str"/>
      <x:c r="H253" s="6" t="str"/>
      <x:c r="I253" s="6" t="str"/>
      <x:c r="J253" s="6" t="str"/>
      <x:c r="K253" s="6" t="str">
        <x:f>IF(J253="","No duplicate dependency",IFERROR(XLOOKUP(J253,'Duplicate Review Queue'!B2:B16,'Duplicate Review Queue'!J2:J16),"Dependency not found"))</x:f>
        <x:v>No duplicate dependency</x:v>
      </x:c>
      <x:c r="L253" s="6" t="str">
        <x:v>Unresolved</x:v>
      </x:c>
      <x:c r="M253" s="6" t="str"/>
      <x:c r="N253" s="7" t="str"/>
      <x:c r="O253" s="6" t="str"/>
      <x:c r="P253" s="6" t="str"/>
      <x:c r="Q253" s="6" t="str">
        <x:v>Pending</x:v>
      </x:c>
      <x:c r="R253" s="7" t="str">
        <x:f>IF(AND(J253&lt;&gt;"",K253="Unresolved"),"Duplicate dependency unresolved","")</x:f>
      </x:c>
      <x:c r="S253" s="6" t="str">
        <x:v>No</x:v>
      </x:c>
      <x:c r="T253" s="7" t="str"/>
    </x:row>
    <x:row r="254">
      <x:c r="A254" s="6" t="str">
        <x:v>SIDX-0253</x:v>
      </x:c>
      <x:c r="B254" s="6" t="str">
        <x:v>SIR-000253</x:v>
      </x:c>
      <x:c r="C254" s="6" t="str">
        <x:v>SVC000253</x:v>
      </x:c>
      <x:c r="D254" s="6" t="str">
        <x:v>iPhone 14 Pro Charge Port Replacement</x:v>
      </x:c>
      <x:c r="E254" s="6" t="str"/>
      <x:c r="F254" s="6" t="str"/>
      <x:c r="G254" s="6" t="str"/>
      <x:c r="H254" s="6" t="str"/>
      <x:c r="I254" s="6" t="str"/>
      <x:c r="J254" s="6" t="str"/>
      <x:c r="K254" s="6" t="str">
        <x:f>IF(J254="","No duplicate dependency",IFERROR(XLOOKUP(J254,'Duplicate Review Queue'!B2:B16,'Duplicate Review Queue'!J2:J16),"Dependency not found"))</x:f>
        <x:v>No duplicate dependency</x:v>
      </x:c>
      <x:c r="L254" s="6" t="str">
        <x:v>Unresolved</x:v>
      </x:c>
      <x:c r="M254" s="6" t="str"/>
      <x:c r="N254" s="7" t="str"/>
      <x:c r="O254" s="6" t="str"/>
      <x:c r="P254" s="6" t="str"/>
      <x:c r="Q254" s="6" t="str">
        <x:v>Pending</x:v>
      </x:c>
      <x:c r="R254" s="7" t="str">
        <x:f>IF(AND(J254&lt;&gt;"",K254="Unresolved"),"Duplicate dependency unresolved","")</x:f>
      </x:c>
      <x:c r="S254" s="6" t="str">
        <x:v>No</x:v>
      </x:c>
      <x:c r="T254" s="7" t="str"/>
    </x:row>
    <x:row r="255">
      <x:c r="A255" s="6" t="str">
        <x:v>SIDX-0254</x:v>
      </x:c>
      <x:c r="B255" s="6" t="str">
        <x:v>SIR-000254</x:v>
      </x:c>
      <x:c r="C255" s="6" t="str">
        <x:v>SVC000254</x:v>
      </x:c>
      <x:c r="D255" s="6" t="str">
        <x:v>iPhone 14 Pro Max Charge Port Replacement</x:v>
      </x:c>
      <x:c r="E255" s="6" t="str"/>
      <x:c r="F255" s="6" t="str"/>
      <x:c r="G255" s="6" t="str"/>
      <x:c r="H255" s="6" t="str"/>
      <x:c r="I255" s="6" t="str"/>
      <x:c r="J255" s="6" t="str"/>
      <x:c r="K255" s="6" t="str">
        <x:f>IF(J255="","No duplicate dependency",IFERROR(XLOOKUP(J255,'Duplicate Review Queue'!B2:B16,'Duplicate Review Queue'!J2:J16),"Dependency not found"))</x:f>
        <x:v>No duplicate dependency</x:v>
      </x:c>
      <x:c r="L255" s="6" t="str">
        <x:v>Unresolved</x:v>
      </x:c>
      <x:c r="M255" s="6" t="str"/>
      <x:c r="N255" s="7" t="str"/>
      <x:c r="O255" s="6" t="str"/>
      <x:c r="P255" s="6" t="str"/>
      <x:c r="Q255" s="6" t="str">
        <x:v>Pending</x:v>
      </x:c>
      <x:c r="R255" s="7" t="str">
        <x:f>IF(AND(J255&lt;&gt;"",K255="Unresolved"),"Duplicate dependency unresolved","")</x:f>
      </x:c>
      <x:c r="S255" s="6" t="str">
        <x:v>No</x:v>
      </x:c>
      <x:c r="T255" s="7" t="str"/>
    </x:row>
    <x:row r="256">
      <x:c r="A256" s="6" t="str">
        <x:v>SIDX-0255</x:v>
      </x:c>
      <x:c r="B256" s="6" t="str">
        <x:v>SIR-000255</x:v>
      </x:c>
      <x:c r="C256" s="6" t="str">
        <x:v>SVC000255</x:v>
      </x:c>
      <x:c r="D256" s="6" t="str">
        <x:v>iPhone 15 Charge Port Replacement</x:v>
      </x:c>
      <x:c r="E256" s="6" t="str"/>
      <x:c r="F256" s="6" t="str"/>
      <x:c r="G256" s="6" t="str"/>
      <x:c r="H256" s="6" t="str"/>
      <x:c r="I256" s="6" t="str"/>
      <x:c r="J256" s="6" t="str"/>
      <x:c r="K256" s="6" t="str">
        <x:f>IF(J256="","No duplicate dependency",IFERROR(XLOOKUP(J256,'Duplicate Review Queue'!B2:B16,'Duplicate Review Queue'!J2:J16),"Dependency not found"))</x:f>
        <x:v>No duplicate dependency</x:v>
      </x:c>
      <x:c r="L256" s="6" t="str">
        <x:v>Unresolved</x:v>
      </x:c>
      <x:c r="M256" s="6" t="str"/>
      <x:c r="N256" s="7" t="str"/>
      <x:c r="O256" s="6" t="str"/>
      <x:c r="P256" s="6" t="str"/>
      <x:c r="Q256" s="6" t="str">
        <x:v>Pending</x:v>
      </x:c>
      <x:c r="R256" s="7" t="str">
        <x:f>IF(AND(J256&lt;&gt;"",K256="Unresolved"),"Duplicate dependency unresolved","")</x:f>
      </x:c>
      <x:c r="S256" s="6" t="str">
        <x:v>No</x:v>
      </x:c>
      <x:c r="T256" s="7" t="str"/>
    </x:row>
    <x:row r="257">
      <x:c r="A257" s="6" t="str">
        <x:v>SIDX-0256</x:v>
      </x:c>
      <x:c r="B257" s="6" t="str">
        <x:v>SIR-000256</x:v>
      </x:c>
      <x:c r="C257" s="6" t="str">
        <x:v>SVC000256</x:v>
      </x:c>
      <x:c r="D257" s="6" t="str">
        <x:v>iPhone 15 Plus Charge Port Replacement</x:v>
      </x:c>
      <x:c r="E257" s="6" t="str"/>
      <x:c r="F257" s="6" t="str"/>
      <x:c r="G257" s="6" t="str"/>
      <x:c r="H257" s="6" t="str"/>
      <x:c r="I257" s="6" t="str"/>
      <x:c r="J257" s="6" t="str"/>
      <x:c r="K257" s="6" t="str">
        <x:f>IF(J257="","No duplicate dependency",IFERROR(XLOOKUP(J257,'Duplicate Review Queue'!B2:B16,'Duplicate Review Queue'!J2:J16),"Dependency not found"))</x:f>
        <x:v>No duplicate dependency</x:v>
      </x:c>
      <x:c r="L257" s="6" t="str">
        <x:v>Unresolved</x:v>
      </x:c>
      <x:c r="M257" s="6" t="str"/>
      <x:c r="N257" s="7" t="str"/>
      <x:c r="O257" s="6" t="str"/>
      <x:c r="P257" s="6" t="str"/>
      <x:c r="Q257" s="6" t="str">
        <x:v>Pending</x:v>
      </x:c>
      <x:c r="R257" s="7" t="str">
        <x:f>IF(AND(J257&lt;&gt;"",K257="Unresolved"),"Duplicate dependency unresolved","")</x:f>
      </x:c>
      <x:c r="S257" s="6" t="str">
        <x:v>No</x:v>
      </x:c>
      <x:c r="T257" s="7" t="str"/>
    </x:row>
    <x:row r="258">
      <x:c r="A258" s="6" t="str">
        <x:v>SIDX-0257</x:v>
      </x:c>
      <x:c r="B258" s="6" t="str">
        <x:v>SIR-000257</x:v>
      </x:c>
      <x:c r="C258" s="6" t="str">
        <x:v>SVC000257</x:v>
      </x:c>
      <x:c r="D258" s="6" t="str">
        <x:v>iPhone 15 Pro Phone Charge Port Replacement</x:v>
      </x:c>
      <x:c r="E258" s="6" t="str"/>
      <x:c r="F258" s="6" t="str"/>
      <x:c r="G258" s="6" t="str"/>
      <x:c r="H258" s="6" t="str"/>
      <x:c r="I258" s="6" t="str"/>
      <x:c r="J258" s="6" t="str"/>
      <x:c r="K258" s="6" t="str">
        <x:f>IF(J258="","No duplicate dependency",IFERROR(XLOOKUP(J258,'Duplicate Review Queue'!B2:B16,'Duplicate Review Queue'!J2:J16),"Dependency not found"))</x:f>
        <x:v>No duplicate dependency</x:v>
      </x:c>
      <x:c r="L258" s="6" t="str">
        <x:v>Unresolved</x:v>
      </x:c>
      <x:c r="M258" s="6" t="str"/>
      <x:c r="N258" s="7" t="str"/>
      <x:c r="O258" s="6" t="str"/>
      <x:c r="P258" s="6" t="str"/>
      <x:c r="Q258" s="6" t="str">
        <x:v>Pending</x:v>
      </x:c>
      <x:c r="R258" s="7" t="str">
        <x:f>IF(AND(J258&lt;&gt;"",K258="Unresolved"),"Duplicate dependency unresolved","")</x:f>
      </x:c>
      <x:c r="S258" s="6" t="str">
        <x:v>No</x:v>
      </x:c>
      <x:c r="T258" s="7" t="str"/>
    </x:row>
    <x:row r="259">
      <x:c r="A259" s="6" t="str">
        <x:v>SIDX-0258</x:v>
      </x:c>
      <x:c r="B259" s="6" t="str">
        <x:v>SIR-000258</x:v>
      </x:c>
      <x:c r="C259" s="6" t="str">
        <x:v>SVC000258</x:v>
      </x:c>
      <x:c r="D259" s="6" t="str">
        <x:v>iPhone 15 Pro Max Charge Port Replacement</x:v>
      </x:c>
      <x:c r="E259" s="6" t="str"/>
      <x:c r="F259" s="6" t="str"/>
      <x:c r="G259" s="6" t="str"/>
      <x:c r="H259" s="6" t="str"/>
      <x:c r="I259" s="6" t="str"/>
      <x:c r="J259" s="6" t="str"/>
      <x:c r="K259" s="6" t="str">
        <x:f>IF(J259="","No duplicate dependency",IFERROR(XLOOKUP(J259,'Duplicate Review Queue'!B2:B16,'Duplicate Review Queue'!J2:J16),"Dependency not found"))</x:f>
        <x:v>No duplicate dependency</x:v>
      </x:c>
      <x:c r="L259" s="6" t="str">
        <x:v>Unresolved</x:v>
      </x:c>
      <x:c r="M259" s="6" t="str"/>
      <x:c r="N259" s="7" t="str"/>
      <x:c r="O259" s="6" t="str"/>
      <x:c r="P259" s="6" t="str"/>
      <x:c r="Q259" s="6" t="str">
        <x:v>Pending</x:v>
      </x:c>
      <x:c r="R259" s="7" t="str">
        <x:f>IF(AND(J259&lt;&gt;"",K259="Unresolved"),"Duplicate dependency unresolved","")</x:f>
      </x:c>
      <x:c r="S259" s="6" t="str">
        <x:v>No</x:v>
      </x:c>
      <x:c r="T259" s="7" t="str"/>
    </x:row>
    <x:row r="260">
      <x:c r="A260" s="6" t="str">
        <x:v>SIDX-0259</x:v>
      </x:c>
      <x:c r="B260" s="6" t="str">
        <x:v>SIR-000259</x:v>
      </x:c>
      <x:c r="C260" s="6" t="str">
        <x:v>SVC000259</x:v>
      </x:c>
      <x:c r="D260" s="6" t="str">
        <x:v>iPhone 16 Charge Port Replacement</x:v>
      </x:c>
      <x:c r="E260" s="6" t="str"/>
      <x:c r="F260" s="6" t="str"/>
      <x:c r="G260" s="6" t="str"/>
      <x:c r="H260" s="6" t="str"/>
      <x:c r="I260" s="6" t="str"/>
      <x:c r="J260" s="6" t="str"/>
      <x:c r="K260" s="6" t="str">
        <x:f>IF(J260="","No duplicate dependency",IFERROR(XLOOKUP(J260,'Duplicate Review Queue'!B2:B16,'Duplicate Review Queue'!J2:J16),"Dependency not found"))</x:f>
        <x:v>No duplicate dependency</x:v>
      </x:c>
      <x:c r="L260" s="6" t="str">
        <x:v>Unresolved</x:v>
      </x:c>
      <x:c r="M260" s="6" t="str"/>
      <x:c r="N260" s="7" t="str"/>
      <x:c r="O260" s="6" t="str"/>
      <x:c r="P260" s="6" t="str"/>
      <x:c r="Q260" s="6" t="str">
        <x:v>Pending</x:v>
      </x:c>
      <x:c r="R260" s="7" t="str">
        <x:f>IF(AND(J260&lt;&gt;"",K260="Unresolved"),"Duplicate dependency unresolved","")</x:f>
      </x:c>
      <x:c r="S260" s="6" t="str">
        <x:v>No</x:v>
      </x:c>
      <x:c r="T260" s="7" t="str"/>
    </x:row>
    <x:row r="261">
      <x:c r="A261" s="6" t="str">
        <x:v>SIDX-0260</x:v>
      </x:c>
      <x:c r="B261" s="6" t="str">
        <x:v>SIR-000260</x:v>
      </x:c>
      <x:c r="C261" s="6" t="str">
        <x:v>SVC000260</x:v>
      </x:c>
      <x:c r="D261" s="6" t="str">
        <x:v>iPhone 16 Plus Charge Port Replacement</x:v>
      </x:c>
      <x:c r="E261" s="6" t="str"/>
      <x:c r="F261" s="6" t="str"/>
      <x:c r="G261" s="6" t="str"/>
      <x:c r="H261" s="6" t="str"/>
      <x:c r="I261" s="6" t="str"/>
      <x:c r="J261" s="6" t="str"/>
      <x:c r="K261" s="6" t="str">
        <x:f>IF(J261="","No duplicate dependency",IFERROR(XLOOKUP(J261,'Duplicate Review Queue'!B2:B16,'Duplicate Review Queue'!J2:J16),"Dependency not found"))</x:f>
        <x:v>No duplicate dependency</x:v>
      </x:c>
      <x:c r="L261" s="6" t="str">
        <x:v>Unresolved</x:v>
      </x:c>
      <x:c r="M261" s="6" t="str"/>
      <x:c r="N261" s="7" t="str"/>
      <x:c r="O261" s="6" t="str"/>
      <x:c r="P261" s="6" t="str"/>
      <x:c r="Q261" s="6" t="str">
        <x:v>Pending</x:v>
      </x:c>
      <x:c r="R261" s="7" t="str">
        <x:f>IF(AND(J261&lt;&gt;"",K261="Unresolved"),"Duplicate dependency unresolved","")</x:f>
      </x:c>
      <x:c r="S261" s="6" t="str">
        <x:v>No</x:v>
      </x:c>
      <x:c r="T261" s="7" t="str"/>
    </x:row>
    <x:row r="262">
      <x:c r="A262" s="6" t="str">
        <x:v>SIDX-0261</x:v>
      </x:c>
      <x:c r="B262" s="6" t="str">
        <x:v>SIR-000261</x:v>
      </x:c>
      <x:c r="C262" s="6" t="str">
        <x:v>SVC000261</x:v>
      </x:c>
      <x:c r="D262" s="6" t="str">
        <x:v>iPhone 16 Pro Charge Port Replacement</x:v>
      </x:c>
      <x:c r="E262" s="6" t="str"/>
      <x:c r="F262" s="6" t="str"/>
      <x:c r="G262" s="6" t="str"/>
      <x:c r="H262" s="6" t="str"/>
      <x:c r="I262" s="6" t="str"/>
      <x:c r="J262" s="6" t="str"/>
      <x:c r="K262" s="6" t="str">
        <x:f>IF(J262="","No duplicate dependency",IFERROR(XLOOKUP(J262,'Duplicate Review Queue'!B2:B16,'Duplicate Review Queue'!J2:J16),"Dependency not found"))</x:f>
        <x:v>No duplicate dependency</x:v>
      </x:c>
      <x:c r="L262" s="6" t="str">
        <x:v>Unresolved</x:v>
      </x:c>
      <x:c r="M262" s="6" t="str"/>
      <x:c r="N262" s="7" t="str"/>
      <x:c r="O262" s="6" t="str"/>
      <x:c r="P262" s="6" t="str"/>
      <x:c r="Q262" s="6" t="str">
        <x:v>Pending</x:v>
      </x:c>
      <x:c r="R262" s="7" t="str">
        <x:f>IF(AND(J262&lt;&gt;"",K262="Unresolved"),"Duplicate dependency unresolved","")</x:f>
      </x:c>
      <x:c r="S262" s="6" t="str">
        <x:v>No</x:v>
      </x:c>
      <x:c r="T262" s="7" t="str"/>
    </x:row>
    <x:row r="263">
      <x:c r="A263" s="6" t="str">
        <x:v>SIDX-0262</x:v>
      </x:c>
      <x:c r="B263" s="6" t="str">
        <x:v>SIR-000262</x:v>
      </x:c>
      <x:c r="C263" s="6" t="str">
        <x:v>SVC000262</x:v>
      </x:c>
      <x:c r="D263" s="6" t="str">
        <x:v>iPhone 16 Pro Max Charge Port Replacement</x:v>
      </x:c>
      <x:c r="E263" s="6" t="str"/>
      <x:c r="F263" s="6" t="str"/>
      <x:c r="G263" s="6" t="str"/>
      <x:c r="H263" s="6" t="str"/>
      <x:c r="I263" s="6" t="str"/>
      <x:c r="J263" s="6" t="str"/>
      <x:c r="K263" s="6" t="str">
        <x:f>IF(J263="","No duplicate dependency",IFERROR(XLOOKUP(J263,'Duplicate Review Queue'!B2:B16,'Duplicate Review Queue'!J2:J16),"Dependency not found"))</x:f>
        <x:v>No duplicate dependency</x:v>
      </x:c>
      <x:c r="L263" s="6" t="str">
        <x:v>Unresolved</x:v>
      </x:c>
      <x:c r="M263" s="6" t="str"/>
      <x:c r="N263" s="7" t="str"/>
      <x:c r="O263" s="6" t="str"/>
      <x:c r="P263" s="6" t="str"/>
      <x:c r="Q263" s="6" t="str">
        <x:v>Pending</x:v>
      </x:c>
      <x:c r="R263" s="7" t="str">
        <x:f>IF(AND(J263&lt;&gt;"",K263="Unresolved"),"Duplicate dependency unresolved","")</x:f>
      </x:c>
      <x:c r="S263" s="6" t="str">
        <x:v>No</x:v>
      </x:c>
      <x:c r="T263" s="7" t="str"/>
    </x:row>
    <x:row r="264">
      <x:c r="A264" s="6" t="str">
        <x:v>SIDX-0263</x:v>
      </x:c>
      <x:c r="B264" s="6" t="str">
        <x:v>SIR-000263</x:v>
      </x:c>
      <x:c r="C264" s="6" t="str">
        <x:v>SVC000263</x:v>
      </x:c>
      <x:c r="D264" s="6" t="str">
        <x:v>iPhone 16E Charge Port Replacement</x:v>
      </x:c>
      <x:c r="E264" s="6" t="str"/>
      <x:c r="F264" s="6" t="str"/>
      <x:c r="G264" s="6" t="str"/>
      <x:c r="H264" s="6" t="str"/>
      <x:c r="I264" s="6" t="str"/>
      <x:c r="J264" s="6" t="str"/>
      <x:c r="K264" s="6" t="str">
        <x:f>IF(J264="","No duplicate dependency",IFERROR(XLOOKUP(J264,'Duplicate Review Queue'!B2:B16,'Duplicate Review Queue'!J2:J16),"Dependency not found"))</x:f>
        <x:v>No duplicate dependency</x:v>
      </x:c>
      <x:c r="L264" s="6" t="str">
        <x:v>Unresolved</x:v>
      </x:c>
      <x:c r="M264" s="6" t="str"/>
      <x:c r="N264" s="7" t="str"/>
      <x:c r="O264" s="6" t="str"/>
      <x:c r="P264" s="6" t="str"/>
      <x:c r="Q264" s="6" t="str">
        <x:v>Pending</x:v>
      </x:c>
      <x:c r="R264" s="7" t="str">
        <x:f>IF(AND(J264&lt;&gt;"",K264="Unresolved"),"Duplicate dependency unresolved","")</x:f>
      </x:c>
      <x:c r="S264" s="6" t="str">
        <x:v>No</x:v>
      </x:c>
      <x:c r="T264" s="7" t="str"/>
    </x:row>
    <x:row r="265">
      <x:c r="A265" s="6" t="str">
        <x:v>SIDX-0264</x:v>
      </x:c>
      <x:c r="B265" s="6" t="str">
        <x:v>SIR-000264</x:v>
      </x:c>
      <x:c r="C265" s="6" t="str">
        <x:v>SVC000264</x:v>
      </x:c>
      <x:c r="D265" s="6" t="str">
        <x:v>iPhone 17 Charge Port Replacement</x:v>
      </x:c>
      <x:c r="E265" s="6" t="str"/>
      <x:c r="F265" s="6" t="str"/>
      <x:c r="G265" s="6" t="str"/>
      <x:c r="H265" s="6" t="str"/>
      <x:c r="I265" s="6" t="str"/>
      <x:c r="J265" s="6" t="str"/>
      <x:c r="K265" s="6" t="str">
        <x:f>IF(J265="","No duplicate dependency",IFERROR(XLOOKUP(J265,'Duplicate Review Queue'!B2:B16,'Duplicate Review Queue'!J2:J16),"Dependency not found"))</x:f>
        <x:v>No duplicate dependency</x:v>
      </x:c>
      <x:c r="L265" s="6" t="str">
        <x:v>Unresolved</x:v>
      </x:c>
      <x:c r="M265" s="6" t="str"/>
      <x:c r="N265" s="7" t="str"/>
      <x:c r="O265" s="6" t="str"/>
      <x:c r="P265" s="6" t="str"/>
      <x:c r="Q265" s="6" t="str">
        <x:v>Pending</x:v>
      </x:c>
      <x:c r="R265" s="7" t="str">
        <x:f>IF(AND(J265&lt;&gt;"",K265="Unresolved"),"Duplicate dependency unresolved","")</x:f>
      </x:c>
      <x:c r="S265" s="6" t="str">
        <x:v>No</x:v>
      </x:c>
      <x:c r="T265" s="7" t="str"/>
    </x:row>
    <x:row r="266">
      <x:c r="A266" s="6" t="str">
        <x:v>SIDX-0265</x:v>
      </x:c>
      <x:c r="B266" s="6" t="str">
        <x:v>SIR-000265</x:v>
      </x:c>
      <x:c r="C266" s="6" t="str">
        <x:v>SVC000265</x:v>
      </x:c>
      <x:c r="D266" s="6" t="str">
        <x:v>iPhone 17 Pro Charge Port Replacement</x:v>
      </x:c>
      <x:c r="E266" s="6" t="str"/>
      <x:c r="F266" s="6" t="str"/>
      <x:c r="G266" s="6" t="str"/>
      <x:c r="H266" s="6" t="str"/>
      <x:c r="I266" s="6" t="str"/>
      <x:c r="J266" s="6" t="str"/>
      <x:c r="K266" s="6" t="str">
        <x:f>IF(J266="","No duplicate dependency",IFERROR(XLOOKUP(J266,'Duplicate Review Queue'!B2:B16,'Duplicate Review Queue'!J2:J16),"Dependency not found"))</x:f>
        <x:v>No duplicate dependency</x:v>
      </x:c>
      <x:c r="L266" s="6" t="str">
        <x:v>Unresolved</x:v>
      </x:c>
      <x:c r="M266" s="6" t="str"/>
      <x:c r="N266" s="7" t="str"/>
      <x:c r="O266" s="6" t="str"/>
      <x:c r="P266" s="6" t="str"/>
      <x:c r="Q266" s="6" t="str">
        <x:v>Pending</x:v>
      </x:c>
      <x:c r="R266" s="7" t="str">
        <x:f>IF(AND(J266&lt;&gt;"",K266="Unresolved"),"Duplicate dependency unresolved","")</x:f>
      </x:c>
      <x:c r="S266" s="6" t="str">
        <x:v>No</x:v>
      </x:c>
      <x:c r="T266" s="7" t="str"/>
    </x:row>
    <x:row r="267">
      <x:c r="A267" s="6" t="str">
        <x:v>SIDX-0266</x:v>
      </x:c>
      <x:c r="B267" s="6" t="str">
        <x:v>SIR-000266</x:v>
      </x:c>
      <x:c r="C267" s="6" t="str">
        <x:v>SVC000266</x:v>
      </x:c>
      <x:c r="D267" s="6" t="str">
        <x:v>iPhone 17 Pro Max Phone* Charge Port Replacement</x:v>
      </x:c>
      <x:c r="E267" s="6" t="str"/>
      <x:c r="F267" s="6" t="str"/>
      <x:c r="G267" s="6" t="str"/>
      <x:c r="H267" s="6" t="str"/>
      <x:c r="I267" s="6" t="str"/>
      <x:c r="J267" s="6" t="str"/>
      <x:c r="K267" s="6" t="str">
        <x:f>IF(J267="","No duplicate dependency",IFERROR(XLOOKUP(J267,'Duplicate Review Queue'!B2:B16,'Duplicate Review Queue'!J2:J16),"Dependency not found"))</x:f>
        <x:v>No duplicate dependency</x:v>
      </x:c>
      <x:c r="L267" s="6" t="str">
        <x:v>Unresolved</x:v>
      </x:c>
      <x:c r="M267" s="6" t="str"/>
      <x:c r="N267" s="7" t="str"/>
      <x:c r="O267" s="6" t="str"/>
      <x:c r="P267" s="6" t="str"/>
      <x:c r="Q267" s="6" t="str">
        <x:v>Pending</x:v>
      </x:c>
      <x:c r="R267" s="7" t="str">
        <x:f>IF(AND(J267&lt;&gt;"",K267="Unresolved"),"Duplicate dependency unresolved","")</x:f>
      </x:c>
      <x:c r="S267" s="6" t="str">
        <x:v>No</x:v>
      </x:c>
      <x:c r="T267" s="7" t="str"/>
    </x:row>
    <x:row r="268">
      <x:c r="A268" s="6" t="str">
        <x:v>SIDX-0267</x:v>
      </x:c>
      <x:c r="B268" s="6" t="str">
        <x:v>SIR-000267</x:v>
      </x:c>
      <x:c r="C268" s="6" t="str">
        <x:v>SVC000267</x:v>
      </x:c>
      <x:c r="D268" s="6" t="str">
        <x:v>iPhone Air Charge Port Replacement</x:v>
      </x:c>
      <x:c r="E268" s="6" t="str"/>
      <x:c r="F268" s="6" t="str"/>
      <x:c r="G268" s="6" t="str"/>
      <x:c r="H268" s="6" t="str"/>
      <x:c r="I268" s="6" t="str"/>
      <x:c r="J268" s="6" t="str"/>
      <x:c r="K268" s="6" t="str">
        <x:f>IF(J268="","No duplicate dependency",IFERROR(XLOOKUP(J268,'Duplicate Review Queue'!B2:B16,'Duplicate Review Queue'!J2:J16),"Dependency not found"))</x:f>
        <x:v>No duplicate dependency</x:v>
      </x:c>
      <x:c r="L268" s="6" t="str">
        <x:v>Unresolved</x:v>
      </x:c>
      <x:c r="M268" s="6" t="str"/>
      <x:c r="N268" s="7" t="str"/>
      <x:c r="O268" s="6" t="str"/>
      <x:c r="P268" s="6" t="str"/>
      <x:c r="Q268" s="6" t="str">
        <x:v>Pending</x:v>
      </x:c>
      <x:c r="R268" s="7" t="str">
        <x:f>IF(AND(J268&lt;&gt;"",K268="Unresolved"),"Duplicate dependency unresolved","")</x:f>
      </x:c>
      <x:c r="S268" s="6" t="str">
        <x:v>No</x:v>
      </x:c>
      <x:c r="T268" s="7" t="str"/>
    </x:row>
    <x:row r="269">
      <x:c r="A269" s="6" t="str">
        <x:v>SIDX-0268</x:v>
      </x:c>
      <x:c r="B269" s="6" t="str">
        <x:v>SIR-000268</x:v>
      </x:c>
      <x:c r="C269" s="6" t="str">
        <x:v>SVC000268</x:v>
      </x:c>
      <x:c r="D269" s="6" t="str">
        <x:v>nan Charge Port Replacement</x:v>
      </x:c>
      <x:c r="E269" s="6" t="str"/>
      <x:c r="F269" s="6" t="str"/>
      <x:c r="G269" s="6" t="str"/>
      <x:c r="H269" s="6" t="str"/>
      <x:c r="I269" s="6" t="str"/>
      <x:c r="J269" s="6" t="str"/>
      <x:c r="K269" s="6" t="str">
        <x:f>IF(J269="","No duplicate dependency",IFERROR(XLOOKUP(J269,'Duplicate Review Queue'!B2:B16,'Duplicate Review Queue'!J2:J16),"Dependency not found"))</x:f>
        <x:v>No duplicate dependency</x:v>
      </x:c>
      <x:c r="L269" s="6" t="str">
        <x:v>Unresolved</x:v>
      </x:c>
      <x:c r="M269" s="6" t="str"/>
      <x:c r="N269" s="7" t="str"/>
      <x:c r="O269" s="6" t="str"/>
      <x:c r="P269" s="6" t="str"/>
      <x:c r="Q269" s="6" t="str">
        <x:v>Pending</x:v>
      </x:c>
      <x:c r="R269" s="7" t="str">
        <x:f>IF(AND(J269&lt;&gt;"",K269="Unresolved"),"Duplicate dependency unresolved","")</x:f>
      </x:c>
      <x:c r="S269" s="6" t="str">
        <x:v>No</x:v>
      </x:c>
      <x:c r="T269" s="7" t="str"/>
    </x:row>
    <x:row r="270">
      <x:c r="A270" s="6" t="str">
        <x:v>SIDX-0269</x:v>
      </x:c>
      <x:c r="B270" s="6" t="str">
        <x:v>SIR-000269</x:v>
      </x:c>
      <x:c r="C270" s="6" t="str">
        <x:v>SVC000269</x:v>
      </x:c>
      <x:c r="D270" s="6" t="str">
        <x:v>Galaxy S Classic Charge Port Replacement</x:v>
      </x:c>
      <x:c r="E270" s="6" t="str"/>
      <x:c r="F270" s="6" t="str"/>
      <x:c r="G270" s="6" t="str"/>
      <x:c r="H270" s="6" t="str"/>
      <x:c r="I270" s="6" t="str"/>
      <x:c r="J270" s="6" t="str"/>
      <x:c r="K270" s="6" t="str">
        <x:f>IF(J270="","No duplicate dependency",IFERROR(XLOOKUP(J270,'Duplicate Review Queue'!B2:B16,'Duplicate Review Queue'!J2:J16),"Dependency not found"))</x:f>
        <x:v>No duplicate dependency</x:v>
      </x:c>
      <x:c r="L270" s="6" t="str">
        <x:v>Unresolved</x:v>
      </x:c>
      <x:c r="M270" s="6" t="str"/>
      <x:c r="N270" s="7" t="str"/>
      <x:c r="O270" s="6" t="str"/>
      <x:c r="P270" s="6" t="str"/>
      <x:c r="Q270" s="6" t="str">
        <x:v>Pending</x:v>
      </x:c>
      <x:c r="R270" s="7" t="str">
        <x:f>IF(AND(J270&lt;&gt;"",K270="Unresolved"),"Duplicate dependency unresolved","")</x:f>
      </x:c>
      <x:c r="S270" s="6" t="str">
        <x:v>No</x:v>
      </x:c>
      <x:c r="T270" s="7" t="str"/>
    </x:row>
    <x:row r="271">
      <x:c r="A271" s="6" t="str">
        <x:v>SIDX-0270</x:v>
      </x:c>
      <x:c r="B271" s="6" t="str">
        <x:v>SIR-000270</x:v>
      </x:c>
      <x:c r="C271" s="6" t="str">
        <x:v>SVC000270</x:v>
      </x:c>
      <x:c r="D271" s="6" t="str">
        <x:v>Galaxy S2 Charge Port Replacement</x:v>
      </x:c>
      <x:c r="E271" s="6" t="str"/>
      <x:c r="F271" s="6" t="str"/>
      <x:c r="G271" s="6" t="str"/>
      <x:c r="H271" s="6" t="str"/>
      <x:c r="I271" s="6" t="str"/>
      <x:c r="J271" s="6" t="str"/>
      <x:c r="K271" s="6" t="str">
        <x:f>IF(J271="","No duplicate dependency",IFERROR(XLOOKUP(J271,'Duplicate Review Queue'!B2:B16,'Duplicate Review Queue'!J2:J16),"Dependency not found"))</x:f>
        <x:v>No duplicate dependency</x:v>
      </x:c>
      <x:c r="L271" s="6" t="str">
        <x:v>Unresolved</x:v>
      </x:c>
      <x:c r="M271" s="6" t="str"/>
      <x:c r="N271" s="7" t="str"/>
      <x:c r="O271" s="6" t="str"/>
      <x:c r="P271" s="6" t="str"/>
      <x:c r="Q271" s="6" t="str">
        <x:v>Pending</x:v>
      </x:c>
      <x:c r="R271" s="7" t="str">
        <x:f>IF(AND(J271&lt;&gt;"",K271="Unresolved"),"Duplicate dependency unresolved","")</x:f>
      </x:c>
      <x:c r="S271" s="6" t="str">
        <x:v>No</x:v>
      </x:c>
      <x:c r="T271" s="7" t="str"/>
    </x:row>
    <x:row r="272">
      <x:c r="A272" s="6" t="str">
        <x:v>SIDX-0271</x:v>
      </x:c>
      <x:c r="B272" s="6" t="str">
        <x:v>SIR-000271</x:v>
      </x:c>
      <x:c r="C272" s="6" t="str">
        <x:v>SVC000271</x:v>
      </x:c>
      <x:c r="D272" s="6" t="str">
        <x:v>Galaxy S3 Charge Port Replacement</x:v>
      </x:c>
      <x:c r="E272" s="6" t="str"/>
      <x:c r="F272" s="6" t="str"/>
      <x:c r="G272" s="6" t="str"/>
      <x:c r="H272" s="6" t="str"/>
      <x:c r="I272" s="6" t="str"/>
      <x:c r="J272" s="6" t="str"/>
      <x:c r="K272" s="6" t="str">
        <x:f>IF(J272="","No duplicate dependency",IFERROR(XLOOKUP(J272,'Duplicate Review Queue'!B2:B16,'Duplicate Review Queue'!J2:J16),"Dependency not found"))</x:f>
        <x:v>No duplicate dependency</x:v>
      </x:c>
      <x:c r="L272" s="6" t="str">
        <x:v>Unresolved</x:v>
      </x:c>
      <x:c r="M272" s="6" t="str"/>
      <x:c r="N272" s="7" t="str"/>
      <x:c r="O272" s="6" t="str"/>
      <x:c r="P272" s="6" t="str"/>
      <x:c r="Q272" s="6" t="str">
        <x:v>Pending</x:v>
      </x:c>
      <x:c r="R272" s="7" t="str">
        <x:f>IF(AND(J272&lt;&gt;"",K272="Unresolved"),"Duplicate dependency unresolved","")</x:f>
      </x:c>
      <x:c r="S272" s="6" t="str">
        <x:v>No</x:v>
      </x:c>
      <x:c r="T272" s="7" t="str"/>
    </x:row>
    <x:row r="273">
      <x:c r="A273" s="6" t="str">
        <x:v>SIDX-0272</x:v>
      </x:c>
      <x:c r="B273" s="6" t="str">
        <x:v>SIR-000272</x:v>
      </x:c>
      <x:c r="C273" s="6" t="str">
        <x:v>SVC000272</x:v>
      </x:c>
      <x:c r="D273" s="6" t="str">
        <x:v>Galaxy S3 Mini Charge Port Replacement</x:v>
      </x:c>
      <x:c r="E273" s="6" t="str"/>
      <x:c r="F273" s="6" t="str"/>
      <x:c r="G273" s="6" t="str"/>
      <x:c r="H273" s="6" t="str"/>
      <x:c r="I273" s="6" t="str"/>
      <x:c r="J273" s="6" t="str"/>
      <x:c r="K273" s="6" t="str">
        <x:f>IF(J273="","No duplicate dependency",IFERROR(XLOOKUP(J273,'Duplicate Review Queue'!B2:B16,'Duplicate Review Queue'!J2:J16),"Dependency not found"))</x:f>
        <x:v>No duplicate dependency</x:v>
      </x:c>
      <x:c r="L273" s="6" t="str">
        <x:v>Unresolved</x:v>
      </x:c>
      <x:c r="M273" s="6" t="str"/>
      <x:c r="N273" s="7" t="str"/>
      <x:c r="O273" s="6" t="str"/>
      <x:c r="P273" s="6" t="str"/>
      <x:c r="Q273" s="6" t="str">
        <x:v>Pending</x:v>
      </x:c>
      <x:c r="R273" s="7" t="str">
        <x:f>IF(AND(J273&lt;&gt;"",K273="Unresolved"),"Duplicate dependency unresolved","")</x:f>
      </x:c>
      <x:c r="S273" s="6" t="str">
        <x:v>No</x:v>
      </x:c>
      <x:c r="T273" s="7" t="str"/>
    </x:row>
    <x:row r="274">
      <x:c r="A274" s="6" t="str">
        <x:v>SIDX-0273</x:v>
      </x:c>
      <x:c r="B274" s="6" t="str">
        <x:v>SIR-000273</x:v>
      </x:c>
      <x:c r="C274" s="6" t="str">
        <x:v>SVC000273</x:v>
      </x:c>
      <x:c r="D274" s="6" t="str">
        <x:v>Galaxy S3 Neo Charge Port Replacement</x:v>
      </x:c>
      <x:c r="E274" s="6" t="str"/>
      <x:c r="F274" s="6" t="str"/>
      <x:c r="G274" s="6" t="str"/>
      <x:c r="H274" s="6" t="str"/>
      <x:c r="I274" s="6" t="str"/>
      <x:c r="J274" s="6" t="str"/>
      <x:c r="K274" s="6" t="str">
        <x:f>IF(J274="","No duplicate dependency",IFERROR(XLOOKUP(J274,'Duplicate Review Queue'!B2:B16,'Duplicate Review Queue'!J2:J16),"Dependency not found"))</x:f>
        <x:v>No duplicate dependency</x:v>
      </x:c>
      <x:c r="L274" s="6" t="str">
        <x:v>Unresolved</x:v>
      </x:c>
      <x:c r="M274" s="6" t="str"/>
      <x:c r="N274" s="7" t="str"/>
      <x:c r="O274" s="6" t="str"/>
      <x:c r="P274" s="6" t="str"/>
      <x:c r="Q274" s="6" t="str">
        <x:v>Pending</x:v>
      </x:c>
      <x:c r="R274" s="7" t="str">
        <x:f>IF(AND(J274&lt;&gt;"",K274="Unresolved"),"Duplicate dependency unresolved","")</x:f>
      </x:c>
      <x:c r="S274" s="6" t="str">
        <x:v>No</x:v>
      </x:c>
      <x:c r="T274" s="7" t="str"/>
    </x:row>
    <x:row r="275">
      <x:c r="A275" s="6" t="str">
        <x:v>SIDX-0274</x:v>
      </x:c>
      <x:c r="B275" s="6" t="str">
        <x:v>SIR-000274</x:v>
      </x:c>
      <x:c r="C275" s="6" t="str">
        <x:v>SVC000274</x:v>
      </x:c>
      <x:c r="D275" s="6" t="str">
        <x:v>Galaxy S4 Charge Port Replacement</x:v>
      </x:c>
      <x:c r="E275" s="6" t="str"/>
      <x:c r="F275" s="6" t="str"/>
      <x:c r="G275" s="6" t="str"/>
      <x:c r="H275" s="6" t="str"/>
      <x:c r="I275" s="6" t="str"/>
      <x:c r="J275" s="6" t="str"/>
      <x:c r="K275" s="6" t="str">
        <x:f>IF(J275="","No duplicate dependency",IFERROR(XLOOKUP(J275,'Duplicate Review Queue'!B2:B16,'Duplicate Review Queue'!J2:J16),"Dependency not found"))</x:f>
        <x:v>No duplicate dependency</x:v>
      </x:c>
      <x:c r="L275" s="6" t="str">
        <x:v>Unresolved</x:v>
      </x:c>
      <x:c r="M275" s="6" t="str"/>
      <x:c r="N275" s="7" t="str"/>
      <x:c r="O275" s="6" t="str"/>
      <x:c r="P275" s="6" t="str"/>
      <x:c r="Q275" s="6" t="str">
        <x:v>Pending</x:v>
      </x:c>
      <x:c r="R275" s="7" t="str">
        <x:f>IF(AND(J275&lt;&gt;"",K275="Unresolved"),"Duplicate dependency unresolved","")</x:f>
      </x:c>
      <x:c r="S275" s="6" t="str">
        <x:v>No</x:v>
      </x:c>
      <x:c r="T275" s="7" t="str"/>
    </x:row>
    <x:row r="276">
      <x:c r="A276" s="6" t="str">
        <x:v>SIDX-0275</x:v>
      </x:c>
      <x:c r="B276" s="6" t="str">
        <x:v>SIR-000275</x:v>
      </x:c>
      <x:c r="C276" s="6" t="str">
        <x:v>SVC000275</x:v>
      </x:c>
      <x:c r="D276" s="6" t="str">
        <x:v>Galaxy S 4 Mini Charge Port Replacement</x:v>
      </x:c>
      <x:c r="E276" s="6" t="str"/>
      <x:c r="F276" s="6" t="str"/>
      <x:c r="G276" s="6" t="str"/>
      <x:c r="H276" s="6" t="str"/>
      <x:c r="I276" s="6" t="str"/>
      <x:c r="J276" s="6" t="str"/>
      <x:c r="K276" s="6" t="str">
        <x:f>IF(J276="","No duplicate dependency",IFERROR(XLOOKUP(J276,'Duplicate Review Queue'!B2:B16,'Duplicate Review Queue'!J2:J16),"Dependency not found"))</x:f>
        <x:v>No duplicate dependency</x:v>
      </x:c>
      <x:c r="L276" s="6" t="str">
        <x:v>Unresolved</x:v>
      </x:c>
      <x:c r="M276" s="6" t="str"/>
      <x:c r="N276" s="7" t="str"/>
      <x:c r="O276" s="6" t="str"/>
      <x:c r="P276" s="6" t="str"/>
      <x:c r="Q276" s="6" t="str">
        <x:v>Pending</x:v>
      </x:c>
      <x:c r="R276" s="7" t="str">
        <x:f>IF(AND(J276&lt;&gt;"",K276="Unresolved"),"Duplicate dependency unresolved","")</x:f>
      </x:c>
      <x:c r="S276" s="6" t="str">
        <x:v>No</x:v>
      </x:c>
      <x:c r="T276" s="7" t="str"/>
    </x:row>
    <x:row r="277">
      <x:c r="A277" s="6" t="str">
        <x:v>SIDX-0276</x:v>
      </x:c>
      <x:c r="B277" s="6" t="str">
        <x:v>SIR-000276</x:v>
      </x:c>
      <x:c r="C277" s="6" t="str">
        <x:v>SVC000276</x:v>
      </x:c>
      <x:c r="D277" s="6" t="str">
        <x:v>Galaxy S 4 Active Charge Port Replacement</x:v>
      </x:c>
      <x:c r="E277" s="6" t="str"/>
      <x:c r="F277" s="6" t="str"/>
      <x:c r="G277" s="6" t="str"/>
      <x:c r="H277" s="6" t="str"/>
      <x:c r="I277" s="6" t="str"/>
      <x:c r="J277" s="6" t="str"/>
      <x:c r="K277" s="6" t="str">
        <x:f>IF(J277="","No duplicate dependency",IFERROR(XLOOKUP(J277,'Duplicate Review Queue'!B2:B16,'Duplicate Review Queue'!J2:J16),"Dependency not found"))</x:f>
        <x:v>No duplicate dependency</x:v>
      </x:c>
      <x:c r="L277" s="6" t="str">
        <x:v>Unresolved</x:v>
      </x:c>
      <x:c r="M277" s="6" t="str"/>
      <x:c r="N277" s="7" t="str"/>
      <x:c r="O277" s="6" t="str"/>
      <x:c r="P277" s="6" t="str"/>
      <x:c r="Q277" s="6" t="str">
        <x:v>Pending</x:v>
      </x:c>
      <x:c r="R277" s="7" t="str">
        <x:f>IF(AND(J277&lt;&gt;"",K277="Unresolved"),"Duplicate dependency unresolved","")</x:f>
      </x:c>
      <x:c r="S277" s="6" t="str">
        <x:v>No</x:v>
      </x:c>
      <x:c r="T277" s="7" t="str"/>
    </x:row>
    <x:row r="278">
      <x:c r="A278" s="6" t="str">
        <x:v>SIDX-0277</x:v>
      </x:c>
      <x:c r="B278" s="6" t="str">
        <x:v>SIR-000277</x:v>
      </x:c>
      <x:c r="C278" s="6" t="str">
        <x:v>SVC000277</x:v>
      </x:c>
      <x:c r="D278" s="6" t="str">
        <x:v>Galaxy S 5 Charge Port Replacement</x:v>
      </x:c>
      <x:c r="E278" s="6" t="str"/>
      <x:c r="F278" s="6" t="str"/>
      <x:c r="G278" s="6" t="str"/>
      <x:c r="H278" s="6" t="str"/>
      <x:c r="I278" s="6" t="str"/>
      <x:c r="J278" s="6" t="str"/>
      <x:c r="K278" s="6" t="str">
        <x:f>IF(J278="","No duplicate dependency",IFERROR(XLOOKUP(J278,'Duplicate Review Queue'!B2:B16,'Duplicate Review Queue'!J2:J16),"Dependency not found"))</x:f>
        <x:v>No duplicate dependency</x:v>
      </x:c>
      <x:c r="L278" s="6" t="str">
        <x:v>Unresolved</x:v>
      </x:c>
      <x:c r="M278" s="6" t="str"/>
      <x:c r="N278" s="7" t="str"/>
      <x:c r="O278" s="6" t="str"/>
      <x:c r="P278" s="6" t="str"/>
      <x:c r="Q278" s="6" t="str">
        <x:v>Pending</x:v>
      </x:c>
      <x:c r="R278" s="7" t="str">
        <x:f>IF(AND(J278&lt;&gt;"",K278="Unresolved"),"Duplicate dependency unresolved","")</x:f>
      </x:c>
      <x:c r="S278" s="6" t="str">
        <x:v>No</x:v>
      </x:c>
      <x:c r="T278" s="7" t="str"/>
    </x:row>
    <x:row r="279">
      <x:c r="A279" s="6" t="str">
        <x:v>SIDX-0278</x:v>
      </x:c>
      <x:c r="B279" s="6" t="str">
        <x:v>SIR-000278</x:v>
      </x:c>
      <x:c r="C279" s="6" t="str">
        <x:v>SVC000278</x:v>
      </x:c>
      <x:c r="D279" s="6" t="str">
        <x:v>Galaxy S 5 Neo Charge Port Replacement</x:v>
      </x:c>
      <x:c r="E279" s="6" t="str"/>
      <x:c r="F279" s="6" t="str"/>
      <x:c r="G279" s="6" t="str"/>
      <x:c r="H279" s="6" t="str"/>
      <x:c r="I279" s="6" t="str"/>
      <x:c r="J279" s="6" t="str"/>
      <x:c r="K279" s="6" t="str">
        <x:f>IF(J279="","No duplicate dependency",IFERROR(XLOOKUP(J279,'Duplicate Review Queue'!B2:B16,'Duplicate Review Queue'!J2:J16),"Dependency not found"))</x:f>
        <x:v>No duplicate dependency</x:v>
      </x:c>
      <x:c r="L279" s="6" t="str">
        <x:v>Unresolved</x:v>
      </x:c>
      <x:c r="M279" s="6" t="str"/>
      <x:c r="N279" s="7" t="str"/>
      <x:c r="O279" s="6" t="str"/>
      <x:c r="P279" s="6" t="str"/>
      <x:c r="Q279" s="6" t="str">
        <x:v>Pending</x:v>
      </x:c>
      <x:c r="R279" s="7" t="str">
        <x:f>IF(AND(J279&lt;&gt;"",K279="Unresolved"),"Duplicate dependency unresolved","")</x:f>
      </x:c>
      <x:c r="S279" s="6" t="str">
        <x:v>No</x:v>
      </x:c>
      <x:c r="T279" s="7" t="str"/>
    </x:row>
    <x:row r="280">
      <x:c r="A280" s="6" t="str">
        <x:v>SIDX-0279</x:v>
      </x:c>
      <x:c r="B280" s="6" t="str">
        <x:v>SIR-000279</x:v>
      </x:c>
      <x:c r="C280" s="6" t="str">
        <x:v>SVC000279</x:v>
      </x:c>
      <x:c r="D280" s="6" t="str">
        <x:v>Galaxy S 5 Active Charge Port Replacement</x:v>
      </x:c>
      <x:c r="E280" s="6" t="str"/>
      <x:c r="F280" s="6" t="str"/>
      <x:c r="G280" s="6" t="str"/>
      <x:c r="H280" s="6" t="str"/>
      <x:c r="I280" s="6" t="str"/>
      <x:c r="J280" s="6" t="str"/>
      <x:c r="K280" s="6" t="str">
        <x:f>IF(J280="","No duplicate dependency",IFERROR(XLOOKUP(J280,'Duplicate Review Queue'!B2:B16,'Duplicate Review Queue'!J2:J16),"Dependency not found"))</x:f>
        <x:v>No duplicate dependency</x:v>
      </x:c>
      <x:c r="L280" s="6" t="str">
        <x:v>Unresolved</x:v>
      </x:c>
      <x:c r="M280" s="6" t="str"/>
      <x:c r="N280" s="7" t="str"/>
      <x:c r="O280" s="6" t="str"/>
      <x:c r="P280" s="6" t="str"/>
      <x:c r="Q280" s="6" t="str">
        <x:v>Pending</x:v>
      </x:c>
      <x:c r="R280" s="7" t="str">
        <x:f>IF(AND(J280&lt;&gt;"",K280="Unresolved"),"Duplicate dependency unresolved","")</x:f>
      </x:c>
      <x:c r="S280" s="6" t="str">
        <x:v>No</x:v>
      </x:c>
      <x:c r="T280" s="7" t="str"/>
    </x:row>
    <x:row r="281">
      <x:c r="A281" s="6" t="str">
        <x:v>SIDX-0280</x:v>
      </x:c>
      <x:c r="B281" s="6" t="str">
        <x:v>SIR-000280</x:v>
      </x:c>
      <x:c r="C281" s="6" t="str">
        <x:v>SVC000280</x:v>
      </x:c>
      <x:c r="D281" s="6" t="str">
        <x:v>Galaxy S 6 Charge Port Replacement</x:v>
      </x:c>
      <x:c r="E281" s="6" t="str"/>
      <x:c r="F281" s="6" t="str"/>
      <x:c r="G281" s="6" t="str"/>
      <x:c r="H281" s="6" t="str"/>
      <x:c r="I281" s="6" t="str"/>
      <x:c r="J281" s="6" t="str"/>
      <x:c r="K281" s="6" t="str">
        <x:f>IF(J281="","No duplicate dependency",IFERROR(XLOOKUP(J281,'Duplicate Review Queue'!B2:B16,'Duplicate Review Queue'!J2:J16),"Dependency not found"))</x:f>
        <x:v>No duplicate dependency</x:v>
      </x:c>
      <x:c r="L281" s="6" t="str">
        <x:v>Unresolved</x:v>
      </x:c>
      <x:c r="M281" s="6" t="str"/>
      <x:c r="N281" s="7" t="str"/>
      <x:c r="O281" s="6" t="str"/>
      <x:c r="P281" s="6" t="str"/>
      <x:c r="Q281" s="6" t="str">
        <x:v>Pending</x:v>
      </x:c>
      <x:c r="R281" s="7" t="str">
        <x:f>IF(AND(J281&lt;&gt;"",K281="Unresolved"),"Duplicate dependency unresolved","")</x:f>
      </x:c>
      <x:c r="S281" s="6" t="str">
        <x:v>No</x:v>
      </x:c>
      <x:c r="T281" s="7" t="str"/>
    </x:row>
    <x:row r="282">
      <x:c r="A282" s="6" t="str">
        <x:v>SIDX-0281</x:v>
      </x:c>
      <x:c r="B282" s="6" t="str">
        <x:v>SIR-000281</x:v>
      </x:c>
      <x:c r="C282" s="6" t="str">
        <x:v>SVC000281</x:v>
      </x:c>
      <x:c r="D282" s="6" t="str">
        <x:v>Galaxy S 6 Edge Charge Port Replacement</x:v>
      </x:c>
      <x:c r="E282" s="6" t="str"/>
      <x:c r="F282" s="6" t="str"/>
      <x:c r="G282" s="6" t="str"/>
      <x:c r="H282" s="6" t="str"/>
      <x:c r="I282" s="6" t="str"/>
      <x:c r="J282" s="6" t="str"/>
      <x:c r="K282" s="6" t="str">
        <x:f>IF(J282="","No duplicate dependency",IFERROR(XLOOKUP(J282,'Duplicate Review Queue'!B2:B16,'Duplicate Review Queue'!J2:J16),"Dependency not found"))</x:f>
        <x:v>No duplicate dependency</x:v>
      </x:c>
      <x:c r="L282" s="6" t="str">
        <x:v>Unresolved</x:v>
      </x:c>
      <x:c r="M282" s="6" t="str"/>
      <x:c r="N282" s="7" t="str"/>
      <x:c r="O282" s="6" t="str"/>
      <x:c r="P282" s="6" t="str"/>
      <x:c r="Q282" s="6" t="str">
        <x:v>Pending</x:v>
      </x:c>
      <x:c r="R282" s="7" t="str">
        <x:f>IF(AND(J282&lt;&gt;"",K282="Unresolved"),"Duplicate dependency unresolved","")</x:f>
      </x:c>
      <x:c r="S282" s="6" t="str">
        <x:v>No</x:v>
      </x:c>
      <x:c r="T282" s="7" t="str"/>
    </x:row>
    <x:row r="283">
      <x:c r="A283" s="6" t="str">
        <x:v>SIDX-0282</x:v>
      </x:c>
      <x:c r="B283" s="6" t="str">
        <x:v>SIR-000282</x:v>
      </x:c>
      <x:c r="C283" s="6" t="str">
        <x:v>SVC000282</x:v>
      </x:c>
      <x:c r="D283" s="6" t="str">
        <x:v>Galaxy S 6 Edge Plus Charge Port Replacement</x:v>
      </x:c>
      <x:c r="E283" s="6" t="str"/>
      <x:c r="F283" s="6" t="str"/>
      <x:c r="G283" s="6" t="str"/>
      <x:c r="H283" s="6" t="str"/>
      <x:c r="I283" s="6" t="str"/>
      <x:c r="J283" s="6" t="str"/>
      <x:c r="K283" s="6" t="str">
        <x:f>IF(J283="","No duplicate dependency",IFERROR(XLOOKUP(J283,'Duplicate Review Queue'!B2:B16,'Duplicate Review Queue'!J2:J16),"Dependency not found"))</x:f>
        <x:v>No duplicate dependency</x:v>
      </x:c>
      <x:c r="L283" s="6" t="str">
        <x:v>Unresolved</x:v>
      </x:c>
      <x:c r="M283" s="6" t="str"/>
      <x:c r="N283" s="7" t="str"/>
      <x:c r="O283" s="6" t="str"/>
      <x:c r="P283" s="6" t="str"/>
      <x:c r="Q283" s="6" t="str">
        <x:v>Pending</x:v>
      </x:c>
      <x:c r="R283" s="7" t="str">
        <x:f>IF(AND(J283&lt;&gt;"",K283="Unresolved"),"Duplicate dependency unresolved","")</x:f>
      </x:c>
      <x:c r="S283" s="6" t="str">
        <x:v>No</x:v>
      </x:c>
      <x:c r="T283" s="7" t="str"/>
    </x:row>
    <x:row r="284">
      <x:c r="A284" s="6" t="str">
        <x:v>SIDX-0283</x:v>
      </x:c>
      <x:c r="B284" s="6" t="str">
        <x:v>SIR-000283</x:v>
      </x:c>
      <x:c r="C284" s="6" t="str">
        <x:v>SVC000283</x:v>
      </x:c>
      <x:c r="D284" s="6" t="str">
        <x:v>Galaxy S 6 Active Charge Port Replacement</x:v>
      </x:c>
      <x:c r="E284" s="6" t="str"/>
      <x:c r="F284" s="6" t="str"/>
      <x:c r="G284" s="6" t="str"/>
      <x:c r="H284" s="6" t="str"/>
      <x:c r="I284" s="6" t="str"/>
      <x:c r="J284" s="6" t="str"/>
      <x:c r="K284" s="6" t="str">
        <x:f>IF(J284="","No duplicate dependency",IFERROR(XLOOKUP(J284,'Duplicate Review Queue'!B2:B16,'Duplicate Review Queue'!J2:J16),"Dependency not found"))</x:f>
        <x:v>No duplicate dependency</x:v>
      </x:c>
      <x:c r="L284" s="6" t="str">
        <x:v>Unresolved</x:v>
      </x:c>
      <x:c r="M284" s="6" t="str"/>
      <x:c r="N284" s="7" t="str"/>
      <x:c r="O284" s="6" t="str"/>
      <x:c r="P284" s="6" t="str"/>
      <x:c r="Q284" s="6" t="str">
        <x:v>Pending</x:v>
      </x:c>
      <x:c r="R284" s="7" t="str">
        <x:f>IF(AND(J284&lt;&gt;"",K284="Unresolved"),"Duplicate dependency unresolved","")</x:f>
      </x:c>
      <x:c r="S284" s="6" t="str">
        <x:v>No</x:v>
      </x:c>
      <x:c r="T284" s="7" t="str"/>
    </x:row>
    <x:row r="285">
      <x:c r="A285" s="6" t="str">
        <x:v>SIDX-0284</x:v>
      </x:c>
      <x:c r="B285" s="6" t="str">
        <x:v>SIR-000284</x:v>
      </x:c>
      <x:c r="C285" s="6" t="str">
        <x:v>SVC000284</x:v>
      </x:c>
      <x:c r="D285" s="6" t="str">
        <x:v>Galaxy S 7 Charge Port Replacement</x:v>
      </x:c>
      <x:c r="E285" s="6" t="str"/>
      <x:c r="F285" s="6" t="str"/>
      <x:c r="G285" s="6" t="str"/>
      <x:c r="H285" s="6" t="str"/>
      <x:c r="I285" s="6" t="str"/>
      <x:c r="J285" s="6" t="str"/>
      <x:c r="K285" s="6" t="str">
        <x:f>IF(J285="","No duplicate dependency",IFERROR(XLOOKUP(J285,'Duplicate Review Queue'!B2:B16,'Duplicate Review Queue'!J2:J16),"Dependency not found"))</x:f>
        <x:v>No duplicate dependency</x:v>
      </x:c>
      <x:c r="L285" s="6" t="str">
        <x:v>Unresolved</x:v>
      </x:c>
      <x:c r="M285" s="6" t="str"/>
      <x:c r="N285" s="7" t="str"/>
      <x:c r="O285" s="6" t="str"/>
      <x:c r="P285" s="6" t="str"/>
      <x:c r="Q285" s="6" t="str">
        <x:v>Pending</x:v>
      </x:c>
      <x:c r="R285" s="7" t="str">
        <x:f>IF(AND(J285&lt;&gt;"",K285="Unresolved"),"Duplicate dependency unresolved","")</x:f>
      </x:c>
      <x:c r="S285" s="6" t="str">
        <x:v>No</x:v>
      </x:c>
      <x:c r="T285" s="7" t="str"/>
    </x:row>
    <x:row r="286">
      <x:c r="A286" s="6" t="str">
        <x:v>SIDX-0285</x:v>
      </x:c>
      <x:c r="B286" s="6" t="str">
        <x:v>SIR-000285</x:v>
      </x:c>
      <x:c r="C286" s="6" t="str">
        <x:v>SVC000285</x:v>
      </x:c>
      <x:c r="D286" s="6" t="str">
        <x:v>Galaxy S 7 Edge Charge Port Replacement</x:v>
      </x:c>
      <x:c r="E286" s="6" t="str"/>
      <x:c r="F286" s="6" t="str"/>
      <x:c r="G286" s="6" t="str"/>
      <x:c r="H286" s="6" t="str"/>
      <x:c r="I286" s="6" t="str"/>
      <x:c r="J286" s="6" t="str"/>
      <x:c r="K286" s="6" t="str">
        <x:f>IF(J286="","No duplicate dependency",IFERROR(XLOOKUP(J286,'Duplicate Review Queue'!B2:B16,'Duplicate Review Queue'!J2:J16),"Dependency not found"))</x:f>
        <x:v>No duplicate dependency</x:v>
      </x:c>
      <x:c r="L286" s="6" t="str">
        <x:v>Unresolved</x:v>
      </x:c>
      <x:c r="M286" s="6" t="str"/>
      <x:c r="N286" s="7" t="str"/>
      <x:c r="O286" s="6" t="str"/>
      <x:c r="P286" s="6" t="str"/>
      <x:c r="Q286" s="6" t="str">
        <x:v>Pending</x:v>
      </x:c>
      <x:c r="R286" s="7" t="str">
        <x:f>IF(AND(J286&lt;&gt;"",K286="Unresolved"),"Duplicate dependency unresolved","")</x:f>
      </x:c>
      <x:c r="S286" s="6" t="str">
        <x:v>No</x:v>
      </x:c>
      <x:c r="T286" s="7" t="str"/>
    </x:row>
    <x:row r="287">
      <x:c r="A287" s="6" t="str">
        <x:v>SIDX-0286</x:v>
      </x:c>
      <x:c r="B287" s="6" t="str">
        <x:v>SIR-000286</x:v>
      </x:c>
      <x:c r="C287" s="6" t="str">
        <x:v>SVC000286</x:v>
      </x:c>
      <x:c r="D287" s="6" t="str">
        <x:v>Galaxy S 7 Active Charge Port Replacement</x:v>
      </x:c>
      <x:c r="E287" s="6" t="str"/>
      <x:c r="F287" s="6" t="str"/>
      <x:c r="G287" s="6" t="str"/>
      <x:c r="H287" s="6" t="str"/>
      <x:c r="I287" s="6" t="str"/>
      <x:c r="J287" s="6" t="str"/>
      <x:c r="K287" s="6" t="str">
        <x:f>IF(J287="","No duplicate dependency",IFERROR(XLOOKUP(J287,'Duplicate Review Queue'!B2:B16,'Duplicate Review Queue'!J2:J16),"Dependency not found"))</x:f>
        <x:v>No duplicate dependency</x:v>
      </x:c>
      <x:c r="L287" s="6" t="str">
        <x:v>Unresolved</x:v>
      </x:c>
      <x:c r="M287" s="6" t="str"/>
      <x:c r="N287" s="7" t="str"/>
      <x:c r="O287" s="6" t="str"/>
      <x:c r="P287" s="6" t="str"/>
      <x:c r="Q287" s="6" t="str">
        <x:v>Pending</x:v>
      </x:c>
      <x:c r="R287" s="7" t="str">
        <x:f>IF(AND(J287&lt;&gt;"",K287="Unresolved"),"Duplicate dependency unresolved","")</x:f>
      </x:c>
      <x:c r="S287" s="6" t="str">
        <x:v>No</x:v>
      </x:c>
      <x:c r="T287" s="7" t="str"/>
    </x:row>
    <x:row r="288">
      <x:c r="A288" s="6" t="str">
        <x:v>SIDX-0287</x:v>
      </x:c>
      <x:c r="B288" s="6" t="str">
        <x:v>SIR-000287</x:v>
      </x:c>
      <x:c r="C288" s="6" t="str">
        <x:v>SVC000287</x:v>
      </x:c>
      <x:c r="D288" s="6" t="str">
        <x:v>Galaxy S 8 Charge Port Replacement</x:v>
      </x:c>
      <x:c r="E288" s="6" t="str"/>
      <x:c r="F288" s="6" t="str"/>
      <x:c r="G288" s="6" t="str"/>
      <x:c r="H288" s="6" t="str"/>
      <x:c r="I288" s="6" t="str"/>
      <x:c r="J288" s="6" t="str"/>
      <x:c r="K288" s="6" t="str">
        <x:f>IF(J288="","No duplicate dependency",IFERROR(XLOOKUP(J288,'Duplicate Review Queue'!B2:B16,'Duplicate Review Queue'!J2:J16),"Dependency not found"))</x:f>
        <x:v>No duplicate dependency</x:v>
      </x:c>
      <x:c r="L288" s="6" t="str">
        <x:v>Unresolved</x:v>
      </x:c>
      <x:c r="M288" s="6" t="str"/>
      <x:c r="N288" s="7" t="str"/>
      <x:c r="O288" s="6" t="str"/>
      <x:c r="P288" s="6" t="str"/>
      <x:c r="Q288" s="6" t="str">
        <x:v>Pending</x:v>
      </x:c>
      <x:c r="R288" s="7" t="str">
        <x:f>IF(AND(J288&lt;&gt;"",K288="Unresolved"),"Duplicate dependency unresolved","")</x:f>
      </x:c>
      <x:c r="S288" s="6" t="str">
        <x:v>No</x:v>
      </x:c>
      <x:c r="T288" s="7" t="str"/>
    </x:row>
    <x:row r="289">
      <x:c r="A289" s="6" t="str">
        <x:v>SIDX-0288</x:v>
      </x:c>
      <x:c r="B289" s="6" t="str">
        <x:v>SIR-000288</x:v>
      </x:c>
      <x:c r="C289" s="6" t="str">
        <x:v>SVC000288</x:v>
      </x:c>
      <x:c r="D289" s="6" t="str">
        <x:v>Galaxy S 8 Plus Charge Port Replacement</x:v>
      </x:c>
      <x:c r="E289" s="6" t="str"/>
      <x:c r="F289" s="6" t="str"/>
      <x:c r="G289" s="6" t="str"/>
      <x:c r="H289" s="6" t="str"/>
      <x:c r="I289" s="6" t="str"/>
      <x:c r="J289" s="6" t="str"/>
      <x:c r="K289" s="6" t="str">
        <x:f>IF(J289="","No duplicate dependency",IFERROR(XLOOKUP(J289,'Duplicate Review Queue'!B2:B16,'Duplicate Review Queue'!J2:J16),"Dependency not found"))</x:f>
        <x:v>No duplicate dependency</x:v>
      </x:c>
      <x:c r="L289" s="6" t="str">
        <x:v>Unresolved</x:v>
      </x:c>
      <x:c r="M289" s="6" t="str"/>
      <x:c r="N289" s="7" t="str"/>
      <x:c r="O289" s="6" t="str"/>
      <x:c r="P289" s="6" t="str"/>
      <x:c r="Q289" s="6" t="str">
        <x:v>Pending</x:v>
      </x:c>
      <x:c r="R289" s="7" t="str">
        <x:f>IF(AND(J289&lt;&gt;"",K289="Unresolved"),"Duplicate dependency unresolved","")</x:f>
      </x:c>
      <x:c r="S289" s="6" t="str">
        <x:v>No</x:v>
      </x:c>
      <x:c r="T289" s="7" t="str"/>
    </x:row>
    <x:row r="290">
      <x:c r="A290" s="6" t="str">
        <x:v>SIDX-0289</x:v>
      </x:c>
      <x:c r="B290" s="6" t="str">
        <x:v>SIR-000289</x:v>
      </x:c>
      <x:c r="C290" s="6" t="str">
        <x:v>SVC000289</x:v>
      </x:c>
      <x:c r="D290" s="6" t="str">
        <x:v>Galaxy S 8 Active Charge Port Replacement</x:v>
      </x:c>
      <x:c r="E290" s="6" t="str"/>
      <x:c r="F290" s="6" t="str"/>
      <x:c r="G290" s="6" t="str"/>
      <x:c r="H290" s="6" t="str"/>
      <x:c r="I290" s="6" t="str"/>
      <x:c r="J290" s="6" t="str"/>
      <x:c r="K290" s="6" t="str">
        <x:f>IF(J290="","No duplicate dependency",IFERROR(XLOOKUP(J290,'Duplicate Review Queue'!B2:B16,'Duplicate Review Queue'!J2:J16),"Dependency not found"))</x:f>
        <x:v>No duplicate dependency</x:v>
      </x:c>
      <x:c r="L290" s="6" t="str">
        <x:v>Unresolved</x:v>
      </x:c>
      <x:c r="M290" s="6" t="str"/>
      <x:c r="N290" s="7" t="str"/>
      <x:c r="O290" s="6" t="str"/>
      <x:c r="P290" s="6" t="str"/>
      <x:c r="Q290" s="6" t="str">
        <x:v>Pending</x:v>
      </x:c>
      <x:c r="R290" s="7" t="str">
        <x:f>IF(AND(J290&lt;&gt;"",K290="Unresolved"),"Duplicate dependency unresolved","")</x:f>
      </x:c>
      <x:c r="S290" s="6" t="str">
        <x:v>No</x:v>
      </x:c>
      <x:c r="T290" s="7" t="str"/>
    </x:row>
    <x:row r="291">
      <x:c r="A291" s="6" t="str">
        <x:v>SIDX-0290</x:v>
      </x:c>
      <x:c r="B291" s="6" t="str">
        <x:v>SIR-000290</x:v>
      </x:c>
      <x:c r="C291" s="6" t="str">
        <x:v>SVC000290</x:v>
      </x:c>
      <x:c r="D291" s="6" t="str">
        <x:v>Galaxy S 9 Charge Port Replacement</x:v>
      </x:c>
      <x:c r="E291" s="6" t="str"/>
      <x:c r="F291" s="6" t="str"/>
      <x:c r="G291" s="6" t="str"/>
      <x:c r="H291" s="6" t="str"/>
      <x:c r="I291" s="6" t="str"/>
      <x:c r="J291" s="6" t="str"/>
      <x:c r="K291" s="6" t="str">
        <x:f>IF(J291="","No duplicate dependency",IFERROR(XLOOKUP(J291,'Duplicate Review Queue'!B2:B16,'Duplicate Review Queue'!J2:J16),"Dependency not found"))</x:f>
        <x:v>No duplicate dependency</x:v>
      </x:c>
      <x:c r="L291" s="6" t="str">
        <x:v>Unresolved</x:v>
      </x:c>
      <x:c r="M291" s="6" t="str"/>
      <x:c r="N291" s="7" t="str"/>
      <x:c r="O291" s="6" t="str"/>
      <x:c r="P291" s="6" t="str"/>
      <x:c r="Q291" s="6" t="str">
        <x:v>Pending</x:v>
      </x:c>
      <x:c r="R291" s="7" t="str">
        <x:f>IF(AND(J291&lt;&gt;"",K291="Unresolved"),"Duplicate dependency unresolved","")</x:f>
      </x:c>
      <x:c r="S291" s="6" t="str">
        <x:v>No</x:v>
      </x:c>
      <x:c r="T291" s="7" t="str"/>
    </x:row>
    <x:row r="292">
      <x:c r="A292" s="6" t="str">
        <x:v>SIDX-0291</x:v>
      </x:c>
      <x:c r="B292" s="6" t="str">
        <x:v>SIR-000291</x:v>
      </x:c>
      <x:c r="C292" s="6" t="str">
        <x:v>SVC000291</x:v>
      </x:c>
      <x:c r="D292" s="6" t="str">
        <x:v>Galaxy S 9 Plus Charge Port Replacement</x:v>
      </x:c>
      <x:c r="E292" s="6" t="str"/>
      <x:c r="F292" s="6" t="str"/>
      <x:c r="G292" s="6" t="str"/>
      <x:c r="H292" s="6" t="str"/>
      <x:c r="I292" s="6" t="str"/>
      <x:c r="J292" s="6" t="str"/>
      <x:c r="K292" s="6" t="str">
        <x:f>IF(J292="","No duplicate dependency",IFERROR(XLOOKUP(J292,'Duplicate Review Queue'!B2:B16,'Duplicate Review Queue'!J2:J16),"Dependency not found"))</x:f>
        <x:v>No duplicate dependency</x:v>
      </x:c>
      <x:c r="L292" s="6" t="str">
        <x:v>Unresolved</x:v>
      </x:c>
      <x:c r="M292" s="6" t="str"/>
      <x:c r="N292" s="7" t="str"/>
      <x:c r="O292" s="6" t="str"/>
      <x:c r="P292" s="6" t="str"/>
      <x:c r="Q292" s="6" t="str">
        <x:v>Pending</x:v>
      </x:c>
      <x:c r="R292" s="7" t="str">
        <x:f>IF(AND(J292&lt;&gt;"",K292="Unresolved"),"Duplicate dependency unresolved","")</x:f>
      </x:c>
      <x:c r="S292" s="6" t="str">
        <x:v>No</x:v>
      </x:c>
      <x:c r="T292" s="7" t="str"/>
    </x:row>
    <x:row r="293">
      <x:c r="A293" s="6" t="str">
        <x:v>SIDX-0292</x:v>
      </x:c>
      <x:c r="B293" s="6" t="str">
        <x:v>SIR-000292</x:v>
      </x:c>
      <x:c r="C293" s="6" t="str">
        <x:v>SVC000292</x:v>
      </x:c>
      <x:c r="D293" s="6" t="str">
        <x:v>Galaxy S 10 Charge Port Replacement</x:v>
      </x:c>
      <x:c r="E293" s="6" t="str"/>
      <x:c r="F293" s="6" t="str"/>
      <x:c r="G293" s="6" t="str"/>
      <x:c r="H293" s="6" t="str"/>
      <x:c r="I293" s="6" t="str"/>
      <x:c r="J293" s="6" t="str"/>
      <x:c r="K293" s="6" t="str">
        <x:f>IF(J293="","No duplicate dependency",IFERROR(XLOOKUP(J293,'Duplicate Review Queue'!B2:B16,'Duplicate Review Queue'!J2:J16),"Dependency not found"))</x:f>
        <x:v>No duplicate dependency</x:v>
      </x:c>
      <x:c r="L293" s="6" t="str">
        <x:v>Unresolved</x:v>
      </x:c>
      <x:c r="M293" s="6" t="str"/>
      <x:c r="N293" s="7" t="str"/>
      <x:c r="O293" s="6" t="str"/>
      <x:c r="P293" s="6" t="str"/>
      <x:c r="Q293" s="6" t="str">
        <x:v>Pending</x:v>
      </x:c>
      <x:c r="R293" s="7" t="str">
        <x:f>IF(AND(J293&lt;&gt;"",K293="Unresolved"),"Duplicate dependency unresolved","")</x:f>
      </x:c>
      <x:c r="S293" s="6" t="str">
        <x:v>No</x:v>
      </x:c>
      <x:c r="T293" s="7" t="str"/>
    </x:row>
    <x:row r="294">
      <x:c r="A294" s="6" t="str">
        <x:v>SIDX-0293</x:v>
      </x:c>
      <x:c r="B294" s="6" t="str">
        <x:v>SIR-000293</x:v>
      </x:c>
      <x:c r="C294" s="6" t="str">
        <x:v>SVC000293</x:v>
      </x:c>
      <x:c r="D294" s="6" t="str">
        <x:v>Galaxy S 10 Plus Charge Port Replacement</x:v>
      </x:c>
      <x:c r="E294" s="6" t="str"/>
      <x:c r="F294" s="6" t="str"/>
      <x:c r="G294" s="6" t="str"/>
      <x:c r="H294" s="6" t="str"/>
      <x:c r="I294" s="6" t="str"/>
      <x:c r="J294" s="6" t="str"/>
      <x:c r="K294" s="6" t="str">
        <x:f>IF(J294="","No duplicate dependency",IFERROR(XLOOKUP(J294,'Duplicate Review Queue'!B2:B16,'Duplicate Review Queue'!J2:J16),"Dependency not found"))</x:f>
        <x:v>No duplicate dependency</x:v>
      </x:c>
      <x:c r="L294" s="6" t="str">
        <x:v>Unresolved</x:v>
      </x:c>
      <x:c r="M294" s="6" t="str"/>
      <x:c r="N294" s="7" t="str"/>
      <x:c r="O294" s="6" t="str"/>
      <x:c r="P294" s="6" t="str"/>
      <x:c r="Q294" s="6" t="str">
        <x:v>Pending</x:v>
      </x:c>
      <x:c r="R294" s="7" t="str">
        <x:f>IF(AND(J294&lt;&gt;"",K294="Unresolved"),"Duplicate dependency unresolved","")</x:f>
      </x:c>
      <x:c r="S294" s="6" t="str">
        <x:v>No</x:v>
      </x:c>
      <x:c r="T294" s="7" t="str"/>
    </x:row>
    <x:row r="295">
      <x:c r="A295" s="6" t="str">
        <x:v>SIDX-0294</x:v>
      </x:c>
      <x:c r="B295" s="6" t="str">
        <x:v>SIR-000294</x:v>
      </x:c>
      <x:c r="C295" s="6" t="str">
        <x:v>SVC000294</x:v>
      </x:c>
      <x:c r="D295" s="6" t="str">
        <x:v>Galaxy S 10 E Charge Port Replacement</x:v>
      </x:c>
      <x:c r="E295" s="6" t="str"/>
      <x:c r="F295" s="6" t="str"/>
      <x:c r="G295" s="6" t="str"/>
      <x:c r="H295" s="6" t="str"/>
      <x:c r="I295" s="6" t="str"/>
      <x:c r="J295" s="6" t="str"/>
      <x:c r="K295" s="6" t="str">
        <x:f>IF(J295="","No duplicate dependency",IFERROR(XLOOKUP(J295,'Duplicate Review Queue'!B2:B16,'Duplicate Review Queue'!J2:J16),"Dependency not found"))</x:f>
        <x:v>No duplicate dependency</x:v>
      </x:c>
      <x:c r="L295" s="6" t="str">
        <x:v>Unresolved</x:v>
      </x:c>
      <x:c r="M295" s="6" t="str"/>
      <x:c r="N295" s="7" t="str"/>
      <x:c r="O295" s="6" t="str"/>
      <x:c r="P295" s="6" t="str"/>
      <x:c r="Q295" s="6" t="str">
        <x:v>Pending</x:v>
      </x:c>
      <x:c r="R295" s="7" t="str">
        <x:f>IF(AND(J295&lt;&gt;"",K295="Unresolved"),"Duplicate dependency unresolved","")</x:f>
      </x:c>
      <x:c r="S295" s="6" t="str">
        <x:v>No</x:v>
      </x:c>
      <x:c r="T295" s="7" t="str"/>
    </x:row>
    <x:row r="296">
      <x:c r="A296" s="6" t="str">
        <x:v>SIDX-0295</x:v>
      </x:c>
      <x:c r="B296" s="6" t="str">
        <x:v>SIR-000295</x:v>
      </x:c>
      <x:c r="C296" s="6" t="str">
        <x:v>SVC000295</x:v>
      </x:c>
      <x:c r="D296" s="6" t="str">
        <x:v>Galaxy Note 8 Charge Port Replacement</x:v>
      </x:c>
      <x:c r="E296" s="6" t="str"/>
      <x:c r="F296" s="6" t="str"/>
      <x:c r="G296" s="6" t="str"/>
      <x:c r="H296" s="6" t="str"/>
      <x:c r="I296" s="6" t="str"/>
      <x:c r="J296" s="6" t="str"/>
      <x:c r="K296" s="6" t="str">
        <x:f>IF(J296="","No duplicate dependency",IFERROR(XLOOKUP(J296,'Duplicate Review Queue'!B2:B16,'Duplicate Review Queue'!J2:J16),"Dependency not found"))</x:f>
        <x:v>No duplicate dependency</x:v>
      </x:c>
      <x:c r="L296" s="6" t="str">
        <x:v>Unresolved</x:v>
      </x:c>
      <x:c r="M296" s="6" t="str"/>
      <x:c r="N296" s="7" t="str"/>
      <x:c r="O296" s="6" t="str"/>
      <x:c r="P296" s="6" t="str"/>
      <x:c r="Q296" s="6" t="str">
        <x:v>Pending</x:v>
      </x:c>
      <x:c r="R296" s="7" t="str">
        <x:f>IF(AND(J296&lt;&gt;"",K296="Unresolved"),"Duplicate dependency unresolved","")</x:f>
      </x:c>
      <x:c r="S296" s="6" t="str">
        <x:v>No</x:v>
      </x:c>
      <x:c r="T296" s="7" t="str"/>
    </x:row>
    <x:row r="297">
      <x:c r="A297" s="6" t="str">
        <x:v>SIDX-0296</x:v>
      </x:c>
      <x:c r="B297" s="6" t="str">
        <x:v>SIR-000296</x:v>
      </x:c>
      <x:c r="C297" s="6" t="str">
        <x:v>SVC000296</x:v>
      </x:c>
      <x:c r="D297" s="6" t="str">
        <x:v>Galaxy Note 9 Charge Port Replacement</x:v>
      </x:c>
      <x:c r="E297" s="6" t="str"/>
      <x:c r="F297" s="6" t="str"/>
      <x:c r="G297" s="6" t="str"/>
      <x:c r="H297" s="6" t="str"/>
      <x:c r="I297" s="6" t="str"/>
      <x:c r="J297" s="6" t="str"/>
      <x:c r="K297" s="6" t="str">
        <x:f>IF(J297="","No duplicate dependency",IFERROR(XLOOKUP(J297,'Duplicate Review Queue'!B2:B16,'Duplicate Review Queue'!J2:J16),"Dependency not found"))</x:f>
        <x:v>No duplicate dependency</x:v>
      </x:c>
      <x:c r="L297" s="6" t="str">
        <x:v>Unresolved</x:v>
      </x:c>
      <x:c r="M297" s="6" t="str"/>
      <x:c r="N297" s="7" t="str"/>
      <x:c r="O297" s="6" t="str"/>
      <x:c r="P297" s="6" t="str"/>
      <x:c r="Q297" s="6" t="str">
        <x:v>Pending</x:v>
      </x:c>
      <x:c r="R297" s="7" t="str">
        <x:f>IF(AND(J297&lt;&gt;"",K297="Unresolved"),"Duplicate dependency unresolved","")</x:f>
      </x:c>
      <x:c r="S297" s="6" t="str">
        <x:v>No</x:v>
      </x:c>
      <x:c r="T297" s="7" t="str"/>
    </x:row>
    <x:row r="298">
      <x:c r="A298" s="6" t="str">
        <x:v>SIDX-0297</x:v>
      </x:c>
      <x:c r="B298" s="6" t="str">
        <x:v>SIR-000297</x:v>
      </x:c>
      <x:c r="C298" s="6" t="str">
        <x:v>SVC000297</x:v>
      </x:c>
      <x:c r="D298" s="6" t="str">
        <x:v>Galaxy Note 10 Plus Charge Port Replacement</x:v>
      </x:c>
      <x:c r="E298" s="6" t="str"/>
      <x:c r="F298" s="6" t="str"/>
      <x:c r="G298" s="6" t="str"/>
      <x:c r="H298" s="6" t="str"/>
      <x:c r="I298" s="6" t="str"/>
      <x:c r="J298" s="6" t="str"/>
      <x:c r="K298" s="6" t="str">
        <x:f>IF(J298="","No duplicate dependency",IFERROR(XLOOKUP(J298,'Duplicate Review Queue'!B2:B16,'Duplicate Review Queue'!J2:J16),"Dependency not found"))</x:f>
        <x:v>No duplicate dependency</x:v>
      </x:c>
      <x:c r="L298" s="6" t="str">
        <x:v>Unresolved</x:v>
      </x:c>
      <x:c r="M298" s="6" t="str"/>
      <x:c r="N298" s="7" t="str"/>
      <x:c r="O298" s="6" t="str"/>
      <x:c r="P298" s="6" t="str"/>
      <x:c r="Q298" s="6" t="str">
        <x:v>Pending</x:v>
      </x:c>
      <x:c r="R298" s="7" t="str">
        <x:f>IF(AND(J298&lt;&gt;"",K298="Unresolved"),"Duplicate dependency unresolved","")</x:f>
      </x:c>
      <x:c r="S298" s="6" t="str">
        <x:v>No</x:v>
      </x:c>
      <x:c r="T298" s="7" t="str"/>
    </x:row>
    <x:row r="299">
      <x:c r="A299" s="6" t="str">
        <x:v>SIDX-0298</x:v>
      </x:c>
      <x:c r="B299" s="6" t="str">
        <x:v>SIR-000298</x:v>
      </x:c>
      <x:c r="C299" s="6" t="str">
        <x:v>SVC000298</x:v>
      </x:c>
      <x:c r="D299" s="6" t="str">
        <x:v>Galaxy S 20 Charge Port Replacement</x:v>
      </x:c>
      <x:c r="E299" s="6" t="str"/>
      <x:c r="F299" s="6" t="str"/>
      <x:c r="G299" s="6" t="str"/>
      <x:c r="H299" s="6" t="str"/>
      <x:c r="I299" s="6" t="str"/>
      <x:c r="J299" s="6" t="str"/>
      <x:c r="K299" s="6" t="str">
        <x:f>IF(J299="","No duplicate dependency",IFERROR(XLOOKUP(J299,'Duplicate Review Queue'!B2:B16,'Duplicate Review Queue'!J2:J16),"Dependency not found"))</x:f>
        <x:v>No duplicate dependency</x:v>
      </x:c>
      <x:c r="L299" s="6" t="str">
        <x:v>Unresolved</x:v>
      </x:c>
      <x:c r="M299" s="6" t="str"/>
      <x:c r="N299" s="7" t="str"/>
      <x:c r="O299" s="6" t="str"/>
      <x:c r="P299" s="6" t="str"/>
      <x:c r="Q299" s="6" t="str">
        <x:v>Pending</x:v>
      </x:c>
      <x:c r="R299" s="7" t="str">
        <x:f>IF(AND(J299&lt;&gt;"",K299="Unresolved"),"Duplicate dependency unresolved","")</x:f>
      </x:c>
      <x:c r="S299" s="6" t="str">
        <x:v>No</x:v>
      </x:c>
      <x:c r="T299" s="7" t="str"/>
    </x:row>
    <x:row r="300">
      <x:c r="A300" s="6" t="str">
        <x:v>SIDX-0299</x:v>
      </x:c>
      <x:c r="B300" s="6" t="str">
        <x:v>SIR-000299</x:v>
      </x:c>
      <x:c r="C300" s="6" t="str">
        <x:v>SVC000299</x:v>
      </x:c>
      <x:c r="D300" s="6" t="str">
        <x:v>Galaxy S 20 Plus Charge Port Replacement</x:v>
      </x:c>
      <x:c r="E300" s="6" t="str"/>
      <x:c r="F300" s="6" t="str"/>
      <x:c r="G300" s="6" t="str"/>
      <x:c r="H300" s="6" t="str"/>
      <x:c r="I300" s="6" t="str"/>
      <x:c r="J300" s="6" t="str"/>
      <x:c r="K300" s="6" t="str">
        <x:f>IF(J300="","No duplicate dependency",IFERROR(XLOOKUP(J300,'Duplicate Review Queue'!B2:B16,'Duplicate Review Queue'!J2:J16),"Dependency not found"))</x:f>
        <x:v>No duplicate dependency</x:v>
      </x:c>
      <x:c r="L300" s="6" t="str">
        <x:v>Unresolved</x:v>
      </x:c>
      <x:c r="M300" s="6" t="str"/>
      <x:c r="N300" s="7" t="str"/>
      <x:c r="O300" s="6" t="str"/>
      <x:c r="P300" s="6" t="str"/>
      <x:c r="Q300" s="6" t="str">
        <x:v>Pending</x:v>
      </x:c>
      <x:c r="R300" s="7" t="str">
        <x:f>IF(AND(J300&lt;&gt;"",K300="Unresolved"),"Duplicate dependency unresolved","")</x:f>
      </x:c>
      <x:c r="S300" s="6" t="str">
        <x:v>No</x:v>
      </x:c>
      <x:c r="T300" s="7" t="str"/>
    </x:row>
    <x:row r="301">
      <x:c r="A301" s="6" t="str">
        <x:v>SIDX-0300</x:v>
      </x:c>
      <x:c r="B301" s="6" t="str">
        <x:v>SIR-000300</x:v>
      </x:c>
      <x:c r="C301" s="6" t="str">
        <x:v>SVC000300</x:v>
      </x:c>
      <x:c r="D301" s="6" t="str">
        <x:v>Galaxy S 20 Ultra Charge Port Replacement</x:v>
      </x:c>
      <x:c r="E301" s="6" t="str"/>
      <x:c r="F301" s="6" t="str"/>
      <x:c r="G301" s="6" t="str"/>
      <x:c r="H301" s="6" t="str"/>
      <x:c r="I301" s="6" t="str"/>
      <x:c r="J301" s="6" t="str"/>
      <x:c r="K301" s="6" t="str">
        <x:f>IF(J301="","No duplicate dependency",IFERROR(XLOOKUP(J301,'Duplicate Review Queue'!B2:B16,'Duplicate Review Queue'!J2:J16),"Dependency not found"))</x:f>
        <x:v>No duplicate dependency</x:v>
      </x:c>
      <x:c r="L301" s="6" t="str">
        <x:v>Unresolved</x:v>
      </x:c>
      <x:c r="M301" s="6" t="str"/>
      <x:c r="N301" s="7" t="str"/>
      <x:c r="O301" s="6" t="str"/>
      <x:c r="P301" s="6" t="str"/>
      <x:c r="Q301" s="6" t="str">
        <x:v>Pending</x:v>
      </x:c>
      <x:c r="R301" s="7" t="str">
        <x:f>IF(AND(J301&lt;&gt;"",K301="Unresolved"),"Duplicate dependency unresolved","")</x:f>
      </x:c>
      <x:c r="S301" s="6" t="str">
        <x:v>No</x:v>
      </x:c>
      <x:c r="T301" s="7" t="str"/>
    </x:row>
    <x:row r="302">
      <x:c r="A302" s="6" t="str">
        <x:v>SIDX-0301</x:v>
      </x:c>
      <x:c r="B302" s="6" t="str">
        <x:v>SIR-000301</x:v>
      </x:c>
      <x:c r="C302" s="6" t="str">
        <x:v>SVC000301</x:v>
      </x:c>
      <x:c r="D302" s="6" t="str">
        <x:v>Galaxy S 20 FE Charge Port Replacement</x:v>
      </x:c>
      <x:c r="E302" s="6" t="str"/>
      <x:c r="F302" s="6" t="str"/>
      <x:c r="G302" s="6" t="str"/>
      <x:c r="H302" s="6" t="str"/>
      <x:c r="I302" s="6" t="str"/>
      <x:c r="J302" s="6" t="str"/>
      <x:c r="K302" s="6" t="str">
        <x:f>IF(J302="","No duplicate dependency",IFERROR(XLOOKUP(J302,'Duplicate Review Queue'!B2:B16,'Duplicate Review Queue'!J2:J16),"Dependency not found"))</x:f>
        <x:v>No duplicate dependency</x:v>
      </x:c>
      <x:c r="L302" s="6" t="str">
        <x:v>Unresolved</x:v>
      </x:c>
      <x:c r="M302" s="6" t="str"/>
      <x:c r="N302" s="7" t="str"/>
      <x:c r="O302" s="6" t="str"/>
      <x:c r="P302" s="6" t="str"/>
      <x:c r="Q302" s="6" t="str">
        <x:v>Pending</x:v>
      </x:c>
      <x:c r="R302" s="7" t="str">
        <x:f>IF(AND(J302&lt;&gt;"",K302="Unresolved"),"Duplicate dependency unresolved","")</x:f>
      </x:c>
      <x:c r="S302" s="6" t="str">
        <x:v>No</x:v>
      </x:c>
      <x:c r="T302" s="7" t="str"/>
    </x:row>
    <x:row r="303">
      <x:c r="A303" s="6" t="str">
        <x:v>SIDX-0302</x:v>
      </x:c>
      <x:c r="B303" s="6" t="str">
        <x:v>SIR-000302</x:v>
      </x:c>
      <x:c r="C303" s="6" t="str">
        <x:v>SVC000302</x:v>
      </x:c>
      <x:c r="D303" s="6" t="str">
        <x:v>Galaxy S 21 Charge Port Replacement</x:v>
      </x:c>
      <x:c r="E303" s="6" t="str"/>
      <x:c r="F303" s="6" t="str"/>
      <x:c r="G303" s="6" t="str"/>
      <x:c r="H303" s="6" t="str"/>
      <x:c r="I303" s="6" t="str"/>
      <x:c r="J303" s="6" t="str"/>
      <x:c r="K303" s="6" t="str">
        <x:f>IF(J303="","No duplicate dependency",IFERROR(XLOOKUP(J303,'Duplicate Review Queue'!B2:B16,'Duplicate Review Queue'!J2:J16),"Dependency not found"))</x:f>
        <x:v>No duplicate dependency</x:v>
      </x:c>
      <x:c r="L303" s="6" t="str">
        <x:v>Unresolved</x:v>
      </x:c>
      <x:c r="M303" s="6" t="str"/>
      <x:c r="N303" s="7" t="str"/>
      <x:c r="O303" s="6" t="str"/>
      <x:c r="P303" s="6" t="str"/>
      <x:c r="Q303" s="6" t="str">
        <x:v>Pending</x:v>
      </x:c>
      <x:c r="R303" s="7" t="str">
        <x:f>IF(AND(J303&lt;&gt;"",K303="Unresolved"),"Duplicate dependency unresolved","")</x:f>
      </x:c>
      <x:c r="S303" s="6" t="str">
        <x:v>No</x:v>
      </x:c>
      <x:c r="T303" s="7" t="str"/>
    </x:row>
    <x:row r="304">
      <x:c r="A304" s="6" t="str">
        <x:v>SIDX-0303</x:v>
      </x:c>
      <x:c r="B304" s="6" t="str">
        <x:v>SIR-000303</x:v>
      </x:c>
      <x:c r="C304" s="6" t="str">
        <x:v>SVC000303</x:v>
      </x:c>
      <x:c r="D304" s="6" t="str">
        <x:v>Galaxy S 21 Plus Charge Port Replacement</x:v>
      </x:c>
      <x:c r="E304" s="6" t="str"/>
      <x:c r="F304" s="6" t="str"/>
      <x:c r="G304" s="6" t="str"/>
      <x:c r="H304" s="6" t="str"/>
      <x:c r="I304" s="6" t="str"/>
      <x:c r="J304" s="6" t="str"/>
      <x:c r="K304" s="6" t="str">
        <x:f>IF(J304="","No duplicate dependency",IFERROR(XLOOKUP(J304,'Duplicate Review Queue'!B2:B16,'Duplicate Review Queue'!J2:J16),"Dependency not found"))</x:f>
        <x:v>No duplicate dependency</x:v>
      </x:c>
      <x:c r="L304" s="6" t="str">
        <x:v>Unresolved</x:v>
      </x:c>
      <x:c r="M304" s="6" t="str"/>
      <x:c r="N304" s="7" t="str"/>
      <x:c r="O304" s="6" t="str"/>
      <x:c r="P304" s="6" t="str"/>
      <x:c r="Q304" s="6" t="str">
        <x:v>Pending</x:v>
      </x:c>
      <x:c r="R304" s="7" t="str">
        <x:f>IF(AND(J304&lt;&gt;"",K304="Unresolved"),"Duplicate dependency unresolved","")</x:f>
      </x:c>
      <x:c r="S304" s="6" t="str">
        <x:v>No</x:v>
      </x:c>
      <x:c r="T304" s="7" t="str"/>
    </x:row>
    <x:row r="305">
      <x:c r="A305" s="6" t="str">
        <x:v>SIDX-0304</x:v>
      </x:c>
      <x:c r="B305" s="6" t="str">
        <x:v>SIR-000304</x:v>
      </x:c>
      <x:c r="C305" s="6" t="str">
        <x:v>SVC000304</x:v>
      </x:c>
      <x:c r="D305" s="6" t="str">
        <x:v>Galaxy S 21 FE Charge Port Replacement</x:v>
      </x:c>
      <x:c r="E305" s="6" t="str"/>
      <x:c r="F305" s="6" t="str"/>
      <x:c r="G305" s="6" t="str"/>
      <x:c r="H305" s="6" t="str"/>
      <x:c r="I305" s="6" t="str"/>
      <x:c r="J305" s="6" t="str"/>
      <x:c r="K305" s="6" t="str">
        <x:f>IF(J305="","No duplicate dependency",IFERROR(XLOOKUP(J305,'Duplicate Review Queue'!B2:B16,'Duplicate Review Queue'!J2:J16),"Dependency not found"))</x:f>
        <x:v>No duplicate dependency</x:v>
      </x:c>
      <x:c r="L305" s="6" t="str">
        <x:v>Unresolved</x:v>
      </x:c>
      <x:c r="M305" s="6" t="str"/>
      <x:c r="N305" s="7" t="str"/>
      <x:c r="O305" s="6" t="str"/>
      <x:c r="P305" s="6" t="str"/>
      <x:c r="Q305" s="6" t="str">
        <x:v>Pending</x:v>
      </x:c>
      <x:c r="R305" s="7" t="str">
        <x:f>IF(AND(J305&lt;&gt;"",K305="Unresolved"),"Duplicate dependency unresolved","")</x:f>
      </x:c>
      <x:c r="S305" s="6" t="str">
        <x:v>No</x:v>
      </x:c>
      <x:c r="T305" s="7" t="str"/>
    </x:row>
    <x:row r="306">
      <x:c r="A306" s="6" t="str">
        <x:v>SIDX-0305</x:v>
      </x:c>
      <x:c r="B306" s="6" t="str">
        <x:v>SIR-000305</x:v>
      </x:c>
      <x:c r="C306" s="6" t="str">
        <x:v>SVC000305</x:v>
      </x:c>
      <x:c r="D306" s="6" t="str">
        <x:v>Galaxy S 22 Charge Port Replacement</x:v>
      </x:c>
      <x:c r="E306" s="6" t="str"/>
      <x:c r="F306" s="6" t="str"/>
      <x:c r="G306" s="6" t="str"/>
      <x:c r="H306" s="6" t="str"/>
      <x:c r="I306" s="6" t="str"/>
      <x:c r="J306" s="6" t="str"/>
      <x:c r="K306" s="6" t="str">
        <x:f>IF(J306="","No duplicate dependency",IFERROR(XLOOKUP(J306,'Duplicate Review Queue'!B2:B16,'Duplicate Review Queue'!J2:J16),"Dependency not found"))</x:f>
        <x:v>No duplicate dependency</x:v>
      </x:c>
      <x:c r="L306" s="6" t="str">
        <x:v>Unresolved</x:v>
      </x:c>
      <x:c r="M306" s="6" t="str"/>
      <x:c r="N306" s="7" t="str"/>
      <x:c r="O306" s="6" t="str"/>
      <x:c r="P306" s="6" t="str"/>
      <x:c r="Q306" s="6" t="str">
        <x:v>Pending</x:v>
      </x:c>
      <x:c r="R306" s="7" t="str">
        <x:f>IF(AND(J306&lt;&gt;"",K306="Unresolved"),"Duplicate dependency unresolved","")</x:f>
      </x:c>
      <x:c r="S306" s="6" t="str">
        <x:v>No</x:v>
      </x:c>
      <x:c r="T306" s="7" t="str"/>
    </x:row>
    <x:row r="307">
      <x:c r="A307" s="6" t="str">
        <x:v>SIDX-0306</x:v>
      </x:c>
      <x:c r="B307" s="6" t="str">
        <x:v>SIR-000306</x:v>
      </x:c>
      <x:c r="C307" s="6" t="str">
        <x:v>SVC000306</x:v>
      </x:c>
      <x:c r="D307" s="6" t="str">
        <x:v>Galaxy S 22 Plus Charge Port Replacement</x:v>
      </x:c>
      <x:c r="E307" s="6" t="str"/>
      <x:c r="F307" s="6" t="str"/>
      <x:c r="G307" s="6" t="str"/>
      <x:c r="H307" s="6" t="str"/>
      <x:c r="I307" s="6" t="str"/>
      <x:c r="J307" s="6" t="str"/>
      <x:c r="K307" s="6" t="str">
        <x:f>IF(J307="","No duplicate dependency",IFERROR(XLOOKUP(J307,'Duplicate Review Queue'!B2:B16,'Duplicate Review Queue'!J2:J16),"Dependency not found"))</x:f>
        <x:v>No duplicate dependency</x:v>
      </x:c>
      <x:c r="L307" s="6" t="str">
        <x:v>Unresolved</x:v>
      </x:c>
      <x:c r="M307" s="6" t="str"/>
      <x:c r="N307" s="7" t="str"/>
      <x:c r="O307" s="6" t="str"/>
      <x:c r="P307" s="6" t="str"/>
      <x:c r="Q307" s="6" t="str">
        <x:v>Pending</x:v>
      </x:c>
      <x:c r="R307" s="7" t="str">
        <x:f>IF(AND(J307&lt;&gt;"",K307="Unresolved"),"Duplicate dependency unresolved","")</x:f>
      </x:c>
      <x:c r="S307" s="6" t="str">
        <x:v>No</x:v>
      </x:c>
      <x:c r="T307" s="7" t="str"/>
    </x:row>
    <x:row r="308">
      <x:c r="A308" s="6" t="str">
        <x:v>SIDX-0307</x:v>
      </x:c>
      <x:c r="B308" s="6" t="str">
        <x:v>SIR-000307</x:v>
      </x:c>
      <x:c r="C308" s="6" t="str">
        <x:v>SVC000307</x:v>
      </x:c>
      <x:c r="D308" s="6" t="str">
        <x:v>Galaxy S 22 Ultra Charge Port Replacement</x:v>
      </x:c>
      <x:c r="E308" s="6" t="str"/>
      <x:c r="F308" s="6" t="str"/>
      <x:c r="G308" s="6" t="str"/>
      <x:c r="H308" s="6" t="str"/>
      <x:c r="I308" s="6" t="str"/>
      <x:c r="J308" s="6" t="str"/>
      <x:c r="K308" s="6" t="str">
        <x:f>IF(J308="","No duplicate dependency",IFERROR(XLOOKUP(J308,'Duplicate Review Queue'!B2:B16,'Duplicate Review Queue'!J2:J16),"Dependency not found"))</x:f>
        <x:v>No duplicate dependency</x:v>
      </x:c>
      <x:c r="L308" s="6" t="str">
        <x:v>Unresolved</x:v>
      </x:c>
      <x:c r="M308" s="6" t="str"/>
      <x:c r="N308" s="7" t="str"/>
      <x:c r="O308" s="6" t="str"/>
      <x:c r="P308" s="6" t="str"/>
      <x:c r="Q308" s="6" t="str">
        <x:v>Pending</x:v>
      </x:c>
      <x:c r="R308" s="7" t="str">
        <x:f>IF(AND(J308&lt;&gt;"",K308="Unresolved"),"Duplicate dependency unresolved","")</x:f>
      </x:c>
      <x:c r="S308" s="6" t="str">
        <x:v>No</x:v>
      </x:c>
      <x:c r="T308" s="7" t="str"/>
    </x:row>
    <x:row r="309">
      <x:c r="A309" s="6" t="str">
        <x:v>SIDX-0308</x:v>
      </x:c>
      <x:c r="B309" s="6" t="str">
        <x:v>SIR-000308</x:v>
      </x:c>
      <x:c r="C309" s="6" t="str">
        <x:v>SVC000308</x:v>
      </x:c>
      <x:c r="D309" s="6" t="str">
        <x:v>Galaxy S 23 Charge Port Replacement</x:v>
      </x:c>
      <x:c r="E309" s="6" t="str"/>
      <x:c r="F309" s="6" t="str"/>
      <x:c r="G309" s="6" t="str"/>
      <x:c r="H309" s="6" t="str"/>
      <x:c r="I309" s="6" t="str"/>
      <x:c r="J309" s="6" t="str"/>
      <x:c r="K309" s="6" t="str">
        <x:f>IF(J309="","No duplicate dependency",IFERROR(XLOOKUP(J309,'Duplicate Review Queue'!B2:B16,'Duplicate Review Queue'!J2:J16),"Dependency not found"))</x:f>
        <x:v>No duplicate dependency</x:v>
      </x:c>
      <x:c r="L309" s="6" t="str">
        <x:v>Unresolved</x:v>
      </x:c>
      <x:c r="M309" s="6" t="str"/>
      <x:c r="N309" s="7" t="str"/>
      <x:c r="O309" s="6" t="str"/>
      <x:c r="P309" s="6" t="str"/>
      <x:c r="Q309" s="6" t="str">
        <x:v>Pending</x:v>
      </x:c>
      <x:c r="R309" s="7" t="str">
        <x:f>IF(AND(J309&lt;&gt;"",K309="Unresolved"),"Duplicate dependency unresolved","")</x:f>
      </x:c>
      <x:c r="S309" s="6" t="str">
        <x:v>No</x:v>
      </x:c>
      <x:c r="T309" s="7" t="str"/>
    </x:row>
    <x:row r="310">
      <x:c r="A310" s="6" t="str">
        <x:v>SIDX-0309</x:v>
      </x:c>
      <x:c r="B310" s="6" t="str">
        <x:v>SIR-000309</x:v>
      </x:c>
      <x:c r="C310" s="6" t="str">
        <x:v>SVC000309</x:v>
      </x:c>
      <x:c r="D310" s="6" t="str">
        <x:v>Galaxy S 23 Plus Charge Port Replacement</x:v>
      </x:c>
      <x:c r="E310" s="6" t="str"/>
      <x:c r="F310" s="6" t="str"/>
      <x:c r="G310" s="6" t="str"/>
      <x:c r="H310" s="6" t="str"/>
      <x:c r="I310" s="6" t="str"/>
      <x:c r="J310" s="6" t="str"/>
      <x:c r="K310" s="6" t="str">
        <x:f>IF(J310="","No duplicate dependency",IFERROR(XLOOKUP(J310,'Duplicate Review Queue'!B2:B16,'Duplicate Review Queue'!J2:J16),"Dependency not found"))</x:f>
        <x:v>No duplicate dependency</x:v>
      </x:c>
      <x:c r="L310" s="6" t="str">
        <x:v>Unresolved</x:v>
      </x:c>
      <x:c r="M310" s="6" t="str"/>
      <x:c r="N310" s="7" t="str"/>
      <x:c r="O310" s="6" t="str"/>
      <x:c r="P310" s="6" t="str"/>
      <x:c r="Q310" s="6" t="str">
        <x:v>Pending</x:v>
      </x:c>
      <x:c r="R310" s="7" t="str">
        <x:f>IF(AND(J310&lt;&gt;"",K310="Unresolved"),"Duplicate dependency unresolved","")</x:f>
      </x:c>
      <x:c r="S310" s="6" t="str">
        <x:v>No</x:v>
      </x:c>
      <x:c r="T310" s="7" t="str"/>
    </x:row>
    <x:row r="311">
      <x:c r="A311" s="6" t="str">
        <x:v>SIDX-0310</x:v>
      </x:c>
      <x:c r="B311" s="6" t="str">
        <x:v>SIR-000310</x:v>
      </x:c>
      <x:c r="C311" s="6" t="str">
        <x:v>SVC000310</x:v>
      </x:c>
      <x:c r="D311" s="6" t="str">
        <x:v>Galaxy S 23 Ultra Charge Port Replacement</x:v>
      </x:c>
      <x:c r="E311" s="6" t="str"/>
      <x:c r="F311" s="6" t="str"/>
      <x:c r="G311" s="6" t="str"/>
      <x:c r="H311" s="6" t="str"/>
      <x:c r="I311" s="6" t="str"/>
      <x:c r="J311" s="6" t="str"/>
      <x:c r="K311" s="6" t="str">
        <x:f>IF(J311="","No duplicate dependency",IFERROR(XLOOKUP(J311,'Duplicate Review Queue'!B2:B16,'Duplicate Review Queue'!J2:J16),"Dependency not found"))</x:f>
        <x:v>No duplicate dependency</x:v>
      </x:c>
      <x:c r="L311" s="6" t="str">
        <x:v>Unresolved</x:v>
      </x:c>
      <x:c r="M311" s="6" t="str"/>
      <x:c r="N311" s="7" t="str"/>
      <x:c r="O311" s="6" t="str"/>
      <x:c r="P311" s="6" t="str"/>
      <x:c r="Q311" s="6" t="str">
        <x:v>Pending</x:v>
      </x:c>
      <x:c r="R311" s="7" t="str">
        <x:f>IF(AND(J311&lt;&gt;"",K311="Unresolved"),"Duplicate dependency unresolved","")</x:f>
      </x:c>
      <x:c r="S311" s="6" t="str">
        <x:v>No</x:v>
      </x:c>
      <x:c r="T311" s="7" t="str"/>
    </x:row>
    <x:row r="312">
      <x:c r="A312" s="6" t="str">
        <x:v>SIDX-0311</x:v>
      </x:c>
      <x:c r="B312" s="6" t="str">
        <x:v>SIR-000311</x:v>
      </x:c>
      <x:c r="C312" s="6" t="str">
        <x:v>SVC000311</x:v>
      </x:c>
      <x:c r="D312" s="6" t="str">
        <x:v>Galaxy S 23 FE Charge Port Replacement</x:v>
      </x:c>
      <x:c r="E312" s="6" t="str"/>
      <x:c r="F312" s="6" t="str"/>
      <x:c r="G312" s="6" t="str"/>
      <x:c r="H312" s="6" t="str"/>
      <x:c r="I312" s="6" t="str"/>
      <x:c r="J312" s="6" t="str"/>
      <x:c r="K312" s="6" t="str">
        <x:f>IF(J312="","No duplicate dependency",IFERROR(XLOOKUP(J312,'Duplicate Review Queue'!B2:B16,'Duplicate Review Queue'!J2:J16),"Dependency not found"))</x:f>
        <x:v>No duplicate dependency</x:v>
      </x:c>
      <x:c r="L312" s="6" t="str">
        <x:v>Unresolved</x:v>
      </x:c>
      <x:c r="M312" s="6" t="str"/>
      <x:c r="N312" s="7" t="str"/>
      <x:c r="O312" s="6" t="str"/>
      <x:c r="P312" s="6" t="str"/>
      <x:c r="Q312" s="6" t="str">
        <x:v>Pending</x:v>
      </x:c>
      <x:c r="R312" s="7" t="str">
        <x:f>IF(AND(J312&lt;&gt;"",K312="Unresolved"),"Duplicate dependency unresolved","")</x:f>
      </x:c>
      <x:c r="S312" s="6" t="str">
        <x:v>No</x:v>
      </x:c>
      <x:c r="T312" s="7" t="str"/>
    </x:row>
    <x:row r="313">
      <x:c r="A313" s="6" t="str">
        <x:v>SIDX-0312</x:v>
      </x:c>
      <x:c r="B313" s="6" t="str">
        <x:v>SIR-000312</x:v>
      </x:c>
      <x:c r="C313" s="6" t="str">
        <x:v>SVC000312</x:v>
      </x:c>
      <x:c r="D313" s="6" t="str">
        <x:v>Galaxy S 24 Charge Port Replacement</x:v>
      </x:c>
      <x:c r="E313" s="6" t="str"/>
      <x:c r="F313" s="6" t="str"/>
      <x:c r="G313" s="6" t="str"/>
      <x:c r="H313" s="6" t="str"/>
      <x:c r="I313" s="6" t="str"/>
      <x:c r="J313" s="6" t="str"/>
      <x:c r="K313" s="6" t="str">
        <x:f>IF(J313="","No duplicate dependency",IFERROR(XLOOKUP(J313,'Duplicate Review Queue'!B2:B16,'Duplicate Review Queue'!J2:J16),"Dependency not found"))</x:f>
        <x:v>No duplicate dependency</x:v>
      </x:c>
      <x:c r="L313" s="6" t="str">
        <x:v>Unresolved</x:v>
      </x:c>
      <x:c r="M313" s="6" t="str"/>
      <x:c r="N313" s="7" t="str"/>
      <x:c r="O313" s="6" t="str"/>
      <x:c r="P313" s="6" t="str"/>
      <x:c r="Q313" s="6" t="str">
        <x:v>Pending</x:v>
      </x:c>
      <x:c r="R313" s="7" t="str">
        <x:f>IF(AND(J313&lt;&gt;"",K313="Unresolved"),"Duplicate dependency unresolved","")</x:f>
      </x:c>
      <x:c r="S313" s="6" t="str">
        <x:v>No</x:v>
      </x:c>
      <x:c r="T313" s="7" t="str"/>
    </x:row>
    <x:row r="314">
      <x:c r="A314" s="6" t="str">
        <x:v>SIDX-0313</x:v>
      </x:c>
      <x:c r="B314" s="6" t="str">
        <x:v>SIR-000313</x:v>
      </x:c>
      <x:c r="C314" s="6" t="str">
        <x:v>SVC000313</x:v>
      </x:c>
      <x:c r="D314" s="6" t="str">
        <x:v>Galaxy S 24 Plus Charge Port Replacement</x:v>
      </x:c>
      <x:c r="E314" s="6" t="str"/>
      <x:c r="F314" s="6" t="str"/>
      <x:c r="G314" s="6" t="str"/>
      <x:c r="H314" s="6" t="str"/>
      <x:c r="I314" s="6" t="str"/>
      <x:c r="J314" s="6" t="str"/>
      <x:c r="K314" s="6" t="str">
        <x:f>IF(J314="","No duplicate dependency",IFERROR(XLOOKUP(J314,'Duplicate Review Queue'!B2:B16,'Duplicate Review Queue'!J2:J16),"Dependency not found"))</x:f>
        <x:v>No duplicate dependency</x:v>
      </x:c>
      <x:c r="L314" s="6" t="str">
        <x:v>Unresolved</x:v>
      </x:c>
      <x:c r="M314" s="6" t="str"/>
      <x:c r="N314" s="7" t="str"/>
      <x:c r="O314" s="6" t="str"/>
      <x:c r="P314" s="6" t="str"/>
      <x:c r="Q314" s="6" t="str">
        <x:v>Pending</x:v>
      </x:c>
      <x:c r="R314" s="7" t="str">
        <x:f>IF(AND(J314&lt;&gt;"",K314="Unresolved"),"Duplicate dependency unresolved","")</x:f>
      </x:c>
      <x:c r="S314" s="6" t="str">
        <x:v>No</x:v>
      </x:c>
      <x:c r="T314" s="7" t="str"/>
    </x:row>
    <x:row r="315">
      <x:c r="A315" s="6" t="str">
        <x:v>SIDX-0314</x:v>
      </x:c>
      <x:c r="B315" s="6" t="str">
        <x:v>SIR-000314</x:v>
      </x:c>
      <x:c r="C315" s="6" t="str">
        <x:v>SVC000314</x:v>
      </x:c>
      <x:c r="D315" s="6" t="str">
        <x:v>Galaxy S 24 Ultra Charge Port Replacement</x:v>
      </x:c>
      <x:c r="E315" s="6" t="str"/>
      <x:c r="F315" s="6" t="str"/>
      <x:c r="G315" s="6" t="str"/>
      <x:c r="H315" s="6" t="str"/>
      <x:c r="I315" s="6" t="str"/>
      <x:c r="J315" s="6" t="str"/>
      <x:c r="K315" s="6" t="str">
        <x:f>IF(J315="","No duplicate dependency",IFERROR(XLOOKUP(J315,'Duplicate Review Queue'!B2:B16,'Duplicate Review Queue'!J2:J16),"Dependency not found"))</x:f>
        <x:v>No duplicate dependency</x:v>
      </x:c>
      <x:c r="L315" s="6" t="str">
        <x:v>Unresolved</x:v>
      </x:c>
      <x:c r="M315" s="6" t="str"/>
      <x:c r="N315" s="7" t="str"/>
      <x:c r="O315" s="6" t="str"/>
      <x:c r="P315" s="6" t="str"/>
      <x:c r="Q315" s="6" t="str">
        <x:v>Pending</x:v>
      </x:c>
      <x:c r="R315" s="7" t="str">
        <x:f>IF(AND(J315&lt;&gt;"",K315="Unresolved"),"Duplicate dependency unresolved","")</x:f>
      </x:c>
      <x:c r="S315" s="6" t="str">
        <x:v>No</x:v>
      </x:c>
      <x:c r="T315" s="7" t="str"/>
    </x:row>
  </x:sheetData>
  <x:dataValidations count="4">
    <x:dataValidation type="list" sqref="L2:L315">
      <x:formula1>"Confirm Current Identity,Propose Identity Change,Keep Separate,Suspected Duplicate,Reject Source Record,Escalate,Unresolved"</x:formula1>
    </x:dataValidation>
    <x:dataValidation type="list" sqref="Q2:Q315">
      <x:formula1>"Pending,Approved,Rejected,Escalated,Not Approved"</x:formula1>
    </x:dataValidation>
    <x:dataValidation type="list" sqref="S2:S315">
      <x:formula1>"Yes,No"</x:formula1>
    </x:dataValidation>
    <x:dataValidation type="list" sqref="C2:C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79a204d2b940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10.75" hidden="0" customWidth="1"/>
    <x:col min="3" max="3" width="24.8799991607666" hidden="0" customWidth="1"/>
    <x:col min="4" max="4" width="17.8799991607666" hidden="0" customWidth="1"/>
    <x:col min="5" max="5" width="25.6299991607666" hidden="0" customWidth="1"/>
    <x:col min="6" max="6" width="29.8799991607666" hidden="0" customWidth="1"/>
    <x:col min="7" max="7" width="22.8799991607666" hidden="0" customWidth="1"/>
    <x:col min="8" max="8" width="25.75" hidden="0" customWidth="1"/>
    <x:col min="9" max="9" width="26" hidden="0" customWidth="1"/>
    <x:col min="10" max="10" width="20.1299991607666" hidden="0" customWidth="1"/>
    <x:col min="11" max="11" width="17" hidden="0" customWidth="1"/>
    <x:col min="12" max="12" width="54.630001068115234" hidden="0" customWidth="1"/>
    <x:col min="13" max="13" width="14.880000114440918" hidden="0" customWidth="1"/>
    <x:col min="14" max="14" width="12.380000114440918" hidden="0" customWidth="1"/>
    <x:col min="15" max="15" width="25.75" hidden="0" customWidth="1"/>
    <x:col min="16" max="16" width="14" hidden="0" customWidth="1"/>
    <x:col min="17" max="17" width="18.25" hidden="0" customWidth="1"/>
    <x:col min="18" max="18" width="7.630000114440918" hidden="0" customWidth="1"/>
  </x:cols>
  <x:sheetData>
    <x:row r="1">
      <x:c r="A1" s="5" t="str">
        <x:v>Execution Item ID</x:v>
      </x:c>
      <x:c r="B1" s="5" t="str">
        <x:v>Service ID</x:v>
      </x:c>
      <x:c r="C1" s="5" t="str">
        <x:v>Service Identity Dependency</x:v>
      </x:c>
      <x:c r="D1" s="5" t="str">
        <x:v>Dependency Status</x:v>
      </x:c>
      <x:c r="E1" s="5" t="str">
        <x:v>Observed Manufacturer Value</x:v>
      </x:c>
      <x:c r="F1" s="5" t="str">
        <x:v>Proposed Manufacturer Scope Type</x:v>
      </x:c>
      <x:c r="G1" s="5" t="str">
        <x:v>Proposed Manufacturer ID</x:v>
      </x:c>
      <x:c r="H1" s="5" t="str">
        <x:v>Proposed Manufacturer Name</x:v>
      </x:c>
      <x:c r="I1" s="5" t="str">
        <x:v>Generic Across Manufacturers</x:v>
      </x:c>
      <x:c r="J1" s="5" t="str">
        <x:v>Manufacturer-Specific</x:v>
      </x:c>
      <x:c r="K1" s="5" t="str">
        <x:v>Reviewer Decision</x:v>
      </x:c>
      <x:c r="L1" s="5" t="str">
        <x:v>Evidence Reference</x:v>
      </x:c>
      <x:c r="M1" s="5" t="str">
        <x:v>Reviewer Name</x:v>
      </x:c>
      <x:c r="N1" s="5" t="str">
        <x:v>Review Date</x:v>
      </x:c>
      <x:c r="O1" s="5" t="str">
        <x:v>Second-Level Approval Status</x:v>
      </x:c>
      <x:c r="P1" s="5" t="str">
        <x:v>Blocking Issue</x:v>
      </x:c>
      <x:c r="Q1" s="5" t="str">
        <x:v>Escalation Required</x:v>
      </x:c>
      <x:c r="R1" s="5" t="str">
        <x:v>Notes</x:v>
      </x:c>
    </x:row>
    <x:row r="2">
      <x:c r="A2" s="6" t="str">
        <x:v>MFRX-0001</x:v>
      </x:c>
      <x:c r="B2" s="6" t="str">
        <x:v>SVC000001</x:v>
      </x:c>
      <x:c r="C2" s="6" t="str">
        <x:v>SIDX-0001</x:v>
      </x:c>
      <x:c r="D2" s="6" t="str">
        <x:f>IFERROR(XLOOKUP(C2,'Review Sequence'!C2:C1586,'Review Sequence'!J2:J1586),"Dependency not found")</x:f>
        <x:v>Not Started</x:v>
      </x:c>
      <x:c r="E2" s="6" t="str">
        <x:v>MFR-LEGACY-001</x:v>
      </x:c>
      <x:c r="F2" s="6" t="str">
        <x:v>Unknown</x:v>
      </x:c>
      <x:c r="G2" s="6" t="str"/>
      <x:c r="H2" s="6" t="str"/>
      <x:c r="I2" s="6" t="str">
        <x:v>Unknown</x:v>
      </x:c>
      <x:c r="J2" s="6" t="str">
        <x:v>Unknown</x:v>
      </x:c>
      <x:c r="K2" s="6" t="str">
        <x:v>Unresolved</x:v>
      </x:c>
      <x:c r="L2" s="7" t="str">
        <x:v>Nocturnix_Master_Services_Catalog_v1.xlsx | 01 - Master Services | row 41</x:v>
      </x:c>
      <x:c r="M2" s="6" t="str"/>
      <x:c r="N2" s="6" t="str"/>
      <x:c r="O2" s="6" t="str">
        <x:v>Pending</x:v>
      </x:c>
      <x:c r="P2" s="7" t="str">
        <x:f>IF(OR(D2="Reviewer Complete",D2="Awaiting Second-Level Approval"),"","Service identity dependency unresolved")</x:f>
        <x:v>Service identity dependency unresolved</x:v>
      </x:c>
      <x:c r="Q2" s="6" t="str">
        <x:v>Yes</x:v>
      </x:c>
      <x:c r="R2" s="7" t="str"/>
    </x:row>
    <x:row r="3">
      <x:c r="A3" s="6" t="str">
        <x:v>MFRX-0002</x:v>
      </x:c>
      <x:c r="B3" s="6" t="str">
        <x:v>SVC000002</x:v>
      </x:c>
      <x:c r="C3" s="6" t="str">
        <x:v>SIDX-0002</x:v>
      </x:c>
      <x:c r="D3" s="6" t="str">
        <x:f>IFERROR(XLOOKUP(C3,'Review Sequence'!C2:C1586,'Review Sequence'!J2:J1586),"Dependency not found")</x:f>
        <x:v>Not Started</x:v>
      </x:c>
      <x:c r="E3" s="6" t="str">
        <x:v>MFR-LEGACY-001</x:v>
      </x:c>
      <x:c r="F3" s="6" t="str">
        <x:v>Unknown</x:v>
      </x:c>
      <x:c r="G3" s="6" t="str"/>
      <x:c r="H3" s="6" t="str"/>
      <x:c r="I3" s="6" t="str">
        <x:v>Unknown</x:v>
      </x:c>
      <x:c r="J3" s="6" t="str">
        <x:v>Unknown</x:v>
      </x:c>
      <x:c r="K3" s="6" t="str">
        <x:v>Unresolved</x:v>
      </x:c>
      <x:c r="L3" s="7" t="str">
        <x:v>Nocturnix_Master_Services_Catalog_v1.xlsx | 01 - Master Services | row 42</x:v>
      </x:c>
      <x:c r="M3" s="6" t="str"/>
      <x:c r="N3" s="6" t="str"/>
      <x:c r="O3" s="6" t="str">
        <x:v>Pending</x:v>
      </x:c>
      <x:c r="P3" s="7" t="str">
        <x:f>IF(OR(D3="Reviewer Complete",D3="Awaiting Second-Level Approval"),"","Service identity dependency unresolved")</x:f>
        <x:v>Service identity dependency unresolved</x:v>
      </x:c>
      <x:c r="Q3" s="6" t="str">
        <x:v>Yes</x:v>
      </x:c>
      <x:c r="R3" s="7" t="str"/>
    </x:row>
    <x:row r="4">
      <x:c r="A4" s="6" t="str">
        <x:v>MFRX-0003</x:v>
      </x:c>
      <x:c r="B4" s="6" t="str">
        <x:v>SVC000003</x:v>
      </x:c>
      <x:c r="C4" s="6" t="str">
        <x:v>SIDX-0003</x:v>
      </x:c>
      <x:c r="D4" s="6" t="str">
        <x:f>IFERROR(XLOOKUP(C4,'Review Sequence'!C2:C1586,'Review Sequence'!J2:J1586),"Dependency not found")</x:f>
        <x:v>Not Started</x:v>
      </x:c>
      <x:c r="E4" s="6" t="str">
        <x:v>MFR-LEGACY-001</x:v>
      </x:c>
      <x:c r="F4" s="6" t="str">
        <x:v>Unknown</x:v>
      </x:c>
      <x:c r="G4" s="6" t="str"/>
      <x:c r="H4" s="6" t="str"/>
      <x:c r="I4" s="6" t="str">
        <x:v>Unknown</x:v>
      </x:c>
      <x:c r="J4" s="6" t="str">
        <x:v>Unknown</x:v>
      </x:c>
      <x:c r="K4" s="6" t="str">
        <x:v>Unresolved</x:v>
      </x:c>
      <x:c r="L4" s="7" t="str">
        <x:v>Nocturnix_Master_Services_Catalog_v1.xlsx | 01 - Master Services | row 43</x:v>
      </x:c>
      <x:c r="M4" s="6" t="str"/>
      <x:c r="N4" s="6" t="str"/>
      <x:c r="O4" s="6" t="str">
        <x:v>Pending</x:v>
      </x:c>
      <x:c r="P4" s="7" t="str">
        <x:f>IF(OR(D4="Reviewer Complete",D4="Awaiting Second-Level Approval"),"","Service identity dependency unresolved")</x:f>
        <x:v>Service identity dependency unresolved</x:v>
      </x:c>
      <x:c r="Q4" s="6" t="str">
        <x:v>Yes</x:v>
      </x:c>
      <x:c r="R4" s="7" t="str"/>
    </x:row>
    <x:row r="5">
      <x:c r="A5" s="6" t="str">
        <x:v>MFRX-0004</x:v>
      </x:c>
      <x:c r="B5" s="6" t="str">
        <x:v>SVC000004</x:v>
      </x:c>
      <x:c r="C5" s="6" t="str">
        <x:v>SIDX-0004</x:v>
      </x:c>
      <x:c r="D5" s="6" t="str">
        <x:f>IFERROR(XLOOKUP(C5,'Review Sequence'!C2:C1586,'Review Sequence'!J2:J1586),"Dependency not found")</x:f>
        <x:v>Not Started</x:v>
      </x:c>
      <x:c r="E5" s="6" t="str">
        <x:v>MFR-LEGACY-001</x:v>
      </x:c>
      <x:c r="F5" s="6" t="str">
        <x:v>Unknown</x:v>
      </x:c>
      <x:c r="G5" s="6" t="str"/>
      <x:c r="H5" s="6" t="str"/>
      <x:c r="I5" s="6" t="str">
        <x:v>Unknown</x:v>
      </x:c>
      <x:c r="J5" s="6" t="str">
        <x:v>Unknown</x:v>
      </x:c>
      <x:c r="K5" s="6" t="str">
        <x:v>Unresolved</x:v>
      </x:c>
      <x:c r="L5" s="7" t="str">
        <x:v>Nocturnix_Master_Services_Catalog_v1.xlsx | 01 - Master Services | row 44</x:v>
      </x:c>
      <x:c r="M5" s="6" t="str"/>
      <x:c r="N5" s="6" t="str"/>
      <x:c r="O5" s="6" t="str">
        <x:v>Pending</x:v>
      </x:c>
      <x:c r="P5" s="7" t="str">
        <x:f>IF(OR(D5="Reviewer Complete",D5="Awaiting Second-Level Approval"),"","Service identity dependency unresolved")</x:f>
        <x:v>Service identity dependency unresolved</x:v>
      </x:c>
      <x:c r="Q5" s="6" t="str">
        <x:v>Yes</x:v>
      </x:c>
      <x:c r="R5" s="7" t="str"/>
    </x:row>
    <x:row r="6">
      <x:c r="A6" s="6" t="str">
        <x:v>MFRX-0005</x:v>
      </x:c>
      <x:c r="B6" s="6" t="str">
        <x:v>SVC000005</x:v>
      </x:c>
      <x:c r="C6" s="6" t="str">
        <x:v>SIDX-0005</x:v>
      </x:c>
      <x:c r="D6" s="6" t="str">
        <x:f>IFERROR(XLOOKUP(C6,'Review Sequence'!C2:C1586,'Review Sequence'!J2:J1586),"Dependency not found")</x:f>
        <x:v>Not Started</x:v>
      </x:c>
      <x:c r="E6" s="6" t="str">
        <x:v>MFR-LEGACY-001</x:v>
      </x:c>
      <x:c r="F6" s="6" t="str">
        <x:v>Unknown</x:v>
      </x:c>
      <x:c r="G6" s="6" t="str"/>
      <x:c r="H6" s="6" t="str"/>
      <x:c r="I6" s="6" t="str">
        <x:v>Unknown</x:v>
      </x:c>
      <x:c r="J6" s="6" t="str">
        <x:v>Unknown</x:v>
      </x:c>
      <x:c r="K6" s="6" t="str">
        <x:v>Unresolved</x:v>
      </x:c>
      <x:c r="L6" s="7" t="str">
        <x:v>Nocturnix_Master_Services_Catalog_v1.xlsx | 01 - Master Services | row 45</x:v>
      </x:c>
      <x:c r="M6" s="6" t="str"/>
      <x:c r="N6" s="6" t="str"/>
      <x:c r="O6" s="6" t="str">
        <x:v>Pending</x:v>
      </x:c>
      <x:c r="P6" s="7" t="str">
        <x:f>IF(OR(D6="Reviewer Complete",D6="Awaiting Second-Level Approval"),"","Service identity dependency unresolved")</x:f>
        <x:v>Service identity dependency unresolved</x:v>
      </x:c>
      <x:c r="Q6" s="6" t="str">
        <x:v>Yes</x:v>
      </x:c>
      <x:c r="R6" s="7" t="str"/>
    </x:row>
    <x:row r="7">
      <x:c r="A7" s="6" t="str">
        <x:v>MFRX-0006</x:v>
      </x:c>
      <x:c r="B7" s="6" t="str">
        <x:v>SVC000006</x:v>
      </x:c>
      <x:c r="C7" s="6" t="str">
        <x:v>SIDX-0006</x:v>
      </x:c>
      <x:c r="D7" s="6" t="str">
        <x:f>IFERROR(XLOOKUP(C7,'Review Sequence'!C2:C1586,'Review Sequence'!J2:J1586),"Dependency not found")</x:f>
        <x:v>Not Started</x:v>
      </x:c>
      <x:c r="E7" s="6" t="str">
        <x:v>MFR-LEGACY-001</x:v>
      </x:c>
      <x:c r="F7" s="6" t="str">
        <x:v>Unknown</x:v>
      </x:c>
      <x:c r="G7" s="6" t="str"/>
      <x:c r="H7" s="6" t="str"/>
      <x:c r="I7" s="6" t="str">
        <x:v>Unknown</x:v>
      </x:c>
      <x:c r="J7" s="6" t="str">
        <x:v>Unknown</x:v>
      </x:c>
      <x:c r="K7" s="6" t="str">
        <x:v>Unresolved</x:v>
      </x:c>
      <x:c r="L7" s="7" t="str">
        <x:v>Nocturnix_Master_Services_Catalog_v1.xlsx | 01 - Master Services | row 46</x:v>
      </x:c>
      <x:c r="M7" s="6" t="str"/>
      <x:c r="N7" s="6" t="str"/>
      <x:c r="O7" s="6" t="str">
        <x:v>Pending</x:v>
      </x:c>
      <x:c r="P7" s="7" t="str">
        <x:f>IF(OR(D7="Reviewer Complete",D7="Awaiting Second-Level Approval"),"","Service identity dependency unresolved")</x:f>
        <x:v>Service identity dependency unresolved</x:v>
      </x:c>
      <x:c r="Q7" s="6" t="str">
        <x:v>Yes</x:v>
      </x:c>
      <x:c r="R7" s="7" t="str"/>
    </x:row>
    <x:row r="8">
      <x:c r="A8" s="6" t="str">
        <x:v>MFRX-0007</x:v>
      </x:c>
      <x:c r="B8" s="6" t="str">
        <x:v>SVC000007</x:v>
      </x:c>
      <x:c r="C8" s="6" t="str">
        <x:v>SIDX-0007</x:v>
      </x:c>
      <x:c r="D8" s="6" t="str">
        <x:f>IFERROR(XLOOKUP(C8,'Review Sequence'!C2:C1586,'Review Sequence'!J2:J1586),"Dependency not found")</x:f>
        <x:v>Not Started</x:v>
      </x:c>
      <x:c r="E8" s="6" t="str">
        <x:v>MFR-LEGACY-001</x:v>
      </x:c>
      <x:c r="F8" s="6" t="str">
        <x:v>Unknown</x:v>
      </x:c>
      <x:c r="G8" s="6" t="str"/>
      <x:c r="H8" s="6" t="str"/>
      <x:c r="I8" s="6" t="str">
        <x:v>Unknown</x:v>
      </x:c>
      <x:c r="J8" s="6" t="str">
        <x:v>Unknown</x:v>
      </x:c>
      <x:c r="K8" s="6" t="str">
        <x:v>Unresolved</x:v>
      </x:c>
      <x:c r="L8" s="7" t="str">
        <x:v>Nocturnix_Master_Services_Catalog_v1.xlsx | 01 - Master Services | row 47</x:v>
      </x:c>
      <x:c r="M8" s="6" t="str"/>
      <x:c r="N8" s="6" t="str"/>
      <x:c r="O8" s="6" t="str">
        <x:v>Pending</x:v>
      </x:c>
      <x:c r="P8" s="7" t="str">
        <x:f>IF(OR(D8="Reviewer Complete",D8="Awaiting Second-Level Approval"),"","Service identity dependency unresolved")</x:f>
        <x:v>Service identity dependency unresolved</x:v>
      </x:c>
      <x:c r="Q8" s="6" t="str">
        <x:v>Yes</x:v>
      </x:c>
      <x:c r="R8" s="7" t="str"/>
    </x:row>
    <x:row r="9">
      <x:c r="A9" s="6" t="str">
        <x:v>MFRX-0008</x:v>
      </x:c>
      <x:c r="B9" s="6" t="str">
        <x:v>SVC000008</x:v>
      </x:c>
      <x:c r="C9" s="6" t="str">
        <x:v>SIDX-0008</x:v>
      </x:c>
      <x:c r="D9" s="6" t="str">
        <x:f>IFERROR(XLOOKUP(C9,'Review Sequence'!C2:C1586,'Review Sequence'!J2:J1586),"Dependency not found")</x:f>
        <x:v>Not Started</x:v>
      </x:c>
      <x:c r="E9" s="6" t="str">
        <x:v>MFR-LEGACY-001</x:v>
      </x:c>
      <x:c r="F9" s="6" t="str">
        <x:v>Unknown</x:v>
      </x:c>
      <x:c r="G9" s="6" t="str"/>
      <x:c r="H9" s="6" t="str"/>
      <x:c r="I9" s="6" t="str">
        <x:v>Unknown</x:v>
      </x:c>
      <x:c r="J9" s="6" t="str">
        <x:v>Unknown</x:v>
      </x:c>
      <x:c r="K9" s="6" t="str">
        <x:v>Unresolved</x:v>
      </x:c>
      <x:c r="L9" s="7" t="str">
        <x:v>Nocturnix_Master_Services_Catalog_v1.xlsx | 01 - Master Services | row 48</x:v>
      </x:c>
      <x:c r="M9" s="6" t="str"/>
      <x:c r="N9" s="6" t="str"/>
      <x:c r="O9" s="6" t="str">
        <x:v>Pending</x:v>
      </x:c>
      <x:c r="P9" s="7" t="str">
        <x:f>IF(OR(D9="Reviewer Complete",D9="Awaiting Second-Level Approval"),"","Service identity dependency unresolved")</x:f>
        <x:v>Service identity dependency unresolved</x:v>
      </x:c>
      <x:c r="Q9" s="6" t="str">
        <x:v>Yes</x:v>
      </x:c>
      <x:c r="R9" s="7" t="str"/>
    </x:row>
    <x:row r="10">
      <x:c r="A10" s="6" t="str">
        <x:v>MFRX-0009</x:v>
      </x:c>
      <x:c r="B10" s="6" t="str">
        <x:v>SVC000009</x:v>
      </x:c>
      <x:c r="C10" s="6" t="str">
        <x:v>SIDX-0009</x:v>
      </x:c>
      <x:c r="D10" s="6" t="str">
        <x:f>IFERROR(XLOOKUP(C10,'Review Sequence'!C2:C1586,'Review Sequence'!J2:J1586),"Dependency not found")</x:f>
        <x:v>Not Started</x:v>
      </x:c>
      <x:c r="E10" s="6" t="str">
        <x:v>MFR-LEGACY-001</x:v>
      </x:c>
      <x:c r="F10" s="6" t="str">
        <x:v>Unknown</x:v>
      </x:c>
      <x:c r="G10" s="6" t="str"/>
      <x:c r="H10" s="6" t="str"/>
      <x:c r="I10" s="6" t="str">
        <x:v>Unknown</x:v>
      </x:c>
      <x:c r="J10" s="6" t="str">
        <x:v>Unknown</x:v>
      </x:c>
      <x:c r="K10" s="6" t="str">
        <x:v>Unresolved</x:v>
      </x:c>
      <x:c r="L10" s="7" t="str">
        <x:v>Nocturnix_Master_Services_Catalog_v1.xlsx | 01 - Master Services | row 49</x:v>
      </x:c>
      <x:c r="M10" s="6" t="str"/>
      <x:c r="N10" s="6" t="str"/>
      <x:c r="O10" s="6" t="str">
        <x:v>Pending</x:v>
      </x:c>
      <x:c r="P10" s="7" t="str">
        <x:f>IF(OR(D10="Reviewer Complete",D10="Awaiting Second-Level Approval"),"","Service identity dependency unresolved")</x:f>
        <x:v>Service identity dependency unresolved</x:v>
      </x:c>
      <x:c r="Q10" s="6" t="str">
        <x:v>Yes</x:v>
      </x:c>
      <x:c r="R10" s="7" t="str"/>
    </x:row>
    <x:row r="11">
      <x:c r="A11" s="6" t="str">
        <x:v>MFRX-0010</x:v>
      </x:c>
      <x:c r="B11" s="6" t="str">
        <x:v>SVC000010</x:v>
      </x:c>
      <x:c r="C11" s="6" t="str">
        <x:v>SIDX-0010</x:v>
      </x:c>
      <x:c r="D11" s="6" t="str">
        <x:f>IFERROR(XLOOKUP(C11,'Review Sequence'!C2:C1586,'Review Sequence'!J2:J1586),"Dependency not found")</x:f>
        <x:v>Not Started</x:v>
      </x:c>
      <x:c r="E11" s="6" t="str">
        <x:v>MFR-LEGACY-001</x:v>
      </x:c>
      <x:c r="F11" s="6" t="str">
        <x:v>Unknown</x:v>
      </x:c>
      <x:c r="G11" s="6" t="str"/>
      <x:c r="H11" s="6" t="str"/>
      <x:c r="I11" s="6" t="str">
        <x:v>Unknown</x:v>
      </x:c>
      <x:c r="J11" s="6" t="str">
        <x:v>Unknown</x:v>
      </x:c>
      <x:c r="K11" s="6" t="str">
        <x:v>Unresolved</x:v>
      </x:c>
      <x:c r="L11" s="7" t="str">
        <x:v>Nocturnix_Master_Services_Catalog_v1.xlsx | 01 - Master Services | row 50</x:v>
      </x:c>
      <x:c r="M11" s="6" t="str"/>
      <x:c r="N11" s="6" t="str"/>
      <x:c r="O11" s="6" t="str">
        <x:v>Pending</x:v>
      </x:c>
      <x:c r="P11" s="7" t="str">
        <x:f>IF(OR(D11="Reviewer Complete",D11="Awaiting Second-Level Approval"),"","Service identity dependency unresolved")</x:f>
        <x:v>Service identity dependency unresolved</x:v>
      </x:c>
      <x:c r="Q11" s="6" t="str">
        <x:v>Yes</x:v>
      </x:c>
      <x:c r="R11" s="7" t="str"/>
    </x:row>
    <x:row r="12">
      <x:c r="A12" s="6" t="str">
        <x:v>MFRX-0011</x:v>
      </x:c>
      <x:c r="B12" s="6" t="str">
        <x:v>SVC000011</x:v>
      </x:c>
      <x:c r="C12" s="6" t="str">
        <x:v>SIDX-0011</x:v>
      </x:c>
      <x:c r="D12" s="6" t="str">
        <x:f>IFERROR(XLOOKUP(C12,'Review Sequence'!C2:C1586,'Review Sequence'!J2:J1586),"Dependency not found")</x:f>
        <x:v>Not Started</x:v>
      </x:c>
      <x:c r="E12" s="6" t="str">
        <x:v>MFR-LEGACY-001</x:v>
      </x:c>
      <x:c r="F12" s="6" t="str">
        <x:v>Unknown</x:v>
      </x:c>
      <x:c r="G12" s="6" t="str"/>
      <x:c r="H12" s="6" t="str"/>
      <x:c r="I12" s="6" t="str">
        <x:v>Unknown</x:v>
      </x:c>
      <x:c r="J12" s="6" t="str">
        <x:v>Unknown</x:v>
      </x:c>
      <x:c r="K12" s="6" t="str">
        <x:v>Unresolved</x:v>
      </x:c>
      <x:c r="L12" s="7" t="str">
        <x:v>Nocturnix_Master_Services_Catalog_v1.xlsx | 01 - Master Services | row 51</x:v>
      </x:c>
      <x:c r="M12" s="6" t="str"/>
      <x:c r="N12" s="6" t="str"/>
      <x:c r="O12" s="6" t="str">
        <x:v>Pending</x:v>
      </x:c>
      <x:c r="P12" s="7" t="str">
        <x:f>IF(OR(D12="Reviewer Complete",D12="Awaiting Second-Level Approval"),"","Service identity dependency unresolved")</x:f>
        <x:v>Service identity dependency unresolved</x:v>
      </x:c>
      <x:c r="Q12" s="6" t="str">
        <x:v>Yes</x:v>
      </x:c>
      <x:c r="R12" s="7" t="str"/>
    </x:row>
    <x:row r="13">
      <x:c r="A13" s="6" t="str">
        <x:v>MFRX-0012</x:v>
      </x:c>
      <x:c r="B13" s="6" t="str">
        <x:v>SVC000012</x:v>
      </x:c>
      <x:c r="C13" s="6" t="str">
        <x:v>SIDX-0012</x:v>
      </x:c>
      <x:c r="D13" s="6" t="str">
        <x:f>IFERROR(XLOOKUP(C13,'Review Sequence'!C2:C1586,'Review Sequence'!J2:J1586),"Dependency not found")</x:f>
        <x:v>Not Started</x:v>
      </x:c>
      <x:c r="E13" s="6" t="str">
        <x:v>MFR-LEGACY-001</x:v>
      </x:c>
      <x:c r="F13" s="6" t="str">
        <x:v>Unknown</x:v>
      </x:c>
      <x:c r="G13" s="6" t="str"/>
      <x:c r="H13" s="6" t="str"/>
      <x:c r="I13" s="6" t="str">
        <x:v>Unknown</x:v>
      </x:c>
      <x:c r="J13" s="6" t="str">
        <x:v>Unknown</x:v>
      </x:c>
      <x:c r="K13" s="6" t="str">
        <x:v>Unresolved</x:v>
      </x:c>
      <x:c r="L13" s="7" t="str">
        <x:v>Nocturnix_Master_Services_Catalog_v1.xlsx | 01 - Master Services | row 52</x:v>
      </x:c>
      <x:c r="M13" s="6" t="str"/>
      <x:c r="N13" s="6" t="str"/>
      <x:c r="O13" s="6" t="str">
        <x:v>Pending</x:v>
      </x:c>
      <x:c r="P13" s="7" t="str">
        <x:f>IF(OR(D13="Reviewer Complete",D13="Awaiting Second-Level Approval"),"","Service identity dependency unresolved")</x:f>
        <x:v>Service identity dependency unresolved</x:v>
      </x:c>
      <x:c r="Q13" s="6" t="str">
        <x:v>Yes</x:v>
      </x:c>
      <x:c r="R13" s="7" t="str"/>
    </x:row>
    <x:row r="14">
      <x:c r="A14" s="6" t="str">
        <x:v>MFRX-0013</x:v>
      </x:c>
      <x:c r="B14" s="6" t="str">
        <x:v>SVC000013</x:v>
      </x:c>
      <x:c r="C14" s="6" t="str">
        <x:v>SIDX-0013</x:v>
      </x:c>
      <x:c r="D14" s="6" t="str">
        <x:f>IFERROR(XLOOKUP(C14,'Review Sequence'!C2:C1586,'Review Sequence'!J2:J1586),"Dependency not found")</x:f>
        <x:v>Not Started</x:v>
      </x:c>
      <x:c r="E14" s="6" t="str">
        <x:v>MFR-LEGACY-001</x:v>
      </x:c>
      <x:c r="F14" s="6" t="str">
        <x:v>Unknown</x:v>
      </x:c>
      <x:c r="G14" s="6" t="str"/>
      <x:c r="H14" s="6" t="str"/>
      <x:c r="I14" s="6" t="str">
        <x:v>Unknown</x:v>
      </x:c>
      <x:c r="J14" s="6" t="str">
        <x:v>Unknown</x:v>
      </x:c>
      <x:c r="K14" s="6" t="str">
        <x:v>Unresolved</x:v>
      </x:c>
      <x:c r="L14" s="7" t="str">
        <x:v>Nocturnix_Master_Services_Catalog_v1.xlsx | 01 - Master Services | row 53</x:v>
      </x:c>
      <x:c r="M14" s="6" t="str"/>
      <x:c r="N14" s="6" t="str"/>
      <x:c r="O14" s="6" t="str">
        <x:v>Pending</x:v>
      </x:c>
      <x:c r="P14" s="7" t="str">
        <x:f>IF(OR(D14="Reviewer Complete",D14="Awaiting Second-Level Approval"),"","Service identity dependency unresolved")</x:f>
        <x:v>Service identity dependency unresolved</x:v>
      </x:c>
      <x:c r="Q14" s="6" t="str">
        <x:v>Yes</x:v>
      </x:c>
      <x:c r="R14" s="7" t="str"/>
    </x:row>
    <x:row r="15">
      <x:c r="A15" s="6" t="str">
        <x:v>MFRX-0014</x:v>
      </x:c>
      <x:c r="B15" s="6" t="str">
        <x:v>SVC000014</x:v>
      </x:c>
      <x:c r="C15" s="6" t="str">
        <x:v>SIDX-0014</x:v>
      </x:c>
      <x:c r="D15" s="6" t="str">
        <x:f>IFERROR(XLOOKUP(C15,'Review Sequence'!C2:C1586,'Review Sequence'!J2:J1586),"Dependency not found")</x:f>
        <x:v>Not Started</x:v>
      </x:c>
      <x:c r="E15" s="6" t="str">
        <x:v>MFR-LEGACY-001</x:v>
      </x:c>
      <x:c r="F15" s="6" t="str">
        <x:v>Unknown</x:v>
      </x:c>
      <x:c r="G15" s="6" t="str"/>
      <x:c r="H15" s="6" t="str"/>
      <x:c r="I15" s="6" t="str">
        <x:v>Unknown</x:v>
      </x:c>
      <x:c r="J15" s="6" t="str">
        <x:v>Unknown</x:v>
      </x:c>
      <x:c r="K15" s="6" t="str">
        <x:v>Unresolved</x:v>
      </x:c>
      <x:c r="L15" s="7" t="str">
        <x:v>Nocturnix_Master_Services_Catalog_v1.xlsx | 01 - Master Services | row 54</x:v>
      </x:c>
      <x:c r="M15" s="6" t="str"/>
      <x:c r="N15" s="6" t="str"/>
      <x:c r="O15" s="6" t="str">
        <x:v>Pending</x:v>
      </x:c>
      <x:c r="P15" s="7" t="str">
        <x:f>IF(OR(D15="Reviewer Complete",D15="Awaiting Second-Level Approval"),"","Service identity dependency unresolved")</x:f>
        <x:v>Service identity dependency unresolved</x:v>
      </x:c>
      <x:c r="Q15" s="6" t="str">
        <x:v>Yes</x:v>
      </x:c>
      <x:c r="R15" s="7" t="str"/>
    </x:row>
    <x:row r="16">
      <x:c r="A16" s="6" t="str">
        <x:v>MFRX-0015</x:v>
      </x:c>
      <x:c r="B16" s="6" t="str">
        <x:v>SVC000015</x:v>
      </x:c>
      <x:c r="C16" s="6" t="str">
        <x:v>SIDX-0015</x:v>
      </x:c>
      <x:c r="D16" s="6" t="str">
        <x:f>IFERROR(XLOOKUP(C16,'Review Sequence'!C2:C1586,'Review Sequence'!J2:J1586),"Dependency not found")</x:f>
        <x:v>Not Started</x:v>
      </x:c>
      <x:c r="E16" s="6" t="str">
        <x:v>MFR-LEGACY-001</x:v>
      </x:c>
      <x:c r="F16" s="6" t="str">
        <x:v>Unknown</x:v>
      </x:c>
      <x:c r="G16" s="6" t="str"/>
      <x:c r="H16" s="6" t="str"/>
      <x:c r="I16" s="6" t="str">
        <x:v>Unknown</x:v>
      </x:c>
      <x:c r="J16" s="6" t="str">
        <x:v>Unknown</x:v>
      </x:c>
      <x:c r="K16" s="6" t="str">
        <x:v>Unresolved</x:v>
      </x:c>
      <x:c r="L16" s="7" t="str">
        <x:v>Nocturnix_Master_Services_Catalog_v1.xlsx | 01 - Master Services | row 55</x:v>
      </x:c>
      <x:c r="M16" s="6" t="str"/>
      <x:c r="N16" s="6" t="str"/>
      <x:c r="O16" s="6" t="str">
        <x:v>Pending</x:v>
      </x:c>
      <x:c r="P16" s="7" t="str">
        <x:f>IF(OR(D16="Reviewer Complete",D16="Awaiting Second-Level Approval"),"","Service identity dependency unresolved")</x:f>
        <x:v>Service identity dependency unresolved</x:v>
      </x:c>
      <x:c r="Q16" s="6" t="str">
        <x:v>Yes</x:v>
      </x:c>
      <x:c r="R16" s="7" t="str"/>
    </x:row>
    <x:row r="17">
      <x:c r="A17" s="6" t="str">
        <x:v>MFRX-0016</x:v>
      </x:c>
      <x:c r="B17" s="6" t="str">
        <x:v>SVC000016</x:v>
      </x:c>
      <x:c r="C17" s="6" t="str">
        <x:v>SIDX-0016</x:v>
      </x:c>
      <x:c r="D17" s="6" t="str">
        <x:f>IFERROR(XLOOKUP(C17,'Review Sequence'!C2:C1586,'Review Sequence'!J2:J1586),"Dependency not found")</x:f>
        <x:v>Not Started</x:v>
      </x:c>
      <x:c r="E17" s="6" t="str">
        <x:v>MFR-LEGACY-001</x:v>
      </x:c>
      <x:c r="F17" s="6" t="str">
        <x:v>Unknown</x:v>
      </x:c>
      <x:c r="G17" s="6" t="str"/>
      <x:c r="H17" s="6" t="str"/>
      <x:c r="I17" s="6" t="str">
        <x:v>Unknown</x:v>
      </x:c>
      <x:c r="J17" s="6" t="str">
        <x:v>Unknown</x:v>
      </x:c>
      <x:c r="K17" s="6" t="str">
        <x:v>Unresolved</x:v>
      </x:c>
      <x:c r="L17" s="7" t="str">
        <x:v>Nocturnix_Master_Services_Catalog_v1.xlsx | 01 - Master Services | row 56</x:v>
      </x:c>
      <x:c r="M17" s="6" t="str"/>
      <x:c r="N17" s="6" t="str"/>
      <x:c r="O17" s="6" t="str">
        <x:v>Pending</x:v>
      </x:c>
      <x:c r="P17" s="7" t="str">
        <x:f>IF(OR(D17="Reviewer Complete",D17="Awaiting Second-Level Approval"),"","Service identity dependency unresolved")</x:f>
        <x:v>Service identity dependency unresolved</x:v>
      </x:c>
      <x:c r="Q17" s="6" t="str">
        <x:v>Yes</x:v>
      </x:c>
      <x:c r="R17" s="7" t="str"/>
    </x:row>
    <x:row r="18">
      <x:c r="A18" s="6" t="str">
        <x:v>MFRX-0017</x:v>
      </x:c>
      <x:c r="B18" s="6" t="str">
        <x:v>SVC000017</x:v>
      </x:c>
      <x:c r="C18" s="6" t="str">
        <x:v>SIDX-0017</x:v>
      </x:c>
      <x:c r="D18" s="6" t="str">
        <x:f>IFERROR(XLOOKUP(C18,'Review Sequence'!C2:C1586,'Review Sequence'!J2:J1586),"Dependency not found")</x:f>
        <x:v>Not Started</x:v>
      </x:c>
      <x:c r="E18" s="6" t="str">
        <x:v>MFR-LEGACY-001</x:v>
      </x:c>
      <x:c r="F18" s="6" t="str">
        <x:v>Unknown</x:v>
      </x:c>
      <x:c r="G18" s="6" t="str"/>
      <x:c r="H18" s="6" t="str"/>
      <x:c r="I18" s="6" t="str">
        <x:v>Unknown</x:v>
      </x:c>
      <x:c r="J18" s="6" t="str">
        <x:v>Unknown</x:v>
      </x:c>
      <x:c r="K18" s="6" t="str">
        <x:v>Unresolved</x:v>
      </x:c>
      <x:c r="L18" s="7" t="str">
        <x:v>Nocturnix_Master_Services_Catalog_v1.xlsx | 01 - Master Services | row 57</x:v>
      </x:c>
      <x:c r="M18" s="6" t="str"/>
      <x:c r="N18" s="6" t="str"/>
      <x:c r="O18" s="6" t="str">
        <x:v>Pending</x:v>
      </x:c>
      <x:c r="P18" s="7" t="str">
        <x:f>IF(OR(D18="Reviewer Complete",D18="Awaiting Second-Level Approval"),"","Service identity dependency unresolved")</x:f>
        <x:v>Service identity dependency unresolved</x:v>
      </x:c>
      <x:c r="Q18" s="6" t="str">
        <x:v>Yes</x:v>
      </x:c>
      <x:c r="R18" s="7" t="str"/>
    </x:row>
    <x:row r="19">
      <x:c r="A19" s="6" t="str">
        <x:v>MFRX-0018</x:v>
      </x:c>
      <x:c r="B19" s="6" t="str">
        <x:v>SVC000018</x:v>
      </x:c>
      <x:c r="C19" s="6" t="str">
        <x:v>SIDX-0018</x:v>
      </x:c>
      <x:c r="D19" s="6" t="str">
        <x:f>IFERROR(XLOOKUP(C19,'Review Sequence'!C2:C1586,'Review Sequence'!J2:J1586),"Dependency not found")</x:f>
        <x:v>Not Started</x:v>
      </x:c>
      <x:c r="E19" s="6" t="str">
        <x:v>MFR-LEGACY-001</x:v>
      </x:c>
      <x:c r="F19" s="6" t="str">
        <x:v>Unknown</x:v>
      </x:c>
      <x:c r="G19" s="6" t="str"/>
      <x:c r="H19" s="6" t="str"/>
      <x:c r="I19" s="6" t="str">
        <x:v>Unknown</x:v>
      </x:c>
      <x:c r="J19" s="6" t="str">
        <x:v>Unknown</x:v>
      </x:c>
      <x:c r="K19" s="6" t="str">
        <x:v>Unresolved</x:v>
      </x:c>
      <x:c r="L19" s="7" t="str">
        <x:v>Nocturnix_Master_Services_Catalog_v1.xlsx | 01 - Master Services | row 58</x:v>
      </x:c>
      <x:c r="M19" s="6" t="str"/>
      <x:c r="N19" s="6" t="str"/>
      <x:c r="O19" s="6" t="str">
        <x:v>Pending</x:v>
      </x:c>
      <x:c r="P19" s="7" t="str">
        <x:f>IF(OR(D19="Reviewer Complete",D19="Awaiting Second-Level Approval"),"","Service identity dependency unresolved")</x:f>
        <x:v>Service identity dependency unresolved</x:v>
      </x:c>
      <x:c r="Q19" s="6" t="str">
        <x:v>Yes</x:v>
      </x:c>
      <x:c r="R19" s="7" t="str"/>
    </x:row>
    <x:row r="20">
      <x:c r="A20" s="6" t="str">
        <x:v>MFRX-0019</x:v>
      </x:c>
      <x:c r="B20" s="6" t="str">
        <x:v>SVC000019</x:v>
      </x:c>
      <x:c r="C20" s="6" t="str">
        <x:v>SIDX-0019</x:v>
      </x:c>
      <x:c r="D20" s="6" t="str">
        <x:f>IFERROR(XLOOKUP(C20,'Review Sequence'!C2:C1586,'Review Sequence'!J2:J1586),"Dependency not found")</x:f>
        <x:v>Not Started</x:v>
      </x:c>
      <x:c r="E20" s="6" t="str">
        <x:v>MFR-LEGACY-001</x:v>
      </x:c>
      <x:c r="F20" s="6" t="str">
        <x:v>Unknown</x:v>
      </x:c>
      <x:c r="G20" s="6" t="str"/>
      <x:c r="H20" s="6" t="str"/>
      <x:c r="I20" s="6" t="str">
        <x:v>Unknown</x:v>
      </x:c>
      <x:c r="J20" s="6" t="str">
        <x:v>Unknown</x:v>
      </x:c>
      <x:c r="K20" s="6" t="str">
        <x:v>Unresolved</x:v>
      </x:c>
      <x:c r="L20" s="7" t="str">
        <x:v>Nocturnix_Master_Services_Catalog_v1.xlsx | 01 - Master Services | row 59</x:v>
      </x:c>
      <x:c r="M20" s="6" t="str"/>
      <x:c r="N20" s="6" t="str"/>
      <x:c r="O20" s="6" t="str">
        <x:v>Pending</x:v>
      </x:c>
      <x:c r="P20" s="7" t="str">
        <x:f>IF(OR(D20="Reviewer Complete",D20="Awaiting Second-Level Approval"),"","Service identity dependency unresolved")</x:f>
        <x:v>Service identity dependency unresolved</x:v>
      </x:c>
      <x:c r="Q20" s="6" t="str">
        <x:v>Yes</x:v>
      </x:c>
      <x:c r="R20" s="7" t="str"/>
    </x:row>
    <x:row r="21">
      <x:c r="A21" s="6" t="str">
        <x:v>MFRX-0020</x:v>
      </x:c>
      <x:c r="B21" s="6" t="str">
        <x:v>SVC000020</x:v>
      </x:c>
      <x:c r="C21" s="6" t="str">
        <x:v>SIDX-0020</x:v>
      </x:c>
      <x:c r="D21" s="6" t="str">
        <x:f>IFERROR(XLOOKUP(C21,'Review Sequence'!C2:C1586,'Review Sequence'!J2:J1586),"Dependency not found")</x:f>
        <x:v>Not Started</x:v>
      </x:c>
      <x:c r="E21" s="6" t="str">
        <x:v>MFR-LEGACY-001</x:v>
      </x:c>
      <x:c r="F21" s="6" t="str">
        <x:v>Unknown</x:v>
      </x:c>
      <x:c r="G21" s="6" t="str"/>
      <x:c r="H21" s="6" t="str"/>
      <x:c r="I21" s="6" t="str">
        <x:v>Unknown</x:v>
      </x:c>
      <x:c r="J21" s="6" t="str">
        <x:v>Unknown</x:v>
      </x:c>
      <x:c r="K21" s="6" t="str">
        <x:v>Unresolved</x:v>
      </x:c>
      <x:c r="L21" s="7" t="str">
        <x:v>Nocturnix_Master_Services_Catalog_v1.xlsx | 01 - Master Services | row 60</x:v>
      </x:c>
      <x:c r="M21" s="6" t="str"/>
      <x:c r="N21" s="6" t="str"/>
      <x:c r="O21" s="6" t="str">
        <x:v>Pending</x:v>
      </x:c>
      <x:c r="P21" s="7" t="str">
        <x:f>IF(OR(D21="Reviewer Complete",D21="Awaiting Second-Level Approval"),"","Service identity dependency unresolved")</x:f>
        <x:v>Service identity dependency unresolved</x:v>
      </x:c>
      <x:c r="Q21" s="6" t="str">
        <x:v>Yes</x:v>
      </x:c>
      <x:c r="R21" s="7" t="str"/>
    </x:row>
    <x:row r="22">
      <x:c r="A22" s="6" t="str">
        <x:v>MFRX-0021</x:v>
      </x:c>
      <x:c r="B22" s="6" t="str">
        <x:v>SVC000021</x:v>
      </x:c>
      <x:c r="C22" s="6" t="str">
        <x:v>SIDX-0021</x:v>
      </x:c>
      <x:c r="D22" s="6" t="str">
        <x:f>IFERROR(XLOOKUP(C22,'Review Sequence'!C2:C1586,'Review Sequence'!J2:J1586),"Dependency not found")</x:f>
        <x:v>Not Started</x:v>
      </x:c>
      <x:c r="E22" s="6" t="str">
        <x:v>MFR-LEGACY-001</x:v>
      </x:c>
      <x:c r="F22" s="6" t="str">
        <x:v>Unknown</x:v>
      </x:c>
      <x:c r="G22" s="6" t="str"/>
      <x:c r="H22" s="6" t="str"/>
      <x:c r="I22" s="6" t="str">
        <x:v>Unknown</x:v>
      </x:c>
      <x:c r="J22" s="6" t="str">
        <x:v>Unknown</x:v>
      </x:c>
      <x:c r="K22" s="6" t="str">
        <x:v>Unresolved</x:v>
      </x:c>
      <x:c r="L22" s="7" t="str">
        <x:v>Nocturnix_Master_Services_Catalog_v1.xlsx | 01 - Master Services | row 61</x:v>
      </x:c>
      <x:c r="M22" s="6" t="str"/>
      <x:c r="N22" s="6" t="str"/>
      <x:c r="O22" s="6" t="str">
        <x:v>Pending</x:v>
      </x:c>
      <x:c r="P22" s="7" t="str">
        <x:f>IF(OR(D22="Reviewer Complete",D22="Awaiting Second-Level Approval"),"","Service identity dependency unresolved")</x:f>
        <x:v>Service identity dependency unresolved</x:v>
      </x:c>
      <x:c r="Q22" s="6" t="str">
        <x:v>Yes</x:v>
      </x:c>
      <x:c r="R22" s="7" t="str"/>
    </x:row>
    <x:row r="23">
      <x:c r="A23" s="6" t="str">
        <x:v>MFRX-0022</x:v>
      </x:c>
      <x:c r="B23" s="6" t="str">
        <x:v>SVC000022</x:v>
      </x:c>
      <x:c r="C23" s="6" t="str">
        <x:v>SIDX-0022</x:v>
      </x:c>
      <x:c r="D23" s="6" t="str">
        <x:f>IFERROR(XLOOKUP(C23,'Review Sequence'!C2:C1586,'Review Sequence'!J2:J1586),"Dependency not found")</x:f>
        <x:v>Not Started</x:v>
      </x:c>
      <x:c r="E23" s="6" t="str">
        <x:v>MFR-LEGACY-001</x:v>
      </x:c>
      <x:c r="F23" s="6" t="str">
        <x:v>Unknown</x:v>
      </x:c>
      <x:c r="G23" s="6" t="str"/>
      <x:c r="H23" s="6" t="str"/>
      <x:c r="I23" s="6" t="str">
        <x:v>Unknown</x:v>
      </x:c>
      <x:c r="J23" s="6" t="str">
        <x:v>Unknown</x:v>
      </x:c>
      <x:c r="K23" s="6" t="str">
        <x:v>Unresolved</x:v>
      </x:c>
      <x:c r="L23" s="7" t="str">
        <x:v>Nocturnix_Master_Services_Catalog_v1.xlsx | 01 - Master Services | row 62</x:v>
      </x:c>
      <x:c r="M23" s="6" t="str"/>
      <x:c r="N23" s="6" t="str"/>
      <x:c r="O23" s="6" t="str">
        <x:v>Pending</x:v>
      </x:c>
      <x:c r="P23" s="7" t="str">
        <x:f>IF(OR(D23="Reviewer Complete",D23="Awaiting Second-Level Approval"),"","Service identity dependency unresolved")</x:f>
        <x:v>Service identity dependency unresolved</x:v>
      </x:c>
      <x:c r="Q23" s="6" t="str">
        <x:v>Yes</x:v>
      </x:c>
      <x:c r="R23" s="7" t="str"/>
    </x:row>
    <x:row r="24">
      <x:c r="A24" s="6" t="str">
        <x:v>MFRX-0023</x:v>
      </x:c>
      <x:c r="B24" s="6" t="str">
        <x:v>SVC000023</x:v>
      </x:c>
      <x:c r="C24" s="6" t="str">
        <x:v>SIDX-0023</x:v>
      </x:c>
      <x:c r="D24" s="6" t="str">
        <x:f>IFERROR(XLOOKUP(C24,'Review Sequence'!C2:C1586,'Review Sequence'!J2:J1586),"Dependency not found")</x:f>
        <x:v>Not Started</x:v>
      </x:c>
      <x:c r="E24" s="6" t="str">
        <x:v>MFR-LEGACY-001</x:v>
      </x:c>
      <x:c r="F24" s="6" t="str">
        <x:v>Unknown</x:v>
      </x:c>
      <x:c r="G24" s="6" t="str"/>
      <x:c r="H24" s="6" t="str"/>
      <x:c r="I24" s="6" t="str">
        <x:v>Unknown</x:v>
      </x:c>
      <x:c r="J24" s="6" t="str">
        <x:v>Unknown</x:v>
      </x:c>
      <x:c r="K24" s="6" t="str">
        <x:v>Unresolved</x:v>
      </x:c>
      <x:c r="L24" s="7" t="str">
        <x:v>Nocturnix_Master_Services_Catalog_v1.xlsx | 01 - Master Services | row 63</x:v>
      </x:c>
      <x:c r="M24" s="6" t="str"/>
      <x:c r="N24" s="6" t="str"/>
      <x:c r="O24" s="6" t="str">
        <x:v>Pending</x:v>
      </x:c>
      <x:c r="P24" s="7" t="str">
        <x:f>IF(OR(D24="Reviewer Complete",D24="Awaiting Second-Level Approval"),"","Service identity dependency unresolved")</x:f>
        <x:v>Service identity dependency unresolved</x:v>
      </x:c>
      <x:c r="Q24" s="6" t="str">
        <x:v>Yes</x:v>
      </x:c>
      <x:c r="R24" s="7" t="str"/>
    </x:row>
    <x:row r="25">
      <x:c r="A25" s="6" t="str">
        <x:v>MFRX-0024</x:v>
      </x:c>
      <x:c r="B25" s="6" t="str">
        <x:v>SVC000024</x:v>
      </x:c>
      <x:c r="C25" s="6" t="str">
        <x:v>SIDX-0024</x:v>
      </x:c>
      <x:c r="D25" s="6" t="str">
        <x:f>IFERROR(XLOOKUP(C25,'Review Sequence'!C2:C1586,'Review Sequence'!J2:J1586),"Dependency not found")</x:f>
        <x:v>Not Started</x:v>
      </x:c>
      <x:c r="E25" s="6" t="str">
        <x:v>MFR-LEGACY-001</x:v>
      </x:c>
      <x:c r="F25" s="6" t="str">
        <x:v>Unknown</x:v>
      </x:c>
      <x:c r="G25" s="6" t="str"/>
      <x:c r="H25" s="6" t="str"/>
      <x:c r="I25" s="6" t="str">
        <x:v>Unknown</x:v>
      </x:c>
      <x:c r="J25" s="6" t="str">
        <x:v>Unknown</x:v>
      </x:c>
      <x:c r="K25" s="6" t="str">
        <x:v>Unresolved</x:v>
      </x:c>
      <x:c r="L25" s="7" t="str">
        <x:v>Nocturnix_Master_Services_Catalog_v1.xlsx | 01 - Master Services | row 64</x:v>
      </x:c>
      <x:c r="M25" s="6" t="str"/>
      <x:c r="N25" s="6" t="str"/>
      <x:c r="O25" s="6" t="str">
        <x:v>Pending</x:v>
      </x:c>
      <x:c r="P25" s="7" t="str">
        <x:f>IF(OR(D25="Reviewer Complete",D25="Awaiting Second-Level Approval"),"","Service identity dependency unresolved")</x:f>
        <x:v>Service identity dependency unresolved</x:v>
      </x:c>
      <x:c r="Q25" s="6" t="str">
        <x:v>Yes</x:v>
      </x:c>
      <x:c r="R25" s="7" t="str"/>
    </x:row>
    <x:row r="26">
      <x:c r="A26" s="6" t="str">
        <x:v>MFRX-0025</x:v>
      </x:c>
      <x:c r="B26" s="6" t="str">
        <x:v>SVC000025</x:v>
      </x:c>
      <x:c r="C26" s="6" t="str">
        <x:v>SIDX-0025</x:v>
      </x:c>
      <x:c r="D26" s="6" t="str">
        <x:f>IFERROR(XLOOKUP(C26,'Review Sequence'!C2:C1586,'Review Sequence'!J2:J1586),"Dependency not found")</x:f>
        <x:v>Not Started</x:v>
      </x:c>
      <x:c r="E26" s="6" t="str">
        <x:v>MFR-LEGACY-001</x:v>
      </x:c>
      <x:c r="F26" s="6" t="str">
        <x:v>Unknown</x:v>
      </x:c>
      <x:c r="G26" s="6" t="str"/>
      <x:c r="H26" s="6" t="str"/>
      <x:c r="I26" s="6" t="str">
        <x:v>Unknown</x:v>
      </x:c>
      <x:c r="J26" s="6" t="str">
        <x:v>Unknown</x:v>
      </x:c>
      <x:c r="K26" s="6" t="str">
        <x:v>Unresolved</x:v>
      </x:c>
      <x:c r="L26" s="7" t="str">
        <x:v>Nocturnix_Master_Services_Catalog_v1.xlsx | 01 - Master Services | row 65</x:v>
      </x:c>
      <x:c r="M26" s="6" t="str"/>
      <x:c r="N26" s="6" t="str"/>
      <x:c r="O26" s="6" t="str">
        <x:v>Pending</x:v>
      </x:c>
      <x:c r="P26" s="7" t="str">
        <x:f>IF(OR(D26="Reviewer Complete",D26="Awaiting Second-Level Approval"),"","Service identity dependency unresolved")</x:f>
        <x:v>Service identity dependency unresolved</x:v>
      </x:c>
      <x:c r="Q26" s="6" t="str">
        <x:v>Yes</x:v>
      </x:c>
      <x:c r="R26" s="7" t="str"/>
    </x:row>
    <x:row r="27">
      <x:c r="A27" s="6" t="str">
        <x:v>MFRX-0026</x:v>
      </x:c>
      <x:c r="B27" s="6" t="str">
        <x:v>SVC000026</x:v>
      </x:c>
      <x:c r="C27" s="6" t="str">
        <x:v>SIDX-0026</x:v>
      </x:c>
      <x:c r="D27" s="6" t="str">
        <x:f>IFERROR(XLOOKUP(C27,'Review Sequence'!C2:C1586,'Review Sequence'!J2:J1586),"Dependency not found")</x:f>
        <x:v>Not Started</x:v>
      </x:c>
      <x:c r="E27" s="6" t="str">
        <x:v>MFR-LEGACY-001</x:v>
      </x:c>
      <x:c r="F27" s="6" t="str">
        <x:v>Unknown</x:v>
      </x:c>
      <x:c r="G27" s="6" t="str"/>
      <x:c r="H27" s="6" t="str"/>
      <x:c r="I27" s="6" t="str">
        <x:v>Unknown</x:v>
      </x:c>
      <x:c r="J27" s="6" t="str">
        <x:v>Unknown</x:v>
      </x:c>
      <x:c r="K27" s="6" t="str">
        <x:v>Unresolved</x:v>
      </x:c>
      <x:c r="L27" s="7" t="str">
        <x:v>Nocturnix_Master_Services_Catalog_v1.xlsx | 01 - Master Services | row 66</x:v>
      </x:c>
      <x:c r="M27" s="6" t="str"/>
      <x:c r="N27" s="6" t="str"/>
      <x:c r="O27" s="6" t="str">
        <x:v>Pending</x:v>
      </x:c>
      <x:c r="P27" s="7" t="str">
        <x:f>IF(OR(D27="Reviewer Complete",D27="Awaiting Second-Level Approval"),"","Service identity dependency unresolved")</x:f>
        <x:v>Service identity dependency unresolved</x:v>
      </x:c>
      <x:c r="Q27" s="6" t="str">
        <x:v>Yes</x:v>
      </x:c>
      <x:c r="R27" s="7" t="str"/>
    </x:row>
    <x:row r="28">
      <x:c r="A28" s="6" t="str">
        <x:v>MFRX-0027</x:v>
      </x:c>
      <x:c r="B28" s="6" t="str">
        <x:v>SVC000027</x:v>
      </x:c>
      <x:c r="C28" s="6" t="str">
        <x:v>SIDX-0027</x:v>
      </x:c>
      <x:c r="D28" s="6" t="str">
        <x:f>IFERROR(XLOOKUP(C28,'Review Sequence'!C2:C1586,'Review Sequence'!J2:J1586),"Dependency not found")</x:f>
        <x:v>Not Started</x:v>
      </x:c>
      <x:c r="E28" s="6" t="str">
        <x:v>MFR-LEGACY-001</x:v>
      </x:c>
      <x:c r="F28" s="6" t="str">
        <x:v>Unknown</x:v>
      </x:c>
      <x:c r="G28" s="6" t="str"/>
      <x:c r="H28" s="6" t="str"/>
      <x:c r="I28" s="6" t="str">
        <x:v>Unknown</x:v>
      </x:c>
      <x:c r="J28" s="6" t="str">
        <x:v>Unknown</x:v>
      </x:c>
      <x:c r="K28" s="6" t="str">
        <x:v>Unresolved</x:v>
      </x:c>
      <x:c r="L28" s="7" t="str">
        <x:v>Nocturnix_Master_Services_Catalog_v1.xlsx | 01 - Master Services | row 67</x:v>
      </x:c>
      <x:c r="M28" s="6" t="str"/>
      <x:c r="N28" s="6" t="str"/>
      <x:c r="O28" s="6" t="str">
        <x:v>Pending</x:v>
      </x:c>
      <x:c r="P28" s="7" t="str">
        <x:f>IF(OR(D28="Reviewer Complete",D28="Awaiting Second-Level Approval"),"","Service identity dependency unresolved")</x:f>
        <x:v>Service identity dependency unresolved</x:v>
      </x:c>
      <x:c r="Q28" s="6" t="str">
        <x:v>Yes</x:v>
      </x:c>
      <x:c r="R28" s="7" t="str"/>
    </x:row>
    <x:row r="29">
      <x:c r="A29" s="6" t="str">
        <x:v>MFRX-0028</x:v>
      </x:c>
      <x:c r="B29" s="6" t="str">
        <x:v>SVC000028</x:v>
      </x:c>
      <x:c r="C29" s="6" t="str">
        <x:v>SIDX-0028</x:v>
      </x:c>
      <x:c r="D29" s="6" t="str">
        <x:f>IFERROR(XLOOKUP(C29,'Review Sequence'!C2:C1586,'Review Sequence'!J2:J1586),"Dependency not found")</x:f>
        <x:v>Not Started</x:v>
      </x:c>
      <x:c r="E29" s="6" t="str">
        <x:v>MFR-LEGACY-001</x:v>
      </x:c>
      <x:c r="F29" s="6" t="str">
        <x:v>Unknown</x:v>
      </x:c>
      <x:c r="G29" s="6" t="str"/>
      <x:c r="H29" s="6" t="str"/>
      <x:c r="I29" s="6" t="str">
        <x:v>Unknown</x:v>
      </x:c>
      <x:c r="J29" s="6" t="str">
        <x:v>Unknown</x:v>
      </x:c>
      <x:c r="K29" s="6" t="str">
        <x:v>Unresolved</x:v>
      </x:c>
      <x:c r="L29" s="7" t="str">
        <x:v>Nocturnix_Master_Services_Catalog_v1.xlsx | 01 - Master Services | row 68</x:v>
      </x:c>
      <x:c r="M29" s="6" t="str"/>
      <x:c r="N29" s="6" t="str"/>
      <x:c r="O29" s="6" t="str">
        <x:v>Pending</x:v>
      </x:c>
      <x:c r="P29" s="7" t="str">
        <x:f>IF(OR(D29="Reviewer Complete",D29="Awaiting Second-Level Approval"),"","Service identity dependency unresolved")</x:f>
        <x:v>Service identity dependency unresolved</x:v>
      </x:c>
      <x:c r="Q29" s="6" t="str">
        <x:v>Yes</x:v>
      </x:c>
      <x:c r="R29" s="7" t="str"/>
    </x:row>
    <x:row r="30">
      <x:c r="A30" s="6" t="str">
        <x:v>MFRX-0029</x:v>
      </x:c>
      <x:c r="B30" s="6" t="str">
        <x:v>SVC000029</x:v>
      </x:c>
      <x:c r="C30" s="6" t="str">
        <x:v>SIDX-0029</x:v>
      </x:c>
      <x:c r="D30" s="6" t="str">
        <x:f>IFERROR(XLOOKUP(C30,'Review Sequence'!C2:C1586,'Review Sequence'!J2:J1586),"Dependency not found")</x:f>
        <x:v>Not Started</x:v>
      </x:c>
      <x:c r="E30" s="6" t="str">
        <x:v>MFR-LEGACY-001</x:v>
      </x:c>
      <x:c r="F30" s="6" t="str">
        <x:v>Unknown</x:v>
      </x:c>
      <x:c r="G30" s="6" t="str"/>
      <x:c r="H30" s="6" t="str"/>
      <x:c r="I30" s="6" t="str">
        <x:v>Unknown</x:v>
      </x:c>
      <x:c r="J30" s="6" t="str">
        <x:v>Unknown</x:v>
      </x:c>
      <x:c r="K30" s="6" t="str">
        <x:v>Unresolved</x:v>
      </x:c>
      <x:c r="L30" s="7" t="str">
        <x:v>Nocturnix_Master_Services_Catalog_v1.xlsx | 01 - Master Services | row 69</x:v>
      </x:c>
      <x:c r="M30" s="6" t="str"/>
      <x:c r="N30" s="6" t="str"/>
      <x:c r="O30" s="6" t="str">
        <x:v>Pending</x:v>
      </x:c>
      <x:c r="P30" s="7" t="str">
        <x:f>IF(OR(D30="Reviewer Complete",D30="Awaiting Second-Level Approval"),"","Service identity dependency unresolved")</x:f>
        <x:v>Service identity dependency unresolved</x:v>
      </x:c>
      <x:c r="Q30" s="6" t="str">
        <x:v>Yes</x:v>
      </x:c>
      <x:c r="R30" s="7" t="str"/>
    </x:row>
    <x:row r="31">
      <x:c r="A31" s="6" t="str">
        <x:v>MFRX-0030</x:v>
      </x:c>
      <x:c r="B31" s="6" t="str">
        <x:v>SVC000030</x:v>
      </x:c>
      <x:c r="C31" s="6" t="str">
        <x:v>SIDX-0030</x:v>
      </x:c>
      <x:c r="D31" s="6" t="str">
        <x:f>IFERROR(XLOOKUP(C31,'Review Sequence'!C2:C1586,'Review Sequence'!J2:J1586),"Dependency not found")</x:f>
        <x:v>Not Started</x:v>
      </x:c>
      <x:c r="E31" s="6" t="str">
        <x:v>MFR-LEGACY-001</x:v>
      </x:c>
      <x:c r="F31" s="6" t="str">
        <x:v>Unknown</x:v>
      </x:c>
      <x:c r="G31" s="6" t="str"/>
      <x:c r="H31" s="6" t="str"/>
      <x:c r="I31" s="6" t="str">
        <x:v>Unknown</x:v>
      </x:c>
      <x:c r="J31" s="6" t="str">
        <x:v>Unknown</x:v>
      </x:c>
      <x:c r="K31" s="6" t="str">
        <x:v>Unresolved</x:v>
      </x:c>
      <x:c r="L31" s="7" t="str">
        <x:v>Nocturnix_Master_Services_Catalog_v1.xlsx | 01 - Master Services | row 70</x:v>
      </x:c>
      <x:c r="M31" s="6" t="str"/>
      <x:c r="N31" s="6" t="str"/>
      <x:c r="O31" s="6" t="str">
        <x:v>Pending</x:v>
      </x:c>
      <x:c r="P31" s="7" t="str">
        <x:f>IF(OR(D31="Reviewer Complete",D31="Awaiting Second-Level Approval"),"","Service identity dependency unresolved")</x:f>
        <x:v>Service identity dependency unresolved</x:v>
      </x:c>
      <x:c r="Q31" s="6" t="str">
        <x:v>Yes</x:v>
      </x:c>
      <x:c r="R31" s="7" t="str"/>
    </x:row>
    <x:row r="32">
      <x:c r="A32" s="6" t="str">
        <x:v>MFRX-0031</x:v>
      </x:c>
      <x:c r="B32" s="6" t="str">
        <x:v>SVC000031</x:v>
      </x:c>
      <x:c r="C32" s="6" t="str">
        <x:v>SIDX-0031</x:v>
      </x:c>
      <x:c r="D32" s="6" t="str">
        <x:f>IFERROR(XLOOKUP(C32,'Review Sequence'!C2:C1586,'Review Sequence'!J2:J1586),"Dependency not found")</x:f>
        <x:v>Not Started</x:v>
      </x:c>
      <x:c r="E32" s="6" t="str">
        <x:v>MFR-LEGACY-001</x:v>
      </x:c>
      <x:c r="F32" s="6" t="str">
        <x:v>Unknown</x:v>
      </x:c>
      <x:c r="G32" s="6" t="str"/>
      <x:c r="H32" s="6" t="str"/>
      <x:c r="I32" s="6" t="str">
        <x:v>Unknown</x:v>
      </x:c>
      <x:c r="J32" s="6" t="str">
        <x:v>Unknown</x:v>
      </x:c>
      <x:c r="K32" s="6" t="str">
        <x:v>Unresolved</x:v>
      </x:c>
      <x:c r="L32" s="7" t="str">
        <x:v>Nocturnix_Master_Services_Catalog_v1.xlsx | 01 - Master Services | row 71</x:v>
      </x:c>
      <x:c r="M32" s="6" t="str"/>
      <x:c r="N32" s="6" t="str"/>
      <x:c r="O32" s="6" t="str">
        <x:v>Pending</x:v>
      </x:c>
      <x:c r="P32" s="7" t="str">
        <x:f>IF(OR(D32="Reviewer Complete",D32="Awaiting Second-Level Approval"),"","Service identity dependency unresolved")</x:f>
        <x:v>Service identity dependency unresolved</x:v>
      </x:c>
      <x:c r="Q32" s="6" t="str">
        <x:v>Yes</x:v>
      </x:c>
      <x:c r="R32" s="7" t="str"/>
    </x:row>
    <x:row r="33">
      <x:c r="A33" s="6" t="str">
        <x:v>MFRX-0032</x:v>
      </x:c>
      <x:c r="B33" s="6" t="str">
        <x:v>SVC000032</x:v>
      </x:c>
      <x:c r="C33" s="6" t="str">
        <x:v>SIDX-0032</x:v>
      </x:c>
      <x:c r="D33" s="6" t="str">
        <x:f>IFERROR(XLOOKUP(C33,'Review Sequence'!C2:C1586,'Review Sequence'!J2:J1586),"Dependency not found")</x:f>
        <x:v>Not Started</x:v>
      </x:c>
      <x:c r="E33" s="6" t="str">
        <x:v>MFR-LEGACY-001</x:v>
      </x:c>
      <x:c r="F33" s="6" t="str">
        <x:v>Unknown</x:v>
      </x:c>
      <x:c r="G33" s="6" t="str"/>
      <x:c r="H33" s="6" t="str"/>
      <x:c r="I33" s="6" t="str">
        <x:v>Unknown</x:v>
      </x:c>
      <x:c r="J33" s="6" t="str">
        <x:v>Unknown</x:v>
      </x:c>
      <x:c r="K33" s="6" t="str">
        <x:v>Unresolved</x:v>
      </x:c>
      <x:c r="L33" s="7" t="str">
        <x:v>Nocturnix_Master_Services_Catalog_v1.xlsx | 01 - Master Services | row 72</x:v>
      </x:c>
      <x:c r="M33" s="6" t="str"/>
      <x:c r="N33" s="6" t="str"/>
      <x:c r="O33" s="6" t="str">
        <x:v>Pending</x:v>
      </x:c>
      <x:c r="P33" s="7" t="str">
        <x:f>IF(OR(D33="Reviewer Complete",D33="Awaiting Second-Level Approval"),"","Service identity dependency unresolved")</x:f>
        <x:v>Service identity dependency unresolved</x:v>
      </x:c>
      <x:c r="Q33" s="6" t="str">
        <x:v>Yes</x:v>
      </x:c>
      <x:c r="R33" s="7" t="str"/>
    </x:row>
    <x:row r="34">
      <x:c r="A34" s="6" t="str">
        <x:v>MFRX-0033</x:v>
      </x:c>
      <x:c r="B34" s="6" t="str">
        <x:v>SVC000033</x:v>
      </x:c>
      <x:c r="C34" s="6" t="str">
        <x:v>SIDX-0033</x:v>
      </x:c>
      <x:c r="D34" s="6" t="str">
        <x:f>IFERROR(XLOOKUP(C34,'Review Sequence'!C2:C1586,'Review Sequence'!J2:J1586),"Dependency not found")</x:f>
        <x:v>Not Started</x:v>
      </x:c>
      <x:c r="E34" s="6" t="str">
        <x:v>MFR-LEGACY-001</x:v>
      </x:c>
      <x:c r="F34" s="6" t="str">
        <x:v>Unknown</x:v>
      </x:c>
      <x:c r="G34" s="6" t="str"/>
      <x:c r="H34" s="6" t="str"/>
      <x:c r="I34" s="6" t="str">
        <x:v>Unknown</x:v>
      </x:c>
      <x:c r="J34" s="6" t="str">
        <x:v>Unknown</x:v>
      </x:c>
      <x:c r="K34" s="6" t="str">
        <x:v>Unresolved</x:v>
      </x:c>
      <x:c r="L34" s="7" t="str">
        <x:v>Nocturnix_Master_Services_Catalog_v1.xlsx | 01 - Master Services | row 73</x:v>
      </x:c>
      <x:c r="M34" s="6" t="str"/>
      <x:c r="N34" s="6" t="str"/>
      <x:c r="O34" s="6" t="str">
        <x:v>Pending</x:v>
      </x:c>
      <x:c r="P34" s="7" t="str">
        <x:f>IF(OR(D34="Reviewer Complete",D34="Awaiting Second-Level Approval"),"","Service identity dependency unresolved")</x:f>
        <x:v>Service identity dependency unresolved</x:v>
      </x:c>
      <x:c r="Q34" s="6" t="str">
        <x:v>Yes</x:v>
      </x:c>
      <x:c r="R34" s="7" t="str"/>
    </x:row>
    <x:row r="35">
      <x:c r="A35" s="6" t="str">
        <x:v>MFRX-0034</x:v>
      </x:c>
      <x:c r="B35" s="6" t="str">
        <x:v>SVC000034</x:v>
      </x:c>
      <x:c r="C35" s="6" t="str">
        <x:v>SIDX-0034</x:v>
      </x:c>
      <x:c r="D35" s="6" t="str">
        <x:f>IFERROR(XLOOKUP(C35,'Review Sequence'!C2:C1586,'Review Sequence'!J2:J1586),"Dependency not found")</x:f>
        <x:v>Not Started</x:v>
      </x:c>
      <x:c r="E35" s="6" t="str">
        <x:v>MFR-LEGACY-001</x:v>
      </x:c>
      <x:c r="F35" s="6" t="str">
        <x:v>Unknown</x:v>
      </x:c>
      <x:c r="G35" s="6" t="str"/>
      <x:c r="H35" s="6" t="str"/>
      <x:c r="I35" s="6" t="str">
        <x:v>Unknown</x:v>
      </x:c>
      <x:c r="J35" s="6" t="str">
        <x:v>Unknown</x:v>
      </x:c>
      <x:c r="K35" s="6" t="str">
        <x:v>Unresolved</x:v>
      </x:c>
      <x:c r="L35" s="7" t="str">
        <x:v>Nocturnix_Master_Services_Catalog_v1.xlsx | 01 - Master Services | row 74</x:v>
      </x:c>
      <x:c r="M35" s="6" t="str"/>
      <x:c r="N35" s="6" t="str"/>
      <x:c r="O35" s="6" t="str">
        <x:v>Pending</x:v>
      </x:c>
      <x:c r="P35" s="7" t="str">
        <x:f>IF(OR(D35="Reviewer Complete",D35="Awaiting Second-Level Approval"),"","Service identity dependency unresolved")</x:f>
        <x:v>Service identity dependency unresolved</x:v>
      </x:c>
      <x:c r="Q35" s="6" t="str">
        <x:v>Yes</x:v>
      </x:c>
      <x:c r="R35" s="7" t="str"/>
    </x:row>
    <x:row r="36">
      <x:c r="A36" s="6" t="str">
        <x:v>MFRX-0035</x:v>
      </x:c>
      <x:c r="B36" s="6" t="str">
        <x:v>SVC000035</x:v>
      </x:c>
      <x:c r="C36" s="6" t="str">
        <x:v>SIDX-0035</x:v>
      </x:c>
      <x:c r="D36" s="6" t="str">
        <x:f>IFERROR(XLOOKUP(C36,'Review Sequence'!C2:C1586,'Review Sequence'!J2:J1586),"Dependency not found")</x:f>
        <x:v>Not Started</x:v>
      </x:c>
      <x:c r="E36" s="6" t="str">
        <x:v>MFR-LEGACY-001</x:v>
      </x:c>
      <x:c r="F36" s="6" t="str">
        <x:v>Unknown</x:v>
      </x:c>
      <x:c r="G36" s="6" t="str"/>
      <x:c r="H36" s="6" t="str"/>
      <x:c r="I36" s="6" t="str">
        <x:v>Unknown</x:v>
      </x:c>
      <x:c r="J36" s="6" t="str">
        <x:v>Unknown</x:v>
      </x:c>
      <x:c r="K36" s="6" t="str">
        <x:v>Unresolved</x:v>
      </x:c>
      <x:c r="L36" s="7" t="str">
        <x:v>Nocturnix_Master_Services_Catalog_v1.xlsx | 01 - Master Services | row 75</x:v>
      </x:c>
      <x:c r="M36" s="6" t="str"/>
      <x:c r="N36" s="6" t="str"/>
      <x:c r="O36" s="6" t="str">
        <x:v>Pending</x:v>
      </x:c>
      <x:c r="P36" s="7" t="str">
        <x:f>IF(OR(D36="Reviewer Complete",D36="Awaiting Second-Level Approval"),"","Service identity dependency unresolved")</x:f>
        <x:v>Service identity dependency unresolved</x:v>
      </x:c>
      <x:c r="Q36" s="6" t="str">
        <x:v>Yes</x:v>
      </x:c>
      <x:c r="R36" s="7" t="str"/>
    </x:row>
    <x:row r="37">
      <x:c r="A37" s="6" t="str">
        <x:v>MFRX-0036</x:v>
      </x:c>
      <x:c r="B37" s="6" t="str">
        <x:v>SVC000036</x:v>
      </x:c>
      <x:c r="C37" s="6" t="str">
        <x:v>SIDX-0036</x:v>
      </x:c>
      <x:c r="D37" s="6" t="str">
        <x:f>IFERROR(XLOOKUP(C37,'Review Sequence'!C2:C1586,'Review Sequence'!J2:J1586),"Dependency not found")</x:f>
        <x:v>Not Started</x:v>
      </x:c>
      <x:c r="E37" s="6" t="str">
        <x:v>MFR-LEGACY-001</x:v>
      </x:c>
      <x:c r="F37" s="6" t="str">
        <x:v>Unknown</x:v>
      </x:c>
      <x:c r="G37" s="6" t="str"/>
      <x:c r="H37" s="6" t="str"/>
      <x:c r="I37" s="6" t="str">
        <x:v>Unknown</x:v>
      </x:c>
      <x:c r="J37" s="6" t="str">
        <x:v>Unknown</x:v>
      </x:c>
      <x:c r="K37" s="6" t="str">
        <x:v>Unresolved</x:v>
      </x:c>
      <x:c r="L37" s="7" t="str">
        <x:v>Nocturnix_Master_Services_Catalog_v1.xlsx | 01 - Master Services | row 76</x:v>
      </x:c>
      <x:c r="M37" s="6" t="str"/>
      <x:c r="N37" s="6" t="str"/>
      <x:c r="O37" s="6" t="str">
        <x:v>Pending</x:v>
      </x:c>
      <x:c r="P37" s="7" t="str">
        <x:f>IF(OR(D37="Reviewer Complete",D37="Awaiting Second-Level Approval"),"","Service identity dependency unresolved")</x:f>
        <x:v>Service identity dependency unresolved</x:v>
      </x:c>
      <x:c r="Q37" s="6" t="str">
        <x:v>Yes</x:v>
      </x:c>
      <x:c r="R37" s="7" t="str"/>
    </x:row>
    <x:row r="38">
      <x:c r="A38" s="6" t="str">
        <x:v>MFRX-0037</x:v>
      </x:c>
      <x:c r="B38" s="6" t="str">
        <x:v>SVC000037</x:v>
      </x:c>
      <x:c r="C38" s="6" t="str">
        <x:v>SIDX-0037</x:v>
      </x:c>
      <x:c r="D38" s="6" t="str">
        <x:f>IFERROR(XLOOKUP(C38,'Review Sequence'!C2:C1586,'Review Sequence'!J2:J1586),"Dependency not found")</x:f>
        <x:v>Not Started</x:v>
      </x:c>
      <x:c r="E38" s="6" t="str">
        <x:v>MFR-LEGACY-001</x:v>
      </x:c>
      <x:c r="F38" s="6" t="str">
        <x:v>Unknown</x:v>
      </x:c>
      <x:c r="G38" s="6" t="str"/>
      <x:c r="H38" s="6" t="str"/>
      <x:c r="I38" s="6" t="str">
        <x:v>Unknown</x:v>
      </x:c>
      <x:c r="J38" s="6" t="str">
        <x:v>Unknown</x:v>
      </x:c>
      <x:c r="K38" s="6" t="str">
        <x:v>Unresolved</x:v>
      </x:c>
      <x:c r="L38" s="7" t="str">
        <x:v>Nocturnix_Master_Services_Catalog_v1.xlsx | 01 - Master Services | row 77</x:v>
      </x:c>
      <x:c r="M38" s="6" t="str"/>
      <x:c r="N38" s="6" t="str"/>
      <x:c r="O38" s="6" t="str">
        <x:v>Pending</x:v>
      </x:c>
      <x:c r="P38" s="7" t="str">
        <x:f>IF(OR(D38="Reviewer Complete",D38="Awaiting Second-Level Approval"),"","Service identity dependency unresolved")</x:f>
        <x:v>Service identity dependency unresolved</x:v>
      </x:c>
      <x:c r="Q38" s="6" t="str">
        <x:v>Yes</x:v>
      </x:c>
      <x:c r="R38" s="7" t="str"/>
    </x:row>
    <x:row r="39">
      <x:c r="A39" s="6" t="str">
        <x:v>MFRX-0038</x:v>
      </x:c>
      <x:c r="B39" s="6" t="str">
        <x:v>SVC000038</x:v>
      </x:c>
      <x:c r="C39" s="6" t="str">
        <x:v>SIDX-0038</x:v>
      </x:c>
      <x:c r="D39" s="6" t="str">
        <x:f>IFERROR(XLOOKUP(C39,'Review Sequence'!C2:C1586,'Review Sequence'!J2:J1586),"Dependency not found")</x:f>
        <x:v>Not Started</x:v>
      </x:c>
      <x:c r="E39" s="6" t="str">
        <x:v>MFR-LEGACY-001</x:v>
      </x:c>
      <x:c r="F39" s="6" t="str">
        <x:v>Unknown</x:v>
      </x:c>
      <x:c r="G39" s="6" t="str"/>
      <x:c r="H39" s="6" t="str"/>
      <x:c r="I39" s="6" t="str">
        <x:v>Unknown</x:v>
      </x:c>
      <x:c r="J39" s="6" t="str">
        <x:v>Unknown</x:v>
      </x:c>
      <x:c r="K39" s="6" t="str">
        <x:v>Unresolved</x:v>
      </x:c>
      <x:c r="L39" s="7" t="str">
        <x:v>Nocturnix_Master_Services_Catalog_v1.xlsx | 01 - Master Services | row 78</x:v>
      </x:c>
      <x:c r="M39" s="6" t="str"/>
      <x:c r="N39" s="6" t="str"/>
      <x:c r="O39" s="6" t="str">
        <x:v>Pending</x:v>
      </x:c>
      <x:c r="P39" s="7" t="str">
        <x:f>IF(OR(D39="Reviewer Complete",D39="Awaiting Second-Level Approval"),"","Service identity dependency unresolved")</x:f>
        <x:v>Service identity dependency unresolved</x:v>
      </x:c>
      <x:c r="Q39" s="6" t="str">
        <x:v>Yes</x:v>
      </x:c>
      <x:c r="R39" s="7" t="str"/>
    </x:row>
    <x:row r="40">
      <x:c r="A40" s="6" t="str">
        <x:v>MFRX-0039</x:v>
      </x:c>
      <x:c r="B40" s="6" t="str">
        <x:v>SVC000039</x:v>
      </x:c>
      <x:c r="C40" s="6" t="str">
        <x:v>SIDX-0039</x:v>
      </x:c>
      <x:c r="D40" s="6" t="str">
        <x:f>IFERROR(XLOOKUP(C40,'Review Sequence'!C2:C1586,'Review Sequence'!J2:J1586),"Dependency not found")</x:f>
        <x:v>Not Started</x:v>
      </x:c>
      <x:c r="E40" s="6" t="str">
        <x:v>MFR-LEGACY-001</x:v>
      </x:c>
      <x:c r="F40" s="6" t="str">
        <x:v>Unknown</x:v>
      </x:c>
      <x:c r="G40" s="6" t="str"/>
      <x:c r="H40" s="6" t="str"/>
      <x:c r="I40" s="6" t="str">
        <x:v>Unknown</x:v>
      </x:c>
      <x:c r="J40" s="6" t="str">
        <x:v>Unknown</x:v>
      </x:c>
      <x:c r="K40" s="6" t="str">
        <x:v>Unresolved</x:v>
      </x:c>
      <x:c r="L40" s="7" t="str">
        <x:v>Nocturnix_Master_Services_Catalog_v1.xlsx | 01 - Master Services | row 79</x:v>
      </x:c>
      <x:c r="M40" s="6" t="str"/>
      <x:c r="N40" s="6" t="str"/>
      <x:c r="O40" s="6" t="str">
        <x:v>Pending</x:v>
      </x:c>
      <x:c r="P40" s="7" t="str">
        <x:f>IF(OR(D40="Reviewer Complete",D40="Awaiting Second-Level Approval"),"","Service identity dependency unresolved")</x:f>
        <x:v>Service identity dependency unresolved</x:v>
      </x:c>
      <x:c r="Q40" s="6" t="str">
        <x:v>Yes</x:v>
      </x:c>
      <x:c r="R40" s="7" t="str"/>
    </x:row>
    <x:row r="41">
      <x:c r="A41" s="6" t="str">
        <x:v>MFRX-0040</x:v>
      </x:c>
      <x:c r="B41" s="6" t="str">
        <x:v>SVC000040</x:v>
      </x:c>
      <x:c r="C41" s="6" t="str">
        <x:v>SIDX-0040</x:v>
      </x:c>
      <x:c r="D41" s="6" t="str">
        <x:f>IFERROR(XLOOKUP(C41,'Review Sequence'!C2:C1586,'Review Sequence'!J2:J1586),"Dependency not found")</x:f>
        <x:v>Not Started</x:v>
      </x:c>
      <x:c r="E41" s="6" t="str">
        <x:v>MFR-LEGACY-001</x:v>
      </x:c>
      <x:c r="F41" s="6" t="str">
        <x:v>Unknown</x:v>
      </x:c>
      <x:c r="G41" s="6" t="str"/>
      <x:c r="H41" s="6" t="str"/>
      <x:c r="I41" s="6" t="str">
        <x:v>Unknown</x:v>
      </x:c>
      <x:c r="J41" s="6" t="str">
        <x:v>Unknown</x:v>
      </x:c>
      <x:c r="K41" s="6" t="str">
        <x:v>Unresolved</x:v>
      </x:c>
      <x:c r="L41" s="7" t="str">
        <x:v>Nocturnix_Master_Services_Catalog_v1.xlsx | 01 - Master Services | row 80</x:v>
      </x:c>
      <x:c r="M41" s="6" t="str"/>
      <x:c r="N41" s="6" t="str"/>
      <x:c r="O41" s="6" t="str">
        <x:v>Pending</x:v>
      </x:c>
      <x:c r="P41" s="7" t="str">
        <x:f>IF(OR(D41="Reviewer Complete",D41="Awaiting Second-Level Approval"),"","Service identity dependency unresolved")</x:f>
        <x:v>Service identity dependency unresolved</x:v>
      </x:c>
      <x:c r="Q41" s="6" t="str">
        <x:v>Yes</x:v>
      </x:c>
      <x:c r="R41" s="7" t="str"/>
    </x:row>
    <x:row r="42">
      <x:c r="A42" s="6" t="str">
        <x:v>MFRX-0041</x:v>
      </x:c>
      <x:c r="B42" s="6" t="str">
        <x:v>SVC000041</x:v>
      </x:c>
      <x:c r="C42" s="6" t="str">
        <x:v>SIDX-0041</x:v>
      </x:c>
      <x:c r="D42" s="6" t="str">
        <x:f>IFERROR(XLOOKUP(C42,'Review Sequence'!C2:C1586,'Review Sequence'!J2:J1586),"Dependency not found")</x:f>
        <x:v>Not Started</x:v>
      </x:c>
      <x:c r="E42" s="6" t="str">
        <x:v>MFR-LEGACY-001</x:v>
      </x:c>
      <x:c r="F42" s="6" t="str">
        <x:v>Unknown</x:v>
      </x:c>
      <x:c r="G42" s="6" t="str"/>
      <x:c r="H42" s="6" t="str"/>
      <x:c r="I42" s="6" t="str">
        <x:v>Unknown</x:v>
      </x:c>
      <x:c r="J42" s="6" t="str">
        <x:v>Unknown</x:v>
      </x:c>
      <x:c r="K42" s="6" t="str">
        <x:v>Unresolved</x:v>
      </x:c>
      <x:c r="L42" s="7" t="str">
        <x:v>Nocturnix_Master_Services_Catalog_v1.xlsx | 01 - Master Services | row 81</x:v>
      </x:c>
      <x:c r="M42" s="6" t="str"/>
      <x:c r="N42" s="6" t="str"/>
      <x:c r="O42" s="6" t="str">
        <x:v>Pending</x:v>
      </x:c>
      <x:c r="P42" s="7" t="str">
        <x:f>IF(OR(D42="Reviewer Complete",D42="Awaiting Second-Level Approval"),"","Service identity dependency unresolved")</x:f>
        <x:v>Service identity dependency unresolved</x:v>
      </x:c>
      <x:c r="Q42" s="6" t="str">
        <x:v>Yes</x:v>
      </x:c>
      <x:c r="R42" s="7" t="str"/>
    </x:row>
    <x:row r="43">
      <x:c r="A43" s="6" t="str">
        <x:v>MFRX-0042</x:v>
      </x:c>
      <x:c r="B43" s="6" t="str">
        <x:v>SVC000042</x:v>
      </x:c>
      <x:c r="C43" s="6" t="str">
        <x:v>SIDX-0042</x:v>
      </x:c>
      <x:c r="D43" s="6" t="str">
        <x:f>IFERROR(XLOOKUP(C43,'Review Sequence'!C2:C1586,'Review Sequence'!J2:J1586),"Dependency not found")</x:f>
        <x:v>Not Started</x:v>
      </x:c>
      <x:c r="E43" s="6" t="str">
        <x:v>MFR-LEGACY-001</x:v>
      </x:c>
      <x:c r="F43" s="6" t="str">
        <x:v>Unknown</x:v>
      </x:c>
      <x:c r="G43" s="6" t="str"/>
      <x:c r="H43" s="6" t="str"/>
      <x:c r="I43" s="6" t="str">
        <x:v>Unknown</x:v>
      </x:c>
      <x:c r="J43" s="6" t="str">
        <x:v>Unknown</x:v>
      </x:c>
      <x:c r="K43" s="6" t="str">
        <x:v>Unresolved</x:v>
      </x:c>
      <x:c r="L43" s="7" t="str">
        <x:v>Nocturnix_Master_Services_Catalog_v1.xlsx | 01 - Master Services | row 82</x:v>
      </x:c>
      <x:c r="M43" s="6" t="str"/>
      <x:c r="N43" s="6" t="str"/>
      <x:c r="O43" s="6" t="str">
        <x:v>Pending</x:v>
      </x:c>
      <x:c r="P43" s="7" t="str">
        <x:f>IF(OR(D43="Reviewer Complete",D43="Awaiting Second-Level Approval"),"","Service identity dependency unresolved")</x:f>
        <x:v>Service identity dependency unresolved</x:v>
      </x:c>
      <x:c r="Q43" s="6" t="str">
        <x:v>Yes</x:v>
      </x:c>
      <x:c r="R43" s="7" t="str"/>
    </x:row>
    <x:row r="44">
      <x:c r="A44" s="6" t="str">
        <x:v>MFRX-0043</x:v>
      </x:c>
      <x:c r="B44" s="6" t="str">
        <x:v>SVC000043</x:v>
      </x:c>
      <x:c r="C44" s="6" t="str">
        <x:v>SIDX-0043</x:v>
      </x:c>
      <x:c r="D44" s="6" t="str">
        <x:f>IFERROR(XLOOKUP(C44,'Review Sequence'!C2:C1586,'Review Sequence'!J2:J1586),"Dependency not found")</x:f>
        <x:v>Not Started</x:v>
      </x:c>
      <x:c r="E44" s="6" t="str">
        <x:v>MFR-LEGACY-001</x:v>
      </x:c>
      <x:c r="F44" s="6" t="str">
        <x:v>Unknown</x:v>
      </x:c>
      <x:c r="G44" s="6" t="str"/>
      <x:c r="H44" s="6" t="str"/>
      <x:c r="I44" s="6" t="str">
        <x:v>Unknown</x:v>
      </x:c>
      <x:c r="J44" s="6" t="str">
        <x:v>Unknown</x:v>
      </x:c>
      <x:c r="K44" s="6" t="str">
        <x:v>Unresolved</x:v>
      </x:c>
      <x:c r="L44" s="7" t="str">
        <x:v>Nocturnix_Master_Services_Catalog_v1.xlsx | 01 - Master Services | row 83</x:v>
      </x:c>
      <x:c r="M44" s="6" t="str"/>
      <x:c r="N44" s="6" t="str"/>
      <x:c r="O44" s="6" t="str">
        <x:v>Pending</x:v>
      </x:c>
      <x:c r="P44" s="7" t="str">
        <x:f>IF(OR(D44="Reviewer Complete",D44="Awaiting Second-Level Approval"),"","Service identity dependency unresolved")</x:f>
        <x:v>Service identity dependency unresolved</x:v>
      </x:c>
      <x:c r="Q44" s="6" t="str">
        <x:v>Yes</x:v>
      </x:c>
      <x:c r="R44" s="7" t="str"/>
    </x:row>
    <x:row r="45">
      <x:c r="A45" s="6" t="str">
        <x:v>MFRX-0044</x:v>
      </x:c>
      <x:c r="B45" s="6" t="str">
        <x:v>SVC000044</x:v>
      </x:c>
      <x:c r="C45" s="6" t="str">
        <x:v>SIDX-0044</x:v>
      </x:c>
      <x:c r="D45" s="6" t="str">
        <x:f>IFERROR(XLOOKUP(C45,'Review Sequence'!C2:C1586,'Review Sequence'!J2:J1586),"Dependency not found")</x:f>
        <x:v>Not Started</x:v>
      </x:c>
      <x:c r="E45" s="6" t="str">
        <x:v>MFR-LEGACY-001</x:v>
      </x:c>
      <x:c r="F45" s="6" t="str">
        <x:v>Unknown</x:v>
      </x:c>
      <x:c r="G45" s="6" t="str"/>
      <x:c r="H45" s="6" t="str"/>
      <x:c r="I45" s="6" t="str">
        <x:v>Unknown</x:v>
      </x:c>
      <x:c r="J45" s="6" t="str">
        <x:v>Unknown</x:v>
      </x:c>
      <x:c r="K45" s="6" t="str">
        <x:v>Unresolved</x:v>
      </x:c>
      <x:c r="L45" s="7" t="str">
        <x:v>Nocturnix_Master_Services_Catalog_v1.xlsx | 01 - Master Services | row 84</x:v>
      </x:c>
      <x:c r="M45" s="6" t="str"/>
      <x:c r="N45" s="6" t="str"/>
      <x:c r="O45" s="6" t="str">
        <x:v>Pending</x:v>
      </x:c>
      <x:c r="P45" s="7" t="str">
        <x:f>IF(OR(D45="Reviewer Complete",D45="Awaiting Second-Level Approval"),"","Service identity dependency unresolved")</x:f>
        <x:v>Service identity dependency unresolved</x:v>
      </x:c>
      <x:c r="Q45" s="6" t="str">
        <x:v>Yes</x:v>
      </x:c>
      <x:c r="R45" s="7" t="str"/>
    </x:row>
    <x:row r="46">
      <x:c r="A46" s="6" t="str">
        <x:v>MFRX-0045</x:v>
      </x:c>
      <x:c r="B46" s="6" t="str">
        <x:v>SVC000045</x:v>
      </x:c>
      <x:c r="C46" s="6" t="str">
        <x:v>SIDX-0045</x:v>
      </x:c>
      <x:c r="D46" s="6" t="str">
        <x:f>IFERROR(XLOOKUP(C46,'Review Sequence'!C2:C1586,'Review Sequence'!J2:J1586),"Dependency not found")</x:f>
        <x:v>Not Started</x:v>
      </x:c>
      <x:c r="E46" s="6" t="str">
        <x:v>MFR-LEGACY-001</x:v>
      </x:c>
      <x:c r="F46" s="6" t="str">
        <x:v>Unknown</x:v>
      </x:c>
      <x:c r="G46" s="6" t="str"/>
      <x:c r="H46" s="6" t="str"/>
      <x:c r="I46" s="6" t="str">
        <x:v>Unknown</x:v>
      </x:c>
      <x:c r="J46" s="6" t="str">
        <x:v>Unknown</x:v>
      </x:c>
      <x:c r="K46" s="6" t="str">
        <x:v>Unresolved</x:v>
      </x:c>
      <x:c r="L46" s="7" t="str">
        <x:v>Nocturnix_Master_Services_Catalog_v1.xlsx | 01 - Master Services | row 85</x:v>
      </x:c>
      <x:c r="M46" s="6" t="str"/>
      <x:c r="N46" s="6" t="str"/>
      <x:c r="O46" s="6" t="str">
        <x:v>Pending</x:v>
      </x:c>
      <x:c r="P46" s="7" t="str">
        <x:f>IF(OR(D46="Reviewer Complete",D46="Awaiting Second-Level Approval"),"","Service identity dependency unresolved")</x:f>
        <x:v>Service identity dependency unresolved</x:v>
      </x:c>
      <x:c r="Q46" s="6" t="str">
        <x:v>Yes</x:v>
      </x:c>
      <x:c r="R46" s="7" t="str"/>
    </x:row>
    <x:row r="47">
      <x:c r="A47" s="6" t="str">
        <x:v>MFRX-0046</x:v>
      </x:c>
      <x:c r="B47" s="6" t="str">
        <x:v>SVC000046</x:v>
      </x:c>
      <x:c r="C47" s="6" t="str">
        <x:v>SIDX-0046</x:v>
      </x:c>
      <x:c r="D47" s="6" t="str">
        <x:f>IFERROR(XLOOKUP(C47,'Review Sequence'!C2:C1586,'Review Sequence'!J2:J1586),"Dependency not found")</x:f>
        <x:v>Not Started</x:v>
      </x:c>
      <x:c r="E47" s="6" t="str">
        <x:v>MFR-LEGACY-001</x:v>
      </x:c>
      <x:c r="F47" s="6" t="str">
        <x:v>Unknown</x:v>
      </x:c>
      <x:c r="G47" s="6" t="str"/>
      <x:c r="H47" s="6" t="str"/>
      <x:c r="I47" s="6" t="str">
        <x:v>Unknown</x:v>
      </x:c>
      <x:c r="J47" s="6" t="str">
        <x:v>Unknown</x:v>
      </x:c>
      <x:c r="K47" s="6" t="str">
        <x:v>Unresolved</x:v>
      </x:c>
      <x:c r="L47" s="7" t="str">
        <x:v>Nocturnix_Master_Services_Catalog_v1.xlsx | 01 - Master Services | row 86</x:v>
      </x:c>
      <x:c r="M47" s="6" t="str"/>
      <x:c r="N47" s="6" t="str"/>
      <x:c r="O47" s="6" t="str">
        <x:v>Pending</x:v>
      </x:c>
      <x:c r="P47" s="7" t="str">
        <x:f>IF(OR(D47="Reviewer Complete",D47="Awaiting Second-Level Approval"),"","Service identity dependency unresolved")</x:f>
        <x:v>Service identity dependency unresolved</x:v>
      </x:c>
      <x:c r="Q47" s="6" t="str">
        <x:v>Yes</x:v>
      </x:c>
      <x:c r="R47" s="7" t="str"/>
    </x:row>
    <x:row r="48">
      <x:c r="A48" s="6" t="str">
        <x:v>MFRX-0047</x:v>
      </x:c>
      <x:c r="B48" s="6" t="str">
        <x:v>SVC000047</x:v>
      </x:c>
      <x:c r="C48" s="6" t="str">
        <x:v>SIDX-0047</x:v>
      </x:c>
      <x:c r="D48" s="6" t="str">
        <x:f>IFERROR(XLOOKUP(C48,'Review Sequence'!C2:C1586,'Review Sequence'!J2:J1586),"Dependency not found")</x:f>
        <x:v>Not Started</x:v>
      </x:c>
      <x:c r="E48" s="6" t="str">
        <x:v>MFR-LEGACY-001</x:v>
      </x:c>
      <x:c r="F48" s="6" t="str">
        <x:v>Unknown</x:v>
      </x:c>
      <x:c r="G48" s="6" t="str"/>
      <x:c r="H48" s="6" t="str"/>
      <x:c r="I48" s="6" t="str">
        <x:v>Unknown</x:v>
      </x:c>
      <x:c r="J48" s="6" t="str">
        <x:v>Unknown</x:v>
      </x:c>
      <x:c r="K48" s="6" t="str">
        <x:v>Unresolved</x:v>
      </x:c>
      <x:c r="L48" s="7" t="str">
        <x:v>Nocturnix_Master_Services_Catalog_v1.xlsx | 01 - Master Services | row 87</x:v>
      </x:c>
      <x:c r="M48" s="6" t="str"/>
      <x:c r="N48" s="6" t="str"/>
      <x:c r="O48" s="6" t="str">
        <x:v>Pending</x:v>
      </x:c>
      <x:c r="P48" s="7" t="str">
        <x:f>IF(OR(D48="Reviewer Complete",D48="Awaiting Second-Level Approval"),"","Service identity dependency unresolved")</x:f>
        <x:v>Service identity dependency unresolved</x:v>
      </x:c>
      <x:c r="Q48" s="6" t="str">
        <x:v>Yes</x:v>
      </x:c>
      <x:c r="R48" s="7" t="str"/>
    </x:row>
    <x:row r="49">
      <x:c r="A49" s="6" t="str">
        <x:v>MFRX-0048</x:v>
      </x:c>
      <x:c r="B49" s="6" t="str">
        <x:v>SVC000048</x:v>
      </x:c>
      <x:c r="C49" s="6" t="str">
        <x:v>SIDX-0048</x:v>
      </x:c>
      <x:c r="D49" s="6" t="str">
        <x:f>IFERROR(XLOOKUP(C49,'Review Sequence'!C2:C1586,'Review Sequence'!J2:J1586),"Dependency not found")</x:f>
        <x:v>Not Started</x:v>
      </x:c>
      <x:c r="E49" s="6" t="str">
        <x:v>MFR-LEGACY-001</x:v>
      </x:c>
      <x:c r="F49" s="6" t="str">
        <x:v>Unknown</x:v>
      </x:c>
      <x:c r="G49" s="6" t="str"/>
      <x:c r="H49" s="6" t="str"/>
      <x:c r="I49" s="6" t="str">
        <x:v>Unknown</x:v>
      </x:c>
      <x:c r="J49" s="6" t="str">
        <x:v>Unknown</x:v>
      </x:c>
      <x:c r="K49" s="6" t="str">
        <x:v>Unresolved</x:v>
      </x:c>
      <x:c r="L49" s="7" t="str">
        <x:v>Nocturnix_Master_Services_Catalog_v1.xlsx | 01 - Master Services | row 88</x:v>
      </x:c>
      <x:c r="M49" s="6" t="str"/>
      <x:c r="N49" s="6" t="str"/>
      <x:c r="O49" s="6" t="str">
        <x:v>Pending</x:v>
      </x:c>
      <x:c r="P49" s="7" t="str">
        <x:f>IF(OR(D49="Reviewer Complete",D49="Awaiting Second-Level Approval"),"","Service identity dependency unresolved")</x:f>
        <x:v>Service identity dependency unresolved</x:v>
      </x:c>
      <x:c r="Q49" s="6" t="str">
        <x:v>Yes</x:v>
      </x:c>
      <x:c r="R49" s="7" t="str"/>
    </x:row>
    <x:row r="50">
      <x:c r="A50" s="6" t="str">
        <x:v>MFRX-0049</x:v>
      </x:c>
      <x:c r="B50" s="6" t="str">
        <x:v>SVC000049</x:v>
      </x:c>
      <x:c r="C50" s="6" t="str">
        <x:v>SIDX-0049</x:v>
      </x:c>
      <x:c r="D50" s="6" t="str">
        <x:f>IFERROR(XLOOKUP(C50,'Review Sequence'!C2:C1586,'Review Sequence'!J2:J1586),"Dependency not found")</x:f>
        <x:v>Not Started</x:v>
      </x:c>
      <x:c r="E50" s="6" t="str">
        <x:v>MFR-LEGACY-001</x:v>
      </x:c>
      <x:c r="F50" s="6" t="str">
        <x:v>Unknown</x:v>
      </x:c>
      <x:c r="G50" s="6" t="str"/>
      <x:c r="H50" s="6" t="str"/>
      <x:c r="I50" s="6" t="str">
        <x:v>Unknown</x:v>
      </x:c>
      <x:c r="J50" s="6" t="str">
        <x:v>Unknown</x:v>
      </x:c>
      <x:c r="K50" s="6" t="str">
        <x:v>Unresolved</x:v>
      </x:c>
      <x:c r="L50" s="7" t="str">
        <x:v>Nocturnix_Master_Services_Catalog_v1.xlsx | 01 - Master Services | row 89</x:v>
      </x:c>
      <x:c r="M50" s="6" t="str"/>
      <x:c r="N50" s="6" t="str"/>
      <x:c r="O50" s="6" t="str">
        <x:v>Pending</x:v>
      </x:c>
      <x:c r="P50" s="7" t="str">
        <x:f>IF(OR(D50="Reviewer Complete",D50="Awaiting Second-Level Approval"),"","Service identity dependency unresolved")</x:f>
        <x:v>Service identity dependency unresolved</x:v>
      </x:c>
      <x:c r="Q50" s="6" t="str">
        <x:v>Yes</x:v>
      </x:c>
      <x:c r="R50" s="7" t="str"/>
    </x:row>
    <x:row r="51">
      <x:c r="A51" s="6" t="str">
        <x:v>MFRX-0050</x:v>
      </x:c>
      <x:c r="B51" s="6" t="str">
        <x:v>SVC000050</x:v>
      </x:c>
      <x:c r="C51" s="6" t="str">
        <x:v>SIDX-0050</x:v>
      </x:c>
      <x:c r="D51" s="6" t="str">
        <x:f>IFERROR(XLOOKUP(C51,'Review Sequence'!C2:C1586,'Review Sequence'!J2:J1586),"Dependency not found")</x:f>
        <x:v>Not Started</x:v>
      </x:c>
      <x:c r="E51" s="6" t="str">
        <x:v>MFR-LEGACY-001</x:v>
      </x:c>
      <x:c r="F51" s="6" t="str">
        <x:v>Unknown</x:v>
      </x:c>
      <x:c r="G51" s="6" t="str"/>
      <x:c r="H51" s="6" t="str"/>
      <x:c r="I51" s="6" t="str">
        <x:v>Unknown</x:v>
      </x:c>
      <x:c r="J51" s="6" t="str">
        <x:v>Unknown</x:v>
      </x:c>
      <x:c r="K51" s="6" t="str">
        <x:v>Unresolved</x:v>
      </x:c>
      <x:c r="L51" s="7" t="str">
        <x:v>Nocturnix_Master_Services_Catalog_v1.xlsx | 01 - Master Services | row 90</x:v>
      </x:c>
      <x:c r="M51" s="6" t="str"/>
      <x:c r="N51" s="6" t="str"/>
      <x:c r="O51" s="6" t="str">
        <x:v>Pending</x:v>
      </x:c>
      <x:c r="P51" s="7" t="str">
        <x:f>IF(OR(D51="Reviewer Complete",D51="Awaiting Second-Level Approval"),"","Service identity dependency unresolved")</x:f>
        <x:v>Service identity dependency unresolved</x:v>
      </x:c>
      <x:c r="Q51" s="6" t="str">
        <x:v>Yes</x:v>
      </x:c>
      <x:c r="R51" s="7" t="str"/>
    </x:row>
    <x:row r="52">
      <x:c r="A52" s="6" t="str">
        <x:v>MFRX-0051</x:v>
      </x:c>
      <x:c r="B52" s="6" t="str">
        <x:v>SVC000051</x:v>
      </x:c>
      <x:c r="C52" s="6" t="str">
        <x:v>SIDX-0051</x:v>
      </x:c>
      <x:c r="D52" s="6" t="str">
        <x:f>IFERROR(XLOOKUP(C52,'Review Sequence'!C2:C1586,'Review Sequence'!J2:J1586),"Dependency not found")</x:f>
        <x:v>Not Started</x:v>
      </x:c>
      <x:c r="E52" s="6" t="str">
        <x:v>MFR-LEGACY-001</x:v>
      </x:c>
      <x:c r="F52" s="6" t="str">
        <x:v>Unknown</x:v>
      </x:c>
      <x:c r="G52" s="6" t="str"/>
      <x:c r="H52" s="6" t="str"/>
      <x:c r="I52" s="6" t="str">
        <x:v>Unknown</x:v>
      </x:c>
      <x:c r="J52" s="6" t="str">
        <x:v>Unknown</x:v>
      </x:c>
      <x:c r="K52" s="6" t="str">
        <x:v>Unresolved</x:v>
      </x:c>
      <x:c r="L52" s="7" t="str">
        <x:v>Nocturnix_Master_Services_Catalog_v1.xlsx | 01 - Master Services | row 91</x:v>
      </x:c>
      <x:c r="M52" s="6" t="str"/>
      <x:c r="N52" s="6" t="str"/>
      <x:c r="O52" s="6" t="str">
        <x:v>Pending</x:v>
      </x:c>
      <x:c r="P52" s="7" t="str">
        <x:f>IF(OR(D52="Reviewer Complete",D52="Awaiting Second-Level Approval"),"","Service identity dependency unresolved")</x:f>
        <x:v>Service identity dependency unresolved</x:v>
      </x:c>
      <x:c r="Q52" s="6" t="str">
        <x:v>Yes</x:v>
      </x:c>
      <x:c r="R52" s="7" t="str"/>
    </x:row>
    <x:row r="53">
      <x:c r="A53" s="6" t="str">
        <x:v>MFRX-0052</x:v>
      </x:c>
      <x:c r="B53" s="6" t="str">
        <x:v>SVC000052</x:v>
      </x:c>
      <x:c r="C53" s="6" t="str">
        <x:v>SIDX-0052</x:v>
      </x:c>
      <x:c r="D53" s="6" t="str">
        <x:f>IFERROR(XLOOKUP(C53,'Review Sequence'!C2:C1586,'Review Sequence'!J2:J1586),"Dependency not found")</x:f>
        <x:v>Not Started</x:v>
      </x:c>
      <x:c r="E53" s="6" t="str">
        <x:v>MFR-LEGACY-001</x:v>
      </x:c>
      <x:c r="F53" s="6" t="str">
        <x:v>Unknown</x:v>
      </x:c>
      <x:c r="G53" s="6" t="str"/>
      <x:c r="H53" s="6" t="str"/>
      <x:c r="I53" s="6" t="str">
        <x:v>Unknown</x:v>
      </x:c>
      <x:c r="J53" s="6" t="str">
        <x:v>Unknown</x:v>
      </x:c>
      <x:c r="K53" s="6" t="str">
        <x:v>Unresolved</x:v>
      </x:c>
      <x:c r="L53" s="7" t="str">
        <x:v>Nocturnix_Master_Services_Catalog_v1.xlsx | 01 - Master Services | row 92</x:v>
      </x:c>
      <x:c r="M53" s="6" t="str"/>
      <x:c r="N53" s="6" t="str"/>
      <x:c r="O53" s="6" t="str">
        <x:v>Pending</x:v>
      </x:c>
      <x:c r="P53" s="7" t="str">
        <x:f>IF(OR(D53="Reviewer Complete",D53="Awaiting Second-Level Approval"),"","Service identity dependency unresolved")</x:f>
        <x:v>Service identity dependency unresolved</x:v>
      </x:c>
      <x:c r="Q53" s="6" t="str">
        <x:v>Yes</x:v>
      </x:c>
      <x:c r="R53" s="7" t="str"/>
    </x:row>
    <x:row r="54">
      <x:c r="A54" s="6" t="str">
        <x:v>MFRX-0053</x:v>
      </x:c>
      <x:c r="B54" s="6" t="str">
        <x:v>SVC000053</x:v>
      </x:c>
      <x:c r="C54" s="6" t="str">
        <x:v>SIDX-0053</x:v>
      </x:c>
      <x:c r="D54" s="6" t="str">
        <x:f>IFERROR(XLOOKUP(C54,'Review Sequence'!C2:C1586,'Review Sequence'!J2:J1586),"Dependency not found")</x:f>
        <x:v>Not Started</x:v>
      </x:c>
      <x:c r="E54" s="6" t="str">
        <x:v>MFR-LEGACY-001</x:v>
      </x:c>
      <x:c r="F54" s="6" t="str">
        <x:v>Unknown</x:v>
      </x:c>
      <x:c r="G54" s="6" t="str"/>
      <x:c r="H54" s="6" t="str"/>
      <x:c r="I54" s="6" t="str">
        <x:v>Unknown</x:v>
      </x:c>
      <x:c r="J54" s="6" t="str">
        <x:v>Unknown</x:v>
      </x:c>
      <x:c r="K54" s="6" t="str">
        <x:v>Unresolved</x:v>
      </x:c>
      <x:c r="L54" s="7" t="str">
        <x:v>Nocturnix_Master_Services_Catalog_v1.xlsx | 01 - Master Services | row 93</x:v>
      </x:c>
      <x:c r="M54" s="6" t="str"/>
      <x:c r="N54" s="6" t="str"/>
      <x:c r="O54" s="6" t="str">
        <x:v>Pending</x:v>
      </x:c>
      <x:c r="P54" s="7" t="str">
        <x:f>IF(OR(D54="Reviewer Complete",D54="Awaiting Second-Level Approval"),"","Service identity dependency unresolved")</x:f>
        <x:v>Service identity dependency unresolved</x:v>
      </x:c>
      <x:c r="Q54" s="6" t="str">
        <x:v>Yes</x:v>
      </x:c>
      <x:c r="R54" s="7" t="str"/>
    </x:row>
    <x:row r="55">
      <x:c r="A55" s="6" t="str">
        <x:v>MFRX-0054</x:v>
      </x:c>
      <x:c r="B55" s="6" t="str">
        <x:v>SVC000054</x:v>
      </x:c>
      <x:c r="C55" s="6" t="str">
        <x:v>SIDX-0054</x:v>
      </x:c>
      <x:c r="D55" s="6" t="str">
        <x:f>IFERROR(XLOOKUP(C55,'Review Sequence'!C2:C1586,'Review Sequence'!J2:J1586),"Dependency not found")</x:f>
        <x:v>Not Started</x:v>
      </x:c>
      <x:c r="E55" s="6" t="str">
        <x:v>MFR-LEGACY-001</x:v>
      </x:c>
      <x:c r="F55" s="6" t="str">
        <x:v>Unknown</x:v>
      </x:c>
      <x:c r="G55" s="6" t="str"/>
      <x:c r="H55" s="6" t="str"/>
      <x:c r="I55" s="6" t="str">
        <x:v>Unknown</x:v>
      </x:c>
      <x:c r="J55" s="6" t="str">
        <x:v>Unknown</x:v>
      </x:c>
      <x:c r="K55" s="6" t="str">
        <x:v>Unresolved</x:v>
      </x:c>
      <x:c r="L55" s="7" t="str">
        <x:v>Nocturnix_Master_Services_Catalog_v1.xlsx | 01 - Master Services | row 94</x:v>
      </x:c>
      <x:c r="M55" s="6" t="str"/>
      <x:c r="N55" s="6" t="str"/>
      <x:c r="O55" s="6" t="str">
        <x:v>Pending</x:v>
      </x:c>
      <x:c r="P55" s="7" t="str">
        <x:f>IF(OR(D55="Reviewer Complete",D55="Awaiting Second-Level Approval"),"","Service identity dependency unresolved")</x:f>
        <x:v>Service identity dependency unresolved</x:v>
      </x:c>
      <x:c r="Q55" s="6" t="str">
        <x:v>Yes</x:v>
      </x:c>
      <x:c r="R55" s="7" t="str"/>
    </x:row>
    <x:row r="56">
      <x:c r="A56" s="6" t="str">
        <x:v>MFRX-0055</x:v>
      </x:c>
      <x:c r="B56" s="6" t="str">
        <x:v>SVC000055</x:v>
      </x:c>
      <x:c r="C56" s="6" t="str">
        <x:v>SIDX-0055</x:v>
      </x:c>
      <x:c r="D56" s="6" t="str">
        <x:f>IFERROR(XLOOKUP(C56,'Review Sequence'!C2:C1586,'Review Sequence'!J2:J1586),"Dependency not found")</x:f>
        <x:v>Not Started</x:v>
      </x:c>
      <x:c r="E56" s="6" t="str">
        <x:v>MFR-LEGACY-001</x:v>
      </x:c>
      <x:c r="F56" s="6" t="str">
        <x:v>Unknown</x:v>
      </x:c>
      <x:c r="G56" s="6" t="str"/>
      <x:c r="H56" s="6" t="str"/>
      <x:c r="I56" s="6" t="str">
        <x:v>Unknown</x:v>
      </x:c>
      <x:c r="J56" s="6" t="str">
        <x:v>Unknown</x:v>
      </x:c>
      <x:c r="K56" s="6" t="str">
        <x:v>Unresolved</x:v>
      </x:c>
      <x:c r="L56" s="7" t="str">
        <x:v>Nocturnix_Master_Services_Catalog_v1.xlsx | 01 - Master Services | row 95</x:v>
      </x:c>
      <x:c r="M56" s="6" t="str"/>
      <x:c r="N56" s="6" t="str"/>
      <x:c r="O56" s="6" t="str">
        <x:v>Pending</x:v>
      </x:c>
      <x:c r="P56" s="7" t="str">
        <x:f>IF(OR(D56="Reviewer Complete",D56="Awaiting Second-Level Approval"),"","Service identity dependency unresolved")</x:f>
        <x:v>Service identity dependency unresolved</x:v>
      </x:c>
      <x:c r="Q56" s="6" t="str">
        <x:v>Yes</x:v>
      </x:c>
      <x:c r="R56" s="7" t="str"/>
    </x:row>
    <x:row r="57">
      <x:c r="A57" s="6" t="str">
        <x:v>MFRX-0056</x:v>
      </x:c>
      <x:c r="B57" s="6" t="str">
        <x:v>SVC000056</x:v>
      </x:c>
      <x:c r="C57" s="6" t="str">
        <x:v>SIDX-0056</x:v>
      </x:c>
      <x:c r="D57" s="6" t="str">
        <x:f>IFERROR(XLOOKUP(C57,'Review Sequence'!C2:C1586,'Review Sequence'!J2:J1586),"Dependency not found")</x:f>
        <x:v>Not Started</x:v>
      </x:c>
      <x:c r="E57" s="6" t="str">
        <x:v>MFR-LEGACY-001</x:v>
      </x:c>
      <x:c r="F57" s="6" t="str">
        <x:v>Unknown</x:v>
      </x:c>
      <x:c r="G57" s="6" t="str"/>
      <x:c r="H57" s="6" t="str"/>
      <x:c r="I57" s="6" t="str">
        <x:v>Unknown</x:v>
      </x:c>
      <x:c r="J57" s="6" t="str">
        <x:v>Unknown</x:v>
      </x:c>
      <x:c r="K57" s="6" t="str">
        <x:v>Unresolved</x:v>
      </x:c>
      <x:c r="L57" s="7" t="str">
        <x:v>Nocturnix_Master_Services_Catalog_v1.xlsx | 01 - Master Services | row 96</x:v>
      </x:c>
      <x:c r="M57" s="6" t="str"/>
      <x:c r="N57" s="6" t="str"/>
      <x:c r="O57" s="6" t="str">
        <x:v>Pending</x:v>
      </x:c>
      <x:c r="P57" s="7" t="str">
        <x:f>IF(OR(D57="Reviewer Complete",D57="Awaiting Second-Level Approval"),"","Service identity dependency unresolved")</x:f>
        <x:v>Service identity dependency unresolved</x:v>
      </x:c>
      <x:c r="Q57" s="6" t="str">
        <x:v>Yes</x:v>
      </x:c>
      <x:c r="R57" s="7" t="str"/>
    </x:row>
    <x:row r="58">
      <x:c r="A58" s="6" t="str">
        <x:v>MFRX-0057</x:v>
      </x:c>
      <x:c r="B58" s="6" t="str">
        <x:v>SVC000057</x:v>
      </x:c>
      <x:c r="C58" s="6" t="str">
        <x:v>SIDX-0057</x:v>
      </x:c>
      <x:c r="D58" s="6" t="str">
        <x:f>IFERROR(XLOOKUP(C58,'Review Sequence'!C2:C1586,'Review Sequence'!J2:J1586),"Dependency not found")</x:f>
        <x:v>Not Started</x:v>
      </x:c>
      <x:c r="E58" s="6" t="str">
        <x:v>MFR-LEGACY-001</x:v>
      </x:c>
      <x:c r="F58" s="6" t="str">
        <x:v>Unknown</x:v>
      </x:c>
      <x:c r="G58" s="6" t="str"/>
      <x:c r="H58" s="6" t="str"/>
      <x:c r="I58" s="6" t="str">
        <x:v>Unknown</x:v>
      </x:c>
      <x:c r="J58" s="6" t="str">
        <x:v>Unknown</x:v>
      </x:c>
      <x:c r="K58" s="6" t="str">
        <x:v>Unresolved</x:v>
      </x:c>
      <x:c r="L58" s="7" t="str">
        <x:v>Nocturnix_Master_Services_Catalog_v1.xlsx | 01 - Master Services | row 97</x:v>
      </x:c>
      <x:c r="M58" s="6" t="str"/>
      <x:c r="N58" s="6" t="str"/>
      <x:c r="O58" s="6" t="str">
        <x:v>Pending</x:v>
      </x:c>
      <x:c r="P58" s="7" t="str">
        <x:f>IF(OR(D58="Reviewer Complete",D58="Awaiting Second-Level Approval"),"","Service identity dependency unresolved")</x:f>
        <x:v>Service identity dependency unresolved</x:v>
      </x:c>
      <x:c r="Q58" s="6" t="str">
        <x:v>Yes</x:v>
      </x:c>
      <x:c r="R58" s="7" t="str"/>
    </x:row>
    <x:row r="59">
      <x:c r="A59" s="6" t="str">
        <x:v>MFRX-0058</x:v>
      </x:c>
      <x:c r="B59" s="6" t="str">
        <x:v>SVC000058</x:v>
      </x:c>
      <x:c r="C59" s="6" t="str">
        <x:v>SIDX-0058</x:v>
      </x:c>
      <x:c r="D59" s="6" t="str">
        <x:f>IFERROR(XLOOKUP(C59,'Review Sequence'!C2:C1586,'Review Sequence'!J2:J1586),"Dependency not found")</x:f>
        <x:v>Not Started</x:v>
      </x:c>
      <x:c r="E59" s="6" t="str">
        <x:v>MFR-LEGACY-001</x:v>
      </x:c>
      <x:c r="F59" s="6" t="str">
        <x:v>Unknown</x:v>
      </x:c>
      <x:c r="G59" s="6" t="str"/>
      <x:c r="H59" s="6" t="str"/>
      <x:c r="I59" s="6" t="str">
        <x:v>Unknown</x:v>
      </x:c>
      <x:c r="J59" s="6" t="str">
        <x:v>Unknown</x:v>
      </x:c>
      <x:c r="K59" s="6" t="str">
        <x:v>Unresolved</x:v>
      </x:c>
      <x:c r="L59" s="7" t="str">
        <x:v>Nocturnix_Master_Services_Catalog_v1.xlsx | 01 - Master Services | row 98</x:v>
      </x:c>
      <x:c r="M59" s="6" t="str"/>
      <x:c r="N59" s="6" t="str"/>
      <x:c r="O59" s="6" t="str">
        <x:v>Pending</x:v>
      </x:c>
      <x:c r="P59" s="7" t="str">
        <x:f>IF(OR(D59="Reviewer Complete",D59="Awaiting Second-Level Approval"),"","Service identity dependency unresolved")</x:f>
        <x:v>Service identity dependency unresolved</x:v>
      </x:c>
      <x:c r="Q59" s="6" t="str">
        <x:v>Yes</x:v>
      </x:c>
      <x:c r="R59" s="7" t="str"/>
    </x:row>
    <x:row r="60">
      <x:c r="A60" s="6" t="str">
        <x:v>MFRX-0059</x:v>
      </x:c>
      <x:c r="B60" s="6" t="str">
        <x:v>SVC000059</x:v>
      </x:c>
      <x:c r="C60" s="6" t="str">
        <x:v>SIDX-0059</x:v>
      </x:c>
      <x:c r="D60" s="6" t="str">
        <x:f>IFERROR(XLOOKUP(C60,'Review Sequence'!C2:C1586,'Review Sequence'!J2:J1586),"Dependency not found")</x:f>
        <x:v>Not Started</x:v>
      </x:c>
      <x:c r="E60" s="6" t="str">
        <x:v>MFR-LEGACY-001</x:v>
      </x:c>
      <x:c r="F60" s="6" t="str">
        <x:v>Unknown</x:v>
      </x:c>
      <x:c r="G60" s="6" t="str"/>
      <x:c r="H60" s="6" t="str"/>
      <x:c r="I60" s="6" t="str">
        <x:v>Unknown</x:v>
      </x:c>
      <x:c r="J60" s="6" t="str">
        <x:v>Unknown</x:v>
      </x:c>
      <x:c r="K60" s="6" t="str">
        <x:v>Unresolved</x:v>
      </x:c>
      <x:c r="L60" s="7" t="str">
        <x:v>Nocturnix_Master_Services_Catalog_v1.xlsx | 01 - Master Services | row 99</x:v>
      </x:c>
      <x:c r="M60" s="6" t="str"/>
      <x:c r="N60" s="6" t="str"/>
      <x:c r="O60" s="6" t="str">
        <x:v>Pending</x:v>
      </x:c>
      <x:c r="P60" s="7" t="str">
        <x:f>IF(OR(D60="Reviewer Complete",D60="Awaiting Second-Level Approval"),"","Service identity dependency unresolved")</x:f>
        <x:v>Service identity dependency unresolved</x:v>
      </x:c>
      <x:c r="Q60" s="6" t="str">
        <x:v>Yes</x:v>
      </x:c>
      <x:c r="R60" s="7" t="str"/>
    </x:row>
    <x:row r="61">
      <x:c r="A61" s="6" t="str">
        <x:v>MFRX-0060</x:v>
      </x:c>
      <x:c r="B61" s="6" t="str">
        <x:v>SVC000060</x:v>
      </x:c>
      <x:c r="C61" s="6" t="str">
        <x:v>SIDX-0060</x:v>
      </x:c>
      <x:c r="D61" s="6" t="str">
        <x:f>IFERROR(XLOOKUP(C61,'Review Sequence'!C2:C1586,'Review Sequence'!J2:J1586),"Dependency not found")</x:f>
        <x:v>Not Started</x:v>
      </x:c>
      <x:c r="E61" s="6" t="str">
        <x:v>MFR-LEGACY-001</x:v>
      </x:c>
      <x:c r="F61" s="6" t="str">
        <x:v>Unknown</x:v>
      </x:c>
      <x:c r="G61" s="6" t="str"/>
      <x:c r="H61" s="6" t="str"/>
      <x:c r="I61" s="6" t="str">
        <x:v>Unknown</x:v>
      </x:c>
      <x:c r="J61" s="6" t="str">
        <x:v>Unknown</x:v>
      </x:c>
      <x:c r="K61" s="6" t="str">
        <x:v>Unresolved</x:v>
      </x:c>
      <x:c r="L61" s="7" t="str">
        <x:v>Nocturnix_Master_Services_Catalog_v1.xlsx | 01 - Master Services | row 100</x:v>
      </x:c>
      <x:c r="M61" s="6" t="str"/>
      <x:c r="N61" s="6" t="str"/>
      <x:c r="O61" s="6" t="str">
        <x:v>Pending</x:v>
      </x:c>
      <x:c r="P61" s="7" t="str">
        <x:f>IF(OR(D61="Reviewer Complete",D61="Awaiting Second-Level Approval"),"","Service identity dependency unresolved")</x:f>
        <x:v>Service identity dependency unresolved</x:v>
      </x:c>
      <x:c r="Q61" s="6" t="str">
        <x:v>Yes</x:v>
      </x:c>
      <x:c r="R61" s="7" t="str"/>
    </x:row>
    <x:row r="62">
      <x:c r="A62" s="6" t="str">
        <x:v>MFRX-0061</x:v>
      </x:c>
      <x:c r="B62" s="6" t="str">
        <x:v>SVC000061</x:v>
      </x:c>
      <x:c r="C62" s="6" t="str">
        <x:v>SIDX-0061</x:v>
      </x:c>
      <x:c r="D62" s="6" t="str">
        <x:f>IFERROR(XLOOKUP(C62,'Review Sequence'!C2:C1586,'Review Sequence'!J2:J1586),"Dependency not found")</x:f>
        <x:v>Not Started</x:v>
      </x:c>
      <x:c r="E62" s="6" t="str">
        <x:v>MFR-LEGACY-001</x:v>
      </x:c>
      <x:c r="F62" s="6" t="str">
        <x:v>Unknown</x:v>
      </x:c>
      <x:c r="G62" s="6" t="str"/>
      <x:c r="H62" s="6" t="str"/>
      <x:c r="I62" s="6" t="str">
        <x:v>Unknown</x:v>
      </x:c>
      <x:c r="J62" s="6" t="str">
        <x:v>Unknown</x:v>
      </x:c>
      <x:c r="K62" s="6" t="str">
        <x:v>Unresolved</x:v>
      </x:c>
      <x:c r="L62" s="7" t="str">
        <x:v>Nocturnix_Master_Services_Catalog_v1.xlsx | 01 - Master Services | row 101</x:v>
      </x:c>
      <x:c r="M62" s="6" t="str"/>
      <x:c r="N62" s="6" t="str"/>
      <x:c r="O62" s="6" t="str">
        <x:v>Pending</x:v>
      </x:c>
      <x:c r="P62" s="7" t="str">
        <x:f>IF(OR(D62="Reviewer Complete",D62="Awaiting Second-Level Approval"),"","Service identity dependency unresolved")</x:f>
        <x:v>Service identity dependency unresolved</x:v>
      </x:c>
      <x:c r="Q62" s="6" t="str">
        <x:v>Yes</x:v>
      </x:c>
      <x:c r="R62" s="7" t="str"/>
    </x:row>
    <x:row r="63">
      <x:c r="A63" s="6" t="str">
        <x:v>MFRX-0062</x:v>
      </x:c>
      <x:c r="B63" s="6" t="str">
        <x:v>SVC000062</x:v>
      </x:c>
      <x:c r="C63" s="6" t="str">
        <x:v>SIDX-0062</x:v>
      </x:c>
      <x:c r="D63" s="6" t="str">
        <x:f>IFERROR(XLOOKUP(C63,'Review Sequence'!C2:C1586,'Review Sequence'!J2:J1586),"Dependency not found")</x:f>
        <x:v>Not Started</x:v>
      </x:c>
      <x:c r="E63" s="6" t="str">
        <x:v>MFR-LEGACY-001</x:v>
      </x:c>
      <x:c r="F63" s="6" t="str">
        <x:v>Unknown</x:v>
      </x:c>
      <x:c r="G63" s="6" t="str"/>
      <x:c r="H63" s="6" t="str"/>
      <x:c r="I63" s="6" t="str">
        <x:v>Unknown</x:v>
      </x:c>
      <x:c r="J63" s="6" t="str">
        <x:v>Unknown</x:v>
      </x:c>
      <x:c r="K63" s="6" t="str">
        <x:v>Unresolved</x:v>
      </x:c>
      <x:c r="L63" s="7" t="str">
        <x:v>Nocturnix_Master_Services_Catalog_v1.xlsx | 01 - Master Services | row 102</x:v>
      </x:c>
      <x:c r="M63" s="6" t="str"/>
      <x:c r="N63" s="6" t="str"/>
      <x:c r="O63" s="6" t="str">
        <x:v>Pending</x:v>
      </x:c>
      <x:c r="P63" s="7" t="str">
        <x:f>IF(OR(D63="Reviewer Complete",D63="Awaiting Second-Level Approval"),"","Service identity dependency unresolved")</x:f>
        <x:v>Service identity dependency unresolved</x:v>
      </x:c>
      <x:c r="Q63" s="6" t="str">
        <x:v>Yes</x:v>
      </x:c>
      <x:c r="R63" s="7" t="str"/>
    </x:row>
    <x:row r="64">
      <x:c r="A64" s="6" t="str">
        <x:v>MFRX-0063</x:v>
      </x:c>
      <x:c r="B64" s="6" t="str">
        <x:v>SVC000063</x:v>
      </x:c>
      <x:c r="C64" s="6" t="str">
        <x:v>SIDX-0063</x:v>
      </x:c>
      <x:c r="D64" s="6" t="str">
        <x:f>IFERROR(XLOOKUP(C64,'Review Sequence'!C2:C1586,'Review Sequence'!J2:J1586),"Dependency not found")</x:f>
        <x:v>Not Started</x:v>
      </x:c>
      <x:c r="E64" s="6" t="str">
        <x:v>MFR-LEGACY-001</x:v>
      </x:c>
      <x:c r="F64" s="6" t="str">
        <x:v>Unknown</x:v>
      </x:c>
      <x:c r="G64" s="6" t="str"/>
      <x:c r="H64" s="6" t="str"/>
      <x:c r="I64" s="6" t="str">
        <x:v>Unknown</x:v>
      </x:c>
      <x:c r="J64" s="6" t="str">
        <x:v>Unknown</x:v>
      </x:c>
      <x:c r="K64" s="6" t="str">
        <x:v>Unresolved</x:v>
      </x:c>
      <x:c r="L64" s="7" t="str">
        <x:v>Nocturnix_Master_Services_Catalog_v1.xlsx | 01 - Master Services | row 103</x:v>
      </x:c>
      <x:c r="M64" s="6" t="str"/>
      <x:c r="N64" s="6" t="str"/>
      <x:c r="O64" s="6" t="str">
        <x:v>Pending</x:v>
      </x:c>
      <x:c r="P64" s="7" t="str">
        <x:f>IF(OR(D64="Reviewer Complete",D64="Awaiting Second-Level Approval"),"","Service identity dependency unresolved")</x:f>
        <x:v>Service identity dependency unresolved</x:v>
      </x:c>
      <x:c r="Q64" s="6" t="str">
        <x:v>Yes</x:v>
      </x:c>
      <x:c r="R64" s="7" t="str"/>
    </x:row>
    <x:row r="65">
      <x:c r="A65" s="6" t="str">
        <x:v>MFRX-0064</x:v>
      </x:c>
      <x:c r="B65" s="6" t="str">
        <x:v>SVC000064</x:v>
      </x:c>
      <x:c r="C65" s="6" t="str">
        <x:v>SIDX-0064</x:v>
      </x:c>
      <x:c r="D65" s="6" t="str">
        <x:f>IFERROR(XLOOKUP(C65,'Review Sequence'!C2:C1586,'Review Sequence'!J2:J1586),"Dependency not found")</x:f>
        <x:v>Not Started</x:v>
      </x:c>
      <x:c r="E65" s="6" t="str">
        <x:v>MFR-LEGACY-001</x:v>
      </x:c>
      <x:c r="F65" s="6" t="str">
        <x:v>Unknown</x:v>
      </x:c>
      <x:c r="G65" s="6" t="str"/>
      <x:c r="H65" s="6" t="str"/>
      <x:c r="I65" s="6" t="str">
        <x:v>Unknown</x:v>
      </x:c>
      <x:c r="J65" s="6" t="str">
        <x:v>Unknown</x:v>
      </x:c>
      <x:c r="K65" s="6" t="str">
        <x:v>Unresolved</x:v>
      </x:c>
      <x:c r="L65" s="7" t="str">
        <x:v>Nocturnix_Master_Services_Catalog_v1.xlsx | 01 - Master Services | row 104</x:v>
      </x:c>
      <x:c r="M65" s="6" t="str"/>
      <x:c r="N65" s="6" t="str"/>
      <x:c r="O65" s="6" t="str">
        <x:v>Pending</x:v>
      </x:c>
      <x:c r="P65" s="7" t="str">
        <x:f>IF(OR(D65="Reviewer Complete",D65="Awaiting Second-Level Approval"),"","Service identity dependency unresolved")</x:f>
        <x:v>Service identity dependency unresolved</x:v>
      </x:c>
      <x:c r="Q65" s="6" t="str">
        <x:v>Yes</x:v>
      </x:c>
      <x:c r="R65" s="7" t="str"/>
    </x:row>
    <x:row r="66">
      <x:c r="A66" s="6" t="str">
        <x:v>MFRX-0065</x:v>
      </x:c>
      <x:c r="B66" s="6" t="str">
        <x:v>SVC000065</x:v>
      </x:c>
      <x:c r="C66" s="6" t="str">
        <x:v>SIDX-0065</x:v>
      </x:c>
      <x:c r="D66" s="6" t="str">
        <x:f>IFERROR(XLOOKUP(C66,'Review Sequence'!C2:C1586,'Review Sequence'!J2:J1586),"Dependency not found")</x:f>
        <x:v>Not Started</x:v>
      </x:c>
      <x:c r="E66" s="6" t="str">
        <x:v>MFR-LEGACY-001</x:v>
      </x:c>
      <x:c r="F66" s="6" t="str">
        <x:v>Unknown</x:v>
      </x:c>
      <x:c r="G66" s="6" t="str"/>
      <x:c r="H66" s="6" t="str"/>
      <x:c r="I66" s="6" t="str">
        <x:v>Unknown</x:v>
      </x:c>
      <x:c r="J66" s="6" t="str">
        <x:v>Unknown</x:v>
      </x:c>
      <x:c r="K66" s="6" t="str">
        <x:v>Unresolved</x:v>
      </x:c>
      <x:c r="L66" s="7" t="str">
        <x:v>Nocturnix_Master_Services_Catalog_v1.xlsx | 01 - Master Services | row 105</x:v>
      </x:c>
      <x:c r="M66" s="6" t="str"/>
      <x:c r="N66" s="6" t="str"/>
      <x:c r="O66" s="6" t="str">
        <x:v>Pending</x:v>
      </x:c>
      <x:c r="P66" s="7" t="str">
        <x:f>IF(OR(D66="Reviewer Complete",D66="Awaiting Second-Level Approval"),"","Service identity dependency unresolved")</x:f>
        <x:v>Service identity dependency unresolved</x:v>
      </x:c>
      <x:c r="Q66" s="6" t="str">
        <x:v>Yes</x:v>
      </x:c>
      <x:c r="R66" s="7" t="str"/>
    </x:row>
    <x:row r="67">
      <x:c r="A67" s="6" t="str">
        <x:v>MFRX-0066</x:v>
      </x:c>
      <x:c r="B67" s="6" t="str">
        <x:v>SVC000066</x:v>
      </x:c>
      <x:c r="C67" s="6" t="str">
        <x:v>SIDX-0066</x:v>
      </x:c>
      <x:c r="D67" s="6" t="str">
        <x:f>IFERROR(XLOOKUP(C67,'Review Sequence'!C2:C1586,'Review Sequence'!J2:J1586),"Dependency not found")</x:f>
        <x:v>Not Started</x:v>
      </x:c>
      <x:c r="E67" s="6" t="str">
        <x:v>MFR-LEGACY-001</x:v>
      </x:c>
      <x:c r="F67" s="6" t="str">
        <x:v>Unknown</x:v>
      </x:c>
      <x:c r="G67" s="6" t="str"/>
      <x:c r="H67" s="6" t="str"/>
      <x:c r="I67" s="6" t="str">
        <x:v>Unknown</x:v>
      </x:c>
      <x:c r="J67" s="6" t="str">
        <x:v>Unknown</x:v>
      </x:c>
      <x:c r="K67" s="6" t="str">
        <x:v>Unresolved</x:v>
      </x:c>
      <x:c r="L67" s="7" t="str">
        <x:v>Nocturnix_Master_Services_Catalog_v1.xlsx | 01 - Master Services | row 106</x:v>
      </x:c>
      <x:c r="M67" s="6" t="str"/>
      <x:c r="N67" s="6" t="str"/>
      <x:c r="O67" s="6" t="str">
        <x:v>Pending</x:v>
      </x:c>
      <x:c r="P67" s="7" t="str">
        <x:f>IF(OR(D67="Reviewer Complete",D67="Awaiting Second-Level Approval"),"","Service identity dependency unresolved")</x:f>
        <x:v>Service identity dependency unresolved</x:v>
      </x:c>
      <x:c r="Q67" s="6" t="str">
        <x:v>Yes</x:v>
      </x:c>
      <x:c r="R67" s="7" t="str"/>
    </x:row>
    <x:row r="68">
      <x:c r="A68" s="6" t="str">
        <x:v>MFRX-0067</x:v>
      </x:c>
      <x:c r="B68" s="6" t="str">
        <x:v>SVC000067</x:v>
      </x:c>
      <x:c r="C68" s="6" t="str">
        <x:v>SIDX-0067</x:v>
      </x:c>
      <x:c r="D68" s="6" t="str">
        <x:f>IFERROR(XLOOKUP(C68,'Review Sequence'!C2:C1586,'Review Sequence'!J2:J1586),"Dependency not found")</x:f>
        <x:v>Not Started</x:v>
      </x:c>
      <x:c r="E68" s="6" t="str">
        <x:v>MFR-LEGACY-001</x:v>
      </x:c>
      <x:c r="F68" s="6" t="str">
        <x:v>Unknown</x:v>
      </x:c>
      <x:c r="G68" s="6" t="str"/>
      <x:c r="H68" s="6" t="str"/>
      <x:c r="I68" s="6" t="str">
        <x:v>Unknown</x:v>
      </x:c>
      <x:c r="J68" s="6" t="str">
        <x:v>Unknown</x:v>
      </x:c>
      <x:c r="K68" s="6" t="str">
        <x:v>Unresolved</x:v>
      </x:c>
      <x:c r="L68" s="7" t="str">
        <x:v>Nocturnix_Master_Services_Catalog_v1.xlsx | 01 - Master Services | row 107</x:v>
      </x:c>
      <x:c r="M68" s="6" t="str"/>
      <x:c r="N68" s="6" t="str"/>
      <x:c r="O68" s="6" t="str">
        <x:v>Pending</x:v>
      </x:c>
      <x:c r="P68" s="7" t="str">
        <x:f>IF(OR(D68="Reviewer Complete",D68="Awaiting Second-Level Approval"),"","Service identity dependency unresolved")</x:f>
        <x:v>Service identity dependency unresolved</x:v>
      </x:c>
      <x:c r="Q68" s="6" t="str">
        <x:v>Yes</x:v>
      </x:c>
      <x:c r="R68" s="7" t="str"/>
    </x:row>
    <x:row r="69">
      <x:c r="A69" s="6" t="str">
        <x:v>MFRX-0068</x:v>
      </x:c>
      <x:c r="B69" s="6" t="str">
        <x:v>SVC000068</x:v>
      </x:c>
      <x:c r="C69" s="6" t="str">
        <x:v>SIDX-0068</x:v>
      </x:c>
      <x:c r="D69" s="6" t="str">
        <x:f>IFERROR(XLOOKUP(C69,'Review Sequence'!C2:C1586,'Review Sequence'!J2:J1586),"Dependency not found")</x:f>
        <x:v>Not Started</x:v>
      </x:c>
      <x:c r="E69" s="6" t="str">
        <x:v>MFR-LEGACY-001</x:v>
      </x:c>
      <x:c r="F69" s="6" t="str">
        <x:v>Unknown</x:v>
      </x:c>
      <x:c r="G69" s="6" t="str"/>
      <x:c r="H69" s="6" t="str"/>
      <x:c r="I69" s="6" t="str">
        <x:v>Unknown</x:v>
      </x:c>
      <x:c r="J69" s="6" t="str">
        <x:v>Unknown</x:v>
      </x:c>
      <x:c r="K69" s="6" t="str">
        <x:v>Unresolved</x:v>
      </x:c>
      <x:c r="L69" s="7" t="str">
        <x:v>Nocturnix_Master_Services_Catalog_v1.xlsx | 01 - Master Services | row 108</x:v>
      </x:c>
      <x:c r="M69" s="6" t="str"/>
      <x:c r="N69" s="6" t="str"/>
      <x:c r="O69" s="6" t="str">
        <x:v>Pending</x:v>
      </x:c>
      <x:c r="P69" s="7" t="str">
        <x:f>IF(OR(D69="Reviewer Complete",D69="Awaiting Second-Level Approval"),"","Service identity dependency unresolved")</x:f>
        <x:v>Service identity dependency unresolved</x:v>
      </x:c>
      <x:c r="Q69" s="6" t="str">
        <x:v>Yes</x:v>
      </x:c>
      <x:c r="R69" s="7" t="str"/>
    </x:row>
    <x:row r="70">
      <x:c r="A70" s="6" t="str">
        <x:v>MFRX-0069</x:v>
      </x:c>
      <x:c r="B70" s="6" t="str">
        <x:v>SVC000069</x:v>
      </x:c>
      <x:c r="C70" s="6" t="str">
        <x:v>SIDX-0069</x:v>
      </x:c>
      <x:c r="D70" s="6" t="str">
        <x:f>IFERROR(XLOOKUP(C70,'Review Sequence'!C2:C1586,'Review Sequence'!J2:J1586),"Dependency not found")</x:f>
        <x:v>Not Started</x:v>
      </x:c>
      <x:c r="E70" s="6" t="str">
        <x:v>MFR-LEGACY-001</x:v>
      </x:c>
      <x:c r="F70" s="6" t="str">
        <x:v>Unknown</x:v>
      </x:c>
      <x:c r="G70" s="6" t="str"/>
      <x:c r="H70" s="6" t="str"/>
      <x:c r="I70" s="6" t="str">
        <x:v>Unknown</x:v>
      </x:c>
      <x:c r="J70" s="6" t="str">
        <x:v>Unknown</x:v>
      </x:c>
      <x:c r="K70" s="6" t="str">
        <x:v>Unresolved</x:v>
      </x:c>
      <x:c r="L70" s="7" t="str">
        <x:v>Nocturnix_Master_Services_Catalog_v1.xlsx | 01 - Master Services | row 109</x:v>
      </x:c>
      <x:c r="M70" s="6" t="str"/>
      <x:c r="N70" s="6" t="str"/>
      <x:c r="O70" s="6" t="str">
        <x:v>Pending</x:v>
      </x:c>
      <x:c r="P70" s="7" t="str">
        <x:f>IF(OR(D70="Reviewer Complete",D70="Awaiting Second-Level Approval"),"","Service identity dependency unresolved")</x:f>
        <x:v>Service identity dependency unresolved</x:v>
      </x:c>
      <x:c r="Q70" s="6" t="str">
        <x:v>Yes</x:v>
      </x:c>
      <x:c r="R70" s="7" t="str"/>
    </x:row>
    <x:row r="71">
      <x:c r="A71" s="6" t="str">
        <x:v>MFRX-0070</x:v>
      </x:c>
      <x:c r="B71" s="6" t="str">
        <x:v>SVC000070</x:v>
      </x:c>
      <x:c r="C71" s="6" t="str">
        <x:v>SIDX-0070</x:v>
      </x:c>
      <x:c r="D71" s="6" t="str">
        <x:f>IFERROR(XLOOKUP(C71,'Review Sequence'!C2:C1586,'Review Sequence'!J2:J1586),"Dependency not found")</x:f>
        <x:v>Not Started</x:v>
      </x:c>
      <x:c r="E71" s="6" t="str">
        <x:v>MFR-LEGACY-001</x:v>
      </x:c>
      <x:c r="F71" s="6" t="str">
        <x:v>Unknown</x:v>
      </x:c>
      <x:c r="G71" s="6" t="str"/>
      <x:c r="H71" s="6" t="str"/>
      <x:c r="I71" s="6" t="str">
        <x:v>Unknown</x:v>
      </x:c>
      <x:c r="J71" s="6" t="str">
        <x:v>Unknown</x:v>
      </x:c>
      <x:c r="K71" s="6" t="str">
        <x:v>Unresolved</x:v>
      </x:c>
      <x:c r="L71" s="7" t="str">
        <x:v>Nocturnix_Master_Services_Catalog_v1.xlsx | 01 - Master Services | row 110</x:v>
      </x:c>
      <x:c r="M71" s="6" t="str"/>
      <x:c r="N71" s="6" t="str"/>
      <x:c r="O71" s="6" t="str">
        <x:v>Pending</x:v>
      </x:c>
      <x:c r="P71" s="7" t="str">
        <x:f>IF(OR(D71="Reviewer Complete",D71="Awaiting Second-Level Approval"),"","Service identity dependency unresolved")</x:f>
        <x:v>Service identity dependency unresolved</x:v>
      </x:c>
      <x:c r="Q71" s="6" t="str">
        <x:v>Yes</x:v>
      </x:c>
      <x:c r="R71" s="7" t="str"/>
    </x:row>
    <x:row r="72">
      <x:c r="A72" s="6" t="str">
        <x:v>MFRX-0071</x:v>
      </x:c>
      <x:c r="B72" s="6" t="str">
        <x:v>SVC000071</x:v>
      </x:c>
      <x:c r="C72" s="6" t="str">
        <x:v>SIDX-0071</x:v>
      </x:c>
      <x:c r="D72" s="6" t="str">
        <x:f>IFERROR(XLOOKUP(C72,'Review Sequence'!C2:C1586,'Review Sequence'!J2:J1586),"Dependency not found")</x:f>
        <x:v>Not Started</x:v>
      </x:c>
      <x:c r="E72" s="6" t="str">
        <x:v>MFR-LEGACY-001</x:v>
      </x:c>
      <x:c r="F72" s="6" t="str">
        <x:v>Unknown</x:v>
      </x:c>
      <x:c r="G72" s="6" t="str"/>
      <x:c r="H72" s="6" t="str"/>
      <x:c r="I72" s="6" t="str">
        <x:v>Unknown</x:v>
      </x:c>
      <x:c r="J72" s="6" t="str">
        <x:v>Unknown</x:v>
      </x:c>
      <x:c r="K72" s="6" t="str">
        <x:v>Unresolved</x:v>
      </x:c>
      <x:c r="L72" s="7" t="str">
        <x:v>Nocturnix_Master_Services_Catalog_v1.xlsx | 01 - Master Services | row 111</x:v>
      </x:c>
      <x:c r="M72" s="6" t="str"/>
      <x:c r="N72" s="6" t="str"/>
      <x:c r="O72" s="6" t="str">
        <x:v>Pending</x:v>
      </x:c>
      <x:c r="P72" s="7" t="str">
        <x:f>IF(OR(D72="Reviewer Complete",D72="Awaiting Second-Level Approval"),"","Service identity dependency unresolved")</x:f>
        <x:v>Service identity dependency unresolved</x:v>
      </x:c>
      <x:c r="Q72" s="6" t="str">
        <x:v>Yes</x:v>
      </x:c>
      <x:c r="R72" s="7" t="str"/>
    </x:row>
    <x:row r="73">
      <x:c r="A73" s="6" t="str">
        <x:v>MFRX-0072</x:v>
      </x:c>
      <x:c r="B73" s="6" t="str">
        <x:v>SVC000072</x:v>
      </x:c>
      <x:c r="C73" s="6" t="str">
        <x:v>SIDX-0072</x:v>
      </x:c>
      <x:c r="D73" s="6" t="str">
        <x:f>IFERROR(XLOOKUP(C73,'Review Sequence'!C2:C1586,'Review Sequence'!J2:J1586),"Dependency not found")</x:f>
        <x:v>Not Started</x:v>
      </x:c>
      <x:c r="E73" s="6" t="str">
        <x:v>MFR-LEGACY-001</x:v>
      </x:c>
      <x:c r="F73" s="6" t="str">
        <x:v>Unknown</x:v>
      </x:c>
      <x:c r="G73" s="6" t="str"/>
      <x:c r="H73" s="6" t="str"/>
      <x:c r="I73" s="6" t="str">
        <x:v>Unknown</x:v>
      </x:c>
      <x:c r="J73" s="6" t="str">
        <x:v>Unknown</x:v>
      </x:c>
      <x:c r="K73" s="6" t="str">
        <x:v>Unresolved</x:v>
      </x:c>
      <x:c r="L73" s="7" t="str">
        <x:v>Nocturnix_Master_Services_Catalog_v1.xlsx | 01 - Master Services | row 112</x:v>
      </x:c>
      <x:c r="M73" s="6" t="str"/>
      <x:c r="N73" s="6" t="str"/>
      <x:c r="O73" s="6" t="str">
        <x:v>Pending</x:v>
      </x:c>
      <x:c r="P73" s="7" t="str">
        <x:f>IF(OR(D73="Reviewer Complete",D73="Awaiting Second-Level Approval"),"","Service identity dependency unresolved")</x:f>
        <x:v>Service identity dependency unresolved</x:v>
      </x:c>
      <x:c r="Q73" s="6" t="str">
        <x:v>Yes</x:v>
      </x:c>
      <x:c r="R73" s="7" t="str"/>
    </x:row>
    <x:row r="74">
      <x:c r="A74" s="6" t="str">
        <x:v>MFRX-0073</x:v>
      </x:c>
      <x:c r="B74" s="6" t="str">
        <x:v>SVC000073</x:v>
      </x:c>
      <x:c r="C74" s="6" t="str">
        <x:v>SIDX-0073</x:v>
      </x:c>
      <x:c r="D74" s="6" t="str">
        <x:f>IFERROR(XLOOKUP(C74,'Review Sequence'!C2:C1586,'Review Sequence'!J2:J1586),"Dependency not found")</x:f>
        <x:v>Not Started</x:v>
      </x:c>
      <x:c r="E74" s="6" t="str">
        <x:v>MFR-LEGACY-001</x:v>
      </x:c>
      <x:c r="F74" s="6" t="str">
        <x:v>Unknown</x:v>
      </x:c>
      <x:c r="G74" s="6" t="str"/>
      <x:c r="H74" s="6" t="str"/>
      <x:c r="I74" s="6" t="str">
        <x:v>Unknown</x:v>
      </x:c>
      <x:c r="J74" s="6" t="str">
        <x:v>Unknown</x:v>
      </x:c>
      <x:c r="K74" s="6" t="str">
        <x:v>Unresolved</x:v>
      </x:c>
      <x:c r="L74" s="7" t="str">
        <x:v>Nocturnix_Master_Services_Catalog_v1.xlsx | 01 - Master Services | row 113</x:v>
      </x:c>
      <x:c r="M74" s="6" t="str"/>
      <x:c r="N74" s="6" t="str"/>
      <x:c r="O74" s="6" t="str">
        <x:v>Pending</x:v>
      </x:c>
      <x:c r="P74" s="7" t="str">
        <x:f>IF(OR(D74="Reviewer Complete",D74="Awaiting Second-Level Approval"),"","Service identity dependency unresolved")</x:f>
        <x:v>Service identity dependency unresolved</x:v>
      </x:c>
      <x:c r="Q74" s="6" t="str">
        <x:v>Yes</x:v>
      </x:c>
      <x:c r="R74" s="7" t="str"/>
    </x:row>
    <x:row r="75">
      <x:c r="A75" s="6" t="str">
        <x:v>MFRX-0074</x:v>
      </x:c>
      <x:c r="B75" s="6" t="str">
        <x:v>SVC000074</x:v>
      </x:c>
      <x:c r="C75" s="6" t="str">
        <x:v>SIDX-0074</x:v>
      </x:c>
      <x:c r="D75" s="6" t="str">
        <x:f>IFERROR(XLOOKUP(C75,'Review Sequence'!C2:C1586,'Review Sequence'!J2:J1586),"Dependency not found")</x:f>
        <x:v>Not Started</x:v>
      </x:c>
      <x:c r="E75" s="6" t="str">
        <x:v>MFR-LEGACY-001</x:v>
      </x:c>
      <x:c r="F75" s="6" t="str">
        <x:v>Unknown</x:v>
      </x:c>
      <x:c r="G75" s="6" t="str"/>
      <x:c r="H75" s="6" t="str"/>
      <x:c r="I75" s="6" t="str">
        <x:v>Unknown</x:v>
      </x:c>
      <x:c r="J75" s="6" t="str">
        <x:v>Unknown</x:v>
      </x:c>
      <x:c r="K75" s="6" t="str">
        <x:v>Unresolved</x:v>
      </x:c>
      <x:c r="L75" s="7" t="str">
        <x:v>Nocturnix_Master_Services_Catalog_v1.xlsx | 01 - Master Services | row 114</x:v>
      </x:c>
      <x:c r="M75" s="6" t="str"/>
      <x:c r="N75" s="6" t="str"/>
      <x:c r="O75" s="6" t="str">
        <x:v>Pending</x:v>
      </x:c>
      <x:c r="P75" s="7" t="str">
        <x:f>IF(OR(D75="Reviewer Complete",D75="Awaiting Second-Level Approval"),"","Service identity dependency unresolved")</x:f>
        <x:v>Service identity dependency unresolved</x:v>
      </x:c>
      <x:c r="Q75" s="6" t="str">
        <x:v>Yes</x:v>
      </x:c>
      <x:c r="R75" s="7" t="str"/>
    </x:row>
    <x:row r="76">
      <x:c r="A76" s="6" t="str">
        <x:v>MFRX-0075</x:v>
      </x:c>
      <x:c r="B76" s="6" t="str">
        <x:v>SVC000075</x:v>
      </x:c>
      <x:c r="C76" s="6" t="str">
        <x:v>SIDX-0075</x:v>
      </x:c>
      <x:c r="D76" s="6" t="str">
        <x:f>IFERROR(XLOOKUP(C76,'Review Sequence'!C2:C1586,'Review Sequence'!J2:J1586),"Dependency not found")</x:f>
        <x:v>Not Started</x:v>
      </x:c>
      <x:c r="E76" s="6" t="str">
        <x:v>MFR-LEGACY-001</x:v>
      </x:c>
      <x:c r="F76" s="6" t="str">
        <x:v>Unknown</x:v>
      </x:c>
      <x:c r="G76" s="6" t="str"/>
      <x:c r="H76" s="6" t="str"/>
      <x:c r="I76" s="6" t="str">
        <x:v>Unknown</x:v>
      </x:c>
      <x:c r="J76" s="6" t="str">
        <x:v>Unknown</x:v>
      </x:c>
      <x:c r="K76" s="6" t="str">
        <x:v>Unresolved</x:v>
      </x:c>
      <x:c r="L76" s="7" t="str">
        <x:v>Nocturnix_Master_Services_Catalog_v1.xlsx | 01 - Master Services | row 115</x:v>
      </x:c>
      <x:c r="M76" s="6" t="str"/>
      <x:c r="N76" s="6" t="str"/>
      <x:c r="O76" s="6" t="str">
        <x:v>Pending</x:v>
      </x:c>
      <x:c r="P76" s="7" t="str">
        <x:f>IF(OR(D76="Reviewer Complete",D76="Awaiting Second-Level Approval"),"","Service identity dependency unresolved")</x:f>
        <x:v>Service identity dependency unresolved</x:v>
      </x:c>
      <x:c r="Q76" s="6" t="str">
        <x:v>Yes</x:v>
      </x:c>
      <x:c r="R76" s="7" t="str"/>
    </x:row>
    <x:row r="77">
      <x:c r="A77" s="6" t="str">
        <x:v>MFRX-0076</x:v>
      </x:c>
      <x:c r="B77" s="6" t="str">
        <x:v>SVC000076</x:v>
      </x:c>
      <x:c r="C77" s="6" t="str">
        <x:v>SIDX-0076</x:v>
      </x:c>
      <x:c r="D77" s="6" t="str">
        <x:f>IFERROR(XLOOKUP(C77,'Review Sequence'!C2:C1586,'Review Sequence'!J2:J1586),"Dependency not found")</x:f>
        <x:v>Not Started</x:v>
      </x:c>
      <x:c r="E77" s="6" t="str">
        <x:v>MFR-LEGACY-001</x:v>
      </x:c>
      <x:c r="F77" s="6" t="str">
        <x:v>Unknown</x:v>
      </x:c>
      <x:c r="G77" s="6" t="str"/>
      <x:c r="H77" s="6" t="str"/>
      <x:c r="I77" s="6" t="str">
        <x:v>Unknown</x:v>
      </x:c>
      <x:c r="J77" s="6" t="str">
        <x:v>Unknown</x:v>
      </x:c>
      <x:c r="K77" s="6" t="str">
        <x:v>Unresolved</x:v>
      </x:c>
      <x:c r="L77" s="7" t="str">
        <x:v>Nocturnix_Master_Services_Catalog_v1.xlsx | 01 - Master Services | row 116</x:v>
      </x:c>
      <x:c r="M77" s="6" t="str"/>
      <x:c r="N77" s="6" t="str"/>
      <x:c r="O77" s="6" t="str">
        <x:v>Pending</x:v>
      </x:c>
      <x:c r="P77" s="7" t="str">
        <x:f>IF(OR(D77="Reviewer Complete",D77="Awaiting Second-Level Approval"),"","Service identity dependency unresolved")</x:f>
        <x:v>Service identity dependency unresolved</x:v>
      </x:c>
      <x:c r="Q77" s="6" t="str">
        <x:v>Yes</x:v>
      </x:c>
      <x:c r="R77" s="7" t="str"/>
    </x:row>
    <x:row r="78">
      <x:c r="A78" s="6" t="str">
        <x:v>MFRX-0077</x:v>
      </x:c>
      <x:c r="B78" s="6" t="str">
        <x:v>SVC000077</x:v>
      </x:c>
      <x:c r="C78" s="6" t="str">
        <x:v>SIDX-0077</x:v>
      </x:c>
      <x:c r="D78" s="6" t="str">
        <x:f>IFERROR(XLOOKUP(C78,'Review Sequence'!C2:C1586,'Review Sequence'!J2:J1586),"Dependency not found")</x:f>
        <x:v>Not Started</x:v>
      </x:c>
      <x:c r="E78" s="6" t="str">
        <x:v>MFR-LEGACY-001</x:v>
      </x:c>
      <x:c r="F78" s="6" t="str">
        <x:v>Unknown</x:v>
      </x:c>
      <x:c r="G78" s="6" t="str"/>
      <x:c r="H78" s="6" t="str"/>
      <x:c r="I78" s="6" t="str">
        <x:v>Unknown</x:v>
      </x:c>
      <x:c r="J78" s="6" t="str">
        <x:v>Unknown</x:v>
      </x:c>
      <x:c r="K78" s="6" t="str">
        <x:v>Unresolved</x:v>
      </x:c>
      <x:c r="L78" s="7" t="str">
        <x:v>Nocturnix_Master_Services_Catalog_v1.xlsx | 01 - Master Services | row 117</x:v>
      </x:c>
      <x:c r="M78" s="6" t="str"/>
      <x:c r="N78" s="6" t="str"/>
      <x:c r="O78" s="6" t="str">
        <x:v>Pending</x:v>
      </x:c>
      <x:c r="P78" s="7" t="str">
        <x:f>IF(OR(D78="Reviewer Complete",D78="Awaiting Second-Level Approval"),"","Service identity dependency unresolved")</x:f>
        <x:v>Service identity dependency unresolved</x:v>
      </x:c>
      <x:c r="Q78" s="6" t="str">
        <x:v>Yes</x:v>
      </x:c>
      <x:c r="R78" s="7" t="str"/>
    </x:row>
    <x:row r="79">
      <x:c r="A79" s="6" t="str">
        <x:v>MFRX-0078</x:v>
      </x:c>
      <x:c r="B79" s="6" t="str">
        <x:v>SVC000078</x:v>
      </x:c>
      <x:c r="C79" s="6" t="str">
        <x:v>SIDX-0078</x:v>
      </x:c>
      <x:c r="D79" s="6" t="str">
        <x:f>IFERROR(XLOOKUP(C79,'Review Sequence'!C2:C1586,'Review Sequence'!J2:J1586),"Dependency not found")</x:f>
        <x:v>Not Started</x:v>
      </x:c>
      <x:c r="E79" s="6" t="str">
        <x:v>MFR-LEGACY-001</x:v>
      </x:c>
      <x:c r="F79" s="6" t="str">
        <x:v>Unknown</x:v>
      </x:c>
      <x:c r="G79" s="6" t="str"/>
      <x:c r="H79" s="6" t="str"/>
      <x:c r="I79" s="6" t="str">
        <x:v>Unknown</x:v>
      </x:c>
      <x:c r="J79" s="6" t="str">
        <x:v>Unknown</x:v>
      </x:c>
      <x:c r="K79" s="6" t="str">
        <x:v>Unresolved</x:v>
      </x:c>
      <x:c r="L79" s="7" t="str">
        <x:v>Nocturnix_Master_Services_Catalog_v1.xlsx | 01 - Master Services | row 118</x:v>
      </x:c>
      <x:c r="M79" s="6" t="str"/>
      <x:c r="N79" s="6" t="str"/>
      <x:c r="O79" s="6" t="str">
        <x:v>Pending</x:v>
      </x:c>
      <x:c r="P79" s="7" t="str">
        <x:f>IF(OR(D79="Reviewer Complete",D79="Awaiting Second-Level Approval"),"","Service identity dependency unresolved")</x:f>
        <x:v>Service identity dependency unresolved</x:v>
      </x:c>
      <x:c r="Q79" s="6" t="str">
        <x:v>Yes</x:v>
      </x:c>
      <x:c r="R79" s="7" t="str"/>
    </x:row>
    <x:row r="80">
      <x:c r="A80" s="6" t="str">
        <x:v>MFRX-0079</x:v>
      </x:c>
      <x:c r="B80" s="6" t="str">
        <x:v>SVC000079</x:v>
      </x:c>
      <x:c r="C80" s="6" t="str">
        <x:v>SIDX-0079</x:v>
      </x:c>
      <x:c r="D80" s="6" t="str">
        <x:f>IFERROR(XLOOKUP(C80,'Review Sequence'!C2:C1586,'Review Sequence'!J2:J1586),"Dependency not found")</x:f>
        <x:v>Not Started</x:v>
      </x:c>
      <x:c r="E80" s="6" t="str">
        <x:v>MFR-LEGACY-001</x:v>
      </x:c>
      <x:c r="F80" s="6" t="str">
        <x:v>Unknown</x:v>
      </x:c>
      <x:c r="G80" s="6" t="str"/>
      <x:c r="H80" s="6" t="str"/>
      <x:c r="I80" s="6" t="str">
        <x:v>Unknown</x:v>
      </x:c>
      <x:c r="J80" s="6" t="str">
        <x:v>Unknown</x:v>
      </x:c>
      <x:c r="K80" s="6" t="str">
        <x:v>Unresolved</x:v>
      </x:c>
      <x:c r="L80" s="7" t="str">
        <x:v>Nocturnix_Master_Services_Catalog_v1.xlsx | 01 - Master Services | row 119</x:v>
      </x:c>
      <x:c r="M80" s="6" t="str"/>
      <x:c r="N80" s="6" t="str"/>
      <x:c r="O80" s="6" t="str">
        <x:v>Pending</x:v>
      </x:c>
      <x:c r="P80" s="7" t="str">
        <x:f>IF(OR(D80="Reviewer Complete",D80="Awaiting Second-Level Approval"),"","Service identity dependency unresolved")</x:f>
        <x:v>Service identity dependency unresolved</x:v>
      </x:c>
      <x:c r="Q80" s="6" t="str">
        <x:v>Yes</x:v>
      </x:c>
      <x:c r="R80" s="7" t="str"/>
    </x:row>
    <x:row r="81">
      <x:c r="A81" s="6" t="str">
        <x:v>MFRX-0080</x:v>
      </x:c>
      <x:c r="B81" s="6" t="str">
        <x:v>SVC000080</x:v>
      </x:c>
      <x:c r="C81" s="6" t="str">
        <x:v>SIDX-0080</x:v>
      </x:c>
      <x:c r="D81" s="6" t="str">
        <x:f>IFERROR(XLOOKUP(C81,'Review Sequence'!C2:C1586,'Review Sequence'!J2:J1586),"Dependency not found")</x:f>
        <x:v>Not Started</x:v>
      </x:c>
      <x:c r="E81" s="6" t="str">
        <x:v>MFR-LEGACY-001</x:v>
      </x:c>
      <x:c r="F81" s="6" t="str">
        <x:v>Unknown</x:v>
      </x:c>
      <x:c r="G81" s="6" t="str"/>
      <x:c r="H81" s="6" t="str"/>
      <x:c r="I81" s="6" t="str">
        <x:v>Unknown</x:v>
      </x:c>
      <x:c r="J81" s="6" t="str">
        <x:v>Unknown</x:v>
      </x:c>
      <x:c r="K81" s="6" t="str">
        <x:v>Unresolved</x:v>
      </x:c>
      <x:c r="L81" s="7" t="str">
        <x:v>Nocturnix_Master_Services_Catalog_v1.xlsx | 01 - Master Services | row 120</x:v>
      </x:c>
      <x:c r="M81" s="6" t="str"/>
      <x:c r="N81" s="6" t="str"/>
      <x:c r="O81" s="6" t="str">
        <x:v>Pending</x:v>
      </x:c>
      <x:c r="P81" s="7" t="str">
        <x:f>IF(OR(D81="Reviewer Complete",D81="Awaiting Second-Level Approval"),"","Service identity dependency unresolved")</x:f>
        <x:v>Service identity dependency unresolved</x:v>
      </x:c>
      <x:c r="Q81" s="6" t="str">
        <x:v>Yes</x:v>
      </x:c>
      <x:c r="R81" s="7" t="str"/>
    </x:row>
    <x:row r="82">
      <x:c r="A82" s="6" t="str">
        <x:v>MFRX-0081</x:v>
      </x:c>
      <x:c r="B82" s="6" t="str">
        <x:v>SVC000081</x:v>
      </x:c>
      <x:c r="C82" s="6" t="str">
        <x:v>SIDX-0081</x:v>
      </x:c>
      <x:c r="D82" s="6" t="str">
        <x:f>IFERROR(XLOOKUP(C82,'Review Sequence'!C2:C1586,'Review Sequence'!J2:J1586),"Dependency not found")</x:f>
        <x:v>Not Started</x:v>
      </x:c>
      <x:c r="E82" s="6" t="str">
        <x:v>MFR-LEGACY-001</x:v>
      </x:c>
      <x:c r="F82" s="6" t="str">
        <x:v>Unknown</x:v>
      </x:c>
      <x:c r="G82" s="6" t="str"/>
      <x:c r="H82" s="6" t="str"/>
      <x:c r="I82" s="6" t="str">
        <x:v>Unknown</x:v>
      </x:c>
      <x:c r="J82" s="6" t="str">
        <x:v>Unknown</x:v>
      </x:c>
      <x:c r="K82" s="6" t="str">
        <x:v>Unresolved</x:v>
      </x:c>
      <x:c r="L82" s="7" t="str">
        <x:v>Nocturnix_Master_Services_Catalog_v1.xlsx | 01 - Master Services | row 121</x:v>
      </x:c>
      <x:c r="M82" s="6" t="str"/>
      <x:c r="N82" s="6" t="str"/>
      <x:c r="O82" s="6" t="str">
        <x:v>Pending</x:v>
      </x:c>
      <x:c r="P82" s="7" t="str">
        <x:f>IF(OR(D82="Reviewer Complete",D82="Awaiting Second-Level Approval"),"","Service identity dependency unresolved")</x:f>
        <x:v>Service identity dependency unresolved</x:v>
      </x:c>
      <x:c r="Q82" s="6" t="str">
        <x:v>Yes</x:v>
      </x:c>
      <x:c r="R82" s="7" t="str"/>
    </x:row>
    <x:row r="83">
      <x:c r="A83" s="6" t="str">
        <x:v>MFRX-0082</x:v>
      </x:c>
      <x:c r="B83" s="6" t="str">
        <x:v>SVC000082</x:v>
      </x:c>
      <x:c r="C83" s="6" t="str">
        <x:v>SIDX-0082</x:v>
      </x:c>
      <x:c r="D83" s="6" t="str">
        <x:f>IFERROR(XLOOKUP(C83,'Review Sequence'!C2:C1586,'Review Sequence'!J2:J1586),"Dependency not found")</x:f>
        <x:v>Not Started</x:v>
      </x:c>
      <x:c r="E83" s="6" t="str">
        <x:v>MFR-LEGACY-001</x:v>
      </x:c>
      <x:c r="F83" s="6" t="str">
        <x:v>Unknown</x:v>
      </x:c>
      <x:c r="G83" s="6" t="str"/>
      <x:c r="H83" s="6" t="str"/>
      <x:c r="I83" s="6" t="str">
        <x:v>Unknown</x:v>
      </x:c>
      <x:c r="J83" s="6" t="str">
        <x:v>Unknown</x:v>
      </x:c>
      <x:c r="K83" s="6" t="str">
        <x:v>Unresolved</x:v>
      </x:c>
      <x:c r="L83" s="7" t="str">
        <x:v>Nocturnix_Master_Services_Catalog_v1.xlsx | 01 - Master Services | row 122</x:v>
      </x:c>
      <x:c r="M83" s="6" t="str"/>
      <x:c r="N83" s="6" t="str"/>
      <x:c r="O83" s="6" t="str">
        <x:v>Pending</x:v>
      </x:c>
      <x:c r="P83" s="7" t="str">
        <x:f>IF(OR(D83="Reviewer Complete",D83="Awaiting Second-Level Approval"),"","Service identity dependency unresolved")</x:f>
        <x:v>Service identity dependency unresolved</x:v>
      </x:c>
      <x:c r="Q83" s="6" t="str">
        <x:v>Yes</x:v>
      </x:c>
      <x:c r="R83" s="7" t="str"/>
    </x:row>
    <x:row r="84">
      <x:c r="A84" s="6" t="str">
        <x:v>MFRX-0083</x:v>
      </x:c>
      <x:c r="B84" s="6" t="str">
        <x:v>SVC000083</x:v>
      </x:c>
      <x:c r="C84" s="6" t="str">
        <x:v>SIDX-0083</x:v>
      </x:c>
      <x:c r="D84" s="6" t="str">
        <x:f>IFERROR(XLOOKUP(C84,'Review Sequence'!C2:C1586,'Review Sequence'!J2:J1586),"Dependency not found")</x:f>
        <x:v>Not Started</x:v>
      </x:c>
      <x:c r="E84" s="6" t="str">
        <x:v>MFR-LEGACY-001</x:v>
      </x:c>
      <x:c r="F84" s="6" t="str">
        <x:v>Unknown</x:v>
      </x:c>
      <x:c r="G84" s="6" t="str"/>
      <x:c r="H84" s="6" t="str"/>
      <x:c r="I84" s="6" t="str">
        <x:v>Unknown</x:v>
      </x:c>
      <x:c r="J84" s="6" t="str">
        <x:v>Unknown</x:v>
      </x:c>
      <x:c r="K84" s="6" t="str">
        <x:v>Unresolved</x:v>
      </x:c>
      <x:c r="L84" s="7" t="str">
        <x:v>Nocturnix_Master_Services_Catalog_v1.xlsx | 01 - Master Services | row 123</x:v>
      </x:c>
      <x:c r="M84" s="6" t="str"/>
      <x:c r="N84" s="6" t="str"/>
      <x:c r="O84" s="6" t="str">
        <x:v>Pending</x:v>
      </x:c>
      <x:c r="P84" s="7" t="str">
        <x:f>IF(OR(D84="Reviewer Complete",D84="Awaiting Second-Level Approval"),"","Service identity dependency unresolved")</x:f>
        <x:v>Service identity dependency unresolved</x:v>
      </x:c>
      <x:c r="Q84" s="6" t="str">
        <x:v>Yes</x:v>
      </x:c>
      <x:c r="R84" s="7" t="str"/>
    </x:row>
    <x:row r="85">
      <x:c r="A85" s="6" t="str">
        <x:v>MFRX-0084</x:v>
      </x:c>
      <x:c r="B85" s="6" t="str">
        <x:v>SVC000084</x:v>
      </x:c>
      <x:c r="C85" s="6" t="str">
        <x:v>SIDX-0084</x:v>
      </x:c>
      <x:c r="D85" s="6" t="str">
        <x:f>IFERROR(XLOOKUP(C85,'Review Sequence'!C2:C1586,'Review Sequence'!J2:J1586),"Dependency not found")</x:f>
        <x:v>Not Started</x:v>
      </x:c>
      <x:c r="E85" s="6" t="str">
        <x:v>MFR-LEGACY-001</x:v>
      </x:c>
      <x:c r="F85" s="6" t="str">
        <x:v>Unknown</x:v>
      </x:c>
      <x:c r="G85" s="6" t="str"/>
      <x:c r="H85" s="6" t="str"/>
      <x:c r="I85" s="6" t="str">
        <x:v>Unknown</x:v>
      </x:c>
      <x:c r="J85" s="6" t="str">
        <x:v>Unknown</x:v>
      </x:c>
      <x:c r="K85" s="6" t="str">
        <x:v>Unresolved</x:v>
      </x:c>
      <x:c r="L85" s="7" t="str">
        <x:v>Nocturnix_Master_Services_Catalog_v1.xlsx | 01 - Master Services | row 124</x:v>
      </x:c>
      <x:c r="M85" s="6" t="str"/>
      <x:c r="N85" s="6" t="str"/>
      <x:c r="O85" s="6" t="str">
        <x:v>Pending</x:v>
      </x:c>
      <x:c r="P85" s="7" t="str">
        <x:f>IF(OR(D85="Reviewer Complete",D85="Awaiting Second-Level Approval"),"","Service identity dependency unresolved")</x:f>
        <x:v>Service identity dependency unresolved</x:v>
      </x:c>
      <x:c r="Q85" s="6" t="str">
        <x:v>Yes</x:v>
      </x:c>
      <x:c r="R85" s="7" t="str"/>
    </x:row>
    <x:row r="86">
      <x:c r="A86" s="6" t="str">
        <x:v>MFRX-0085</x:v>
      </x:c>
      <x:c r="B86" s="6" t="str">
        <x:v>SVC000085</x:v>
      </x:c>
      <x:c r="C86" s="6" t="str">
        <x:v>SIDX-0085</x:v>
      </x:c>
      <x:c r="D86" s="6" t="str">
        <x:f>IFERROR(XLOOKUP(C86,'Review Sequence'!C2:C1586,'Review Sequence'!J2:J1586),"Dependency not found")</x:f>
        <x:v>Not Started</x:v>
      </x:c>
      <x:c r="E86" s="6" t="str">
        <x:v>MFR-LEGACY-001</x:v>
      </x:c>
      <x:c r="F86" s="6" t="str">
        <x:v>Unknown</x:v>
      </x:c>
      <x:c r="G86" s="6" t="str"/>
      <x:c r="H86" s="6" t="str"/>
      <x:c r="I86" s="6" t="str">
        <x:v>Unknown</x:v>
      </x:c>
      <x:c r="J86" s="6" t="str">
        <x:v>Unknown</x:v>
      </x:c>
      <x:c r="K86" s="6" t="str">
        <x:v>Unresolved</x:v>
      </x:c>
      <x:c r="L86" s="7" t="str">
        <x:v>Nocturnix_Master_Services_Catalog_v1.xlsx | 01 - Master Services | row 125</x:v>
      </x:c>
      <x:c r="M86" s="6" t="str"/>
      <x:c r="N86" s="6" t="str"/>
      <x:c r="O86" s="6" t="str">
        <x:v>Pending</x:v>
      </x:c>
      <x:c r="P86" s="7" t="str">
        <x:f>IF(OR(D86="Reviewer Complete",D86="Awaiting Second-Level Approval"),"","Service identity dependency unresolved")</x:f>
        <x:v>Service identity dependency unresolved</x:v>
      </x:c>
      <x:c r="Q86" s="6" t="str">
        <x:v>Yes</x:v>
      </x:c>
      <x:c r="R86" s="7" t="str"/>
    </x:row>
    <x:row r="87">
      <x:c r="A87" s="6" t="str">
        <x:v>MFRX-0086</x:v>
      </x:c>
      <x:c r="B87" s="6" t="str">
        <x:v>SVC000086</x:v>
      </x:c>
      <x:c r="C87" s="6" t="str">
        <x:v>SIDX-0086</x:v>
      </x:c>
      <x:c r="D87" s="6" t="str">
        <x:f>IFERROR(XLOOKUP(C87,'Review Sequence'!C2:C1586,'Review Sequence'!J2:J1586),"Dependency not found")</x:f>
        <x:v>Not Started</x:v>
      </x:c>
      <x:c r="E87" s="6" t="str">
        <x:v>MFR-LEGACY-001</x:v>
      </x:c>
      <x:c r="F87" s="6" t="str">
        <x:v>Unknown</x:v>
      </x:c>
      <x:c r="G87" s="6" t="str"/>
      <x:c r="H87" s="6" t="str"/>
      <x:c r="I87" s="6" t="str">
        <x:v>Unknown</x:v>
      </x:c>
      <x:c r="J87" s="6" t="str">
        <x:v>Unknown</x:v>
      </x:c>
      <x:c r="K87" s="6" t="str">
        <x:v>Unresolved</x:v>
      </x:c>
      <x:c r="L87" s="7" t="str">
        <x:v>Nocturnix_Master_Services_Catalog_v1.xlsx | 01 - Master Services | row 126</x:v>
      </x:c>
      <x:c r="M87" s="6" t="str"/>
      <x:c r="N87" s="6" t="str"/>
      <x:c r="O87" s="6" t="str">
        <x:v>Pending</x:v>
      </x:c>
      <x:c r="P87" s="7" t="str">
        <x:f>IF(OR(D87="Reviewer Complete",D87="Awaiting Second-Level Approval"),"","Service identity dependency unresolved")</x:f>
        <x:v>Service identity dependency unresolved</x:v>
      </x:c>
      <x:c r="Q87" s="6" t="str">
        <x:v>Yes</x:v>
      </x:c>
      <x:c r="R87" s="7" t="str"/>
    </x:row>
    <x:row r="88">
      <x:c r="A88" s="6" t="str">
        <x:v>MFRX-0087</x:v>
      </x:c>
      <x:c r="B88" s="6" t="str">
        <x:v>SVC000087</x:v>
      </x:c>
      <x:c r="C88" s="6" t="str">
        <x:v>SIDX-0087</x:v>
      </x:c>
      <x:c r="D88" s="6" t="str">
        <x:f>IFERROR(XLOOKUP(C88,'Review Sequence'!C2:C1586,'Review Sequence'!J2:J1586),"Dependency not found")</x:f>
        <x:v>Not Started</x:v>
      </x:c>
      <x:c r="E88" s="6" t="str">
        <x:v>MFR-LEGACY-001</x:v>
      </x:c>
      <x:c r="F88" s="6" t="str">
        <x:v>Unknown</x:v>
      </x:c>
      <x:c r="G88" s="6" t="str"/>
      <x:c r="H88" s="6" t="str"/>
      <x:c r="I88" s="6" t="str">
        <x:v>Unknown</x:v>
      </x:c>
      <x:c r="J88" s="6" t="str">
        <x:v>Unknown</x:v>
      </x:c>
      <x:c r="K88" s="6" t="str">
        <x:v>Unresolved</x:v>
      </x:c>
      <x:c r="L88" s="7" t="str">
        <x:v>Nocturnix_Master_Services_Catalog_v1.xlsx | 01 - Master Services | row 127</x:v>
      </x:c>
      <x:c r="M88" s="6" t="str"/>
      <x:c r="N88" s="6" t="str"/>
      <x:c r="O88" s="6" t="str">
        <x:v>Pending</x:v>
      </x:c>
      <x:c r="P88" s="7" t="str">
        <x:f>IF(OR(D88="Reviewer Complete",D88="Awaiting Second-Level Approval"),"","Service identity dependency unresolved")</x:f>
        <x:v>Service identity dependency unresolved</x:v>
      </x:c>
      <x:c r="Q88" s="6" t="str">
        <x:v>Yes</x:v>
      </x:c>
      <x:c r="R88" s="7" t="str"/>
    </x:row>
    <x:row r="89">
      <x:c r="A89" s="6" t="str">
        <x:v>MFRX-0088</x:v>
      </x:c>
      <x:c r="B89" s="6" t="str">
        <x:v>SVC000088</x:v>
      </x:c>
      <x:c r="C89" s="6" t="str">
        <x:v>SIDX-0088</x:v>
      </x:c>
      <x:c r="D89" s="6" t="str">
        <x:f>IFERROR(XLOOKUP(C89,'Review Sequence'!C2:C1586,'Review Sequence'!J2:J1586),"Dependency not found")</x:f>
        <x:v>Not Started</x:v>
      </x:c>
      <x:c r="E89" s="6" t="str">
        <x:v>MFR-LEGACY-001</x:v>
      </x:c>
      <x:c r="F89" s="6" t="str">
        <x:v>Unknown</x:v>
      </x:c>
      <x:c r="G89" s="6" t="str"/>
      <x:c r="H89" s="6" t="str"/>
      <x:c r="I89" s="6" t="str">
        <x:v>Unknown</x:v>
      </x:c>
      <x:c r="J89" s="6" t="str">
        <x:v>Unknown</x:v>
      </x:c>
      <x:c r="K89" s="6" t="str">
        <x:v>Unresolved</x:v>
      </x:c>
      <x:c r="L89" s="7" t="str">
        <x:v>Nocturnix_Master_Services_Catalog_v1.xlsx | 01 - Master Services | row 128</x:v>
      </x:c>
      <x:c r="M89" s="6" t="str"/>
      <x:c r="N89" s="6" t="str"/>
      <x:c r="O89" s="6" t="str">
        <x:v>Pending</x:v>
      </x:c>
      <x:c r="P89" s="7" t="str">
        <x:f>IF(OR(D89="Reviewer Complete",D89="Awaiting Second-Level Approval"),"","Service identity dependency unresolved")</x:f>
        <x:v>Service identity dependency unresolved</x:v>
      </x:c>
      <x:c r="Q89" s="6" t="str">
        <x:v>Yes</x:v>
      </x:c>
      <x:c r="R89" s="7" t="str"/>
    </x:row>
    <x:row r="90">
      <x:c r="A90" s="6" t="str">
        <x:v>MFRX-0089</x:v>
      </x:c>
      <x:c r="B90" s="6" t="str">
        <x:v>SVC000089</x:v>
      </x:c>
      <x:c r="C90" s="6" t="str">
        <x:v>SIDX-0089</x:v>
      </x:c>
      <x:c r="D90" s="6" t="str">
        <x:f>IFERROR(XLOOKUP(C90,'Review Sequence'!C2:C1586,'Review Sequence'!J2:J1586),"Dependency not found")</x:f>
        <x:v>Not Started</x:v>
      </x:c>
      <x:c r="E90" s="6" t="str">
        <x:v>MFR-LEGACY-001</x:v>
      </x:c>
      <x:c r="F90" s="6" t="str">
        <x:v>Unknown</x:v>
      </x:c>
      <x:c r="G90" s="6" t="str"/>
      <x:c r="H90" s="6" t="str"/>
      <x:c r="I90" s="6" t="str">
        <x:v>Unknown</x:v>
      </x:c>
      <x:c r="J90" s="6" t="str">
        <x:v>Unknown</x:v>
      </x:c>
      <x:c r="K90" s="6" t="str">
        <x:v>Unresolved</x:v>
      </x:c>
      <x:c r="L90" s="7" t="str">
        <x:v>Nocturnix_Master_Services_Catalog_v1.xlsx | 01 - Master Services | row 129</x:v>
      </x:c>
      <x:c r="M90" s="6" t="str"/>
      <x:c r="N90" s="6" t="str"/>
      <x:c r="O90" s="6" t="str">
        <x:v>Pending</x:v>
      </x:c>
      <x:c r="P90" s="7" t="str">
        <x:f>IF(OR(D90="Reviewer Complete",D90="Awaiting Second-Level Approval"),"","Service identity dependency unresolved")</x:f>
        <x:v>Service identity dependency unresolved</x:v>
      </x:c>
      <x:c r="Q90" s="6" t="str">
        <x:v>Yes</x:v>
      </x:c>
      <x:c r="R90" s="7" t="str"/>
    </x:row>
    <x:row r="91">
      <x:c r="A91" s="6" t="str">
        <x:v>MFRX-0090</x:v>
      </x:c>
      <x:c r="B91" s="6" t="str">
        <x:v>SVC000090</x:v>
      </x:c>
      <x:c r="C91" s="6" t="str">
        <x:v>SIDX-0090</x:v>
      </x:c>
      <x:c r="D91" s="6" t="str">
        <x:f>IFERROR(XLOOKUP(C91,'Review Sequence'!C2:C1586,'Review Sequence'!J2:J1586),"Dependency not found")</x:f>
        <x:v>Not Started</x:v>
      </x:c>
      <x:c r="E91" s="6" t="str">
        <x:v>MFR-LEGACY-001</x:v>
      </x:c>
      <x:c r="F91" s="6" t="str">
        <x:v>Unknown</x:v>
      </x:c>
      <x:c r="G91" s="6" t="str"/>
      <x:c r="H91" s="6" t="str"/>
      <x:c r="I91" s="6" t="str">
        <x:v>Unknown</x:v>
      </x:c>
      <x:c r="J91" s="6" t="str">
        <x:v>Unknown</x:v>
      </x:c>
      <x:c r="K91" s="6" t="str">
        <x:v>Unresolved</x:v>
      </x:c>
      <x:c r="L91" s="7" t="str">
        <x:v>Nocturnix_Master_Services_Catalog_v1.xlsx | 01 - Master Services | row 130</x:v>
      </x:c>
      <x:c r="M91" s="6" t="str"/>
      <x:c r="N91" s="6" t="str"/>
      <x:c r="O91" s="6" t="str">
        <x:v>Pending</x:v>
      </x:c>
      <x:c r="P91" s="7" t="str">
        <x:f>IF(OR(D91="Reviewer Complete",D91="Awaiting Second-Level Approval"),"","Service identity dependency unresolved")</x:f>
        <x:v>Service identity dependency unresolved</x:v>
      </x:c>
      <x:c r="Q91" s="6" t="str">
        <x:v>Yes</x:v>
      </x:c>
      <x:c r="R91" s="7" t="str"/>
    </x:row>
    <x:row r="92">
      <x:c r="A92" s="6" t="str">
        <x:v>MFRX-0091</x:v>
      </x:c>
      <x:c r="B92" s="6" t="str">
        <x:v>SVC000091</x:v>
      </x:c>
      <x:c r="C92" s="6" t="str">
        <x:v>SIDX-0091</x:v>
      </x:c>
      <x:c r="D92" s="6" t="str">
        <x:f>IFERROR(XLOOKUP(C92,'Review Sequence'!C2:C1586,'Review Sequence'!J2:J1586),"Dependency not found")</x:f>
        <x:v>Not Started</x:v>
      </x:c>
      <x:c r="E92" s="6" t="str">
        <x:v>MFR-LEGACY-001</x:v>
      </x:c>
      <x:c r="F92" s="6" t="str">
        <x:v>Unknown</x:v>
      </x:c>
      <x:c r="G92" s="6" t="str"/>
      <x:c r="H92" s="6" t="str"/>
      <x:c r="I92" s="6" t="str">
        <x:v>Unknown</x:v>
      </x:c>
      <x:c r="J92" s="6" t="str">
        <x:v>Unknown</x:v>
      </x:c>
      <x:c r="K92" s="6" t="str">
        <x:v>Unresolved</x:v>
      </x:c>
      <x:c r="L92" s="7" t="str">
        <x:v>Nocturnix_Master_Services_Catalog_v1.xlsx | 01 - Master Services | row 131</x:v>
      </x:c>
      <x:c r="M92" s="6" t="str"/>
      <x:c r="N92" s="6" t="str"/>
      <x:c r="O92" s="6" t="str">
        <x:v>Pending</x:v>
      </x:c>
      <x:c r="P92" s="7" t="str">
        <x:f>IF(OR(D92="Reviewer Complete",D92="Awaiting Second-Level Approval"),"","Service identity dependency unresolved")</x:f>
        <x:v>Service identity dependency unresolved</x:v>
      </x:c>
      <x:c r="Q92" s="6" t="str">
        <x:v>Yes</x:v>
      </x:c>
      <x:c r="R92" s="7" t="str"/>
    </x:row>
    <x:row r="93">
      <x:c r="A93" s="6" t="str">
        <x:v>MFRX-0092</x:v>
      </x:c>
      <x:c r="B93" s="6" t="str">
        <x:v>SVC000092</x:v>
      </x:c>
      <x:c r="C93" s="6" t="str">
        <x:v>SIDX-0092</x:v>
      </x:c>
      <x:c r="D93" s="6" t="str">
        <x:f>IFERROR(XLOOKUP(C93,'Review Sequence'!C2:C1586,'Review Sequence'!J2:J1586),"Dependency not found")</x:f>
        <x:v>Not Started</x:v>
      </x:c>
      <x:c r="E93" s="6" t="str">
        <x:v>MFR-LEGACY-001</x:v>
      </x:c>
      <x:c r="F93" s="6" t="str">
        <x:v>Unknown</x:v>
      </x:c>
      <x:c r="G93" s="6" t="str"/>
      <x:c r="H93" s="6" t="str"/>
      <x:c r="I93" s="6" t="str">
        <x:v>Unknown</x:v>
      </x:c>
      <x:c r="J93" s="6" t="str">
        <x:v>Unknown</x:v>
      </x:c>
      <x:c r="K93" s="6" t="str">
        <x:v>Unresolved</x:v>
      </x:c>
      <x:c r="L93" s="7" t="str">
        <x:v>Nocturnix_Master_Services_Catalog_v1.xlsx | 01 - Master Services | row 132</x:v>
      </x:c>
      <x:c r="M93" s="6" t="str"/>
      <x:c r="N93" s="6" t="str"/>
      <x:c r="O93" s="6" t="str">
        <x:v>Pending</x:v>
      </x:c>
      <x:c r="P93" s="7" t="str">
        <x:f>IF(OR(D93="Reviewer Complete",D93="Awaiting Second-Level Approval"),"","Service identity dependency unresolved")</x:f>
        <x:v>Service identity dependency unresolved</x:v>
      </x:c>
      <x:c r="Q93" s="6" t="str">
        <x:v>Yes</x:v>
      </x:c>
      <x:c r="R93" s="7" t="str"/>
    </x:row>
    <x:row r="94">
      <x:c r="A94" s="6" t="str">
        <x:v>MFRX-0093</x:v>
      </x:c>
      <x:c r="B94" s="6" t="str">
        <x:v>SVC000093</x:v>
      </x:c>
      <x:c r="C94" s="6" t="str">
        <x:v>SIDX-0093</x:v>
      </x:c>
      <x:c r="D94" s="6" t="str">
        <x:f>IFERROR(XLOOKUP(C94,'Review Sequence'!C2:C1586,'Review Sequence'!J2:J1586),"Dependency not found")</x:f>
        <x:v>Not Started</x:v>
      </x:c>
      <x:c r="E94" s="6" t="str">
        <x:v>MFR-LEGACY-001</x:v>
      </x:c>
      <x:c r="F94" s="6" t="str">
        <x:v>Unknown</x:v>
      </x:c>
      <x:c r="G94" s="6" t="str"/>
      <x:c r="H94" s="6" t="str"/>
      <x:c r="I94" s="6" t="str">
        <x:v>Unknown</x:v>
      </x:c>
      <x:c r="J94" s="6" t="str">
        <x:v>Unknown</x:v>
      </x:c>
      <x:c r="K94" s="6" t="str">
        <x:v>Unresolved</x:v>
      </x:c>
      <x:c r="L94" s="7" t="str">
        <x:v>Nocturnix_Master_Services_Catalog_v1.xlsx | 01 - Master Services | row 133</x:v>
      </x:c>
      <x:c r="M94" s="6" t="str"/>
      <x:c r="N94" s="6" t="str"/>
      <x:c r="O94" s="6" t="str">
        <x:v>Pending</x:v>
      </x:c>
      <x:c r="P94" s="7" t="str">
        <x:f>IF(OR(D94="Reviewer Complete",D94="Awaiting Second-Level Approval"),"","Service identity dependency unresolved")</x:f>
        <x:v>Service identity dependency unresolved</x:v>
      </x:c>
      <x:c r="Q94" s="6" t="str">
        <x:v>Yes</x:v>
      </x:c>
      <x:c r="R94" s="7" t="str"/>
    </x:row>
    <x:row r="95">
      <x:c r="A95" s="6" t="str">
        <x:v>MFRX-0094</x:v>
      </x:c>
      <x:c r="B95" s="6" t="str">
        <x:v>SVC000094</x:v>
      </x:c>
      <x:c r="C95" s="6" t="str">
        <x:v>SIDX-0094</x:v>
      </x:c>
      <x:c r="D95" s="6" t="str">
        <x:f>IFERROR(XLOOKUP(C95,'Review Sequence'!C2:C1586,'Review Sequence'!J2:J1586),"Dependency not found")</x:f>
        <x:v>Not Started</x:v>
      </x:c>
      <x:c r="E95" s="6" t="str">
        <x:v>MFR-LEGACY-001</x:v>
      </x:c>
      <x:c r="F95" s="6" t="str">
        <x:v>Unknown</x:v>
      </x:c>
      <x:c r="G95" s="6" t="str"/>
      <x:c r="H95" s="6" t="str"/>
      <x:c r="I95" s="6" t="str">
        <x:v>Unknown</x:v>
      </x:c>
      <x:c r="J95" s="6" t="str">
        <x:v>Unknown</x:v>
      </x:c>
      <x:c r="K95" s="6" t="str">
        <x:v>Unresolved</x:v>
      </x:c>
      <x:c r="L95" s="7" t="str">
        <x:v>Nocturnix_Master_Services_Catalog_v1.xlsx | 01 - Master Services | row 134</x:v>
      </x:c>
      <x:c r="M95" s="6" t="str"/>
      <x:c r="N95" s="6" t="str"/>
      <x:c r="O95" s="6" t="str">
        <x:v>Pending</x:v>
      </x:c>
      <x:c r="P95" s="7" t="str">
        <x:f>IF(OR(D95="Reviewer Complete",D95="Awaiting Second-Level Approval"),"","Service identity dependency unresolved")</x:f>
        <x:v>Service identity dependency unresolved</x:v>
      </x:c>
      <x:c r="Q95" s="6" t="str">
        <x:v>Yes</x:v>
      </x:c>
      <x:c r="R95" s="7" t="str"/>
    </x:row>
    <x:row r="96">
      <x:c r="A96" s="6" t="str">
        <x:v>MFRX-0095</x:v>
      </x:c>
      <x:c r="B96" s="6" t="str">
        <x:v>SVC000095</x:v>
      </x:c>
      <x:c r="C96" s="6" t="str">
        <x:v>SIDX-0095</x:v>
      </x:c>
      <x:c r="D96" s="6" t="str">
        <x:f>IFERROR(XLOOKUP(C96,'Review Sequence'!C2:C1586,'Review Sequence'!J2:J1586),"Dependency not found")</x:f>
        <x:v>Not Started</x:v>
      </x:c>
      <x:c r="E96" s="6" t="str">
        <x:v>MFR-LEGACY-001</x:v>
      </x:c>
      <x:c r="F96" s="6" t="str">
        <x:v>Unknown</x:v>
      </x:c>
      <x:c r="G96" s="6" t="str"/>
      <x:c r="H96" s="6" t="str"/>
      <x:c r="I96" s="6" t="str">
        <x:v>Unknown</x:v>
      </x:c>
      <x:c r="J96" s="6" t="str">
        <x:v>Unknown</x:v>
      </x:c>
      <x:c r="K96" s="6" t="str">
        <x:v>Unresolved</x:v>
      </x:c>
      <x:c r="L96" s="7" t="str">
        <x:v>Nocturnix_Master_Services_Catalog_v1.xlsx | 01 - Master Services | row 135</x:v>
      </x:c>
      <x:c r="M96" s="6" t="str"/>
      <x:c r="N96" s="6" t="str"/>
      <x:c r="O96" s="6" t="str">
        <x:v>Pending</x:v>
      </x:c>
      <x:c r="P96" s="7" t="str">
        <x:f>IF(OR(D96="Reviewer Complete",D96="Awaiting Second-Level Approval"),"","Service identity dependency unresolved")</x:f>
        <x:v>Service identity dependency unresolved</x:v>
      </x:c>
      <x:c r="Q96" s="6" t="str">
        <x:v>Yes</x:v>
      </x:c>
      <x:c r="R96" s="7" t="str"/>
    </x:row>
    <x:row r="97">
      <x:c r="A97" s="6" t="str">
        <x:v>MFRX-0096</x:v>
      </x:c>
      <x:c r="B97" s="6" t="str">
        <x:v>SVC000096</x:v>
      </x:c>
      <x:c r="C97" s="6" t="str">
        <x:v>SIDX-0096</x:v>
      </x:c>
      <x:c r="D97" s="6" t="str">
        <x:f>IFERROR(XLOOKUP(C97,'Review Sequence'!C2:C1586,'Review Sequence'!J2:J1586),"Dependency not found")</x:f>
        <x:v>Not Started</x:v>
      </x:c>
      <x:c r="E97" s="6" t="str">
        <x:v>MFR-LEGACY-001</x:v>
      </x:c>
      <x:c r="F97" s="6" t="str">
        <x:v>Unknown</x:v>
      </x:c>
      <x:c r="G97" s="6" t="str"/>
      <x:c r="H97" s="6" t="str"/>
      <x:c r="I97" s="6" t="str">
        <x:v>Unknown</x:v>
      </x:c>
      <x:c r="J97" s="6" t="str">
        <x:v>Unknown</x:v>
      </x:c>
      <x:c r="K97" s="6" t="str">
        <x:v>Unresolved</x:v>
      </x:c>
      <x:c r="L97" s="7" t="str">
        <x:v>Nocturnix_Master_Services_Catalog_v1.xlsx | 01 - Master Services | row 136</x:v>
      </x:c>
      <x:c r="M97" s="6" t="str"/>
      <x:c r="N97" s="6" t="str"/>
      <x:c r="O97" s="6" t="str">
        <x:v>Pending</x:v>
      </x:c>
      <x:c r="P97" s="7" t="str">
        <x:f>IF(OR(D97="Reviewer Complete",D97="Awaiting Second-Level Approval"),"","Service identity dependency unresolved")</x:f>
        <x:v>Service identity dependency unresolved</x:v>
      </x:c>
      <x:c r="Q97" s="6" t="str">
        <x:v>Yes</x:v>
      </x:c>
      <x:c r="R97" s="7" t="str"/>
    </x:row>
    <x:row r="98">
      <x:c r="A98" s="6" t="str">
        <x:v>MFRX-0097</x:v>
      </x:c>
      <x:c r="B98" s="6" t="str">
        <x:v>SVC000097</x:v>
      </x:c>
      <x:c r="C98" s="6" t="str">
        <x:v>SIDX-0097</x:v>
      </x:c>
      <x:c r="D98" s="6" t="str">
        <x:f>IFERROR(XLOOKUP(C98,'Review Sequence'!C2:C1586,'Review Sequence'!J2:J1586),"Dependency not found")</x:f>
        <x:v>Not Started</x:v>
      </x:c>
      <x:c r="E98" s="6" t="str">
        <x:v>MFR-LEGACY-001</x:v>
      </x:c>
      <x:c r="F98" s="6" t="str">
        <x:v>Unknown</x:v>
      </x:c>
      <x:c r="G98" s="6" t="str"/>
      <x:c r="H98" s="6" t="str"/>
      <x:c r="I98" s="6" t="str">
        <x:v>Unknown</x:v>
      </x:c>
      <x:c r="J98" s="6" t="str">
        <x:v>Unknown</x:v>
      </x:c>
      <x:c r="K98" s="6" t="str">
        <x:v>Unresolved</x:v>
      </x:c>
      <x:c r="L98" s="7" t="str">
        <x:v>Nocturnix_Master_Services_Catalog_v1.xlsx | 01 - Master Services | row 137</x:v>
      </x:c>
      <x:c r="M98" s="6" t="str"/>
      <x:c r="N98" s="6" t="str"/>
      <x:c r="O98" s="6" t="str">
        <x:v>Pending</x:v>
      </x:c>
      <x:c r="P98" s="7" t="str">
        <x:f>IF(OR(D98="Reviewer Complete",D98="Awaiting Second-Level Approval"),"","Service identity dependency unresolved")</x:f>
        <x:v>Service identity dependency unresolved</x:v>
      </x:c>
      <x:c r="Q98" s="6" t="str">
        <x:v>Yes</x:v>
      </x:c>
      <x:c r="R98" s="7" t="str"/>
    </x:row>
    <x:row r="99">
      <x:c r="A99" s="6" t="str">
        <x:v>MFRX-0098</x:v>
      </x:c>
      <x:c r="B99" s="6" t="str">
        <x:v>SVC000098</x:v>
      </x:c>
      <x:c r="C99" s="6" t="str">
        <x:v>SIDX-0098</x:v>
      </x:c>
      <x:c r="D99" s="6" t="str">
        <x:f>IFERROR(XLOOKUP(C99,'Review Sequence'!C2:C1586,'Review Sequence'!J2:J1586),"Dependency not found")</x:f>
        <x:v>Not Started</x:v>
      </x:c>
      <x:c r="E99" s="6" t="str">
        <x:v>MFR-LEGACY-001</x:v>
      </x:c>
      <x:c r="F99" s="6" t="str">
        <x:v>Unknown</x:v>
      </x:c>
      <x:c r="G99" s="6" t="str"/>
      <x:c r="H99" s="6" t="str"/>
      <x:c r="I99" s="6" t="str">
        <x:v>Unknown</x:v>
      </x:c>
      <x:c r="J99" s="6" t="str">
        <x:v>Unknown</x:v>
      </x:c>
      <x:c r="K99" s="6" t="str">
        <x:v>Unresolved</x:v>
      </x:c>
      <x:c r="L99" s="7" t="str">
        <x:v>Nocturnix_Master_Services_Catalog_v1.xlsx | 01 - Master Services | row 138</x:v>
      </x:c>
      <x:c r="M99" s="6" t="str"/>
      <x:c r="N99" s="6" t="str"/>
      <x:c r="O99" s="6" t="str">
        <x:v>Pending</x:v>
      </x:c>
      <x:c r="P99" s="7" t="str">
        <x:f>IF(OR(D99="Reviewer Complete",D99="Awaiting Second-Level Approval"),"","Service identity dependency unresolved")</x:f>
        <x:v>Service identity dependency unresolved</x:v>
      </x:c>
      <x:c r="Q99" s="6" t="str">
        <x:v>Yes</x:v>
      </x:c>
      <x:c r="R99" s="7" t="str"/>
    </x:row>
    <x:row r="100">
      <x:c r="A100" s="6" t="str">
        <x:v>MFRX-0099</x:v>
      </x:c>
      <x:c r="B100" s="6" t="str">
        <x:v>SVC000099</x:v>
      </x:c>
      <x:c r="C100" s="6" t="str">
        <x:v>SIDX-0099</x:v>
      </x:c>
      <x:c r="D100" s="6" t="str">
        <x:f>IFERROR(XLOOKUP(C100,'Review Sequence'!C2:C1586,'Review Sequence'!J2:J1586),"Dependency not found")</x:f>
        <x:v>Not Started</x:v>
      </x:c>
      <x:c r="E100" s="6" t="str">
        <x:v>MFR-LEGACY-001</x:v>
      </x:c>
      <x:c r="F100" s="6" t="str">
        <x:v>Unknown</x:v>
      </x:c>
      <x:c r="G100" s="6" t="str"/>
      <x:c r="H100" s="6" t="str"/>
      <x:c r="I100" s="6" t="str">
        <x:v>Unknown</x:v>
      </x:c>
      <x:c r="J100" s="6" t="str">
        <x:v>Unknown</x:v>
      </x:c>
      <x:c r="K100" s="6" t="str">
        <x:v>Unresolved</x:v>
      </x:c>
      <x:c r="L100" s="7" t="str">
        <x:v>Nocturnix_Master_Services_Catalog_v1.xlsx | 01 - Master Services | row 139</x:v>
      </x:c>
      <x:c r="M100" s="6" t="str"/>
      <x:c r="N100" s="6" t="str"/>
      <x:c r="O100" s="6" t="str">
        <x:v>Pending</x:v>
      </x:c>
      <x:c r="P100" s="7" t="str">
        <x:f>IF(OR(D100="Reviewer Complete",D100="Awaiting Second-Level Approval"),"","Service identity dependency unresolved")</x:f>
        <x:v>Service identity dependency unresolved</x:v>
      </x:c>
      <x:c r="Q100" s="6" t="str">
        <x:v>Yes</x:v>
      </x:c>
      <x:c r="R100" s="7" t="str"/>
    </x:row>
    <x:row r="101">
      <x:c r="A101" s="6" t="str">
        <x:v>MFRX-0100</x:v>
      </x:c>
      <x:c r="B101" s="6" t="str">
        <x:v>SVC000100</x:v>
      </x:c>
      <x:c r="C101" s="6" t="str">
        <x:v>SIDX-0100</x:v>
      </x:c>
      <x:c r="D101" s="6" t="str">
        <x:f>IFERROR(XLOOKUP(C101,'Review Sequence'!C2:C1586,'Review Sequence'!J2:J1586),"Dependency not found")</x:f>
        <x:v>Not Started</x:v>
      </x:c>
      <x:c r="E101" s="6" t="str">
        <x:v>MFR-LEGACY-001</x:v>
      </x:c>
      <x:c r="F101" s="6" t="str">
        <x:v>Unknown</x:v>
      </x:c>
      <x:c r="G101" s="6" t="str"/>
      <x:c r="H101" s="6" t="str"/>
      <x:c r="I101" s="6" t="str">
        <x:v>Unknown</x:v>
      </x:c>
      <x:c r="J101" s="6" t="str">
        <x:v>Unknown</x:v>
      </x:c>
      <x:c r="K101" s="6" t="str">
        <x:v>Unresolved</x:v>
      </x:c>
      <x:c r="L101" s="7" t="str">
        <x:v>Nocturnix_Master_Services_Catalog_v1.xlsx | 01 - Master Services | row 140</x:v>
      </x:c>
      <x:c r="M101" s="6" t="str"/>
      <x:c r="N101" s="6" t="str"/>
      <x:c r="O101" s="6" t="str">
        <x:v>Pending</x:v>
      </x:c>
      <x:c r="P101" s="7" t="str">
        <x:f>IF(OR(D101="Reviewer Complete",D101="Awaiting Second-Level Approval"),"","Service identity dependency unresolved")</x:f>
        <x:v>Service identity dependency unresolved</x:v>
      </x:c>
      <x:c r="Q101" s="6" t="str">
        <x:v>Yes</x:v>
      </x:c>
      <x:c r="R101" s="7" t="str"/>
    </x:row>
    <x:row r="102">
      <x:c r="A102" s="6" t="str">
        <x:v>MFRX-0101</x:v>
      </x:c>
      <x:c r="B102" s="6" t="str">
        <x:v>SVC000101</x:v>
      </x:c>
      <x:c r="C102" s="6" t="str">
        <x:v>SIDX-0101</x:v>
      </x:c>
      <x:c r="D102" s="6" t="str">
        <x:f>IFERROR(XLOOKUP(C102,'Review Sequence'!C2:C1586,'Review Sequence'!J2:J1586),"Dependency not found")</x:f>
        <x:v>Not Started</x:v>
      </x:c>
      <x:c r="E102" s="6" t="str">
        <x:v>MFR-LEGACY-001</x:v>
      </x:c>
      <x:c r="F102" s="6" t="str">
        <x:v>Unknown</x:v>
      </x:c>
      <x:c r="G102" s="6" t="str"/>
      <x:c r="H102" s="6" t="str"/>
      <x:c r="I102" s="6" t="str">
        <x:v>Unknown</x:v>
      </x:c>
      <x:c r="J102" s="6" t="str">
        <x:v>Unknown</x:v>
      </x:c>
      <x:c r="K102" s="6" t="str">
        <x:v>Unresolved</x:v>
      </x:c>
      <x:c r="L102" s="7" t="str">
        <x:v>Nocturnix_Master_Services_Catalog_v1.xlsx | 01 - Master Services | row 141</x:v>
      </x:c>
      <x:c r="M102" s="6" t="str"/>
      <x:c r="N102" s="6" t="str"/>
      <x:c r="O102" s="6" t="str">
        <x:v>Pending</x:v>
      </x:c>
      <x:c r="P102" s="7" t="str">
        <x:f>IF(OR(D102="Reviewer Complete",D102="Awaiting Second-Level Approval"),"","Service identity dependency unresolved")</x:f>
        <x:v>Service identity dependency unresolved</x:v>
      </x:c>
      <x:c r="Q102" s="6" t="str">
        <x:v>Yes</x:v>
      </x:c>
      <x:c r="R102" s="7" t="str"/>
    </x:row>
    <x:row r="103">
      <x:c r="A103" s="6" t="str">
        <x:v>MFRX-0102</x:v>
      </x:c>
      <x:c r="B103" s="6" t="str">
        <x:v>SVC000102</x:v>
      </x:c>
      <x:c r="C103" s="6" t="str">
        <x:v>SIDX-0102</x:v>
      </x:c>
      <x:c r="D103" s="6" t="str">
        <x:f>IFERROR(XLOOKUP(C103,'Review Sequence'!C2:C1586,'Review Sequence'!J2:J1586),"Dependency not found")</x:f>
        <x:v>Not Started</x:v>
      </x:c>
      <x:c r="E103" s="6" t="str">
        <x:v>MFR-LEGACY-001</x:v>
      </x:c>
      <x:c r="F103" s="6" t="str">
        <x:v>Unknown</x:v>
      </x:c>
      <x:c r="G103" s="6" t="str"/>
      <x:c r="H103" s="6" t="str"/>
      <x:c r="I103" s="6" t="str">
        <x:v>Unknown</x:v>
      </x:c>
      <x:c r="J103" s="6" t="str">
        <x:v>Unknown</x:v>
      </x:c>
      <x:c r="K103" s="6" t="str">
        <x:v>Unresolved</x:v>
      </x:c>
      <x:c r="L103" s="7" t="str">
        <x:v>Nocturnix_Master_Services_Catalog_v1.xlsx | 01 - Master Services | row 142</x:v>
      </x:c>
      <x:c r="M103" s="6" t="str"/>
      <x:c r="N103" s="6" t="str"/>
      <x:c r="O103" s="6" t="str">
        <x:v>Pending</x:v>
      </x:c>
      <x:c r="P103" s="7" t="str">
        <x:f>IF(OR(D103="Reviewer Complete",D103="Awaiting Second-Level Approval"),"","Service identity dependency unresolved")</x:f>
        <x:v>Service identity dependency unresolved</x:v>
      </x:c>
      <x:c r="Q103" s="6" t="str">
        <x:v>Yes</x:v>
      </x:c>
      <x:c r="R103" s="7" t="str"/>
    </x:row>
    <x:row r="104">
      <x:c r="A104" s="6" t="str">
        <x:v>MFRX-0103</x:v>
      </x:c>
      <x:c r="B104" s="6" t="str">
        <x:v>SVC000103</x:v>
      </x:c>
      <x:c r="C104" s="6" t="str">
        <x:v>SIDX-0103</x:v>
      </x:c>
      <x:c r="D104" s="6" t="str">
        <x:f>IFERROR(XLOOKUP(C104,'Review Sequence'!C2:C1586,'Review Sequence'!J2:J1586),"Dependency not found")</x:f>
        <x:v>Not Started</x:v>
      </x:c>
      <x:c r="E104" s="6" t="str">
        <x:v>MFR-LEGACY-001</x:v>
      </x:c>
      <x:c r="F104" s="6" t="str">
        <x:v>Unknown</x:v>
      </x:c>
      <x:c r="G104" s="6" t="str"/>
      <x:c r="H104" s="6" t="str"/>
      <x:c r="I104" s="6" t="str">
        <x:v>Unknown</x:v>
      </x:c>
      <x:c r="J104" s="6" t="str">
        <x:v>Unknown</x:v>
      </x:c>
      <x:c r="K104" s="6" t="str">
        <x:v>Unresolved</x:v>
      </x:c>
      <x:c r="L104" s="7" t="str">
        <x:v>Nocturnix_Master_Services_Catalog_v1.xlsx | 01 - Master Services | row 143</x:v>
      </x:c>
      <x:c r="M104" s="6" t="str"/>
      <x:c r="N104" s="6" t="str"/>
      <x:c r="O104" s="6" t="str">
        <x:v>Pending</x:v>
      </x:c>
      <x:c r="P104" s="7" t="str">
        <x:f>IF(OR(D104="Reviewer Complete",D104="Awaiting Second-Level Approval"),"","Service identity dependency unresolved")</x:f>
        <x:v>Service identity dependency unresolved</x:v>
      </x:c>
      <x:c r="Q104" s="6" t="str">
        <x:v>Yes</x:v>
      </x:c>
      <x:c r="R104" s="7" t="str"/>
    </x:row>
    <x:row r="105">
      <x:c r="A105" s="6" t="str">
        <x:v>MFRX-0104</x:v>
      </x:c>
      <x:c r="B105" s="6" t="str">
        <x:v>SVC000104</x:v>
      </x:c>
      <x:c r="C105" s="6" t="str">
        <x:v>SIDX-0104</x:v>
      </x:c>
      <x:c r="D105" s="6" t="str">
        <x:f>IFERROR(XLOOKUP(C105,'Review Sequence'!C2:C1586,'Review Sequence'!J2:J1586),"Dependency not found")</x:f>
        <x:v>Not Started</x:v>
      </x:c>
      <x:c r="E105" s="6" t="str">
        <x:v>MFR-LEGACY-001</x:v>
      </x:c>
      <x:c r="F105" s="6" t="str">
        <x:v>Unknown</x:v>
      </x:c>
      <x:c r="G105" s="6" t="str"/>
      <x:c r="H105" s="6" t="str"/>
      <x:c r="I105" s="6" t="str">
        <x:v>Unknown</x:v>
      </x:c>
      <x:c r="J105" s="6" t="str">
        <x:v>Unknown</x:v>
      </x:c>
      <x:c r="K105" s="6" t="str">
        <x:v>Unresolved</x:v>
      </x:c>
      <x:c r="L105" s="7" t="str">
        <x:v>Nocturnix_Master_Services_Catalog_v1.xlsx | 01 - Master Services | row 144</x:v>
      </x:c>
      <x:c r="M105" s="6" t="str"/>
      <x:c r="N105" s="6" t="str"/>
      <x:c r="O105" s="6" t="str">
        <x:v>Pending</x:v>
      </x:c>
      <x:c r="P105" s="7" t="str">
        <x:f>IF(OR(D105="Reviewer Complete",D105="Awaiting Second-Level Approval"),"","Service identity dependency unresolved")</x:f>
        <x:v>Service identity dependency unresolved</x:v>
      </x:c>
      <x:c r="Q105" s="6" t="str">
        <x:v>Yes</x:v>
      </x:c>
      <x:c r="R105" s="7" t="str"/>
    </x:row>
    <x:row r="106">
      <x:c r="A106" s="6" t="str">
        <x:v>MFRX-0105</x:v>
      </x:c>
      <x:c r="B106" s="6" t="str">
        <x:v>SVC000105</x:v>
      </x:c>
      <x:c r="C106" s="6" t="str">
        <x:v>SIDX-0105</x:v>
      </x:c>
      <x:c r="D106" s="6" t="str">
        <x:f>IFERROR(XLOOKUP(C106,'Review Sequence'!C2:C1586,'Review Sequence'!J2:J1586),"Dependency not found")</x:f>
        <x:v>Not Started</x:v>
      </x:c>
      <x:c r="E106" s="6" t="str">
        <x:v>MFR-LEGACY-001</x:v>
      </x:c>
      <x:c r="F106" s="6" t="str">
        <x:v>Unknown</x:v>
      </x:c>
      <x:c r="G106" s="6" t="str"/>
      <x:c r="H106" s="6" t="str"/>
      <x:c r="I106" s="6" t="str">
        <x:v>Unknown</x:v>
      </x:c>
      <x:c r="J106" s="6" t="str">
        <x:v>Unknown</x:v>
      </x:c>
      <x:c r="K106" s="6" t="str">
        <x:v>Unresolved</x:v>
      </x:c>
      <x:c r="L106" s="7" t="str">
        <x:v>Nocturnix_Master_Services_Catalog_v1.xlsx | 01 - Master Services | row 145</x:v>
      </x:c>
      <x:c r="M106" s="6" t="str"/>
      <x:c r="N106" s="6" t="str"/>
      <x:c r="O106" s="6" t="str">
        <x:v>Pending</x:v>
      </x:c>
      <x:c r="P106" s="7" t="str">
        <x:f>IF(OR(D106="Reviewer Complete",D106="Awaiting Second-Level Approval"),"","Service identity dependency unresolved")</x:f>
        <x:v>Service identity dependency unresolved</x:v>
      </x:c>
      <x:c r="Q106" s="6" t="str">
        <x:v>Yes</x:v>
      </x:c>
      <x:c r="R106" s="7" t="str"/>
    </x:row>
    <x:row r="107">
      <x:c r="A107" s="6" t="str">
        <x:v>MFRX-0106</x:v>
      </x:c>
      <x:c r="B107" s="6" t="str">
        <x:v>SVC000106</x:v>
      </x:c>
      <x:c r="C107" s="6" t="str">
        <x:v>SIDX-0106</x:v>
      </x:c>
      <x:c r="D107" s="6" t="str">
        <x:f>IFERROR(XLOOKUP(C107,'Review Sequence'!C2:C1586,'Review Sequence'!J2:J1586),"Dependency not found")</x:f>
        <x:v>Not Started</x:v>
      </x:c>
      <x:c r="E107" s="6" t="str">
        <x:v>MFR-LEGACY-001</x:v>
      </x:c>
      <x:c r="F107" s="6" t="str">
        <x:v>Unknown</x:v>
      </x:c>
      <x:c r="G107" s="6" t="str"/>
      <x:c r="H107" s="6" t="str"/>
      <x:c r="I107" s="6" t="str">
        <x:v>Unknown</x:v>
      </x:c>
      <x:c r="J107" s="6" t="str">
        <x:v>Unknown</x:v>
      </x:c>
      <x:c r="K107" s="6" t="str">
        <x:v>Unresolved</x:v>
      </x:c>
      <x:c r="L107" s="7" t="str">
        <x:v>Nocturnix_Master_Services_Catalog_v1.xlsx | 01 - Master Services | row 146</x:v>
      </x:c>
      <x:c r="M107" s="6" t="str"/>
      <x:c r="N107" s="6" t="str"/>
      <x:c r="O107" s="6" t="str">
        <x:v>Pending</x:v>
      </x:c>
      <x:c r="P107" s="7" t="str">
        <x:f>IF(OR(D107="Reviewer Complete",D107="Awaiting Second-Level Approval"),"","Service identity dependency unresolved")</x:f>
        <x:v>Service identity dependency unresolved</x:v>
      </x:c>
      <x:c r="Q107" s="6" t="str">
        <x:v>Yes</x:v>
      </x:c>
      <x:c r="R107" s="7" t="str"/>
    </x:row>
    <x:row r="108">
      <x:c r="A108" s="6" t="str">
        <x:v>MFRX-0107</x:v>
      </x:c>
      <x:c r="B108" s="6" t="str">
        <x:v>SVC000107</x:v>
      </x:c>
      <x:c r="C108" s="6" t="str">
        <x:v>SIDX-0107</x:v>
      </x:c>
      <x:c r="D108" s="6" t="str">
        <x:f>IFERROR(XLOOKUP(C108,'Review Sequence'!C2:C1586,'Review Sequence'!J2:J1586),"Dependency not found")</x:f>
        <x:v>Not Started</x:v>
      </x:c>
      <x:c r="E108" s="6" t="str">
        <x:v>MFR-LEGACY-001</x:v>
      </x:c>
      <x:c r="F108" s="6" t="str">
        <x:v>Unknown</x:v>
      </x:c>
      <x:c r="G108" s="6" t="str"/>
      <x:c r="H108" s="6" t="str"/>
      <x:c r="I108" s="6" t="str">
        <x:v>Unknown</x:v>
      </x:c>
      <x:c r="J108" s="6" t="str">
        <x:v>Unknown</x:v>
      </x:c>
      <x:c r="K108" s="6" t="str">
        <x:v>Unresolved</x:v>
      </x:c>
      <x:c r="L108" s="7" t="str">
        <x:v>Nocturnix_Master_Services_Catalog_v1.xlsx | 01 - Master Services | row 147</x:v>
      </x:c>
      <x:c r="M108" s="6" t="str"/>
      <x:c r="N108" s="6" t="str"/>
      <x:c r="O108" s="6" t="str">
        <x:v>Pending</x:v>
      </x:c>
      <x:c r="P108" s="7" t="str">
        <x:f>IF(OR(D108="Reviewer Complete",D108="Awaiting Second-Level Approval"),"","Service identity dependency unresolved")</x:f>
        <x:v>Service identity dependency unresolved</x:v>
      </x:c>
      <x:c r="Q108" s="6" t="str">
        <x:v>Yes</x:v>
      </x:c>
      <x:c r="R108" s="7" t="str"/>
    </x:row>
    <x:row r="109">
      <x:c r="A109" s="6" t="str">
        <x:v>MFRX-0108</x:v>
      </x:c>
      <x:c r="B109" s="6" t="str">
        <x:v>SVC000108</x:v>
      </x:c>
      <x:c r="C109" s="6" t="str">
        <x:v>SIDX-0108</x:v>
      </x:c>
      <x:c r="D109" s="6" t="str">
        <x:f>IFERROR(XLOOKUP(C109,'Review Sequence'!C2:C1586,'Review Sequence'!J2:J1586),"Dependency not found")</x:f>
        <x:v>Not Started</x:v>
      </x:c>
      <x:c r="E109" s="6" t="str">
        <x:v>MFR-LEGACY-001</x:v>
      </x:c>
      <x:c r="F109" s="6" t="str">
        <x:v>Unknown</x:v>
      </x:c>
      <x:c r="G109" s="6" t="str"/>
      <x:c r="H109" s="6" t="str"/>
      <x:c r="I109" s="6" t="str">
        <x:v>Unknown</x:v>
      </x:c>
      <x:c r="J109" s="6" t="str">
        <x:v>Unknown</x:v>
      </x:c>
      <x:c r="K109" s="6" t="str">
        <x:v>Unresolved</x:v>
      </x:c>
      <x:c r="L109" s="7" t="str">
        <x:v>Nocturnix_Master_Services_Catalog_v1.xlsx | 01 - Master Services | row 148</x:v>
      </x:c>
      <x:c r="M109" s="6" t="str"/>
      <x:c r="N109" s="6" t="str"/>
      <x:c r="O109" s="6" t="str">
        <x:v>Pending</x:v>
      </x:c>
      <x:c r="P109" s="7" t="str">
        <x:f>IF(OR(D109="Reviewer Complete",D109="Awaiting Second-Level Approval"),"","Service identity dependency unresolved")</x:f>
        <x:v>Service identity dependency unresolved</x:v>
      </x:c>
      <x:c r="Q109" s="6" t="str">
        <x:v>Yes</x:v>
      </x:c>
      <x:c r="R109" s="7" t="str"/>
    </x:row>
    <x:row r="110">
      <x:c r="A110" s="6" t="str">
        <x:v>MFRX-0109</x:v>
      </x:c>
      <x:c r="B110" s="6" t="str">
        <x:v>SVC000109</x:v>
      </x:c>
      <x:c r="C110" s="6" t="str">
        <x:v>SIDX-0109</x:v>
      </x:c>
      <x:c r="D110" s="6" t="str">
        <x:f>IFERROR(XLOOKUP(C110,'Review Sequence'!C2:C1586,'Review Sequence'!J2:J1586),"Dependency not found")</x:f>
        <x:v>Not Started</x:v>
      </x:c>
      <x:c r="E110" s="6" t="str">
        <x:v>MFR-LEGACY-001</x:v>
      </x:c>
      <x:c r="F110" s="6" t="str">
        <x:v>Unknown</x:v>
      </x:c>
      <x:c r="G110" s="6" t="str"/>
      <x:c r="H110" s="6" t="str"/>
      <x:c r="I110" s="6" t="str">
        <x:v>Unknown</x:v>
      </x:c>
      <x:c r="J110" s="6" t="str">
        <x:v>Unknown</x:v>
      </x:c>
      <x:c r="K110" s="6" t="str">
        <x:v>Unresolved</x:v>
      </x:c>
      <x:c r="L110" s="7" t="str">
        <x:v>Nocturnix_Master_Services_Catalog_v1.xlsx | 01 - Master Services | row 149</x:v>
      </x:c>
      <x:c r="M110" s="6" t="str"/>
      <x:c r="N110" s="6" t="str"/>
      <x:c r="O110" s="6" t="str">
        <x:v>Pending</x:v>
      </x:c>
      <x:c r="P110" s="7" t="str">
        <x:f>IF(OR(D110="Reviewer Complete",D110="Awaiting Second-Level Approval"),"","Service identity dependency unresolved")</x:f>
        <x:v>Service identity dependency unresolved</x:v>
      </x:c>
      <x:c r="Q110" s="6" t="str">
        <x:v>Yes</x:v>
      </x:c>
      <x:c r="R110" s="7" t="str"/>
    </x:row>
    <x:row r="111">
      <x:c r="A111" s="6" t="str">
        <x:v>MFRX-0110</x:v>
      </x:c>
      <x:c r="B111" s="6" t="str">
        <x:v>SVC000110</x:v>
      </x:c>
      <x:c r="C111" s="6" t="str">
        <x:v>SIDX-0110</x:v>
      </x:c>
      <x:c r="D111" s="6" t="str">
        <x:f>IFERROR(XLOOKUP(C111,'Review Sequence'!C2:C1586,'Review Sequence'!J2:J1586),"Dependency not found")</x:f>
        <x:v>Not Started</x:v>
      </x:c>
      <x:c r="E111" s="6" t="str">
        <x:v>MFR-LEGACY-001</x:v>
      </x:c>
      <x:c r="F111" s="6" t="str">
        <x:v>Unknown</x:v>
      </x:c>
      <x:c r="G111" s="6" t="str"/>
      <x:c r="H111" s="6" t="str"/>
      <x:c r="I111" s="6" t="str">
        <x:v>Unknown</x:v>
      </x:c>
      <x:c r="J111" s="6" t="str">
        <x:v>Unknown</x:v>
      </x:c>
      <x:c r="K111" s="6" t="str">
        <x:v>Unresolved</x:v>
      </x:c>
      <x:c r="L111" s="7" t="str">
        <x:v>Nocturnix_Master_Services_Catalog_v1.xlsx | 01 - Master Services | row 150</x:v>
      </x:c>
      <x:c r="M111" s="6" t="str"/>
      <x:c r="N111" s="6" t="str"/>
      <x:c r="O111" s="6" t="str">
        <x:v>Pending</x:v>
      </x:c>
      <x:c r="P111" s="7" t="str">
        <x:f>IF(OR(D111="Reviewer Complete",D111="Awaiting Second-Level Approval"),"","Service identity dependency unresolved")</x:f>
        <x:v>Service identity dependency unresolved</x:v>
      </x:c>
      <x:c r="Q111" s="6" t="str">
        <x:v>Yes</x:v>
      </x:c>
      <x:c r="R111" s="7" t="str"/>
    </x:row>
    <x:row r="112">
      <x:c r="A112" s="6" t="str">
        <x:v>MFRX-0111</x:v>
      </x:c>
      <x:c r="B112" s="6" t="str">
        <x:v>SVC000111</x:v>
      </x:c>
      <x:c r="C112" s="6" t="str">
        <x:v>SIDX-0111</x:v>
      </x:c>
      <x:c r="D112" s="6" t="str">
        <x:f>IFERROR(XLOOKUP(C112,'Review Sequence'!C2:C1586,'Review Sequence'!J2:J1586),"Dependency not found")</x:f>
        <x:v>Not Started</x:v>
      </x:c>
      <x:c r="E112" s="6" t="str">
        <x:v>MFR-LEGACY-001</x:v>
      </x:c>
      <x:c r="F112" s="6" t="str">
        <x:v>Unknown</x:v>
      </x:c>
      <x:c r="G112" s="6" t="str"/>
      <x:c r="H112" s="6" t="str"/>
      <x:c r="I112" s="6" t="str">
        <x:v>Unknown</x:v>
      </x:c>
      <x:c r="J112" s="6" t="str">
        <x:v>Unknown</x:v>
      </x:c>
      <x:c r="K112" s="6" t="str">
        <x:v>Unresolved</x:v>
      </x:c>
      <x:c r="L112" s="7" t="str">
        <x:v>Nocturnix_Master_Services_Catalog_v1.xlsx | 01 - Master Services | row 151</x:v>
      </x:c>
      <x:c r="M112" s="6" t="str"/>
      <x:c r="N112" s="6" t="str"/>
      <x:c r="O112" s="6" t="str">
        <x:v>Pending</x:v>
      </x:c>
      <x:c r="P112" s="7" t="str">
        <x:f>IF(OR(D112="Reviewer Complete",D112="Awaiting Second-Level Approval"),"","Service identity dependency unresolved")</x:f>
        <x:v>Service identity dependency unresolved</x:v>
      </x:c>
      <x:c r="Q112" s="6" t="str">
        <x:v>Yes</x:v>
      </x:c>
      <x:c r="R112" s="7" t="str"/>
    </x:row>
    <x:row r="113">
      <x:c r="A113" s="6" t="str">
        <x:v>MFRX-0112</x:v>
      </x:c>
      <x:c r="B113" s="6" t="str">
        <x:v>SVC000112</x:v>
      </x:c>
      <x:c r="C113" s="6" t="str">
        <x:v>SIDX-0112</x:v>
      </x:c>
      <x:c r="D113" s="6" t="str">
        <x:f>IFERROR(XLOOKUP(C113,'Review Sequence'!C2:C1586,'Review Sequence'!J2:J1586),"Dependency not found")</x:f>
        <x:v>Not Started</x:v>
      </x:c>
      <x:c r="E113" s="6" t="str">
        <x:v>MFR-LEGACY-001</x:v>
      </x:c>
      <x:c r="F113" s="6" t="str">
        <x:v>Unknown</x:v>
      </x:c>
      <x:c r="G113" s="6" t="str"/>
      <x:c r="H113" s="6" t="str"/>
      <x:c r="I113" s="6" t="str">
        <x:v>Unknown</x:v>
      </x:c>
      <x:c r="J113" s="6" t="str">
        <x:v>Unknown</x:v>
      </x:c>
      <x:c r="K113" s="6" t="str">
        <x:v>Unresolved</x:v>
      </x:c>
      <x:c r="L113" s="7" t="str">
        <x:v>Nocturnix_Master_Services_Catalog_v1.xlsx | 01 - Master Services | row 152</x:v>
      </x:c>
      <x:c r="M113" s="6" t="str"/>
      <x:c r="N113" s="6" t="str"/>
      <x:c r="O113" s="6" t="str">
        <x:v>Pending</x:v>
      </x:c>
      <x:c r="P113" s="7" t="str">
        <x:f>IF(OR(D113="Reviewer Complete",D113="Awaiting Second-Level Approval"),"","Service identity dependency unresolved")</x:f>
        <x:v>Service identity dependency unresolved</x:v>
      </x:c>
      <x:c r="Q113" s="6" t="str">
        <x:v>Yes</x:v>
      </x:c>
      <x:c r="R113" s="7" t="str"/>
    </x:row>
    <x:row r="114">
      <x:c r="A114" s="6" t="str">
        <x:v>MFRX-0113</x:v>
      </x:c>
      <x:c r="B114" s="6" t="str">
        <x:v>SVC000113</x:v>
      </x:c>
      <x:c r="C114" s="6" t="str">
        <x:v>SIDX-0113</x:v>
      </x:c>
      <x:c r="D114" s="6" t="str">
        <x:f>IFERROR(XLOOKUP(C114,'Review Sequence'!C2:C1586,'Review Sequence'!J2:J1586),"Dependency not found")</x:f>
        <x:v>Not Started</x:v>
      </x:c>
      <x:c r="E114" s="6" t="str">
        <x:v>MFR-LEGACY-001</x:v>
      </x:c>
      <x:c r="F114" s="6" t="str">
        <x:v>Unknown</x:v>
      </x:c>
      <x:c r="G114" s="6" t="str"/>
      <x:c r="H114" s="6" t="str"/>
      <x:c r="I114" s="6" t="str">
        <x:v>Unknown</x:v>
      </x:c>
      <x:c r="J114" s="6" t="str">
        <x:v>Unknown</x:v>
      </x:c>
      <x:c r="K114" s="6" t="str">
        <x:v>Unresolved</x:v>
      </x:c>
      <x:c r="L114" s="7" t="str">
        <x:v>Nocturnix_Master_Services_Catalog_v1.xlsx | 01 - Master Services | row 153</x:v>
      </x:c>
      <x:c r="M114" s="6" t="str"/>
      <x:c r="N114" s="6" t="str"/>
      <x:c r="O114" s="6" t="str">
        <x:v>Pending</x:v>
      </x:c>
      <x:c r="P114" s="7" t="str">
        <x:f>IF(OR(D114="Reviewer Complete",D114="Awaiting Second-Level Approval"),"","Service identity dependency unresolved")</x:f>
        <x:v>Service identity dependency unresolved</x:v>
      </x:c>
      <x:c r="Q114" s="6" t="str">
        <x:v>Yes</x:v>
      </x:c>
      <x:c r="R114" s="7" t="str"/>
    </x:row>
    <x:row r="115">
      <x:c r="A115" s="6" t="str">
        <x:v>MFRX-0114</x:v>
      </x:c>
      <x:c r="B115" s="6" t="str">
        <x:v>SVC000114</x:v>
      </x:c>
      <x:c r="C115" s="6" t="str">
        <x:v>SIDX-0114</x:v>
      </x:c>
      <x:c r="D115" s="6" t="str">
        <x:f>IFERROR(XLOOKUP(C115,'Review Sequence'!C2:C1586,'Review Sequence'!J2:J1586),"Dependency not found")</x:f>
        <x:v>Not Started</x:v>
      </x:c>
      <x:c r="E115" s="6" t="str">
        <x:v>MFR-LEGACY-001</x:v>
      </x:c>
      <x:c r="F115" s="6" t="str">
        <x:v>Unknown</x:v>
      </x:c>
      <x:c r="G115" s="6" t="str"/>
      <x:c r="H115" s="6" t="str"/>
      <x:c r="I115" s="6" t="str">
        <x:v>Unknown</x:v>
      </x:c>
      <x:c r="J115" s="6" t="str">
        <x:v>Unknown</x:v>
      </x:c>
      <x:c r="K115" s="6" t="str">
        <x:v>Unresolved</x:v>
      </x:c>
      <x:c r="L115" s="7" t="str">
        <x:v>Nocturnix_Master_Services_Catalog_v1.xlsx | 01 - Master Services | row 154</x:v>
      </x:c>
      <x:c r="M115" s="6" t="str"/>
      <x:c r="N115" s="6" t="str"/>
      <x:c r="O115" s="6" t="str">
        <x:v>Pending</x:v>
      </x:c>
      <x:c r="P115" s="7" t="str">
        <x:f>IF(OR(D115="Reviewer Complete",D115="Awaiting Second-Level Approval"),"","Service identity dependency unresolved")</x:f>
        <x:v>Service identity dependency unresolved</x:v>
      </x:c>
      <x:c r="Q115" s="6" t="str">
        <x:v>Yes</x:v>
      </x:c>
      <x:c r="R115" s="7" t="str"/>
    </x:row>
    <x:row r="116">
      <x:c r="A116" s="6" t="str">
        <x:v>MFRX-0115</x:v>
      </x:c>
      <x:c r="B116" s="6" t="str">
        <x:v>SVC000115</x:v>
      </x:c>
      <x:c r="C116" s="6" t="str">
        <x:v>SIDX-0115</x:v>
      </x:c>
      <x:c r="D116" s="6" t="str">
        <x:f>IFERROR(XLOOKUP(C116,'Review Sequence'!C2:C1586,'Review Sequence'!J2:J1586),"Dependency not found")</x:f>
        <x:v>Not Started</x:v>
      </x:c>
      <x:c r="E116" s="6" t="str">
        <x:v>MFR-LEGACY-001</x:v>
      </x:c>
      <x:c r="F116" s="6" t="str">
        <x:v>Unknown</x:v>
      </x:c>
      <x:c r="G116" s="6" t="str"/>
      <x:c r="H116" s="6" t="str"/>
      <x:c r="I116" s="6" t="str">
        <x:v>Unknown</x:v>
      </x:c>
      <x:c r="J116" s="6" t="str">
        <x:v>Unknown</x:v>
      </x:c>
      <x:c r="K116" s="6" t="str">
        <x:v>Unresolved</x:v>
      </x:c>
      <x:c r="L116" s="7" t="str">
        <x:v>Nocturnix_Master_Services_Catalog_v1.xlsx | 01 - Master Services | row 155</x:v>
      </x:c>
      <x:c r="M116" s="6" t="str"/>
      <x:c r="N116" s="6" t="str"/>
      <x:c r="O116" s="6" t="str">
        <x:v>Pending</x:v>
      </x:c>
      <x:c r="P116" s="7" t="str">
        <x:f>IF(OR(D116="Reviewer Complete",D116="Awaiting Second-Level Approval"),"","Service identity dependency unresolved")</x:f>
        <x:v>Service identity dependency unresolved</x:v>
      </x:c>
      <x:c r="Q116" s="6" t="str">
        <x:v>Yes</x:v>
      </x:c>
      <x:c r="R116" s="7" t="str"/>
    </x:row>
    <x:row r="117">
      <x:c r="A117" s="6" t="str">
        <x:v>MFRX-0116</x:v>
      </x:c>
      <x:c r="B117" s="6" t="str">
        <x:v>SVC000116</x:v>
      </x:c>
      <x:c r="C117" s="6" t="str">
        <x:v>SIDX-0116</x:v>
      </x:c>
      <x:c r="D117" s="6" t="str">
        <x:f>IFERROR(XLOOKUP(C117,'Review Sequence'!C2:C1586,'Review Sequence'!J2:J1586),"Dependency not found")</x:f>
        <x:v>Not Started</x:v>
      </x:c>
      <x:c r="E117" s="6" t="str">
        <x:v>MFR-LEGACY-001</x:v>
      </x:c>
      <x:c r="F117" s="6" t="str">
        <x:v>Unknown</x:v>
      </x:c>
      <x:c r="G117" s="6" t="str"/>
      <x:c r="H117" s="6" t="str"/>
      <x:c r="I117" s="6" t="str">
        <x:v>Unknown</x:v>
      </x:c>
      <x:c r="J117" s="6" t="str">
        <x:v>Unknown</x:v>
      </x:c>
      <x:c r="K117" s="6" t="str">
        <x:v>Unresolved</x:v>
      </x:c>
      <x:c r="L117" s="7" t="str">
        <x:v>Nocturnix_Master_Services_Catalog_v1.xlsx | 01 - Master Services | row 156</x:v>
      </x:c>
      <x:c r="M117" s="6" t="str"/>
      <x:c r="N117" s="6" t="str"/>
      <x:c r="O117" s="6" t="str">
        <x:v>Pending</x:v>
      </x:c>
      <x:c r="P117" s="7" t="str">
        <x:f>IF(OR(D117="Reviewer Complete",D117="Awaiting Second-Level Approval"),"","Service identity dependency unresolved")</x:f>
        <x:v>Service identity dependency unresolved</x:v>
      </x:c>
      <x:c r="Q117" s="6" t="str">
        <x:v>Yes</x:v>
      </x:c>
      <x:c r="R117" s="7" t="str"/>
    </x:row>
    <x:row r="118">
      <x:c r="A118" s="6" t="str">
        <x:v>MFRX-0117</x:v>
      </x:c>
      <x:c r="B118" s="6" t="str">
        <x:v>SVC000117</x:v>
      </x:c>
      <x:c r="C118" s="6" t="str">
        <x:v>SIDX-0117</x:v>
      </x:c>
      <x:c r="D118" s="6" t="str">
        <x:f>IFERROR(XLOOKUP(C118,'Review Sequence'!C2:C1586,'Review Sequence'!J2:J1586),"Dependency not found")</x:f>
        <x:v>Not Started</x:v>
      </x:c>
      <x:c r="E118" s="6" t="str">
        <x:v>MFR-LEGACY-001</x:v>
      </x:c>
      <x:c r="F118" s="6" t="str">
        <x:v>Unknown</x:v>
      </x:c>
      <x:c r="G118" s="6" t="str"/>
      <x:c r="H118" s="6" t="str"/>
      <x:c r="I118" s="6" t="str">
        <x:v>Unknown</x:v>
      </x:c>
      <x:c r="J118" s="6" t="str">
        <x:v>Unknown</x:v>
      </x:c>
      <x:c r="K118" s="6" t="str">
        <x:v>Unresolved</x:v>
      </x:c>
      <x:c r="L118" s="7" t="str">
        <x:v>Nocturnix_Master_Services_Catalog_v1.xlsx | 01 - Master Services | row 157</x:v>
      </x:c>
      <x:c r="M118" s="6" t="str"/>
      <x:c r="N118" s="6" t="str"/>
      <x:c r="O118" s="6" t="str">
        <x:v>Pending</x:v>
      </x:c>
      <x:c r="P118" s="7" t="str">
        <x:f>IF(OR(D118="Reviewer Complete",D118="Awaiting Second-Level Approval"),"","Service identity dependency unresolved")</x:f>
        <x:v>Service identity dependency unresolved</x:v>
      </x:c>
      <x:c r="Q118" s="6" t="str">
        <x:v>Yes</x:v>
      </x:c>
      <x:c r="R118" s="7" t="str"/>
    </x:row>
    <x:row r="119">
      <x:c r="A119" s="6" t="str">
        <x:v>MFRX-0118</x:v>
      </x:c>
      <x:c r="B119" s="6" t="str">
        <x:v>SVC000118</x:v>
      </x:c>
      <x:c r="C119" s="6" t="str">
        <x:v>SIDX-0118</x:v>
      </x:c>
      <x:c r="D119" s="6" t="str">
        <x:f>IFERROR(XLOOKUP(C119,'Review Sequence'!C2:C1586,'Review Sequence'!J2:J1586),"Dependency not found")</x:f>
        <x:v>Not Started</x:v>
      </x:c>
      <x:c r="E119" s="6" t="str">
        <x:v>MFR-LEGACY-001</x:v>
      </x:c>
      <x:c r="F119" s="6" t="str">
        <x:v>Unknown</x:v>
      </x:c>
      <x:c r="G119" s="6" t="str"/>
      <x:c r="H119" s="6" t="str"/>
      <x:c r="I119" s="6" t="str">
        <x:v>Unknown</x:v>
      </x:c>
      <x:c r="J119" s="6" t="str">
        <x:v>Unknown</x:v>
      </x:c>
      <x:c r="K119" s="6" t="str">
        <x:v>Unresolved</x:v>
      </x:c>
      <x:c r="L119" s="7" t="str">
        <x:v>Nocturnix_Master_Services_Catalog_v1.xlsx | 01 - Master Services | row 158</x:v>
      </x:c>
      <x:c r="M119" s="6" t="str"/>
      <x:c r="N119" s="6" t="str"/>
      <x:c r="O119" s="6" t="str">
        <x:v>Pending</x:v>
      </x:c>
      <x:c r="P119" s="7" t="str">
        <x:f>IF(OR(D119="Reviewer Complete",D119="Awaiting Second-Level Approval"),"","Service identity dependency unresolved")</x:f>
        <x:v>Service identity dependency unresolved</x:v>
      </x:c>
      <x:c r="Q119" s="6" t="str">
        <x:v>Yes</x:v>
      </x:c>
      <x:c r="R119" s="7" t="str"/>
    </x:row>
    <x:row r="120">
      <x:c r="A120" s="6" t="str">
        <x:v>MFRX-0119</x:v>
      </x:c>
      <x:c r="B120" s="6" t="str">
        <x:v>SVC000119</x:v>
      </x:c>
      <x:c r="C120" s="6" t="str">
        <x:v>SIDX-0119</x:v>
      </x:c>
      <x:c r="D120" s="6" t="str">
        <x:f>IFERROR(XLOOKUP(C120,'Review Sequence'!C2:C1586,'Review Sequence'!J2:J1586),"Dependency not found")</x:f>
        <x:v>Not Started</x:v>
      </x:c>
      <x:c r="E120" s="6" t="str">
        <x:v>MFR-LEGACY-001</x:v>
      </x:c>
      <x:c r="F120" s="6" t="str">
        <x:v>Unknown</x:v>
      </x:c>
      <x:c r="G120" s="6" t="str"/>
      <x:c r="H120" s="6" t="str"/>
      <x:c r="I120" s="6" t="str">
        <x:v>Unknown</x:v>
      </x:c>
      <x:c r="J120" s="6" t="str">
        <x:v>Unknown</x:v>
      </x:c>
      <x:c r="K120" s="6" t="str">
        <x:v>Unresolved</x:v>
      </x:c>
      <x:c r="L120" s="7" t="str">
        <x:v>Nocturnix_Master_Services_Catalog_v1.xlsx | 01 - Master Services | row 159</x:v>
      </x:c>
      <x:c r="M120" s="6" t="str"/>
      <x:c r="N120" s="6" t="str"/>
      <x:c r="O120" s="6" t="str">
        <x:v>Pending</x:v>
      </x:c>
      <x:c r="P120" s="7" t="str">
        <x:f>IF(OR(D120="Reviewer Complete",D120="Awaiting Second-Level Approval"),"","Service identity dependency unresolved")</x:f>
        <x:v>Service identity dependency unresolved</x:v>
      </x:c>
      <x:c r="Q120" s="6" t="str">
        <x:v>Yes</x:v>
      </x:c>
      <x:c r="R120" s="7" t="str"/>
    </x:row>
    <x:row r="121">
      <x:c r="A121" s="6" t="str">
        <x:v>MFRX-0120</x:v>
      </x:c>
      <x:c r="B121" s="6" t="str">
        <x:v>SVC000120</x:v>
      </x:c>
      <x:c r="C121" s="6" t="str">
        <x:v>SIDX-0120</x:v>
      </x:c>
      <x:c r="D121" s="6" t="str">
        <x:f>IFERROR(XLOOKUP(C121,'Review Sequence'!C2:C1586,'Review Sequence'!J2:J1586),"Dependency not found")</x:f>
        <x:v>Not Started</x:v>
      </x:c>
      <x:c r="E121" s="6" t="str">
        <x:v>MFR-LEGACY-001</x:v>
      </x:c>
      <x:c r="F121" s="6" t="str">
        <x:v>Unknown</x:v>
      </x:c>
      <x:c r="G121" s="6" t="str"/>
      <x:c r="H121" s="6" t="str"/>
      <x:c r="I121" s="6" t="str">
        <x:v>Unknown</x:v>
      </x:c>
      <x:c r="J121" s="6" t="str">
        <x:v>Unknown</x:v>
      </x:c>
      <x:c r="K121" s="6" t="str">
        <x:v>Unresolved</x:v>
      </x:c>
      <x:c r="L121" s="7" t="str">
        <x:v>Nocturnix_Master_Services_Catalog_v1.xlsx | 01 - Master Services | row 160</x:v>
      </x:c>
      <x:c r="M121" s="6" t="str"/>
      <x:c r="N121" s="6" t="str"/>
      <x:c r="O121" s="6" t="str">
        <x:v>Pending</x:v>
      </x:c>
      <x:c r="P121" s="7" t="str">
        <x:f>IF(OR(D121="Reviewer Complete",D121="Awaiting Second-Level Approval"),"","Service identity dependency unresolved")</x:f>
        <x:v>Service identity dependency unresolved</x:v>
      </x:c>
      <x:c r="Q121" s="6" t="str">
        <x:v>Yes</x:v>
      </x:c>
      <x:c r="R121" s="7" t="str"/>
    </x:row>
    <x:row r="122">
      <x:c r="A122" s="6" t="str">
        <x:v>MFRX-0121</x:v>
      </x:c>
      <x:c r="B122" s="6" t="str">
        <x:v>SVC000121</x:v>
      </x:c>
      <x:c r="C122" s="6" t="str">
        <x:v>SIDX-0121</x:v>
      </x:c>
      <x:c r="D122" s="6" t="str">
        <x:f>IFERROR(XLOOKUP(C122,'Review Sequence'!C2:C1586,'Review Sequence'!J2:J1586),"Dependency not found")</x:f>
        <x:v>Not Started</x:v>
      </x:c>
      <x:c r="E122" s="6" t="str">
        <x:v>MFR-LEGACY-001</x:v>
      </x:c>
      <x:c r="F122" s="6" t="str">
        <x:v>Unknown</x:v>
      </x:c>
      <x:c r="G122" s="6" t="str"/>
      <x:c r="H122" s="6" t="str"/>
      <x:c r="I122" s="6" t="str">
        <x:v>Unknown</x:v>
      </x:c>
      <x:c r="J122" s="6" t="str">
        <x:v>Unknown</x:v>
      </x:c>
      <x:c r="K122" s="6" t="str">
        <x:v>Unresolved</x:v>
      </x:c>
      <x:c r="L122" s="7" t="str">
        <x:v>Nocturnix_Master_Services_Catalog_v1.xlsx | 01 - Master Services | row 161</x:v>
      </x:c>
      <x:c r="M122" s="6" t="str"/>
      <x:c r="N122" s="6" t="str"/>
      <x:c r="O122" s="6" t="str">
        <x:v>Pending</x:v>
      </x:c>
      <x:c r="P122" s="7" t="str">
        <x:f>IF(OR(D122="Reviewer Complete",D122="Awaiting Second-Level Approval"),"","Service identity dependency unresolved")</x:f>
        <x:v>Service identity dependency unresolved</x:v>
      </x:c>
      <x:c r="Q122" s="6" t="str">
        <x:v>Yes</x:v>
      </x:c>
      <x:c r="R122" s="7" t="str"/>
    </x:row>
    <x:row r="123">
      <x:c r="A123" s="6" t="str">
        <x:v>MFRX-0122</x:v>
      </x:c>
      <x:c r="B123" s="6" t="str">
        <x:v>SVC000122</x:v>
      </x:c>
      <x:c r="C123" s="6" t="str">
        <x:v>SIDX-0122</x:v>
      </x:c>
      <x:c r="D123" s="6" t="str">
        <x:f>IFERROR(XLOOKUP(C123,'Review Sequence'!C2:C1586,'Review Sequence'!J2:J1586),"Dependency not found")</x:f>
        <x:v>Not Started</x:v>
      </x:c>
      <x:c r="E123" s="6" t="str">
        <x:v>MFR-LEGACY-001</x:v>
      </x:c>
      <x:c r="F123" s="6" t="str">
        <x:v>Unknown</x:v>
      </x:c>
      <x:c r="G123" s="6" t="str"/>
      <x:c r="H123" s="6" t="str"/>
      <x:c r="I123" s="6" t="str">
        <x:v>Unknown</x:v>
      </x:c>
      <x:c r="J123" s="6" t="str">
        <x:v>Unknown</x:v>
      </x:c>
      <x:c r="K123" s="6" t="str">
        <x:v>Unresolved</x:v>
      </x:c>
      <x:c r="L123" s="7" t="str">
        <x:v>Nocturnix_Master_Services_Catalog_v1.xlsx | 01 - Master Services | row 162</x:v>
      </x:c>
      <x:c r="M123" s="6" t="str"/>
      <x:c r="N123" s="6" t="str"/>
      <x:c r="O123" s="6" t="str">
        <x:v>Pending</x:v>
      </x:c>
      <x:c r="P123" s="7" t="str">
        <x:f>IF(OR(D123="Reviewer Complete",D123="Awaiting Second-Level Approval"),"","Service identity dependency unresolved")</x:f>
        <x:v>Service identity dependency unresolved</x:v>
      </x:c>
      <x:c r="Q123" s="6" t="str">
        <x:v>Yes</x:v>
      </x:c>
      <x:c r="R123" s="7" t="str"/>
    </x:row>
    <x:row r="124">
      <x:c r="A124" s="6" t="str">
        <x:v>MFRX-0123</x:v>
      </x:c>
      <x:c r="B124" s="6" t="str">
        <x:v>SVC000123</x:v>
      </x:c>
      <x:c r="C124" s="6" t="str">
        <x:v>SIDX-0123</x:v>
      </x:c>
      <x:c r="D124" s="6" t="str">
        <x:f>IFERROR(XLOOKUP(C124,'Review Sequence'!C2:C1586,'Review Sequence'!J2:J1586),"Dependency not found")</x:f>
        <x:v>Not Started</x:v>
      </x:c>
      <x:c r="E124" s="6" t="str">
        <x:v>MFR-LEGACY-001</x:v>
      </x:c>
      <x:c r="F124" s="6" t="str">
        <x:v>Unknown</x:v>
      </x:c>
      <x:c r="G124" s="6" t="str"/>
      <x:c r="H124" s="6" t="str"/>
      <x:c r="I124" s="6" t="str">
        <x:v>Unknown</x:v>
      </x:c>
      <x:c r="J124" s="6" t="str">
        <x:v>Unknown</x:v>
      </x:c>
      <x:c r="K124" s="6" t="str">
        <x:v>Unresolved</x:v>
      </x:c>
      <x:c r="L124" s="7" t="str">
        <x:v>Nocturnix_Master_Services_Catalog_v1.xlsx | 01 - Master Services | row 163</x:v>
      </x:c>
      <x:c r="M124" s="6" t="str"/>
      <x:c r="N124" s="6" t="str"/>
      <x:c r="O124" s="6" t="str">
        <x:v>Pending</x:v>
      </x:c>
      <x:c r="P124" s="7" t="str">
        <x:f>IF(OR(D124="Reviewer Complete",D124="Awaiting Second-Level Approval"),"","Service identity dependency unresolved")</x:f>
        <x:v>Service identity dependency unresolved</x:v>
      </x:c>
      <x:c r="Q124" s="6" t="str">
        <x:v>Yes</x:v>
      </x:c>
      <x:c r="R124" s="7" t="str"/>
    </x:row>
    <x:row r="125">
      <x:c r="A125" s="6" t="str">
        <x:v>MFRX-0124</x:v>
      </x:c>
      <x:c r="B125" s="6" t="str">
        <x:v>SVC000124</x:v>
      </x:c>
      <x:c r="C125" s="6" t="str">
        <x:v>SIDX-0124</x:v>
      </x:c>
      <x:c r="D125" s="6" t="str">
        <x:f>IFERROR(XLOOKUP(C125,'Review Sequence'!C2:C1586,'Review Sequence'!J2:J1586),"Dependency not found")</x:f>
        <x:v>Not Started</x:v>
      </x:c>
      <x:c r="E125" s="6" t="str">
        <x:v>MFR-LEGACY-001</x:v>
      </x:c>
      <x:c r="F125" s="6" t="str">
        <x:v>Unknown</x:v>
      </x:c>
      <x:c r="G125" s="6" t="str"/>
      <x:c r="H125" s="6" t="str"/>
      <x:c r="I125" s="6" t="str">
        <x:v>Unknown</x:v>
      </x:c>
      <x:c r="J125" s="6" t="str">
        <x:v>Unknown</x:v>
      </x:c>
      <x:c r="K125" s="6" t="str">
        <x:v>Unresolved</x:v>
      </x:c>
      <x:c r="L125" s="7" t="str">
        <x:v>Nocturnix_Master_Services_Catalog_v1.xlsx | 01 - Master Services | row 164</x:v>
      </x:c>
      <x:c r="M125" s="6" t="str"/>
      <x:c r="N125" s="6" t="str"/>
      <x:c r="O125" s="6" t="str">
        <x:v>Pending</x:v>
      </x:c>
      <x:c r="P125" s="7" t="str">
        <x:f>IF(OR(D125="Reviewer Complete",D125="Awaiting Second-Level Approval"),"","Service identity dependency unresolved")</x:f>
        <x:v>Service identity dependency unresolved</x:v>
      </x:c>
      <x:c r="Q125" s="6" t="str">
        <x:v>Yes</x:v>
      </x:c>
      <x:c r="R125" s="7" t="str"/>
    </x:row>
    <x:row r="126">
      <x:c r="A126" s="6" t="str">
        <x:v>MFRX-0125</x:v>
      </x:c>
      <x:c r="B126" s="6" t="str">
        <x:v>SVC000125</x:v>
      </x:c>
      <x:c r="C126" s="6" t="str">
        <x:v>SIDX-0125</x:v>
      </x:c>
      <x:c r="D126" s="6" t="str">
        <x:f>IFERROR(XLOOKUP(C126,'Review Sequence'!C2:C1586,'Review Sequence'!J2:J1586),"Dependency not found")</x:f>
        <x:v>Not Started</x:v>
      </x:c>
      <x:c r="E126" s="6" t="str">
        <x:v>MFR-LEGACY-001</x:v>
      </x:c>
      <x:c r="F126" s="6" t="str">
        <x:v>Unknown</x:v>
      </x:c>
      <x:c r="G126" s="6" t="str"/>
      <x:c r="H126" s="6" t="str"/>
      <x:c r="I126" s="6" t="str">
        <x:v>Unknown</x:v>
      </x:c>
      <x:c r="J126" s="6" t="str">
        <x:v>Unknown</x:v>
      </x:c>
      <x:c r="K126" s="6" t="str">
        <x:v>Unresolved</x:v>
      </x:c>
      <x:c r="L126" s="7" t="str">
        <x:v>Nocturnix_Master_Services_Catalog_v1.xlsx | 01 - Master Services | row 165</x:v>
      </x:c>
      <x:c r="M126" s="6" t="str"/>
      <x:c r="N126" s="6" t="str"/>
      <x:c r="O126" s="6" t="str">
        <x:v>Pending</x:v>
      </x:c>
      <x:c r="P126" s="7" t="str">
        <x:f>IF(OR(D126="Reviewer Complete",D126="Awaiting Second-Level Approval"),"","Service identity dependency unresolved")</x:f>
        <x:v>Service identity dependency unresolved</x:v>
      </x:c>
      <x:c r="Q126" s="6" t="str">
        <x:v>Yes</x:v>
      </x:c>
      <x:c r="R126" s="7" t="str"/>
    </x:row>
    <x:row r="127">
      <x:c r="A127" s="6" t="str">
        <x:v>MFRX-0126</x:v>
      </x:c>
      <x:c r="B127" s="6" t="str">
        <x:v>SVC000126</x:v>
      </x:c>
      <x:c r="C127" s="6" t="str">
        <x:v>SIDX-0126</x:v>
      </x:c>
      <x:c r="D127" s="6" t="str">
        <x:f>IFERROR(XLOOKUP(C127,'Review Sequence'!C2:C1586,'Review Sequence'!J2:J1586),"Dependency not found")</x:f>
        <x:v>Not Started</x:v>
      </x:c>
      <x:c r="E127" s="6" t="str">
        <x:v>MFR-LEGACY-001</x:v>
      </x:c>
      <x:c r="F127" s="6" t="str">
        <x:v>Unknown</x:v>
      </x:c>
      <x:c r="G127" s="6" t="str"/>
      <x:c r="H127" s="6" t="str"/>
      <x:c r="I127" s="6" t="str">
        <x:v>Unknown</x:v>
      </x:c>
      <x:c r="J127" s="6" t="str">
        <x:v>Unknown</x:v>
      </x:c>
      <x:c r="K127" s="6" t="str">
        <x:v>Unresolved</x:v>
      </x:c>
      <x:c r="L127" s="7" t="str">
        <x:v>Nocturnix_Master_Services_Catalog_v1.xlsx | 01 - Master Services | row 166</x:v>
      </x:c>
      <x:c r="M127" s="6" t="str"/>
      <x:c r="N127" s="6" t="str"/>
      <x:c r="O127" s="6" t="str">
        <x:v>Pending</x:v>
      </x:c>
      <x:c r="P127" s="7" t="str">
        <x:f>IF(OR(D127="Reviewer Complete",D127="Awaiting Second-Level Approval"),"","Service identity dependency unresolved")</x:f>
        <x:v>Service identity dependency unresolved</x:v>
      </x:c>
      <x:c r="Q127" s="6" t="str">
        <x:v>Yes</x:v>
      </x:c>
      <x:c r="R127" s="7" t="str"/>
    </x:row>
    <x:row r="128">
      <x:c r="A128" s="6" t="str">
        <x:v>MFRX-0127</x:v>
      </x:c>
      <x:c r="B128" s="6" t="str">
        <x:v>SVC000127</x:v>
      </x:c>
      <x:c r="C128" s="6" t="str">
        <x:v>SIDX-0127</x:v>
      </x:c>
      <x:c r="D128" s="6" t="str">
        <x:f>IFERROR(XLOOKUP(C128,'Review Sequence'!C2:C1586,'Review Sequence'!J2:J1586),"Dependency not found")</x:f>
        <x:v>Not Started</x:v>
      </x:c>
      <x:c r="E128" s="6" t="str">
        <x:v>MFR-LEGACY-001</x:v>
      </x:c>
      <x:c r="F128" s="6" t="str">
        <x:v>Unknown</x:v>
      </x:c>
      <x:c r="G128" s="6" t="str"/>
      <x:c r="H128" s="6" t="str"/>
      <x:c r="I128" s="6" t="str">
        <x:v>Unknown</x:v>
      </x:c>
      <x:c r="J128" s="6" t="str">
        <x:v>Unknown</x:v>
      </x:c>
      <x:c r="K128" s="6" t="str">
        <x:v>Unresolved</x:v>
      </x:c>
      <x:c r="L128" s="7" t="str">
        <x:v>Nocturnix_Master_Services_Catalog_v1.xlsx | 01 - Master Services | row 167</x:v>
      </x:c>
      <x:c r="M128" s="6" t="str"/>
      <x:c r="N128" s="6" t="str"/>
      <x:c r="O128" s="6" t="str">
        <x:v>Pending</x:v>
      </x:c>
      <x:c r="P128" s="7" t="str">
        <x:f>IF(OR(D128="Reviewer Complete",D128="Awaiting Second-Level Approval"),"","Service identity dependency unresolved")</x:f>
        <x:v>Service identity dependency unresolved</x:v>
      </x:c>
      <x:c r="Q128" s="6" t="str">
        <x:v>Yes</x:v>
      </x:c>
      <x:c r="R128" s="7" t="str"/>
    </x:row>
    <x:row r="129">
      <x:c r="A129" s="6" t="str">
        <x:v>MFRX-0128</x:v>
      </x:c>
      <x:c r="B129" s="6" t="str">
        <x:v>SVC000128</x:v>
      </x:c>
      <x:c r="C129" s="6" t="str">
        <x:v>SIDX-0128</x:v>
      </x:c>
      <x:c r="D129" s="6" t="str">
        <x:f>IFERROR(XLOOKUP(C129,'Review Sequence'!C2:C1586,'Review Sequence'!J2:J1586),"Dependency not found")</x:f>
        <x:v>Not Started</x:v>
      </x:c>
      <x:c r="E129" s="6" t="str">
        <x:v>MFR-LEGACY-001</x:v>
      </x:c>
      <x:c r="F129" s="6" t="str">
        <x:v>Unknown</x:v>
      </x:c>
      <x:c r="G129" s="6" t="str"/>
      <x:c r="H129" s="6" t="str"/>
      <x:c r="I129" s="6" t="str">
        <x:v>Unknown</x:v>
      </x:c>
      <x:c r="J129" s="6" t="str">
        <x:v>Unknown</x:v>
      </x:c>
      <x:c r="K129" s="6" t="str">
        <x:v>Unresolved</x:v>
      </x:c>
      <x:c r="L129" s="7" t="str">
        <x:v>Nocturnix_Master_Services_Catalog_v1.xlsx | 01 - Master Services | row 168</x:v>
      </x:c>
      <x:c r="M129" s="6" t="str"/>
      <x:c r="N129" s="6" t="str"/>
      <x:c r="O129" s="6" t="str">
        <x:v>Pending</x:v>
      </x:c>
      <x:c r="P129" s="7" t="str">
        <x:f>IF(OR(D129="Reviewer Complete",D129="Awaiting Second-Level Approval"),"","Service identity dependency unresolved")</x:f>
        <x:v>Service identity dependency unresolved</x:v>
      </x:c>
      <x:c r="Q129" s="6" t="str">
        <x:v>Yes</x:v>
      </x:c>
      <x:c r="R129" s="7" t="str"/>
    </x:row>
    <x:row r="130">
      <x:c r="A130" s="6" t="str">
        <x:v>MFRX-0129</x:v>
      </x:c>
      <x:c r="B130" s="6" t="str">
        <x:v>SVC000129</x:v>
      </x:c>
      <x:c r="C130" s="6" t="str">
        <x:v>SIDX-0129</x:v>
      </x:c>
      <x:c r="D130" s="6" t="str">
        <x:f>IFERROR(XLOOKUP(C130,'Review Sequence'!C2:C1586,'Review Sequence'!J2:J1586),"Dependency not found")</x:f>
        <x:v>Not Started</x:v>
      </x:c>
      <x:c r="E130" s="6" t="str">
        <x:v>MFR-LEGACY-001</x:v>
      </x:c>
      <x:c r="F130" s="6" t="str">
        <x:v>Unknown</x:v>
      </x:c>
      <x:c r="G130" s="6" t="str"/>
      <x:c r="H130" s="6" t="str"/>
      <x:c r="I130" s="6" t="str">
        <x:v>Unknown</x:v>
      </x:c>
      <x:c r="J130" s="6" t="str">
        <x:v>Unknown</x:v>
      </x:c>
      <x:c r="K130" s="6" t="str">
        <x:v>Unresolved</x:v>
      </x:c>
      <x:c r="L130" s="7" t="str">
        <x:v>Nocturnix_Master_Services_Catalog_v1.xlsx | 01 - Master Services | row 169</x:v>
      </x:c>
      <x:c r="M130" s="6" t="str"/>
      <x:c r="N130" s="6" t="str"/>
      <x:c r="O130" s="6" t="str">
        <x:v>Pending</x:v>
      </x:c>
      <x:c r="P130" s="7" t="str">
        <x:f>IF(OR(D130="Reviewer Complete",D130="Awaiting Second-Level Approval"),"","Service identity dependency unresolved")</x:f>
        <x:v>Service identity dependency unresolved</x:v>
      </x:c>
      <x:c r="Q130" s="6" t="str">
        <x:v>Yes</x:v>
      </x:c>
      <x:c r="R130" s="7" t="str"/>
    </x:row>
    <x:row r="131">
      <x:c r="A131" s="6" t="str">
        <x:v>MFRX-0130</x:v>
      </x:c>
      <x:c r="B131" s="6" t="str">
        <x:v>SVC000130</x:v>
      </x:c>
      <x:c r="C131" s="6" t="str">
        <x:v>SIDX-0130</x:v>
      </x:c>
      <x:c r="D131" s="6" t="str">
        <x:f>IFERROR(XLOOKUP(C131,'Review Sequence'!C2:C1586,'Review Sequence'!J2:J1586),"Dependency not found")</x:f>
        <x:v>Not Started</x:v>
      </x:c>
      <x:c r="E131" s="6" t="str">
        <x:v>MFR-LEGACY-001</x:v>
      </x:c>
      <x:c r="F131" s="6" t="str">
        <x:v>Unknown</x:v>
      </x:c>
      <x:c r="G131" s="6" t="str"/>
      <x:c r="H131" s="6" t="str"/>
      <x:c r="I131" s="6" t="str">
        <x:v>Unknown</x:v>
      </x:c>
      <x:c r="J131" s="6" t="str">
        <x:v>Unknown</x:v>
      </x:c>
      <x:c r="K131" s="6" t="str">
        <x:v>Unresolved</x:v>
      </x:c>
      <x:c r="L131" s="7" t="str">
        <x:v>Nocturnix_Master_Services_Catalog_v1.xlsx | 01 - Master Services | row 170</x:v>
      </x:c>
      <x:c r="M131" s="6" t="str"/>
      <x:c r="N131" s="6" t="str"/>
      <x:c r="O131" s="6" t="str">
        <x:v>Pending</x:v>
      </x:c>
      <x:c r="P131" s="7" t="str">
        <x:f>IF(OR(D131="Reviewer Complete",D131="Awaiting Second-Level Approval"),"","Service identity dependency unresolved")</x:f>
        <x:v>Service identity dependency unresolved</x:v>
      </x:c>
      <x:c r="Q131" s="6" t="str">
        <x:v>Yes</x:v>
      </x:c>
      <x:c r="R131" s="7" t="str"/>
    </x:row>
    <x:row r="132">
      <x:c r="A132" s="6" t="str">
        <x:v>MFRX-0131</x:v>
      </x:c>
      <x:c r="B132" s="6" t="str">
        <x:v>SVC000131</x:v>
      </x:c>
      <x:c r="C132" s="6" t="str">
        <x:v>SIDX-0131</x:v>
      </x:c>
      <x:c r="D132" s="6" t="str">
        <x:f>IFERROR(XLOOKUP(C132,'Review Sequence'!C2:C1586,'Review Sequence'!J2:J1586),"Dependency not found")</x:f>
        <x:v>Not Started</x:v>
      </x:c>
      <x:c r="E132" s="6" t="str">
        <x:v>MFR-LEGACY-001</x:v>
      </x:c>
      <x:c r="F132" s="6" t="str">
        <x:v>Unknown</x:v>
      </x:c>
      <x:c r="G132" s="6" t="str"/>
      <x:c r="H132" s="6" t="str"/>
      <x:c r="I132" s="6" t="str">
        <x:v>Unknown</x:v>
      </x:c>
      <x:c r="J132" s="6" t="str">
        <x:v>Unknown</x:v>
      </x:c>
      <x:c r="K132" s="6" t="str">
        <x:v>Unresolved</x:v>
      </x:c>
      <x:c r="L132" s="7" t="str">
        <x:v>Nocturnix_Master_Services_Catalog_v1.xlsx | 01 - Master Services | row 171</x:v>
      </x:c>
      <x:c r="M132" s="6" t="str"/>
      <x:c r="N132" s="6" t="str"/>
      <x:c r="O132" s="6" t="str">
        <x:v>Pending</x:v>
      </x:c>
      <x:c r="P132" s="7" t="str">
        <x:f>IF(OR(D132="Reviewer Complete",D132="Awaiting Second-Level Approval"),"","Service identity dependency unresolved")</x:f>
        <x:v>Service identity dependency unresolved</x:v>
      </x:c>
      <x:c r="Q132" s="6" t="str">
        <x:v>Yes</x:v>
      </x:c>
      <x:c r="R132" s="7" t="str"/>
    </x:row>
    <x:row r="133">
      <x:c r="A133" s="6" t="str">
        <x:v>MFRX-0132</x:v>
      </x:c>
      <x:c r="B133" s="6" t="str">
        <x:v>SVC000132</x:v>
      </x:c>
      <x:c r="C133" s="6" t="str">
        <x:v>SIDX-0132</x:v>
      </x:c>
      <x:c r="D133" s="6" t="str">
        <x:f>IFERROR(XLOOKUP(C133,'Review Sequence'!C2:C1586,'Review Sequence'!J2:J1586),"Dependency not found")</x:f>
        <x:v>Not Started</x:v>
      </x:c>
      <x:c r="E133" s="6" t="str">
        <x:v>MFR-LEGACY-001</x:v>
      </x:c>
      <x:c r="F133" s="6" t="str">
        <x:v>Unknown</x:v>
      </x:c>
      <x:c r="G133" s="6" t="str"/>
      <x:c r="H133" s="6" t="str"/>
      <x:c r="I133" s="6" t="str">
        <x:v>Unknown</x:v>
      </x:c>
      <x:c r="J133" s="6" t="str">
        <x:v>Unknown</x:v>
      </x:c>
      <x:c r="K133" s="6" t="str">
        <x:v>Unresolved</x:v>
      </x:c>
      <x:c r="L133" s="7" t="str">
        <x:v>Nocturnix_Master_Services_Catalog_v1.xlsx | 01 - Master Services | row 172</x:v>
      </x:c>
      <x:c r="M133" s="6" t="str"/>
      <x:c r="N133" s="6" t="str"/>
      <x:c r="O133" s="6" t="str">
        <x:v>Pending</x:v>
      </x:c>
      <x:c r="P133" s="7" t="str">
        <x:f>IF(OR(D133="Reviewer Complete",D133="Awaiting Second-Level Approval"),"","Service identity dependency unresolved")</x:f>
        <x:v>Service identity dependency unresolved</x:v>
      </x:c>
      <x:c r="Q133" s="6" t="str">
        <x:v>Yes</x:v>
      </x:c>
      <x:c r="R133" s="7" t="str"/>
    </x:row>
    <x:row r="134">
      <x:c r="A134" s="6" t="str">
        <x:v>MFRX-0133</x:v>
      </x:c>
      <x:c r="B134" s="6" t="str">
        <x:v>SVC000133</x:v>
      </x:c>
      <x:c r="C134" s="6" t="str">
        <x:v>SIDX-0133</x:v>
      </x:c>
      <x:c r="D134" s="6" t="str">
        <x:f>IFERROR(XLOOKUP(C134,'Review Sequence'!C2:C1586,'Review Sequence'!J2:J1586),"Dependency not found")</x:f>
        <x:v>Not Started</x:v>
      </x:c>
      <x:c r="E134" s="6" t="str">
        <x:v>MFR-LEGACY-001</x:v>
      </x:c>
      <x:c r="F134" s="6" t="str">
        <x:v>Unknown</x:v>
      </x:c>
      <x:c r="G134" s="6" t="str"/>
      <x:c r="H134" s="6" t="str"/>
      <x:c r="I134" s="6" t="str">
        <x:v>Unknown</x:v>
      </x:c>
      <x:c r="J134" s="6" t="str">
        <x:v>Unknown</x:v>
      </x:c>
      <x:c r="K134" s="6" t="str">
        <x:v>Unresolved</x:v>
      </x:c>
      <x:c r="L134" s="7" t="str">
        <x:v>Nocturnix_Master_Services_Catalog_v1.xlsx | 01 - Master Services | row 173</x:v>
      </x:c>
      <x:c r="M134" s="6" t="str"/>
      <x:c r="N134" s="6" t="str"/>
      <x:c r="O134" s="6" t="str">
        <x:v>Pending</x:v>
      </x:c>
      <x:c r="P134" s="7" t="str">
        <x:f>IF(OR(D134="Reviewer Complete",D134="Awaiting Second-Level Approval"),"","Service identity dependency unresolved")</x:f>
        <x:v>Service identity dependency unresolved</x:v>
      </x:c>
      <x:c r="Q134" s="6" t="str">
        <x:v>Yes</x:v>
      </x:c>
      <x:c r="R134" s="7" t="str"/>
    </x:row>
    <x:row r="135">
      <x:c r="A135" s="6" t="str">
        <x:v>MFRX-0134</x:v>
      </x:c>
      <x:c r="B135" s="6" t="str">
        <x:v>SVC000134</x:v>
      </x:c>
      <x:c r="C135" s="6" t="str">
        <x:v>SIDX-0134</x:v>
      </x:c>
      <x:c r="D135" s="6" t="str">
        <x:f>IFERROR(XLOOKUP(C135,'Review Sequence'!C2:C1586,'Review Sequence'!J2:J1586),"Dependency not found")</x:f>
        <x:v>Not Started</x:v>
      </x:c>
      <x:c r="E135" s="6" t="str">
        <x:v>MFR-LEGACY-001</x:v>
      </x:c>
      <x:c r="F135" s="6" t="str">
        <x:v>Unknown</x:v>
      </x:c>
      <x:c r="G135" s="6" t="str"/>
      <x:c r="H135" s="6" t="str"/>
      <x:c r="I135" s="6" t="str">
        <x:v>Unknown</x:v>
      </x:c>
      <x:c r="J135" s="6" t="str">
        <x:v>Unknown</x:v>
      </x:c>
      <x:c r="K135" s="6" t="str">
        <x:v>Unresolved</x:v>
      </x:c>
      <x:c r="L135" s="7" t="str">
        <x:v>Nocturnix_Master_Services_Catalog_v1.xlsx | 01 - Master Services | row 174</x:v>
      </x:c>
      <x:c r="M135" s="6" t="str"/>
      <x:c r="N135" s="6" t="str"/>
      <x:c r="O135" s="6" t="str">
        <x:v>Pending</x:v>
      </x:c>
      <x:c r="P135" s="7" t="str">
        <x:f>IF(OR(D135="Reviewer Complete",D135="Awaiting Second-Level Approval"),"","Service identity dependency unresolved")</x:f>
        <x:v>Service identity dependency unresolved</x:v>
      </x:c>
      <x:c r="Q135" s="6" t="str">
        <x:v>Yes</x:v>
      </x:c>
      <x:c r="R135" s="7" t="str"/>
    </x:row>
    <x:row r="136">
      <x:c r="A136" s="6" t="str">
        <x:v>MFRX-0135</x:v>
      </x:c>
      <x:c r="B136" s="6" t="str">
        <x:v>SVC000135</x:v>
      </x:c>
      <x:c r="C136" s="6" t="str">
        <x:v>SIDX-0135</x:v>
      </x:c>
      <x:c r="D136" s="6" t="str">
        <x:f>IFERROR(XLOOKUP(C136,'Review Sequence'!C2:C1586,'Review Sequence'!J2:J1586),"Dependency not found")</x:f>
        <x:v>Not Started</x:v>
      </x:c>
      <x:c r="E136" s="6" t="str">
        <x:v>MFR-LEGACY-001</x:v>
      </x:c>
      <x:c r="F136" s="6" t="str">
        <x:v>Unknown</x:v>
      </x:c>
      <x:c r="G136" s="6" t="str"/>
      <x:c r="H136" s="6" t="str"/>
      <x:c r="I136" s="6" t="str">
        <x:v>Unknown</x:v>
      </x:c>
      <x:c r="J136" s="6" t="str">
        <x:v>Unknown</x:v>
      </x:c>
      <x:c r="K136" s="6" t="str">
        <x:v>Unresolved</x:v>
      </x:c>
      <x:c r="L136" s="7" t="str">
        <x:v>Nocturnix_Master_Services_Catalog_v1.xlsx | 01 - Master Services | row 175</x:v>
      </x:c>
      <x:c r="M136" s="6" t="str"/>
      <x:c r="N136" s="6" t="str"/>
      <x:c r="O136" s="6" t="str">
        <x:v>Pending</x:v>
      </x:c>
      <x:c r="P136" s="7" t="str">
        <x:f>IF(OR(D136="Reviewer Complete",D136="Awaiting Second-Level Approval"),"","Service identity dependency unresolved")</x:f>
        <x:v>Service identity dependency unresolved</x:v>
      </x:c>
      <x:c r="Q136" s="6" t="str">
        <x:v>Yes</x:v>
      </x:c>
      <x:c r="R136" s="7" t="str"/>
    </x:row>
    <x:row r="137">
      <x:c r="A137" s="6" t="str">
        <x:v>MFRX-0136</x:v>
      </x:c>
      <x:c r="B137" s="6" t="str">
        <x:v>SVC000136</x:v>
      </x:c>
      <x:c r="C137" s="6" t="str">
        <x:v>SIDX-0136</x:v>
      </x:c>
      <x:c r="D137" s="6" t="str">
        <x:f>IFERROR(XLOOKUP(C137,'Review Sequence'!C2:C1586,'Review Sequence'!J2:J1586),"Dependency not found")</x:f>
        <x:v>Not Started</x:v>
      </x:c>
      <x:c r="E137" s="6" t="str">
        <x:v>MFR-LEGACY-001</x:v>
      </x:c>
      <x:c r="F137" s="6" t="str">
        <x:v>Unknown</x:v>
      </x:c>
      <x:c r="G137" s="6" t="str"/>
      <x:c r="H137" s="6" t="str"/>
      <x:c r="I137" s="6" t="str">
        <x:v>Unknown</x:v>
      </x:c>
      <x:c r="J137" s="6" t="str">
        <x:v>Unknown</x:v>
      </x:c>
      <x:c r="K137" s="6" t="str">
        <x:v>Unresolved</x:v>
      </x:c>
      <x:c r="L137" s="7" t="str">
        <x:v>Nocturnix_Master_Services_Catalog_v1.xlsx | 01 - Master Services | row 176</x:v>
      </x:c>
      <x:c r="M137" s="6" t="str"/>
      <x:c r="N137" s="6" t="str"/>
      <x:c r="O137" s="6" t="str">
        <x:v>Pending</x:v>
      </x:c>
      <x:c r="P137" s="7" t="str">
        <x:f>IF(OR(D137="Reviewer Complete",D137="Awaiting Second-Level Approval"),"","Service identity dependency unresolved")</x:f>
        <x:v>Service identity dependency unresolved</x:v>
      </x:c>
      <x:c r="Q137" s="6" t="str">
        <x:v>Yes</x:v>
      </x:c>
      <x:c r="R137" s="7" t="str"/>
    </x:row>
    <x:row r="138">
      <x:c r="A138" s="6" t="str">
        <x:v>MFRX-0137</x:v>
      </x:c>
      <x:c r="B138" s="6" t="str">
        <x:v>SVC000137</x:v>
      </x:c>
      <x:c r="C138" s="6" t="str">
        <x:v>SIDX-0137</x:v>
      </x:c>
      <x:c r="D138" s="6" t="str">
        <x:f>IFERROR(XLOOKUP(C138,'Review Sequence'!C2:C1586,'Review Sequence'!J2:J1586),"Dependency not found")</x:f>
        <x:v>Not Started</x:v>
      </x:c>
      <x:c r="E138" s="6" t="str">
        <x:v>MFR-LEGACY-001</x:v>
      </x:c>
      <x:c r="F138" s="6" t="str">
        <x:v>Unknown</x:v>
      </x:c>
      <x:c r="G138" s="6" t="str"/>
      <x:c r="H138" s="6" t="str"/>
      <x:c r="I138" s="6" t="str">
        <x:v>Unknown</x:v>
      </x:c>
      <x:c r="J138" s="6" t="str">
        <x:v>Unknown</x:v>
      </x:c>
      <x:c r="K138" s="6" t="str">
        <x:v>Unresolved</x:v>
      </x:c>
      <x:c r="L138" s="7" t="str">
        <x:v>Nocturnix_Master_Services_Catalog_v1.xlsx | 01 - Master Services | row 177</x:v>
      </x:c>
      <x:c r="M138" s="6" t="str"/>
      <x:c r="N138" s="6" t="str"/>
      <x:c r="O138" s="6" t="str">
        <x:v>Pending</x:v>
      </x:c>
      <x:c r="P138" s="7" t="str">
        <x:f>IF(OR(D138="Reviewer Complete",D138="Awaiting Second-Level Approval"),"","Service identity dependency unresolved")</x:f>
        <x:v>Service identity dependency unresolved</x:v>
      </x:c>
      <x:c r="Q138" s="6" t="str">
        <x:v>Yes</x:v>
      </x:c>
      <x:c r="R138" s="7" t="str"/>
    </x:row>
    <x:row r="139">
      <x:c r="A139" s="6" t="str">
        <x:v>MFRX-0138</x:v>
      </x:c>
      <x:c r="B139" s="6" t="str">
        <x:v>SVC000138</x:v>
      </x:c>
      <x:c r="C139" s="6" t="str">
        <x:v>SIDX-0138</x:v>
      </x:c>
      <x:c r="D139" s="6" t="str">
        <x:f>IFERROR(XLOOKUP(C139,'Review Sequence'!C2:C1586,'Review Sequence'!J2:J1586),"Dependency not found")</x:f>
        <x:v>Not Started</x:v>
      </x:c>
      <x:c r="E139" s="6" t="str">
        <x:v>MFR-LEGACY-001</x:v>
      </x:c>
      <x:c r="F139" s="6" t="str">
        <x:v>Unknown</x:v>
      </x:c>
      <x:c r="G139" s="6" t="str"/>
      <x:c r="H139" s="6" t="str"/>
      <x:c r="I139" s="6" t="str">
        <x:v>Unknown</x:v>
      </x:c>
      <x:c r="J139" s="6" t="str">
        <x:v>Unknown</x:v>
      </x:c>
      <x:c r="K139" s="6" t="str">
        <x:v>Unresolved</x:v>
      </x:c>
      <x:c r="L139" s="7" t="str">
        <x:v>Nocturnix_Master_Services_Catalog_v1.xlsx | 01 - Master Services | row 178</x:v>
      </x:c>
      <x:c r="M139" s="6" t="str"/>
      <x:c r="N139" s="6" t="str"/>
      <x:c r="O139" s="6" t="str">
        <x:v>Pending</x:v>
      </x:c>
      <x:c r="P139" s="7" t="str">
        <x:f>IF(OR(D139="Reviewer Complete",D139="Awaiting Second-Level Approval"),"","Service identity dependency unresolved")</x:f>
        <x:v>Service identity dependency unresolved</x:v>
      </x:c>
      <x:c r="Q139" s="6" t="str">
        <x:v>Yes</x:v>
      </x:c>
      <x:c r="R139" s="7" t="str"/>
    </x:row>
    <x:row r="140">
      <x:c r="A140" s="6" t="str">
        <x:v>MFRX-0139</x:v>
      </x:c>
      <x:c r="B140" s="6" t="str">
        <x:v>SVC000139</x:v>
      </x:c>
      <x:c r="C140" s="6" t="str">
        <x:v>SIDX-0139</x:v>
      </x:c>
      <x:c r="D140" s="6" t="str">
        <x:f>IFERROR(XLOOKUP(C140,'Review Sequence'!C2:C1586,'Review Sequence'!J2:J1586),"Dependency not found")</x:f>
        <x:v>Not Started</x:v>
      </x:c>
      <x:c r="E140" s="6" t="str">
        <x:v>MFR-LEGACY-001</x:v>
      </x:c>
      <x:c r="F140" s="6" t="str">
        <x:v>Unknown</x:v>
      </x:c>
      <x:c r="G140" s="6" t="str"/>
      <x:c r="H140" s="6" t="str"/>
      <x:c r="I140" s="6" t="str">
        <x:v>Unknown</x:v>
      </x:c>
      <x:c r="J140" s="6" t="str">
        <x:v>Unknown</x:v>
      </x:c>
      <x:c r="K140" s="6" t="str">
        <x:v>Unresolved</x:v>
      </x:c>
      <x:c r="L140" s="7" t="str">
        <x:v>Nocturnix_Master_Services_Catalog_v1.xlsx | 01 - Master Services | row 179</x:v>
      </x:c>
      <x:c r="M140" s="6" t="str"/>
      <x:c r="N140" s="6" t="str"/>
      <x:c r="O140" s="6" t="str">
        <x:v>Pending</x:v>
      </x:c>
      <x:c r="P140" s="7" t="str">
        <x:f>IF(OR(D140="Reviewer Complete",D140="Awaiting Second-Level Approval"),"","Service identity dependency unresolved")</x:f>
        <x:v>Service identity dependency unresolved</x:v>
      </x:c>
      <x:c r="Q140" s="6" t="str">
        <x:v>Yes</x:v>
      </x:c>
      <x:c r="R140" s="7" t="str"/>
    </x:row>
    <x:row r="141">
      <x:c r="A141" s="6" t="str">
        <x:v>MFRX-0140</x:v>
      </x:c>
      <x:c r="B141" s="6" t="str">
        <x:v>SVC000140</x:v>
      </x:c>
      <x:c r="C141" s="6" t="str">
        <x:v>SIDX-0140</x:v>
      </x:c>
      <x:c r="D141" s="6" t="str">
        <x:f>IFERROR(XLOOKUP(C141,'Review Sequence'!C2:C1586,'Review Sequence'!J2:J1586),"Dependency not found")</x:f>
        <x:v>Not Started</x:v>
      </x:c>
      <x:c r="E141" s="6" t="str">
        <x:v>MFR-LEGACY-001</x:v>
      </x:c>
      <x:c r="F141" s="6" t="str">
        <x:v>Unknown</x:v>
      </x:c>
      <x:c r="G141" s="6" t="str"/>
      <x:c r="H141" s="6" t="str"/>
      <x:c r="I141" s="6" t="str">
        <x:v>Unknown</x:v>
      </x:c>
      <x:c r="J141" s="6" t="str">
        <x:v>Unknown</x:v>
      </x:c>
      <x:c r="K141" s="6" t="str">
        <x:v>Unresolved</x:v>
      </x:c>
      <x:c r="L141" s="7" t="str">
        <x:v>Nocturnix_Master_Services_Catalog_v1.xlsx | 01 - Master Services | row 180</x:v>
      </x:c>
      <x:c r="M141" s="6" t="str"/>
      <x:c r="N141" s="6" t="str"/>
      <x:c r="O141" s="6" t="str">
        <x:v>Pending</x:v>
      </x:c>
      <x:c r="P141" s="7" t="str">
        <x:f>IF(OR(D141="Reviewer Complete",D141="Awaiting Second-Level Approval"),"","Service identity dependency unresolved")</x:f>
        <x:v>Service identity dependency unresolved</x:v>
      </x:c>
      <x:c r="Q141" s="6" t="str">
        <x:v>Yes</x:v>
      </x:c>
      <x:c r="R141" s="7" t="str"/>
    </x:row>
    <x:row r="142">
      <x:c r="A142" s="6" t="str">
        <x:v>MFRX-0141</x:v>
      </x:c>
      <x:c r="B142" s="6" t="str">
        <x:v>SVC000141</x:v>
      </x:c>
      <x:c r="C142" s="6" t="str">
        <x:v>SIDX-0141</x:v>
      </x:c>
      <x:c r="D142" s="6" t="str">
        <x:f>IFERROR(XLOOKUP(C142,'Review Sequence'!C2:C1586,'Review Sequence'!J2:J1586),"Dependency not found")</x:f>
        <x:v>Not Started</x:v>
      </x:c>
      <x:c r="E142" s="6" t="str">
        <x:v>MFR-LEGACY-001</x:v>
      </x:c>
      <x:c r="F142" s="6" t="str">
        <x:v>Unknown</x:v>
      </x:c>
      <x:c r="G142" s="6" t="str"/>
      <x:c r="H142" s="6" t="str"/>
      <x:c r="I142" s="6" t="str">
        <x:v>Unknown</x:v>
      </x:c>
      <x:c r="J142" s="6" t="str">
        <x:v>Unknown</x:v>
      </x:c>
      <x:c r="K142" s="6" t="str">
        <x:v>Unresolved</x:v>
      </x:c>
      <x:c r="L142" s="7" t="str">
        <x:v>Nocturnix_Master_Services_Catalog_v1.xlsx | 01 - Master Services | row 181</x:v>
      </x:c>
      <x:c r="M142" s="6" t="str"/>
      <x:c r="N142" s="6" t="str"/>
      <x:c r="O142" s="6" t="str">
        <x:v>Pending</x:v>
      </x:c>
      <x:c r="P142" s="7" t="str">
        <x:f>IF(OR(D142="Reviewer Complete",D142="Awaiting Second-Level Approval"),"","Service identity dependency unresolved")</x:f>
        <x:v>Service identity dependency unresolved</x:v>
      </x:c>
      <x:c r="Q142" s="6" t="str">
        <x:v>Yes</x:v>
      </x:c>
      <x:c r="R142" s="7" t="str"/>
    </x:row>
    <x:row r="143">
      <x:c r="A143" s="6" t="str">
        <x:v>MFRX-0142</x:v>
      </x:c>
      <x:c r="B143" s="6" t="str">
        <x:v>SVC000142</x:v>
      </x:c>
      <x:c r="C143" s="6" t="str">
        <x:v>SIDX-0142</x:v>
      </x:c>
      <x:c r="D143" s="6" t="str">
        <x:f>IFERROR(XLOOKUP(C143,'Review Sequence'!C2:C1586,'Review Sequence'!J2:J1586),"Dependency not found")</x:f>
        <x:v>Not Started</x:v>
      </x:c>
      <x:c r="E143" s="6" t="str">
        <x:v>MFR-LEGACY-001</x:v>
      </x:c>
      <x:c r="F143" s="6" t="str">
        <x:v>Unknown</x:v>
      </x:c>
      <x:c r="G143" s="6" t="str"/>
      <x:c r="H143" s="6" t="str"/>
      <x:c r="I143" s="6" t="str">
        <x:v>Unknown</x:v>
      </x:c>
      <x:c r="J143" s="6" t="str">
        <x:v>Unknown</x:v>
      </x:c>
      <x:c r="K143" s="6" t="str">
        <x:v>Unresolved</x:v>
      </x:c>
      <x:c r="L143" s="7" t="str">
        <x:v>Nocturnix_Master_Services_Catalog_v1.xlsx | 01 - Master Services | row 182</x:v>
      </x:c>
      <x:c r="M143" s="6" t="str"/>
      <x:c r="N143" s="6" t="str"/>
      <x:c r="O143" s="6" t="str">
        <x:v>Pending</x:v>
      </x:c>
      <x:c r="P143" s="7" t="str">
        <x:f>IF(OR(D143="Reviewer Complete",D143="Awaiting Second-Level Approval"),"","Service identity dependency unresolved")</x:f>
        <x:v>Service identity dependency unresolved</x:v>
      </x:c>
      <x:c r="Q143" s="6" t="str">
        <x:v>Yes</x:v>
      </x:c>
      <x:c r="R143" s="7" t="str"/>
    </x:row>
    <x:row r="144">
      <x:c r="A144" s="6" t="str">
        <x:v>MFRX-0143</x:v>
      </x:c>
      <x:c r="B144" s="6" t="str">
        <x:v>SVC000143</x:v>
      </x:c>
      <x:c r="C144" s="6" t="str">
        <x:v>SIDX-0143</x:v>
      </x:c>
      <x:c r="D144" s="6" t="str">
        <x:f>IFERROR(XLOOKUP(C144,'Review Sequence'!C2:C1586,'Review Sequence'!J2:J1586),"Dependency not found")</x:f>
        <x:v>Not Started</x:v>
      </x:c>
      <x:c r="E144" s="6" t="str">
        <x:v>MFR-LEGACY-001</x:v>
      </x:c>
      <x:c r="F144" s="6" t="str">
        <x:v>Unknown</x:v>
      </x:c>
      <x:c r="G144" s="6" t="str"/>
      <x:c r="H144" s="6" t="str"/>
      <x:c r="I144" s="6" t="str">
        <x:v>Unknown</x:v>
      </x:c>
      <x:c r="J144" s="6" t="str">
        <x:v>Unknown</x:v>
      </x:c>
      <x:c r="K144" s="6" t="str">
        <x:v>Unresolved</x:v>
      </x:c>
      <x:c r="L144" s="7" t="str">
        <x:v>Nocturnix_Master_Services_Catalog_v1.xlsx | 01 - Master Services | row 183</x:v>
      </x:c>
      <x:c r="M144" s="6" t="str"/>
      <x:c r="N144" s="6" t="str"/>
      <x:c r="O144" s="6" t="str">
        <x:v>Pending</x:v>
      </x:c>
      <x:c r="P144" s="7" t="str">
        <x:f>IF(OR(D144="Reviewer Complete",D144="Awaiting Second-Level Approval"),"","Service identity dependency unresolved")</x:f>
        <x:v>Service identity dependency unresolved</x:v>
      </x:c>
      <x:c r="Q144" s="6" t="str">
        <x:v>Yes</x:v>
      </x:c>
      <x:c r="R144" s="7" t="str"/>
    </x:row>
    <x:row r="145">
      <x:c r="A145" s="6" t="str">
        <x:v>MFRX-0144</x:v>
      </x:c>
      <x:c r="B145" s="6" t="str">
        <x:v>SVC000144</x:v>
      </x:c>
      <x:c r="C145" s="6" t="str">
        <x:v>SIDX-0144</x:v>
      </x:c>
      <x:c r="D145" s="6" t="str">
        <x:f>IFERROR(XLOOKUP(C145,'Review Sequence'!C2:C1586,'Review Sequence'!J2:J1586),"Dependency not found")</x:f>
        <x:v>Not Started</x:v>
      </x:c>
      <x:c r="E145" s="6" t="str">
        <x:v>MFR-LEGACY-001</x:v>
      </x:c>
      <x:c r="F145" s="6" t="str">
        <x:v>Unknown</x:v>
      </x:c>
      <x:c r="G145" s="6" t="str"/>
      <x:c r="H145" s="6" t="str"/>
      <x:c r="I145" s="6" t="str">
        <x:v>Unknown</x:v>
      </x:c>
      <x:c r="J145" s="6" t="str">
        <x:v>Unknown</x:v>
      </x:c>
      <x:c r="K145" s="6" t="str">
        <x:v>Unresolved</x:v>
      </x:c>
      <x:c r="L145" s="7" t="str">
        <x:v>Nocturnix_Master_Services_Catalog_v1.xlsx | 01 - Master Services | row 184</x:v>
      </x:c>
      <x:c r="M145" s="6" t="str"/>
      <x:c r="N145" s="6" t="str"/>
      <x:c r="O145" s="6" t="str">
        <x:v>Pending</x:v>
      </x:c>
      <x:c r="P145" s="7" t="str">
        <x:f>IF(OR(D145="Reviewer Complete",D145="Awaiting Second-Level Approval"),"","Service identity dependency unresolved")</x:f>
        <x:v>Service identity dependency unresolved</x:v>
      </x:c>
      <x:c r="Q145" s="6" t="str">
        <x:v>Yes</x:v>
      </x:c>
      <x:c r="R145" s="7" t="str"/>
    </x:row>
    <x:row r="146">
      <x:c r="A146" s="6" t="str">
        <x:v>MFRX-0145</x:v>
      </x:c>
      <x:c r="B146" s="6" t="str">
        <x:v>SVC000145</x:v>
      </x:c>
      <x:c r="C146" s="6" t="str">
        <x:v>SIDX-0145</x:v>
      </x:c>
      <x:c r="D146" s="6" t="str">
        <x:f>IFERROR(XLOOKUP(C146,'Review Sequence'!C2:C1586,'Review Sequence'!J2:J1586),"Dependency not found")</x:f>
        <x:v>Not Started</x:v>
      </x:c>
      <x:c r="E146" s="6" t="str">
        <x:v>MFR-LEGACY-001</x:v>
      </x:c>
      <x:c r="F146" s="6" t="str">
        <x:v>Unknown</x:v>
      </x:c>
      <x:c r="G146" s="6" t="str"/>
      <x:c r="H146" s="6" t="str"/>
      <x:c r="I146" s="6" t="str">
        <x:v>Unknown</x:v>
      </x:c>
      <x:c r="J146" s="6" t="str">
        <x:v>Unknown</x:v>
      </x:c>
      <x:c r="K146" s="6" t="str">
        <x:v>Unresolved</x:v>
      </x:c>
      <x:c r="L146" s="7" t="str">
        <x:v>Nocturnix_Master_Services_Catalog_v1.xlsx | 01 - Master Services | row 185</x:v>
      </x:c>
      <x:c r="M146" s="6" t="str"/>
      <x:c r="N146" s="6" t="str"/>
      <x:c r="O146" s="6" t="str">
        <x:v>Pending</x:v>
      </x:c>
      <x:c r="P146" s="7" t="str">
        <x:f>IF(OR(D146="Reviewer Complete",D146="Awaiting Second-Level Approval"),"","Service identity dependency unresolved")</x:f>
        <x:v>Service identity dependency unresolved</x:v>
      </x:c>
      <x:c r="Q146" s="6" t="str">
        <x:v>Yes</x:v>
      </x:c>
      <x:c r="R146" s="7" t="str"/>
    </x:row>
    <x:row r="147">
      <x:c r="A147" s="6" t="str">
        <x:v>MFRX-0146</x:v>
      </x:c>
      <x:c r="B147" s="6" t="str">
        <x:v>SVC000146</x:v>
      </x:c>
      <x:c r="C147" s="6" t="str">
        <x:v>SIDX-0146</x:v>
      </x:c>
      <x:c r="D147" s="6" t="str">
        <x:f>IFERROR(XLOOKUP(C147,'Review Sequence'!C2:C1586,'Review Sequence'!J2:J1586),"Dependency not found")</x:f>
        <x:v>Not Started</x:v>
      </x:c>
      <x:c r="E147" s="6" t="str">
        <x:v>MFR-LEGACY-001</x:v>
      </x:c>
      <x:c r="F147" s="6" t="str">
        <x:v>Unknown</x:v>
      </x:c>
      <x:c r="G147" s="6" t="str"/>
      <x:c r="H147" s="6" t="str"/>
      <x:c r="I147" s="6" t="str">
        <x:v>Unknown</x:v>
      </x:c>
      <x:c r="J147" s="6" t="str">
        <x:v>Unknown</x:v>
      </x:c>
      <x:c r="K147" s="6" t="str">
        <x:v>Unresolved</x:v>
      </x:c>
      <x:c r="L147" s="7" t="str">
        <x:v>Nocturnix_Master_Services_Catalog_v1.xlsx | 01 - Master Services | row 186</x:v>
      </x:c>
      <x:c r="M147" s="6" t="str"/>
      <x:c r="N147" s="6" t="str"/>
      <x:c r="O147" s="6" t="str">
        <x:v>Pending</x:v>
      </x:c>
      <x:c r="P147" s="7" t="str">
        <x:f>IF(OR(D147="Reviewer Complete",D147="Awaiting Second-Level Approval"),"","Service identity dependency unresolved")</x:f>
        <x:v>Service identity dependency unresolved</x:v>
      </x:c>
      <x:c r="Q147" s="6" t="str">
        <x:v>Yes</x:v>
      </x:c>
      <x:c r="R147" s="7" t="str"/>
    </x:row>
    <x:row r="148">
      <x:c r="A148" s="6" t="str">
        <x:v>MFRX-0147</x:v>
      </x:c>
      <x:c r="B148" s="6" t="str">
        <x:v>SVC000147</x:v>
      </x:c>
      <x:c r="C148" s="6" t="str">
        <x:v>SIDX-0147</x:v>
      </x:c>
      <x:c r="D148" s="6" t="str">
        <x:f>IFERROR(XLOOKUP(C148,'Review Sequence'!C2:C1586,'Review Sequence'!J2:J1586),"Dependency not found")</x:f>
        <x:v>Not Started</x:v>
      </x:c>
      <x:c r="E148" s="6" t="str">
        <x:v>MFR-LEGACY-001</x:v>
      </x:c>
      <x:c r="F148" s="6" t="str">
        <x:v>Unknown</x:v>
      </x:c>
      <x:c r="G148" s="6" t="str"/>
      <x:c r="H148" s="6" t="str"/>
      <x:c r="I148" s="6" t="str">
        <x:v>Unknown</x:v>
      </x:c>
      <x:c r="J148" s="6" t="str">
        <x:v>Unknown</x:v>
      </x:c>
      <x:c r="K148" s="6" t="str">
        <x:v>Unresolved</x:v>
      </x:c>
      <x:c r="L148" s="7" t="str">
        <x:v>Nocturnix_Master_Services_Catalog_v1.xlsx | 01 - Master Services | row 187</x:v>
      </x:c>
      <x:c r="M148" s="6" t="str"/>
      <x:c r="N148" s="6" t="str"/>
      <x:c r="O148" s="6" t="str">
        <x:v>Pending</x:v>
      </x:c>
      <x:c r="P148" s="7" t="str">
        <x:f>IF(OR(D148="Reviewer Complete",D148="Awaiting Second-Level Approval"),"","Service identity dependency unresolved")</x:f>
        <x:v>Service identity dependency unresolved</x:v>
      </x:c>
      <x:c r="Q148" s="6" t="str">
        <x:v>Yes</x:v>
      </x:c>
      <x:c r="R148" s="7" t="str"/>
    </x:row>
    <x:row r="149">
      <x:c r="A149" s="6" t="str">
        <x:v>MFRX-0148</x:v>
      </x:c>
      <x:c r="B149" s="6" t="str">
        <x:v>SVC000148</x:v>
      </x:c>
      <x:c r="C149" s="6" t="str">
        <x:v>SIDX-0148</x:v>
      </x:c>
      <x:c r="D149" s="6" t="str">
        <x:f>IFERROR(XLOOKUP(C149,'Review Sequence'!C2:C1586,'Review Sequence'!J2:J1586),"Dependency not found")</x:f>
        <x:v>Not Started</x:v>
      </x:c>
      <x:c r="E149" s="6" t="str">
        <x:v>MFR-LEGACY-001</x:v>
      </x:c>
      <x:c r="F149" s="6" t="str">
        <x:v>Unknown</x:v>
      </x:c>
      <x:c r="G149" s="6" t="str"/>
      <x:c r="H149" s="6" t="str"/>
      <x:c r="I149" s="6" t="str">
        <x:v>Unknown</x:v>
      </x:c>
      <x:c r="J149" s="6" t="str">
        <x:v>Unknown</x:v>
      </x:c>
      <x:c r="K149" s="6" t="str">
        <x:v>Unresolved</x:v>
      </x:c>
      <x:c r="L149" s="7" t="str">
        <x:v>Nocturnix_Master_Services_Catalog_v1.xlsx | 01 - Master Services | row 188</x:v>
      </x:c>
      <x:c r="M149" s="6" t="str"/>
      <x:c r="N149" s="6" t="str"/>
      <x:c r="O149" s="6" t="str">
        <x:v>Pending</x:v>
      </x:c>
      <x:c r="P149" s="7" t="str">
        <x:f>IF(OR(D149="Reviewer Complete",D149="Awaiting Second-Level Approval"),"","Service identity dependency unresolved")</x:f>
        <x:v>Service identity dependency unresolved</x:v>
      </x:c>
      <x:c r="Q149" s="6" t="str">
        <x:v>Yes</x:v>
      </x:c>
      <x:c r="R149" s="7" t="str"/>
    </x:row>
    <x:row r="150">
      <x:c r="A150" s="6" t="str">
        <x:v>MFRX-0149</x:v>
      </x:c>
      <x:c r="B150" s="6" t="str">
        <x:v>SVC000149</x:v>
      </x:c>
      <x:c r="C150" s="6" t="str">
        <x:v>SIDX-0149</x:v>
      </x:c>
      <x:c r="D150" s="6" t="str">
        <x:f>IFERROR(XLOOKUP(C150,'Review Sequence'!C2:C1586,'Review Sequence'!J2:J1586),"Dependency not found")</x:f>
        <x:v>Not Started</x:v>
      </x:c>
      <x:c r="E150" s="6" t="str">
        <x:v>MFR-LEGACY-001</x:v>
      </x:c>
      <x:c r="F150" s="6" t="str">
        <x:v>Unknown</x:v>
      </x:c>
      <x:c r="G150" s="6" t="str"/>
      <x:c r="H150" s="6" t="str"/>
      <x:c r="I150" s="6" t="str">
        <x:v>Unknown</x:v>
      </x:c>
      <x:c r="J150" s="6" t="str">
        <x:v>Unknown</x:v>
      </x:c>
      <x:c r="K150" s="6" t="str">
        <x:v>Unresolved</x:v>
      </x:c>
      <x:c r="L150" s="7" t="str">
        <x:v>Nocturnix_Master_Services_Catalog_v1.xlsx | 01 - Master Services | row 189</x:v>
      </x:c>
      <x:c r="M150" s="6" t="str"/>
      <x:c r="N150" s="6" t="str"/>
      <x:c r="O150" s="6" t="str">
        <x:v>Pending</x:v>
      </x:c>
      <x:c r="P150" s="7" t="str">
        <x:f>IF(OR(D150="Reviewer Complete",D150="Awaiting Second-Level Approval"),"","Service identity dependency unresolved")</x:f>
        <x:v>Service identity dependency unresolved</x:v>
      </x:c>
      <x:c r="Q150" s="6" t="str">
        <x:v>Yes</x:v>
      </x:c>
      <x:c r="R150" s="7" t="str"/>
    </x:row>
    <x:row r="151">
      <x:c r="A151" s="6" t="str">
        <x:v>MFRX-0150</x:v>
      </x:c>
      <x:c r="B151" s="6" t="str">
        <x:v>SVC000150</x:v>
      </x:c>
      <x:c r="C151" s="6" t="str">
        <x:v>SIDX-0150</x:v>
      </x:c>
      <x:c r="D151" s="6" t="str">
        <x:f>IFERROR(XLOOKUP(C151,'Review Sequence'!C2:C1586,'Review Sequence'!J2:J1586),"Dependency not found")</x:f>
        <x:v>Not Started</x:v>
      </x:c>
      <x:c r="E151" s="6" t="str">
        <x:v>MFR-LEGACY-001</x:v>
      </x:c>
      <x:c r="F151" s="6" t="str">
        <x:v>Unknown</x:v>
      </x:c>
      <x:c r="G151" s="6" t="str"/>
      <x:c r="H151" s="6" t="str"/>
      <x:c r="I151" s="6" t="str">
        <x:v>Unknown</x:v>
      </x:c>
      <x:c r="J151" s="6" t="str">
        <x:v>Unknown</x:v>
      </x:c>
      <x:c r="K151" s="6" t="str">
        <x:v>Unresolved</x:v>
      </x:c>
      <x:c r="L151" s="7" t="str">
        <x:v>Nocturnix_Master_Services_Catalog_v1.xlsx | 01 - Master Services | row 190</x:v>
      </x:c>
      <x:c r="M151" s="6" t="str"/>
      <x:c r="N151" s="6" t="str"/>
      <x:c r="O151" s="6" t="str">
        <x:v>Pending</x:v>
      </x:c>
      <x:c r="P151" s="7" t="str">
        <x:f>IF(OR(D151="Reviewer Complete",D151="Awaiting Second-Level Approval"),"","Service identity dependency unresolved")</x:f>
        <x:v>Service identity dependency unresolved</x:v>
      </x:c>
      <x:c r="Q151" s="6" t="str">
        <x:v>Yes</x:v>
      </x:c>
      <x:c r="R151" s="7" t="str"/>
    </x:row>
    <x:row r="152">
      <x:c r="A152" s="6" t="str">
        <x:v>MFRX-0151</x:v>
      </x:c>
      <x:c r="B152" s="6" t="str">
        <x:v>SVC000151</x:v>
      </x:c>
      <x:c r="C152" s="6" t="str">
        <x:v>SIDX-0151</x:v>
      </x:c>
      <x:c r="D152" s="6" t="str">
        <x:f>IFERROR(XLOOKUP(C152,'Review Sequence'!C2:C1586,'Review Sequence'!J2:J1586),"Dependency not found")</x:f>
        <x:v>Not Started</x:v>
      </x:c>
      <x:c r="E152" s="6" t="str">
        <x:v>MFR-LEGACY-001</x:v>
      </x:c>
      <x:c r="F152" s="6" t="str">
        <x:v>Unknown</x:v>
      </x:c>
      <x:c r="G152" s="6" t="str"/>
      <x:c r="H152" s="6" t="str"/>
      <x:c r="I152" s="6" t="str">
        <x:v>Unknown</x:v>
      </x:c>
      <x:c r="J152" s="6" t="str">
        <x:v>Unknown</x:v>
      </x:c>
      <x:c r="K152" s="6" t="str">
        <x:v>Unresolved</x:v>
      </x:c>
      <x:c r="L152" s="7" t="str">
        <x:v>Nocturnix_Master_Services_Catalog_v1.xlsx | 01 - Master Services | row 191</x:v>
      </x:c>
      <x:c r="M152" s="6" t="str"/>
      <x:c r="N152" s="6" t="str"/>
      <x:c r="O152" s="6" t="str">
        <x:v>Pending</x:v>
      </x:c>
      <x:c r="P152" s="7" t="str">
        <x:f>IF(OR(D152="Reviewer Complete",D152="Awaiting Second-Level Approval"),"","Service identity dependency unresolved")</x:f>
        <x:v>Service identity dependency unresolved</x:v>
      </x:c>
      <x:c r="Q152" s="6" t="str">
        <x:v>Yes</x:v>
      </x:c>
      <x:c r="R152" s="7" t="str"/>
    </x:row>
    <x:row r="153">
      <x:c r="A153" s="6" t="str">
        <x:v>MFRX-0152</x:v>
      </x:c>
      <x:c r="B153" s="6" t="str">
        <x:v>SVC000152</x:v>
      </x:c>
      <x:c r="C153" s="6" t="str">
        <x:v>SIDX-0152</x:v>
      </x:c>
      <x:c r="D153" s="6" t="str">
        <x:f>IFERROR(XLOOKUP(C153,'Review Sequence'!C2:C1586,'Review Sequence'!J2:J1586),"Dependency not found")</x:f>
        <x:v>Not Started</x:v>
      </x:c>
      <x:c r="E153" s="6" t="str">
        <x:v>MFR-LEGACY-001</x:v>
      </x:c>
      <x:c r="F153" s="6" t="str">
        <x:v>Unknown</x:v>
      </x:c>
      <x:c r="G153" s="6" t="str"/>
      <x:c r="H153" s="6" t="str"/>
      <x:c r="I153" s="6" t="str">
        <x:v>Unknown</x:v>
      </x:c>
      <x:c r="J153" s="6" t="str">
        <x:v>Unknown</x:v>
      </x:c>
      <x:c r="K153" s="6" t="str">
        <x:v>Unresolved</x:v>
      </x:c>
      <x:c r="L153" s="7" t="str">
        <x:v>Nocturnix_Master_Services_Catalog_v1.xlsx | 01 - Master Services | row 192</x:v>
      </x:c>
      <x:c r="M153" s="6" t="str"/>
      <x:c r="N153" s="6" t="str"/>
      <x:c r="O153" s="6" t="str">
        <x:v>Pending</x:v>
      </x:c>
      <x:c r="P153" s="7" t="str">
        <x:f>IF(OR(D153="Reviewer Complete",D153="Awaiting Second-Level Approval"),"","Service identity dependency unresolved")</x:f>
        <x:v>Service identity dependency unresolved</x:v>
      </x:c>
      <x:c r="Q153" s="6" t="str">
        <x:v>Yes</x:v>
      </x:c>
      <x:c r="R153" s="7" t="str"/>
    </x:row>
    <x:row r="154">
      <x:c r="A154" s="6" t="str">
        <x:v>MFRX-0153</x:v>
      </x:c>
      <x:c r="B154" s="6" t="str">
        <x:v>SVC000153</x:v>
      </x:c>
      <x:c r="C154" s="6" t="str">
        <x:v>SIDX-0153</x:v>
      </x:c>
      <x:c r="D154" s="6" t="str">
        <x:f>IFERROR(XLOOKUP(C154,'Review Sequence'!C2:C1586,'Review Sequence'!J2:J1586),"Dependency not found")</x:f>
        <x:v>Not Started</x:v>
      </x:c>
      <x:c r="E154" s="6" t="str">
        <x:v>MFR-LEGACY-001</x:v>
      </x:c>
      <x:c r="F154" s="6" t="str">
        <x:v>Unknown</x:v>
      </x:c>
      <x:c r="G154" s="6" t="str"/>
      <x:c r="H154" s="6" t="str"/>
      <x:c r="I154" s="6" t="str">
        <x:v>Unknown</x:v>
      </x:c>
      <x:c r="J154" s="6" t="str">
        <x:v>Unknown</x:v>
      </x:c>
      <x:c r="K154" s="6" t="str">
        <x:v>Unresolved</x:v>
      </x:c>
      <x:c r="L154" s="7" t="str">
        <x:v>Nocturnix_Master_Services_Catalog_v1.xlsx | 01 - Master Services | row 193</x:v>
      </x:c>
      <x:c r="M154" s="6" t="str"/>
      <x:c r="N154" s="6" t="str"/>
      <x:c r="O154" s="6" t="str">
        <x:v>Pending</x:v>
      </x:c>
      <x:c r="P154" s="7" t="str">
        <x:f>IF(OR(D154="Reviewer Complete",D154="Awaiting Second-Level Approval"),"","Service identity dependency unresolved")</x:f>
        <x:v>Service identity dependency unresolved</x:v>
      </x:c>
      <x:c r="Q154" s="6" t="str">
        <x:v>Yes</x:v>
      </x:c>
      <x:c r="R154" s="7" t="str"/>
    </x:row>
    <x:row r="155">
      <x:c r="A155" s="6" t="str">
        <x:v>MFRX-0154</x:v>
      </x:c>
      <x:c r="B155" s="6" t="str">
        <x:v>SVC000154</x:v>
      </x:c>
      <x:c r="C155" s="6" t="str">
        <x:v>SIDX-0154</x:v>
      </x:c>
      <x:c r="D155" s="6" t="str">
        <x:f>IFERROR(XLOOKUP(C155,'Review Sequence'!C2:C1586,'Review Sequence'!J2:J1586),"Dependency not found")</x:f>
        <x:v>Not Started</x:v>
      </x:c>
      <x:c r="E155" s="6" t="str">
        <x:v>MFR-LEGACY-001</x:v>
      </x:c>
      <x:c r="F155" s="6" t="str">
        <x:v>Unknown</x:v>
      </x:c>
      <x:c r="G155" s="6" t="str"/>
      <x:c r="H155" s="6" t="str"/>
      <x:c r="I155" s="6" t="str">
        <x:v>Unknown</x:v>
      </x:c>
      <x:c r="J155" s="6" t="str">
        <x:v>Unknown</x:v>
      </x:c>
      <x:c r="K155" s="6" t="str">
        <x:v>Unresolved</x:v>
      </x:c>
      <x:c r="L155" s="7" t="str">
        <x:v>Nocturnix_Master_Services_Catalog_v1.xlsx | 01 - Master Services | row 194</x:v>
      </x:c>
      <x:c r="M155" s="6" t="str"/>
      <x:c r="N155" s="6" t="str"/>
      <x:c r="O155" s="6" t="str">
        <x:v>Pending</x:v>
      </x:c>
      <x:c r="P155" s="7" t="str">
        <x:f>IF(OR(D155="Reviewer Complete",D155="Awaiting Second-Level Approval"),"","Service identity dependency unresolved")</x:f>
        <x:v>Service identity dependency unresolved</x:v>
      </x:c>
      <x:c r="Q155" s="6" t="str">
        <x:v>Yes</x:v>
      </x:c>
      <x:c r="R155" s="7" t="str"/>
    </x:row>
    <x:row r="156">
      <x:c r="A156" s="6" t="str">
        <x:v>MFRX-0155</x:v>
      </x:c>
      <x:c r="B156" s="6" t="str">
        <x:v>SVC000155</x:v>
      </x:c>
      <x:c r="C156" s="6" t="str">
        <x:v>SIDX-0155</x:v>
      </x:c>
      <x:c r="D156" s="6" t="str">
        <x:f>IFERROR(XLOOKUP(C156,'Review Sequence'!C2:C1586,'Review Sequence'!J2:J1586),"Dependency not found")</x:f>
        <x:v>Not Started</x:v>
      </x:c>
      <x:c r="E156" s="6" t="str">
        <x:v>MFR-LEGACY-001</x:v>
      </x:c>
      <x:c r="F156" s="6" t="str">
        <x:v>Unknown</x:v>
      </x:c>
      <x:c r="G156" s="6" t="str"/>
      <x:c r="H156" s="6" t="str"/>
      <x:c r="I156" s="6" t="str">
        <x:v>Unknown</x:v>
      </x:c>
      <x:c r="J156" s="6" t="str">
        <x:v>Unknown</x:v>
      </x:c>
      <x:c r="K156" s="6" t="str">
        <x:v>Unresolved</x:v>
      </x:c>
      <x:c r="L156" s="7" t="str">
        <x:v>Nocturnix_Master_Services_Catalog_v1.xlsx | 01 - Master Services | row 195</x:v>
      </x:c>
      <x:c r="M156" s="6" t="str"/>
      <x:c r="N156" s="6" t="str"/>
      <x:c r="O156" s="6" t="str">
        <x:v>Pending</x:v>
      </x:c>
      <x:c r="P156" s="7" t="str">
        <x:f>IF(OR(D156="Reviewer Complete",D156="Awaiting Second-Level Approval"),"","Service identity dependency unresolved")</x:f>
        <x:v>Service identity dependency unresolved</x:v>
      </x:c>
      <x:c r="Q156" s="6" t="str">
        <x:v>Yes</x:v>
      </x:c>
      <x:c r="R156" s="7" t="str"/>
    </x:row>
    <x:row r="157">
      <x:c r="A157" s="6" t="str">
        <x:v>MFRX-0156</x:v>
      </x:c>
      <x:c r="B157" s="6" t="str">
        <x:v>SVC000156</x:v>
      </x:c>
      <x:c r="C157" s="6" t="str">
        <x:v>SIDX-0156</x:v>
      </x:c>
      <x:c r="D157" s="6" t="str">
        <x:f>IFERROR(XLOOKUP(C157,'Review Sequence'!C2:C1586,'Review Sequence'!J2:J1586),"Dependency not found")</x:f>
        <x:v>Not Started</x:v>
      </x:c>
      <x:c r="E157" s="6" t="str">
        <x:v>MFR-LEGACY-001</x:v>
      </x:c>
      <x:c r="F157" s="6" t="str">
        <x:v>Unknown</x:v>
      </x:c>
      <x:c r="G157" s="6" t="str"/>
      <x:c r="H157" s="6" t="str"/>
      <x:c r="I157" s="6" t="str">
        <x:v>Unknown</x:v>
      </x:c>
      <x:c r="J157" s="6" t="str">
        <x:v>Unknown</x:v>
      </x:c>
      <x:c r="K157" s="6" t="str">
        <x:v>Unresolved</x:v>
      </x:c>
      <x:c r="L157" s="7" t="str">
        <x:v>Nocturnix_Master_Services_Catalog_v1.xlsx | 01 - Master Services | row 196</x:v>
      </x:c>
      <x:c r="M157" s="6" t="str"/>
      <x:c r="N157" s="6" t="str"/>
      <x:c r="O157" s="6" t="str">
        <x:v>Pending</x:v>
      </x:c>
      <x:c r="P157" s="7" t="str">
        <x:f>IF(OR(D157="Reviewer Complete",D157="Awaiting Second-Level Approval"),"","Service identity dependency unresolved")</x:f>
        <x:v>Service identity dependency unresolved</x:v>
      </x:c>
      <x:c r="Q157" s="6" t="str">
        <x:v>Yes</x:v>
      </x:c>
      <x:c r="R157" s="7" t="str"/>
    </x:row>
    <x:row r="158">
      <x:c r="A158" s="6" t="str">
        <x:v>MFRX-0157</x:v>
      </x:c>
      <x:c r="B158" s="6" t="str">
        <x:v>SVC000157</x:v>
      </x:c>
      <x:c r="C158" s="6" t="str">
        <x:v>SIDX-0157</x:v>
      </x:c>
      <x:c r="D158" s="6" t="str">
        <x:f>IFERROR(XLOOKUP(C158,'Review Sequence'!C2:C1586,'Review Sequence'!J2:J1586),"Dependency not found")</x:f>
        <x:v>Not Started</x:v>
      </x:c>
      <x:c r="E158" s="6" t="str">
        <x:v>MFR-LEGACY-001</x:v>
      </x:c>
      <x:c r="F158" s="6" t="str">
        <x:v>Unknown</x:v>
      </x:c>
      <x:c r="G158" s="6" t="str"/>
      <x:c r="H158" s="6" t="str"/>
      <x:c r="I158" s="6" t="str">
        <x:v>Unknown</x:v>
      </x:c>
      <x:c r="J158" s="6" t="str">
        <x:v>Unknown</x:v>
      </x:c>
      <x:c r="K158" s="6" t="str">
        <x:v>Unresolved</x:v>
      </x:c>
      <x:c r="L158" s="7" t="str">
        <x:v>Nocturnix_Master_Services_Catalog_v1.xlsx | 01 - Master Services | row 197</x:v>
      </x:c>
      <x:c r="M158" s="6" t="str"/>
      <x:c r="N158" s="6" t="str"/>
      <x:c r="O158" s="6" t="str">
        <x:v>Pending</x:v>
      </x:c>
      <x:c r="P158" s="7" t="str">
        <x:f>IF(OR(D158="Reviewer Complete",D158="Awaiting Second-Level Approval"),"","Service identity dependency unresolved")</x:f>
        <x:v>Service identity dependency unresolved</x:v>
      </x:c>
      <x:c r="Q158" s="6" t="str">
        <x:v>Yes</x:v>
      </x:c>
      <x:c r="R158" s="7" t="str"/>
    </x:row>
    <x:row r="159">
      <x:c r="A159" s="6" t="str">
        <x:v>MFRX-0158</x:v>
      </x:c>
      <x:c r="B159" s="6" t="str">
        <x:v>SVC000158</x:v>
      </x:c>
      <x:c r="C159" s="6" t="str">
        <x:v>SIDX-0158</x:v>
      </x:c>
      <x:c r="D159" s="6" t="str">
        <x:f>IFERROR(XLOOKUP(C159,'Review Sequence'!C2:C1586,'Review Sequence'!J2:J1586),"Dependency not found")</x:f>
        <x:v>Not Started</x:v>
      </x:c>
      <x:c r="E159" s="6" t="str">
        <x:v>MFR-LEGACY-001</x:v>
      </x:c>
      <x:c r="F159" s="6" t="str">
        <x:v>Unknown</x:v>
      </x:c>
      <x:c r="G159" s="6" t="str"/>
      <x:c r="H159" s="6" t="str"/>
      <x:c r="I159" s="6" t="str">
        <x:v>Unknown</x:v>
      </x:c>
      <x:c r="J159" s="6" t="str">
        <x:v>Unknown</x:v>
      </x:c>
      <x:c r="K159" s="6" t="str">
        <x:v>Unresolved</x:v>
      </x:c>
      <x:c r="L159" s="7" t="str">
        <x:v>Nocturnix_Master_Services_Catalog_v1.xlsx | 01 - Master Services | row 198</x:v>
      </x:c>
      <x:c r="M159" s="6" t="str"/>
      <x:c r="N159" s="6" t="str"/>
      <x:c r="O159" s="6" t="str">
        <x:v>Pending</x:v>
      </x:c>
      <x:c r="P159" s="7" t="str">
        <x:f>IF(OR(D159="Reviewer Complete",D159="Awaiting Second-Level Approval"),"","Service identity dependency unresolved")</x:f>
        <x:v>Service identity dependency unresolved</x:v>
      </x:c>
      <x:c r="Q159" s="6" t="str">
        <x:v>Yes</x:v>
      </x:c>
      <x:c r="R159" s="7" t="str"/>
    </x:row>
    <x:row r="160">
      <x:c r="A160" s="6" t="str">
        <x:v>MFRX-0159</x:v>
      </x:c>
      <x:c r="B160" s="6" t="str">
        <x:v>SVC000159</x:v>
      </x:c>
      <x:c r="C160" s="6" t="str">
        <x:v>SIDX-0159</x:v>
      </x:c>
      <x:c r="D160" s="6" t="str">
        <x:f>IFERROR(XLOOKUP(C160,'Review Sequence'!C2:C1586,'Review Sequence'!J2:J1586),"Dependency not found")</x:f>
        <x:v>Not Started</x:v>
      </x:c>
      <x:c r="E160" s="6" t="str">
        <x:v>MFR-LEGACY-001</x:v>
      </x:c>
      <x:c r="F160" s="6" t="str">
        <x:v>Unknown</x:v>
      </x:c>
      <x:c r="G160" s="6" t="str"/>
      <x:c r="H160" s="6" t="str"/>
      <x:c r="I160" s="6" t="str">
        <x:v>Unknown</x:v>
      </x:c>
      <x:c r="J160" s="6" t="str">
        <x:v>Unknown</x:v>
      </x:c>
      <x:c r="K160" s="6" t="str">
        <x:v>Unresolved</x:v>
      </x:c>
      <x:c r="L160" s="7" t="str">
        <x:v>Nocturnix_Master_Services_Catalog_v1.xlsx | 01 - Master Services | row 199</x:v>
      </x:c>
      <x:c r="M160" s="6" t="str"/>
      <x:c r="N160" s="6" t="str"/>
      <x:c r="O160" s="6" t="str">
        <x:v>Pending</x:v>
      </x:c>
      <x:c r="P160" s="7" t="str">
        <x:f>IF(OR(D160="Reviewer Complete",D160="Awaiting Second-Level Approval"),"","Service identity dependency unresolved")</x:f>
        <x:v>Service identity dependency unresolved</x:v>
      </x:c>
      <x:c r="Q160" s="6" t="str">
        <x:v>Yes</x:v>
      </x:c>
      <x:c r="R160" s="7" t="str"/>
    </x:row>
    <x:row r="161">
      <x:c r="A161" s="6" t="str">
        <x:v>MFRX-0160</x:v>
      </x:c>
      <x:c r="B161" s="6" t="str">
        <x:v>SVC000160</x:v>
      </x:c>
      <x:c r="C161" s="6" t="str">
        <x:v>SIDX-0160</x:v>
      </x:c>
      <x:c r="D161" s="6" t="str">
        <x:f>IFERROR(XLOOKUP(C161,'Review Sequence'!C2:C1586,'Review Sequence'!J2:J1586),"Dependency not found")</x:f>
        <x:v>Not Started</x:v>
      </x:c>
      <x:c r="E161" s="6" t="str">
        <x:v>MFR-LEGACY-001</x:v>
      </x:c>
      <x:c r="F161" s="6" t="str">
        <x:v>Unknown</x:v>
      </x:c>
      <x:c r="G161" s="6" t="str"/>
      <x:c r="H161" s="6" t="str"/>
      <x:c r="I161" s="6" t="str">
        <x:v>Unknown</x:v>
      </x:c>
      <x:c r="J161" s="6" t="str">
        <x:v>Unknown</x:v>
      </x:c>
      <x:c r="K161" s="6" t="str">
        <x:v>Unresolved</x:v>
      </x:c>
      <x:c r="L161" s="7" t="str">
        <x:v>Nocturnix_Master_Services_Catalog_v1.xlsx | 01 - Master Services | row 200</x:v>
      </x:c>
      <x:c r="M161" s="6" t="str"/>
      <x:c r="N161" s="6" t="str"/>
      <x:c r="O161" s="6" t="str">
        <x:v>Pending</x:v>
      </x:c>
      <x:c r="P161" s="7" t="str">
        <x:f>IF(OR(D161="Reviewer Complete",D161="Awaiting Second-Level Approval"),"","Service identity dependency unresolved")</x:f>
        <x:v>Service identity dependency unresolved</x:v>
      </x:c>
      <x:c r="Q161" s="6" t="str">
        <x:v>Yes</x:v>
      </x:c>
      <x:c r="R161" s="7" t="str"/>
    </x:row>
    <x:row r="162">
      <x:c r="A162" s="6" t="str">
        <x:v>MFRX-0161</x:v>
      </x:c>
      <x:c r="B162" s="6" t="str">
        <x:v>SVC000161</x:v>
      </x:c>
      <x:c r="C162" s="6" t="str">
        <x:v>SIDX-0161</x:v>
      </x:c>
      <x:c r="D162" s="6" t="str">
        <x:f>IFERROR(XLOOKUP(C162,'Review Sequence'!C2:C1586,'Review Sequence'!J2:J1586),"Dependency not found")</x:f>
        <x:v>Not Started</x:v>
      </x:c>
      <x:c r="E162" s="6" t="str">
        <x:v>MFR-LEGACY-001</x:v>
      </x:c>
      <x:c r="F162" s="6" t="str">
        <x:v>Unknown</x:v>
      </x:c>
      <x:c r="G162" s="6" t="str"/>
      <x:c r="H162" s="6" t="str"/>
      <x:c r="I162" s="6" t="str">
        <x:v>Unknown</x:v>
      </x:c>
      <x:c r="J162" s="6" t="str">
        <x:v>Unknown</x:v>
      </x:c>
      <x:c r="K162" s="6" t="str">
        <x:v>Unresolved</x:v>
      </x:c>
      <x:c r="L162" s="7" t="str">
        <x:v>Nocturnix_Master_Services_Catalog_v1.xlsx | 01 - Master Services | row 201</x:v>
      </x:c>
      <x:c r="M162" s="6" t="str"/>
      <x:c r="N162" s="6" t="str"/>
      <x:c r="O162" s="6" t="str">
        <x:v>Pending</x:v>
      </x:c>
      <x:c r="P162" s="7" t="str">
        <x:f>IF(OR(D162="Reviewer Complete",D162="Awaiting Second-Level Approval"),"","Service identity dependency unresolved")</x:f>
        <x:v>Service identity dependency unresolved</x:v>
      </x:c>
      <x:c r="Q162" s="6" t="str">
        <x:v>Yes</x:v>
      </x:c>
      <x:c r="R162" s="7" t="str"/>
    </x:row>
    <x:row r="163">
      <x:c r="A163" s="6" t="str">
        <x:v>MFRX-0162</x:v>
      </x:c>
      <x:c r="B163" s="6" t="str">
        <x:v>SVC000162</x:v>
      </x:c>
      <x:c r="C163" s="6" t="str">
        <x:v>SIDX-0162</x:v>
      </x:c>
      <x:c r="D163" s="6" t="str">
        <x:f>IFERROR(XLOOKUP(C163,'Review Sequence'!C2:C1586,'Review Sequence'!J2:J1586),"Dependency not found")</x:f>
        <x:v>Not Started</x:v>
      </x:c>
      <x:c r="E163" s="6" t="str">
        <x:v>MFR-LEGACY-001</x:v>
      </x:c>
      <x:c r="F163" s="6" t="str">
        <x:v>Unknown</x:v>
      </x:c>
      <x:c r="G163" s="6" t="str"/>
      <x:c r="H163" s="6" t="str"/>
      <x:c r="I163" s="6" t="str">
        <x:v>Unknown</x:v>
      </x:c>
      <x:c r="J163" s="6" t="str">
        <x:v>Unknown</x:v>
      </x:c>
      <x:c r="K163" s="6" t="str">
        <x:v>Unresolved</x:v>
      </x:c>
      <x:c r="L163" s="7" t="str">
        <x:v>Nocturnix_Master_Services_Catalog_v1.xlsx | 01 - Master Services | row 202</x:v>
      </x:c>
      <x:c r="M163" s="6" t="str"/>
      <x:c r="N163" s="6" t="str"/>
      <x:c r="O163" s="6" t="str">
        <x:v>Pending</x:v>
      </x:c>
      <x:c r="P163" s="7" t="str">
        <x:f>IF(OR(D163="Reviewer Complete",D163="Awaiting Second-Level Approval"),"","Service identity dependency unresolved")</x:f>
        <x:v>Service identity dependency unresolved</x:v>
      </x:c>
      <x:c r="Q163" s="6" t="str">
        <x:v>Yes</x:v>
      </x:c>
      <x:c r="R163" s="7" t="str"/>
    </x:row>
    <x:row r="164">
      <x:c r="A164" s="6" t="str">
        <x:v>MFRX-0163</x:v>
      </x:c>
      <x:c r="B164" s="6" t="str">
        <x:v>SVC000163</x:v>
      </x:c>
      <x:c r="C164" s="6" t="str">
        <x:v>SIDX-0163</x:v>
      </x:c>
      <x:c r="D164" s="6" t="str">
        <x:f>IFERROR(XLOOKUP(C164,'Review Sequence'!C2:C1586,'Review Sequence'!J2:J1586),"Dependency not found")</x:f>
        <x:v>Not Started</x:v>
      </x:c>
      <x:c r="E164" s="6" t="str">
        <x:v>MFR-LEGACY-001</x:v>
      </x:c>
      <x:c r="F164" s="6" t="str">
        <x:v>Unknown</x:v>
      </x:c>
      <x:c r="G164" s="6" t="str"/>
      <x:c r="H164" s="6" t="str"/>
      <x:c r="I164" s="6" t="str">
        <x:v>Unknown</x:v>
      </x:c>
      <x:c r="J164" s="6" t="str">
        <x:v>Unknown</x:v>
      </x:c>
      <x:c r="K164" s="6" t="str">
        <x:v>Unresolved</x:v>
      </x:c>
      <x:c r="L164" s="7" t="str">
        <x:v>Nocturnix_Master_Services_Catalog_v1.xlsx | 01 - Master Services | row 203</x:v>
      </x:c>
      <x:c r="M164" s="6" t="str"/>
      <x:c r="N164" s="6" t="str"/>
      <x:c r="O164" s="6" t="str">
        <x:v>Pending</x:v>
      </x:c>
      <x:c r="P164" s="7" t="str">
        <x:f>IF(OR(D164="Reviewer Complete",D164="Awaiting Second-Level Approval"),"","Service identity dependency unresolved")</x:f>
        <x:v>Service identity dependency unresolved</x:v>
      </x:c>
      <x:c r="Q164" s="6" t="str">
        <x:v>Yes</x:v>
      </x:c>
      <x:c r="R164" s="7" t="str"/>
    </x:row>
    <x:row r="165">
      <x:c r="A165" s="6" t="str">
        <x:v>MFRX-0164</x:v>
      </x:c>
      <x:c r="B165" s="6" t="str">
        <x:v>SVC000164</x:v>
      </x:c>
      <x:c r="C165" s="6" t="str">
        <x:v>SIDX-0164</x:v>
      </x:c>
      <x:c r="D165" s="6" t="str">
        <x:f>IFERROR(XLOOKUP(C165,'Review Sequence'!C2:C1586,'Review Sequence'!J2:J1586),"Dependency not found")</x:f>
        <x:v>Not Started</x:v>
      </x:c>
      <x:c r="E165" s="6" t="str">
        <x:v>MFR-LEGACY-001</x:v>
      </x:c>
      <x:c r="F165" s="6" t="str">
        <x:v>Unknown</x:v>
      </x:c>
      <x:c r="G165" s="6" t="str"/>
      <x:c r="H165" s="6" t="str"/>
      <x:c r="I165" s="6" t="str">
        <x:v>Unknown</x:v>
      </x:c>
      <x:c r="J165" s="6" t="str">
        <x:v>Unknown</x:v>
      </x:c>
      <x:c r="K165" s="6" t="str">
        <x:v>Unresolved</x:v>
      </x:c>
      <x:c r="L165" s="7" t="str">
        <x:v>Nocturnix_Master_Services_Catalog_v1.xlsx | 01 - Master Services | row 204</x:v>
      </x:c>
      <x:c r="M165" s="6" t="str"/>
      <x:c r="N165" s="6" t="str"/>
      <x:c r="O165" s="6" t="str">
        <x:v>Pending</x:v>
      </x:c>
      <x:c r="P165" s="7" t="str">
        <x:f>IF(OR(D165="Reviewer Complete",D165="Awaiting Second-Level Approval"),"","Service identity dependency unresolved")</x:f>
        <x:v>Service identity dependency unresolved</x:v>
      </x:c>
      <x:c r="Q165" s="6" t="str">
        <x:v>Yes</x:v>
      </x:c>
      <x:c r="R165" s="7" t="str"/>
    </x:row>
    <x:row r="166">
      <x:c r="A166" s="6" t="str">
        <x:v>MFRX-0165</x:v>
      </x:c>
      <x:c r="B166" s="6" t="str">
        <x:v>SVC000165</x:v>
      </x:c>
      <x:c r="C166" s="6" t="str">
        <x:v>SIDX-0165</x:v>
      </x:c>
      <x:c r="D166" s="6" t="str">
        <x:f>IFERROR(XLOOKUP(C166,'Review Sequence'!C2:C1586,'Review Sequence'!J2:J1586),"Dependency not found")</x:f>
        <x:v>Not Started</x:v>
      </x:c>
      <x:c r="E166" s="6" t="str">
        <x:v>MFR-LEGACY-001</x:v>
      </x:c>
      <x:c r="F166" s="6" t="str">
        <x:v>Unknown</x:v>
      </x:c>
      <x:c r="G166" s="6" t="str"/>
      <x:c r="H166" s="6" t="str"/>
      <x:c r="I166" s="6" t="str">
        <x:v>Unknown</x:v>
      </x:c>
      <x:c r="J166" s="6" t="str">
        <x:v>Unknown</x:v>
      </x:c>
      <x:c r="K166" s="6" t="str">
        <x:v>Unresolved</x:v>
      </x:c>
      <x:c r="L166" s="7" t="str">
        <x:v>Nocturnix_Master_Services_Catalog_v1.xlsx | 01 - Master Services | row 205</x:v>
      </x:c>
      <x:c r="M166" s="6" t="str"/>
      <x:c r="N166" s="6" t="str"/>
      <x:c r="O166" s="6" t="str">
        <x:v>Pending</x:v>
      </x:c>
      <x:c r="P166" s="7" t="str">
        <x:f>IF(OR(D166="Reviewer Complete",D166="Awaiting Second-Level Approval"),"","Service identity dependency unresolved")</x:f>
        <x:v>Service identity dependency unresolved</x:v>
      </x:c>
      <x:c r="Q166" s="6" t="str">
        <x:v>Yes</x:v>
      </x:c>
      <x:c r="R166" s="7" t="str"/>
    </x:row>
    <x:row r="167">
      <x:c r="A167" s="6" t="str">
        <x:v>MFRX-0166</x:v>
      </x:c>
      <x:c r="B167" s="6" t="str">
        <x:v>SVC000166</x:v>
      </x:c>
      <x:c r="C167" s="6" t="str">
        <x:v>SIDX-0166</x:v>
      </x:c>
      <x:c r="D167" s="6" t="str">
        <x:f>IFERROR(XLOOKUP(C167,'Review Sequence'!C2:C1586,'Review Sequence'!J2:J1586),"Dependency not found")</x:f>
        <x:v>Not Started</x:v>
      </x:c>
      <x:c r="E167" s="6" t="str">
        <x:v>MFR-LEGACY-001</x:v>
      </x:c>
      <x:c r="F167" s="6" t="str">
        <x:v>Unknown</x:v>
      </x:c>
      <x:c r="G167" s="6" t="str"/>
      <x:c r="H167" s="6" t="str"/>
      <x:c r="I167" s="6" t="str">
        <x:v>Unknown</x:v>
      </x:c>
      <x:c r="J167" s="6" t="str">
        <x:v>Unknown</x:v>
      </x:c>
      <x:c r="K167" s="6" t="str">
        <x:v>Unresolved</x:v>
      </x:c>
      <x:c r="L167" s="7" t="str">
        <x:v>Nocturnix_Master_Services_Catalog_v1.xlsx | 01 - Master Services | row 206</x:v>
      </x:c>
      <x:c r="M167" s="6" t="str"/>
      <x:c r="N167" s="6" t="str"/>
      <x:c r="O167" s="6" t="str">
        <x:v>Pending</x:v>
      </x:c>
      <x:c r="P167" s="7" t="str">
        <x:f>IF(OR(D167="Reviewer Complete",D167="Awaiting Second-Level Approval"),"","Service identity dependency unresolved")</x:f>
        <x:v>Service identity dependency unresolved</x:v>
      </x:c>
      <x:c r="Q167" s="6" t="str">
        <x:v>Yes</x:v>
      </x:c>
      <x:c r="R167" s="7" t="str"/>
    </x:row>
    <x:row r="168">
      <x:c r="A168" s="6" t="str">
        <x:v>MFRX-0167</x:v>
      </x:c>
      <x:c r="B168" s="6" t="str">
        <x:v>SVC000167</x:v>
      </x:c>
      <x:c r="C168" s="6" t="str">
        <x:v>SIDX-0167</x:v>
      </x:c>
      <x:c r="D168" s="6" t="str">
        <x:f>IFERROR(XLOOKUP(C168,'Review Sequence'!C2:C1586,'Review Sequence'!J2:J1586),"Dependency not found")</x:f>
        <x:v>Not Started</x:v>
      </x:c>
      <x:c r="E168" s="6" t="str">
        <x:v>MFR-LEGACY-001</x:v>
      </x:c>
      <x:c r="F168" s="6" t="str">
        <x:v>Unknown</x:v>
      </x:c>
      <x:c r="G168" s="6" t="str"/>
      <x:c r="H168" s="6" t="str"/>
      <x:c r="I168" s="6" t="str">
        <x:v>Unknown</x:v>
      </x:c>
      <x:c r="J168" s="6" t="str">
        <x:v>Unknown</x:v>
      </x:c>
      <x:c r="K168" s="6" t="str">
        <x:v>Unresolved</x:v>
      </x:c>
      <x:c r="L168" s="7" t="str">
        <x:v>Nocturnix_Master_Services_Catalog_v1.xlsx | 01 - Master Services | row 207</x:v>
      </x:c>
      <x:c r="M168" s="6" t="str"/>
      <x:c r="N168" s="6" t="str"/>
      <x:c r="O168" s="6" t="str">
        <x:v>Pending</x:v>
      </x:c>
      <x:c r="P168" s="7" t="str">
        <x:f>IF(OR(D168="Reviewer Complete",D168="Awaiting Second-Level Approval"),"","Service identity dependency unresolved")</x:f>
        <x:v>Service identity dependency unresolved</x:v>
      </x:c>
      <x:c r="Q168" s="6" t="str">
        <x:v>Yes</x:v>
      </x:c>
      <x:c r="R168" s="7" t="str"/>
    </x:row>
    <x:row r="169">
      <x:c r="A169" s="6" t="str">
        <x:v>MFRX-0168</x:v>
      </x:c>
      <x:c r="B169" s="6" t="str">
        <x:v>SVC000168</x:v>
      </x:c>
      <x:c r="C169" s="6" t="str">
        <x:v>SIDX-0168</x:v>
      </x:c>
      <x:c r="D169" s="6" t="str">
        <x:f>IFERROR(XLOOKUP(C169,'Review Sequence'!C2:C1586,'Review Sequence'!J2:J1586),"Dependency not found")</x:f>
        <x:v>Not Started</x:v>
      </x:c>
      <x:c r="E169" s="6" t="str">
        <x:v>MFR-LEGACY-001</x:v>
      </x:c>
      <x:c r="F169" s="6" t="str">
        <x:v>Unknown</x:v>
      </x:c>
      <x:c r="G169" s="6" t="str"/>
      <x:c r="H169" s="6" t="str"/>
      <x:c r="I169" s="6" t="str">
        <x:v>Unknown</x:v>
      </x:c>
      <x:c r="J169" s="6" t="str">
        <x:v>Unknown</x:v>
      </x:c>
      <x:c r="K169" s="6" t="str">
        <x:v>Unresolved</x:v>
      </x:c>
      <x:c r="L169" s="7" t="str">
        <x:v>Nocturnix_Master_Services_Catalog_v1.xlsx | 01 - Master Services | row 208</x:v>
      </x:c>
      <x:c r="M169" s="6" t="str"/>
      <x:c r="N169" s="6" t="str"/>
      <x:c r="O169" s="6" t="str">
        <x:v>Pending</x:v>
      </x:c>
      <x:c r="P169" s="7" t="str">
        <x:f>IF(OR(D169="Reviewer Complete",D169="Awaiting Second-Level Approval"),"","Service identity dependency unresolved")</x:f>
        <x:v>Service identity dependency unresolved</x:v>
      </x:c>
      <x:c r="Q169" s="6" t="str">
        <x:v>Yes</x:v>
      </x:c>
      <x:c r="R169" s="7" t="str"/>
    </x:row>
    <x:row r="170">
      <x:c r="A170" s="6" t="str">
        <x:v>MFRX-0169</x:v>
      </x:c>
      <x:c r="B170" s="6" t="str">
        <x:v>SVC000169</x:v>
      </x:c>
      <x:c r="C170" s="6" t="str">
        <x:v>SIDX-0169</x:v>
      </x:c>
      <x:c r="D170" s="6" t="str">
        <x:f>IFERROR(XLOOKUP(C170,'Review Sequence'!C2:C1586,'Review Sequence'!J2:J1586),"Dependency not found")</x:f>
        <x:v>Not Started</x:v>
      </x:c>
      <x:c r="E170" s="6" t="str">
        <x:v>MFR-LEGACY-001</x:v>
      </x:c>
      <x:c r="F170" s="6" t="str">
        <x:v>Unknown</x:v>
      </x:c>
      <x:c r="G170" s="6" t="str"/>
      <x:c r="H170" s="6" t="str"/>
      <x:c r="I170" s="6" t="str">
        <x:v>Unknown</x:v>
      </x:c>
      <x:c r="J170" s="6" t="str">
        <x:v>Unknown</x:v>
      </x:c>
      <x:c r="K170" s="6" t="str">
        <x:v>Unresolved</x:v>
      </x:c>
      <x:c r="L170" s="7" t="str">
        <x:v>Nocturnix_Master_Services_Catalog_v1.xlsx | 01 - Master Services | row 209</x:v>
      </x:c>
      <x:c r="M170" s="6" t="str"/>
      <x:c r="N170" s="6" t="str"/>
      <x:c r="O170" s="6" t="str">
        <x:v>Pending</x:v>
      </x:c>
      <x:c r="P170" s="7" t="str">
        <x:f>IF(OR(D170="Reviewer Complete",D170="Awaiting Second-Level Approval"),"","Service identity dependency unresolved")</x:f>
        <x:v>Service identity dependency unresolved</x:v>
      </x:c>
      <x:c r="Q170" s="6" t="str">
        <x:v>Yes</x:v>
      </x:c>
      <x:c r="R170" s="7" t="str"/>
    </x:row>
    <x:row r="171">
      <x:c r="A171" s="6" t="str">
        <x:v>MFRX-0170</x:v>
      </x:c>
      <x:c r="B171" s="6" t="str">
        <x:v>SVC000170</x:v>
      </x:c>
      <x:c r="C171" s="6" t="str">
        <x:v>SIDX-0170</x:v>
      </x:c>
      <x:c r="D171" s="6" t="str">
        <x:f>IFERROR(XLOOKUP(C171,'Review Sequence'!C2:C1586,'Review Sequence'!J2:J1586),"Dependency not found")</x:f>
        <x:v>Not Started</x:v>
      </x:c>
      <x:c r="E171" s="6" t="str">
        <x:v>MFR-LEGACY-001</x:v>
      </x:c>
      <x:c r="F171" s="6" t="str">
        <x:v>Unknown</x:v>
      </x:c>
      <x:c r="G171" s="6" t="str"/>
      <x:c r="H171" s="6" t="str"/>
      <x:c r="I171" s="6" t="str">
        <x:v>Unknown</x:v>
      </x:c>
      <x:c r="J171" s="6" t="str">
        <x:v>Unknown</x:v>
      </x:c>
      <x:c r="K171" s="6" t="str">
        <x:v>Unresolved</x:v>
      </x:c>
      <x:c r="L171" s="7" t="str">
        <x:v>Nocturnix_Master_Services_Catalog_v1.xlsx | 01 - Master Services | row 210</x:v>
      </x:c>
      <x:c r="M171" s="6" t="str"/>
      <x:c r="N171" s="6" t="str"/>
      <x:c r="O171" s="6" t="str">
        <x:v>Pending</x:v>
      </x:c>
      <x:c r="P171" s="7" t="str">
        <x:f>IF(OR(D171="Reviewer Complete",D171="Awaiting Second-Level Approval"),"","Service identity dependency unresolved")</x:f>
        <x:v>Service identity dependency unresolved</x:v>
      </x:c>
      <x:c r="Q171" s="6" t="str">
        <x:v>Yes</x:v>
      </x:c>
      <x:c r="R171" s="7" t="str"/>
    </x:row>
    <x:row r="172">
      <x:c r="A172" s="6" t="str">
        <x:v>MFRX-0171</x:v>
      </x:c>
      <x:c r="B172" s="6" t="str">
        <x:v>SVC000171</x:v>
      </x:c>
      <x:c r="C172" s="6" t="str">
        <x:v>SIDX-0171</x:v>
      </x:c>
      <x:c r="D172" s="6" t="str">
        <x:f>IFERROR(XLOOKUP(C172,'Review Sequence'!C2:C1586,'Review Sequence'!J2:J1586),"Dependency not found")</x:f>
        <x:v>Not Started</x:v>
      </x:c>
      <x:c r="E172" s="6" t="str">
        <x:v>MFR-LEGACY-001</x:v>
      </x:c>
      <x:c r="F172" s="6" t="str">
        <x:v>Unknown</x:v>
      </x:c>
      <x:c r="G172" s="6" t="str"/>
      <x:c r="H172" s="6" t="str"/>
      <x:c r="I172" s="6" t="str">
        <x:v>Unknown</x:v>
      </x:c>
      <x:c r="J172" s="6" t="str">
        <x:v>Unknown</x:v>
      </x:c>
      <x:c r="K172" s="6" t="str">
        <x:v>Unresolved</x:v>
      </x:c>
      <x:c r="L172" s="7" t="str">
        <x:v>Nocturnix_Master_Services_Catalog_v1.xlsx | 01 - Master Services | row 211</x:v>
      </x:c>
      <x:c r="M172" s="6" t="str"/>
      <x:c r="N172" s="6" t="str"/>
      <x:c r="O172" s="6" t="str">
        <x:v>Pending</x:v>
      </x:c>
      <x:c r="P172" s="7" t="str">
        <x:f>IF(OR(D172="Reviewer Complete",D172="Awaiting Second-Level Approval"),"","Service identity dependency unresolved")</x:f>
        <x:v>Service identity dependency unresolved</x:v>
      </x:c>
      <x:c r="Q172" s="6" t="str">
        <x:v>Yes</x:v>
      </x:c>
      <x:c r="R172" s="7" t="str"/>
    </x:row>
    <x:row r="173">
      <x:c r="A173" s="6" t="str">
        <x:v>MFRX-0172</x:v>
      </x:c>
      <x:c r="B173" s="6" t="str">
        <x:v>SVC000172</x:v>
      </x:c>
      <x:c r="C173" s="6" t="str">
        <x:v>SIDX-0172</x:v>
      </x:c>
      <x:c r="D173" s="6" t="str">
        <x:f>IFERROR(XLOOKUP(C173,'Review Sequence'!C2:C1586,'Review Sequence'!J2:J1586),"Dependency not found")</x:f>
        <x:v>Not Started</x:v>
      </x:c>
      <x:c r="E173" s="6" t="str">
        <x:v>MFR-LEGACY-001</x:v>
      </x:c>
      <x:c r="F173" s="6" t="str">
        <x:v>Unknown</x:v>
      </x:c>
      <x:c r="G173" s="6" t="str"/>
      <x:c r="H173" s="6" t="str"/>
      <x:c r="I173" s="6" t="str">
        <x:v>Unknown</x:v>
      </x:c>
      <x:c r="J173" s="6" t="str">
        <x:v>Unknown</x:v>
      </x:c>
      <x:c r="K173" s="6" t="str">
        <x:v>Unresolved</x:v>
      </x:c>
      <x:c r="L173" s="7" t="str">
        <x:v>Nocturnix_Master_Services_Catalog_v1.xlsx | 01 - Master Services | row 212</x:v>
      </x:c>
      <x:c r="M173" s="6" t="str"/>
      <x:c r="N173" s="6" t="str"/>
      <x:c r="O173" s="6" t="str">
        <x:v>Pending</x:v>
      </x:c>
      <x:c r="P173" s="7" t="str">
        <x:f>IF(OR(D173="Reviewer Complete",D173="Awaiting Second-Level Approval"),"","Service identity dependency unresolved")</x:f>
        <x:v>Service identity dependency unresolved</x:v>
      </x:c>
      <x:c r="Q173" s="6" t="str">
        <x:v>Yes</x:v>
      </x:c>
      <x:c r="R173" s="7" t="str"/>
    </x:row>
    <x:row r="174">
      <x:c r="A174" s="6" t="str">
        <x:v>MFRX-0173</x:v>
      </x:c>
      <x:c r="B174" s="6" t="str">
        <x:v>SVC000173</x:v>
      </x:c>
      <x:c r="C174" s="6" t="str">
        <x:v>SIDX-0173</x:v>
      </x:c>
      <x:c r="D174" s="6" t="str">
        <x:f>IFERROR(XLOOKUP(C174,'Review Sequence'!C2:C1586,'Review Sequence'!J2:J1586),"Dependency not found")</x:f>
        <x:v>Not Started</x:v>
      </x:c>
      <x:c r="E174" s="6" t="str">
        <x:v>MFR-LEGACY-001</x:v>
      </x:c>
      <x:c r="F174" s="6" t="str">
        <x:v>Unknown</x:v>
      </x:c>
      <x:c r="G174" s="6" t="str"/>
      <x:c r="H174" s="6" t="str"/>
      <x:c r="I174" s="6" t="str">
        <x:v>Unknown</x:v>
      </x:c>
      <x:c r="J174" s="6" t="str">
        <x:v>Unknown</x:v>
      </x:c>
      <x:c r="K174" s="6" t="str">
        <x:v>Unresolved</x:v>
      </x:c>
      <x:c r="L174" s="7" t="str">
        <x:v>Nocturnix_Master_Services_Catalog_v1.xlsx | 01 - Master Services | row 213</x:v>
      </x:c>
      <x:c r="M174" s="6" t="str"/>
      <x:c r="N174" s="6" t="str"/>
      <x:c r="O174" s="6" t="str">
        <x:v>Pending</x:v>
      </x:c>
      <x:c r="P174" s="7" t="str">
        <x:f>IF(OR(D174="Reviewer Complete",D174="Awaiting Second-Level Approval"),"","Service identity dependency unresolved")</x:f>
        <x:v>Service identity dependency unresolved</x:v>
      </x:c>
      <x:c r="Q174" s="6" t="str">
        <x:v>Yes</x:v>
      </x:c>
      <x:c r="R174" s="7" t="str"/>
    </x:row>
    <x:row r="175">
      <x:c r="A175" s="6" t="str">
        <x:v>MFRX-0174</x:v>
      </x:c>
      <x:c r="B175" s="6" t="str">
        <x:v>SVC000174</x:v>
      </x:c>
      <x:c r="C175" s="6" t="str">
        <x:v>SIDX-0174</x:v>
      </x:c>
      <x:c r="D175" s="6" t="str">
        <x:f>IFERROR(XLOOKUP(C175,'Review Sequence'!C2:C1586,'Review Sequence'!J2:J1586),"Dependency not found")</x:f>
        <x:v>Not Started</x:v>
      </x:c>
      <x:c r="E175" s="6" t="str">
        <x:v>MFR-LEGACY-001</x:v>
      </x:c>
      <x:c r="F175" s="6" t="str">
        <x:v>Unknown</x:v>
      </x:c>
      <x:c r="G175" s="6" t="str"/>
      <x:c r="H175" s="6" t="str"/>
      <x:c r="I175" s="6" t="str">
        <x:v>Unknown</x:v>
      </x:c>
      <x:c r="J175" s="6" t="str">
        <x:v>Unknown</x:v>
      </x:c>
      <x:c r="K175" s="6" t="str">
        <x:v>Unresolved</x:v>
      </x:c>
      <x:c r="L175" s="7" t="str">
        <x:v>Nocturnix_Master_Services_Catalog_v1.xlsx | 01 - Master Services | row 214</x:v>
      </x:c>
      <x:c r="M175" s="6" t="str"/>
      <x:c r="N175" s="6" t="str"/>
      <x:c r="O175" s="6" t="str">
        <x:v>Pending</x:v>
      </x:c>
      <x:c r="P175" s="7" t="str">
        <x:f>IF(OR(D175="Reviewer Complete",D175="Awaiting Second-Level Approval"),"","Service identity dependency unresolved")</x:f>
        <x:v>Service identity dependency unresolved</x:v>
      </x:c>
      <x:c r="Q175" s="6" t="str">
        <x:v>Yes</x:v>
      </x:c>
      <x:c r="R175" s="7" t="str"/>
    </x:row>
    <x:row r="176">
      <x:c r="A176" s="6" t="str">
        <x:v>MFRX-0175</x:v>
      </x:c>
      <x:c r="B176" s="6" t="str">
        <x:v>SVC000175</x:v>
      </x:c>
      <x:c r="C176" s="6" t="str">
        <x:v>SIDX-0175</x:v>
      </x:c>
      <x:c r="D176" s="6" t="str">
        <x:f>IFERROR(XLOOKUP(C176,'Review Sequence'!C2:C1586,'Review Sequence'!J2:J1586),"Dependency not found")</x:f>
        <x:v>Not Started</x:v>
      </x:c>
      <x:c r="E176" s="6" t="str">
        <x:v>MFR-LEGACY-001</x:v>
      </x:c>
      <x:c r="F176" s="6" t="str">
        <x:v>Unknown</x:v>
      </x:c>
      <x:c r="G176" s="6" t="str"/>
      <x:c r="H176" s="6" t="str"/>
      <x:c r="I176" s="6" t="str">
        <x:v>Unknown</x:v>
      </x:c>
      <x:c r="J176" s="6" t="str">
        <x:v>Unknown</x:v>
      </x:c>
      <x:c r="K176" s="6" t="str">
        <x:v>Unresolved</x:v>
      </x:c>
      <x:c r="L176" s="7" t="str">
        <x:v>Nocturnix_Master_Services_Catalog_v1.xlsx | 01 - Master Services | row 215</x:v>
      </x:c>
      <x:c r="M176" s="6" t="str"/>
      <x:c r="N176" s="6" t="str"/>
      <x:c r="O176" s="6" t="str">
        <x:v>Pending</x:v>
      </x:c>
      <x:c r="P176" s="7" t="str">
        <x:f>IF(OR(D176="Reviewer Complete",D176="Awaiting Second-Level Approval"),"","Service identity dependency unresolved")</x:f>
        <x:v>Service identity dependency unresolved</x:v>
      </x:c>
      <x:c r="Q176" s="6" t="str">
        <x:v>Yes</x:v>
      </x:c>
      <x:c r="R176" s="7" t="str"/>
    </x:row>
    <x:row r="177">
      <x:c r="A177" s="6" t="str">
        <x:v>MFRX-0176</x:v>
      </x:c>
      <x:c r="B177" s="6" t="str">
        <x:v>SVC000176</x:v>
      </x:c>
      <x:c r="C177" s="6" t="str">
        <x:v>SIDX-0176</x:v>
      </x:c>
      <x:c r="D177" s="6" t="str">
        <x:f>IFERROR(XLOOKUP(C177,'Review Sequence'!C2:C1586,'Review Sequence'!J2:J1586),"Dependency not found")</x:f>
        <x:v>Not Started</x:v>
      </x:c>
      <x:c r="E177" s="6" t="str">
        <x:v>MFR-LEGACY-001</x:v>
      </x:c>
      <x:c r="F177" s="6" t="str">
        <x:v>Unknown</x:v>
      </x:c>
      <x:c r="G177" s="6" t="str"/>
      <x:c r="H177" s="6" t="str"/>
      <x:c r="I177" s="6" t="str">
        <x:v>Unknown</x:v>
      </x:c>
      <x:c r="J177" s="6" t="str">
        <x:v>Unknown</x:v>
      </x:c>
      <x:c r="K177" s="6" t="str">
        <x:v>Unresolved</x:v>
      </x:c>
      <x:c r="L177" s="7" t="str">
        <x:v>Nocturnix_Master_Services_Catalog_v1.xlsx | 01 - Master Services | row 216</x:v>
      </x:c>
      <x:c r="M177" s="6" t="str"/>
      <x:c r="N177" s="6" t="str"/>
      <x:c r="O177" s="6" t="str">
        <x:v>Pending</x:v>
      </x:c>
      <x:c r="P177" s="7" t="str">
        <x:f>IF(OR(D177="Reviewer Complete",D177="Awaiting Second-Level Approval"),"","Service identity dependency unresolved")</x:f>
        <x:v>Service identity dependency unresolved</x:v>
      </x:c>
      <x:c r="Q177" s="6" t="str">
        <x:v>Yes</x:v>
      </x:c>
      <x:c r="R177" s="7" t="str"/>
    </x:row>
    <x:row r="178">
      <x:c r="A178" s="6" t="str">
        <x:v>MFRX-0177</x:v>
      </x:c>
      <x:c r="B178" s="6" t="str">
        <x:v>SVC000177</x:v>
      </x:c>
      <x:c r="C178" s="6" t="str">
        <x:v>SIDX-0177</x:v>
      </x:c>
      <x:c r="D178" s="6" t="str">
        <x:f>IFERROR(XLOOKUP(C178,'Review Sequence'!C2:C1586,'Review Sequence'!J2:J1586),"Dependency not found")</x:f>
        <x:v>Not Started</x:v>
      </x:c>
      <x:c r="E178" s="6" t="str">
        <x:v>MFR-LEGACY-001</x:v>
      </x:c>
      <x:c r="F178" s="6" t="str">
        <x:v>Unknown</x:v>
      </x:c>
      <x:c r="G178" s="6" t="str"/>
      <x:c r="H178" s="6" t="str"/>
      <x:c r="I178" s="6" t="str">
        <x:v>Unknown</x:v>
      </x:c>
      <x:c r="J178" s="6" t="str">
        <x:v>Unknown</x:v>
      </x:c>
      <x:c r="K178" s="6" t="str">
        <x:v>Unresolved</x:v>
      </x:c>
      <x:c r="L178" s="7" t="str">
        <x:v>Nocturnix_Master_Services_Catalog_v1.xlsx | 01 - Master Services | row 217</x:v>
      </x:c>
      <x:c r="M178" s="6" t="str"/>
      <x:c r="N178" s="6" t="str"/>
      <x:c r="O178" s="6" t="str">
        <x:v>Pending</x:v>
      </x:c>
      <x:c r="P178" s="7" t="str">
        <x:f>IF(OR(D178="Reviewer Complete",D178="Awaiting Second-Level Approval"),"","Service identity dependency unresolved")</x:f>
        <x:v>Service identity dependency unresolved</x:v>
      </x:c>
      <x:c r="Q178" s="6" t="str">
        <x:v>Yes</x:v>
      </x:c>
      <x:c r="R178" s="7" t="str"/>
    </x:row>
    <x:row r="179">
      <x:c r="A179" s="6" t="str">
        <x:v>MFRX-0178</x:v>
      </x:c>
      <x:c r="B179" s="6" t="str">
        <x:v>SVC000178</x:v>
      </x:c>
      <x:c r="C179" s="6" t="str">
        <x:v>SIDX-0178</x:v>
      </x:c>
      <x:c r="D179" s="6" t="str">
        <x:f>IFERROR(XLOOKUP(C179,'Review Sequence'!C2:C1586,'Review Sequence'!J2:J1586),"Dependency not found")</x:f>
        <x:v>Not Started</x:v>
      </x:c>
      <x:c r="E179" s="6" t="str">
        <x:v>MFR-LEGACY-001</x:v>
      </x:c>
      <x:c r="F179" s="6" t="str">
        <x:v>Unknown</x:v>
      </x:c>
      <x:c r="G179" s="6" t="str"/>
      <x:c r="H179" s="6" t="str"/>
      <x:c r="I179" s="6" t="str">
        <x:v>Unknown</x:v>
      </x:c>
      <x:c r="J179" s="6" t="str">
        <x:v>Unknown</x:v>
      </x:c>
      <x:c r="K179" s="6" t="str">
        <x:v>Unresolved</x:v>
      </x:c>
      <x:c r="L179" s="7" t="str">
        <x:v>Nocturnix_Master_Services_Catalog_v1.xlsx | 01 - Master Services | row 218</x:v>
      </x:c>
      <x:c r="M179" s="6" t="str"/>
      <x:c r="N179" s="6" t="str"/>
      <x:c r="O179" s="6" t="str">
        <x:v>Pending</x:v>
      </x:c>
      <x:c r="P179" s="7" t="str">
        <x:f>IF(OR(D179="Reviewer Complete",D179="Awaiting Second-Level Approval"),"","Service identity dependency unresolved")</x:f>
        <x:v>Service identity dependency unresolved</x:v>
      </x:c>
      <x:c r="Q179" s="6" t="str">
        <x:v>Yes</x:v>
      </x:c>
      <x:c r="R179" s="7" t="str"/>
    </x:row>
    <x:row r="180">
      <x:c r="A180" s="6" t="str">
        <x:v>MFRX-0179</x:v>
      </x:c>
      <x:c r="B180" s="6" t="str">
        <x:v>SVC000179</x:v>
      </x:c>
      <x:c r="C180" s="6" t="str">
        <x:v>SIDX-0179</x:v>
      </x:c>
      <x:c r="D180" s="6" t="str">
        <x:f>IFERROR(XLOOKUP(C180,'Review Sequence'!C2:C1586,'Review Sequence'!J2:J1586),"Dependency not found")</x:f>
        <x:v>Not Started</x:v>
      </x:c>
      <x:c r="E180" s="6" t="str">
        <x:v>MFR-LEGACY-001</x:v>
      </x:c>
      <x:c r="F180" s="6" t="str">
        <x:v>Unknown</x:v>
      </x:c>
      <x:c r="G180" s="6" t="str"/>
      <x:c r="H180" s="6" t="str"/>
      <x:c r="I180" s="6" t="str">
        <x:v>Unknown</x:v>
      </x:c>
      <x:c r="J180" s="6" t="str">
        <x:v>Unknown</x:v>
      </x:c>
      <x:c r="K180" s="6" t="str">
        <x:v>Unresolved</x:v>
      </x:c>
      <x:c r="L180" s="7" t="str">
        <x:v>Nocturnix_Master_Services_Catalog_v1.xlsx | 01 - Master Services | row 219</x:v>
      </x:c>
      <x:c r="M180" s="6" t="str"/>
      <x:c r="N180" s="6" t="str"/>
      <x:c r="O180" s="6" t="str">
        <x:v>Pending</x:v>
      </x:c>
      <x:c r="P180" s="7" t="str">
        <x:f>IF(OR(D180="Reviewer Complete",D180="Awaiting Second-Level Approval"),"","Service identity dependency unresolved")</x:f>
        <x:v>Service identity dependency unresolved</x:v>
      </x:c>
      <x:c r="Q180" s="6" t="str">
        <x:v>Yes</x:v>
      </x:c>
      <x:c r="R180" s="7" t="str"/>
    </x:row>
    <x:row r="181">
      <x:c r="A181" s="6" t="str">
        <x:v>MFRX-0180</x:v>
      </x:c>
      <x:c r="B181" s="6" t="str">
        <x:v>SVC000180</x:v>
      </x:c>
      <x:c r="C181" s="6" t="str">
        <x:v>SIDX-0180</x:v>
      </x:c>
      <x:c r="D181" s="6" t="str">
        <x:f>IFERROR(XLOOKUP(C181,'Review Sequence'!C2:C1586,'Review Sequence'!J2:J1586),"Dependency not found")</x:f>
        <x:v>Not Started</x:v>
      </x:c>
      <x:c r="E181" s="6" t="str">
        <x:v>MFR-LEGACY-001</x:v>
      </x:c>
      <x:c r="F181" s="6" t="str">
        <x:v>Unknown</x:v>
      </x:c>
      <x:c r="G181" s="6" t="str"/>
      <x:c r="H181" s="6" t="str"/>
      <x:c r="I181" s="6" t="str">
        <x:v>Unknown</x:v>
      </x:c>
      <x:c r="J181" s="6" t="str">
        <x:v>Unknown</x:v>
      </x:c>
      <x:c r="K181" s="6" t="str">
        <x:v>Unresolved</x:v>
      </x:c>
      <x:c r="L181" s="7" t="str">
        <x:v>Nocturnix_Master_Services_Catalog_v1.xlsx | 01 - Master Services | row 220</x:v>
      </x:c>
      <x:c r="M181" s="6" t="str"/>
      <x:c r="N181" s="6" t="str"/>
      <x:c r="O181" s="6" t="str">
        <x:v>Pending</x:v>
      </x:c>
      <x:c r="P181" s="7" t="str">
        <x:f>IF(OR(D181="Reviewer Complete",D181="Awaiting Second-Level Approval"),"","Service identity dependency unresolved")</x:f>
        <x:v>Service identity dependency unresolved</x:v>
      </x:c>
      <x:c r="Q181" s="6" t="str">
        <x:v>Yes</x:v>
      </x:c>
      <x:c r="R181" s="7" t="str"/>
    </x:row>
    <x:row r="182">
      <x:c r="A182" s="6" t="str">
        <x:v>MFRX-0181</x:v>
      </x:c>
      <x:c r="B182" s="6" t="str">
        <x:v>SVC000181</x:v>
      </x:c>
      <x:c r="C182" s="6" t="str">
        <x:v>SIDX-0181</x:v>
      </x:c>
      <x:c r="D182" s="6" t="str">
        <x:f>IFERROR(XLOOKUP(C182,'Review Sequence'!C2:C1586,'Review Sequence'!J2:J1586),"Dependency not found")</x:f>
        <x:v>Not Started</x:v>
      </x:c>
      <x:c r="E182" s="6" t="str">
        <x:v>MFR-LEGACY-001</x:v>
      </x:c>
      <x:c r="F182" s="6" t="str">
        <x:v>Unknown</x:v>
      </x:c>
      <x:c r="G182" s="6" t="str"/>
      <x:c r="H182" s="6" t="str"/>
      <x:c r="I182" s="6" t="str">
        <x:v>Unknown</x:v>
      </x:c>
      <x:c r="J182" s="6" t="str">
        <x:v>Unknown</x:v>
      </x:c>
      <x:c r="K182" s="6" t="str">
        <x:v>Unresolved</x:v>
      </x:c>
      <x:c r="L182" s="7" t="str">
        <x:v>Nocturnix_Master_Services_Catalog_v1.xlsx | 01 - Master Services | row 221</x:v>
      </x:c>
      <x:c r="M182" s="6" t="str"/>
      <x:c r="N182" s="6" t="str"/>
      <x:c r="O182" s="6" t="str">
        <x:v>Pending</x:v>
      </x:c>
      <x:c r="P182" s="7" t="str">
        <x:f>IF(OR(D182="Reviewer Complete",D182="Awaiting Second-Level Approval"),"","Service identity dependency unresolved")</x:f>
        <x:v>Service identity dependency unresolved</x:v>
      </x:c>
      <x:c r="Q182" s="6" t="str">
        <x:v>Yes</x:v>
      </x:c>
      <x:c r="R182" s="7" t="str"/>
    </x:row>
    <x:row r="183">
      <x:c r="A183" s="6" t="str">
        <x:v>MFRX-0182</x:v>
      </x:c>
      <x:c r="B183" s="6" t="str">
        <x:v>SVC000182</x:v>
      </x:c>
      <x:c r="C183" s="6" t="str">
        <x:v>SIDX-0182</x:v>
      </x:c>
      <x:c r="D183" s="6" t="str">
        <x:f>IFERROR(XLOOKUP(C183,'Review Sequence'!C2:C1586,'Review Sequence'!J2:J1586),"Dependency not found")</x:f>
        <x:v>Not Started</x:v>
      </x:c>
      <x:c r="E183" s="6" t="str">
        <x:v>MFR-LEGACY-001</x:v>
      </x:c>
      <x:c r="F183" s="6" t="str">
        <x:v>Unknown</x:v>
      </x:c>
      <x:c r="G183" s="6" t="str"/>
      <x:c r="H183" s="6" t="str"/>
      <x:c r="I183" s="6" t="str">
        <x:v>Unknown</x:v>
      </x:c>
      <x:c r="J183" s="6" t="str">
        <x:v>Unknown</x:v>
      </x:c>
      <x:c r="K183" s="6" t="str">
        <x:v>Unresolved</x:v>
      </x:c>
      <x:c r="L183" s="7" t="str">
        <x:v>Nocturnix_Master_Services_Catalog_v1.xlsx | 01 - Master Services | row 222</x:v>
      </x:c>
      <x:c r="M183" s="6" t="str"/>
      <x:c r="N183" s="6" t="str"/>
      <x:c r="O183" s="6" t="str">
        <x:v>Pending</x:v>
      </x:c>
      <x:c r="P183" s="7" t="str">
        <x:f>IF(OR(D183="Reviewer Complete",D183="Awaiting Second-Level Approval"),"","Service identity dependency unresolved")</x:f>
        <x:v>Service identity dependency unresolved</x:v>
      </x:c>
      <x:c r="Q183" s="6" t="str">
        <x:v>Yes</x:v>
      </x:c>
      <x:c r="R183" s="7" t="str"/>
    </x:row>
    <x:row r="184">
      <x:c r="A184" s="6" t="str">
        <x:v>MFRX-0183</x:v>
      </x:c>
      <x:c r="B184" s="6" t="str">
        <x:v>SVC000183</x:v>
      </x:c>
      <x:c r="C184" s="6" t="str">
        <x:v>SIDX-0183</x:v>
      </x:c>
      <x:c r="D184" s="6" t="str">
        <x:f>IFERROR(XLOOKUP(C184,'Review Sequence'!C2:C1586,'Review Sequence'!J2:J1586),"Dependency not found")</x:f>
        <x:v>Not Started</x:v>
      </x:c>
      <x:c r="E184" s="6" t="str">
        <x:v>MFR-LEGACY-001</x:v>
      </x:c>
      <x:c r="F184" s="6" t="str">
        <x:v>Unknown</x:v>
      </x:c>
      <x:c r="G184" s="6" t="str"/>
      <x:c r="H184" s="6" t="str"/>
      <x:c r="I184" s="6" t="str">
        <x:v>Unknown</x:v>
      </x:c>
      <x:c r="J184" s="6" t="str">
        <x:v>Unknown</x:v>
      </x:c>
      <x:c r="K184" s="6" t="str">
        <x:v>Unresolved</x:v>
      </x:c>
      <x:c r="L184" s="7" t="str">
        <x:v>Nocturnix_Master_Services_Catalog_v1.xlsx | 01 - Master Services | row 223</x:v>
      </x:c>
      <x:c r="M184" s="6" t="str"/>
      <x:c r="N184" s="6" t="str"/>
      <x:c r="O184" s="6" t="str">
        <x:v>Pending</x:v>
      </x:c>
      <x:c r="P184" s="7" t="str">
        <x:f>IF(OR(D184="Reviewer Complete",D184="Awaiting Second-Level Approval"),"","Service identity dependency unresolved")</x:f>
        <x:v>Service identity dependency unresolved</x:v>
      </x:c>
      <x:c r="Q184" s="6" t="str">
        <x:v>Yes</x:v>
      </x:c>
      <x:c r="R184" s="7" t="str"/>
    </x:row>
    <x:row r="185">
      <x:c r="A185" s="6" t="str">
        <x:v>MFRX-0184</x:v>
      </x:c>
      <x:c r="B185" s="6" t="str">
        <x:v>SVC000184</x:v>
      </x:c>
      <x:c r="C185" s="6" t="str">
        <x:v>SIDX-0184</x:v>
      </x:c>
      <x:c r="D185" s="6" t="str">
        <x:f>IFERROR(XLOOKUP(C185,'Review Sequence'!C2:C1586,'Review Sequence'!J2:J1586),"Dependency not found")</x:f>
        <x:v>Not Started</x:v>
      </x:c>
      <x:c r="E185" s="6" t="str">
        <x:v>MFR-LEGACY-001</x:v>
      </x:c>
      <x:c r="F185" s="6" t="str">
        <x:v>Unknown</x:v>
      </x:c>
      <x:c r="G185" s="6" t="str"/>
      <x:c r="H185" s="6" t="str"/>
      <x:c r="I185" s="6" t="str">
        <x:v>Unknown</x:v>
      </x:c>
      <x:c r="J185" s="6" t="str">
        <x:v>Unknown</x:v>
      </x:c>
      <x:c r="K185" s="6" t="str">
        <x:v>Unresolved</x:v>
      </x:c>
      <x:c r="L185" s="7" t="str">
        <x:v>Nocturnix_Master_Services_Catalog_v1.xlsx | 01 - Master Services | row 224</x:v>
      </x:c>
      <x:c r="M185" s="6" t="str"/>
      <x:c r="N185" s="6" t="str"/>
      <x:c r="O185" s="6" t="str">
        <x:v>Pending</x:v>
      </x:c>
      <x:c r="P185" s="7" t="str">
        <x:f>IF(OR(D185="Reviewer Complete",D185="Awaiting Second-Level Approval"),"","Service identity dependency unresolved")</x:f>
        <x:v>Service identity dependency unresolved</x:v>
      </x:c>
      <x:c r="Q185" s="6" t="str">
        <x:v>Yes</x:v>
      </x:c>
      <x:c r="R185" s="7" t="str"/>
    </x:row>
    <x:row r="186">
      <x:c r="A186" s="6" t="str">
        <x:v>MFRX-0185</x:v>
      </x:c>
      <x:c r="B186" s="6" t="str">
        <x:v>SVC000185</x:v>
      </x:c>
      <x:c r="C186" s="6" t="str">
        <x:v>SIDX-0185</x:v>
      </x:c>
      <x:c r="D186" s="6" t="str">
        <x:f>IFERROR(XLOOKUP(C186,'Review Sequence'!C2:C1586,'Review Sequence'!J2:J1586),"Dependency not found")</x:f>
        <x:v>Not Started</x:v>
      </x:c>
      <x:c r="E186" s="6" t="str">
        <x:v>MFR-LEGACY-001</x:v>
      </x:c>
      <x:c r="F186" s="6" t="str">
        <x:v>Unknown</x:v>
      </x:c>
      <x:c r="G186" s="6" t="str"/>
      <x:c r="H186" s="6" t="str"/>
      <x:c r="I186" s="6" t="str">
        <x:v>Unknown</x:v>
      </x:c>
      <x:c r="J186" s="6" t="str">
        <x:v>Unknown</x:v>
      </x:c>
      <x:c r="K186" s="6" t="str">
        <x:v>Unresolved</x:v>
      </x:c>
      <x:c r="L186" s="7" t="str">
        <x:v>Nocturnix_Master_Services_Catalog_v1.xlsx | 01 - Master Services | row 225</x:v>
      </x:c>
      <x:c r="M186" s="6" t="str"/>
      <x:c r="N186" s="6" t="str"/>
      <x:c r="O186" s="6" t="str">
        <x:v>Pending</x:v>
      </x:c>
      <x:c r="P186" s="7" t="str">
        <x:f>IF(OR(D186="Reviewer Complete",D186="Awaiting Second-Level Approval"),"","Service identity dependency unresolved")</x:f>
        <x:v>Service identity dependency unresolved</x:v>
      </x:c>
      <x:c r="Q186" s="6" t="str">
        <x:v>Yes</x:v>
      </x:c>
      <x:c r="R186" s="7" t="str"/>
    </x:row>
    <x:row r="187">
      <x:c r="A187" s="6" t="str">
        <x:v>MFRX-0186</x:v>
      </x:c>
      <x:c r="B187" s="6" t="str">
        <x:v>SVC000186</x:v>
      </x:c>
      <x:c r="C187" s="6" t="str">
        <x:v>SIDX-0186</x:v>
      </x:c>
      <x:c r="D187" s="6" t="str">
        <x:f>IFERROR(XLOOKUP(C187,'Review Sequence'!C2:C1586,'Review Sequence'!J2:J1586),"Dependency not found")</x:f>
        <x:v>Not Started</x:v>
      </x:c>
      <x:c r="E187" s="6" t="str">
        <x:v>MFR-LEGACY-001</x:v>
      </x:c>
      <x:c r="F187" s="6" t="str">
        <x:v>Unknown</x:v>
      </x:c>
      <x:c r="G187" s="6" t="str"/>
      <x:c r="H187" s="6" t="str"/>
      <x:c r="I187" s="6" t="str">
        <x:v>Unknown</x:v>
      </x:c>
      <x:c r="J187" s="6" t="str">
        <x:v>Unknown</x:v>
      </x:c>
      <x:c r="K187" s="6" t="str">
        <x:v>Unresolved</x:v>
      </x:c>
      <x:c r="L187" s="7" t="str">
        <x:v>Nocturnix_Master_Services_Catalog_v1.xlsx | 01 - Master Services | row 226</x:v>
      </x:c>
      <x:c r="M187" s="6" t="str"/>
      <x:c r="N187" s="6" t="str"/>
      <x:c r="O187" s="6" t="str">
        <x:v>Pending</x:v>
      </x:c>
      <x:c r="P187" s="7" t="str">
        <x:f>IF(OR(D187="Reviewer Complete",D187="Awaiting Second-Level Approval"),"","Service identity dependency unresolved")</x:f>
        <x:v>Service identity dependency unresolved</x:v>
      </x:c>
      <x:c r="Q187" s="6" t="str">
        <x:v>Yes</x:v>
      </x:c>
      <x:c r="R187" s="7" t="str"/>
    </x:row>
    <x:row r="188">
      <x:c r="A188" s="6" t="str">
        <x:v>MFRX-0187</x:v>
      </x:c>
      <x:c r="B188" s="6" t="str">
        <x:v>SVC000187</x:v>
      </x:c>
      <x:c r="C188" s="6" t="str">
        <x:v>SIDX-0187</x:v>
      </x:c>
      <x:c r="D188" s="6" t="str">
        <x:f>IFERROR(XLOOKUP(C188,'Review Sequence'!C2:C1586,'Review Sequence'!J2:J1586),"Dependency not found")</x:f>
        <x:v>Not Started</x:v>
      </x:c>
      <x:c r="E188" s="6" t="str">
        <x:v>MFR-LEGACY-001</x:v>
      </x:c>
      <x:c r="F188" s="6" t="str">
        <x:v>Unknown</x:v>
      </x:c>
      <x:c r="G188" s="6" t="str"/>
      <x:c r="H188" s="6" t="str"/>
      <x:c r="I188" s="6" t="str">
        <x:v>Unknown</x:v>
      </x:c>
      <x:c r="J188" s="6" t="str">
        <x:v>Unknown</x:v>
      </x:c>
      <x:c r="K188" s="6" t="str">
        <x:v>Unresolved</x:v>
      </x:c>
      <x:c r="L188" s="7" t="str">
        <x:v>Nocturnix_Master_Services_Catalog_v1.xlsx | 01 - Master Services | row 227</x:v>
      </x:c>
      <x:c r="M188" s="6" t="str"/>
      <x:c r="N188" s="6" t="str"/>
      <x:c r="O188" s="6" t="str">
        <x:v>Pending</x:v>
      </x:c>
      <x:c r="P188" s="7" t="str">
        <x:f>IF(OR(D188="Reviewer Complete",D188="Awaiting Second-Level Approval"),"","Service identity dependency unresolved")</x:f>
        <x:v>Service identity dependency unresolved</x:v>
      </x:c>
      <x:c r="Q188" s="6" t="str">
        <x:v>Yes</x:v>
      </x:c>
      <x:c r="R188" s="7" t="str"/>
    </x:row>
    <x:row r="189">
      <x:c r="A189" s="6" t="str">
        <x:v>MFRX-0188</x:v>
      </x:c>
      <x:c r="B189" s="6" t="str">
        <x:v>SVC000188</x:v>
      </x:c>
      <x:c r="C189" s="6" t="str">
        <x:v>SIDX-0188</x:v>
      </x:c>
      <x:c r="D189" s="6" t="str">
        <x:f>IFERROR(XLOOKUP(C189,'Review Sequence'!C2:C1586,'Review Sequence'!J2:J1586),"Dependency not found")</x:f>
        <x:v>Not Started</x:v>
      </x:c>
      <x:c r="E189" s="6" t="str">
        <x:v>MFR-LEGACY-001</x:v>
      </x:c>
      <x:c r="F189" s="6" t="str">
        <x:v>Unknown</x:v>
      </x:c>
      <x:c r="G189" s="6" t="str"/>
      <x:c r="H189" s="6" t="str"/>
      <x:c r="I189" s="6" t="str">
        <x:v>Unknown</x:v>
      </x:c>
      <x:c r="J189" s="6" t="str">
        <x:v>Unknown</x:v>
      </x:c>
      <x:c r="K189" s="6" t="str">
        <x:v>Unresolved</x:v>
      </x:c>
      <x:c r="L189" s="7" t="str">
        <x:v>Nocturnix_Master_Services_Catalog_v1.xlsx | 01 - Master Services | row 228</x:v>
      </x:c>
      <x:c r="M189" s="6" t="str"/>
      <x:c r="N189" s="6" t="str"/>
      <x:c r="O189" s="6" t="str">
        <x:v>Pending</x:v>
      </x:c>
      <x:c r="P189" s="7" t="str">
        <x:f>IF(OR(D189="Reviewer Complete",D189="Awaiting Second-Level Approval"),"","Service identity dependency unresolved")</x:f>
        <x:v>Service identity dependency unresolved</x:v>
      </x:c>
      <x:c r="Q189" s="6" t="str">
        <x:v>Yes</x:v>
      </x:c>
      <x:c r="R189" s="7" t="str"/>
    </x:row>
    <x:row r="190">
      <x:c r="A190" s="6" t="str">
        <x:v>MFRX-0189</x:v>
      </x:c>
      <x:c r="B190" s="6" t="str">
        <x:v>SVC000189</x:v>
      </x:c>
      <x:c r="C190" s="6" t="str">
        <x:v>SIDX-0189</x:v>
      </x:c>
      <x:c r="D190" s="6" t="str">
        <x:f>IFERROR(XLOOKUP(C190,'Review Sequence'!C2:C1586,'Review Sequence'!J2:J1586),"Dependency not found")</x:f>
        <x:v>Not Started</x:v>
      </x:c>
      <x:c r="E190" s="6" t="str">
        <x:v>MFR-LEGACY-001</x:v>
      </x:c>
      <x:c r="F190" s="6" t="str">
        <x:v>Unknown</x:v>
      </x:c>
      <x:c r="G190" s="6" t="str"/>
      <x:c r="H190" s="6" t="str"/>
      <x:c r="I190" s="6" t="str">
        <x:v>Unknown</x:v>
      </x:c>
      <x:c r="J190" s="6" t="str">
        <x:v>Unknown</x:v>
      </x:c>
      <x:c r="K190" s="6" t="str">
        <x:v>Unresolved</x:v>
      </x:c>
      <x:c r="L190" s="7" t="str">
        <x:v>Nocturnix_Master_Services_Catalog_v1.xlsx | 01 - Master Services | row 229</x:v>
      </x:c>
      <x:c r="M190" s="6" t="str"/>
      <x:c r="N190" s="6" t="str"/>
      <x:c r="O190" s="6" t="str">
        <x:v>Pending</x:v>
      </x:c>
      <x:c r="P190" s="7" t="str">
        <x:f>IF(OR(D190="Reviewer Complete",D190="Awaiting Second-Level Approval"),"","Service identity dependency unresolved")</x:f>
        <x:v>Service identity dependency unresolved</x:v>
      </x:c>
      <x:c r="Q190" s="6" t="str">
        <x:v>Yes</x:v>
      </x:c>
      <x:c r="R190" s="7" t="str"/>
    </x:row>
    <x:row r="191">
      <x:c r="A191" s="6" t="str">
        <x:v>MFRX-0190</x:v>
      </x:c>
      <x:c r="B191" s="6" t="str">
        <x:v>SVC000190</x:v>
      </x:c>
      <x:c r="C191" s="6" t="str">
        <x:v>SIDX-0190</x:v>
      </x:c>
      <x:c r="D191" s="6" t="str">
        <x:f>IFERROR(XLOOKUP(C191,'Review Sequence'!C2:C1586,'Review Sequence'!J2:J1586),"Dependency not found")</x:f>
        <x:v>Not Started</x:v>
      </x:c>
      <x:c r="E191" s="6" t="str">
        <x:v>MFR-LEGACY-001</x:v>
      </x:c>
      <x:c r="F191" s="6" t="str">
        <x:v>Unknown</x:v>
      </x:c>
      <x:c r="G191" s="6" t="str"/>
      <x:c r="H191" s="6" t="str"/>
      <x:c r="I191" s="6" t="str">
        <x:v>Unknown</x:v>
      </x:c>
      <x:c r="J191" s="6" t="str">
        <x:v>Unknown</x:v>
      </x:c>
      <x:c r="K191" s="6" t="str">
        <x:v>Unresolved</x:v>
      </x:c>
      <x:c r="L191" s="7" t="str">
        <x:v>Nocturnix_Master_Services_Catalog_v1.xlsx | 01 - Master Services | row 230</x:v>
      </x:c>
      <x:c r="M191" s="6" t="str"/>
      <x:c r="N191" s="6" t="str"/>
      <x:c r="O191" s="6" t="str">
        <x:v>Pending</x:v>
      </x:c>
      <x:c r="P191" s="7" t="str">
        <x:f>IF(OR(D191="Reviewer Complete",D191="Awaiting Second-Level Approval"),"","Service identity dependency unresolved")</x:f>
        <x:v>Service identity dependency unresolved</x:v>
      </x:c>
      <x:c r="Q191" s="6" t="str">
        <x:v>Yes</x:v>
      </x:c>
      <x:c r="R191" s="7" t="str"/>
    </x:row>
    <x:row r="192">
      <x:c r="A192" s="6" t="str">
        <x:v>MFRX-0191</x:v>
      </x:c>
      <x:c r="B192" s="6" t="str">
        <x:v>SVC000191</x:v>
      </x:c>
      <x:c r="C192" s="6" t="str">
        <x:v>SIDX-0191</x:v>
      </x:c>
      <x:c r="D192" s="6" t="str">
        <x:f>IFERROR(XLOOKUP(C192,'Review Sequence'!C2:C1586,'Review Sequence'!J2:J1586),"Dependency not found")</x:f>
        <x:v>Not Started</x:v>
      </x:c>
      <x:c r="E192" s="6" t="str">
        <x:v>MFR-LEGACY-001</x:v>
      </x:c>
      <x:c r="F192" s="6" t="str">
        <x:v>Unknown</x:v>
      </x:c>
      <x:c r="G192" s="6" t="str"/>
      <x:c r="H192" s="6" t="str"/>
      <x:c r="I192" s="6" t="str">
        <x:v>Unknown</x:v>
      </x:c>
      <x:c r="J192" s="6" t="str">
        <x:v>Unknown</x:v>
      </x:c>
      <x:c r="K192" s="6" t="str">
        <x:v>Unresolved</x:v>
      </x:c>
      <x:c r="L192" s="7" t="str">
        <x:v>Nocturnix_Master_Services_Catalog_v1.xlsx | 01 - Master Services | row 231</x:v>
      </x:c>
      <x:c r="M192" s="6" t="str"/>
      <x:c r="N192" s="6" t="str"/>
      <x:c r="O192" s="6" t="str">
        <x:v>Pending</x:v>
      </x:c>
      <x:c r="P192" s="7" t="str">
        <x:f>IF(OR(D192="Reviewer Complete",D192="Awaiting Second-Level Approval"),"","Service identity dependency unresolved")</x:f>
        <x:v>Service identity dependency unresolved</x:v>
      </x:c>
      <x:c r="Q192" s="6" t="str">
        <x:v>Yes</x:v>
      </x:c>
      <x:c r="R192" s="7" t="str"/>
    </x:row>
    <x:row r="193">
      <x:c r="A193" s="6" t="str">
        <x:v>MFRX-0192</x:v>
      </x:c>
      <x:c r="B193" s="6" t="str">
        <x:v>SVC000192</x:v>
      </x:c>
      <x:c r="C193" s="6" t="str">
        <x:v>SIDX-0192</x:v>
      </x:c>
      <x:c r="D193" s="6" t="str">
        <x:f>IFERROR(XLOOKUP(C193,'Review Sequence'!C2:C1586,'Review Sequence'!J2:J1586),"Dependency not found")</x:f>
        <x:v>Not Started</x:v>
      </x:c>
      <x:c r="E193" s="6" t="str">
        <x:v>MFR-LEGACY-001</x:v>
      </x:c>
      <x:c r="F193" s="6" t="str">
        <x:v>Unknown</x:v>
      </x:c>
      <x:c r="G193" s="6" t="str"/>
      <x:c r="H193" s="6" t="str"/>
      <x:c r="I193" s="6" t="str">
        <x:v>Unknown</x:v>
      </x:c>
      <x:c r="J193" s="6" t="str">
        <x:v>Unknown</x:v>
      </x:c>
      <x:c r="K193" s="6" t="str">
        <x:v>Unresolved</x:v>
      </x:c>
      <x:c r="L193" s="7" t="str">
        <x:v>Nocturnix_Master_Services_Catalog_v1.xlsx | 01 - Master Services | row 232</x:v>
      </x:c>
      <x:c r="M193" s="6" t="str"/>
      <x:c r="N193" s="6" t="str"/>
      <x:c r="O193" s="6" t="str">
        <x:v>Pending</x:v>
      </x:c>
      <x:c r="P193" s="7" t="str">
        <x:f>IF(OR(D193="Reviewer Complete",D193="Awaiting Second-Level Approval"),"","Service identity dependency unresolved")</x:f>
        <x:v>Service identity dependency unresolved</x:v>
      </x:c>
      <x:c r="Q193" s="6" t="str">
        <x:v>Yes</x:v>
      </x:c>
      <x:c r="R193" s="7" t="str"/>
    </x:row>
    <x:row r="194">
      <x:c r="A194" s="6" t="str">
        <x:v>MFRX-0193</x:v>
      </x:c>
      <x:c r="B194" s="6" t="str">
        <x:v>SVC000193</x:v>
      </x:c>
      <x:c r="C194" s="6" t="str">
        <x:v>SIDX-0193</x:v>
      </x:c>
      <x:c r="D194" s="6" t="str">
        <x:f>IFERROR(XLOOKUP(C194,'Review Sequence'!C2:C1586,'Review Sequence'!J2:J1586),"Dependency not found")</x:f>
        <x:v>Not Started</x:v>
      </x:c>
      <x:c r="E194" s="6" t="str">
        <x:v>MFR-LEGACY-001</x:v>
      </x:c>
      <x:c r="F194" s="6" t="str">
        <x:v>Unknown</x:v>
      </x:c>
      <x:c r="G194" s="6" t="str"/>
      <x:c r="H194" s="6" t="str"/>
      <x:c r="I194" s="6" t="str">
        <x:v>Unknown</x:v>
      </x:c>
      <x:c r="J194" s="6" t="str">
        <x:v>Unknown</x:v>
      </x:c>
      <x:c r="K194" s="6" t="str">
        <x:v>Unresolved</x:v>
      </x:c>
      <x:c r="L194" s="7" t="str">
        <x:v>Nocturnix_Master_Services_Catalog_v1.xlsx | 01 - Master Services | row 233</x:v>
      </x:c>
      <x:c r="M194" s="6" t="str"/>
      <x:c r="N194" s="6" t="str"/>
      <x:c r="O194" s="6" t="str">
        <x:v>Pending</x:v>
      </x:c>
      <x:c r="P194" s="7" t="str">
        <x:f>IF(OR(D194="Reviewer Complete",D194="Awaiting Second-Level Approval"),"","Service identity dependency unresolved")</x:f>
        <x:v>Service identity dependency unresolved</x:v>
      </x:c>
      <x:c r="Q194" s="6" t="str">
        <x:v>Yes</x:v>
      </x:c>
      <x:c r="R194" s="7" t="str"/>
    </x:row>
    <x:row r="195">
      <x:c r="A195" s="6" t="str">
        <x:v>MFRX-0194</x:v>
      </x:c>
      <x:c r="B195" s="6" t="str">
        <x:v>SVC000194</x:v>
      </x:c>
      <x:c r="C195" s="6" t="str">
        <x:v>SIDX-0194</x:v>
      </x:c>
      <x:c r="D195" s="6" t="str">
        <x:f>IFERROR(XLOOKUP(C195,'Review Sequence'!C2:C1586,'Review Sequence'!J2:J1586),"Dependency not found")</x:f>
        <x:v>Not Started</x:v>
      </x:c>
      <x:c r="E195" s="6" t="str">
        <x:v>MFR-LEGACY-001</x:v>
      </x:c>
      <x:c r="F195" s="6" t="str">
        <x:v>Unknown</x:v>
      </x:c>
      <x:c r="G195" s="6" t="str"/>
      <x:c r="H195" s="6" t="str"/>
      <x:c r="I195" s="6" t="str">
        <x:v>Unknown</x:v>
      </x:c>
      <x:c r="J195" s="6" t="str">
        <x:v>Unknown</x:v>
      </x:c>
      <x:c r="K195" s="6" t="str">
        <x:v>Unresolved</x:v>
      </x:c>
      <x:c r="L195" s="7" t="str">
        <x:v>Nocturnix_Master_Services_Catalog_v1.xlsx | 01 - Master Services | row 234</x:v>
      </x:c>
      <x:c r="M195" s="6" t="str"/>
      <x:c r="N195" s="6" t="str"/>
      <x:c r="O195" s="6" t="str">
        <x:v>Pending</x:v>
      </x:c>
      <x:c r="P195" s="7" t="str">
        <x:f>IF(OR(D195="Reviewer Complete",D195="Awaiting Second-Level Approval"),"","Service identity dependency unresolved")</x:f>
        <x:v>Service identity dependency unresolved</x:v>
      </x:c>
      <x:c r="Q195" s="6" t="str">
        <x:v>Yes</x:v>
      </x:c>
      <x:c r="R195" s="7" t="str"/>
    </x:row>
    <x:row r="196">
      <x:c r="A196" s="6" t="str">
        <x:v>MFRX-0195</x:v>
      </x:c>
      <x:c r="B196" s="6" t="str">
        <x:v>SVC000195</x:v>
      </x:c>
      <x:c r="C196" s="6" t="str">
        <x:v>SIDX-0195</x:v>
      </x:c>
      <x:c r="D196" s="6" t="str">
        <x:f>IFERROR(XLOOKUP(C196,'Review Sequence'!C2:C1586,'Review Sequence'!J2:J1586),"Dependency not found")</x:f>
        <x:v>Not Started</x:v>
      </x:c>
      <x:c r="E196" s="6" t="str">
        <x:v>MFR-LEGACY-001</x:v>
      </x:c>
      <x:c r="F196" s="6" t="str">
        <x:v>Unknown</x:v>
      </x:c>
      <x:c r="G196" s="6" t="str"/>
      <x:c r="H196" s="6" t="str"/>
      <x:c r="I196" s="6" t="str">
        <x:v>Unknown</x:v>
      </x:c>
      <x:c r="J196" s="6" t="str">
        <x:v>Unknown</x:v>
      </x:c>
      <x:c r="K196" s="6" t="str">
        <x:v>Unresolved</x:v>
      </x:c>
      <x:c r="L196" s="7" t="str">
        <x:v>Nocturnix_Master_Services_Catalog_v1.xlsx | 01 - Master Services | row 235</x:v>
      </x:c>
      <x:c r="M196" s="6" t="str"/>
      <x:c r="N196" s="6" t="str"/>
      <x:c r="O196" s="6" t="str">
        <x:v>Pending</x:v>
      </x:c>
      <x:c r="P196" s="7" t="str">
        <x:f>IF(OR(D196="Reviewer Complete",D196="Awaiting Second-Level Approval"),"","Service identity dependency unresolved")</x:f>
        <x:v>Service identity dependency unresolved</x:v>
      </x:c>
      <x:c r="Q196" s="6" t="str">
        <x:v>Yes</x:v>
      </x:c>
      <x:c r="R196" s="7" t="str"/>
    </x:row>
    <x:row r="197">
      <x:c r="A197" s="6" t="str">
        <x:v>MFRX-0196</x:v>
      </x:c>
      <x:c r="B197" s="6" t="str">
        <x:v>SVC000196</x:v>
      </x:c>
      <x:c r="C197" s="6" t="str">
        <x:v>SIDX-0196</x:v>
      </x:c>
      <x:c r="D197" s="6" t="str">
        <x:f>IFERROR(XLOOKUP(C197,'Review Sequence'!C2:C1586,'Review Sequence'!J2:J1586),"Dependency not found")</x:f>
        <x:v>Not Started</x:v>
      </x:c>
      <x:c r="E197" s="6" t="str">
        <x:v>MFR-LEGACY-001</x:v>
      </x:c>
      <x:c r="F197" s="6" t="str">
        <x:v>Unknown</x:v>
      </x:c>
      <x:c r="G197" s="6" t="str"/>
      <x:c r="H197" s="6" t="str"/>
      <x:c r="I197" s="6" t="str">
        <x:v>Unknown</x:v>
      </x:c>
      <x:c r="J197" s="6" t="str">
        <x:v>Unknown</x:v>
      </x:c>
      <x:c r="K197" s="6" t="str">
        <x:v>Unresolved</x:v>
      </x:c>
      <x:c r="L197" s="7" t="str">
        <x:v>Nocturnix_Master_Services_Catalog_v1.xlsx | 01 - Master Services | row 236</x:v>
      </x:c>
      <x:c r="M197" s="6" t="str"/>
      <x:c r="N197" s="6" t="str"/>
      <x:c r="O197" s="6" t="str">
        <x:v>Pending</x:v>
      </x:c>
      <x:c r="P197" s="7" t="str">
        <x:f>IF(OR(D197="Reviewer Complete",D197="Awaiting Second-Level Approval"),"","Service identity dependency unresolved")</x:f>
        <x:v>Service identity dependency unresolved</x:v>
      </x:c>
      <x:c r="Q197" s="6" t="str">
        <x:v>Yes</x:v>
      </x:c>
      <x:c r="R197" s="7" t="str"/>
    </x:row>
    <x:row r="198">
      <x:c r="A198" s="6" t="str">
        <x:v>MFRX-0197</x:v>
      </x:c>
      <x:c r="B198" s="6" t="str">
        <x:v>SVC000197</x:v>
      </x:c>
      <x:c r="C198" s="6" t="str">
        <x:v>SIDX-0197</x:v>
      </x:c>
      <x:c r="D198" s="6" t="str">
        <x:f>IFERROR(XLOOKUP(C198,'Review Sequence'!C2:C1586,'Review Sequence'!J2:J1586),"Dependency not found")</x:f>
        <x:v>Not Started</x:v>
      </x:c>
      <x:c r="E198" s="6" t="str">
        <x:v>MFR-LEGACY-001</x:v>
      </x:c>
      <x:c r="F198" s="6" t="str">
        <x:v>Unknown</x:v>
      </x:c>
      <x:c r="G198" s="6" t="str"/>
      <x:c r="H198" s="6" t="str"/>
      <x:c r="I198" s="6" t="str">
        <x:v>Unknown</x:v>
      </x:c>
      <x:c r="J198" s="6" t="str">
        <x:v>Unknown</x:v>
      </x:c>
      <x:c r="K198" s="6" t="str">
        <x:v>Unresolved</x:v>
      </x:c>
      <x:c r="L198" s="7" t="str">
        <x:v>Nocturnix_Master_Services_Catalog_v1.xlsx | 01 - Master Services | row 237</x:v>
      </x:c>
      <x:c r="M198" s="6" t="str"/>
      <x:c r="N198" s="6" t="str"/>
      <x:c r="O198" s="6" t="str">
        <x:v>Pending</x:v>
      </x:c>
      <x:c r="P198" s="7" t="str">
        <x:f>IF(OR(D198="Reviewer Complete",D198="Awaiting Second-Level Approval"),"","Service identity dependency unresolved")</x:f>
        <x:v>Service identity dependency unresolved</x:v>
      </x:c>
      <x:c r="Q198" s="6" t="str">
        <x:v>Yes</x:v>
      </x:c>
      <x:c r="R198" s="7" t="str"/>
    </x:row>
    <x:row r="199">
      <x:c r="A199" s="6" t="str">
        <x:v>MFRX-0198</x:v>
      </x:c>
      <x:c r="B199" s="6" t="str">
        <x:v>SVC000198</x:v>
      </x:c>
      <x:c r="C199" s="6" t="str">
        <x:v>SIDX-0198</x:v>
      </x:c>
      <x:c r="D199" s="6" t="str">
        <x:f>IFERROR(XLOOKUP(C199,'Review Sequence'!C2:C1586,'Review Sequence'!J2:J1586),"Dependency not found")</x:f>
        <x:v>Not Started</x:v>
      </x:c>
      <x:c r="E199" s="6" t="str">
        <x:v>MFR-LEGACY-001</x:v>
      </x:c>
      <x:c r="F199" s="6" t="str">
        <x:v>Unknown</x:v>
      </x:c>
      <x:c r="G199" s="6" t="str"/>
      <x:c r="H199" s="6" t="str"/>
      <x:c r="I199" s="6" t="str">
        <x:v>Unknown</x:v>
      </x:c>
      <x:c r="J199" s="6" t="str">
        <x:v>Unknown</x:v>
      </x:c>
      <x:c r="K199" s="6" t="str">
        <x:v>Unresolved</x:v>
      </x:c>
      <x:c r="L199" s="7" t="str">
        <x:v>Nocturnix_Master_Services_Catalog_v1.xlsx | 01 - Master Services | row 238</x:v>
      </x:c>
      <x:c r="M199" s="6" t="str"/>
      <x:c r="N199" s="6" t="str"/>
      <x:c r="O199" s="6" t="str">
        <x:v>Pending</x:v>
      </x:c>
      <x:c r="P199" s="7" t="str">
        <x:f>IF(OR(D199="Reviewer Complete",D199="Awaiting Second-Level Approval"),"","Service identity dependency unresolved")</x:f>
        <x:v>Service identity dependency unresolved</x:v>
      </x:c>
      <x:c r="Q199" s="6" t="str">
        <x:v>Yes</x:v>
      </x:c>
      <x:c r="R199" s="7" t="str"/>
    </x:row>
    <x:row r="200">
      <x:c r="A200" s="6" t="str">
        <x:v>MFRX-0199</x:v>
      </x:c>
      <x:c r="B200" s="6" t="str">
        <x:v>SVC000199</x:v>
      </x:c>
      <x:c r="C200" s="6" t="str">
        <x:v>SIDX-0199</x:v>
      </x:c>
      <x:c r="D200" s="6" t="str">
        <x:f>IFERROR(XLOOKUP(C200,'Review Sequence'!C2:C1586,'Review Sequence'!J2:J1586),"Dependency not found")</x:f>
        <x:v>Not Started</x:v>
      </x:c>
      <x:c r="E200" s="6" t="str">
        <x:v>MFR-LEGACY-001</x:v>
      </x:c>
      <x:c r="F200" s="6" t="str">
        <x:v>Unknown</x:v>
      </x:c>
      <x:c r="G200" s="6" t="str"/>
      <x:c r="H200" s="6" t="str"/>
      <x:c r="I200" s="6" t="str">
        <x:v>Unknown</x:v>
      </x:c>
      <x:c r="J200" s="6" t="str">
        <x:v>Unknown</x:v>
      </x:c>
      <x:c r="K200" s="6" t="str">
        <x:v>Unresolved</x:v>
      </x:c>
      <x:c r="L200" s="7" t="str">
        <x:v>Nocturnix_Master_Services_Catalog_v1.xlsx | 01 - Master Services | row 239</x:v>
      </x:c>
      <x:c r="M200" s="6" t="str"/>
      <x:c r="N200" s="6" t="str"/>
      <x:c r="O200" s="6" t="str">
        <x:v>Pending</x:v>
      </x:c>
      <x:c r="P200" s="7" t="str">
        <x:f>IF(OR(D200="Reviewer Complete",D200="Awaiting Second-Level Approval"),"","Service identity dependency unresolved")</x:f>
        <x:v>Service identity dependency unresolved</x:v>
      </x:c>
      <x:c r="Q200" s="6" t="str">
        <x:v>Yes</x:v>
      </x:c>
      <x:c r="R200" s="7" t="str"/>
    </x:row>
    <x:row r="201">
      <x:c r="A201" s="6" t="str">
        <x:v>MFRX-0200</x:v>
      </x:c>
      <x:c r="B201" s="6" t="str">
        <x:v>SVC000200</x:v>
      </x:c>
      <x:c r="C201" s="6" t="str">
        <x:v>SIDX-0200</x:v>
      </x:c>
      <x:c r="D201" s="6" t="str">
        <x:f>IFERROR(XLOOKUP(C201,'Review Sequence'!C2:C1586,'Review Sequence'!J2:J1586),"Dependency not found")</x:f>
        <x:v>Not Started</x:v>
      </x:c>
      <x:c r="E201" s="6" t="str">
        <x:v>MFR-LEGACY-001</x:v>
      </x:c>
      <x:c r="F201" s="6" t="str">
        <x:v>Unknown</x:v>
      </x:c>
      <x:c r="G201" s="6" t="str"/>
      <x:c r="H201" s="6" t="str"/>
      <x:c r="I201" s="6" t="str">
        <x:v>Unknown</x:v>
      </x:c>
      <x:c r="J201" s="6" t="str">
        <x:v>Unknown</x:v>
      </x:c>
      <x:c r="K201" s="6" t="str">
        <x:v>Unresolved</x:v>
      </x:c>
      <x:c r="L201" s="7" t="str">
        <x:v>Nocturnix_Master_Services_Catalog_v1.xlsx | 01 - Master Services | row 240</x:v>
      </x:c>
      <x:c r="M201" s="6" t="str"/>
      <x:c r="N201" s="6" t="str"/>
      <x:c r="O201" s="6" t="str">
        <x:v>Pending</x:v>
      </x:c>
      <x:c r="P201" s="7" t="str">
        <x:f>IF(OR(D201="Reviewer Complete",D201="Awaiting Second-Level Approval"),"","Service identity dependency unresolved")</x:f>
        <x:v>Service identity dependency unresolved</x:v>
      </x:c>
      <x:c r="Q201" s="6" t="str">
        <x:v>Yes</x:v>
      </x:c>
      <x:c r="R201" s="7" t="str"/>
    </x:row>
    <x:row r="202">
      <x:c r="A202" s="6" t="str">
        <x:v>MFRX-0201</x:v>
      </x:c>
      <x:c r="B202" s="6" t="str">
        <x:v>SVC000201</x:v>
      </x:c>
      <x:c r="C202" s="6" t="str">
        <x:v>SIDX-0201</x:v>
      </x:c>
      <x:c r="D202" s="6" t="str">
        <x:f>IFERROR(XLOOKUP(C202,'Review Sequence'!C2:C1586,'Review Sequence'!J2:J1586),"Dependency not found")</x:f>
        <x:v>Not Started</x:v>
      </x:c>
      <x:c r="E202" s="6" t="str">
        <x:v>MFR-LEGACY-001</x:v>
      </x:c>
      <x:c r="F202" s="6" t="str">
        <x:v>Unknown</x:v>
      </x:c>
      <x:c r="G202" s="6" t="str"/>
      <x:c r="H202" s="6" t="str"/>
      <x:c r="I202" s="6" t="str">
        <x:v>Unknown</x:v>
      </x:c>
      <x:c r="J202" s="6" t="str">
        <x:v>Unknown</x:v>
      </x:c>
      <x:c r="K202" s="6" t="str">
        <x:v>Unresolved</x:v>
      </x:c>
      <x:c r="L202" s="7" t="str">
        <x:v>Nocturnix_Master_Services_Catalog_v1.xlsx | 01 - Master Services | row 241</x:v>
      </x:c>
      <x:c r="M202" s="6" t="str"/>
      <x:c r="N202" s="6" t="str"/>
      <x:c r="O202" s="6" t="str">
        <x:v>Pending</x:v>
      </x:c>
      <x:c r="P202" s="7" t="str">
        <x:f>IF(OR(D202="Reviewer Complete",D202="Awaiting Second-Level Approval"),"","Service identity dependency unresolved")</x:f>
        <x:v>Service identity dependency unresolved</x:v>
      </x:c>
      <x:c r="Q202" s="6" t="str">
        <x:v>Yes</x:v>
      </x:c>
      <x:c r="R202" s="7" t="str"/>
    </x:row>
    <x:row r="203">
      <x:c r="A203" s="6" t="str">
        <x:v>MFRX-0202</x:v>
      </x:c>
      <x:c r="B203" s="6" t="str">
        <x:v>SVC000202</x:v>
      </x:c>
      <x:c r="C203" s="6" t="str">
        <x:v>SIDX-0202</x:v>
      </x:c>
      <x:c r="D203" s="6" t="str">
        <x:f>IFERROR(XLOOKUP(C203,'Review Sequence'!C2:C1586,'Review Sequence'!J2:J1586),"Dependency not found")</x:f>
        <x:v>Not Started</x:v>
      </x:c>
      <x:c r="E203" s="6" t="str">
        <x:v>MFR-LEGACY-001</x:v>
      </x:c>
      <x:c r="F203" s="6" t="str">
        <x:v>Unknown</x:v>
      </x:c>
      <x:c r="G203" s="6" t="str"/>
      <x:c r="H203" s="6" t="str"/>
      <x:c r="I203" s="6" t="str">
        <x:v>Unknown</x:v>
      </x:c>
      <x:c r="J203" s="6" t="str">
        <x:v>Unknown</x:v>
      </x:c>
      <x:c r="K203" s="6" t="str">
        <x:v>Unresolved</x:v>
      </x:c>
      <x:c r="L203" s="7" t="str">
        <x:v>Nocturnix_Master_Services_Catalog_v1.xlsx | 01 - Master Services | row 242</x:v>
      </x:c>
      <x:c r="M203" s="6" t="str"/>
      <x:c r="N203" s="6" t="str"/>
      <x:c r="O203" s="6" t="str">
        <x:v>Pending</x:v>
      </x:c>
      <x:c r="P203" s="7" t="str">
        <x:f>IF(OR(D203="Reviewer Complete",D203="Awaiting Second-Level Approval"),"","Service identity dependency unresolved")</x:f>
        <x:v>Service identity dependency unresolved</x:v>
      </x:c>
      <x:c r="Q203" s="6" t="str">
        <x:v>Yes</x:v>
      </x:c>
      <x:c r="R203" s="7" t="str"/>
    </x:row>
    <x:row r="204">
      <x:c r="A204" s="6" t="str">
        <x:v>MFRX-0203</x:v>
      </x:c>
      <x:c r="B204" s="6" t="str">
        <x:v>SVC000203</x:v>
      </x:c>
      <x:c r="C204" s="6" t="str">
        <x:v>SIDX-0203</x:v>
      </x:c>
      <x:c r="D204" s="6" t="str">
        <x:f>IFERROR(XLOOKUP(C204,'Review Sequence'!C2:C1586,'Review Sequence'!J2:J1586),"Dependency not found")</x:f>
        <x:v>Not Started</x:v>
      </x:c>
      <x:c r="E204" s="6" t="str">
        <x:v>MFR-LEGACY-001</x:v>
      </x:c>
      <x:c r="F204" s="6" t="str">
        <x:v>Unknown</x:v>
      </x:c>
      <x:c r="G204" s="6" t="str"/>
      <x:c r="H204" s="6" t="str"/>
      <x:c r="I204" s="6" t="str">
        <x:v>Unknown</x:v>
      </x:c>
      <x:c r="J204" s="6" t="str">
        <x:v>Unknown</x:v>
      </x:c>
      <x:c r="K204" s="6" t="str">
        <x:v>Unresolved</x:v>
      </x:c>
      <x:c r="L204" s="7" t="str">
        <x:v>Nocturnix_Master_Services_Catalog_v1.xlsx | 01 - Master Services | row 243</x:v>
      </x:c>
      <x:c r="M204" s="6" t="str"/>
      <x:c r="N204" s="6" t="str"/>
      <x:c r="O204" s="6" t="str">
        <x:v>Pending</x:v>
      </x:c>
      <x:c r="P204" s="7" t="str">
        <x:f>IF(OR(D204="Reviewer Complete",D204="Awaiting Second-Level Approval"),"","Service identity dependency unresolved")</x:f>
        <x:v>Service identity dependency unresolved</x:v>
      </x:c>
      <x:c r="Q204" s="6" t="str">
        <x:v>Yes</x:v>
      </x:c>
      <x:c r="R204" s="7" t="str"/>
    </x:row>
    <x:row r="205">
      <x:c r="A205" s="6" t="str">
        <x:v>MFRX-0204</x:v>
      </x:c>
      <x:c r="B205" s="6" t="str">
        <x:v>SVC000204</x:v>
      </x:c>
      <x:c r="C205" s="6" t="str">
        <x:v>SIDX-0204</x:v>
      </x:c>
      <x:c r="D205" s="6" t="str">
        <x:f>IFERROR(XLOOKUP(C205,'Review Sequence'!C2:C1586,'Review Sequence'!J2:J1586),"Dependency not found")</x:f>
        <x:v>Not Started</x:v>
      </x:c>
      <x:c r="E205" s="6" t="str">
        <x:v>MFR-LEGACY-001</x:v>
      </x:c>
      <x:c r="F205" s="6" t="str">
        <x:v>Unknown</x:v>
      </x:c>
      <x:c r="G205" s="6" t="str"/>
      <x:c r="H205" s="6" t="str"/>
      <x:c r="I205" s="6" t="str">
        <x:v>Unknown</x:v>
      </x:c>
      <x:c r="J205" s="6" t="str">
        <x:v>Unknown</x:v>
      </x:c>
      <x:c r="K205" s="6" t="str">
        <x:v>Unresolved</x:v>
      </x:c>
      <x:c r="L205" s="7" t="str">
        <x:v>Nocturnix_Master_Services_Catalog_v1.xlsx | 01 - Master Services | row 244</x:v>
      </x:c>
      <x:c r="M205" s="6" t="str"/>
      <x:c r="N205" s="6" t="str"/>
      <x:c r="O205" s="6" t="str">
        <x:v>Pending</x:v>
      </x:c>
      <x:c r="P205" s="7" t="str">
        <x:f>IF(OR(D205="Reviewer Complete",D205="Awaiting Second-Level Approval"),"","Service identity dependency unresolved")</x:f>
        <x:v>Service identity dependency unresolved</x:v>
      </x:c>
      <x:c r="Q205" s="6" t="str">
        <x:v>Yes</x:v>
      </x:c>
      <x:c r="R205" s="7" t="str"/>
    </x:row>
    <x:row r="206">
      <x:c r="A206" s="6" t="str">
        <x:v>MFRX-0205</x:v>
      </x:c>
      <x:c r="B206" s="6" t="str">
        <x:v>SVC000205</x:v>
      </x:c>
      <x:c r="C206" s="6" t="str">
        <x:v>SIDX-0205</x:v>
      </x:c>
      <x:c r="D206" s="6" t="str">
        <x:f>IFERROR(XLOOKUP(C206,'Review Sequence'!C2:C1586,'Review Sequence'!J2:J1586),"Dependency not found")</x:f>
        <x:v>Not Started</x:v>
      </x:c>
      <x:c r="E206" s="6" t="str">
        <x:v>MFR-LEGACY-001</x:v>
      </x:c>
      <x:c r="F206" s="6" t="str">
        <x:v>Unknown</x:v>
      </x:c>
      <x:c r="G206" s="6" t="str"/>
      <x:c r="H206" s="6" t="str"/>
      <x:c r="I206" s="6" t="str">
        <x:v>Unknown</x:v>
      </x:c>
      <x:c r="J206" s="6" t="str">
        <x:v>Unknown</x:v>
      </x:c>
      <x:c r="K206" s="6" t="str">
        <x:v>Unresolved</x:v>
      </x:c>
      <x:c r="L206" s="7" t="str">
        <x:v>Nocturnix_Master_Services_Catalog_v1.xlsx | 01 - Master Services | row 245</x:v>
      </x:c>
      <x:c r="M206" s="6" t="str"/>
      <x:c r="N206" s="6" t="str"/>
      <x:c r="O206" s="6" t="str">
        <x:v>Pending</x:v>
      </x:c>
      <x:c r="P206" s="7" t="str">
        <x:f>IF(OR(D206="Reviewer Complete",D206="Awaiting Second-Level Approval"),"","Service identity dependency unresolved")</x:f>
        <x:v>Service identity dependency unresolved</x:v>
      </x:c>
      <x:c r="Q206" s="6" t="str">
        <x:v>Yes</x:v>
      </x:c>
      <x:c r="R206" s="7" t="str"/>
    </x:row>
    <x:row r="207">
      <x:c r="A207" s="6" t="str">
        <x:v>MFRX-0206</x:v>
      </x:c>
      <x:c r="B207" s="6" t="str">
        <x:v>SVC000206</x:v>
      </x:c>
      <x:c r="C207" s="6" t="str">
        <x:v>SIDX-0206</x:v>
      </x:c>
      <x:c r="D207" s="6" t="str">
        <x:f>IFERROR(XLOOKUP(C207,'Review Sequence'!C2:C1586,'Review Sequence'!J2:J1586),"Dependency not found")</x:f>
        <x:v>Not Started</x:v>
      </x:c>
      <x:c r="E207" s="6" t="str">
        <x:v>MFR-LEGACY-001</x:v>
      </x:c>
      <x:c r="F207" s="6" t="str">
        <x:v>Unknown</x:v>
      </x:c>
      <x:c r="G207" s="6" t="str"/>
      <x:c r="H207" s="6" t="str"/>
      <x:c r="I207" s="6" t="str">
        <x:v>Unknown</x:v>
      </x:c>
      <x:c r="J207" s="6" t="str">
        <x:v>Unknown</x:v>
      </x:c>
      <x:c r="K207" s="6" t="str">
        <x:v>Unresolved</x:v>
      </x:c>
      <x:c r="L207" s="7" t="str">
        <x:v>Nocturnix_Master_Services_Catalog_v1.xlsx | 01 - Master Services | row 246</x:v>
      </x:c>
      <x:c r="M207" s="6" t="str"/>
      <x:c r="N207" s="6" t="str"/>
      <x:c r="O207" s="6" t="str">
        <x:v>Pending</x:v>
      </x:c>
      <x:c r="P207" s="7" t="str">
        <x:f>IF(OR(D207="Reviewer Complete",D207="Awaiting Second-Level Approval"),"","Service identity dependency unresolved")</x:f>
        <x:v>Service identity dependency unresolved</x:v>
      </x:c>
      <x:c r="Q207" s="6" t="str">
        <x:v>Yes</x:v>
      </x:c>
      <x:c r="R207" s="7" t="str"/>
    </x:row>
    <x:row r="208">
      <x:c r="A208" s="6" t="str">
        <x:v>MFRX-0207</x:v>
      </x:c>
      <x:c r="B208" s="6" t="str">
        <x:v>SVC000207</x:v>
      </x:c>
      <x:c r="C208" s="6" t="str">
        <x:v>SIDX-0207</x:v>
      </x:c>
      <x:c r="D208" s="6" t="str">
        <x:f>IFERROR(XLOOKUP(C208,'Review Sequence'!C2:C1586,'Review Sequence'!J2:J1586),"Dependency not found")</x:f>
        <x:v>Not Started</x:v>
      </x:c>
      <x:c r="E208" s="6" t="str">
        <x:v>MFR-LEGACY-001</x:v>
      </x:c>
      <x:c r="F208" s="6" t="str">
        <x:v>Unknown</x:v>
      </x:c>
      <x:c r="G208" s="6" t="str"/>
      <x:c r="H208" s="6" t="str"/>
      <x:c r="I208" s="6" t="str">
        <x:v>Unknown</x:v>
      </x:c>
      <x:c r="J208" s="6" t="str">
        <x:v>Unknown</x:v>
      </x:c>
      <x:c r="K208" s="6" t="str">
        <x:v>Unresolved</x:v>
      </x:c>
      <x:c r="L208" s="7" t="str">
        <x:v>Nocturnix_Master_Services_Catalog_v1.xlsx | 01 - Master Services | row 247</x:v>
      </x:c>
      <x:c r="M208" s="6" t="str"/>
      <x:c r="N208" s="6" t="str"/>
      <x:c r="O208" s="6" t="str">
        <x:v>Pending</x:v>
      </x:c>
      <x:c r="P208" s="7" t="str">
        <x:f>IF(OR(D208="Reviewer Complete",D208="Awaiting Second-Level Approval"),"","Service identity dependency unresolved")</x:f>
        <x:v>Service identity dependency unresolved</x:v>
      </x:c>
      <x:c r="Q208" s="6" t="str">
        <x:v>Yes</x:v>
      </x:c>
      <x:c r="R208" s="7" t="str"/>
    </x:row>
    <x:row r="209">
      <x:c r="A209" s="6" t="str">
        <x:v>MFRX-0208</x:v>
      </x:c>
      <x:c r="B209" s="6" t="str">
        <x:v>SVC000208</x:v>
      </x:c>
      <x:c r="C209" s="6" t="str">
        <x:v>SIDX-0208</x:v>
      </x:c>
      <x:c r="D209" s="6" t="str">
        <x:f>IFERROR(XLOOKUP(C209,'Review Sequence'!C2:C1586,'Review Sequence'!J2:J1586),"Dependency not found")</x:f>
        <x:v>Not Started</x:v>
      </x:c>
      <x:c r="E209" s="6" t="str">
        <x:v>MFR-LEGACY-001</x:v>
      </x:c>
      <x:c r="F209" s="6" t="str">
        <x:v>Unknown</x:v>
      </x:c>
      <x:c r="G209" s="6" t="str"/>
      <x:c r="H209" s="6" t="str"/>
      <x:c r="I209" s="6" t="str">
        <x:v>Unknown</x:v>
      </x:c>
      <x:c r="J209" s="6" t="str">
        <x:v>Unknown</x:v>
      </x:c>
      <x:c r="K209" s="6" t="str">
        <x:v>Unresolved</x:v>
      </x:c>
      <x:c r="L209" s="7" t="str">
        <x:v>Nocturnix_Master_Services_Catalog_v1.xlsx | 01 - Master Services | row 248</x:v>
      </x:c>
      <x:c r="M209" s="6" t="str"/>
      <x:c r="N209" s="6" t="str"/>
      <x:c r="O209" s="6" t="str">
        <x:v>Pending</x:v>
      </x:c>
      <x:c r="P209" s="7" t="str">
        <x:f>IF(OR(D209="Reviewer Complete",D209="Awaiting Second-Level Approval"),"","Service identity dependency unresolved")</x:f>
        <x:v>Service identity dependency unresolved</x:v>
      </x:c>
      <x:c r="Q209" s="6" t="str">
        <x:v>Yes</x:v>
      </x:c>
      <x:c r="R209" s="7" t="str"/>
    </x:row>
    <x:row r="210">
      <x:c r="A210" s="6" t="str">
        <x:v>MFRX-0209</x:v>
      </x:c>
      <x:c r="B210" s="6" t="str">
        <x:v>SVC000209</x:v>
      </x:c>
      <x:c r="C210" s="6" t="str">
        <x:v>SIDX-0209</x:v>
      </x:c>
      <x:c r="D210" s="6" t="str">
        <x:f>IFERROR(XLOOKUP(C210,'Review Sequence'!C2:C1586,'Review Sequence'!J2:J1586),"Dependency not found")</x:f>
        <x:v>Not Started</x:v>
      </x:c>
      <x:c r="E210" s="6" t="str">
        <x:v>MFR-LEGACY-001</x:v>
      </x:c>
      <x:c r="F210" s="6" t="str">
        <x:v>Unknown</x:v>
      </x:c>
      <x:c r="G210" s="6" t="str"/>
      <x:c r="H210" s="6" t="str"/>
      <x:c r="I210" s="6" t="str">
        <x:v>Unknown</x:v>
      </x:c>
      <x:c r="J210" s="6" t="str">
        <x:v>Unknown</x:v>
      </x:c>
      <x:c r="K210" s="6" t="str">
        <x:v>Unresolved</x:v>
      </x:c>
      <x:c r="L210" s="7" t="str">
        <x:v>Nocturnix_Master_Services_Catalog_v1.xlsx | 01 - Master Services | row 249</x:v>
      </x:c>
      <x:c r="M210" s="6" t="str"/>
      <x:c r="N210" s="6" t="str"/>
      <x:c r="O210" s="6" t="str">
        <x:v>Pending</x:v>
      </x:c>
      <x:c r="P210" s="7" t="str">
        <x:f>IF(OR(D210="Reviewer Complete",D210="Awaiting Second-Level Approval"),"","Service identity dependency unresolved")</x:f>
        <x:v>Service identity dependency unresolved</x:v>
      </x:c>
      <x:c r="Q210" s="6" t="str">
        <x:v>Yes</x:v>
      </x:c>
      <x:c r="R210" s="7" t="str"/>
    </x:row>
    <x:row r="211">
      <x:c r="A211" s="6" t="str">
        <x:v>MFRX-0210</x:v>
      </x:c>
      <x:c r="B211" s="6" t="str">
        <x:v>SVC000210</x:v>
      </x:c>
      <x:c r="C211" s="6" t="str">
        <x:v>SIDX-0210</x:v>
      </x:c>
      <x:c r="D211" s="6" t="str">
        <x:f>IFERROR(XLOOKUP(C211,'Review Sequence'!C2:C1586,'Review Sequence'!J2:J1586),"Dependency not found")</x:f>
        <x:v>Not Started</x:v>
      </x:c>
      <x:c r="E211" s="6" t="str">
        <x:v>MFR-LEGACY-001</x:v>
      </x:c>
      <x:c r="F211" s="6" t="str">
        <x:v>Unknown</x:v>
      </x:c>
      <x:c r="G211" s="6" t="str"/>
      <x:c r="H211" s="6" t="str"/>
      <x:c r="I211" s="6" t="str">
        <x:v>Unknown</x:v>
      </x:c>
      <x:c r="J211" s="6" t="str">
        <x:v>Unknown</x:v>
      </x:c>
      <x:c r="K211" s="6" t="str">
        <x:v>Unresolved</x:v>
      </x:c>
      <x:c r="L211" s="7" t="str">
        <x:v>Nocturnix_Master_Services_Catalog_v1.xlsx | 01 - Master Services | row 250</x:v>
      </x:c>
      <x:c r="M211" s="6" t="str"/>
      <x:c r="N211" s="6" t="str"/>
      <x:c r="O211" s="6" t="str">
        <x:v>Pending</x:v>
      </x:c>
      <x:c r="P211" s="7" t="str">
        <x:f>IF(OR(D211="Reviewer Complete",D211="Awaiting Second-Level Approval"),"","Service identity dependency unresolved")</x:f>
        <x:v>Service identity dependency unresolved</x:v>
      </x:c>
      <x:c r="Q211" s="6" t="str">
        <x:v>Yes</x:v>
      </x:c>
      <x:c r="R211" s="7" t="str"/>
    </x:row>
    <x:row r="212">
      <x:c r="A212" s="6" t="str">
        <x:v>MFRX-0211</x:v>
      </x:c>
      <x:c r="B212" s="6" t="str">
        <x:v>SVC000211</x:v>
      </x:c>
      <x:c r="C212" s="6" t="str">
        <x:v>SIDX-0211</x:v>
      </x:c>
      <x:c r="D212" s="6" t="str">
        <x:f>IFERROR(XLOOKUP(C212,'Review Sequence'!C2:C1586,'Review Sequence'!J2:J1586),"Dependency not found")</x:f>
        <x:v>Not Started</x:v>
      </x:c>
      <x:c r="E212" s="6" t="str">
        <x:v>MFR-LEGACY-001</x:v>
      </x:c>
      <x:c r="F212" s="6" t="str">
        <x:v>Unknown</x:v>
      </x:c>
      <x:c r="G212" s="6" t="str"/>
      <x:c r="H212" s="6" t="str"/>
      <x:c r="I212" s="6" t="str">
        <x:v>Unknown</x:v>
      </x:c>
      <x:c r="J212" s="6" t="str">
        <x:v>Unknown</x:v>
      </x:c>
      <x:c r="K212" s="6" t="str">
        <x:v>Unresolved</x:v>
      </x:c>
      <x:c r="L212" s="7" t="str">
        <x:v>Nocturnix_Master_Services_Catalog_v1.xlsx | 01 - Master Services | row 251</x:v>
      </x:c>
      <x:c r="M212" s="6" t="str"/>
      <x:c r="N212" s="6" t="str"/>
      <x:c r="O212" s="6" t="str">
        <x:v>Pending</x:v>
      </x:c>
      <x:c r="P212" s="7" t="str">
        <x:f>IF(OR(D212="Reviewer Complete",D212="Awaiting Second-Level Approval"),"","Service identity dependency unresolved")</x:f>
        <x:v>Service identity dependency unresolved</x:v>
      </x:c>
      <x:c r="Q212" s="6" t="str">
        <x:v>Yes</x:v>
      </x:c>
      <x:c r="R212" s="7" t="str"/>
    </x:row>
    <x:row r="213">
      <x:c r="A213" s="6" t="str">
        <x:v>MFRX-0212</x:v>
      </x:c>
      <x:c r="B213" s="6" t="str">
        <x:v>SVC000212</x:v>
      </x:c>
      <x:c r="C213" s="6" t="str">
        <x:v>SIDX-0212</x:v>
      </x:c>
      <x:c r="D213" s="6" t="str">
        <x:f>IFERROR(XLOOKUP(C213,'Review Sequence'!C2:C1586,'Review Sequence'!J2:J1586),"Dependency not found")</x:f>
        <x:v>Not Started</x:v>
      </x:c>
      <x:c r="E213" s="6" t="str">
        <x:v>MFR-LEGACY-001</x:v>
      </x:c>
      <x:c r="F213" s="6" t="str">
        <x:v>Unknown</x:v>
      </x:c>
      <x:c r="G213" s="6" t="str"/>
      <x:c r="H213" s="6" t="str"/>
      <x:c r="I213" s="6" t="str">
        <x:v>Unknown</x:v>
      </x:c>
      <x:c r="J213" s="6" t="str">
        <x:v>Unknown</x:v>
      </x:c>
      <x:c r="K213" s="6" t="str">
        <x:v>Unresolved</x:v>
      </x:c>
      <x:c r="L213" s="7" t="str">
        <x:v>Nocturnix_Master_Services_Catalog_v1.xlsx | 01 - Master Services | row 252</x:v>
      </x:c>
      <x:c r="M213" s="6" t="str"/>
      <x:c r="N213" s="6" t="str"/>
      <x:c r="O213" s="6" t="str">
        <x:v>Pending</x:v>
      </x:c>
      <x:c r="P213" s="7" t="str">
        <x:f>IF(OR(D213="Reviewer Complete",D213="Awaiting Second-Level Approval"),"","Service identity dependency unresolved")</x:f>
        <x:v>Service identity dependency unresolved</x:v>
      </x:c>
      <x:c r="Q213" s="6" t="str">
        <x:v>Yes</x:v>
      </x:c>
      <x:c r="R213" s="7" t="str"/>
    </x:row>
    <x:row r="214">
      <x:c r="A214" s="6" t="str">
        <x:v>MFRX-0213</x:v>
      </x:c>
      <x:c r="B214" s="6" t="str">
        <x:v>SVC000213</x:v>
      </x:c>
      <x:c r="C214" s="6" t="str">
        <x:v>SIDX-0213</x:v>
      </x:c>
      <x:c r="D214" s="6" t="str">
        <x:f>IFERROR(XLOOKUP(C214,'Review Sequence'!C2:C1586,'Review Sequence'!J2:J1586),"Dependency not found")</x:f>
        <x:v>Not Started</x:v>
      </x:c>
      <x:c r="E214" s="6" t="str">
        <x:v>MFR-LEGACY-001</x:v>
      </x:c>
      <x:c r="F214" s="6" t="str">
        <x:v>Unknown</x:v>
      </x:c>
      <x:c r="G214" s="6" t="str"/>
      <x:c r="H214" s="6" t="str"/>
      <x:c r="I214" s="6" t="str">
        <x:v>Unknown</x:v>
      </x:c>
      <x:c r="J214" s="6" t="str">
        <x:v>Unknown</x:v>
      </x:c>
      <x:c r="K214" s="6" t="str">
        <x:v>Unresolved</x:v>
      </x:c>
      <x:c r="L214" s="7" t="str">
        <x:v>Nocturnix_Master_Services_Catalog_v1.xlsx | 01 - Master Services | row 253</x:v>
      </x:c>
      <x:c r="M214" s="6" t="str"/>
      <x:c r="N214" s="6" t="str"/>
      <x:c r="O214" s="6" t="str">
        <x:v>Pending</x:v>
      </x:c>
      <x:c r="P214" s="7" t="str">
        <x:f>IF(OR(D214="Reviewer Complete",D214="Awaiting Second-Level Approval"),"","Service identity dependency unresolved")</x:f>
        <x:v>Service identity dependency unresolved</x:v>
      </x:c>
      <x:c r="Q214" s="6" t="str">
        <x:v>Yes</x:v>
      </x:c>
      <x:c r="R214" s="7" t="str"/>
    </x:row>
    <x:row r="215">
      <x:c r="A215" s="6" t="str">
        <x:v>MFRX-0214</x:v>
      </x:c>
      <x:c r="B215" s="6" t="str">
        <x:v>SVC000214</x:v>
      </x:c>
      <x:c r="C215" s="6" t="str">
        <x:v>SIDX-0214</x:v>
      </x:c>
      <x:c r="D215" s="6" t="str">
        <x:f>IFERROR(XLOOKUP(C215,'Review Sequence'!C2:C1586,'Review Sequence'!J2:J1586),"Dependency not found")</x:f>
        <x:v>Not Started</x:v>
      </x:c>
      <x:c r="E215" s="6" t="str">
        <x:v>MFR-LEGACY-001</x:v>
      </x:c>
      <x:c r="F215" s="6" t="str">
        <x:v>Unknown</x:v>
      </x:c>
      <x:c r="G215" s="6" t="str"/>
      <x:c r="H215" s="6" t="str"/>
      <x:c r="I215" s="6" t="str">
        <x:v>Unknown</x:v>
      </x:c>
      <x:c r="J215" s="6" t="str">
        <x:v>Unknown</x:v>
      </x:c>
      <x:c r="K215" s="6" t="str">
        <x:v>Unresolved</x:v>
      </x:c>
      <x:c r="L215" s="7" t="str">
        <x:v>Nocturnix_Master_Services_Catalog_v1.xlsx | 01 - Master Services | row 254</x:v>
      </x:c>
      <x:c r="M215" s="6" t="str"/>
      <x:c r="N215" s="6" t="str"/>
      <x:c r="O215" s="6" t="str">
        <x:v>Pending</x:v>
      </x:c>
      <x:c r="P215" s="7" t="str">
        <x:f>IF(OR(D215="Reviewer Complete",D215="Awaiting Second-Level Approval"),"","Service identity dependency unresolved")</x:f>
        <x:v>Service identity dependency unresolved</x:v>
      </x:c>
      <x:c r="Q215" s="6" t="str">
        <x:v>Yes</x:v>
      </x:c>
      <x:c r="R215" s="7" t="str"/>
    </x:row>
    <x:row r="216">
      <x:c r="A216" s="6" t="str">
        <x:v>MFRX-0215</x:v>
      </x:c>
      <x:c r="B216" s="6" t="str">
        <x:v>SVC000215</x:v>
      </x:c>
      <x:c r="C216" s="6" t="str">
        <x:v>SIDX-0215</x:v>
      </x:c>
      <x:c r="D216" s="6" t="str">
        <x:f>IFERROR(XLOOKUP(C216,'Review Sequence'!C2:C1586,'Review Sequence'!J2:J1586),"Dependency not found")</x:f>
        <x:v>Not Started</x:v>
      </x:c>
      <x:c r="E216" s="6" t="str">
        <x:v>MFR-LEGACY-001</x:v>
      </x:c>
      <x:c r="F216" s="6" t="str">
        <x:v>Unknown</x:v>
      </x:c>
      <x:c r="G216" s="6" t="str"/>
      <x:c r="H216" s="6" t="str"/>
      <x:c r="I216" s="6" t="str">
        <x:v>Unknown</x:v>
      </x:c>
      <x:c r="J216" s="6" t="str">
        <x:v>Unknown</x:v>
      </x:c>
      <x:c r="K216" s="6" t="str">
        <x:v>Unresolved</x:v>
      </x:c>
      <x:c r="L216" s="7" t="str">
        <x:v>Nocturnix_Master_Services_Catalog_v1.xlsx | 01 - Master Services | row 255</x:v>
      </x:c>
      <x:c r="M216" s="6" t="str"/>
      <x:c r="N216" s="6" t="str"/>
      <x:c r="O216" s="6" t="str">
        <x:v>Pending</x:v>
      </x:c>
      <x:c r="P216" s="7" t="str">
        <x:f>IF(OR(D216="Reviewer Complete",D216="Awaiting Second-Level Approval"),"","Service identity dependency unresolved")</x:f>
        <x:v>Service identity dependency unresolved</x:v>
      </x:c>
      <x:c r="Q216" s="6" t="str">
        <x:v>Yes</x:v>
      </x:c>
      <x:c r="R216" s="7" t="str"/>
    </x:row>
    <x:row r="217">
      <x:c r="A217" s="6" t="str">
        <x:v>MFRX-0216</x:v>
      </x:c>
      <x:c r="B217" s="6" t="str">
        <x:v>SVC000216</x:v>
      </x:c>
      <x:c r="C217" s="6" t="str">
        <x:v>SIDX-0216</x:v>
      </x:c>
      <x:c r="D217" s="6" t="str">
        <x:f>IFERROR(XLOOKUP(C217,'Review Sequence'!C2:C1586,'Review Sequence'!J2:J1586),"Dependency not found")</x:f>
        <x:v>Not Started</x:v>
      </x:c>
      <x:c r="E217" s="6" t="str">
        <x:v>MFR-LEGACY-001</x:v>
      </x:c>
      <x:c r="F217" s="6" t="str">
        <x:v>Unknown</x:v>
      </x:c>
      <x:c r="G217" s="6" t="str"/>
      <x:c r="H217" s="6" t="str"/>
      <x:c r="I217" s="6" t="str">
        <x:v>Unknown</x:v>
      </x:c>
      <x:c r="J217" s="6" t="str">
        <x:v>Unknown</x:v>
      </x:c>
      <x:c r="K217" s="6" t="str">
        <x:v>Unresolved</x:v>
      </x:c>
      <x:c r="L217" s="7" t="str">
        <x:v>Nocturnix_Master_Services_Catalog_v1.xlsx | 01 - Master Services | row 256</x:v>
      </x:c>
      <x:c r="M217" s="6" t="str"/>
      <x:c r="N217" s="6" t="str"/>
      <x:c r="O217" s="6" t="str">
        <x:v>Pending</x:v>
      </x:c>
      <x:c r="P217" s="7" t="str">
        <x:f>IF(OR(D217="Reviewer Complete",D217="Awaiting Second-Level Approval"),"","Service identity dependency unresolved")</x:f>
        <x:v>Service identity dependency unresolved</x:v>
      </x:c>
      <x:c r="Q217" s="6" t="str">
        <x:v>Yes</x:v>
      </x:c>
      <x:c r="R217" s="7" t="str"/>
    </x:row>
    <x:row r="218">
      <x:c r="A218" s="6" t="str">
        <x:v>MFRX-0217</x:v>
      </x:c>
      <x:c r="B218" s="6" t="str">
        <x:v>SVC000217</x:v>
      </x:c>
      <x:c r="C218" s="6" t="str">
        <x:v>SIDX-0217</x:v>
      </x:c>
      <x:c r="D218" s="6" t="str">
        <x:f>IFERROR(XLOOKUP(C218,'Review Sequence'!C2:C1586,'Review Sequence'!J2:J1586),"Dependency not found")</x:f>
        <x:v>Not Started</x:v>
      </x:c>
      <x:c r="E218" s="6" t="str">
        <x:v>MFR-LEGACY-001</x:v>
      </x:c>
      <x:c r="F218" s="6" t="str">
        <x:v>Unknown</x:v>
      </x:c>
      <x:c r="G218" s="6" t="str"/>
      <x:c r="H218" s="6" t="str"/>
      <x:c r="I218" s="6" t="str">
        <x:v>Unknown</x:v>
      </x:c>
      <x:c r="J218" s="6" t="str">
        <x:v>Unknown</x:v>
      </x:c>
      <x:c r="K218" s="6" t="str">
        <x:v>Unresolved</x:v>
      </x:c>
      <x:c r="L218" s="7" t="str">
        <x:v>Nocturnix_Master_Services_Catalog_v1.xlsx | 01 - Master Services | row 257</x:v>
      </x:c>
      <x:c r="M218" s="6" t="str"/>
      <x:c r="N218" s="6" t="str"/>
      <x:c r="O218" s="6" t="str">
        <x:v>Pending</x:v>
      </x:c>
      <x:c r="P218" s="7" t="str">
        <x:f>IF(OR(D218="Reviewer Complete",D218="Awaiting Second-Level Approval"),"","Service identity dependency unresolved")</x:f>
        <x:v>Service identity dependency unresolved</x:v>
      </x:c>
      <x:c r="Q218" s="6" t="str">
        <x:v>Yes</x:v>
      </x:c>
      <x:c r="R218" s="7" t="str"/>
    </x:row>
    <x:row r="219">
      <x:c r="A219" s="6" t="str">
        <x:v>MFRX-0218</x:v>
      </x:c>
      <x:c r="B219" s="6" t="str">
        <x:v>SVC000218</x:v>
      </x:c>
      <x:c r="C219" s="6" t="str">
        <x:v>SIDX-0218</x:v>
      </x:c>
      <x:c r="D219" s="6" t="str">
        <x:f>IFERROR(XLOOKUP(C219,'Review Sequence'!C2:C1586,'Review Sequence'!J2:J1586),"Dependency not found")</x:f>
        <x:v>Not Started</x:v>
      </x:c>
      <x:c r="E219" s="6" t="str">
        <x:v>MFR-LEGACY-001</x:v>
      </x:c>
      <x:c r="F219" s="6" t="str">
        <x:v>Unknown</x:v>
      </x:c>
      <x:c r="G219" s="6" t="str"/>
      <x:c r="H219" s="6" t="str"/>
      <x:c r="I219" s="6" t="str">
        <x:v>Unknown</x:v>
      </x:c>
      <x:c r="J219" s="6" t="str">
        <x:v>Unknown</x:v>
      </x:c>
      <x:c r="K219" s="6" t="str">
        <x:v>Unresolved</x:v>
      </x:c>
      <x:c r="L219" s="7" t="str">
        <x:v>Nocturnix_Master_Services_Catalog_v1.xlsx | 01 - Master Services | row 258</x:v>
      </x:c>
      <x:c r="M219" s="6" t="str"/>
      <x:c r="N219" s="6" t="str"/>
      <x:c r="O219" s="6" t="str">
        <x:v>Pending</x:v>
      </x:c>
      <x:c r="P219" s="7" t="str">
        <x:f>IF(OR(D219="Reviewer Complete",D219="Awaiting Second-Level Approval"),"","Service identity dependency unresolved")</x:f>
        <x:v>Service identity dependency unresolved</x:v>
      </x:c>
      <x:c r="Q219" s="6" t="str">
        <x:v>Yes</x:v>
      </x:c>
      <x:c r="R219" s="7" t="str"/>
    </x:row>
    <x:row r="220">
      <x:c r="A220" s="6" t="str">
        <x:v>MFRX-0219</x:v>
      </x:c>
      <x:c r="B220" s="6" t="str">
        <x:v>SVC000219</x:v>
      </x:c>
      <x:c r="C220" s="6" t="str">
        <x:v>SIDX-0219</x:v>
      </x:c>
      <x:c r="D220" s="6" t="str">
        <x:f>IFERROR(XLOOKUP(C220,'Review Sequence'!C2:C1586,'Review Sequence'!J2:J1586),"Dependency not found")</x:f>
        <x:v>Not Started</x:v>
      </x:c>
      <x:c r="E220" s="6" t="str">
        <x:v>MFR-LEGACY-001</x:v>
      </x:c>
      <x:c r="F220" s="6" t="str">
        <x:v>Unknown</x:v>
      </x:c>
      <x:c r="G220" s="6" t="str"/>
      <x:c r="H220" s="6" t="str"/>
      <x:c r="I220" s="6" t="str">
        <x:v>Unknown</x:v>
      </x:c>
      <x:c r="J220" s="6" t="str">
        <x:v>Unknown</x:v>
      </x:c>
      <x:c r="K220" s="6" t="str">
        <x:v>Unresolved</x:v>
      </x:c>
      <x:c r="L220" s="7" t="str">
        <x:v>Nocturnix_Master_Services_Catalog_v1.xlsx | 01 - Master Services | row 259</x:v>
      </x:c>
      <x:c r="M220" s="6" t="str"/>
      <x:c r="N220" s="6" t="str"/>
      <x:c r="O220" s="6" t="str">
        <x:v>Pending</x:v>
      </x:c>
      <x:c r="P220" s="7" t="str">
        <x:f>IF(OR(D220="Reviewer Complete",D220="Awaiting Second-Level Approval"),"","Service identity dependency unresolved")</x:f>
        <x:v>Service identity dependency unresolved</x:v>
      </x:c>
      <x:c r="Q220" s="6" t="str">
        <x:v>Yes</x:v>
      </x:c>
      <x:c r="R220" s="7" t="str"/>
    </x:row>
    <x:row r="221">
      <x:c r="A221" s="6" t="str">
        <x:v>MFRX-0220</x:v>
      </x:c>
      <x:c r="B221" s="6" t="str">
        <x:v>SVC000220</x:v>
      </x:c>
      <x:c r="C221" s="6" t="str">
        <x:v>SIDX-0220</x:v>
      </x:c>
      <x:c r="D221" s="6" t="str">
        <x:f>IFERROR(XLOOKUP(C221,'Review Sequence'!C2:C1586,'Review Sequence'!J2:J1586),"Dependency not found")</x:f>
        <x:v>Not Started</x:v>
      </x:c>
      <x:c r="E221" s="6" t="str">
        <x:v>MFR-LEGACY-001</x:v>
      </x:c>
      <x:c r="F221" s="6" t="str">
        <x:v>Unknown</x:v>
      </x:c>
      <x:c r="G221" s="6" t="str"/>
      <x:c r="H221" s="6" t="str"/>
      <x:c r="I221" s="6" t="str">
        <x:v>Unknown</x:v>
      </x:c>
      <x:c r="J221" s="6" t="str">
        <x:v>Unknown</x:v>
      </x:c>
      <x:c r="K221" s="6" t="str">
        <x:v>Unresolved</x:v>
      </x:c>
      <x:c r="L221" s="7" t="str">
        <x:v>Nocturnix_Master_Services_Catalog_v1.xlsx | 01 - Master Services | row 260</x:v>
      </x:c>
      <x:c r="M221" s="6" t="str"/>
      <x:c r="N221" s="6" t="str"/>
      <x:c r="O221" s="6" t="str">
        <x:v>Pending</x:v>
      </x:c>
      <x:c r="P221" s="7" t="str">
        <x:f>IF(OR(D221="Reviewer Complete",D221="Awaiting Second-Level Approval"),"","Service identity dependency unresolved")</x:f>
        <x:v>Service identity dependency unresolved</x:v>
      </x:c>
      <x:c r="Q221" s="6" t="str">
        <x:v>Yes</x:v>
      </x:c>
      <x:c r="R221" s="7" t="str"/>
    </x:row>
    <x:row r="222">
      <x:c r="A222" s="6" t="str">
        <x:v>MFRX-0221</x:v>
      </x:c>
      <x:c r="B222" s="6" t="str">
        <x:v>SVC000221</x:v>
      </x:c>
      <x:c r="C222" s="6" t="str">
        <x:v>SIDX-0221</x:v>
      </x:c>
      <x:c r="D222" s="6" t="str">
        <x:f>IFERROR(XLOOKUP(C222,'Review Sequence'!C2:C1586,'Review Sequence'!J2:J1586),"Dependency not found")</x:f>
        <x:v>Not Started</x:v>
      </x:c>
      <x:c r="E222" s="6" t="str">
        <x:v>MFR-LEGACY-001</x:v>
      </x:c>
      <x:c r="F222" s="6" t="str">
        <x:v>Unknown</x:v>
      </x:c>
      <x:c r="G222" s="6" t="str"/>
      <x:c r="H222" s="6" t="str"/>
      <x:c r="I222" s="6" t="str">
        <x:v>Unknown</x:v>
      </x:c>
      <x:c r="J222" s="6" t="str">
        <x:v>Unknown</x:v>
      </x:c>
      <x:c r="K222" s="6" t="str">
        <x:v>Unresolved</x:v>
      </x:c>
      <x:c r="L222" s="7" t="str">
        <x:v>Nocturnix_Master_Services_Catalog_v1.xlsx | 01 - Master Services | row 261</x:v>
      </x:c>
      <x:c r="M222" s="6" t="str"/>
      <x:c r="N222" s="6" t="str"/>
      <x:c r="O222" s="6" t="str">
        <x:v>Pending</x:v>
      </x:c>
      <x:c r="P222" s="7" t="str">
        <x:f>IF(OR(D222="Reviewer Complete",D222="Awaiting Second-Level Approval"),"","Service identity dependency unresolved")</x:f>
        <x:v>Service identity dependency unresolved</x:v>
      </x:c>
      <x:c r="Q222" s="6" t="str">
        <x:v>Yes</x:v>
      </x:c>
      <x:c r="R222" s="7" t="str"/>
    </x:row>
    <x:row r="223">
      <x:c r="A223" s="6" t="str">
        <x:v>MFRX-0222</x:v>
      </x:c>
      <x:c r="B223" s="6" t="str">
        <x:v>SVC000222</x:v>
      </x:c>
      <x:c r="C223" s="6" t="str">
        <x:v>SIDX-0222</x:v>
      </x:c>
      <x:c r="D223" s="6" t="str">
        <x:f>IFERROR(XLOOKUP(C223,'Review Sequence'!C2:C1586,'Review Sequence'!J2:J1586),"Dependency not found")</x:f>
        <x:v>Not Started</x:v>
      </x:c>
      <x:c r="E223" s="6" t="str">
        <x:v>MFR-LEGACY-001</x:v>
      </x:c>
      <x:c r="F223" s="6" t="str">
        <x:v>Unknown</x:v>
      </x:c>
      <x:c r="G223" s="6" t="str"/>
      <x:c r="H223" s="6" t="str"/>
      <x:c r="I223" s="6" t="str">
        <x:v>Unknown</x:v>
      </x:c>
      <x:c r="J223" s="6" t="str">
        <x:v>Unknown</x:v>
      </x:c>
      <x:c r="K223" s="6" t="str">
        <x:v>Unresolved</x:v>
      </x:c>
      <x:c r="L223" s="7" t="str">
        <x:v>Nocturnix_Master_Services_Catalog_v1.xlsx | 01 - Master Services | row 262</x:v>
      </x:c>
      <x:c r="M223" s="6" t="str"/>
      <x:c r="N223" s="6" t="str"/>
      <x:c r="O223" s="6" t="str">
        <x:v>Pending</x:v>
      </x:c>
      <x:c r="P223" s="7" t="str">
        <x:f>IF(OR(D223="Reviewer Complete",D223="Awaiting Second-Level Approval"),"","Service identity dependency unresolved")</x:f>
        <x:v>Service identity dependency unresolved</x:v>
      </x:c>
      <x:c r="Q223" s="6" t="str">
        <x:v>Yes</x:v>
      </x:c>
      <x:c r="R223" s="7" t="str"/>
    </x:row>
    <x:row r="224">
      <x:c r="A224" s="6" t="str">
        <x:v>MFRX-0223</x:v>
      </x:c>
      <x:c r="B224" s="6" t="str">
        <x:v>SVC000223</x:v>
      </x:c>
      <x:c r="C224" s="6" t="str">
        <x:v>SIDX-0223</x:v>
      </x:c>
      <x:c r="D224" s="6" t="str">
        <x:f>IFERROR(XLOOKUP(C224,'Review Sequence'!C2:C1586,'Review Sequence'!J2:J1586),"Dependency not found")</x:f>
        <x:v>Not Started</x:v>
      </x:c>
      <x:c r="E224" s="6" t="str">
        <x:v>MFR-LEGACY-001</x:v>
      </x:c>
      <x:c r="F224" s="6" t="str">
        <x:v>Unknown</x:v>
      </x:c>
      <x:c r="G224" s="6" t="str"/>
      <x:c r="H224" s="6" t="str"/>
      <x:c r="I224" s="6" t="str">
        <x:v>Unknown</x:v>
      </x:c>
      <x:c r="J224" s="6" t="str">
        <x:v>Unknown</x:v>
      </x:c>
      <x:c r="K224" s="6" t="str">
        <x:v>Unresolved</x:v>
      </x:c>
      <x:c r="L224" s="7" t="str">
        <x:v>Nocturnix_Master_Services_Catalog_v1.xlsx | 01 - Master Services | row 263</x:v>
      </x:c>
      <x:c r="M224" s="6" t="str"/>
      <x:c r="N224" s="6" t="str"/>
      <x:c r="O224" s="6" t="str">
        <x:v>Pending</x:v>
      </x:c>
      <x:c r="P224" s="7" t="str">
        <x:f>IF(OR(D224="Reviewer Complete",D224="Awaiting Second-Level Approval"),"","Service identity dependency unresolved")</x:f>
        <x:v>Service identity dependency unresolved</x:v>
      </x:c>
      <x:c r="Q224" s="6" t="str">
        <x:v>Yes</x:v>
      </x:c>
      <x:c r="R224" s="7" t="str"/>
    </x:row>
    <x:row r="225">
      <x:c r="A225" s="6" t="str">
        <x:v>MFRX-0224</x:v>
      </x:c>
      <x:c r="B225" s="6" t="str">
        <x:v>SVC000224</x:v>
      </x:c>
      <x:c r="C225" s="6" t="str">
        <x:v>SIDX-0224</x:v>
      </x:c>
      <x:c r="D225" s="6" t="str">
        <x:f>IFERROR(XLOOKUP(C225,'Review Sequence'!C2:C1586,'Review Sequence'!J2:J1586),"Dependency not found")</x:f>
        <x:v>Not Started</x:v>
      </x:c>
      <x:c r="E225" s="6" t="str">
        <x:v>MFR-LEGACY-001</x:v>
      </x:c>
      <x:c r="F225" s="6" t="str">
        <x:v>Unknown</x:v>
      </x:c>
      <x:c r="G225" s="6" t="str"/>
      <x:c r="H225" s="6" t="str"/>
      <x:c r="I225" s="6" t="str">
        <x:v>Unknown</x:v>
      </x:c>
      <x:c r="J225" s="6" t="str">
        <x:v>Unknown</x:v>
      </x:c>
      <x:c r="K225" s="6" t="str">
        <x:v>Unresolved</x:v>
      </x:c>
      <x:c r="L225" s="7" t="str">
        <x:v>Nocturnix_Master_Services_Catalog_v1.xlsx | 01 - Master Services | row 264</x:v>
      </x:c>
      <x:c r="M225" s="6" t="str"/>
      <x:c r="N225" s="6" t="str"/>
      <x:c r="O225" s="6" t="str">
        <x:v>Pending</x:v>
      </x:c>
      <x:c r="P225" s="7" t="str">
        <x:f>IF(OR(D225="Reviewer Complete",D225="Awaiting Second-Level Approval"),"","Service identity dependency unresolved")</x:f>
        <x:v>Service identity dependency unresolved</x:v>
      </x:c>
      <x:c r="Q225" s="6" t="str">
        <x:v>Yes</x:v>
      </x:c>
      <x:c r="R225" s="7" t="str"/>
    </x:row>
    <x:row r="226">
      <x:c r="A226" s="6" t="str">
        <x:v>MFRX-0225</x:v>
      </x:c>
      <x:c r="B226" s="6" t="str">
        <x:v>SVC000225</x:v>
      </x:c>
      <x:c r="C226" s="6" t="str">
        <x:v>SIDX-0225</x:v>
      </x:c>
      <x:c r="D226" s="6" t="str">
        <x:f>IFERROR(XLOOKUP(C226,'Review Sequence'!C2:C1586,'Review Sequence'!J2:J1586),"Dependency not found")</x:f>
        <x:v>Not Started</x:v>
      </x:c>
      <x:c r="E226" s="6" t="str">
        <x:v>MFR-LEGACY-001</x:v>
      </x:c>
      <x:c r="F226" s="6" t="str">
        <x:v>Unknown</x:v>
      </x:c>
      <x:c r="G226" s="6" t="str"/>
      <x:c r="H226" s="6" t="str"/>
      <x:c r="I226" s="6" t="str">
        <x:v>Unknown</x:v>
      </x:c>
      <x:c r="J226" s="6" t="str">
        <x:v>Unknown</x:v>
      </x:c>
      <x:c r="K226" s="6" t="str">
        <x:v>Unresolved</x:v>
      </x:c>
      <x:c r="L226" s="7" t="str">
        <x:v>Nocturnix_Master_Services_Catalog_v1.xlsx | 01 - Master Services | row 265</x:v>
      </x:c>
      <x:c r="M226" s="6" t="str"/>
      <x:c r="N226" s="6" t="str"/>
      <x:c r="O226" s="6" t="str">
        <x:v>Pending</x:v>
      </x:c>
      <x:c r="P226" s="7" t="str">
        <x:f>IF(OR(D226="Reviewer Complete",D226="Awaiting Second-Level Approval"),"","Service identity dependency unresolved")</x:f>
        <x:v>Service identity dependency unresolved</x:v>
      </x:c>
      <x:c r="Q226" s="6" t="str">
        <x:v>Yes</x:v>
      </x:c>
      <x:c r="R226" s="7" t="str"/>
    </x:row>
    <x:row r="227">
      <x:c r="A227" s="6" t="str">
        <x:v>MFRX-0226</x:v>
      </x:c>
      <x:c r="B227" s="6" t="str">
        <x:v>SVC000226</x:v>
      </x:c>
      <x:c r="C227" s="6" t="str">
        <x:v>SIDX-0226</x:v>
      </x:c>
      <x:c r="D227" s="6" t="str">
        <x:f>IFERROR(XLOOKUP(C227,'Review Sequence'!C2:C1586,'Review Sequence'!J2:J1586),"Dependency not found")</x:f>
        <x:v>Not Started</x:v>
      </x:c>
      <x:c r="E227" s="6" t="str">
        <x:v>MFR-LEGACY-001</x:v>
      </x:c>
      <x:c r="F227" s="6" t="str">
        <x:v>Unknown</x:v>
      </x:c>
      <x:c r="G227" s="6" t="str"/>
      <x:c r="H227" s="6" t="str"/>
      <x:c r="I227" s="6" t="str">
        <x:v>Unknown</x:v>
      </x:c>
      <x:c r="J227" s="6" t="str">
        <x:v>Unknown</x:v>
      </x:c>
      <x:c r="K227" s="6" t="str">
        <x:v>Unresolved</x:v>
      </x:c>
      <x:c r="L227" s="7" t="str">
        <x:v>Nocturnix_Master_Services_Catalog_v1.xlsx | 01 - Master Services | row 266</x:v>
      </x:c>
      <x:c r="M227" s="6" t="str"/>
      <x:c r="N227" s="6" t="str"/>
      <x:c r="O227" s="6" t="str">
        <x:v>Pending</x:v>
      </x:c>
      <x:c r="P227" s="7" t="str">
        <x:f>IF(OR(D227="Reviewer Complete",D227="Awaiting Second-Level Approval"),"","Service identity dependency unresolved")</x:f>
        <x:v>Service identity dependency unresolved</x:v>
      </x:c>
      <x:c r="Q227" s="6" t="str">
        <x:v>Yes</x:v>
      </x:c>
      <x:c r="R227" s="7" t="str"/>
    </x:row>
    <x:row r="228">
      <x:c r="A228" s="6" t="str">
        <x:v>MFRX-0227</x:v>
      </x:c>
      <x:c r="B228" s="6" t="str">
        <x:v>SVC000227</x:v>
      </x:c>
      <x:c r="C228" s="6" t="str">
        <x:v>SIDX-0227</x:v>
      </x:c>
      <x:c r="D228" s="6" t="str">
        <x:f>IFERROR(XLOOKUP(C228,'Review Sequence'!C2:C1586,'Review Sequence'!J2:J1586),"Dependency not found")</x:f>
        <x:v>Not Started</x:v>
      </x:c>
      <x:c r="E228" s="6" t="str">
        <x:v>MFR-LEGACY-001</x:v>
      </x:c>
      <x:c r="F228" s="6" t="str">
        <x:v>Unknown</x:v>
      </x:c>
      <x:c r="G228" s="6" t="str"/>
      <x:c r="H228" s="6" t="str"/>
      <x:c r="I228" s="6" t="str">
        <x:v>Unknown</x:v>
      </x:c>
      <x:c r="J228" s="6" t="str">
        <x:v>Unknown</x:v>
      </x:c>
      <x:c r="K228" s="6" t="str">
        <x:v>Unresolved</x:v>
      </x:c>
      <x:c r="L228" s="7" t="str">
        <x:v>Nocturnix_Master_Services_Catalog_v1.xlsx | 01 - Master Services | row 267</x:v>
      </x:c>
      <x:c r="M228" s="6" t="str"/>
      <x:c r="N228" s="6" t="str"/>
      <x:c r="O228" s="6" t="str">
        <x:v>Pending</x:v>
      </x:c>
      <x:c r="P228" s="7" t="str">
        <x:f>IF(OR(D228="Reviewer Complete",D228="Awaiting Second-Level Approval"),"","Service identity dependency unresolved")</x:f>
        <x:v>Service identity dependency unresolved</x:v>
      </x:c>
      <x:c r="Q228" s="6" t="str">
        <x:v>Yes</x:v>
      </x:c>
      <x:c r="R228" s="7" t="str"/>
    </x:row>
    <x:row r="229">
      <x:c r="A229" s="6" t="str">
        <x:v>MFRX-0228</x:v>
      </x:c>
      <x:c r="B229" s="6" t="str">
        <x:v>SVC000228</x:v>
      </x:c>
      <x:c r="C229" s="6" t="str">
        <x:v>SIDX-0228</x:v>
      </x:c>
      <x:c r="D229" s="6" t="str">
        <x:f>IFERROR(XLOOKUP(C229,'Review Sequence'!C2:C1586,'Review Sequence'!J2:J1586),"Dependency not found")</x:f>
        <x:v>Not Started</x:v>
      </x:c>
      <x:c r="E229" s="6" t="str">
        <x:v>MFR-LEGACY-001</x:v>
      </x:c>
      <x:c r="F229" s="6" t="str">
        <x:v>Unknown</x:v>
      </x:c>
      <x:c r="G229" s="6" t="str"/>
      <x:c r="H229" s="6" t="str"/>
      <x:c r="I229" s="6" t="str">
        <x:v>Unknown</x:v>
      </x:c>
      <x:c r="J229" s="6" t="str">
        <x:v>Unknown</x:v>
      </x:c>
      <x:c r="K229" s="6" t="str">
        <x:v>Unresolved</x:v>
      </x:c>
      <x:c r="L229" s="7" t="str">
        <x:v>Nocturnix_Master_Services_Catalog_v1.xlsx | 01 - Master Services | row 268</x:v>
      </x:c>
      <x:c r="M229" s="6" t="str"/>
      <x:c r="N229" s="6" t="str"/>
      <x:c r="O229" s="6" t="str">
        <x:v>Pending</x:v>
      </x:c>
      <x:c r="P229" s="7" t="str">
        <x:f>IF(OR(D229="Reviewer Complete",D229="Awaiting Second-Level Approval"),"","Service identity dependency unresolved")</x:f>
        <x:v>Service identity dependency unresolved</x:v>
      </x:c>
      <x:c r="Q229" s="6" t="str">
        <x:v>Yes</x:v>
      </x:c>
      <x:c r="R229" s="7" t="str"/>
    </x:row>
    <x:row r="230">
      <x:c r="A230" s="6" t="str">
        <x:v>MFRX-0229</x:v>
      </x:c>
      <x:c r="B230" s="6" t="str">
        <x:v>SVC000229</x:v>
      </x:c>
      <x:c r="C230" s="6" t="str">
        <x:v>SIDX-0229</x:v>
      </x:c>
      <x:c r="D230" s="6" t="str">
        <x:f>IFERROR(XLOOKUP(C230,'Review Sequence'!C2:C1586,'Review Sequence'!J2:J1586),"Dependency not found")</x:f>
        <x:v>Not Started</x:v>
      </x:c>
      <x:c r="E230" s="6" t="str">
        <x:v>MFR-LEGACY-001</x:v>
      </x:c>
      <x:c r="F230" s="6" t="str">
        <x:v>Unknown</x:v>
      </x:c>
      <x:c r="G230" s="6" t="str"/>
      <x:c r="H230" s="6" t="str"/>
      <x:c r="I230" s="6" t="str">
        <x:v>Unknown</x:v>
      </x:c>
      <x:c r="J230" s="6" t="str">
        <x:v>Unknown</x:v>
      </x:c>
      <x:c r="K230" s="6" t="str">
        <x:v>Unresolved</x:v>
      </x:c>
      <x:c r="L230" s="7" t="str">
        <x:v>Nocturnix_Master_Services_Catalog_v1.xlsx | 01 - Master Services | row 269</x:v>
      </x:c>
      <x:c r="M230" s="6" t="str"/>
      <x:c r="N230" s="6" t="str"/>
      <x:c r="O230" s="6" t="str">
        <x:v>Pending</x:v>
      </x:c>
      <x:c r="P230" s="7" t="str">
        <x:f>IF(OR(D230="Reviewer Complete",D230="Awaiting Second-Level Approval"),"","Service identity dependency unresolved")</x:f>
        <x:v>Service identity dependency unresolved</x:v>
      </x:c>
      <x:c r="Q230" s="6" t="str">
        <x:v>Yes</x:v>
      </x:c>
      <x:c r="R230" s="7" t="str"/>
    </x:row>
    <x:row r="231">
      <x:c r="A231" s="6" t="str">
        <x:v>MFRX-0230</x:v>
      </x:c>
      <x:c r="B231" s="6" t="str">
        <x:v>SVC000230</x:v>
      </x:c>
      <x:c r="C231" s="6" t="str">
        <x:v>SIDX-0230</x:v>
      </x:c>
      <x:c r="D231" s="6" t="str">
        <x:f>IFERROR(XLOOKUP(C231,'Review Sequence'!C2:C1586,'Review Sequence'!J2:J1586),"Dependency not found")</x:f>
        <x:v>Not Started</x:v>
      </x:c>
      <x:c r="E231" s="6" t="str">
        <x:v>MFR-LEGACY-001</x:v>
      </x:c>
      <x:c r="F231" s="6" t="str">
        <x:v>Unknown</x:v>
      </x:c>
      <x:c r="G231" s="6" t="str"/>
      <x:c r="H231" s="6" t="str"/>
      <x:c r="I231" s="6" t="str">
        <x:v>Unknown</x:v>
      </x:c>
      <x:c r="J231" s="6" t="str">
        <x:v>Unknown</x:v>
      </x:c>
      <x:c r="K231" s="6" t="str">
        <x:v>Unresolved</x:v>
      </x:c>
      <x:c r="L231" s="7" t="str">
        <x:v>Nocturnix_Master_Services_Catalog_v1.xlsx | 01 - Master Services | row 270</x:v>
      </x:c>
      <x:c r="M231" s="6" t="str"/>
      <x:c r="N231" s="6" t="str"/>
      <x:c r="O231" s="6" t="str">
        <x:v>Pending</x:v>
      </x:c>
      <x:c r="P231" s="7" t="str">
        <x:f>IF(OR(D231="Reviewer Complete",D231="Awaiting Second-Level Approval"),"","Service identity dependency unresolved")</x:f>
        <x:v>Service identity dependency unresolved</x:v>
      </x:c>
      <x:c r="Q231" s="6" t="str">
        <x:v>Yes</x:v>
      </x:c>
      <x:c r="R231" s="7" t="str"/>
    </x:row>
    <x:row r="232">
      <x:c r="A232" s="6" t="str">
        <x:v>MFRX-0231</x:v>
      </x:c>
      <x:c r="B232" s="6" t="str">
        <x:v>SVC000231</x:v>
      </x:c>
      <x:c r="C232" s="6" t="str">
        <x:v>SIDX-0231</x:v>
      </x:c>
      <x:c r="D232" s="6" t="str">
        <x:f>IFERROR(XLOOKUP(C232,'Review Sequence'!C2:C1586,'Review Sequence'!J2:J1586),"Dependency not found")</x:f>
        <x:v>Not Started</x:v>
      </x:c>
      <x:c r="E232" s="6" t="str">
        <x:v>MFR-LEGACY-001</x:v>
      </x:c>
      <x:c r="F232" s="6" t="str">
        <x:v>Unknown</x:v>
      </x:c>
      <x:c r="G232" s="6" t="str"/>
      <x:c r="H232" s="6" t="str"/>
      <x:c r="I232" s="6" t="str">
        <x:v>Unknown</x:v>
      </x:c>
      <x:c r="J232" s="6" t="str">
        <x:v>Unknown</x:v>
      </x:c>
      <x:c r="K232" s="6" t="str">
        <x:v>Unresolved</x:v>
      </x:c>
      <x:c r="L232" s="7" t="str">
        <x:v>Nocturnix_Master_Services_Catalog_v1.xlsx | 01 - Master Services | row 271</x:v>
      </x:c>
      <x:c r="M232" s="6" t="str"/>
      <x:c r="N232" s="6" t="str"/>
      <x:c r="O232" s="6" t="str">
        <x:v>Pending</x:v>
      </x:c>
      <x:c r="P232" s="7" t="str">
        <x:f>IF(OR(D232="Reviewer Complete",D232="Awaiting Second-Level Approval"),"","Service identity dependency unresolved")</x:f>
        <x:v>Service identity dependency unresolved</x:v>
      </x:c>
      <x:c r="Q232" s="6" t="str">
        <x:v>Yes</x:v>
      </x:c>
      <x:c r="R232" s="7" t="str"/>
    </x:row>
    <x:row r="233">
      <x:c r="A233" s="6" t="str">
        <x:v>MFRX-0232</x:v>
      </x:c>
      <x:c r="B233" s="6" t="str">
        <x:v>SVC000232</x:v>
      </x:c>
      <x:c r="C233" s="6" t="str">
        <x:v>SIDX-0232</x:v>
      </x:c>
      <x:c r="D233" s="6" t="str">
        <x:f>IFERROR(XLOOKUP(C233,'Review Sequence'!C2:C1586,'Review Sequence'!J2:J1586),"Dependency not found")</x:f>
        <x:v>Not Started</x:v>
      </x:c>
      <x:c r="E233" s="6" t="str">
        <x:v>MFR-LEGACY-001</x:v>
      </x:c>
      <x:c r="F233" s="6" t="str">
        <x:v>Unknown</x:v>
      </x:c>
      <x:c r="G233" s="6" t="str"/>
      <x:c r="H233" s="6" t="str"/>
      <x:c r="I233" s="6" t="str">
        <x:v>Unknown</x:v>
      </x:c>
      <x:c r="J233" s="6" t="str">
        <x:v>Unknown</x:v>
      </x:c>
      <x:c r="K233" s="6" t="str">
        <x:v>Unresolved</x:v>
      </x:c>
      <x:c r="L233" s="7" t="str">
        <x:v>Nocturnix_Master_Services_Catalog_v1.xlsx | 01 - Master Services | row 272</x:v>
      </x:c>
      <x:c r="M233" s="6" t="str"/>
      <x:c r="N233" s="6" t="str"/>
      <x:c r="O233" s="6" t="str">
        <x:v>Pending</x:v>
      </x:c>
      <x:c r="P233" s="7" t="str">
        <x:f>IF(OR(D233="Reviewer Complete",D233="Awaiting Second-Level Approval"),"","Service identity dependency unresolved")</x:f>
        <x:v>Service identity dependency unresolved</x:v>
      </x:c>
      <x:c r="Q233" s="6" t="str">
        <x:v>Yes</x:v>
      </x:c>
      <x:c r="R233" s="7" t="str"/>
    </x:row>
    <x:row r="234">
      <x:c r="A234" s="6" t="str">
        <x:v>MFRX-0233</x:v>
      </x:c>
      <x:c r="B234" s="6" t="str">
        <x:v>SVC000233</x:v>
      </x:c>
      <x:c r="C234" s="6" t="str">
        <x:v>SIDX-0233</x:v>
      </x:c>
      <x:c r="D234" s="6" t="str">
        <x:f>IFERROR(XLOOKUP(C234,'Review Sequence'!C2:C1586,'Review Sequence'!J2:J1586),"Dependency not found")</x:f>
        <x:v>Not Started</x:v>
      </x:c>
      <x:c r="E234" s="6" t="str">
        <x:v>MFR-LEGACY-001</x:v>
      </x:c>
      <x:c r="F234" s="6" t="str">
        <x:v>Unknown</x:v>
      </x:c>
      <x:c r="G234" s="6" t="str"/>
      <x:c r="H234" s="6" t="str"/>
      <x:c r="I234" s="6" t="str">
        <x:v>Unknown</x:v>
      </x:c>
      <x:c r="J234" s="6" t="str">
        <x:v>Unknown</x:v>
      </x:c>
      <x:c r="K234" s="6" t="str">
        <x:v>Unresolved</x:v>
      </x:c>
      <x:c r="L234" s="7" t="str">
        <x:v>Nocturnix_Master_Services_Catalog_v1.xlsx | 01 - Master Services | row 273</x:v>
      </x:c>
      <x:c r="M234" s="6" t="str"/>
      <x:c r="N234" s="6" t="str"/>
      <x:c r="O234" s="6" t="str">
        <x:v>Pending</x:v>
      </x:c>
      <x:c r="P234" s="7" t="str">
        <x:f>IF(OR(D234="Reviewer Complete",D234="Awaiting Second-Level Approval"),"","Service identity dependency unresolved")</x:f>
        <x:v>Service identity dependency unresolved</x:v>
      </x:c>
      <x:c r="Q234" s="6" t="str">
        <x:v>Yes</x:v>
      </x:c>
      <x:c r="R234" s="7" t="str"/>
    </x:row>
    <x:row r="235">
      <x:c r="A235" s="6" t="str">
        <x:v>MFRX-0234</x:v>
      </x:c>
      <x:c r="B235" s="6" t="str">
        <x:v>SVC000234</x:v>
      </x:c>
      <x:c r="C235" s="6" t="str">
        <x:v>SIDX-0234</x:v>
      </x:c>
      <x:c r="D235" s="6" t="str">
        <x:f>IFERROR(XLOOKUP(C235,'Review Sequence'!C2:C1586,'Review Sequence'!J2:J1586),"Dependency not found")</x:f>
        <x:v>Not Started</x:v>
      </x:c>
      <x:c r="E235" s="6" t="str">
        <x:v>MFR-LEGACY-001</x:v>
      </x:c>
      <x:c r="F235" s="6" t="str">
        <x:v>Unknown</x:v>
      </x:c>
      <x:c r="G235" s="6" t="str"/>
      <x:c r="H235" s="6" t="str"/>
      <x:c r="I235" s="6" t="str">
        <x:v>Unknown</x:v>
      </x:c>
      <x:c r="J235" s="6" t="str">
        <x:v>Unknown</x:v>
      </x:c>
      <x:c r="K235" s="6" t="str">
        <x:v>Unresolved</x:v>
      </x:c>
      <x:c r="L235" s="7" t="str">
        <x:v>Nocturnix_Master_Services_Catalog_v1.xlsx | 01 - Master Services | row 274</x:v>
      </x:c>
      <x:c r="M235" s="6" t="str"/>
      <x:c r="N235" s="6" t="str"/>
      <x:c r="O235" s="6" t="str">
        <x:v>Pending</x:v>
      </x:c>
      <x:c r="P235" s="7" t="str">
        <x:f>IF(OR(D235="Reviewer Complete",D235="Awaiting Second-Level Approval"),"","Service identity dependency unresolved")</x:f>
        <x:v>Service identity dependency unresolved</x:v>
      </x:c>
      <x:c r="Q235" s="6" t="str">
        <x:v>Yes</x:v>
      </x:c>
      <x:c r="R235" s="7" t="str"/>
    </x:row>
    <x:row r="236">
      <x:c r="A236" s="6" t="str">
        <x:v>MFRX-0235</x:v>
      </x:c>
      <x:c r="B236" s="6" t="str">
        <x:v>SVC000235</x:v>
      </x:c>
      <x:c r="C236" s="6" t="str">
        <x:v>SIDX-0235</x:v>
      </x:c>
      <x:c r="D236" s="6" t="str">
        <x:f>IFERROR(XLOOKUP(C236,'Review Sequence'!C2:C1586,'Review Sequence'!J2:J1586),"Dependency not found")</x:f>
        <x:v>Not Started</x:v>
      </x:c>
      <x:c r="E236" s="6" t="str">
        <x:v>MFR-LEGACY-001</x:v>
      </x:c>
      <x:c r="F236" s="6" t="str">
        <x:v>Unknown</x:v>
      </x:c>
      <x:c r="G236" s="6" t="str"/>
      <x:c r="H236" s="6" t="str"/>
      <x:c r="I236" s="6" t="str">
        <x:v>Unknown</x:v>
      </x:c>
      <x:c r="J236" s="6" t="str">
        <x:v>Unknown</x:v>
      </x:c>
      <x:c r="K236" s="6" t="str">
        <x:v>Unresolved</x:v>
      </x:c>
      <x:c r="L236" s="7" t="str">
        <x:v>Nocturnix_Master_Services_Catalog_v1.xlsx | 01 - Master Services | row 275</x:v>
      </x:c>
      <x:c r="M236" s="6" t="str"/>
      <x:c r="N236" s="6" t="str"/>
      <x:c r="O236" s="6" t="str">
        <x:v>Pending</x:v>
      </x:c>
      <x:c r="P236" s="7" t="str">
        <x:f>IF(OR(D236="Reviewer Complete",D236="Awaiting Second-Level Approval"),"","Service identity dependency unresolved")</x:f>
        <x:v>Service identity dependency unresolved</x:v>
      </x:c>
      <x:c r="Q236" s="6" t="str">
        <x:v>Yes</x:v>
      </x:c>
      <x:c r="R236" s="7" t="str"/>
    </x:row>
    <x:row r="237">
      <x:c r="A237" s="6" t="str">
        <x:v>MFRX-0236</x:v>
      </x:c>
      <x:c r="B237" s="6" t="str">
        <x:v>SVC000236</x:v>
      </x:c>
      <x:c r="C237" s="6" t="str">
        <x:v>SIDX-0236</x:v>
      </x:c>
      <x:c r="D237" s="6" t="str">
        <x:f>IFERROR(XLOOKUP(C237,'Review Sequence'!C2:C1586,'Review Sequence'!J2:J1586),"Dependency not found")</x:f>
        <x:v>Not Started</x:v>
      </x:c>
      <x:c r="E237" s="6" t="str">
        <x:v>MFR-LEGACY-001</x:v>
      </x:c>
      <x:c r="F237" s="6" t="str">
        <x:v>Unknown</x:v>
      </x:c>
      <x:c r="G237" s="6" t="str"/>
      <x:c r="H237" s="6" t="str"/>
      <x:c r="I237" s="6" t="str">
        <x:v>Unknown</x:v>
      </x:c>
      <x:c r="J237" s="6" t="str">
        <x:v>Unknown</x:v>
      </x:c>
      <x:c r="K237" s="6" t="str">
        <x:v>Unresolved</x:v>
      </x:c>
      <x:c r="L237" s="7" t="str">
        <x:v>Nocturnix_Master_Services_Catalog_v1.xlsx | 01 - Master Services | row 276</x:v>
      </x:c>
      <x:c r="M237" s="6" t="str"/>
      <x:c r="N237" s="6" t="str"/>
      <x:c r="O237" s="6" t="str">
        <x:v>Pending</x:v>
      </x:c>
      <x:c r="P237" s="7" t="str">
        <x:f>IF(OR(D237="Reviewer Complete",D237="Awaiting Second-Level Approval"),"","Service identity dependency unresolved")</x:f>
        <x:v>Service identity dependency unresolved</x:v>
      </x:c>
      <x:c r="Q237" s="6" t="str">
        <x:v>Yes</x:v>
      </x:c>
      <x:c r="R237" s="7" t="str"/>
    </x:row>
    <x:row r="238">
      <x:c r="A238" s="6" t="str">
        <x:v>MFRX-0237</x:v>
      </x:c>
      <x:c r="B238" s="6" t="str">
        <x:v>SVC000237</x:v>
      </x:c>
      <x:c r="C238" s="6" t="str">
        <x:v>SIDX-0237</x:v>
      </x:c>
      <x:c r="D238" s="6" t="str">
        <x:f>IFERROR(XLOOKUP(C238,'Review Sequence'!C2:C1586,'Review Sequence'!J2:J1586),"Dependency not found")</x:f>
        <x:v>Not Started</x:v>
      </x:c>
      <x:c r="E238" s="6" t="str">
        <x:v>MFR-LEGACY-001</x:v>
      </x:c>
      <x:c r="F238" s="6" t="str">
        <x:v>Unknown</x:v>
      </x:c>
      <x:c r="G238" s="6" t="str"/>
      <x:c r="H238" s="6" t="str"/>
      <x:c r="I238" s="6" t="str">
        <x:v>Unknown</x:v>
      </x:c>
      <x:c r="J238" s="6" t="str">
        <x:v>Unknown</x:v>
      </x:c>
      <x:c r="K238" s="6" t="str">
        <x:v>Unresolved</x:v>
      </x:c>
      <x:c r="L238" s="7" t="str">
        <x:v>Nocturnix_Master_Services_Catalog_v1.xlsx | 01 - Master Services | row 277</x:v>
      </x:c>
      <x:c r="M238" s="6" t="str"/>
      <x:c r="N238" s="6" t="str"/>
      <x:c r="O238" s="6" t="str">
        <x:v>Pending</x:v>
      </x:c>
      <x:c r="P238" s="7" t="str">
        <x:f>IF(OR(D238="Reviewer Complete",D238="Awaiting Second-Level Approval"),"","Service identity dependency unresolved")</x:f>
        <x:v>Service identity dependency unresolved</x:v>
      </x:c>
      <x:c r="Q238" s="6" t="str">
        <x:v>Yes</x:v>
      </x:c>
      <x:c r="R238" s="7" t="str"/>
    </x:row>
    <x:row r="239">
      <x:c r="A239" s="6" t="str">
        <x:v>MFRX-0238</x:v>
      </x:c>
      <x:c r="B239" s="6" t="str">
        <x:v>SVC000238</x:v>
      </x:c>
      <x:c r="C239" s="6" t="str">
        <x:v>SIDX-0238</x:v>
      </x:c>
      <x:c r="D239" s="6" t="str">
        <x:f>IFERROR(XLOOKUP(C239,'Review Sequence'!C2:C1586,'Review Sequence'!J2:J1586),"Dependency not found")</x:f>
        <x:v>Not Started</x:v>
      </x:c>
      <x:c r="E239" s="6" t="str">
        <x:v>MFR-LEGACY-001</x:v>
      </x:c>
      <x:c r="F239" s="6" t="str">
        <x:v>Unknown</x:v>
      </x:c>
      <x:c r="G239" s="6" t="str"/>
      <x:c r="H239" s="6" t="str"/>
      <x:c r="I239" s="6" t="str">
        <x:v>Unknown</x:v>
      </x:c>
      <x:c r="J239" s="6" t="str">
        <x:v>Unknown</x:v>
      </x:c>
      <x:c r="K239" s="6" t="str">
        <x:v>Unresolved</x:v>
      </x:c>
      <x:c r="L239" s="7" t="str">
        <x:v>Nocturnix_Master_Services_Catalog_v1.xlsx | 01 - Master Services | row 278</x:v>
      </x:c>
      <x:c r="M239" s="6" t="str"/>
      <x:c r="N239" s="6" t="str"/>
      <x:c r="O239" s="6" t="str">
        <x:v>Pending</x:v>
      </x:c>
      <x:c r="P239" s="7" t="str">
        <x:f>IF(OR(D239="Reviewer Complete",D239="Awaiting Second-Level Approval"),"","Service identity dependency unresolved")</x:f>
        <x:v>Service identity dependency unresolved</x:v>
      </x:c>
      <x:c r="Q239" s="6" t="str">
        <x:v>Yes</x:v>
      </x:c>
      <x:c r="R239" s="7" t="str"/>
    </x:row>
    <x:row r="240">
      <x:c r="A240" s="6" t="str">
        <x:v>MFRX-0239</x:v>
      </x:c>
      <x:c r="B240" s="6" t="str">
        <x:v>SVC000239</x:v>
      </x:c>
      <x:c r="C240" s="6" t="str">
        <x:v>SIDX-0239</x:v>
      </x:c>
      <x:c r="D240" s="6" t="str">
        <x:f>IFERROR(XLOOKUP(C240,'Review Sequence'!C2:C1586,'Review Sequence'!J2:J1586),"Dependency not found")</x:f>
        <x:v>Not Started</x:v>
      </x:c>
      <x:c r="E240" s="6" t="str">
        <x:v>MFR-LEGACY-001</x:v>
      </x:c>
      <x:c r="F240" s="6" t="str">
        <x:v>Unknown</x:v>
      </x:c>
      <x:c r="G240" s="6" t="str"/>
      <x:c r="H240" s="6" t="str"/>
      <x:c r="I240" s="6" t="str">
        <x:v>Unknown</x:v>
      </x:c>
      <x:c r="J240" s="6" t="str">
        <x:v>Unknown</x:v>
      </x:c>
      <x:c r="K240" s="6" t="str">
        <x:v>Unresolved</x:v>
      </x:c>
      <x:c r="L240" s="7" t="str">
        <x:v>Nocturnix_Master_Services_Catalog_v1.xlsx | 01 - Master Services | row 279</x:v>
      </x:c>
      <x:c r="M240" s="6" t="str"/>
      <x:c r="N240" s="6" t="str"/>
      <x:c r="O240" s="6" t="str">
        <x:v>Pending</x:v>
      </x:c>
      <x:c r="P240" s="7" t="str">
        <x:f>IF(OR(D240="Reviewer Complete",D240="Awaiting Second-Level Approval"),"","Service identity dependency unresolved")</x:f>
        <x:v>Service identity dependency unresolved</x:v>
      </x:c>
      <x:c r="Q240" s="6" t="str">
        <x:v>Yes</x:v>
      </x:c>
      <x:c r="R240" s="7" t="str"/>
    </x:row>
    <x:row r="241">
      <x:c r="A241" s="6" t="str">
        <x:v>MFRX-0240</x:v>
      </x:c>
      <x:c r="B241" s="6" t="str">
        <x:v>SVC000240</x:v>
      </x:c>
      <x:c r="C241" s="6" t="str">
        <x:v>SIDX-0240</x:v>
      </x:c>
      <x:c r="D241" s="6" t="str">
        <x:f>IFERROR(XLOOKUP(C241,'Review Sequence'!C2:C1586,'Review Sequence'!J2:J1586),"Dependency not found")</x:f>
        <x:v>Not Started</x:v>
      </x:c>
      <x:c r="E241" s="6" t="str">
        <x:v>MFR-LEGACY-001</x:v>
      </x:c>
      <x:c r="F241" s="6" t="str">
        <x:v>Unknown</x:v>
      </x:c>
      <x:c r="G241" s="6" t="str"/>
      <x:c r="H241" s="6" t="str"/>
      <x:c r="I241" s="6" t="str">
        <x:v>Unknown</x:v>
      </x:c>
      <x:c r="J241" s="6" t="str">
        <x:v>Unknown</x:v>
      </x:c>
      <x:c r="K241" s="6" t="str">
        <x:v>Unresolved</x:v>
      </x:c>
      <x:c r="L241" s="7" t="str">
        <x:v>Nocturnix_Master_Services_Catalog_v1.xlsx | 01 - Master Services | row 280</x:v>
      </x:c>
      <x:c r="M241" s="6" t="str"/>
      <x:c r="N241" s="6" t="str"/>
      <x:c r="O241" s="6" t="str">
        <x:v>Pending</x:v>
      </x:c>
      <x:c r="P241" s="7" t="str">
        <x:f>IF(OR(D241="Reviewer Complete",D241="Awaiting Second-Level Approval"),"","Service identity dependency unresolved")</x:f>
        <x:v>Service identity dependency unresolved</x:v>
      </x:c>
      <x:c r="Q241" s="6" t="str">
        <x:v>Yes</x:v>
      </x:c>
      <x:c r="R241" s="7" t="str"/>
    </x:row>
    <x:row r="242">
      <x:c r="A242" s="6" t="str">
        <x:v>MFRX-0241</x:v>
      </x:c>
      <x:c r="B242" s="6" t="str">
        <x:v>SVC000241</x:v>
      </x:c>
      <x:c r="C242" s="6" t="str">
        <x:v>SIDX-0241</x:v>
      </x:c>
      <x:c r="D242" s="6" t="str">
        <x:f>IFERROR(XLOOKUP(C242,'Review Sequence'!C2:C1586,'Review Sequence'!J2:J1586),"Dependency not found")</x:f>
        <x:v>Not Started</x:v>
      </x:c>
      <x:c r="E242" s="6" t="str">
        <x:v>MFR-LEGACY-001</x:v>
      </x:c>
      <x:c r="F242" s="6" t="str">
        <x:v>Unknown</x:v>
      </x:c>
      <x:c r="G242" s="6" t="str"/>
      <x:c r="H242" s="6" t="str"/>
      <x:c r="I242" s="6" t="str">
        <x:v>Unknown</x:v>
      </x:c>
      <x:c r="J242" s="6" t="str">
        <x:v>Unknown</x:v>
      </x:c>
      <x:c r="K242" s="6" t="str">
        <x:v>Unresolved</x:v>
      </x:c>
      <x:c r="L242" s="7" t="str">
        <x:v>Nocturnix_Master_Services_Catalog_v1.xlsx | 01 - Master Services | row 281</x:v>
      </x:c>
      <x:c r="M242" s="6" t="str"/>
      <x:c r="N242" s="6" t="str"/>
      <x:c r="O242" s="6" t="str">
        <x:v>Pending</x:v>
      </x:c>
      <x:c r="P242" s="7" t="str">
        <x:f>IF(OR(D242="Reviewer Complete",D242="Awaiting Second-Level Approval"),"","Service identity dependency unresolved")</x:f>
        <x:v>Service identity dependency unresolved</x:v>
      </x:c>
      <x:c r="Q242" s="6" t="str">
        <x:v>Yes</x:v>
      </x:c>
      <x:c r="R242" s="7" t="str"/>
    </x:row>
    <x:row r="243">
      <x:c r="A243" s="6" t="str">
        <x:v>MFRX-0242</x:v>
      </x:c>
      <x:c r="B243" s="6" t="str">
        <x:v>SVC000242</x:v>
      </x:c>
      <x:c r="C243" s="6" t="str">
        <x:v>SIDX-0242</x:v>
      </x:c>
      <x:c r="D243" s="6" t="str">
        <x:f>IFERROR(XLOOKUP(C243,'Review Sequence'!C2:C1586,'Review Sequence'!J2:J1586),"Dependency not found")</x:f>
        <x:v>Not Started</x:v>
      </x:c>
      <x:c r="E243" s="6" t="str">
        <x:v>MFR-LEGACY-001</x:v>
      </x:c>
      <x:c r="F243" s="6" t="str">
        <x:v>Unknown</x:v>
      </x:c>
      <x:c r="G243" s="6" t="str"/>
      <x:c r="H243" s="6" t="str"/>
      <x:c r="I243" s="6" t="str">
        <x:v>Unknown</x:v>
      </x:c>
      <x:c r="J243" s="6" t="str">
        <x:v>Unknown</x:v>
      </x:c>
      <x:c r="K243" s="6" t="str">
        <x:v>Unresolved</x:v>
      </x:c>
      <x:c r="L243" s="7" t="str">
        <x:v>Nocturnix_Master_Services_Catalog_v1.xlsx | 01 - Master Services | row 282</x:v>
      </x:c>
      <x:c r="M243" s="6" t="str"/>
      <x:c r="N243" s="6" t="str"/>
      <x:c r="O243" s="6" t="str">
        <x:v>Pending</x:v>
      </x:c>
      <x:c r="P243" s="7" t="str">
        <x:f>IF(OR(D243="Reviewer Complete",D243="Awaiting Second-Level Approval"),"","Service identity dependency unresolved")</x:f>
        <x:v>Service identity dependency unresolved</x:v>
      </x:c>
      <x:c r="Q243" s="6" t="str">
        <x:v>Yes</x:v>
      </x:c>
      <x:c r="R243" s="7" t="str"/>
    </x:row>
    <x:row r="244">
      <x:c r="A244" s="6" t="str">
        <x:v>MFRX-0243</x:v>
      </x:c>
      <x:c r="B244" s="6" t="str">
        <x:v>SVC000243</x:v>
      </x:c>
      <x:c r="C244" s="6" t="str">
        <x:v>SIDX-0243</x:v>
      </x:c>
      <x:c r="D244" s="6" t="str">
        <x:f>IFERROR(XLOOKUP(C244,'Review Sequence'!C2:C1586,'Review Sequence'!J2:J1586),"Dependency not found")</x:f>
        <x:v>Not Started</x:v>
      </x:c>
      <x:c r="E244" s="6" t="str">
        <x:v>MFR-LEGACY-001</x:v>
      </x:c>
      <x:c r="F244" s="6" t="str">
        <x:v>Unknown</x:v>
      </x:c>
      <x:c r="G244" s="6" t="str"/>
      <x:c r="H244" s="6" t="str"/>
      <x:c r="I244" s="6" t="str">
        <x:v>Unknown</x:v>
      </x:c>
      <x:c r="J244" s="6" t="str">
        <x:v>Unknown</x:v>
      </x:c>
      <x:c r="K244" s="6" t="str">
        <x:v>Unresolved</x:v>
      </x:c>
      <x:c r="L244" s="7" t="str">
        <x:v>Nocturnix_Master_Services_Catalog_v1.xlsx | 01 - Master Services | row 283</x:v>
      </x:c>
      <x:c r="M244" s="6" t="str"/>
      <x:c r="N244" s="6" t="str"/>
      <x:c r="O244" s="6" t="str">
        <x:v>Pending</x:v>
      </x:c>
      <x:c r="P244" s="7" t="str">
        <x:f>IF(OR(D244="Reviewer Complete",D244="Awaiting Second-Level Approval"),"","Service identity dependency unresolved")</x:f>
        <x:v>Service identity dependency unresolved</x:v>
      </x:c>
      <x:c r="Q244" s="6" t="str">
        <x:v>Yes</x:v>
      </x:c>
      <x:c r="R244" s="7" t="str"/>
    </x:row>
    <x:row r="245">
      <x:c r="A245" s="6" t="str">
        <x:v>MFRX-0244</x:v>
      </x:c>
      <x:c r="B245" s="6" t="str">
        <x:v>SVC000244</x:v>
      </x:c>
      <x:c r="C245" s="6" t="str">
        <x:v>SIDX-0244</x:v>
      </x:c>
      <x:c r="D245" s="6" t="str">
        <x:f>IFERROR(XLOOKUP(C245,'Review Sequence'!C2:C1586,'Review Sequence'!J2:J1586),"Dependency not found")</x:f>
        <x:v>Not Started</x:v>
      </x:c>
      <x:c r="E245" s="6" t="str">
        <x:v>MFR-LEGACY-001</x:v>
      </x:c>
      <x:c r="F245" s="6" t="str">
        <x:v>Unknown</x:v>
      </x:c>
      <x:c r="G245" s="6" t="str"/>
      <x:c r="H245" s="6" t="str"/>
      <x:c r="I245" s="6" t="str">
        <x:v>Unknown</x:v>
      </x:c>
      <x:c r="J245" s="6" t="str">
        <x:v>Unknown</x:v>
      </x:c>
      <x:c r="K245" s="6" t="str">
        <x:v>Unresolved</x:v>
      </x:c>
      <x:c r="L245" s="7" t="str">
        <x:v>Nocturnix_Master_Services_Catalog_v1.xlsx | 01 - Master Services | row 284</x:v>
      </x:c>
      <x:c r="M245" s="6" t="str"/>
      <x:c r="N245" s="6" t="str"/>
      <x:c r="O245" s="6" t="str">
        <x:v>Pending</x:v>
      </x:c>
      <x:c r="P245" s="7" t="str">
        <x:f>IF(OR(D245="Reviewer Complete",D245="Awaiting Second-Level Approval"),"","Service identity dependency unresolved")</x:f>
        <x:v>Service identity dependency unresolved</x:v>
      </x:c>
      <x:c r="Q245" s="6" t="str">
        <x:v>Yes</x:v>
      </x:c>
      <x:c r="R245" s="7" t="str"/>
    </x:row>
    <x:row r="246">
      <x:c r="A246" s="6" t="str">
        <x:v>MFRX-0245</x:v>
      </x:c>
      <x:c r="B246" s="6" t="str">
        <x:v>SVC000245</x:v>
      </x:c>
      <x:c r="C246" s="6" t="str">
        <x:v>SIDX-0245</x:v>
      </x:c>
      <x:c r="D246" s="6" t="str">
        <x:f>IFERROR(XLOOKUP(C246,'Review Sequence'!C2:C1586,'Review Sequence'!J2:J1586),"Dependency not found")</x:f>
        <x:v>Not Started</x:v>
      </x:c>
      <x:c r="E246" s="6" t="str">
        <x:v>MFR-LEGACY-001</x:v>
      </x:c>
      <x:c r="F246" s="6" t="str">
        <x:v>Unknown</x:v>
      </x:c>
      <x:c r="G246" s="6" t="str"/>
      <x:c r="H246" s="6" t="str"/>
      <x:c r="I246" s="6" t="str">
        <x:v>Unknown</x:v>
      </x:c>
      <x:c r="J246" s="6" t="str">
        <x:v>Unknown</x:v>
      </x:c>
      <x:c r="K246" s="6" t="str">
        <x:v>Unresolved</x:v>
      </x:c>
      <x:c r="L246" s="7" t="str">
        <x:v>Nocturnix_Master_Services_Catalog_v1.xlsx | 01 - Master Services | row 285</x:v>
      </x:c>
      <x:c r="M246" s="6" t="str"/>
      <x:c r="N246" s="6" t="str"/>
      <x:c r="O246" s="6" t="str">
        <x:v>Pending</x:v>
      </x:c>
      <x:c r="P246" s="7" t="str">
        <x:f>IF(OR(D246="Reviewer Complete",D246="Awaiting Second-Level Approval"),"","Service identity dependency unresolved")</x:f>
        <x:v>Service identity dependency unresolved</x:v>
      </x:c>
      <x:c r="Q246" s="6" t="str">
        <x:v>Yes</x:v>
      </x:c>
      <x:c r="R246" s="7" t="str"/>
    </x:row>
    <x:row r="247">
      <x:c r="A247" s="6" t="str">
        <x:v>MFRX-0246</x:v>
      </x:c>
      <x:c r="B247" s="6" t="str">
        <x:v>SVC000246</x:v>
      </x:c>
      <x:c r="C247" s="6" t="str">
        <x:v>SIDX-0246</x:v>
      </x:c>
      <x:c r="D247" s="6" t="str">
        <x:f>IFERROR(XLOOKUP(C247,'Review Sequence'!C2:C1586,'Review Sequence'!J2:J1586),"Dependency not found")</x:f>
        <x:v>Not Started</x:v>
      </x:c>
      <x:c r="E247" s="6" t="str">
        <x:v>MFR-LEGACY-001</x:v>
      </x:c>
      <x:c r="F247" s="6" t="str">
        <x:v>Unknown</x:v>
      </x:c>
      <x:c r="G247" s="6" t="str"/>
      <x:c r="H247" s="6" t="str"/>
      <x:c r="I247" s="6" t="str">
        <x:v>Unknown</x:v>
      </x:c>
      <x:c r="J247" s="6" t="str">
        <x:v>Unknown</x:v>
      </x:c>
      <x:c r="K247" s="6" t="str">
        <x:v>Unresolved</x:v>
      </x:c>
      <x:c r="L247" s="7" t="str">
        <x:v>Nocturnix_Master_Services_Catalog_v1.xlsx | 01 - Master Services | row 286</x:v>
      </x:c>
      <x:c r="M247" s="6" t="str"/>
      <x:c r="N247" s="6" t="str"/>
      <x:c r="O247" s="6" t="str">
        <x:v>Pending</x:v>
      </x:c>
      <x:c r="P247" s="7" t="str">
        <x:f>IF(OR(D247="Reviewer Complete",D247="Awaiting Second-Level Approval"),"","Service identity dependency unresolved")</x:f>
        <x:v>Service identity dependency unresolved</x:v>
      </x:c>
      <x:c r="Q247" s="6" t="str">
        <x:v>Yes</x:v>
      </x:c>
      <x:c r="R247" s="7" t="str"/>
    </x:row>
    <x:row r="248">
      <x:c r="A248" s="6" t="str">
        <x:v>MFRX-0247</x:v>
      </x:c>
      <x:c r="B248" s="6" t="str">
        <x:v>SVC000247</x:v>
      </x:c>
      <x:c r="C248" s="6" t="str">
        <x:v>SIDX-0247</x:v>
      </x:c>
      <x:c r="D248" s="6" t="str">
        <x:f>IFERROR(XLOOKUP(C248,'Review Sequence'!C2:C1586,'Review Sequence'!J2:J1586),"Dependency not found")</x:f>
        <x:v>Not Started</x:v>
      </x:c>
      <x:c r="E248" s="6" t="str">
        <x:v>MFR-LEGACY-001</x:v>
      </x:c>
      <x:c r="F248" s="6" t="str">
        <x:v>Unknown</x:v>
      </x:c>
      <x:c r="G248" s="6" t="str"/>
      <x:c r="H248" s="6" t="str"/>
      <x:c r="I248" s="6" t="str">
        <x:v>Unknown</x:v>
      </x:c>
      <x:c r="J248" s="6" t="str">
        <x:v>Unknown</x:v>
      </x:c>
      <x:c r="K248" s="6" t="str">
        <x:v>Unresolved</x:v>
      </x:c>
      <x:c r="L248" s="7" t="str">
        <x:v>Nocturnix_Master_Services_Catalog_v1.xlsx | 01 - Master Services | row 287</x:v>
      </x:c>
      <x:c r="M248" s="6" t="str"/>
      <x:c r="N248" s="6" t="str"/>
      <x:c r="O248" s="6" t="str">
        <x:v>Pending</x:v>
      </x:c>
      <x:c r="P248" s="7" t="str">
        <x:f>IF(OR(D248="Reviewer Complete",D248="Awaiting Second-Level Approval"),"","Service identity dependency unresolved")</x:f>
        <x:v>Service identity dependency unresolved</x:v>
      </x:c>
      <x:c r="Q248" s="6" t="str">
        <x:v>Yes</x:v>
      </x:c>
      <x:c r="R248" s="7" t="str"/>
    </x:row>
    <x:row r="249">
      <x:c r="A249" s="6" t="str">
        <x:v>MFRX-0248</x:v>
      </x:c>
      <x:c r="B249" s="6" t="str">
        <x:v>SVC000248</x:v>
      </x:c>
      <x:c r="C249" s="6" t="str">
        <x:v>SIDX-0248</x:v>
      </x:c>
      <x:c r="D249" s="6" t="str">
        <x:f>IFERROR(XLOOKUP(C249,'Review Sequence'!C2:C1586,'Review Sequence'!J2:J1586),"Dependency not found")</x:f>
        <x:v>Not Started</x:v>
      </x:c>
      <x:c r="E249" s="6" t="str">
        <x:v>MFR-LEGACY-001</x:v>
      </x:c>
      <x:c r="F249" s="6" t="str">
        <x:v>Unknown</x:v>
      </x:c>
      <x:c r="G249" s="6" t="str"/>
      <x:c r="H249" s="6" t="str"/>
      <x:c r="I249" s="6" t="str">
        <x:v>Unknown</x:v>
      </x:c>
      <x:c r="J249" s="6" t="str">
        <x:v>Unknown</x:v>
      </x:c>
      <x:c r="K249" s="6" t="str">
        <x:v>Unresolved</x:v>
      </x:c>
      <x:c r="L249" s="7" t="str">
        <x:v>Nocturnix_Master_Services_Catalog_v1.xlsx | 01 - Master Services | row 288</x:v>
      </x:c>
      <x:c r="M249" s="6" t="str"/>
      <x:c r="N249" s="6" t="str"/>
      <x:c r="O249" s="6" t="str">
        <x:v>Pending</x:v>
      </x:c>
      <x:c r="P249" s="7" t="str">
        <x:f>IF(OR(D249="Reviewer Complete",D249="Awaiting Second-Level Approval"),"","Service identity dependency unresolved")</x:f>
        <x:v>Service identity dependency unresolved</x:v>
      </x:c>
      <x:c r="Q249" s="6" t="str">
        <x:v>Yes</x:v>
      </x:c>
      <x:c r="R249" s="7" t="str"/>
    </x:row>
    <x:row r="250">
      <x:c r="A250" s="6" t="str">
        <x:v>MFRX-0249</x:v>
      </x:c>
      <x:c r="B250" s="6" t="str">
        <x:v>SVC000249</x:v>
      </x:c>
      <x:c r="C250" s="6" t="str">
        <x:v>SIDX-0249</x:v>
      </x:c>
      <x:c r="D250" s="6" t="str">
        <x:f>IFERROR(XLOOKUP(C250,'Review Sequence'!C2:C1586,'Review Sequence'!J2:J1586),"Dependency not found")</x:f>
        <x:v>Not Started</x:v>
      </x:c>
      <x:c r="E250" s="6" t="str">
        <x:v>MFR-LEGACY-001</x:v>
      </x:c>
      <x:c r="F250" s="6" t="str">
        <x:v>Unknown</x:v>
      </x:c>
      <x:c r="G250" s="6" t="str"/>
      <x:c r="H250" s="6" t="str"/>
      <x:c r="I250" s="6" t="str">
        <x:v>Unknown</x:v>
      </x:c>
      <x:c r="J250" s="6" t="str">
        <x:v>Unknown</x:v>
      </x:c>
      <x:c r="K250" s="6" t="str">
        <x:v>Unresolved</x:v>
      </x:c>
      <x:c r="L250" s="7" t="str">
        <x:v>Nocturnix_Master_Services_Catalog_v1.xlsx | 01 - Master Services | row 289</x:v>
      </x:c>
      <x:c r="M250" s="6" t="str"/>
      <x:c r="N250" s="6" t="str"/>
      <x:c r="O250" s="6" t="str">
        <x:v>Pending</x:v>
      </x:c>
      <x:c r="P250" s="7" t="str">
        <x:f>IF(OR(D250="Reviewer Complete",D250="Awaiting Second-Level Approval"),"","Service identity dependency unresolved")</x:f>
        <x:v>Service identity dependency unresolved</x:v>
      </x:c>
      <x:c r="Q250" s="6" t="str">
        <x:v>Yes</x:v>
      </x:c>
      <x:c r="R250" s="7" t="str"/>
    </x:row>
    <x:row r="251">
      <x:c r="A251" s="6" t="str">
        <x:v>MFRX-0250</x:v>
      </x:c>
      <x:c r="B251" s="6" t="str">
        <x:v>SVC000250</x:v>
      </x:c>
      <x:c r="C251" s="6" t="str">
        <x:v>SIDX-0250</x:v>
      </x:c>
      <x:c r="D251" s="6" t="str">
        <x:f>IFERROR(XLOOKUP(C251,'Review Sequence'!C2:C1586,'Review Sequence'!J2:J1586),"Dependency not found")</x:f>
        <x:v>Not Started</x:v>
      </x:c>
      <x:c r="E251" s="6" t="str">
        <x:v>MFR-LEGACY-001</x:v>
      </x:c>
      <x:c r="F251" s="6" t="str">
        <x:v>Unknown</x:v>
      </x:c>
      <x:c r="G251" s="6" t="str"/>
      <x:c r="H251" s="6" t="str"/>
      <x:c r="I251" s="6" t="str">
        <x:v>Unknown</x:v>
      </x:c>
      <x:c r="J251" s="6" t="str">
        <x:v>Unknown</x:v>
      </x:c>
      <x:c r="K251" s="6" t="str">
        <x:v>Unresolved</x:v>
      </x:c>
      <x:c r="L251" s="7" t="str">
        <x:v>Nocturnix_Master_Services_Catalog_v1.xlsx | 01 - Master Services | row 290</x:v>
      </x:c>
      <x:c r="M251" s="6" t="str"/>
      <x:c r="N251" s="6" t="str"/>
      <x:c r="O251" s="6" t="str">
        <x:v>Pending</x:v>
      </x:c>
      <x:c r="P251" s="7" t="str">
        <x:f>IF(OR(D251="Reviewer Complete",D251="Awaiting Second-Level Approval"),"","Service identity dependency unresolved")</x:f>
        <x:v>Service identity dependency unresolved</x:v>
      </x:c>
      <x:c r="Q251" s="6" t="str">
        <x:v>Yes</x:v>
      </x:c>
      <x:c r="R251" s="7" t="str"/>
    </x:row>
    <x:row r="252">
      <x:c r="A252" s="6" t="str">
        <x:v>MFRX-0251</x:v>
      </x:c>
      <x:c r="B252" s="6" t="str">
        <x:v>SVC000251</x:v>
      </x:c>
      <x:c r="C252" s="6" t="str">
        <x:v>SIDX-0251</x:v>
      </x:c>
      <x:c r="D252" s="6" t="str">
        <x:f>IFERROR(XLOOKUP(C252,'Review Sequence'!C2:C1586,'Review Sequence'!J2:J1586),"Dependency not found")</x:f>
        <x:v>Not Started</x:v>
      </x:c>
      <x:c r="E252" s="6" t="str">
        <x:v>MFR-LEGACY-001</x:v>
      </x:c>
      <x:c r="F252" s="6" t="str">
        <x:v>Unknown</x:v>
      </x:c>
      <x:c r="G252" s="6" t="str"/>
      <x:c r="H252" s="6" t="str"/>
      <x:c r="I252" s="6" t="str">
        <x:v>Unknown</x:v>
      </x:c>
      <x:c r="J252" s="6" t="str">
        <x:v>Unknown</x:v>
      </x:c>
      <x:c r="K252" s="6" t="str">
        <x:v>Unresolved</x:v>
      </x:c>
      <x:c r="L252" s="7" t="str">
        <x:v>Nocturnix_Master_Services_Catalog_v1.xlsx | 01 - Master Services | row 291</x:v>
      </x:c>
      <x:c r="M252" s="6" t="str"/>
      <x:c r="N252" s="6" t="str"/>
      <x:c r="O252" s="6" t="str">
        <x:v>Pending</x:v>
      </x:c>
      <x:c r="P252" s="7" t="str">
        <x:f>IF(OR(D252="Reviewer Complete",D252="Awaiting Second-Level Approval"),"","Service identity dependency unresolved")</x:f>
        <x:v>Service identity dependency unresolved</x:v>
      </x:c>
      <x:c r="Q252" s="6" t="str">
        <x:v>Yes</x:v>
      </x:c>
      <x:c r="R252" s="7" t="str"/>
    </x:row>
    <x:row r="253">
      <x:c r="A253" s="6" t="str">
        <x:v>MFRX-0252</x:v>
      </x:c>
      <x:c r="B253" s="6" t="str">
        <x:v>SVC000252</x:v>
      </x:c>
      <x:c r="C253" s="6" t="str">
        <x:v>SIDX-0252</x:v>
      </x:c>
      <x:c r="D253" s="6" t="str">
        <x:f>IFERROR(XLOOKUP(C253,'Review Sequence'!C2:C1586,'Review Sequence'!J2:J1586),"Dependency not found")</x:f>
        <x:v>Not Started</x:v>
      </x:c>
      <x:c r="E253" s="6" t="str">
        <x:v>MFR-LEGACY-001</x:v>
      </x:c>
      <x:c r="F253" s="6" t="str">
        <x:v>Unknown</x:v>
      </x:c>
      <x:c r="G253" s="6" t="str"/>
      <x:c r="H253" s="6" t="str"/>
      <x:c r="I253" s="6" t="str">
        <x:v>Unknown</x:v>
      </x:c>
      <x:c r="J253" s="6" t="str">
        <x:v>Unknown</x:v>
      </x:c>
      <x:c r="K253" s="6" t="str">
        <x:v>Unresolved</x:v>
      </x:c>
      <x:c r="L253" s="7" t="str">
        <x:v>Nocturnix_Master_Services_Catalog_v1.xlsx | 01 - Master Services | row 292</x:v>
      </x:c>
      <x:c r="M253" s="6" t="str"/>
      <x:c r="N253" s="6" t="str"/>
      <x:c r="O253" s="6" t="str">
        <x:v>Pending</x:v>
      </x:c>
      <x:c r="P253" s="7" t="str">
        <x:f>IF(OR(D253="Reviewer Complete",D253="Awaiting Second-Level Approval"),"","Service identity dependency unresolved")</x:f>
        <x:v>Service identity dependency unresolved</x:v>
      </x:c>
      <x:c r="Q253" s="6" t="str">
        <x:v>Yes</x:v>
      </x:c>
      <x:c r="R253" s="7" t="str"/>
    </x:row>
    <x:row r="254">
      <x:c r="A254" s="6" t="str">
        <x:v>MFRX-0253</x:v>
      </x:c>
      <x:c r="B254" s="6" t="str">
        <x:v>SVC000253</x:v>
      </x:c>
      <x:c r="C254" s="6" t="str">
        <x:v>SIDX-0253</x:v>
      </x:c>
      <x:c r="D254" s="6" t="str">
        <x:f>IFERROR(XLOOKUP(C254,'Review Sequence'!C2:C1586,'Review Sequence'!J2:J1586),"Dependency not found")</x:f>
        <x:v>Not Started</x:v>
      </x:c>
      <x:c r="E254" s="6" t="str">
        <x:v>MFR-LEGACY-001</x:v>
      </x:c>
      <x:c r="F254" s="6" t="str">
        <x:v>Unknown</x:v>
      </x:c>
      <x:c r="G254" s="6" t="str"/>
      <x:c r="H254" s="6" t="str"/>
      <x:c r="I254" s="6" t="str">
        <x:v>Unknown</x:v>
      </x:c>
      <x:c r="J254" s="6" t="str">
        <x:v>Unknown</x:v>
      </x:c>
      <x:c r="K254" s="6" t="str">
        <x:v>Unresolved</x:v>
      </x:c>
      <x:c r="L254" s="7" t="str">
        <x:v>Nocturnix_Master_Services_Catalog_v1.xlsx | 01 - Master Services | row 293</x:v>
      </x:c>
      <x:c r="M254" s="6" t="str"/>
      <x:c r="N254" s="6" t="str"/>
      <x:c r="O254" s="6" t="str">
        <x:v>Pending</x:v>
      </x:c>
      <x:c r="P254" s="7" t="str">
        <x:f>IF(OR(D254="Reviewer Complete",D254="Awaiting Second-Level Approval"),"","Service identity dependency unresolved")</x:f>
        <x:v>Service identity dependency unresolved</x:v>
      </x:c>
      <x:c r="Q254" s="6" t="str">
        <x:v>Yes</x:v>
      </x:c>
      <x:c r="R254" s="7" t="str"/>
    </x:row>
    <x:row r="255">
      <x:c r="A255" s="6" t="str">
        <x:v>MFRX-0254</x:v>
      </x:c>
      <x:c r="B255" s="6" t="str">
        <x:v>SVC000254</x:v>
      </x:c>
      <x:c r="C255" s="6" t="str">
        <x:v>SIDX-0254</x:v>
      </x:c>
      <x:c r="D255" s="6" t="str">
        <x:f>IFERROR(XLOOKUP(C255,'Review Sequence'!C2:C1586,'Review Sequence'!J2:J1586),"Dependency not found")</x:f>
        <x:v>Not Started</x:v>
      </x:c>
      <x:c r="E255" s="6" t="str">
        <x:v>MFR-LEGACY-001</x:v>
      </x:c>
      <x:c r="F255" s="6" t="str">
        <x:v>Unknown</x:v>
      </x:c>
      <x:c r="G255" s="6" t="str"/>
      <x:c r="H255" s="6" t="str"/>
      <x:c r="I255" s="6" t="str">
        <x:v>Unknown</x:v>
      </x:c>
      <x:c r="J255" s="6" t="str">
        <x:v>Unknown</x:v>
      </x:c>
      <x:c r="K255" s="6" t="str">
        <x:v>Unresolved</x:v>
      </x:c>
      <x:c r="L255" s="7" t="str">
        <x:v>Nocturnix_Master_Services_Catalog_v1.xlsx | 01 - Master Services | row 294</x:v>
      </x:c>
      <x:c r="M255" s="6" t="str"/>
      <x:c r="N255" s="6" t="str"/>
      <x:c r="O255" s="6" t="str">
        <x:v>Pending</x:v>
      </x:c>
      <x:c r="P255" s="7" t="str">
        <x:f>IF(OR(D255="Reviewer Complete",D255="Awaiting Second-Level Approval"),"","Service identity dependency unresolved")</x:f>
        <x:v>Service identity dependency unresolved</x:v>
      </x:c>
      <x:c r="Q255" s="6" t="str">
        <x:v>Yes</x:v>
      </x:c>
      <x:c r="R255" s="7" t="str"/>
    </x:row>
    <x:row r="256">
      <x:c r="A256" s="6" t="str">
        <x:v>MFRX-0255</x:v>
      </x:c>
      <x:c r="B256" s="6" t="str">
        <x:v>SVC000255</x:v>
      </x:c>
      <x:c r="C256" s="6" t="str">
        <x:v>SIDX-0255</x:v>
      </x:c>
      <x:c r="D256" s="6" t="str">
        <x:f>IFERROR(XLOOKUP(C256,'Review Sequence'!C2:C1586,'Review Sequence'!J2:J1586),"Dependency not found")</x:f>
        <x:v>Not Started</x:v>
      </x:c>
      <x:c r="E256" s="6" t="str">
        <x:v>MFR-LEGACY-001</x:v>
      </x:c>
      <x:c r="F256" s="6" t="str">
        <x:v>Unknown</x:v>
      </x:c>
      <x:c r="G256" s="6" t="str"/>
      <x:c r="H256" s="6" t="str"/>
      <x:c r="I256" s="6" t="str">
        <x:v>Unknown</x:v>
      </x:c>
      <x:c r="J256" s="6" t="str">
        <x:v>Unknown</x:v>
      </x:c>
      <x:c r="K256" s="6" t="str">
        <x:v>Unresolved</x:v>
      </x:c>
      <x:c r="L256" s="7" t="str">
        <x:v>Nocturnix_Master_Services_Catalog_v1.xlsx | 01 - Master Services | row 295</x:v>
      </x:c>
      <x:c r="M256" s="6" t="str"/>
      <x:c r="N256" s="6" t="str"/>
      <x:c r="O256" s="6" t="str">
        <x:v>Pending</x:v>
      </x:c>
      <x:c r="P256" s="7" t="str">
        <x:f>IF(OR(D256="Reviewer Complete",D256="Awaiting Second-Level Approval"),"","Service identity dependency unresolved")</x:f>
        <x:v>Service identity dependency unresolved</x:v>
      </x:c>
      <x:c r="Q256" s="6" t="str">
        <x:v>Yes</x:v>
      </x:c>
      <x:c r="R256" s="7" t="str"/>
    </x:row>
    <x:row r="257">
      <x:c r="A257" s="6" t="str">
        <x:v>MFRX-0256</x:v>
      </x:c>
      <x:c r="B257" s="6" t="str">
        <x:v>SVC000256</x:v>
      </x:c>
      <x:c r="C257" s="6" t="str">
        <x:v>SIDX-0256</x:v>
      </x:c>
      <x:c r="D257" s="6" t="str">
        <x:f>IFERROR(XLOOKUP(C257,'Review Sequence'!C2:C1586,'Review Sequence'!J2:J1586),"Dependency not found")</x:f>
        <x:v>Not Started</x:v>
      </x:c>
      <x:c r="E257" s="6" t="str">
        <x:v>MFR-LEGACY-001</x:v>
      </x:c>
      <x:c r="F257" s="6" t="str">
        <x:v>Unknown</x:v>
      </x:c>
      <x:c r="G257" s="6" t="str"/>
      <x:c r="H257" s="6" t="str"/>
      <x:c r="I257" s="6" t="str">
        <x:v>Unknown</x:v>
      </x:c>
      <x:c r="J257" s="6" t="str">
        <x:v>Unknown</x:v>
      </x:c>
      <x:c r="K257" s="6" t="str">
        <x:v>Unresolved</x:v>
      </x:c>
      <x:c r="L257" s="7" t="str">
        <x:v>Nocturnix_Master_Services_Catalog_v1.xlsx | 01 - Master Services | row 296</x:v>
      </x:c>
      <x:c r="M257" s="6" t="str"/>
      <x:c r="N257" s="6" t="str"/>
      <x:c r="O257" s="6" t="str">
        <x:v>Pending</x:v>
      </x:c>
      <x:c r="P257" s="7" t="str">
        <x:f>IF(OR(D257="Reviewer Complete",D257="Awaiting Second-Level Approval"),"","Service identity dependency unresolved")</x:f>
        <x:v>Service identity dependency unresolved</x:v>
      </x:c>
      <x:c r="Q257" s="6" t="str">
        <x:v>Yes</x:v>
      </x:c>
      <x:c r="R257" s="7" t="str"/>
    </x:row>
    <x:row r="258">
      <x:c r="A258" s="6" t="str">
        <x:v>MFRX-0257</x:v>
      </x:c>
      <x:c r="B258" s="6" t="str">
        <x:v>SVC000257</x:v>
      </x:c>
      <x:c r="C258" s="6" t="str">
        <x:v>SIDX-0257</x:v>
      </x:c>
      <x:c r="D258" s="6" t="str">
        <x:f>IFERROR(XLOOKUP(C258,'Review Sequence'!C2:C1586,'Review Sequence'!J2:J1586),"Dependency not found")</x:f>
        <x:v>Not Started</x:v>
      </x:c>
      <x:c r="E258" s="6" t="str">
        <x:v>MFR-LEGACY-001</x:v>
      </x:c>
      <x:c r="F258" s="6" t="str">
        <x:v>Unknown</x:v>
      </x:c>
      <x:c r="G258" s="6" t="str"/>
      <x:c r="H258" s="6" t="str"/>
      <x:c r="I258" s="6" t="str">
        <x:v>Unknown</x:v>
      </x:c>
      <x:c r="J258" s="6" t="str">
        <x:v>Unknown</x:v>
      </x:c>
      <x:c r="K258" s="6" t="str">
        <x:v>Unresolved</x:v>
      </x:c>
      <x:c r="L258" s="7" t="str">
        <x:v>Nocturnix_Master_Services_Catalog_v1.xlsx | 01 - Master Services | row 297</x:v>
      </x:c>
      <x:c r="M258" s="6" t="str"/>
      <x:c r="N258" s="6" t="str"/>
      <x:c r="O258" s="6" t="str">
        <x:v>Pending</x:v>
      </x:c>
      <x:c r="P258" s="7" t="str">
        <x:f>IF(OR(D258="Reviewer Complete",D258="Awaiting Second-Level Approval"),"","Service identity dependency unresolved")</x:f>
        <x:v>Service identity dependency unresolved</x:v>
      </x:c>
      <x:c r="Q258" s="6" t="str">
        <x:v>Yes</x:v>
      </x:c>
      <x:c r="R258" s="7" t="str"/>
    </x:row>
    <x:row r="259">
      <x:c r="A259" s="6" t="str">
        <x:v>MFRX-0258</x:v>
      </x:c>
      <x:c r="B259" s="6" t="str">
        <x:v>SVC000258</x:v>
      </x:c>
      <x:c r="C259" s="6" t="str">
        <x:v>SIDX-0258</x:v>
      </x:c>
      <x:c r="D259" s="6" t="str">
        <x:f>IFERROR(XLOOKUP(C259,'Review Sequence'!C2:C1586,'Review Sequence'!J2:J1586),"Dependency not found")</x:f>
        <x:v>Not Started</x:v>
      </x:c>
      <x:c r="E259" s="6" t="str">
        <x:v>MFR-LEGACY-001</x:v>
      </x:c>
      <x:c r="F259" s="6" t="str">
        <x:v>Unknown</x:v>
      </x:c>
      <x:c r="G259" s="6" t="str"/>
      <x:c r="H259" s="6" t="str"/>
      <x:c r="I259" s="6" t="str">
        <x:v>Unknown</x:v>
      </x:c>
      <x:c r="J259" s="6" t="str">
        <x:v>Unknown</x:v>
      </x:c>
      <x:c r="K259" s="6" t="str">
        <x:v>Unresolved</x:v>
      </x:c>
      <x:c r="L259" s="7" t="str">
        <x:v>Nocturnix_Master_Services_Catalog_v1.xlsx | 01 - Master Services | row 298</x:v>
      </x:c>
      <x:c r="M259" s="6" t="str"/>
      <x:c r="N259" s="6" t="str"/>
      <x:c r="O259" s="6" t="str">
        <x:v>Pending</x:v>
      </x:c>
      <x:c r="P259" s="7" t="str">
        <x:f>IF(OR(D259="Reviewer Complete",D259="Awaiting Second-Level Approval"),"","Service identity dependency unresolved")</x:f>
        <x:v>Service identity dependency unresolved</x:v>
      </x:c>
      <x:c r="Q259" s="6" t="str">
        <x:v>Yes</x:v>
      </x:c>
      <x:c r="R259" s="7" t="str"/>
    </x:row>
    <x:row r="260">
      <x:c r="A260" s="6" t="str">
        <x:v>MFRX-0259</x:v>
      </x:c>
      <x:c r="B260" s="6" t="str">
        <x:v>SVC000259</x:v>
      </x:c>
      <x:c r="C260" s="6" t="str">
        <x:v>SIDX-0259</x:v>
      </x:c>
      <x:c r="D260" s="6" t="str">
        <x:f>IFERROR(XLOOKUP(C260,'Review Sequence'!C2:C1586,'Review Sequence'!J2:J1586),"Dependency not found")</x:f>
        <x:v>Not Started</x:v>
      </x:c>
      <x:c r="E260" s="6" t="str">
        <x:v>MFR-LEGACY-001</x:v>
      </x:c>
      <x:c r="F260" s="6" t="str">
        <x:v>Unknown</x:v>
      </x:c>
      <x:c r="G260" s="6" t="str"/>
      <x:c r="H260" s="6" t="str"/>
      <x:c r="I260" s="6" t="str">
        <x:v>Unknown</x:v>
      </x:c>
      <x:c r="J260" s="6" t="str">
        <x:v>Unknown</x:v>
      </x:c>
      <x:c r="K260" s="6" t="str">
        <x:v>Unresolved</x:v>
      </x:c>
      <x:c r="L260" s="7" t="str">
        <x:v>Nocturnix_Master_Services_Catalog_v1.xlsx | 01 - Master Services | row 299</x:v>
      </x:c>
      <x:c r="M260" s="6" t="str"/>
      <x:c r="N260" s="6" t="str"/>
      <x:c r="O260" s="6" t="str">
        <x:v>Pending</x:v>
      </x:c>
      <x:c r="P260" s="7" t="str">
        <x:f>IF(OR(D260="Reviewer Complete",D260="Awaiting Second-Level Approval"),"","Service identity dependency unresolved")</x:f>
        <x:v>Service identity dependency unresolved</x:v>
      </x:c>
      <x:c r="Q260" s="6" t="str">
        <x:v>Yes</x:v>
      </x:c>
      <x:c r="R260" s="7" t="str"/>
    </x:row>
    <x:row r="261">
      <x:c r="A261" s="6" t="str">
        <x:v>MFRX-0260</x:v>
      </x:c>
      <x:c r="B261" s="6" t="str">
        <x:v>SVC000260</x:v>
      </x:c>
      <x:c r="C261" s="6" t="str">
        <x:v>SIDX-0260</x:v>
      </x:c>
      <x:c r="D261" s="6" t="str">
        <x:f>IFERROR(XLOOKUP(C261,'Review Sequence'!C2:C1586,'Review Sequence'!J2:J1586),"Dependency not found")</x:f>
        <x:v>Not Started</x:v>
      </x:c>
      <x:c r="E261" s="6" t="str">
        <x:v>MFR-LEGACY-001</x:v>
      </x:c>
      <x:c r="F261" s="6" t="str">
        <x:v>Unknown</x:v>
      </x:c>
      <x:c r="G261" s="6" t="str"/>
      <x:c r="H261" s="6" t="str"/>
      <x:c r="I261" s="6" t="str">
        <x:v>Unknown</x:v>
      </x:c>
      <x:c r="J261" s="6" t="str">
        <x:v>Unknown</x:v>
      </x:c>
      <x:c r="K261" s="6" t="str">
        <x:v>Unresolved</x:v>
      </x:c>
      <x:c r="L261" s="7" t="str">
        <x:v>Nocturnix_Master_Services_Catalog_v1.xlsx | 01 - Master Services | row 300</x:v>
      </x:c>
      <x:c r="M261" s="6" t="str"/>
      <x:c r="N261" s="6" t="str"/>
      <x:c r="O261" s="6" t="str">
        <x:v>Pending</x:v>
      </x:c>
      <x:c r="P261" s="7" t="str">
        <x:f>IF(OR(D261="Reviewer Complete",D261="Awaiting Second-Level Approval"),"","Service identity dependency unresolved")</x:f>
        <x:v>Service identity dependency unresolved</x:v>
      </x:c>
      <x:c r="Q261" s="6" t="str">
        <x:v>Yes</x:v>
      </x:c>
      <x:c r="R261" s="7" t="str"/>
    </x:row>
    <x:row r="262">
      <x:c r="A262" s="6" t="str">
        <x:v>MFRX-0261</x:v>
      </x:c>
      <x:c r="B262" s="6" t="str">
        <x:v>SVC000261</x:v>
      </x:c>
      <x:c r="C262" s="6" t="str">
        <x:v>SIDX-0261</x:v>
      </x:c>
      <x:c r="D262" s="6" t="str">
        <x:f>IFERROR(XLOOKUP(C262,'Review Sequence'!C2:C1586,'Review Sequence'!J2:J1586),"Dependency not found")</x:f>
        <x:v>Not Started</x:v>
      </x:c>
      <x:c r="E262" s="6" t="str">
        <x:v>MFR-LEGACY-001</x:v>
      </x:c>
      <x:c r="F262" s="6" t="str">
        <x:v>Unknown</x:v>
      </x:c>
      <x:c r="G262" s="6" t="str"/>
      <x:c r="H262" s="6" t="str"/>
      <x:c r="I262" s="6" t="str">
        <x:v>Unknown</x:v>
      </x:c>
      <x:c r="J262" s="6" t="str">
        <x:v>Unknown</x:v>
      </x:c>
      <x:c r="K262" s="6" t="str">
        <x:v>Unresolved</x:v>
      </x:c>
      <x:c r="L262" s="7" t="str">
        <x:v>Nocturnix_Master_Services_Catalog_v1.xlsx | 01 - Master Services | row 301</x:v>
      </x:c>
      <x:c r="M262" s="6" t="str"/>
      <x:c r="N262" s="6" t="str"/>
      <x:c r="O262" s="6" t="str">
        <x:v>Pending</x:v>
      </x:c>
      <x:c r="P262" s="7" t="str">
        <x:f>IF(OR(D262="Reviewer Complete",D262="Awaiting Second-Level Approval"),"","Service identity dependency unresolved")</x:f>
        <x:v>Service identity dependency unresolved</x:v>
      </x:c>
      <x:c r="Q262" s="6" t="str">
        <x:v>Yes</x:v>
      </x:c>
      <x:c r="R262" s="7" t="str"/>
    </x:row>
    <x:row r="263">
      <x:c r="A263" s="6" t="str">
        <x:v>MFRX-0262</x:v>
      </x:c>
      <x:c r="B263" s="6" t="str">
        <x:v>SVC000262</x:v>
      </x:c>
      <x:c r="C263" s="6" t="str">
        <x:v>SIDX-0262</x:v>
      </x:c>
      <x:c r="D263" s="6" t="str">
        <x:f>IFERROR(XLOOKUP(C263,'Review Sequence'!C2:C1586,'Review Sequence'!J2:J1586),"Dependency not found")</x:f>
        <x:v>Not Started</x:v>
      </x:c>
      <x:c r="E263" s="6" t="str">
        <x:v>MFR-LEGACY-001</x:v>
      </x:c>
      <x:c r="F263" s="6" t="str">
        <x:v>Unknown</x:v>
      </x:c>
      <x:c r="G263" s="6" t="str"/>
      <x:c r="H263" s="6" t="str"/>
      <x:c r="I263" s="6" t="str">
        <x:v>Unknown</x:v>
      </x:c>
      <x:c r="J263" s="6" t="str">
        <x:v>Unknown</x:v>
      </x:c>
      <x:c r="K263" s="6" t="str">
        <x:v>Unresolved</x:v>
      </x:c>
      <x:c r="L263" s="7" t="str">
        <x:v>Nocturnix_Master_Services_Catalog_v1.xlsx | 01 - Master Services | row 302</x:v>
      </x:c>
      <x:c r="M263" s="6" t="str"/>
      <x:c r="N263" s="6" t="str"/>
      <x:c r="O263" s="6" t="str">
        <x:v>Pending</x:v>
      </x:c>
      <x:c r="P263" s="7" t="str">
        <x:f>IF(OR(D263="Reviewer Complete",D263="Awaiting Second-Level Approval"),"","Service identity dependency unresolved")</x:f>
        <x:v>Service identity dependency unresolved</x:v>
      </x:c>
      <x:c r="Q263" s="6" t="str">
        <x:v>Yes</x:v>
      </x:c>
      <x:c r="R263" s="7" t="str"/>
    </x:row>
    <x:row r="264">
      <x:c r="A264" s="6" t="str">
        <x:v>MFRX-0263</x:v>
      </x:c>
      <x:c r="B264" s="6" t="str">
        <x:v>SVC000263</x:v>
      </x:c>
      <x:c r="C264" s="6" t="str">
        <x:v>SIDX-0263</x:v>
      </x:c>
      <x:c r="D264" s="6" t="str">
        <x:f>IFERROR(XLOOKUP(C264,'Review Sequence'!C2:C1586,'Review Sequence'!J2:J1586),"Dependency not found")</x:f>
        <x:v>Not Started</x:v>
      </x:c>
      <x:c r="E264" s="6" t="str">
        <x:v>MFR-LEGACY-001</x:v>
      </x:c>
      <x:c r="F264" s="6" t="str">
        <x:v>Unknown</x:v>
      </x:c>
      <x:c r="G264" s="6" t="str"/>
      <x:c r="H264" s="6" t="str"/>
      <x:c r="I264" s="6" t="str">
        <x:v>Unknown</x:v>
      </x:c>
      <x:c r="J264" s="6" t="str">
        <x:v>Unknown</x:v>
      </x:c>
      <x:c r="K264" s="6" t="str">
        <x:v>Unresolved</x:v>
      </x:c>
      <x:c r="L264" s="7" t="str">
        <x:v>Nocturnix_Master_Services_Catalog_v1.xlsx | 01 - Master Services | row 303</x:v>
      </x:c>
      <x:c r="M264" s="6" t="str"/>
      <x:c r="N264" s="6" t="str"/>
      <x:c r="O264" s="6" t="str">
        <x:v>Pending</x:v>
      </x:c>
      <x:c r="P264" s="7" t="str">
        <x:f>IF(OR(D264="Reviewer Complete",D264="Awaiting Second-Level Approval"),"","Service identity dependency unresolved")</x:f>
        <x:v>Service identity dependency unresolved</x:v>
      </x:c>
      <x:c r="Q264" s="6" t="str">
        <x:v>Yes</x:v>
      </x:c>
      <x:c r="R264" s="7" t="str"/>
    </x:row>
    <x:row r="265">
      <x:c r="A265" s="6" t="str">
        <x:v>MFRX-0264</x:v>
      </x:c>
      <x:c r="B265" s="6" t="str">
        <x:v>SVC000264</x:v>
      </x:c>
      <x:c r="C265" s="6" t="str">
        <x:v>SIDX-0264</x:v>
      </x:c>
      <x:c r="D265" s="6" t="str">
        <x:f>IFERROR(XLOOKUP(C265,'Review Sequence'!C2:C1586,'Review Sequence'!J2:J1586),"Dependency not found")</x:f>
        <x:v>Not Started</x:v>
      </x:c>
      <x:c r="E265" s="6" t="str">
        <x:v>MFR-LEGACY-001</x:v>
      </x:c>
      <x:c r="F265" s="6" t="str">
        <x:v>Unknown</x:v>
      </x:c>
      <x:c r="G265" s="6" t="str"/>
      <x:c r="H265" s="6" t="str"/>
      <x:c r="I265" s="6" t="str">
        <x:v>Unknown</x:v>
      </x:c>
      <x:c r="J265" s="6" t="str">
        <x:v>Unknown</x:v>
      </x:c>
      <x:c r="K265" s="6" t="str">
        <x:v>Unresolved</x:v>
      </x:c>
      <x:c r="L265" s="7" t="str">
        <x:v>Nocturnix_Master_Services_Catalog_v1.xlsx | 01 - Master Services | row 304</x:v>
      </x:c>
      <x:c r="M265" s="6" t="str"/>
      <x:c r="N265" s="6" t="str"/>
      <x:c r="O265" s="6" t="str">
        <x:v>Pending</x:v>
      </x:c>
      <x:c r="P265" s="7" t="str">
        <x:f>IF(OR(D265="Reviewer Complete",D265="Awaiting Second-Level Approval"),"","Service identity dependency unresolved")</x:f>
        <x:v>Service identity dependency unresolved</x:v>
      </x:c>
      <x:c r="Q265" s="6" t="str">
        <x:v>Yes</x:v>
      </x:c>
      <x:c r="R265" s="7" t="str"/>
    </x:row>
    <x:row r="266">
      <x:c r="A266" s="6" t="str">
        <x:v>MFRX-0265</x:v>
      </x:c>
      <x:c r="B266" s="6" t="str">
        <x:v>SVC000265</x:v>
      </x:c>
      <x:c r="C266" s="6" t="str">
        <x:v>SIDX-0265</x:v>
      </x:c>
      <x:c r="D266" s="6" t="str">
        <x:f>IFERROR(XLOOKUP(C266,'Review Sequence'!C2:C1586,'Review Sequence'!J2:J1586),"Dependency not found")</x:f>
        <x:v>Not Started</x:v>
      </x:c>
      <x:c r="E266" s="6" t="str">
        <x:v>MFR-LEGACY-001</x:v>
      </x:c>
      <x:c r="F266" s="6" t="str">
        <x:v>Unknown</x:v>
      </x:c>
      <x:c r="G266" s="6" t="str"/>
      <x:c r="H266" s="6" t="str"/>
      <x:c r="I266" s="6" t="str">
        <x:v>Unknown</x:v>
      </x:c>
      <x:c r="J266" s="6" t="str">
        <x:v>Unknown</x:v>
      </x:c>
      <x:c r="K266" s="6" t="str">
        <x:v>Unresolved</x:v>
      </x:c>
      <x:c r="L266" s="7" t="str">
        <x:v>Nocturnix_Master_Services_Catalog_v1.xlsx | 01 - Master Services | row 305</x:v>
      </x:c>
      <x:c r="M266" s="6" t="str"/>
      <x:c r="N266" s="6" t="str"/>
      <x:c r="O266" s="6" t="str">
        <x:v>Pending</x:v>
      </x:c>
      <x:c r="P266" s="7" t="str">
        <x:f>IF(OR(D266="Reviewer Complete",D266="Awaiting Second-Level Approval"),"","Service identity dependency unresolved")</x:f>
        <x:v>Service identity dependency unresolved</x:v>
      </x:c>
      <x:c r="Q266" s="6" t="str">
        <x:v>Yes</x:v>
      </x:c>
      <x:c r="R266" s="7" t="str"/>
    </x:row>
    <x:row r="267">
      <x:c r="A267" s="6" t="str">
        <x:v>MFRX-0266</x:v>
      </x:c>
      <x:c r="B267" s="6" t="str">
        <x:v>SVC000266</x:v>
      </x:c>
      <x:c r="C267" s="6" t="str">
        <x:v>SIDX-0266</x:v>
      </x:c>
      <x:c r="D267" s="6" t="str">
        <x:f>IFERROR(XLOOKUP(C267,'Review Sequence'!C2:C1586,'Review Sequence'!J2:J1586),"Dependency not found")</x:f>
        <x:v>Not Started</x:v>
      </x:c>
      <x:c r="E267" s="6" t="str">
        <x:v>MFR-LEGACY-001</x:v>
      </x:c>
      <x:c r="F267" s="6" t="str">
        <x:v>Unknown</x:v>
      </x:c>
      <x:c r="G267" s="6" t="str"/>
      <x:c r="H267" s="6" t="str"/>
      <x:c r="I267" s="6" t="str">
        <x:v>Unknown</x:v>
      </x:c>
      <x:c r="J267" s="6" t="str">
        <x:v>Unknown</x:v>
      </x:c>
      <x:c r="K267" s="6" t="str">
        <x:v>Unresolved</x:v>
      </x:c>
      <x:c r="L267" s="7" t="str">
        <x:v>Nocturnix_Master_Services_Catalog_v1.xlsx | 01 - Master Services | row 306</x:v>
      </x:c>
      <x:c r="M267" s="6" t="str"/>
      <x:c r="N267" s="6" t="str"/>
      <x:c r="O267" s="6" t="str">
        <x:v>Pending</x:v>
      </x:c>
      <x:c r="P267" s="7" t="str">
        <x:f>IF(OR(D267="Reviewer Complete",D267="Awaiting Second-Level Approval"),"","Service identity dependency unresolved")</x:f>
        <x:v>Service identity dependency unresolved</x:v>
      </x:c>
      <x:c r="Q267" s="6" t="str">
        <x:v>Yes</x:v>
      </x:c>
      <x:c r="R267" s="7" t="str"/>
    </x:row>
    <x:row r="268">
      <x:c r="A268" s="6" t="str">
        <x:v>MFRX-0267</x:v>
      </x:c>
      <x:c r="B268" s="6" t="str">
        <x:v>SVC000267</x:v>
      </x:c>
      <x:c r="C268" s="6" t="str">
        <x:v>SIDX-0267</x:v>
      </x:c>
      <x:c r="D268" s="6" t="str">
        <x:f>IFERROR(XLOOKUP(C268,'Review Sequence'!C2:C1586,'Review Sequence'!J2:J1586),"Dependency not found")</x:f>
        <x:v>Not Started</x:v>
      </x:c>
      <x:c r="E268" s="6" t="str">
        <x:v>MFR-LEGACY-001</x:v>
      </x:c>
      <x:c r="F268" s="6" t="str">
        <x:v>Unknown</x:v>
      </x:c>
      <x:c r="G268" s="6" t="str"/>
      <x:c r="H268" s="6" t="str"/>
      <x:c r="I268" s="6" t="str">
        <x:v>Unknown</x:v>
      </x:c>
      <x:c r="J268" s="6" t="str">
        <x:v>Unknown</x:v>
      </x:c>
      <x:c r="K268" s="6" t="str">
        <x:v>Unresolved</x:v>
      </x:c>
      <x:c r="L268" s="7" t="str">
        <x:v>Nocturnix_Master_Services_Catalog_v1.xlsx | 01 - Master Services | row 307</x:v>
      </x:c>
      <x:c r="M268" s="6" t="str"/>
      <x:c r="N268" s="6" t="str"/>
      <x:c r="O268" s="6" t="str">
        <x:v>Pending</x:v>
      </x:c>
      <x:c r="P268" s="7" t="str">
        <x:f>IF(OR(D268="Reviewer Complete",D268="Awaiting Second-Level Approval"),"","Service identity dependency unresolved")</x:f>
        <x:v>Service identity dependency unresolved</x:v>
      </x:c>
      <x:c r="Q268" s="6" t="str">
        <x:v>Yes</x:v>
      </x:c>
      <x:c r="R268" s="7" t="str"/>
    </x:row>
    <x:row r="269">
      <x:c r="A269" s="6" t="str">
        <x:v>MFRX-0268</x:v>
      </x:c>
      <x:c r="B269" s="6" t="str">
        <x:v>SVC000268</x:v>
      </x:c>
      <x:c r="C269" s="6" t="str">
        <x:v>SIDX-0268</x:v>
      </x:c>
      <x:c r="D269" s="6" t="str">
        <x:f>IFERROR(XLOOKUP(C269,'Review Sequence'!C2:C1586,'Review Sequence'!J2:J1586),"Dependency not found")</x:f>
        <x:v>Not Started</x:v>
      </x:c>
      <x:c r="E269" s="6" t="str">
        <x:v>MFR-LEGACY-001</x:v>
      </x:c>
      <x:c r="F269" s="6" t="str">
        <x:v>Unknown</x:v>
      </x:c>
      <x:c r="G269" s="6" t="str"/>
      <x:c r="H269" s="6" t="str"/>
      <x:c r="I269" s="6" t="str">
        <x:v>Unknown</x:v>
      </x:c>
      <x:c r="J269" s="6" t="str">
        <x:v>Unknown</x:v>
      </x:c>
      <x:c r="K269" s="6" t="str">
        <x:v>Unresolved</x:v>
      </x:c>
      <x:c r="L269" s="7" t="str">
        <x:v>Nocturnix_Master_Services_Catalog_v1.xlsx | 01 - Master Services | row 308</x:v>
      </x:c>
      <x:c r="M269" s="6" t="str"/>
      <x:c r="N269" s="6" t="str"/>
      <x:c r="O269" s="6" t="str">
        <x:v>Pending</x:v>
      </x:c>
      <x:c r="P269" s="7" t="str">
        <x:f>IF(OR(D269="Reviewer Complete",D269="Awaiting Second-Level Approval"),"","Service identity dependency unresolved")</x:f>
        <x:v>Service identity dependency unresolved</x:v>
      </x:c>
      <x:c r="Q269" s="6" t="str">
        <x:v>Yes</x:v>
      </x:c>
      <x:c r="R269" s="7" t="str"/>
    </x:row>
    <x:row r="270">
      <x:c r="A270" s="6" t="str">
        <x:v>MFRX-0269</x:v>
      </x:c>
      <x:c r="B270" s="6" t="str">
        <x:v>SVC000269</x:v>
      </x:c>
      <x:c r="C270" s="6" t="str">
        <x:v>SIDX-0269</x:v>
      </x:c>
      <x:c r="D270" s="6" t="str">
        <x:f>IFERROR(XLOOKUP(C270,'Review Sequence'!C2:C1586,'Review Sequence'!J2:J1586),"Dependency not found")</x:f>
        <x:v>Not Started</x:v>
      </x:c>
      <x:c r="E270" s="6" t="str">
        <x:v>MFR-LEGACY-001</x:v>
      </x:c>
      <x:c r="F270" s="6" t="str">
        <x:v>Unknown</x:v>
      </x:c>
      <x:c r="G270" s="6" t="str"/>
      <x:c r="H270" s="6" t="str"/>
      <x:c r="I270" s="6" t="str">
        <x:v>Unknown</x:v>
      </x:c>
      <x:c r="J270" s="6" t="str">
        <x:v>Unknown</x:v>
      </x:c>
      <x:c r="K270" s="6" t="str">
        <x:v>Unresolved</x:v>
      </x:c>
      <x:c r="L270" s="7" t="str">
        <x:v>Nocturnix_Master_Services_Catalog_v1.xlsx | 01 - Master Services | row 309</x:v>
      </x:c>
      <x:c r="M270" s="6" t="str"/>
      <x:c r="N270" s="6" t="str"/>
      <x:c r="O270" s="6" t="str">
        <x:v>Pending</x:v>
      </x:c>
      <x:c r="P270" s="7" t="str">
        <x:f>IF(OR(D270="Reviewer Complete",D270="Awaiting Second-Level Approval"),"","Service identity dependency unresolved")</x:f>
        <x:v>Service identity dependency unresolved</x:v>
      </x:c>
      <x:c r="Q270" s="6" t="str">
        <x:v>Yes</x:v>
      </x:c>
      <x:c r="R270" s="7" t="str"/>
    </x:row>
    <x:row r="271">
      <x:c r="A271" s="6" t="str">
        <x:v>MFRX-0270</x:v>
      </x:c>
      <x:c r="B271" s="6" t="str">
        <x:v>SVC000270</x:v>
      </x:c>
      <x:c r="C271" s="6" t="str">
        <x:v>SIDX-0270</x:v>
      </x:c>
      <x:c r="D271" s="6" t="str">
        <x:f>IFERROR(XLOOKUP(C271,'Review Sequence'!C2:C1586,'Review Sequence'!J2:J1586),"Dependency not found")</x:f>
        <x:v>Not Started</x:v>
      </x:c>
      <x:c r="E271" s="6" t="str">
        <x:v>MFR-LEGACY-001</x:v>
      </x:c>
      <x:c r="F271" s="6" t="str">
        <x:v>Unknown</x:v>
      </x:c>
      <x:c r="G271" s="6" t="str"/>
      <x:c r="H271" s="6" t="str"/>
      <x:c r="I271" s="6" t="str">
        <x:v>Unknown</x:v>
      </x:c>
      <x:c r="J271" s="6" t="str">
        <x:v>Unknown</x:v>
      </x:c>
      <x:c r="K271" s="6" t="str">
        <x:v>Unresolved</x:v>
      </x:c>
      <x:c r="L271" s="7" t="str">
        <x:v>Nocturnix_Master_Services_Catalog_v1.xlsx | 01 - Master Services | row 310</x:v>
      </x:c>
      <x:c r="M271" s="6" t="str"/>
      <x:c r="N271" s="6" t="str"/>
      <x:c r="O271" s="6" t="str">
        <x:v>Pending</x:v>
      </x:c>
      <x:c r="P271" s="7" t="str">
        <x:f>IF(OR(D271="Reviewer Complete",D271="Awaiting Second-Level Approval"),"","Service identity dependency unresolved")</x:f>
        <x:v>Service identity dependency unresolved</x:v>
      </x:c>
      <x:c r="Q271" s="6" t="str">
        <x:v>Yes</x:v>
      </x:c>
      <x:c r="R271" s="7" t="str"/>
    </x:row>
    <x:row r="272">
      <x:c r="A272" s="6" t="str">
        <x:v>MFRX-0271</x:v>
      </x:c>
      <x:c r="B272" s="6" t="str">
        <x:v>SVC000271</x:v>
      </x:c>
      <x:c r="C272" s="6" t="str">
        <x:v>SIDX-0271</x:v>
      </x:c>
      <x:c r="D272" s="6" t="str">
        <x:f>IFERROR(XLOOKUP(C272,'Review Sequence'!C2:C1586,'Review Sequence'!J2:J1586),"Dependency not found")</x:f>
        <x:v>Not Started</x:v>
      </x:c>
      <x:c r="E272" s="6" t="str">
        <x:v>MFR-LEGACY-001</x:v>
      </x:c>
      <x:c r="F272" s="6" t="str">
        <x:v>Unknown</x:v>
      </x:c>
      <x:c r="G272" s="6" t="str"/>
      <x:c r="H272" s="6" t="str"/>
      <x:c r="I272" s="6" t="str">
        <x:v>Unknown</x:v>
      </x:c>
      <x:c r="J272" s="6" t="str">
        <x:v>Unknown</x:v>
      </x:c>
      <x:c r="K272" s="6" t="str">
        <x:v>Unresolved</x:v>
      </x:c>
      <x:c r="L272" s="7" t="str">
        <x:v>Nocturnix_Master_Services_Catalog_v1.xlsx | 01 - Master Services | row 311</x:v>
      </x:c>
      <x:c r="M272" s="6" t="str"/>
      <x:c r="N272" s="6" t="str"/>
      <x:c r="O272" s="6" t="str">
        <x:v>Pending</x:v>
      </x:c>
      <x:c r="P272" s="7" t="str">
        <x:f>IF(OR(D272="Reviewer Complete",D272="Awaiting Second-Level Approval"),"","Service identity dependency unresolved")</x:f>
        <x:v>Service identity dependency unresolved</x:v>
      </x:c>
      <x:c r="Q272" s="6" t="str">
        <x:v>Yes</x:v>
      </x:c>
      <x:c r="R272" s="7" t="str"/>
    </x:row>
    <x:row r="273">
      <x:c r="A273" s="6" t="str">
        <x:v>MFRX-0272</x:v>
      </x:c>
      <x:c r="B273" s="6" t="str">
        <x:v>SVC000272</x:v>
      </x:c>
      <x:c r="C273" s="6" t="str">
        <x:v>SIDX-0272</x:v>
      </x:c>
      <x:c r="D273" s="6" t="str">
        <x:f>IFERROR(XLOOKUP(C273,'Review Sequence'!C2:C1586,'Review Sequence'!J2:J1586),"Dependency not found")</x:f>
        <x:v>Not Started</x:v>
      </x:c>
      <x:c r="E273" s="6" t="str">
        <x:v>MFR-LEGACY-001</x:v>
      </x:c>
      <x:c r="F273" s="6" t="str">
        <x:v>Unknown</x:v>
      </x:c>
      <x:c r="G273" s="6" t="str"/>
      <x:c r="H273" s="6" t="str"/>
      <x:c r="I273" s="6" t="str">
        <x:v>Unknown</x:v>
      </x:c>
      <x:c r="J273" s="6" t="str">
        <x:v>Unknown</x:v>
      </x:c>
      <x:c r="K273" s="6" t="str">
        <x:v>Unresolved</x:v>
      </x:c>
      <x:c r="L273" s="7" t="str">
        <x:v>Nocturnix_Master_Services_Catalog_v1.xlsx | 01 - Master Services | row 312</x:v>
      </x:c>
      <x:c r="M273" s="6" t="str"/>
      <x:c r="N273" s="6" t="str"/>
      <x:c r="O273" s="6" t="str">
        <x:v>Pending</x:v>
      </x:c>
      <x:c r="P273" s="7" t="str">
        <x:f>IF(OR(D273="Reviewer Complete",D273="Awaiting Second-Level Approval"),"","Service identity dependency unresolved")</x:f>
        <x:v>Service identity dependency unresolved</x:v>
      </x:c>
      <x:c r="Q273" s="6" t="str">
        <x:v>Yes</x:v>
      </x:c>
      <x:c r="R273" s="7" t="str"/>
    </x:row>
    <x:row r="274">
      <x:c r="A274" s="6" t="str">
        <x:v>MFRX-0273</x:v>
      </x:c>
      <x:c r="B274" s="6" t="str">
        <x:v>SVC000273</x:v>
      </x:c>
      <x:c r="C274" s="6" t="str">
        <x:v>SIDX-0273</x:v>
      </x:c>
      <x:c r="D274" s="6" t="str">
        <x:f>IFERROR(XLOOKUP(C274,'Review Sequence'!C2:C1586,'Review Sequence'!J2:J1586),"Dependency not found")</x:f>
        <x:v>Not Started</x:v>
      </x:c>
      <x:c r="E274" s="6" t="str">
        <x:v>MFR-LEGACY-001</x:v>
      </x:c>
      <x:c r="F274" s="6" t="str">
        <x:v>Unknown</x:v>
      </x:c>
      <x:c r="G274" s="6" t="str"/>
      <x:c r="H274" s="6" t="str"/>
      <x:c r="I274" s="6" t="str">
        <x:v>Unknown</x:v>
      </x:c>
      <x:c r="J274" s="6" t="str">
        <x:v>Unknown</x:v>
      </x:c>
      <x:c r="K274" s="6" t="str">
        <x:v>Unresolved</x:v>
      </x:c>
      <x:c r="L274" s="7" t="str">
        <x:v>Nocturnix_Master_Services_Catalog_v1.xlsx | 01 - Master Services | row 313</x:v>
      </x:c>
      <x:c r="M274" s="6" t="str"/>
      <x:c r="N274" s="6" t="str"/>
      <x:c r="O274" s="6" t="str">
        <x:v>Pending</x:v>
      </x:c>
      <x:c r="P274" s="7" t="str">
        <x:f>IF(OR(D274="Reviewer Complete",D274="Awaiting Second-Level Approval"),"","Service identity dependency unresolved")</x:f>
        <x:v>Service identity dependency unresolved</x:v>
      </x:c>
      <x:c r="Q274" s="6" t="str">
        <x:v>Yes</x:v>
      </x:c>
      <x:c r="R274" s="7" t="str"/>
    </x:row>
    <x:row r="275">
      <x:c r="A275" s="6" t="str">
        <x:v>MFRX-0274</x:v>
      </x:c>
      <x:c r="B275" s="6" t="str">
        <x:v>SVC000274</x:v>
      </x:c>
      <x:c r="C275" s="6" t="str">
        <x:v>SIDX-0274</x:v>
      </x:c>
      <x:c r="D275" s="6" t="str">
        <x:f>IFERROR(XLOOKUP(C275,'Review Sequence'!C2:C1586,'Review Sequence'!J2:J1586),"Dependency not found")</x:f>
        <x:v>Not Started</x:v>
      </x:c>
      <x:c r="E275" s="6" t="str">
        <x:v>MFR-LEGACY-001</x:v>
      </x:c>
      <x:c r="F275" s="6" t="str">
        <x:v>Unknown</x:v>
      </x:c>
      <x:c r="G275" s="6" t="str"/>
      <x:c r="H275" s="6" t="str"/>
      <x:c r="I275" s="6" t="str">
        <x:v>Unknown</x:v>
      </x:c>
      <x:c r="J275" s="6" t="str">
        <x:v>Unknown</x:v>
      </x:c>
      <x:c r="K275" s="6" t="str">
        <x:v>Unresolved</x:v>
      </x:c>
      <x:c r="L275" s="7" t="str">
        <x:v>Nocturnix_Master_Services_Catalog_v1.xlsx | 01 - Master Services | row 314</x:v>
      </x:c>
      <x:c r="M275" s="6" t="str"/>
      <x:c r="N275" s="6" t="str"/>
      <x:c r="O275" s="6" t="str">
        <x:v>Pending</x:v>
      </x:c>
      <x:c r="P275" s="7" t="str">
        <x:f>IF(OR(D275="Reviewer Complete",D275="Awaiting Second-Level Approval"),"","Service identity dependency unresolved")</x:f>
        <x:v>Service identity dependency unresolved</x:v>
      </x:c>
      <x:c r="Q275" s="6" t="str">
        <x:v>Yes</x:v>
      </x:c>
      <x:c r="R275" s="7" t="str"/>
    </x:row>
    <x:row r="276">
      <x:c r="A276" s="6" t="str">
        <x:v>MFRX-0275</x:v>
      </x:c>
      <x:c r="B276" s="6" t="str">
        <x:v>SVC000275</x:v>
      </x:c>
      <x:c r="C276" s="6" t="str">
        <x:v>SIDX-0275</x:v>
      </x:c>
      <x:c r="D276" s="6" t="str">
        <x:f>IFERROR(XLOOKUP(C276,'Review Sequence'!C2:C1586,'Review Sequence'!J2:J1586),"Dependency not found")</x:f>
        <x:v>Not Started</x:v>
      </x:c>
      <x:c r="E276" s="6" t="str">
        <x:v>MFR-LEGACY-001</x:v>
      </x:c>
      <x:c r="F276" s="6" t="str">
        <x:v>Unknown</x:v>
      </x:c>
      <x:c r="G276" s="6" t="str"/>
      <x:c r="H276" s="6" t="str"/>
      <x:c r="I276" s="6" t="str">
        <x:v>Unknown</x:v>
      </x:c>
      <x:c r="J276" s="6" t="str">
        <x:v>Unknown</x:v>
      </x:c>
      <x:c r="K276" s="6" t="str">
        <x:v>Unresolved</x:v>
      </x:c>
      <x:c r="L276" s="7" t="str">
        <x:v>Nocturnix_Master_Services_Catalog_v1.xlsx | 01 - Master Services | row 315</x:v>
      </x:c>
      <x:c r="M276" s="6" t="str"/>
      <x:c r="N276" s="6" t="str"/>
      <x:c r="O276" s="6" t="str">
        <x:v>Pending</x:v>
      </x:c>
      <x:c r="P276" s="7" t="str">
        <x:f>IF(OR(D276="Reviewer Complete",D276="Awaiting Second-Level Approval"),"","Service identity dependency unresolved")</x:f>
        <x:v>Service identity dependency unresolved</x:v>
      </x:c>
      <x:c r="Q276" s="6" t="str">
        <x:v>Yes</x:v>
      </x:c>
      <x:c r="R276" s="7" t="str"/>
    </x:row>
    <x:row r="277">
      <x:c r="A277" s="6" t="str">
        <x:v>MFRX-0276</x:v>
      </x:c>
      <x:c r="B277" s="6" t="str">
        <x:v>SVC000276</x:v>
      </x:c>
      <x:c r="C277" s="6" t="str">
        <x:v>SIDX-0276</x:v>
      </x:c>
      <x:c r="D277" s="6" t="str">
        <x:f>IFERROR(XLOOKUP(C277,'Review Sequence'!C2:C1586,'Review Sequence'!J2:J1586),"Dependency not found")</x:f>
        <x:v>Not Started</x:v>
      </x:c>
      <x:c r="E277" s="6" t="str">
        <x:v>MFR-LEGACY-001</x:v>
      </x:c>
      <x:c r="F277" s="6" t="str">
        <x:v>Unknown</x:v>
      </x:c>
      <x:c r="G277" s="6" t="str"/>
      <x:c r="H277" s="6" t="str"/>
      <x:c r="I277" s="6" t="str">
        <x:v>Unknown</x:v>
      </x:c>
      <x:c r="J277" s="6" t="str">
        <x:v>Unknown</x:v>
      </x:c>
      <x:c r="K277" s="6" t="str">
        <x:v>Unresolved</x:v>
      </x:c>
      <x:c r="L277" s="7" t="str">
        <x:v>Nocturnix_Master_Services_Catalog_v1.xlsx | 01 - Master Services | row 316</x:v>
      </x:c>
      <x:c r="M277" s="6" t="str"/>
      <x:c r="N277" s="6" t="str"/>
      <x:c r="O277" s="6" t="str">
        <x:v>Pending</x:v>
      </x:c>
      <x:c r="P277" s="7" t="str">
        <x:f>IF(OR(D277="Reviewer Complete",D277="Awaiting Second-Level Approval"),"","Service identity dependency unresolved")</x:f>
        <x:v>Service identity dependency unresolved</x:v>
      </x:c>
      <x:c r="Q277" s="6" t="str">
        <x:v>Yes</x:v>
      </x:c>
      <x:c r="R277" s="7" t="str"/>
    </x:row>
    <x:row r="278">
      <x:c r="A278" s="6" t="str">
        <x:v>MFRX-0277</x:v>
      </x:c>
      <x:c r="B278" s="6" t="str">
        <x:v>SVC000277</x:v>
      </x:c>
      <x:c r="C278" s="6" t="str">
        <x:v>SIDX-0277</x:v>
      </x:c>
      <x:c r="D278" s="6" t="str">
        <x:f>IFERROR(XLOOKUP(C278,'Review Sequence'!C2:C1586,'Review Sequence'!J2:J1586),"Dependency not found")</x:f>
        <x:v>Not Started</x:v>
      </x:c>
      <x:c r="E278" s="6" t="str">
        <x:v>MFR-LEGACY-001</x:v>
      </x:c>
      <x:c r="F278" s="6" t="str">
        <x:v>Unknown</x:v>
      </x:c>
      <x:c r="G278" s="6" t="str"/>
      <x:c r="H278" s="6" t="str"/>
      <x:c r="I278" s="6" t="str">
        <x:v>Unknown</x:v>
      </x:c>
      <x:c r="J278" s="6" t="str">
        <x:v>Unknown</x:v>
      </x:c>
      <x:c r="K278" s="6" t="str">
        <x:v>Unresolved</x:v>
      </x:c>
      <x:c r="L278" s="7" t="str">
        <x:v>Nocturnix_Master_Services_Catalog_v1.xlsx | 01 - Master Services | row 317</x:v>
      </x:c>
      <x:c r="M278" s="6" t="str"/>
      <x:c r="N278" s="6" t="str"/>
      <x:c r="O278" s="6" t="str">
        <x:v>Pending</x:v>
      </x:c>
      <x:c r="P278" s="7" t="str">
        <x:f>IF(OR(D278="Reviewer Complete",D278="Awaiting Second-Level Approval"),"","Service identity dependency unresolved")</x:f>
        <x:v>Service identity dependency unresolved</x:v>
      </x:c>
      <x:c r="Q278" s="6" t="str">
        <x:v>Yes</x:v>
      </x:c>
      <x:c r="R278" s="7" t="str"/>
    </x:row>
    <x:row r="279">
      <x:c r="A279" s="6" t="str">
        <x:v>MFRX-0278</x:v>
      </x:c>
      <x:c r="B279" s="6" t="str">
        <x:v>SVC000278</x:v>
      </x:c>
      <x:c r="C279" s="6" t="str">
        <x:v>SIDX-0278</x:v>
      </x:c>
      <x:c r="D279" s="6" t="str">
        <x:f>IFERROR(XLOOKUP(C279,'Review Sequence'!C2:C1586,'Review Sequence'!J2:J1586),"Dependency not found")</x:f>
        <x:v>Not Started</x:v>
      </x:c>
      <x:c r="E279" s="6" t="str">
        <x:v>MFR-LEGACY-001</x:v>
      </x:c>
      <x:c r="F279" s="6" t="str">
        <x:v>Unknown</x:v>
      </x:c>
      <x:c r="G279" s="6" t="str"/>
      <x:c r="H279" s="6" t="str"/>
      <x:c r="I279" s="6" t="str">
        <x:v>Unknown</x:v>
      </x:c>
      <x:c r="J279" s="6" t="str">
        <x:v>Unknown</x:v>
      </x:c>
      <x:c r="K279" s="6" t="str">
        <x:v>Unresolved</x:v>
      </x:c>
      <x:c r="L279" s="7" t="str">
        <x:v>Nocturnix_Master_Services_Catalog_v1.xlsx | 01 - Master Services | row 318</x:v>
      </x:c>
      <x:c r="M279" s="6" t="str"/>
      <x:c r="N279" s="6" t="str"/>
      <x:c r="O279" s="6" t="str">
        <x:v>Pending</x:v>
      </x:c>
      <x:c r="P279" s="7" t="str">
        <x:f>IF(OR(D279="Reviewer Complete",D279="Awaiting Second-Level Approval"),"","Service identity dependency unresolved")</x:f>
        <x:v>Service identity dependency unresolved</x:v>
      </x:c>
      <x:c r="Q279" s="6" t="str">
        <x:v>Yes</x:v>
      </x:c>
      <x:c r="R279" s="7" t="str"/>
    </x:row>
    <x:row r="280">
      <x:c r="A280" s="6" t="str">
        <x:v>MFRX-0279</x:v>
      </x:c>
      <x:c r="B280" s="6" t="str">
        <x:v>SVC000279</x:v>
      </x:c>
      <x:c r="C280" s="6" t="str">
        <x:v>SIDX-0279</x:v>
      </x:c>
      <x:c r="D280" s="6" t="str">
        <x:f>IFERROR(XLOOKUP(C280,'Review Sequence'!C2:C1586,'Review Sequence'!J2:J1586),"Dependency not found")</x:f>
        <x:v>Not Started</x:v>
      </x:c>
      <x:c r="E280" s="6" t="str">
        <x:v>MFR-LEGACY-001</x:v>
      </x:c>
      <x:c r="F280" s="6" t="str">
        <x:v>Unknown</x:v>
      </x:c>
      <x:c r="G280" s="6" t="str"/>
      <x:c r="H280" s="6" t="str"/>
      <x:c r="I280" s="6" t="str">
        <x:v>Unknown</x:v>
      </x:c>
      <x:c r="J280" s="6" t="str">
        <x:v>Unknown</x:v>
      </x:c>
      <x:c r="K280" s="6" t="str">
        <x:v>Unresolved</x:v>
      </x:c>
      <x:c r="L280" s="7" t="str">
        <x:v>Nocturnix_Master_Services_Catalog_v1.xlsx | 01 - Master Services | row 319</x:v>
      </x:c>
      <x:c r="M280" s="6" t="str"/>
      <x:c r="N280" s="6" t="str"/>
      <x:c r="O280" s="6" t="str">
        <x:v>Pending</x:v>
      </x:c>
      <x:c r="P280" s="7" t="str">
        <x:f>IF(OR(D280="Reviewer Complete",D280="Awaiting Second-Level Approval"),"","Service identity dependency unresolved")</x:f>
        <x:v>Service identity dependency unresolved</x:v>
      </x:c>
      <x:c r="Q280" s="6" t="str">
        <x:v>Yes</x:v>
      </x:c>
      <x:c r="R280" s="7" t="str"/>
    </x:row>
    <x:row r="281">
      <x:c r="A281" s="6" t="str">
        <x:v>MFRX-0280</x:v>
      </x:c>
      <x:c r="B281" s="6" t="str">
        <x:v>SVC000280</x:v>
      </x:c>
      <x:c r="C281" s="6" t="str">
        <x:v>SIDX-0280</x:v>
      </x:c>
      <x:c r="D281" s="6" t="str">
        <x:f>IFERROR(XLOOKUP(C281,'Review Sequence'!C2:C1586,'Review Sequence'!J2:J1586),"Dependency not found")</x:f>
        <x:v>Not Started</x:v>
      </x:c>
      <x:c r="E281" s="6" t="str">
        <x:v>MFR-LEGACY-001</x:v>
      </x:c>
      <x:c r="F281" s="6" t="str">
        <x:v>Unknown</x:v>
      </x:c>
      <x:c r="G281" s="6" t="str"/>
      <x:c r="H281" s="6" t="str"/>
      <x:c r="I281" s="6" t="str">
        <x:v>Unknown</x:v>
      </x:c>
      <x:c r="J281" s="6" t="str">
        <x:v>Unknown</x:v>
      </x:c>
      <x:c r="K281" s="6" t="str">
        <x:v>Unresolved</x:v>
      </x:c>
      <x:c r="L281" s="7" t="str">
        <x:v>Nocturnix_Master_Services_Catalog_v1.xlsx | 01 - Master Services | row 320</x:v>
      </x:c>
      <x:c r="M281" s="6" t="str"/>
      <x:c r="N281" s="6" t="str"/>
      <x:c r="O281" s="6" t="str">
        <x:v>Pending</x:v>
      </x:c>
      <x:c r="P281" s="7" t="str">
        <x:f>IF(OR(D281="Reviewer Complete",D281="Awaiting Second-Level Approval"),"","Service identity dependency unresolved")</x:f>
        <x:v>Service identity dependency unresolved</x:v>
      </x:c>
      <x:c r="Q281" s="6" t="str">
        <x:v>Yes</x:v>
      </x:c>
      <x:c r="R281" s="7" t="str"/>
    </x:row>
    <x:row r="282">
      <x:c r="A282" s="6" t="str">
        <x:v>MFRX-0281</x:v>
      </x:c>
      <x:c r="B282" s="6" t="str">
        <x:v>SVC000281</x:v>
      </x:c>
      <x:c r="C282" s="6" t="str">
        <x:v>SIDX-0281</x:v>
      </x:c>
      <x:c r="D282" s="6" t="str">
        <x:f>IFERROR(XLOOKUP(C282,'Review Sequence'!C2:C1586,'Review Sequence'!J2:J1586),"Dependency not found")</x:f>
        <x:v>Not Started</x:v>
      </x:c>
      <x:c r="E282" s="6" t="str">
        <x:v>MFR-LEGACY-001</x:v>
      </x:c>
      <x:c r="F282" s="6" t="str">
        <x:v>Unknown</x:v>
      </x:c>
      <x:c r="G282" s="6" t="str"/>
      <x:c r="H282" s="6" t="str"/>
      <x:c r="I282" s="6" t="str">
        <x:v>Unknown</x:v>
      </x:c>
      <x:c r="J282" s="6" t="str">
        <x:v>Unknown</x:v>
      </x:c>
      <x:c r="K282" s="6" t="str">
        <x:v>Unresolved</x:v>
      </x:c>
      <x:c r="L282" s="7" t="str">
        <x:v>Nocturnix_Master_Services_Catalog_v1.xlsx | 01 - Master Services | row 321</x:v>
      </x:c>
      <x:c r="M282" s="6" t="str"/>
      <x:c r="N282" s="6" t="str"/>
      <x:c r="O282" s="6" t="str">
        <x:v>Pending</x:v>
      </x:c>
      <x:c r="P282" s="7" t="str">
        <x:f>IF(OR(D282="Reviewer Complete",D282="Awaiting Second-Level Approval"),"","Service identity dependency unresolved")</x:f>
        <x:v>Service identity dependency unresolved</x:v>
      </x:c>
      <x:c r="Q282" s="6" t="str">
        <x:v>Yes</x:v>
      </x:c>
      <x:c r="R282" s="7" t="str"/>
    </x:row>
    <x:row r="283">
      <x:c r="A283" s="6" t="str">
        <x:v>MFRX-0282</x:v>
      </x:c>
      <x:c r="B283" s="6" t="str">
        <x:v>SVC000282</x:v>
      </x:c>
      <x:c r="C283" s="6" t="str">
        <x:v>SIDX-0282</x:v>
      </x:c>
      <x:c r="D283" s="6" t="str">
        <x:f>IFERROR(XLOOKUP(C283,'Review Sequence'!C2:C1586,'Review Sequence'!J2:J1586),"Dependency not found")</x:f>
        <x:v>Not Started</x:v>
      </x:c>
      <x:c r="E283" s="6" t="str">
        <x:v>MFR-LEGACY-001</x:v>
      </x:c>
      <x:c r="F283" s="6" t="str">
        <x:v>Unknown</x:v>
      </x:c>
      <x:c r="G283" s="6" t="str"/>
      <x:c r="H283" s="6" t="str"/>
      <x:c r="I283" s="6" t="str">
        <x:v>Unknown</x:v>
      </x:c>
      <x:c r="J283" s="6" t="str">
        <x:v>Unknown</x:v>
      </x:c>
      <x:c r="K283" s="6" t="str">
        <x:v>Unresolved</x:v>
      </x:c>
      <x:c r="L283" s="7" t="str">
        <x:v>Nocturnix_Master_Services_Catalog_v1.xlsx | 01 - Master Services | row 322</x:v>
      </x:c>
      <x:c r="M283" s="6" t="str"/>
      <x:c r="N283" s="6" t="str"/>
      <x:c r="O283" s="6" t="str">
        <x:v>Pending</x:v>
      </x:c>
      <x:c r="P283" s="7" t="str">
        <x:f>IF(OR(D283="Reviewer Complete",D283="Awaiting Second-Level Approval"),"","Service identity dependency unresolved")</x:f>
        <x:v>Service identity dependency unresolved</x:v>
      </x:c>
      <x:c r="Q283" s="6" t="str">
        <x:v>Yes</x:v>
      </x:c>
      <x:c r="R283" s="7" t="str"/>
    </x:row>
    <x:row r="284">
      <x:c r="A284" s="6" t="str">
        <x:v>MFRX-0283</x:v>
      </x:c>
      <x:c r="B284" s="6" t="str">
        <x:v>SVC000283</x:v>
      </x:c>
      <x:c r="C284" s="6" t="str">
        <x:v>SIDX-0283</x:v>
      </x:c>
      <x:c r="D284" s="6" t="str">
        <x:f>IFERROR(XLOOKUP(C284,'Review Sequence'!C2:C1586,'Review Sequence'!J2:J1586),"Dependency not found")</x:f>
        <x:v>Not Started</x:v>
      </x:c>
      <x:c r="E284" s="6" t="str">
        <x:v>MFR-LEGACY-001</x:v>
      </x:c>
      <x:c r="F284" s="6" t="str">
        <x:v>Unknown</x:v>
      </x:c>
      <x:c r="G284" s="6" t="str"/>
      <x:c r="H284" s="6" t="str"/>
      <x:c r="I284" s="6" t="str">
        <x:v>Unknown</x:v>
      </x:c>
      <x:c r="J284" s="6" t="str">
        <x:v>Unknown</x:v>
      </x:c>
      <x:c r="K284" s="6" t="str">
        <x:v>Unresolved</x:v>
      </x:c>
      <x:c r="L284" s="7" t="str">
        <x:v>Nocturnix_Master_Services_Catalog_v1.xlsx | 01 - Master Services | row 323</x:v>
      </x:c>
      <x:c r="M284" s="6" t="str"/>
      <x:c r="N284" s="6" t="str"/>
      <x:c r="O284" s="6" t="str">
        <x:v>Pending</x:v>
      </x:c>
      <x:c r="P284" s="7" t="str">
        <x:f>IF(OR(D284="Reviewer Complete",D284="Awaiting Second-Level Approval"),"","Service identity dependency unresolved")</x:f>
        <x:v>Service identity dependency unresolved</x:v>
      </x:c>
      <x:c r="Q284" s="6" t="str">
        <x:v>Yes</x:v>
      </x:c>
      <x:c r="R284" s="7" t="str"/>
    </x:row>
    <x:row r="285">
      <x:c r="A285" s="6" t="str">
        <x:v>MFRX-0284</x:v>
      </x:c>
      <x:c r="B285" s="6" t="str">
        <x:v>SVC000284</x:v>
      </x:c>
      <x:c r="C285" s="6" t="str">
        <x:v>SIDX-0284</x:v>
      </x:c>
      <x:c r="D285" s="6" t="str">
        <x:f>IFERROR(XLOOKUP(C285,'Review Sequence'!C2:C1586,'Review Sequence'!J2:J1586),"Dependency not found")</x:f>
        <x:v>Not Started</x:v>
      </x:c>
      <x:c r="E285" s="6" t="str">
        <x:v>MFR-LEGACY-001</x:v>
      </x:c>
      <x:c r="F285" s="6" t="str">
        <x:v>Unknown</x:v>
      </x:c>
      <x:c r="G285" s="6" t="str"/>
      <x:c r="H285" s="6" t="str"/>
      <x:c r="I285" s="6" t="str">
        <x:v>Unknown</x:v>
      </x:c>
      <x:c r="J285" s="6" t="str">
        <x:v>Unknown</x:v>
      </x:c>
      <x:c r="K285" s="6" t="str">
        <x:v>Unresolved</x:v>
      </x:c>
      <x:c r="L285" s="7" t="str">
        <x:v>Nocturnix_Master_Services_Catalog_v1.xlsx | 01 - Master Services | row 324</x:v>
      </x:c>
      <x:c r="M285" s="6" t="str"/>
      <x:c r="N285" s="6" t="str"/>
      <x:c r="O285" s="6" t="str">
        <x:v>Pending</x:v>
      </x:c>
      <x:c r="P285" s="7" t="str">
        <x:f>IF(OR(D285="Reviewer Complete",D285="Awaiting Second-Level Approval"),"","Service identity dependency unresolved")</x:f>
        <x:v>Service identity dependency unresolved</x:v>
      </x:c>
      <x:c r="Q285" s="6" t="str">
        <x:v>Yes</x:v>
      </x:c>
      <x:c r="R285" s="7" t="str"/>
    </x:row>
    <x:row r="286">
      <x:c r="A286" s="6" t="str">
        <x:v>MFRX-0285</x:v>
      </x:c>
      <x:c r="B286" s="6" t="str">
        <x:v>SVC000285</x:v>
      </x:c>
      <x:c r="C286" s="6" t="str">
        <x:v>SIDX-0285</x:v>
      </x:c>
      <x:c r="D286" s="6" t="str">
        <x:f>IFERROR(XLOOKUP(C286,'Review Sequence'!C2:C1586,'Review Sequence'!J2:J1586),"Dependency not found")</x:f>
        <x:v>Not Started</x:v>
      </x:c>
      <x:c r="E286" s="6" t="str">
        <x:v>MFR-LEGACY-001</x:v>
      </x:c>
      <x:c r="F286" s="6" t="str">
        <x:v>Unknown</x:v>
      </x:c>
      <x:c r="G286" s="6" t="str"/>
      <x:c r="H286" s="6" t="str"/>
      <x:c r="I286" s="6" t="str">
        <x:v>Unknown</x:v>
      </x:c>
      <x:c r="J286" s="6" t="str">
        <x:v>Unknown</x:v>
      </x:c>
      <x:c r="K286" s="6" t="str">
        <x:v>Unresolved</x:v>
      </x:c>
      <x:c r="L286" s="7" t="str">
        <x:v>Nocturnix_Master_Services_Catalog_v1.xlsx | 01 - Master Services | row 325</x:v>
      </x:c>
      <x:c r="M286" s="6" t="str"/>
      <x:c r="N286" s="6" t="str"/>
      <x:c r="O286" s="6" t="str">
        <x:v>Pending</x:v>
      </x:c>
      <x:c r="P286" s="7" t="str">
        <x:f>IF(OR(D286="Reviewer Complete",D286="Awaiting Second-Level Approval"),"","Service identity dependency unresolved")</x:f>
        <x:v>Service identity dependency unresolved</x:v>
      </x:c>
      <x:c r="Q286" s="6" t="str">
        <x:v>Yes</x:v>
      </x:c>
      <x:c r="R286" s="7" t="str"/>
    </x:row>
    <x:row r="287">
      <x:c r="A287" s="6" t="str">
        <x:v>MFRX-0286</x:v>
      </x:c>
      <x:c r="B287" s="6" t="str">
        <x:v>SVC000286</x:v>
      </x:c>
      <x:c r="C287" s="6" t="str">
        <x:v>SIDX-0286</x:v>
      </x:c>
      <x:c r="D287" s="6" t="str">
        <x:f>IFERROR(XLOOKUP(C287,'Review Sequence'!C2:C1586,'Review Sequence'!J2:J1586),"Dependency not found")</x:f>
        <x:v>Not Started</x:v>
      </x:c>
      <x:c r="E287" s="6" t="str">
        <x:v>MFR-LEGACY-001</x:v>
      </x:c>
      <x:c r="F287" s="6" t="str">
        <x:v>Unknown</x:v>
      </x:c>
      <x:c r="G287" s="6" t="str"/>
      <x:c r="H287" s="6" t="str"/>
      <x:c r="I287" s="6" t="str">
        <x:v>Unknown</x:v>
      </x:c>
      <x:c r="J287" s="6" t="str">
        <x:v>Unknown</x:v>
      </x:c>
      <x:c r="K287" s="6" t="str">
        <x:v>Unresolved</x:v>
      </x:c>
      <x:c r="L287" s="7" t="str">
        <x:v>Nocturnix_Master_Services_Catalog_v1.xlsx | 01 - Master Services | row 326</x:v>
      </x:c>
      <x:c r="M287" s="6" t="str"/>
      <x:c r="N287" s="6" t="str"/>
      <x:c r="O287" s="6" t="str">
        <x:v>Pending</x:v>
      </x:c>
      <x:c r="P287" s="7" t="str">
        <x:f>IF(OR(D287="Reviewer Complete",D287="Awaiting Second-Level Approval"),"","Service identity dependency unresolved")</x:f>
        <x:v>Service identity dependency unresolved</x:v>
      </x:c>
      <x:c r="Q287" s="6" t="str">
        <x:v>Yes</x:v>
      </x:c>
      <x:c r="R287" s="7" t="str"/>
    </x:row>
    <x:row r="288">
      <x:c r="A288" s="6" t="str">
        <x:v>MFRX-0287</x:v>
      </x:c>
      <x:c r="B288" s="6" t="str">
        <x:v>SVC000287</x:v>
      </x:c>
      <x:c r="C288" s="6" t="str">
        <x:v>SIDX-0287</x:v>
      </x:c>
      <x:c r="D288" s="6" t="str">
        <x:f>IFERROR(XLOOKUP(C288,'Review Sequence'!C2:C1586,'Review Sequence'!J2:J1586),"Dependency not found")</x:f>
        <x:v>Not Started</x:v>
      </x:c>
      <x:c r="E288" s="6" t="str">
        <x:v>MFR-LEGACY-001</x:v>
      </x:c>
      <x:c r="F288" s="6" t="str">
        <x:v>Unknown</x:v>
      </x:c>
      <x:c r="G288" s="6" t="str"/>
      <x:c r="H288" s="6" t="str"/>
      <x:c r="I288" s="6" t="str">
        <x:v>Unknown</x:v>
      </x:c>
      <x:c r="J288" s="6" t="str">
        <x:v>Unknown</x:v>
      </x:c>
      <x:c r="K288" s="6" t="str">
        <x:v>Unresolved</x:v>
      </x:c>
      <x:c r="L288" s="7" t="str">
        <x:v>Nocturnix_Master_Services_Catalog_v1.xlsx | 01 - Master Services | row 327</x:v>
      </x:c>
      <x:c r="M288" s="6" t="str"/>
      <x:c r="N288" s="6" t="str"/>
      <x:c r="O288" s="6" t="str">
        <x:v>Pending</x:v>
      </x:c>
      <x:c r="P288" s="7" t="str">
        <x:f>IF(OR(D288="Reviewer Complete",D288="Awaiting Second-Level Approval"),"","Service identity dependency unresolved")</x:f>
        <x:v>Service identity dependency unresolved</x:v>
      </x:c>
      <x:c r="Q288" s="6" t="str">
        <x:v>Yes</x:v>
      </x:c>
      <x:c r="R288" s="7" t="str"/>
    </x:row>
    <x:row r="289">
      <x:c r="A289" s="6" t="str">
        <x:v>MFRX-0288</x:v>
      </x:c>
      <x:c r="B289" s="6" t="str">
        <x:v>SVC000288</x:v>
      </x:c>
      <x:c r="C289" s="6" t="str">
        <x:v>SIDX-0288</x:v>
      </x:c>
      <x:c r="D289" s="6" t="str">
        <x:f>IFERROR(XLOOKUP(C289,'Review Sequence'!C2:C1586,'Review Sequence'!J2:J1586),"Dependency not found")</x:f>
        <x:v>Not Started</x:v>
      </x:c>
      <x:c r="E289" s="6" t="str">
        <x:v>MFR-LEGACY-001</x:v>
      </x:c>
      <x:c r="F289" s="6" t="str">
        <x:v>Unknown</x:v>
      </x:c>
      <x:c r="G289" s="6" t="str"/>
      <x:c r="H289" s="6" t="str"/>
      <x:c r="I289" s="6" t="str">
        <x:v>Unknown</x:v>
      </x:c>
      <x:c r="J289" s="6" t="str">
        <x:v>Unknown</x:v>
      </x:c>
      <x:c r="K289" s="6" t="str">
        <x:v>Unresolved</x:v>
      </x:c>
      <x:c r="L289" s="7" t="str">
        <x:v>Nocturnix_Master_Services_Catalog_v1.xlsx | 01 - Master Services | row 328</x:v>
      </x:c>
      <x:c r="M289" s="6" t="str"/>
      <x:c r="N289" s="6" t="str"/>
      <x:c r="O289" s="6" t="str">
        <x:v>Pending</x:v>
      </x:c>
      <x:c r="P289" s="7" t="str">
        <x:f>IF(OR(D289="Reviewer Complete",D289="Awaiting Second-Level Approval"),"","Service identity dependency unresolved")</x:f>
        <x:v>Service identity dependency unresolved</x:v>
      </x:c>
      <x:c r="Q289" s="6" t="str">
        <x:v>Yes</x:v>
      </x:c>
      <x:c r="R289" s="7" t="str"/>
    </x:row>
    <x:row r="290">
      <x:c r="A290" s="6" t="str">
        <x:v>MFRX-0289</x:v>
      </x:c>
      <x:c r="B290" s="6" t="str">
        <x:v>SVC000289</x:v>
      </x:c>
      <x:c r="C290" s="6" t="str">
        <x:v>SIDX-0289</x:v>
      </x:c>
      <x:c r="D290" s="6" t="str">
        <x:f>IFERROR(XLOOKUP(C290,'Review Sequence'!C2:C1586,'Review Sequence'!J2:J1586),"Dependency not found")</x:f>
        <x:v>Not Started</x:v>
      </x:c>
      <x:c r="E290" s="6" t="str">
        <x:v>MFR-LEGACY-001</x:v>
      </x:c>
      <x:c r="F290" s="6" t="str">
        <x:v>Unknown</x:v>
      </x:c>
      <x:c r="G290" s="6" t="str"/>
      <x:c r="H290" s="6" t="str"/>
      <x:c r="I290" s="6" t="str">
        <x:v>Unknown</x:v>
      </x:c>
      <x:c r="J290" s="6" t="str">
        <x:v>Unknown</x:v>
      </x:c>
      <x:c r="K290" s="6" t="str">
        <x:v>Unresolved</x:v>
      </x:c>
      <x:c r="L290" s="7" t="str">
        <x:v>Nocturnix_Master_Services_Catalog_v1.xlsx | 01 - Master Services | row 329</x:v>
      </x:c>
      <x:c r="M290" s="6" t="str"/>
      <x:c r="N290" s="6" t="str"/>
      <x:c r="O290" s="6" t="str">
        <x:v>Pending</x:v>
      </x:c>
      <x:c r="P290" s="7" t="str">
        <x:f>IF(OR(D290="Reviewer Complete",D290="Awaiting Second-Level Approval"),"","Service identity dependency unresolved")</x:f>
        <x:v>Service identity dependency unresolved</x:v>
      </x:c>
      <x:c r="Q290" s="6" t="str">
        <x:v>Yes</x:v>
      </x:c>
      <x:c r="R290" s="7" t="str"/>
    </x:row>
    <x:row r="291">
      <x:c r="A291" s="6" t="str">
        <x:v>MFRX-0290</x:v>
      </x:c>
      <x:c r="B291" s="6" t="str">
        <x:v>SVC000290</x:v>
      </x:c>
      <x:c r="C291" s="6" t="str">
        <x:v>SIDX-0290</x:v>
      </x:c>
      <x:c r="D291" s="6" t="str">
        <x:f>IFERROR(XLOOKUP(C291,'Review Sequence'!C2:C1586,'Review Sequence'!J2:J1586),"Dependency not found")</x:f>
        <x:v>Not Started</x:v>
      </x:c>
      <x:c r="E291" s="6" t="str">
        <x:v>MFR-LEGACY-001</x:v>
      </x:c>
      <x:c r="F291" s="6" t="str">
        <x:v>Unknown</x:v>
      </x:c>
      <x:c r="G291" s="6" t="str"/>
      <x:c r="H291" s="6" t="str"/>
      <x:c r="I291" s="6" t="str">
        <x:v>Unknown</x:v>
      </x:c>
      <x:c r="J291" s="6" t="str">
        <x:v>Unknown</x:v>
      </x:c>
      <x:c r="K291" s="6" t="str">
        <x:v>Unresolved</x:v>
      </x:c>
      <x:c r="L291" s="7" t="str">
        <x:v>Nocturnix_Master_Services_Catalog_v1.xlsx | 01 - Master Services | row 330</x:v>
      </x:c>
      <x:c r="M291" s="6" t="str"/>
      <x:c r="N291" s="6" t="str"/>
      <x:c r="O291" s="6" t="str">
        <x:v>Pending</x:v>
      </x:c>
      <x:c r="P291" s="7" t="str">
        <x:f>IF(OR(D291="Reviewer Complete",D291="Awaiting Second-Level Approval"),"","Service identity dependency unresolved")</x:f>
        <x:v>Service identity dependency unresolved</x:v>
      </x:c>
      <x:c r="Q291" s="6" t="str">
        <x:v>Yes</x:v>
      </x:c>
      <x:c r="R291" s="7" t="str"/>
    </x:row>
    <x:row r="292">
      <x:c r="A292" s="6" t="str">
        <x:v>MFRX-0291</x:v>
      </x:c>
      <x:c r="B292" s="6" t="str">
        <x:v>SVC000291</x:v>
      </x:c>
      <x:c r="C292" s="6" t="str">
        <x:v>SIDX-0291</x:v>
      </x:c>
      <x:c r="D292" s="6" t="str">
        <x:f>IFERROR(XLOOKUP(C292,'Review Sequence'!C2:C1586,'Review Sequence'!J2:J1586),"Dependency not found")</x:f>
        <x:v>Not Started</x:v>
      </x:c>
      <x:c r="E292" s="6" t="str">
        <x:v>MFR-LEGACY-001</x:v>
      </x:c>
      <x:c r="F292" s="6" t="str">
        <x:v>Unknown</x:v>
      </x:c>
      <x:c r="G292" s="6" t="str"/>
      <x:c r="H292" s="6" t="str"/>
      <x:c r="I292" s="6" t="str">
        <x:v>Unknown</x:v>
      </x:c>
      <x:c r="J292" s="6" t="str">
        <x:v>Unknown</x:v>
      </x:c>
      <x:c r="K292" s="6" t="str">
        <x:v>Unresolved</x:v>
      </x:c>
      <x:c r="L292" s="7" t="str">
        <x:v>Nocturnix_Master_Services_Catalog_v1.xlsx | 01 - Master Services | row 331</x:v>
      </x:c>
      <x:c r="M292" s="6" t="str"/>
      <x:c r="N292" s="6" t="str"/>
      <x:c r="O292" s="6" t="str">
        <x:v>Pending</x:v>
      </x:c>
      <x:c r="P292" s="7" t="str">
        <x:f>IF(OR(D292="Reviewer Complete",D292="Awaiting Second-Level Approval"),"","Service identity dependency unresolved")</x:f>
        <x:v>Service identity dependency unresolved</x:v>
      </x:c>
      <x:c r="Q292" s="6" t="str">
        <x:v>Yes</x:v>
      </x:c>
      <x:c r="R292" s="7" t="str"/>
    </x:row>
    <x:row r="293">
      <x:c r="A293" s="6" t="str">
        <x:v>MFRX-0292</x:v>
      </x:c>
      <x:c r="B293" s="6" t="str">
        <x:v>SVC000292</x:v>
      </x:c>
      <x:c r="C293" s="6" t="str">
        <x:v>SIDX-0292</x:v>
      </x:c>
      <x:c r="D293" s="6" t="str">
        <x:f>IFERROR(XLOOKUP(C293,'Review Sequence'!C2:C1586,'Review Sequence'!J2:J1586),"Dependency not found")</x:f>
        <x:v>Not Started</x:v>
      </x:c>
      <x:c r="E293" s="6" t="str">
        <x:v>MFR-LEGACY-001</x:v>
      </x:c>
      <x:c r="F293" s="6" t="str">
        <x:v>Unknown</x:v>
      </x:c>
      <x:c r="G293" s="6" t="str"/>
      <x:c r="H293" s="6" t="str"/>
      <x:c r="I293" s="6" t="str">
        <x:v>Unknown</x:v>
      </x:c>
      <x:c r="J293" s="6" t="str">
        <x:v>Unknown</x:v>
      </x:c>
      <x:c r="K293" s="6" t="str">
        <x:v>Unresolved</x:v>
      </x:c>
      <x:c r="L293" s="7" t="str">
        <x:v>Nocturnix_Master_Services_Catalog_v1.xlsx | 01 - Master Services | row 332</x:v>
      </x:c>
      <x:c r="M293" s="6" t="str"/>
      <x:c r="N293" s="6" t="str"/>
      <x:c r="O293" s="6" t="str">
        <x:v>Pending</x:v>
      </x:c>
      <x:c r="P293" s="7" t="str">
        <x:f>IF(OR(D293="Reviewer Complete",D293="Awaiting Second-Level Approval"),"","Service identity dependency unresolved")</x:f>
        <x:v>Service identity dependency unresolved</x:v>
      </x:c>
      <x:c r="Q293" s="6" t="str">
        <x:v>Yes</x:v>
      </x:c>
      <x:c r="R293" s="7" t="str"/>
    </x:row>
    <x:row r="294">
      <x:c r="A294" s="6" t="str">
        <x:v>MFRX-0293</x:v>
      </x:c>
      <x:c r="B294" s="6" t="str">
        <x:v>SVC000293</x:v>
      </x:c>
      <x:c r="C294" s="6" t="str">
        <x:v>SIDX-0293</x:v>
      </x:c>
      <x:c r="D294" s="6" t="str">
        <x:f>IFERROR(XLOOKUP(C294,'Review Sequence'!C2:C1586,'Review Sequence'!J2:J1586),"Dependency not found")</x:f>
        <x:v>Not Started</x:v>
      </x:c>
      <x:c r="E294" s="6" t="str">
        <x:v>MFR-LEGACY-001</x:v>
      </x:c>
      <x:c r="F294" s="6" t="str">
        <x:v>Unknown</x:v>
      </x:c>
      <x:c r="G294" s="6" t="str"/>
      <x:c r="H294" s="6" t="str"/>
      <x:c r="I294" s="6" t="str">
        <x:v>Unknown</x:v>
      </x:c>
      <x:c r="J294" s="6" t="str">
        <x:v>Unknown</x:v>
      </x:c>
      <x:c r="K294" s="6" t="str">
        <x:v>Unresolved</x:v>
      </x:c>
      <x:c r="L294" s="7" t="str">
        <x:v>Nocturnix_Master_Services_Catalog_v1.xlsx | 01 - Master Services | row 333</x:v>
      </x:c>
      <x:c r="M294" s="6" t="str"/>
      <x:c r="N294" s="6" t="str"/>
      <x:c r="O294" s="6" t="str">
        <x:v>Pending</x:v>
      </x:c>
      <x:c r="P294" s="7" t="str">
        <x:f>IF(OR(D294="Reviewer Complete",D294="Awaiting Second-Level Approval"),"","Service identity dependency unresolved")</x:f>
        <x:v>Service identity dependency unresolved</x:v>
      </x:c>
      <x:c r="Q294" s="6" t="str">
        <x:v>Yes</x:v>
      </x:c>
      <x:c r="R294" s="7" t="str"/>
    </x:row>
    <x:row r="295">
      <x:c r="A295" s="6" t="str">
        <x:v>MFRX-0294</x:v>
      </x:c>
      <x:c r="B295" s="6" t="str">
        <x:v>SVC000294</x:v>
      </x:c>
      <x:c r="C295" s="6" t="str">
        <x:v>SIDX-0294</x:v>
      </x:c>
      <x:c r="D295" s="6" t="str">
        <x:f>IFERROR(XLOOKUP(C295,'Review Sequence'!C2:C1586,'Review Sequence'!J2:J1586),"Dependency not found")</x:f>
        <x:v>Not Started</x:v>
      </x:c>
      <x:c r="E295" s="6" t="str">
        <x:v>MFR-LEGACY-001</x:v>
      </x:c>
      <x:c r="F295" s="6" t="str">
        <x:v>Unknown</x:v>
      </x:c>
      <x:c r="G295" s="6" t="str"/>
      <x:c r="H295" s="6" t="str"/>
      <x:c r="I295" s="6" t="str">
        <x:v>Unknown</x:v>
      </x:c>
      <x:c r="J295" s="6" t="str">
        <x:v>Unknown</x:v>
      </x:c>
      <x:c r="K295" s="6" t="str">
        <x:v>Unresolved</x:v>
      </x:c>
      <x:c r="L295" s="7" t="str">
        <x:v>Nocturnix_Master_Services_Catalog_v1.xlsx | 01 - Master Services | row 334</x:v>
      </x:c>
      <x:c r="M295" s="6" t="str"/>
      <x:c r="N295" s="6" t="str"/>
      <x:c r="O295" s="6" t="str">
        <x:v>Pending</x:v>
      </x:c>
      <x:c r="P295" s="7" t="str">
        <x:f>IF(OR(D295="Reviewer Complete",D295="Awaiting Second-Level Approval"),"","Service identity dependency unresolved")</x:f>
        <x:v>Service identity dependency unresolved</x:v>
      </x:c>
      <x:c r="Q295" s="6" t="str">
        <x:v>Yes</x:v>
      </x:c>
      <x:c r="R295" s="7" t="str"/>
    </x:row>
    <x:row r="296">
      <x:c r="A296" s="6" t="str">
        <x:v>MFRX-0295</x:v>
      </x:c>
      <x:c r="B296" s="6" t="str">
        <x:v>SVC000295</x:v>
      </x:c>
      <x:c r="C296" s="6" t="str">
        <x:v>SIDX-0295</x:v>
      </x:c>
      <x:c r="D296" s="6" t="str">
        <x:f>IFERROR(XLOOKUP(C296,'Review Sequence'!C2:C1586,'Review Sequence'!J2:J1586),"Dependency not found")</x:f>
        <x:v>Not Started</x:v>
      </x:c>
      <x:c r="E296" s="6" t="str">
        <x:v>MFR-LEGACY-001</x:v>
      </x:c>
      <x:c r="F296" s="6" t="str">
        <x:v>Unknown</x:v>
      </x:c>
      <x:c r="G296" s="6" t="str"/>
      <x:c r="H296" s="6" t="str"/>
      <x:c r="I296" s="6" t="str">
        <x:v>Unknown</x:v>
      </x:c>
      <x:c r="J296" s="6" t="str">
        <x:v>Unknown</x:v>
      </x:c>
      <x:c r="K296" s="6" t="str">
        <x:v>Unresolved</x:v>
      </x:c>
      <x:c r="L296" s="7" t="str">
        <x:v>Nocturnix_Master_Services_Catalog_v1.xlsx | 01 - Master Services | row 335</x:v>
      </x:c>
      <x:c r="M296" s="6" t="str"/>
      <x:c r="N296" s="6" t="str"/>
      <x:c r="O296" s="6" t="str">
        <x:v>Pending</x:v>
      </x:c>
      <x:c r="P296" s="7" t="str">
        <x:f>IF(OR(D296="Reviewer Complete",D296="Awaiting Second-Level Approval"),"","Service identity dependency unresolved")</x:f>
        <x:v>Service identity dependency unresolved</x:v>
      </x:c>
      <x:c r="Q296" s="6" t="str">
        <x:v>Yes</x:v>
      </x:c>
      <x:c r="R296" s="7" t="str"/>
    </x:row>
    <x:row r="297">
      <x:c r="A297" s="6" t="str">
        <x:v>MFRX-0296</x:v>
      </x:c>
      <x:c r="B297" s="6" t="str">
        <x:v>SVC000296</x:v>
      </x:c>
      <x:c r="C297" s="6" t="str">
        <x:v>SIDX-0296</x:v>
      </x:c>
      <x:c r="D297" s="6" t="str">
        <x:f>IFERROR(XLOOKUP(C297,'Review Sequence'!C2:C1586,'Review Sequence'!J2:J1586),"Dependency not found")</x:f>
        <x:v>Not Started</x:v>
      </x:c>
      <x:c r="E297" s="6" t="str">
        <x:v>MFR-LEGACY-001</x:v>
      </x:c>
      <x:c r="F297" s="6" t="str">
        <x:v>Unknown</x:v>
      </x:c>
      <x:c r="G297" s="6" t="str"/>
      <x:c r="H297" s="6" t="str"/>
      <x:c r="I297" s="6" t="str">
        <x:v>Unknown</x:v>
      </x:c>
      <x:c r="J297" s="6" t="str">
        <x:v>Unknown</x:v>
      </x:c>
      <x:c r="K297" s="6" t="str">
        <x:v>Unresolved</x:v>
      </x:c>
      <x:c r="L297" s="7" t="str">
        <x:v>Nocturnix_Master_Services_Catalog_v1.xlsx | 01 - Master Services | row 336</x:v>
      </x:c>
      <x:c r="M297" s="6" t="str"/>
      <x:c r="N297" s="6" t="str"/>
      <x:c r="O297" s="6" t="str">
        <x:v>Pending</x:v>
      </x:c>
      <x:c r="P297" s="7" t="str">
        <x:f>IF(OR(D297="Reviewer Complete",D297="Awaiting Second-Level Approval"),"","Service identity dependency unresolved")</x:f>
        <x:v>Service identity dependency unresolved</x:v>
      </x:c>
      <x:c r="Q297" s="6" t="str">
        <x:v>Yes</x:v>
      </x:c>
      <x:c r="R297" s="7" t="str"/>
    </x:row>
    <x:row r="298">
      <x:c r="A298" s="6" t="str">
        <x:v>MFRX-0297</x:v>
      </x:c>
      <x:c r="B298" s="6" t="str">
        <x:v>SVC000297</x:v>
      </x:c>
      <x:c r="C298" s="6" t="str">
        <x:v>SIDX-0297</x:v>
      </x:c>
      <x:c r="D298" s="6" t="str">
        <x:f>IFERROR(XLOOKUP(C298,'Review Sequence'!C2:C1586,'Review Sequence'!J2:J1586),"Dependency not found")</x:f>
        <x:v>Not Started</x:v>
      </x:c>
      <x:c r="E298" s="6" t="str">
        <x:v>MFR-LEGACY-001</x:v>
      </x:c>
      <x:c r="F298" s="6" t="str">
        <x:v>Unknown</x:v>
      </x:c>
      <x:c r="G298" s="6" t="str"/>
      <x:c r="H298" s="6" t="str"/>
      <x:c r="I298" s="6" t="str">
        <x:v>Unknown</x:v>
      </x:c>
      <x:c r="J298" s="6" t="str">
        <x:v>Unknown</x:v>
      </x:c>
      <x:c r="K298" s="6" t="str">
        <x:v>Unresolved</x:v>
      </x:c>
      <x:c r="L298" s="7" t="str">
        <x:v>Nocturnix_Master_Services_Catalog_v1.xlsx | 01 - Master Services | row 337</x:v>
      </x:c>
      <x:c r="M298" s="6" t="str"/>
      <x:c r="N298" s="6" t="str"/>
      <x:c r="O298" s="6" t="str">
        <x:v>Pending</x:v>
      </x:c>
      <x:c r="P298" s="7" t="str">
        <x:f>IF(OR(D298="Reviewer Complete",D298="Awaiting Second-Level Approval"),"","Service identity dependency unresolved")</x:f>
        <x:v>Service identity dependency unresolved</x:v>
      </x:c>
      <x:c r="Q298" s="6" t="str">
        <x:v>Yes</x:v>
      </x:c>
      <x:c r="R298" s="7" t="str"/>
    </x:row>
    <x:row r="299">
      <x:c r="A299" s="6" t="str">
        <x:v>MFRX-0298</x:v>
      </x:c>
      <x:c r="B299" s="6" t="str">
        <x:v>SVC000298</x:v>
      </x:c>
      <x:c r="C299" s="6" t="str">
        <x:v>SIDX-0298</x:v>
      </x:c>
      <x:c r="D299" s="6" t="str">
        <x:f>IFERROR(XLOOKUP(C299,'Review Sequence'!C2:C1586,'Review Sequence'!J2:J1586),"Dependency not found")</x:f>
        <x:v>Not Started</x:v>
      </x:c>
      <x:c r="E299" s="6" t="str">
        <x:v>MFR-LEGACY-001</x:v>
      </x:c>
      <x:c r="F299" s="6" t="str">
        <x:v>Unknown</x:v>
      </x:c>
      <x:c r="G299" s="6" t="str"/>
      <x:c r="H299" s="6" t="str"/>
      <x:c r="I299" s="6" t="str">
        <x:v>Unknown</x:v>
      </x:c>
      <x:c r="J299" s="6" t="str">
        <x:v>Unknown</x:v>
      </x:c>
      <x:c r="K299" s="6" t="str">
        <x:v>Unresolved</x:v>
      </x:c>
      <x:c r="L299" s="7" t="str">
        <x:v>Nocturnix_Master_Services_Catalog_v1.xlsx | 01 - Master Services | row 338</x:v>
      </x:c>
      <x:c r="M299" s="6" t="str"/>
      <x:c r="N299" s="6" t="str"/>
      <x:c r="O299" s="6" t="str">
        <x:v>Pending</x:v>
      </x:c>
      <x:c r="P299" s="7" t="str">
        <x:f>IF(OR(D299="Reviewer Complete",D299="Awaiting Second-Level Approval"),"","Service identity dependency unresolved")</x:f>
        <x:v>Service identity dependency unresolved</x:v>
      </x:c>
      <x:c r="Q299" s="6" t="str">
        <x:v>Yes</x:v>
      </x:c>
      <x:c r="R299" s="7" t="str"/>
    </x:row>
    <x:row r="300">
      <x:c r="A300" s="6" t="str">
        <x:v>MFRX-0299</x:v>
      </x:c>
      <x:c r="B300" s="6" t="str">
        <x:v>SVC000299</x:v>
      </x:c>
      <x:c r="C300" s="6" t="str">
        <x:v>SIDX-0299</x:v>
      </x:c>
      <x:c r="D300" s="6" t="str">
        <x:f>IFERROR(XLOOKUP(C300,'Review Sequence'!C2:C1586,'Review Sequence'!J2:J1586),"Dependency not found")</x:f>
        <x:v>Not Started</x:v>
      </x:c>
      <x:c r="E300" s="6" t="str">
        <x:v>MFR-LEGACY-001</x:v>
      </x:c>
      <x:c r="F300" s="6" t="str">
        <x:v>Unknown</x:v>
      </x:c>
      <x:c r="G300" s="6" t="str"/>
      <x:c r="H300" s="6" t="str"/>
      <x:c r="I300" s="6" t="str">
        <x:v>Unknown</x:v>
      </x:c>
      <x:c r="J300" s="6" t="str">
        <x:v>Unknown</x:v>
      </x:c>
      <x:c r="K300" s="6" t="str">
        <x:v>Unresolved</x:v>
      </x:c>
      <x:c r="L300" s="7" t="str">
        <x:v>Nocturnix_Master_Services_Catalog_v1.xlsx | 01 - Master Services | row 339</x:v>
      </x:c>
      <x:c r="M300" s="6" t="str"/>
      <x:c r="N300" s="6" t="str"/>
      <x:c r="O300" s="6" t="str">
        <x:v>Pending</x:v>
      </x:c>
      <x:c r="P300" s="7" t="str">
        <x:f>IF(OR(D300="Reviewer Complete",D300="Awaiting Second-Level Approval"),"","Service identity dependency unresolved")</x:f>
        <x:v>Service identity dependency unresolved</x:v>
      </x:c>
      <x:c r="Q300" s="6" t="str">
        <x:v>Yes</x:v>
      </x:c>
      <x:c r="R300" s="7" t="str"/>
    </x:row>
    <x:row r="301">
      <x:c r="A301" s="6" t="str">
        <x:v>MFRX-0300</x:v>
      </x:c>
      <x:c r="B301" s="6" t="str">
        <x:v>SVC000300</x:v>
      </x:c>
      <x:c r="C301" s="6" t="str">
        <x:v>SIDX-0300</x:v>
      </x:c>
      <x:c r="D301" s="6" t="str">
        <x:f>IFERROR(XLOOKUP(C301,'Review Sequence'!C2:C1586,'Review Sequence'!J2:J1586),"Dependency not found")</x:f>
        <x:v>Not Started</x:v>
      </x:c>
      <x:c r="E301" s="6" t="str">
        <x:v>MFR-LEGACY-001</x:v>
      </x:c>
      <x:c r="F301" s="6" t="str">
        <x:v>Unknown</x:v>
      </x:c>
      <x:c r="G301" s="6" t="str"/>
      <x:c r="H301" s="6" t="str"/>
      <x:c r="I301" s="6" t="str">
        <x:v>Unknown</x:v>
      </x:c>
      <x:c r="J301" s="6" t="str">
        <x:v>Unknown</x:v>
      </x:c>
      <x:c r="K301" s="6" t="str">
        <x:v>Unresolved</x:v>
      </x:c>
      <x:c r="L301" s="7" t="str">
        <x:v>Nocturnix_Master_Services_Catalog_v1.xlsx | 01 - Master Services | row 340</x:v>
      </x:c>
      <x:c r="M301" s="6" t="str"/>
      <x:c r="N301" s="6" t="str"/>
      <x:c r="O301" s="6" t="str">
        <x:v>Pending</x:v>
      </x:c>
      <x:c r="P301" s="7" t="str">
        <x:f>IF(OR(D301="Reviewer Complete",D301="Awaiting Second-Level Approval"),"","Service identity dependency unresolved")</x:f>
        <x:v>Service identity dependency unresolved</x:v>
      </x:c>
      <x:c r="Q301" s="6" t="str">
        <x:v>Yes</x:v>
      </x:c>
      <x:c r="R301" s="7" t="str"/>
    </x:row>
    <x:row r="302">
      <x:c r="A302" s="6" t="str">
        <x:v>MFRX-0301</x:v>
      </x:c>
      <x:c r="B302" s="6" t="str">
        <x:v>SVC000301</x:v>
      </x:c>
      <x:c r="C302" s="6" t="str">
        <x:v>SIDX-0301</x:v>
      </x:c>
      <x:c r="D302" s="6" t="str">
        <x:f>IFERROR(XLOOKUP(C302,'Review Sequence'!C2:C1586,'Review Sequence'!J2:J1586),"Dependency not found")</x:f>
        <x:v>Not Started</x:v>
      </x:c>
      <x:c r="E302" s="6" t="str">
        <x:v>MFR-LEGACY-001</x:v>
      </x:c>
      <x:c r="F302" s="6" t="str">
        <x:v>Unknown</x:v>
      </x:c>
      <x:c r="G302" s="6" t="str"/>
      <x:c r="H302" s="6" t="str"/>
      <x:c r="I302" s="6" t="str">
        <x:v>Unknown</x:v>
      </x:c>
      <x:c r="J302" s="6" t="str">
        <x:v>Unknown</x:v>
      </x:c>
      <x:c r="K302" s="6" t="str">
        <x:v>Unresolved</x:v>
      </x:c>
      <x:c r="L302" s="7" t="str">
        <x:v>Nocturnix_Master_Services_Catalog_v1.xlsx | 01 - Master Services | row 341</x:v>
      </x:c>
      <x:c r="M302" s="6" t="str"/>
      <x:c r="N302" s="6" t="str"/>
      <x:c r="O302" s="6" t="str">
        <x:v>Pending</x:v>
      </x:c>
      <x:c r="P302" s="7" t="str">
        <x:f>IF(OR(D302="Reviewer Complete",D302="Awaiting Second-Level Approval"),"","Service identity dependency unresolved")</x:f>
        <x:v>Service identity dependency unresolved</x:v>
      </x:c>
      <x:c r="Q302" s="6" t="str">
        <x:v>Yes</x:v>
      </x:c>
      <x:c r="R302" s="7" t="str"/>
    </x:row>
    <x:row r="303">
      <x:c r="A303" s="6" t="str">
        <x:v>MFRX-0302</x:v>
      </x:c>
      <x:c r="B303" s="6" t="str">
        <x:v>SVC000302</x:v>
      </x:c>
      <x:c r="C303" s="6" t="str">
        <x:v>SIDX-0302</x:v>
      </x:c>
      <x:c r="D303" s="6" t="str">
        <x:f>IFERROR(XLOOKUP(C303,'Review Sequence'!C2:C1586,'Review Sequence'!J2:J1586),"Dependency not found")</x:f>
        <x:v>Not Started</x:v>
      </x:c>
      <x:c r="E303" s="6" t="str">
        <x:v>MFR-LEGACY-001</x:v>
      </x:c>
      <x:c r="F303" s="6" t="str">
        <x:v>Unknown</x:v>
      </x:c>
      <x:c r="G303" s="6" t="str"/>
      <x:c r="H303" s="6" t="str"/>
      <x:c r="I303" s="6" t="str">
        <x:v>Unknown</x:v>
      </x:c>
      <x:c r="J303" s="6" t="str">
        <x:v>Unknown</x:v>
      </x:c>
      <x:c r="K303" s="6" t="str">
        <x:v>Unresolved</x:v>
      </x:c>
      <x:c r="L303" s="7" t="str">
        <x:v>Nocturnix_Master_Services_Catalog_v1.xlsx | 01 - Master Services | row 342</x:v>
      </x:c>
      <x:c r="M303" s="6" t="str"/>
      <x:c r="N303" s="6" t="str"/>
      <x:c r="O303" s="6" t="str">
        <x:v>Pending</x:v>
      </x:c>
      <x:c r="P303" s="7" t="str">
        <x:f>IF(OR(D303="Reviewer Complete",D303="Awaiting Second-Level Approval"),"","Service identity dependency unresolved")</x:f>
        <x:v>Service identity dependency unresolved</x:v>
      </x:c>
      <x:c r="Q303" s="6" t="str">
        <x:v>Yes</x:v>
      </x:c>
      <x:c r="R303" s="7" t="str"/>
    </x:row>
    <x:row r="304">
      <x:c r="A304" s="6" t="str">
        <x:v>MFRX-0303</x:v>
      </x:c>
      <x:c r="B304" s="6" t="str">
        <x:v>SVC000303</x:v>
      </x:c>
      <x:c r="C304" s="6" t="str">
        <x:v>SIDX-0303</x:v>
      </x:c>
      <x:c r="D304" s="6" t="str">
        <x:f>IFERROR(XLOOKUP(C304,'Review Sequence'!C2:C1586,'Review Sequence'!J2:J1586),"Dependency not found")</x:f>
        <x:v>Not Started</x:v>
      </x:c>
      <x:c r="E304" s="6" t="str">
        <x:v>MFR-LEGACY-001</x:v>
      </x:c>
      <x:c r="F304" s="6" t="str">
        <x:v>Unknown</x:v>
      </x:c>
      <x:c r="G304" s="6" t="str"/>
      <x:c r="H304" s="6" t="str"/>
      <x:c r="I304" s="6" t="str">
        <x:v>Unknown</x:v>
      </x:c>
      <x:c r="J304" s="6" t="str">
        <x:v>Unknown</x:v>
      </x:c>
      <x:c r="K304" s="6" t="str">
        <x:v>Unresolved</x:v>
      </x:c>
      <x:c r="L304" s="7" t="str">
        <x:v>Nocturnix_Master_Services_Catalog_v1.xlsx | 01 - Master Services | row 343</x:v>
      </x:c>
      <x:c r="M304" s="6" t="str"/>
      <x:c r="N304" s="6" t="str"/>
      <x:c r="O304" s="6" t="str">
        <x:v>Pending</x:v>
      </x:c>
      <x:c r="P304" s="7" t="str">
        <x:f>IF(OR(D304="Reviewer Complete",D304="Awaiting Second-Level Approval"),"","Service identity dependency unresolved")</x:f>
        <x:v>Service identity dependency unresolved</x:v>
      </x:c>
      <x:c r="Q304" s="6" t="str">
        <x:v>Yes</x:v>
      </x:c>
      <x:c r="R304" s="7" t="str"/>
    </x:row>
    <x:row r="305">
      <x:c r="A305" s="6" t="str">
        <x:v>MFRX-0304</x:v>
      </x:c>
      <x:c r="B305" s="6" t="str">
        <x:v>SVC000304</x:v>
      </x:c>
      <x:c r="C305" s="6" t="str">
        <x:v>SIDX-0304</x:v>
      </x:c>
      <x:c r="D305" s="6" t="str">
        <x:f>IFERROR(XLOOKUP(C305,'Review Sequence'!C2:C1586,'Review Sequence'!J2:J1586),"Dependency not found")</x:f>
        <x:v>Not Started</x:v>
      </x:c>
      <x:c r="E305" s="6" t="str">
        <x:v>MFR-LEGACY-001</x:v>
      </x:c>
      <x:c r="F305" s="6" t="str">
        <x:v>Unknown</x:v>
      </x:c>
      <x:c r="G305" s="6" t="str"/>
      <x:c r="H305" s="6" t="str"/>
      <x:c r="I305" s="6" t="str">
        <x:v>Unknown</x:v>
      </x:c>
      <x:c r="J305" s="6" t="str">
        <x:v>Unknown</x:v>
      </x:c>
      <x:c r="K305" s="6" t="str">
        <x:v>Unresolved</x:v>
      </x:c>
      <x:c r="L305" s="7" t="str">
        <x:v>Nocturnix_Master_Services_Catalog_v1.xlsx | 01 - Master Services | row 344</x:v>
      </x:c>
      <x:c r="M305" s="6" t="str"/>
      <x:c r="N305" s="6" t="str"/>
      <x:c r="O305" s="6" t="str">
        <x:v>Pending</x:v>
      </x:c>
      <x:c r="P305" s="7" t="str">
        <x:f>IF(OR(D305="Reviewer Complete",D305="Awaiting Second-Level Approval"),"","Service identity dependency unresolved")</x:f>
        <x:v>Service identity dependency unresolved</x:v>
      </x:c>
      <x:c r="Q305" s="6" t="str">
        <x:v>Yes</x:v>
      </x:c>
      <x:c r="R305" s="7" t="str"/>
    </x:row>
    <x:row r="306">
      <x:c r="A306" s="6" t="str">
        <x:v>MFRX-0305</x:v>
      </x:c>
      <x:c r="B306" s="6" t="str">
        <x:v>SVC000305</x:v>
      </x:c>
      <x:c r="C306" s="6" t="str">
        <x:v>SIDX-0305</x:v>
      </x:c>
      <x:c r="D306" s="6" t="str">
        <x:f>IFERROR(XLOOKUP(C306,'Review Sequence'!C2:C1586,'Review Sequence'!J2:J1586),"Dependency not found")</x:f>
        <x:v>Not Started</x:v>
      </x:c>
      <x:c r="E306" s="6" t="str">
        <x:v>MFR-LEGACY-001</x:v>
      </x:c>
      <x:c r="F306" s="6" t="str">
        <x:v>Unknown</x:v>
      </x:c>
      <x:c r="G306" s="6" t="str"/>
      <x:c r="H306" s="6" t="str"/>
      <x:c r="I306" s="6" t="str">
        <x:v>Unknown</x:v>
      </x:c>
      <x:c r="J306" s="6" t="str">
        <x:v>Unknown</x:v>
      </x:c>
      <x:c r="K306" s="6" t="str">
        <x:v>Unresolved</x:v>
      </x:c>
      <x:c r="L306" s="7" t="str">
        <x:v>Nocturnix_Master_Services_Catalog_v1.xlsx | 01 - Master Services | row 345</x:v>
      </x:c>
      <x:c r="M306" s="6" t="str"/>
      <x:c r="N306" s="6" t="str"/>
      <x:c r="O306" s="6" t="str">
        <x:v>Pending</x:v>
      </x:c>
      <x:c r="P306" s="7" t="str">
        <x:f>IF(OR(D306="Reviewer Complete",D306="Awaiting Second-Level Approval"),"","Service identity dependency unresolved")</x:f>
        <x:v>Service identity dependency unresolved</x:v>
      </x:c>
      <x:c r="Q306" s="6" t="str">
        <x:v>Yes</x:v>
      </x:c>
      <x:c r="R306" s="7" t="str"/>
    </x:row>
    <x:row r="307">
      <x:c r="A307" s="6" t="str">
        <x:v>MFRX-0306</x:v>
      </x:c>
      <x:c r="B307" s="6" t="str">
        <x:v>SVC000306</x:v>
      </x:c>
      <x:c r="C307" s="6" t="str">
        <x:v>SIDX-0306</x:v>
      </x:c>
      <x:c r="D307" s="6" t="str">
        <x:f>IFERROR(XLOOKUP(C307,'Review Sequence'!C2:C1586,'Review Sequence'!J2:J1586),"Dependency not found")</x:f>
        <x:v>Not Started</x:v>
      </x:c>
      <x:c r="E307" s="6" t="str">
        <x:v>MFR-LEGACY-001</x:v>
      </x:c>
      <x:c r="F307" s="6" t="str">
        <x:v>Unknown</x:v>
      </x:c>
      <x:c r="G307" s="6" t="str"/>
      <x:c r="H307" s="6" t="str"/>
      <x:c r="I307" s="6" t="str">
        <x:v>Unknown</x:v>
      </x:c>
      <x:c r="J307" s="6" t="str">
        <x:v>Unknown</x:v>
      </x:c>
      <x:c r="K307" s="6" t="str">
        <x:v>Unresolved</x:v>
      </x:c>
      <x:c r="L307" s="7" t="str">
        <x:v>Nocturnix_Master_Services_Catalog_v1.xlsx | 01 - Master Services | row 346</x:v>
      </x:c>
      <x:c r="M307" s="6" t="str"/>
      <x:c r="N307" s="6" t="str"/>
      <x:c r="O307" s="6" t="str">
        <x:v>Pending</x:v>
      </x:c>
      <x:c r="P307" s="7" t="str">
        <x:f>IF(OR(D307="Reviewer Complete",D307="Awaiting Second-Level Approval"),"","Service identity dependency unresolved")</x:f>
        <x:v>Service identity dependency unresolved</x:v>
      </x:c>
      <x:c r="Q307" s="6" t="str">
        <x:v>Yes</x:v>
      </x:c>
      <x:c r="R307" s="7" t="str"/>
    </x:row>
    <x:row r="308">
      <x:c r="A308" s="6" t="str">
        <x:v>MFRX-0307</x:v>
      </x:c>
      <x:c r="B308" s="6" t="str">
        <x:v>SVC000307</x:v>
      </x:c>
      <x:c r="C308" s="6" t="str">
        <x:v>SIDX-0307</x:v>
      </x:c>
      <x:c r="D308" s="6" t="str">
        <x:f>IFERROR(XLOOKUP(C308,'Review Sequence'!C2:C1586,'Review Sequence'!J2:J1586),"Dependency not found")</x:f>
        <x:v>Not Started</x:v>
      </x:c>
      <x:c r="E308" s="6" t="str">
        <x:v>MFR-LEGACY-001</x:v>
      </x:c>
      <x:c r="F308" s="6" t="str">
        <x:v>Unknown</x:v>
      </x:c>
      <x:c r="G308" s="6" t="str"/>
      <x:c r="H308" s="6" t="str"/>
      <x:c r="I308" s="6" t="str">
        <x:v>Unknown</x:v>
      </x:c>
      <x:c r="J308" s="6" t="str">
        <x:v>Unknown</x:v>
      </x:c>
      <x:c r="K308" s="6" t="str">
        <x:v>Unresolved</x:v>
      </x:c>
      <x:c r="L308" s="7" t="str">
        <x:v>Nocturnix_Master_Services_Catalog_v1.xlsx | 01 - Master Services | row 347</x:v>
      </x:c>
      <x:c r="M308" s="6" t="str"/>
      <x:c r="N308" s="6" t="str"/>
      <x:c r="O308" s="6" t="str">
        <x:v>Pending</x:v>
      </x:c>
      <x:c r="P308" s="7" t="str">
        <x:f>IF(OR(D308="Reviewer Complete",D308="Awaiting Second-Level Approval"),"","Service identity dependency unresolved")</x:f>
        <x:v>Service identity dependency unresolved</x:v>
      </x:c>
      <x:c r="Q308" s="6" t="str">
        <x:v>Yes</x:v>
      </x:c>
      <x:c r="R308" s="7" t="str"/>
    </x:row>
    <x:row r="309">
      <x:c r="A309" s="6" t="str">
        <x:v>MFRX-0308</x:v>
      </x:c>
      <x:c r="B309" s="6" t="str">
        <x:v>SVC000308</x:v>
      </x:c>
      <x:c r="C309" s="6" t="str">
        <x:v>SIDX-0308</x:v>
      </x:c>
      <x:c r="D309" s="6" t="str">
        <x:f>IFERROR(XLOOKUP(C309,'Review Sequence'!C2:C1586,'Review Sequence'!J2:J1586),"Dependency not found")</x:f>
        <x:v>Not Started</x:v>
      </x:c>
      <x:c r="E309" s="6" t="str">
        <x:v>MFR-LEGACY-001</x:v>
      </x:c>
      <x:c r="F309" s="6" t="str">
        <x:v>Unknown</x:v>
      </x:c>
      <x:c r="G309" s="6" t="str"/>
      <x:c r="H309" s="6" t="str"/>
      <x:c r="I309" s="6" t="str">
        <x:v>Unknown</x:v>
      </x:c>
      <x:c r="J309" s="6" t="str">
        <x:v>Unknown</x:v>
      </x:c>
      <x:c r="K309" s="6" t="str">
        <x:v>Unresolved</x:v>
      </x:c>
      <x:c r="L309" s="7" t="str">
        <x:v>Nocturnix_Master_Services_Catalog_v1.xlsx | 01 - Master Services | row 348</x:v>
      </x:c>
      <x:c r="M309" s="6" t="str"/>
      <x:c r="N309" s="6" t="str"/>
      <x:c r="O309" s="6" t="str">
        <x:v>Pending</x:v>
      </x:c>
      <x:c r="P309" s="7" t="str">
        <x:f>IF(OR(D309="Reviewer Complete",D309="Awaiting Second-Level Approval"),"","Service identity dependency unresolved")</x:f>
        <x:v>Service identity dependency unresolved</x:v>
      </x:c>
      <x:c r="Q309" s="6" t="str">
        <x:v>Yes</x:v>
      </x:c>
      <x:c r="R309" s="7" t="str"/>
    </x:row>
    <x:row r="310">
      <x:c r="A310" s="6" t="str">
        <x:v>MFRX-0309</x:v>
      </x:c>
      <x:c r="B310" s="6" t="str">
        <x:v>SVC000309</x:v>
      </x:c>
      <x:c r="C310" s="6" t="str">
        <x:v>SIDX-0309</x:v>
      </x:c>
      <x:c r="D310" s="6" t="str">
        <x:f>IFERROR(XLOOKUP(C310,'Review Sequence'!C2:C1586,'Review Sequence'!J2:J1586),"Dependency not found")</x:f>
        <x:v>Not Started</x:v>
      </x:c>
      <x:c r="E310" s="6" t="str">
        <x:v>MFR-LEGACY-001</x:v>
      </x:c>
      <x:c r="F310" s="6" t="str">
        <x:v>Unknown</x:v>
      </x:c>
      <x:c r="G310" s="6" t="str"/>
      <x:c r="H310" s="6" t="str"/>
      <x:c r="I310" s="6" t="str">
        <x:v>Unknown</x:v>
      </x:c>
      <x:c r="J310" s="6" t="str">
        <x:v>Unknown</x:v>
      </x:c>
      <x:c r="K310" s="6" t="str">
        <x:v>Unresolved</x:v>
      </x:c>
      <x:c r="L310" s="7" t="str">
        <x:v>Nocturnix_Master_Services_Catalog_v1.xlsx | 01 - Master Services | row 349</x:v>
      </x:c>
      <x:c r="M310" s="6" t="str"/>
      <x:c r="N310" s="6" t="str"/>
      <x:c r="O310" s="6" t="str">
        <x:v>Pending</x:v>
      </x:c>
      <x:c r="P310" s="7" t="str">
        <x:f>IF(OR(D310="Reviewer Complete",D310="Awaiting Second-Level Approval"),"","Service identity dependency unresolved")</x:f>
        <x:v>Service identity dependency unresolved</x:v>
      </x:c>
      <x:c r="Q310" s="6" t="str">
        <x:v>Yes</x:v>
      </x:c>
      <x:c r="R310" s="7" t="str"/>
    </x:row>
    <x:row r="311">
      <x:c r="A311" s="6" t="str">
        <x:v>MFRX-0310</x:v>
      </x:c>
      <x:c r="B311" s="6" t="str">
        <x:v>SVC000310</x:v>
      </x:c>
      <x:c r="C311" s="6" t="str">
        <x:v>SIDX-0310</x:v>
      </x:c>
      <x:c r="D311" s="6" t="str">
        <x:f>IFERROR(XLOOKUP(C311,'Review Sequence'!C2:C1586,'Review Sequence'!J2:J1586),"Dependency not found")</x:f>
        <x:v>Not Started</x:v>
      </x:c>
      <x:c r="E311" s="6" t="str">
        <x:v>MFR-LEGACY-001</x:v>
      </x:c>
      <x:c r="F311" s="6" t="str">
        <x:v>Unknown</x:v>
      </x:c>
      <x:c r="G311" s="6" t="str"/>
      <x:c r="H311" s="6" t="str"/>
      <x:c r="I311" s="6" t="str">
        <x:v>Unknown</x:v>
      </x:c>
      <x:c r="J311" s="6" t="str">
        <x:v>Unknown</x:v>
      </x:c>
      <x:c r="K311" s="6" t="str">
        <x:v>Unresolved</x:v>
      </x:c>
      <x:c r="L311" s="7" t="str">
        <x:v>Nocturnix_Master_Services_Catalog_v1.xlsx | 01 - Master Services | row 350</x:v>
      </x:c>
      <x:c r="M311" s="6" t="str"/>
      <x:c r="N311" s="6" t="str"/>
      <x:c r="O311" s="6" t="str">
        <x:v>Pending</x:v>
      </x:c>
      <x:c r="P311" s="7" t="str">
        <x:f>IF(OR(D311="Reviewer Complete",D311="Awaiting Second-Level Approval"),"","Service identity dependency unresolved")</x:f>
        <x:v>Service identity dependency unresolved</x:v>
      </x:c>
      <x:c r="Q311" s="6" t="str">
        <x:v>Yes</x:v>
      </x:c>
      <x:c r="R311" s="7" t="str"/>
    </x:row>
    <x:row r="312">
      <x:c r="A312" s="6" t="str">
        <x:v>MFRX-0311</x:v>
      </x:c>
      <x:c r="B312" s="6" t="str">
        <x:v>SVC000311</x:v>
      </x:c>
      <x:c r="C312" s="6" t="str">
        <x:v>SIDX-0311</x:v>
      </x:c>
      <x:c r="D312" s="6" t="str">
        <x:f>IFERROR(XLOOKUP(C312,'Review Sequence'!C2:C1586,'Review Sequence'!J2:J1586),"Dependency not found")</x:f>
        <x:v>Not Started</x:v>
      </x:c>
      <x:c r="E312" s="6" t="str">
        <x:v>MFR-LEGACY-001</x:v>
      </x:c>
      <x:c r="F312" s="6" t="str">
        <x:v>Unknown</x:v>
      </x:c>
      <x:c r="G312" s="6" t="str"/>
      <x:c r="H312" s="6" t="str"/>
      <x:c r="I312" s="6" t="str">
        <x:v>Unknown</x:v>
      </x:c>
      <x:c r="J312" s="6" t="str">
        <x:v>Unknown</x:v>
      </x:c>
      <x:c r="K312" s="6" t="str">
        <x:v>Unresolved</x:v>
      </x:c>
      <x:c r="L312" s="7" t="str">
        <x:v>Nocturnix_Master_Services_Catalog_v1.xlsx | 01 - Master Services | row 351</x:v>
      </x:c>
      <x:c r="M312" s="6" t="str"/>
      <x:c r="N312" s="6" t="str"/>
      <x:c r="O312" s="6" t="str">
        <x:v>Pending</x:v>
      </x:c>
      <x:c r="P312" s="7" t="str">
        <x:f>IF(OR(D312="Reviewer Complete",D312="Awaiting Second-Level Approval"),"","Service identity dependency unresolved")</x:f>
        <x:v>Service identity dependency unresolved</x:v>
      </x:c>
      <x:c r="Q312" s="6" t="str">
        <x:v>Yes</x:v>
      </x:c>
      <x:c r="R312" s="7" t="str"/>
    </x:row>
    <x:row r="313">
      <x:c r="A313" s="6" t="str">
        <x:v>MFRX-0312</x:v>
      </x:c>
      <x:c r="B313" s="6" t="str">
        <x:v>SVC000312</x:v>
      </x:c>
      <x:c r="C313" s="6" t="str">
        <x:v>SIDX-0312</x:v>
      </x:c>
      <x:c r="D313" s="6" t="str">
        <x:f>IFERROR(XLOOKUP(C313,'Review Sequence'!C2:C1586,'Review Sequence'!J2:J1586),"Dependency not found")</x:f>
        <x:v>Not Started</x:v>
      </x:c>
      <x:c r="E313" s="6" t="str">
        <x:v>MFR-LEGACY-001</x:v>
      </x:c>
      <x:c r="F313" s="6" t="str">
        <x:v>Unknown</x:v>
      </x:c>
      <x:c r="G313" s="6" t="str"/>
      <x:c r="H313" s="6" t="str"/>
      <x:c r="I313" s="6" t="str">
        <x:v>Unknown</x:v>
      </x:c>
      <x:c r="J313" s="6" t="str">
        <x:v>Unknown</x:v>
      </x:c>
      <x:c r="K313" s="6" t="str">
        <x:v>Unresolved</x:v>
      </x:c>
      <x:c r="L313" s="7" t="str">
        <x:v>Nocturnix_Master_Services_Catalog_v1.xlsx | 01 - Master Services | row 352</x:v>
      </x:c>
      <x:c r="M313" s="6" t="str"/>
      <x:c r="N313" s="6" t="str"/>
      <x:c r="O313" s="6" t="str">
        <x:v>Pending</x:v>
      </x:c>
      <x:c r="P313" s="7" t="str">
        <x:f>IF(OR(D313="Reviewer Complete",D313="Awaiting Second-Level Approval"),"","Service identity dependency unresolved")</x:f>
        <x:v>Service identity dependency unresolved</x:v>
      </x:c>
      <x:c r="Q313" s="6" t="str">
        <x:v>Yes</x:v>
      </x:c>
      <x:c r="R313" s="7" t="str"/>
    </x:row>
    <x:row r="314">
      <x:c r="A314" s="6" t="str">
        <x:v>MFRX-0313</x:v>
      </x:c>
      <x:c r="B314" s="6" t="str">
        <x:v>SVC000313</x:v>
      </x:c>
      <x:c r="C314" s="6" t="str">
        <x:v>SIDX-0313</x:v>
      </x:c>
      <x:c r="D314" s="6" t="str">
        <x:f>IFERROR(XLOOKUP(C314,'Review Sequence'!C2:C1586,'Review Sequence'!J2:J1586),"Dependency not found")</x:f>
        <x:v>Not Started</x:v>
      </x:c>
      <x:c r="E314" s="6" t="str">
        <x:v>MFR-LEGACY-001</x:v>
      </x:c>
      <x:c r="F314" s="6" t="str">
        <x:v>Unknown</x:v>
      </x:c>
      <x:c r="G314" s="6" t="str"/>
      <x:c r="H314" s="6" t="str"/>
      <x:c r="I314" s="6" t="str">
        <x:v>Unknown</x:v>
      </x:c>
      <x:c r="J314" s="6" t="str">
        <x:v>Unknown</x:v>
      </x:c>
      <x:c r="K314" s="6" t="str">
        <x:v>Unresolved</x:v>
      </x:c>
      <x:c r="L314" s="7" t="str">
        <x:v>Nocturnix_Master_Services_Catalog_v1.xlsx | 01 - Master Services | row 353</x:v>
      </x:c>
      <x:c r="M314" s="6" t="str"/>
      <x:c r="N314" s="6" t="str"/>
      <x:c r="O314" s="6" t="str">
        <x:v>Pending</x:v>
      </x:c>
      <x:c r="P314" s="7" t="str">
        <x:f>IF(OR(D314="Reviewer Complete",D314="Awaiting Second-Level Approval"),"","Service identity dependency unresolved")</x:f>
        <x:v>Service identity dependency unresolved</x:v>
      </x:c>
      <x:c r="Q314" s="6" t="str">
        <x:v>Yes</x:v>
      </x:c>
      <x:c r="R314" s="7" t="str"/>
    </x:row>
    <x:row r="315">
      <x:c r="A315" s="6" t="str">
        <x:v>MFRX-0314</x:v>
      </x:c>
      <x:c r="B315" s="6" t="str">
        <x:v>SVC000314</x:v>
      </x:c>
      <x:c r="C315" s="6" t="str">
        <x:v>SIDX-0314</x:v>
      </x:c>
      <x:c r="D315" s="6" t="str">
        <x:f>IFERROR(XLOOKUP(C315,'Review Sequence'!C2:C1586,'Review Sequence'!J2:J1586),"Dependency not found")</x:f>
        <x:v>Not Started</x:v>
      </x:c>
      <x:c r="E315" s="6" t="str">
        <x:v>MFR-LEGACY-001</x:v>
      </x:c>
      <x:c r="F315" s="6" t="str">
        <x:v>Unknown</x:v>
      </x:c>
      <x:c r="G315" s="6" t="str"/>
      <x:c r="H315" s="6" t="str"/>
      <x:c r="I315" s="6" t="str">
        <x:v>Unknown</x:v>
      </x:c>
      <x:c r="J315" s="6" t="str">
        <x:v>Unknown</x:v>
      </x:c>
      <x:c r="K315" s="6" t="str">
        <x:v>Unresolved</x:v>
      </x:c>
      <x:c r="L315" s="7" t="str">
        <x:v>Nocturnix_Master_Services_Catalog_v1.xlsx | 01 - Master Services | row 354</x:v>
      </x:c>
      <x:c r="M315" s="6" t="str"/>
      <x:c r="N315" s="6" t="str"/>
      <x:c r="O315" s="6" t="str">
        <x:v>Pending</x:v>
      </x:c>
      <x:c r="P315" s="7" t="str">
        <x:f>IF(OR(D315="Reviewer Complete",D315="Awaiting Second-Level Approval"),"","Service identity dependency unresolved")</x:f>
        <x:v>Service identity dependency unresolved</x:v>
      </x:c>
      <x:c r="Q315" s="6" t="str">
        <x:v>Yes</x:v>
      </x:c>
      <x:c r="R315" s="7" t="str"/>
    </x:row>
  </x:sheetData>
  <x:dataValidations count="8">
    <x:dataValidation type="list" sqref="F2:F315">
      <x:formula1>"Specific Manufacturer,Multiple Manufacturers,Manufacturer-Agnostic,Unknown,Not Applicable"</x:formula1>
    </x:dataValidation>
    <x:dataValidation type="list" sqref="I2:I315">
      <x:formula1>"Unknown,Yes,No"</x:formula1>
    </x:dataValidation>
    <x:dataValidation type="list" sqref="J2:J315">
      <x:formula1>"Unknown,Yes,No"</x:formula1>
    </x:dataValidation>
    <x:dataValidation type="list" sqref="K2:K315">
      <x:formula1>"Confirm Current Identity,Propose Identity Change,Keep Separate,Suspected Duplicate,Reject Source Record,Escalate,Unresolved"</x:formula1>
    </x:dataValidation>
    <x:dataValidation type="list" sqref="O2:O315">
      <x:formula1>"Pending,Approved,Rejected,Escalated,Not Approved"</x:formula1>
    </x:dataValidation>
    <x:dataValidation type="list" sqref="Q2:Q315">
      <x:formula1>"Yes,No"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G2:G315">
      <x:formula1>"MFR000001,MFR000002,MFR000003,MFR000004,MFR000005,MFR000006,MFR000007,MFR000008,MFR000009,MFR000010,MFR000011,MFR000012,MFR000013,MFR000014,MFR000015,MFR000016,MFR000017,MFR000018,MFR000019,MFR000020,MFR000021,MFR000022,MFR000023,MFR000024,MFR000025,MFR000026,MFR000027,MFR000028,MFR000029,MFR000030,MFR000031,MFR000032,MFR000033,MFR000034,MFR000035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2a77464dea45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10.75" hidden="0" customWidth="1"/>
    <x:col min="3" max="3" width="24.8799991607666" hidden="0" customWidth="1"/>
    <x:col min="4" max="4" width="24" hidden="0" customWidth="1"/>
    <x:col min="5" max="5" width="28.3799991607666" hidden="0" customWidth="1"/>
    <x:col min="6" max="6" width="28.5" hidden="0" customWidth="1"/>
    <x:col min="7" max="7" width="38.130001068115234" hidden="0" customWidth="1"/>
    <x:col min="8" max="8" width="17.8799991607666" hidden="0" customWidth="1"/>
    <x:col min="9" max="9" width="20.75" hidden="0" customWidth="1"/>
    <x:col min="10" max="10" width="16.5" hidden="0" customWidth="1"/>
    <x:col min="11" max="11" width="17" hidden="0" customWidth="1"/>
    <x:col min="12" max="12" width="54.630001068115234" hidden="0" customWidth="1"/>
    <x:col min="13" max="13" width="14.880000114440918" hidden="0" customWidth="1"/>
    <x:col min="14" max="14" width="12.380000114440918" hidden="0" customWidth="1"/>
    <x:col min="15" max="15" width="25.75" hidden="0" customWidth="1"/>
    <x:col min="16" max="16" width="14" hidden="0" customWidth="1"/>
    <x:col min="17" max="17" width="18.25" hidden="0" customWidth="1"/>
    <x:col min="18" max="18" width="7.630000114440918" hidden="0" customWidth="1"/>
  </x:cols>
  <x:sheetData>
    <x:row r="1">
      <x:c r="A1" s="5" t="str">
        <x:v>Execution Item ID</x:v>
      </x:c>
      <x:c r="B1" s="5" t="str">
        <x:v>Service ID</x:v>
      </x:c>
      <x:c r="C1" s="5" t="str">
        <x:v>Service Identity Dependency</x:v>
      </x:c>
      <x:c r="D1" s="5" t="str">
        <x:v>Identity Dependency Status</x:v>
      </x:c>
      <x:c r="E1" s="5" t="str">
        <x:v>Manufacturer Scope Dependency</x:v>
      </x:c>
      <x:c r="F1" s="5" t="str">
        <x:v>Manufacturer Dependency Status</x:v>
      </x:c>
      <x:c r="G1" s="5" t="str">
        <x:v>Observed Device Value</x:v>
      </x:c>
      <x:c r="H1" s="5" t="str">
        <x:v>Proposed Device ID</x:v>
      </x:c>
      <x:c r="I1" s="5" t="str">
        <x:v>Proposed Device Name</x:v>
      </x:c>
      <x:c r="J1" s="5" t="str">
        <x:v>Applicability Type</x:v>
      </x:c>
      <x:c r="K1" s="5" t="str">
        <x:v>Reviewer Decision</x:v>
      </x:c>
      <x:c r="L1" s="5" t="str">
        <x:v>Evidence Reference</x:v>
      </x:c>
      <x:c r="M1" s="5" t="str">
        <x:v>Reviewer Name</x:v>
      </x:c>
      <x:c r="N1" s="5" t="str">
        <x:v>Review Date</x:v>
      </x:c>
      <x:c r="O1" s="5" t="str">
        <x:v>Second-Level Approval Status</x:v>
      </x:c>
      <x:c r="P1" s="5" t="str">
        <x:v>Blocking Issue</x:v>
      </x:c>
      <x:c r="Q1" s="5" t="str">
        <x:v>Escalation Required</x:v>
      </x:c>
      <x:c r="R1" s="5" t="str">
        <x:v>Notes</x:v>
      </x:c>
    </x:row>
    <x:row r="2">
      <x:c r="A2" s="6" t="str">
        <x:v>DEVX-0001</x:v>
      </x:c>
      <x:c r="B2" s="6" t="str">
        <x:v>SVC000001</x:v>
      </x:c>
      <x:c r="C2" s="6" t="str">
        <x:v>SIDX-0001</x:v>
      </x:c>
      <x:c r="D2" s="6" t="str">
        <x:f>IFERROR(XLOOKUP(C2,'Review Sequence'!C2:C1586,'Review Sequence'!J2:J1586),"Dependency not found")</x:f>
        <x:v>Not Started</x:v>
      </x:c>
      <x:c r="E2" s="6" t="str">
        <x:v>MFRX-0001</x:v>
      </x:c>
      <x:c r="F2" s="6" t="str">
        <x:f>IFERROR(XLOOKUP(E2,'Review Sequence'!C2:C1586,'Review Sequence'!J2:J1586),"Dependency not found")</x:f>
        <x:v>Not Started</x:v>
      </x:c>
      <x:c r="G2" s="6" t="str">
        <x:v>Galaxy Note 9 Screen replacement</x:v>
      </x:c>
      <x:c r="H2" s="6" t="str"/>
      <x:c r="I2" s="6" t="str"/>
      <x:c r="J2" s="6" t="str">
        <x:v>Unknown</x:v>
      </x:c>
      <x:c r="K2" s="6" t="str">
        <x:v>Unresolved</x:v>
      </x:c>
      <x:c r="L2" s="7" t="str">
        <x:v>Nocturnix_Master_Services_Catalog_v1.xlsx | 01 - Master Services | row 41</x:v>
      </x:c>
      <x:c r="M2" s="6" t="str"/>
      <x:c r="N2" s="6" t="str"/>
      <x:c r="O2" s="6" t="str">
        <x:v>Pending</x:v>
      </x:c>
      <x:c r="P2" s="7" t="str">
        <x:f>IF(AND(OR(D2="Reviewer Complete",D2="Awaiting Second-Level Approval"),OR(F2="Reviewer Complete",F2="Awaiting Second-Level Approval")),"","Identity/manufacturer dependency unresolved")</x:f>
        <x:v>Identity/manufacturer dependency unresolved</x:v>
      </x:c>
      <x:c r="Q2" s="6" t="str">
        <x:v>Yes</x:v>
      </x:c>
      <x:c r="R2" s="7" t="str"/>
    </x:row>
    <x:row r="3">
      <x:c r="A3" s="6" t="str">
        <x:v>DEVX-0002</x:v>
      </x:c>
      <x:c r="B3" s="6" t="str">
        <x:v>SVC000002</x:v>
      </x:c>
      <x:c r="C3" s="6" t="str">
        <x:v>SIDX-0002</x:v>
      </x:c>
      <x:c r="D3" s="6" t="str">
        <x:f>IFERROR(XLOOKUP(C3,'Review Sequence'!C2:C1586,'Review Sequence'!J2:J1586),"Dependency not found")</x:f>
        <x:v>Not Started</x:v>
      </x:c>
      <x:c r="E3" s="6" t="str">
        <x:v>MFRX-0002</x:v>
      </x:c>
      <x:c r="F3" s="6" t="str">
        <x:f>IFERROR(XLOOKUP(E3,'Review Sequence'!C2:C1586,'Review Sequence'!J2:J1586),"Dependency not found")</x:f>
        <x:v>Not Started</x:v>
      </x:c>
      <x:c r="G3" s="6" t="str">
        <x:v>Galaxy S 8 Active Screen replacement</x:v>
      </x:c>
      <x:c r="H3" s="6" t="str"/>
      <x:c r="I3" s="6" t="str"/>
      <x:c r="J3" s="6" t="str">
        <x:v>Unknown</x:v>
      </x:c>
      <x:c r="K3" s="6" t="str">
        <x:v>Unresolved</x:v>
      </x:c>
      <x:c r="L3" s="7" t="str">
        <x:v>Nocturnix_Master_Services_Catalog_v1.xlsx | 01 - Master Services | row 42</x:v>
      </x:c>
      <x:c r="M3" s="6" t="str"/>
      <x:c r="N3" s="6" t="str"/>
      <x:c r="O3" s="6" t="str">
        <x:v>Pending</x:v>
      </x:c>
      <x:c r="P3" s="7" t="str">
        <x:f>IF(AND(OR(D3="Reviewer Complete",D3="Awaiting Second-Level Approval"),OR(F3="Reviewer Complete",F3="Awaiting Second-Level Approval")),"","Identity/manufacturer dependency unresolved")</x:f>
        <x:v>Identity/manufacturer dependency unresolved</x:v>
      </x:c>
      <x:c r="Q3" s="6" t="str">
        <x:v>Yes</x:v>
      </x:c>
      <x:c r="R3" s="7" t="str"/>
    </x:row>
    <x:row r="4">
      <x:c r="A4" s="6" t="str">
        <x:v>DEVX-0003</x:v>
      </x:c>
      <x:c r="B4" s="6" t="str">
        <x:v>SVC000003</x:v>
      </x:c>
      <x:c r="C4" s="6" t="str">
        <x:v>SIDX-0003</x:v>
      </x:c>
      <x:c r="D4" s="6" t="str">
        <x:f>IFERROR(XLOOKUP(C4,'Review Sequence'!C2:C1586,'Review Sequence'!J2:J1586),"Dependency not found")</x:f>
        <x:v>Not Started</x:v>
      </x:c>
      <x:c r="E4" s="6" t="str">
        <x:v>MFRX-0003</x:v>
      </x:c>
      <x:c r="F4" s="6" t="str">
        <x:f>IFERROR(XLOOKUP(E4,'Review Sequence'!C2:C1586,'Review Sequence'!J2:J1586),"Dependency not found")</x:f>
        <x:v>Not Started</x:v>
      </x:c>
      <x:c r="G4" s="6" t="str">
        <x:v>Galaxy S 24 Screen replacement</x:v>
      </x:c>
      <x:c r="H4" s="6" t="str"/>
      <x:c r="I4" s="6" t="str"/>
      <x:c r="J4" s="6" t="str">
        <x:v>Unknown</x:v>
      </x:c>
      <x:c r="K4" s="6" t="str">
        <x:v>Unresolved</x:v>
      </x:c>
      <x:c r="L4" s="7" t="str">
        <x:v>Nocturnix_Master_Services_Catalog_v1.xlsx | 01 - Master Services | row 43</x:v>
      </x:c>
      <x:c r="M4" s="6" t="str"/>
      <x:c r="N4" s="6" t="str"/>
      <x:c r="O4" s="6" t="str">
        <x:v>Pending</x:v>
      </x:c>
      <x:c r="P4" s="7" t="str">
        <x:f>IF(AND(OR(D4="Reviewer Complete",D4="Awaiting Second-Level Approval"),OR(F4="Reviewer Complete",F4="Awaiting Second-Level Approval")),"","Identity/manufacturer dependency unresolved")</x:f>
        <x:v>Identity/manufacturer dependency unresolved</x:v>
      </x:c>
      <x:c r="Q4" s="6" t="str">
        <x:v>Yes</x:v>
      </x:c>
      <x:c r="R4" s="7" t="str"/>
    </x:row>
    <x:row r="5">
      <x:c r="A5" s="6" t="str">
        <x:v>DEVX-0004</x:v>
      </x:c>
      <x:c r="B5" s="6" t="str">
        <x:v>SVC000004</x:v>
      </x:c>
      <x:c r="C5" s="6" t="str">
        <x:v>SIDX-0004</x:v>
      </x:c>
      <x:c r="D5" s="6" t="str">
        <x:f>IFERROR(XLOOKUP(C5,'Review Sequence'!C2:C1586,'Review Sequence'!J2:J1586),"Dependency not found")</x:f>
        <x:v>Not Started</x:v>
      </x:c>
      <x:c r="E5" s="6" t="str">
        <x:v>MFRX-0004</x:v>
      </x:c>
      <x:c r="F5" s="6" t="str">
        <x:f>IFERROR(XLOOKUP(E5,'Review Sequence'!C2:C1586,'Review Sequence'!J2:J1586),"Dependency not found")</x:f>
        <x:v>Not Started</x:v>
      </x:c>
      <x:c r="G5" s="6" t="str">
        <x:v>Galaxy Note 10 Plus Screen replacement</x:v>
      </x:c>
      <x:c r="H5" s="6" t="str"/>
      <x:c r="I5" s="6" t="str"/>
      <x:c r="J5" s="6" t="str">
        <x:v>Unknown</x:v>
      </x:c>
      <x:c r="K5" s="6" t="str">
        <x:v>Unresolved</x:v>
      </x:c>
      <x:c r="L5" s="7" t="str">
        <x:v>Nocturnix_Master_Services_Catalog_v1.xlsx | 01 - Master Services | row 44</x:v>
      </x:c>
      <x:c r="M5" s="6" t="str"/>
      <x:c r="N5" s="6" t="str"/>
      <x:c r="O5" s="6" t="str">
        <x:v>Pending</x:v>
      </x:c>
      <x:c r="P5" s="7" t="str">
        <x:f>IF(AND(OR(D5="Reviewer Complete",D5="Awaiting Second-Level Approval"),OR(F5="Reviewer Complete",F5="Awaiting Second-Level Approval")),"","Identity/manufacturer dependency unresolved")</x:f>
        <x:v>Identity/manufacturer dependency unresolved</x:v>
      </x:c>
      <x:c r="Q5" s="6" t="str">
        <x:v>Yes</x:v>
      </x:c>
      <x:c r="R5" s="7" t="str"/>
    </x:row>
    <x:row r="6">
      <x:c r="A6" s="6" t="str">
        <x:v>DEVX-0005</x:v>
      </x:c>
      <x:c r="B6" s="6" t="str">
        <x:v>SVC000005</x:v>
      </x:c>
      <x:c r="C6" s="6" t="str">
        <x:v>SIDX-0005</x:v>
      </x:c>
      <x:c r="D6" s="6" t="str">
        <x:f>IFERROR(XLOOKUP(C6,'Review Sequence'!C2:C1586,'Review Sequence'!J2:J1586),"Dependency not found")</x:f>
        <x:v>Not Started</x:v>
      </x:c>
      <x:c r="E6" s="6" t="str">
        <x:v>MFRX-0005</x:v>
      </x:c>
      <x:c r="F6" s="6" t="str">
        <x:f>IFERROR(XLOOKUP(E6,'Review Sequence'!C2:C1586,'Review Sequence'!J2:J1586),"Dependency not found")</x:f>
        <x:v>Not Started</x:v>
      </x:c>
      <x:c r="G6" s="6" t="str">
        <x:v>Galaxy Note 8 Screen replacement</x:v>
      </x:c>
      <x:c r="H6" s="6" t="str"/>
      <x:c r="I6" s="6" t="str"/>
      <x:c r="J6" s="6" t="str">
        <x:v>Unknown</x:v>
      </x:c>
      <x:c r="K6" s="6" t="str">
        <x:v>Unresolved</x:v>
      </x:c>
      <x:c r="L6" s="7" t="str">
        <x:v>Nocturnix_Master_Services_Catalog_v1.xlsx | 01 - Master Services | row 45</x:v>
      </x:c>
      <x:c r="M6" s="6" t="str"/>
      <x:c r="N6" s="6" t="str"/>
      <x:c r="O6" s="6" t="str">
        <x:v>Pending</x:v>
      </x:c>
      <x:c r="P6" s="7" t="str">
        <x:f>IF(AND(OR(D6="Reviewer Complete",D6="Awaiting Second-Level Approval"),OR(F6="Reviewer Complete",F6="Awaiting Second-Level Approval")),"","Identity/manufacturer dependency unresolved")</x:f>
        <x:v>Identity/manufacturer dependency unresolved</x:v>
      </x:c>
      <x:c r="Q6" s="6" t="str">
        <x:v>Yes</x:v>
      </x:c>
      <x:c r="R6" s="7" t="str"/>
    </x:row>
    <x:row r="7">
      <x:c r="A7" s="6" t="str">
        <x:v>DEVX-0006</x:v>
      </x:c>
      <x:c r="B7" s="6" t="str">
        <x:v>SVC000006</x:v>
      </x:c>
      <x:c r="C7" s="6" t="str">
        <x:v>SIDX-0006</x:v>
      </x:c>
      <x:c r="D7" s="6" t="str">
        <x:f>IFERROR(XLOOKUP(C7,'Review Sequence'!C2:C1586,'Review Sequence'!J2:J1586),"Dependency not found")</x:f>
        <x:v>Not Started</x:v>
      </x:c>
      <x:c r="E7" s="6" t="str">
        <x:v>MFRX-0006</x:v>
      </x:c>
      <x:c r="F7" s="6" t="str">
        <x:f>IFERROR(XLOOKUP(E7,'Review Sequence'!C2:C1586,'Review Sequence'!J2:J1586),"Dependency not found")</x:f>
        <x:v>Not Started</x:v>
      </x:c>
      <x:c r="G7" s="6" t="str">
        <x:v>Galaxy S 25 Edge Screen replacement</x:v>
      </x:c>
      <x:c r="H7" s="6" t="str"/>
      <x:c r="I7" s="6" t="str"/>
      <x:c r="J7" s="6" t="str">
        <x:v>Unknown</x:v>
      </x:c>
      <x:c r="K7" s="6" t="str">
        <x:v>Unresolved</x:v>
      </x:c>
      <x:c r="L7" s="7" t="str">
        <x:v>Nocturnix_Master_Services_Catalog_v1.xlsx | 01 - Master Services | row 46</x:v>
      </x:c>
      <x:c r="M7" s="6" t="str"/>
      <x:c r="N7" s="6" t="str"/>
      <x:c r="O7" s="6" t="str">
        <x:v>Pending</x:v>
      </x:c>
      <x:c r="P7" s="7" t="str">
        <x:f>IF(AND(OR(D7="Reviewer Complete",D7="Awaiting Second-Level Approval"),OR(F7="Reviewer Complete",F7="Awaiting Second-Level Approval")),"","Identity/manufacturer dependency unresolved")</x:f>
        <x:v>Identity/manufacturer dependency unresolved</x:v>
      </x:c>
      <x:c r="Q7" s="6" t="str">
        <x:v>Yes</x:v>
      </x:c>
      <x:c r="R7" s="7" t="str"/>
    </x:row>
    <x:row r="8">
      <x:c r="A8" s="6" t="str">
        <x:v>DEVX-0007</x:v>
      </x:c>
      <x:c r="B8" s="6" t="str">
        <x:v>SVC000007</x:v>
      </x:c>
      <x:c r="C8" s="6" t="str">
        <x:v>SIDX-0007</x:v>
      </x:c>
      <x:c r="D8" s="6" t="str">
        <x:f>IFERROR(XLOOKUP(C8,'Review Sequence'!C2:C1586,'Review Sequence'!J2:J1586),"Dependency not found")</x:f>
        <x:v>Not Started</x:v>
      </x:c>
      <x:c r="E8" s="6" t="str">
        <x:v>MFRX-0007</x:v>
      </x:c>
      <x:c r="F8" s="6" t="str">
        <x:f>IFERROR(XLOOKUP(E8,'Review Sequence'!C2:C1586,'Review Sequence'!J2:J1586),"Dependency not found")</x:f>
        <x:v>Not Started</x:v>
      </x:c>
      <x:c r="G8" s="6" t="str">
        <x:v>Galaxy S 25 FE Screen replacement</x:v>
      </x:c>
      <x:c r="H8" s="6" t="str"/>
      <x:c r="I8" s="6" t="str"/>
      <x:c r="J8" s="6" t="str">
        <x:v>Unknown</x:v>
      </x:c>
      <x:c r="K8" s="6" t="str">
        <x:v>Unresolved</x:v>
      </x:c>
      <x:c r="L8" s="7" t="str">
        <x:v>Nocturnix_Master_Services_Catalog_v1.xlsx | 01 - Master Services | row 47</x:v>
      </x:c>
      <x:c r="M8" s="6" t="str"/>
      <x:c r="N8" s="6" t="str"/>
      <x:c r="O8" s="6" t="str">
        <x:v>Pending</x:v>
      </x:c>
      <x:c r="P8" s="7" t="str">
        <x:f>IF(AND(OR(D8="Reviewer Complete",D8="Awaiting Second-Level Approval"),OR(F8="Reviewer Complete",F8="Awaiting Second-Level Approval")),"","Identity/manufacturer dependency unresolved")</x:f>
        <x:v>Identity/manufacturer dependency unresolved</x:v>
      </x:c>
      <x:c r="Q8" s="6" t="str">
        <x:v>Yes</x:v>
      </x:c>
      <x:c r="R8" s="7" t="str"/>
    </x:row>
    <x:row r="9">
      <x:c r="A9" s="6" t="str">
        <x:v>DEVX-0008</x:v>
      </x:c>
      <x:c r="B9" s="6" t="str">
        <x:v>SVC000008</x:v>
      </x:c>
      <x:c r="C9" s="6" t="str">
        <x:v>SIDX-0008</x:v>
      </x:c>
      <x:c r="D9" s="6" t="str">
        <x:f>IFERROR(XLOOKUP(C9,'Review Sequence'!C2:C1586,'Review Sequence'!J2:J1586),"Dependency not found")</x:f>
        <x:v>Not Started</x:v>
      </x:c>
      <x:c r="E9" s="6" t="str">
        <x:v>MFRX-0008</x:v>
      </x:c>
      <x:c r="F9" s="6" t="str">
        <x:f>IFERROR(XLOOKUP(E9,'Review Sequence'!C2:C1586,'Review Sequence'!J2:J1586),"Dependency not found")</x:f>
        <x:v>Not Started</x:v>
      </x:c>
      <x:c r="G9" s="6" t="str">
        <x:v>iPhone 6 Screen replacement</x:v>
      </x:c>
      <x:c r="H9" s="6" t="str"/>
      <x:c r="I9" s="6" t="str"/>
      <x:c r="J9" s="6" t="str">
        <x:v>Unknown</x:v>
      </x:c>
      <x:c r="K9" s="6" t="str">
        <x:v>Unresolved</x:v>
      </x:c>
      <x:c r="L9" s="7" t="str">
        <x:v>Nocturnix_Master_Services_Catalog_v1.xlsx | 01 - Master Services | row 48</x:v>
      </x:c>
      <x:c r="M9" s="6" t="str"/>
      <x:c r="N9" s="6" t="str"/>
      <x:c r="O9" s="6" t="str">
        <x:v>Pending</x:v>
      </x:c>
      <x:c r="P9" s="7" t="str">
        <x:f>IF(AND(OR(D9="Reviewer Complete",D9="Awaiting Second-Level Approval"),OR(F9="Reviewer Complete",F9="Awaiting Second-Level Approval")),"","Identity/manufacturer dependency unresolved")</x:f>
        <x:v>Identity/manufacturer dependency unresolved</x:v>
      </x:c>
      <x:c r="Q9" s="6" t="str">
        <x:v>Yes</x:v>
      </x:c>
      <x:c r="R9" s="7" t="str"/>
    </x:row>
    <x:row r="10">
      <x:c r="A10" s="6" t="str">
        <x:v>DEVX-0009</x:v>
      </x:c>
      <x:c r="B10" s="6" t="str">
        <x:v>SVC000009</x:v>
      </x:c>
      <x:c r="C10" s="6" t="str">
        <x:v>SIDX-0009</x:v>
      </x:c>
      <x:c r="D10" s="6" t="str">
        <x:f>IFERROR(XLOOKUP(C10,'Review Sequence'!C2:C1586,'Review Sequence'!J2:J1586),"Dependency not found")</x:f>
        <x:v>Not Started</x:v>
      </x:c>
      <x:c r="E10" s="6" t="str">
        <x:v>MFRX-0009</x:v>
      </x:c>
      <x:c r="F10" s="6" t="str">
        <x:f>IFERROR(XLOOKUP(E10,'Review Sequence'!C2:C1586,'Review Sequence'!J2:J1586),"Dependency not found")</x:f>
        <x:v>Not Started</x:v>
      </x:c>
      <x:c r="G10" s="6" t="str">
        <x:v>iPhone 6S+ Screen replacement</x:v>
      </x:c>
      <x:c r="H10" s="6" t="str"/>
      <x:c r="I10" s="6" t="str"/>
      <x:c r="J10" s="6" t="str">
        <x:v>Unknown</x:v>
      </x:c>
      <x:c r="K10" s="6" t="str">
        <x:v>Unresolved</x:v>
      </x:c>
      <x:c r="L10" s="7" t="str">
        <x:v>Nocturnix_Master_Services_Catalog_v1.xlsx | 01 - Master Services | row 49</x:v>
      </x:c>
      <x:c r="M10" s="6" t="str"/>
      <x:c r="N10" s="6" t="str"/>
      <x:c r="O10" s="6" t="str">
        <x:v>Pending</x:v>
      </x:c>
      <x:c r="P10" s="7" t="str">
        <x:f>IF(AND(OR(D10="Reviewer Complete",D10="Awaiting Second-Level Approval"),OR(F10="Reviewer Complete",F10="Awaiting Second-Level Approval")),"","Identity/manufacturer dependency unresolved")</x:f>
        <x:v>Identity/manufacturer dependency unresolved</x:v>
      </x:c>
      <x:c r="Q10" s="6" t="str">
        <x:v>Yes</x:v>
      </x:c>
      <x:c r="R10" s="7" t="str"/>
    </x:row>
    <x:row r="11">
      <x:c r="A11" s="6" t="str">
        <x:v>DEVX-0010</x:v>
      </x:c>
      <x:c r="B11" s="6" t="str">
        <x:v>SVC000010</x:v>
      </x:c>
      <x:c r="C11" s="6" t="str">
        <x:v>SIDX-0010</x:v>
      </x:c>
      <x:c r="D11" s="6" t="str">
        <x:f>IFERROR(XLOOKUP(C11,'Review Sequence'!C2:C1586,'Review Sequence'!J2:J1586),"Dependency not found")</x:f>
        <x:v>Not Started</x:v>
      </x:c>
      <x:c r="E11" s="6" t="str">
        <x:v>MFRX-0010</x:v>
      </x:c>
      <x:c r="F11" s="6" t="str">
        <x:f>IFERROR(XLOOKUP(E11,'Review Sequence'!C2:C1586,'Review Sequence'!J2:J1586),"Dependency not found")</x:f>
        <x:v>Not Started</x:v>
      </x:c>
      <x:c r="G11" s="6" t="str">
        <x:v>Galaxy S 22 Screen replacement</x:v>
      </x:c>
      <x:c r="H11" s="6" t="str"/>
      <x:c r="I11" s="6" t="str"/>
      <x:c r="J11" s="6" t="str">
        <x:v>Unknown</x:v>
      </x:c>
      <x:c r="K11" s="6" t="str">
        <x:v>Unresolved</x:v>
      </x:c>
      <x:c r="L11" s="7" t="str">
        <x:v>Nocturnix_Master_Services_Catalog_v1.xlsx | 01 - Master Services | row 50</x:v>
      </x:c>
      <x:c r="M11" s="6" t="str"/>
      <x:c r="N11" s="6" t="str"/>
      <x:c r="O11" s="6" t="str">
        <x:v>Pending</x:v>
      </x:c>
      <x:c r="P11" s="7" t="str">
        <x:f>IF(AND(OR(D11="Reviewer Complete",D11="Awaiting Second-Level Approval"),OR(F11="Reviewer Complete",F11="Awaiting Second-Level Approval")),"","Identity/manufacturer dependency unresolved")</x:f>
        <x:v>Identity/manufacturer dependency unresolved</x:v>
      </x:c>
      <x:c r="Q11" s="6" t="str">
        <x:v>Yes</x:v>
      </x:c>
      <x:c r="R11" s="7" t="str"/>
    </x:row>
    <x:row r="12">
      <x:c r="A12" s="6" t="str">
        <x:v>DEVX-0011</x:v>
      </x:c>
      <x:c r="B12" s="6" t="str">
        <x:v>SVC000011</x:v>
      </x:c>
      <x:c r="C12" s="6" t="str">
        <x:v>SIDX-0011</x:v>
      </x:c>
      <x:c r="D12" s="6" t="str">
        <x:f>IFERROR(XLOOKUP(C12,'Review Sequence'!C2:C1586,'Review Sequence'!J2:J1586),"Dependency not found")</x:f>
        <x:v>Not Started</x:v>
      </x:c>
      <x:c r="E12" s="6" t="str">
        <x:v>MFRX-0011</x:v>
      </x:c>
      <x:c r="F12" s="6" t="str">
        <x:f>IFERROR(XLOOKUP(E12,'Review Sequence'!C2:C1586,'Review Sequence'!J2:J1586),"Dependency not found")</x:f>
        <x:v>Not Started</x:v>
      </x:c>
      <x:c r="G12" s="6" t="str">
        <x:v>Galaxy S 20 Plus Screen replacement</x:v>
      </x:c>
      <x:c r="H12" s="6" t="str"/>
      <x:c r="I12" s="6" t="str"/>
      <x:c r="J12" s="6" t="str">
        <x:v>Unknown</x:v>
      </x:c>
      <x:c r="K12" s="6" t="str">
        <x:v>Unresolved</x:v>
      </x:c>
      <x:c r="L12" s="7" t="str">
        <x:v>Nocturnix_Master_Services_Catalog_v1.xlsx | 01 - Master Services | row 51</x:v>
      </x:c>
      <x:c r="M12" s="6" t="str"/>
      <x:c r="N12" s="6" t="str"/>
      <x:c r="O12" s="6" t="str">
        <x:v>Pending</x:v>
      </x:c>
      <x:c r="P12" s="7" t="str">
        <x:f>IF(AND(OR(D12="Reviewer Complete",D12="Awaiting Second-Level Approval"),OR(F12="Reviewer Complete",F12="Awaiting Second-Level Approval")),"","Identity/manufacturer dependency unresolved")</x:f>
        <x:v>Identity/manufacturer dependency unresolved</x:v>
      </x:c>
      <x:c r="Q12" s="6" t="str">
        <x:v>Yes</x:v>
      </x:c>
      <x:c r="R12" s="7" t="str"/>
    </x:row>
    <x:row r="13">
      <x:c r="A13" s="6" t="str">
        <x:v>DEVX-0012</x:v>
      </x:c>
      <x:c r="B13" s="6" t="str">
        <x:v>SVC000012</x:v>
      </x:c>
      <x:c r="C13" s="6" t="str">
        <x:v>SIDX-0012</x:v>
      </x:c>
      <x:c r="D13" s="6" t="str">
        <x:f>IFERROR(XLOOKUP(C13,'Review Sequence'!C2:C1586,'Review Sequence'!J2:J1586),"Dependency not found")</x:f>
        <x:v>Not Started</x:v>
      </x:c>
      <x:c r="E13" s="6" t="str">
        <x:v>MFRX-0012</x:v>
      </x:c>
      <x:c r="F13" s="6" t="str">
        <x:f>IFERROR(XLOOKUP(E13,'Review Sequence'!C2:C1586,'Review Sequence'!J2:J1586),"Dependency not found")</x:f>
        <x:v>Not Started</x:v>
      </x:c>
      <x:c r="G13" s="6" t="str">
        <x:v>Galaxy S 23 Ultra Screen replacement</x:v>
      </x:c>
      <x:c r="H13" s="6" t="str"/>
      <x:c r="I13" s="6" t="str"/>
      <x:c r="J13" s="6" t="str">
        <x:v>Unknown</x:v>
      </x:c>
      <x:c r="K13" s="6" t="str">
        <x:v>Unresolved</x:v>
      </x:c>
      <x:c r="L13" s="7" t="str">
        <x:v>Nocturnix_Master_Services_Catalog_v1.xlsx | 01 - Master Services | row 52</x:v>
      </x:c>
      <x:c r="M13" s="6" t="str"/>
      <x:c r="N13" s="6" t="str"/>
      <x:c r="O13" s="6" t="str">
        <x:v>Pending</x:v>
      </x:c>
      <x:c r="P13" s="7" t="str">
        <x:f>IF(AND(OR(D13="Reviewer Complete",D13="Awaiting Second-Level Approval"),OR(F13="Reviewer Complete",F13="Awaiting Second-Level Approval")),"","Identity/manufacturer dependency unresolved")</x:f>
        <x:v>Identity/manufacturer dependency unresolved</x:v>
      </x:c>
      <x:c r="Q13" s="6" t="str">
        <x:v>Yes</x:v>
      </x:c>
      <x:c r="R13" s="7" t="str"/>
    </x:row>
    <x:row r="14">
      <x:c r="A14" s="6" t="str">
        <x:v>DEVX-0013</x:v>
      </x:c>
      <x:c r="B14" s="6" t="str">
        <x:v>SVC000013</x:v>
      </x:c>
      <x:c r="C14" s="6" t="str">
        <x:v>SIDX-0013</x:v>
      </x:c>
      <x:c r="D14" s="6" t="str">
        <x:f>IFERROR(XLOOKUP(C14,'Review Sequence'!C2:C1586,'Review Sequence'!J2:J1586),"Dependency not found")</x:f>
        <x:v>Not Started</x:v>
      </x:c>
      <x:c r="E14" s="6" t="str">
        <x:v>MFRX-0013</x:v>
      </x:c>
      <x:c r="F14" s="6" t="str">
        <x:f>IFERROR(XLOOKUP(E14,'Review Sequence'!C2:C1586,'Review Sequence'!J2:J1586),"Dependency not found")</x:f>
        <x:v>Not Started</x:v>
      </x:c>
      <x:c r="G14" s="6" t="str">
        <x:v>Galaxy S 24 Ultra Screen replacement</x:v>
      </x:c>
      <x:c r="H14" s="6" t="str"/>
      <x:c r="I14" s="6" t="str"/>
      <x:c r="J14" s="6" t="str">
        <x:v>Unknown</x:v>
      </x:c>
      <x:c r="K14" s="6" t="str">
        <x:v>Unresolved</x:v>
      </x:c>
      <x:c r="L14" s="7" t="str">
        <x:v>Nocturnix_Master_Services_Catalog_v1.xlsx | 01 - Master Services | row 53</x:v>
      </x:c>
      <x:c r="M14" s="6" t="str"/>
      <x:c r="N14" s="6" t="str"/>
      <x:c r="O14" s="6" t="str">
        <x:v>Pending</x:v>
      </x:c>
      <x:c r="P14" s="7" t="str">
        <x:f>IF(AND(OR(D14="Reviewer Complete",D14="Awaiting Second-Level Approval"),OR(F14="Reviewer Complete",F14="Awaiting Second-Level Approval")),"","Identity/manufacturer dependency unresolved")</x:f>
        <x:v>Identity/manufacturer dependency unresolved</x:v>
      </x:c>
      <x:c r="Q14" s="6" t="str">
        <x:v>Yes</x:v>
      </x:c>
      <x:c r="R14" s="7" t="str"/>
    </x:row>
    <x:row r="15">
      <x:c r="A15" s="6" t="str">
        <x:v>DEVX-0014</x:v>
      </x:c>
      <x:c r="B15" s="6" t="str">
        <x:v>SVC000014</x:v>
      </x:c>
      <x:c r="C15" s="6" t="str">
        <x:v>SIDX-0014</x:v>
      </x:c>
      <x:c r="D15" s="6" t="str">
        <x:f>IFERROR(XLOOKUP(C15,'Review Sequence'!C2:C1586,'Review Sequence'!J2:J1586),"Dependency not found")</x:f>
        <x:v>Not Started</x:v>
      </x:c>
      <x:c r="E15" s="6" t="str">
        <x:v>MFRX-0014</x:v>
      </x:c>
      <x:c r="F15" s="6" t="str">
        <x:f>IFERROR(XLOOKUP(E15,'Review Sequence'!C2:C1586,'Review Sequence'!J2:J1586),"Dependency not found")</x:f>
        <x:v>Not Started</x:v>
      </x:c>
      <x:c r="G15" s="6" t="str">
        <x:v>Galaxy S 20 FE Screen replacement</x:v>
      </x:c>
      <x:c r="H15" s="6" t="str"/>
      <x:c r="I15" s="6" t="str"/>
      <x:c r="J15" s="6" t="str">
        <x:v>Unknown</x:v>
      </x:c>
      <x:c r="K15" s="6" t="str">
        <x:v>Unresolved</x:v>
      </x:c>
      <x:c r="L15" s="7" t="str">
        <x:v>Nocturnix_Master_Services_Catalog_v1.xlsx | 01 - Master Services | row 54</x:v>
      </x:c>
      <x:c r="M15" s="6" t="str"/>
      <x:c r="N15" s="6" t="str"/>
      <x:c r="O15" s="6" t="str">
        <x:v>Pending</x:v>
      </x:c>
      <x:c r="P15" s="7" t="str">
        <x:f>IF(AND(OR(D15="Reviewer Complete",D15="Awaiting Second-Level Approval"),OR(F15="Reviewer Complete",F15="Awaiting Second-Level Approval")),"","Identity/manufacturer dependency unresolved")</x:f>
        <x:v>Identity/manufacturer dependency unresolved</x:v>
      </x:c>
      <x:c r="Q15" s="6" t="str">
        <x:v>Yes</x:v>
      </x:c>
      <x:c r="R15" s="7" t="str"/>
    </x:row>
    <x:row r="16">
      <x:c r="A16" s="6" t="str">
        <x:v>DEVX-0015</x:v>
      </x:c>
      <x:c r="B16" s="6" t="str">
        <x:v>SVC000015</x:v>
      </x:c>
      <x:c r="C16" s="6" t="str">
        <x:v>SIDX-0015</x:v>
      </x:c>
      <x:c r="D16" s="6" t="str">
        <x:f>IFERROR(XLOOKUP(C16,'Review Sequence'!C2:C1586,'Review Sequence'!J2:J1586),"Dependency not found")</x:f>
        <x:v>Not Started</x:v>
      </x:c>
      <x:c r="E16" s="6" t="str">
        <x:v>MFRX-0015</x:v>
      </x:c>
      <x:c r="F16" s="6" t="str">
        <x:f>IFERROR(XLOOKUP(E16,'Review Sequence'!C2:C1586,'Review Sequence'!J2:J1586),"Dependency not found")</x:f>
        <x:v>Not Started</x:v>
      </x:c>
      <x:c r="G16" s="6" t="str">
        <x:v>Galaxy S 9 Plus Screen replacement</x:v>
      </x:c>
      <x:c r="H16" s="6" t="str"/>
      <x:c r="I16" s="6" t="str"/>
      <x:c r="J16" s="6" t="str">
        <x:v>Unknown</x:v>
      </x:c>
      <x:c r="K16" s="6" t="str">
        <x:v>Unresolved</x:v>
      </x:c>
      <x:c r="L16" s="7" t="str">
        <x:v>Nocturnix_Master_Services_Catalog_v1.xlsx | 01 - Master Services | row 55</x:v>
      </x:c>
      <x:c r="M16" s="6" t="str"/>
      <x:c r="N16" s="6" t="str"/>
      <x:c r="O16" s="6" t="str">
        <x:v>Pending</x:v>
      </x:c>
      <x:c r="P16" s="7" t="str">
        <x:f>IF(AND(OR(D16="Reviewer Complete",D16="Awaiting Second-Level Approval"),OR(F16="Reviewer Complete",F16="Awaiting Second-Level Approval")),"","Identity/manufacturer dependency unresolved")</x:f>
        <x:v>Identity/manufacturer dependency unresolved</x:v>
      </x:c>
      <x:c r="Q16" s="6" t="str">
        <x:v>Yes</x:v>
      </x:c>
      <x:c r="R16" s="7" t="str"/>
    </x:row>
    <x:row r="17">
      <x:c r="A17" s="6" t="str">
        <x:v>DEVX-0016</x:v>
      </x:c>
      <x:c r="B17" s="6" t="str">
        <x:v>SVC000016</x:v>
      </x:c>
      <x:c r="C17" s="6" t="str">
        <x:v>SIDX-0016</x:v>
      </x:c>
      <x:c r="D17" s="6" t="str">
        <x:f>IFERROR(XLOOKUP(C17,'Review Sequence'!C2:C1586,'Review Sequence'!J2:J1586),"Dependency not found")</x:f>
        <x:v>Not Started</x:v>
      </x:c>
      <x:c r="E17" s="6" t="str">
        <x:v>MFRX-0016</x:v>
      </x:c>
      <x:c r="F17" s="6" t="str">
        <x:f>IFERROR(XLOOKUP(E17,'Review Sequence'!C2:C1586,'Review Sequence'!J2:J1586),"Dependency not found")</x:f>
        <x:v>Not Started</x:v>
      </x:c>
      <x:c r="G17" s="6" t="str">
        <x:v>Galaxy S 24 FE Screen replacement</x:v>
      </x:c>
      <x:c r="H17" s="6" t="str"/>
      <x:c r="I17" s="6" t="str"/>
      <x:c r="J17" s="6" t="str">
        <x:v>Unknown</x:v>
      </x:c>
      <x:c r="K17" s="6" t="str">
        <x:v>Unresolved</x:v>
      </x:c>
      <x:c r="L17" s="7" t="str">
        <x:v>Nocturnix_Master_Services_Catalog_v1.xlsx | 01 - Master Services | row 56</x:v>
      </x:c>
      <x:c r="M17" s="6" t="str"/>
      <x:c r="N17" s="6" t="str"/>
      <x:c r="O17" s="6" t="str">
        <x:v>Pending</x:v>
      </x:c>
      <x:c r="P17" s="7" t="str">
        <x:f>IF(AND(OR(D17="Reviewer Complete",D17="Awaiting Second-Level Approval"),OR(F17="Reviewer Complete",F17="Awaiting Second-Level Approval")),"","Identity/manufacturer dependency unresolved")</x:f>
        <x:v>Identity/manufacturer dependency unresolved</x:v>
      </x:c>
      <x:c r="Q17" s="6" t="str">
        <x:v>Yes</x:v>
      </x:c>
      <x:c r="R17" s="7" t="str"/>
    </x:row>
    <x:row r="18">
      <x:c r="A18" s="6" t="str">
        <x:v>DEVX-0017</x:v>
      </x:c>
      <x:c r="B18" s="6" t="str">
        <x:v>SVC000017</x:v>
      </x:c>
      <x:c r="C18" s="6" t="str">
        <x:v>SIDX-0017</x:v>
      </x:c>
      <x:c r="D18" s="6" t="str">
        <x:f>IFERROR(XLOOKUP(C18,'Review Sequence'!C2:C1586,'Review Sequence'!J2:J1586),"Dependency not found")</x:f>
        <x:v>Not Started</x:v>
      </x:c>
      <x:c r="E18" s="6" t="str">
        <x:v>MFRX-0017</x:v>
      </x:c>
      <x:c r="F18" s="6" t="str">
        <x:f>IFERROR(XLOOKUP(E18,'Review Sequence'!C2:C1586,'Review Sequence'!J2:J1586),"Dependency not found")</x:f>
        <x:v>Not Started</x:v>
      </x:c>
      <x:c r="G18" s="6" t="str">
        <x:v>Galaxy S 8 Plus Screen replacement</x:v>
      </x:c>
      <x:c r="H18" s="6" t="str"/>
      <x:c r="I18" s="6" t="str"/>
      <x:c r="J18" s="6" t="str">
        <x:v>Unknown</x:v>
      </x:c>
      <x:c r="K18" s="6" t="str">
        <x:v>Unresolved</x:v>
      </x:c>
      <x:c r="L18" s="7" t="str">
        <x:v>Nocturnix_Master_Services_Catalog_v1.xlsx | 01 - Master Services | row 57</x:v>
      </x:c>
      <x:c r="M18" s="6" t="str"/>
      <x:c r="N18" s="6" t="str"/>
      <x:c r="O18" s="6" t="str">
        <x:v>Pending</x:v>
      </x:c>
      <x:c r="P18" s="7" t="str">
        <x:f>IF(AND(OR(D18="Reviewer Complete",D18="Awaiting Second-Level Approval"),OR(F18="Reviewer Complete",F18="Awaiting Second-Level Approval")),"","Identity/manufacturer dependency unresolved")</x:f>
        <x:v>Identity/manufacturer dependency unresolved</x:v>
      </x:c>
      <x:c r="Q18" s="6" t="str">
        <x:v>Yes</x:v>
      </x:c>
      <x:c r="R18" s="7" t="str"/>
    </x:row>
    <x:row r="19">
      <x:c r="A19" s="6" t="str">
        <x:v>DEVX-0018</x:v>
      </x:c>
      <x:c r="B19" s="6" t="str">
        <x:v>SVC000018</x:v>
      </x:c>
      <x:c r="C19" s="6" t="str">
        <x:v>SIDX-0018</x:v>
      </x:c>
      <x:c r="D19" s="6" t="str">
        <x:f>IFERROR(XLOOKUP(C19,'Review Sequence'!C2:C1586,'Review Sequence'!J2:J1586),"Dependency not found")</x:f>
        <x:v>Not Started</x:v>
      </x:c>
      <x:c r="E19" s="6" t="str">
        <x:v>MFRX-0018</x:v>
      </x:c>
      <x:c r="F19" s="6" t="str">
        <x:f>IFERROR(XLOOKUP(E19,'Review Sequence'!C2:C1586,'Review Sequence'!J2:J1586),"Dependency not found")</x:f>
        <x:v>Not Started</x:v>
      </x:c>
      <x:c r="G19" s="6" t="str">
        <x:v>Galaxy S 25 Plus Screen replacement</x:v>
      </x:c>
      <x:c r="H19" s="6" t="str"/>
      <x:c r="I19" s="6" t="str"/>
      <x:c r="J19" s="6" t="str">
        <x:v>Unknown</x:v>
      </x:c>
      <x:c r="K19" s="6" t="str">
        <x:v>Unresolved</x:v>
      </x:c>
      <x:c r="L19" s="7" t="str">
        <x:v>Nocturnix_Master_Services_Catalog_v1.xlsx | 01 - Master Services | row 58</x:v>
      </x:c>
      <x:c r="M19" s="6" t="str"/>
      <x:c r="N19" s="6" t="str"/>
      <x:c r="O19" s="6" t="str">
        <x:v>Pending</x:v>
      </x:c>
      <x:c r="P19" s="7" t="str">
        <x:f>IF(AND(OR(D19="Reviewer Complete",D19="Awaiting Second-Level Approval"),OR(F19="Reviewer Complete",F19="Awaiting Second-Level Approval")),"","Identity/manufacturer dependency unresolved")</x:f>
        <x:v>Identity/manufacturer dependency unresolved</x:v>
      </x:c>
      <x:c r="Q19" s="6" t="str">
        <x:v>Yes</x:v>
      </x:c>
      <x:c r="R19" s="7" t="str"/>
    </x:row>
    <x:row r="20">
      <x:c r="A20" s="6" t="str">
        <x:v>DEVX-0019</x:v>
      </x:c>
      <x:c r="B20" s="6" t="str">
        <x:v>SVC000019</x:v>
      </x:c>
      <x:c r="C20" s="6" t="str">
        <x:v>SIDX-0019</x:v>
      </x:c>
      <x:c r="D20" s="6" t="str">
        <x:f>IFERROR(XLOOKUP(C20,'Review Sequence'!C2:C1586,'Review Sequence'!J2:J1586),"Dependency not found")</x:f>
        <x:v>Not Started</x:v>
      </x:c>
      <x:c r="E20" s="6" t="str">
        <x:v>MFRX-0019</x:v>
      </x:c>
      <x:c r="F20" s="6" t="str">
        <x:f>IFERROR(XLOOKUP(E20,'Review Sequence'!C2:C1586,'Review Sequence'!J2:J1586),"Dependency not found")</x:f>
        <x:v>Not Started</x:v>
      </x:c>
      <x:c r="G20" s="6" t="str">
        <x:v>Galaxy S 21 Screen replacement</x:v>
      </x:c>
      <x:c r="H20" s="6" t="str"/>
      <x:c r="I20" s="6" t="str"/>
      <x:c r="J20" s="6" t="str">
        <x:v>Unknown</x:v>
      </x:c>
      <x:c r="K20" s="6" t="str">
        <x:v>Unresolved</x:v>
      </x:c>
      <x:c r="L20" s="7" t="str">
        <x:v>Nocturnix_Master_Services_Catalog_v1.xlsx | 01 - Master Services | row 59</x:v>
      </x:c>
      <x:c r="M20" s="6" t="str"/>
      <x:c r="N20" s="6" t="str"/>
      <x:c r="O20" s="6" t="str">
        <x:v>Pending</x:v>
      </x:c>
      <x:c r="P20" s="7" t="str">
        <x:f>IF(AND(OR(D20="Reviewer Complete",D20="Awaiting Second-Level Approval"),OR(F20="Reviewer Complete",F20="Awaiting Second-Level Approval")),"","Identity/manufacturer dependency unresolved")</x:f>
        <x:v>Identity/manufacturer dependency unresolved</x:v>
      </x:c>
      <x:c r="Q20" s="6" t="str">
        <x:v>Yes</x:v>
      </x:c>
      <x:c r="R20" s="7" t="str"/>
    </x:row>
    <x:row r="21">
      <x:c r="A21" s="6" t="str">
        <x:v>DEVX-0020</x:v>
      </x:c>
      <x:c r="B21" s="6" t="str">
        <x:v>SVC000020</x:v>
      </x:c>
      <x:c r="C21" s="6" t="str">
        <x:v>SIDX-0020</x:v>
      </x:c>
      <x:c r="D21" s="6" t="str">
        <x:f>IFERROR(XLOOKUP(C21,'Review Sequence'!C2:C1586,'Review Sequence'!J2:J1586),"Dependency not found")</x:f>
        <x:v>Not Started</x:v>
      </x:c>
      <x:c r="E21" s="6" t="str">
        <x:v>MFRX-0020</x:v>
      </x:c>
      <x:c r="F21" s="6" t="str">
        <x:f>IFERROR(XLOOKUP(E21,'Review Sequence'!C2:C1586,'Review Sequence'!J2:J1586),"Dependency not found")</x:f>
        <x:v>Not Started</x:v>
      </x:c>
      <x:c r="G21" s="6" t="str">
        <x:v>Galaxy S 22 Plus Screen replacement</x:v>
      </x:c>
      <x:c r="H21" s="6" t="str"/>
      <x:c r="I21" s="6" t="str"/>
      <x:c r="J21" s="6" t="str">
        <x:v>Unknown</x:v>
      </x:c>
      <x:c r="K21" s="6" t="str">
        <x:v>Unresolved</x:v>
      </x:c>
      <x:c r="L21" s="7" t="str">
        <x:v>Nocturnix_Master_Services_Catalog_v1.xlsx | 01 - Master Services | row 60</x:v>
      </x:c>
      <x:c r="M21" s="6" t="str"/>
      <x:c r="N21" s="6" t="str"/>
      <x:c r="O21" s="6" t="str">
        <x:v>Pending</x:v>
      </x:c>
      <x:c r="P21" s="7" t="str">
        <x:f>IF(AND(OR(D21="Reviewer Complete",D21="Awaiting Second-Level Approval"),OR(F21="Reviewer Complete",F21="Awaiting Second-Level Approval")),"","Identity/manufacturer dependency unresolved")</x:f>
        <x:v>Identity/manufacturer dependency unresolved</x:v>
      </x:c>
      <x:c r="Q21" s="6" t="str">
        <x:v>Yes</x:v>
      </x:c>
      <x:c r="R21" s="7" t="str"/>
    </x:row>
    <x:row r="22">
      <x:c r="A22" s="6" t="str">
        <x:v>DEVX-0021</x:v>
      </x:c>
      <x:c r="B22" s="6" t="str">
        <x:v>SVC000021</x:v>
      </x:c>
      <x:c r="C22" s="6" t="str">
        <x:v>SIDX-0021</x:v>
      </x:c>
      <x:c r="D22" s="6" t="str">
        <x:f>IFERROR(XLOOKUP(C22,'Review Sequence'!C2:C1586,'Review Sequence'!J2:J1586),"Dependency not found")</x:f>
        <x:v>Not Started</x:v>
      </x:c>
      <x:c r="E22" s="6" t="str">
        <x:v>MFRX-0021</x:v>
      </x:c>
      <x:c r="F22" s="6" t="str">
        <x:f>IFERROR(XLOOKUP(E22,'Review Sequence'!C2:C1586,'Review Sequence'!J2:J1586),"Dependency not found")</x:f>
        <x:v>Not Started</x:v>
      </x:c>
      <x:c r="G22" s="6" t="str">
        <x:v>Galaxy S 22 Ultra Screen replacement</x:v>
      </x:c>
      <x:c r="H22" s="6" t="str"/>
      <x:c r="I22" s="6" t="str"/>
      <x:c r="J22" s="6" t="str">
        <x:v>Unknown</x:v>
      </x:c>
      <x:c r="K22" s="6" t="str">
        <x:v>Unresolved</x:v>
      </x:c>
      <x:c r="L22" s="7" t="str">
        <x:v>Nocturnix_Master_Services_Catalog_v1.xlsx | 01 - Master Services | row 61</x:v>
      </x:c>
      <x:c r="M22" s="6" t="str"/>
      <x:c r="N22" s="6" t="str"/>
      <x:c r="O22" s="6" t="str">
        <x:v>Pending</x:v>
      </x:c>
      <x:c r="P22" s="7" t="str">
        <x:f>IF(AND(OR(D22="Reviewer Complete",D22="Awaiting Second-Level Approval"),OR(F22="Reviewer Complete",F22="Awaiting Second-Level Approval")),"","Identity/manufacturer dependency unresolved")</x:f>
        <x:v>Identity/manufacturer dependency unresolved</x:v>
      </x:c>
      <x:c r="Q22" s="6" t="str">
        <x:v>Yes</x:v>
      </x:c>
      <x:c r="R22" s="7" t="str"/>
    </x:row>
    <x:row r="23">
      <x:c r="A23" s="6" t="str">
        <x:v>DEVX-0022</x:v>
      </x:c>
      <x:c r="B23" s="6" t="str">
        <x:v>SVC000022</x:v>
      </x:c>
      <x:c r="C23" s="6" t="str">
        <x:v>SIDX-0022</x:v>
      </x:c>
      <x:c r="D23" s="6" t="str">
        <x:f>IFERROR(XLOOKUP(C23,'Review Sequence'!C2:C1586,'Review Sequence'!J2:J1586),"Dependency not found")</x:f>
        <x:v>Not Started</x:v>
      </x:c>
      <x:c r="E23" s="6" t="str">
        <x:v>MFRX-0022</x:v>
      </x:c>
      <x:c r="F23" s="6" t="str">
        <x:f>IFERROR(XLOOKUP(E23,'Review Sequence'!C2:C1586,'Review Sequence'!J2:J1586),"Dependency not found")</x:f>
        <x:v>Not Started</x:v>
      </x:c>
      <x:c r="G23" s="6" t="str">
        <x:v>Galaxy S 24 FE Battery Replacement</x:v>
      </x:c>
      <x:c r="H23" s="6" t="str"/>
      <x:c r="I23" s="6" t="str"/>
      <x:c r="J23" s="6" t="str">
        <x:v>Unknown</x:v>
      </x:c>
      <x:c r="K23" s="6" t="str">
        <x:v>Unresolved</x:v>
      </x:c>
      <x:c r="L23" s="7" t="str">
        <x:v>Nocturnix_Master_Services_Catalog_v1.xlsx | 01 - Master Services | row 62</x:v>
      </x:c>
      <x:c r="M23" s="6" t="str"/>
      <x:c r="N23" s="6" t="str"/>
      <x:c r="O23" s="6" t="str">
        <x:v>Pending</x:v>
      </x:c>
      <x:c r="P23" s="7" t="str">
        <x:f>IF(AND(OR(D23="Reviewer Complete",D23="Awaiting Second-Level Approval"),OR(F23="Reviewer Complete",F23="Awaiting Second-Level Approval")),"","Identity/manufacturer dependency unresolved")</x:f>
        <x:v>Identity/manufacturer dependency unresolved</x:v>
      </x:c>
      <x:c r="Q23" s="6" t="str">
        <x:v>Yes</x:v>
      </x:c>
      <x:c r="R23" s="7" t="str"/>
    </x:row>
    <x:row r="24">
      <x:c r="A24" s="6" t="str">
        <x:v>DEVX-0023</x:v>
      </x:c>
      <x:c r="B24" s="6" t="str">
        <x:v>SVC000023</x:v>
      </x:c>
      <x:c r="C24" s="6" t="str">
        <x:v>SIDX-0023</x:v>
      </x:c>
      <x:c r="D24" s="6" t="str">
        <x:f>IFERROR(XLOOKUP(C24,'Review Sequence'!C2:C1586,'Review Sequence'!J2:J1586),"Dependency not found")</x:f>
        <x:v>Not Started</x:v>
      </x:c>
      <x:c r="E24" s="6" t="str">
        <x:v>MFRX-0023</x:v>
      </x:c>
      <x:c r="F24" s="6" t="str">
        <x:f>IFERROR(XLOOKUP(E24,'Review Sequence'!C2:C1586,'Review Sequence'!J2:J1586),"Dependency not found")</x:f>
        <x:v>Not Started</x:v>
      </x:c>
      <x:c r="G24" s="6" t="str">
        <x:v>Galaxy S 7 Active Screen replacement</x:v>
      </x:c>
      <x:c r="H24" s="6" t="str"/>
      <x:c r="I24" s="6" t="str"/>
      <x:c r="J24" s="6" t="str">
        <x:v>Unknown</x:v>
      </x:c>
      <x:c r="K24" s="6" t="str">
        <x:v>Unresolved</x:v>
      </x:c>
      <x:c r="L24" s="7" t="str">
        <x:v>Nocturnix_Master_Services_Catalog_v1.xlsx | 01 - Master Services | row 63</x:v>
      </x:c>
      <x:c r="M24" s="6" t="str"/>
      <x:c r="N24" s="6" t="str"/>
      <x:c r="O24" s="6" t="str">
        <x:v>Pending</x:v>
      </x:c>
      <x:c r="P24" s="7" t="str">
        <x:f>IF(AND(OR(D24="Reviewer Complete",D24="Awaiting Second-Level Approval"),OR(F24="Reviewer Complete",F24="Awaiting Second-Level Approval")),"","Identity/manufacturer dependency unresolved")</x:f>
        <x:v>Identity/manufacturer dependency unresolved</x:v>
      </x:c>
      <x:c r="Q24" s="6" t="str">
        <x:v>Yes</x:v>
      </x:c>
      <x:c r="R24" s="7" t="str"/>
    </x:row>
    <x:row r="25">
      <x:c r="A25" s="6" t="str">
        <x:v>DEVX-0024</x:v>
      </x:c>
      <x:c r="B25" s="6" t="str">
        <x:v>SVC000024</x:v>
      </x:c>
      <x:c r="C25" s="6" t="str">
        <x:v>SIDX-0024</x:v>
      </x:c>
      <x:c r="D25" s="6" t="str">
        <x:f>IFERROR(XLOOKUP(C25,'Review Sequence'!C2:C1586,'Review Sequence'!J2:J1586),"Dependency not found")</x:f>
        <x:v>Not Started</x:v>
      </x:c>
      <x:c r="E25" s="6" t="str">
        <x:v>MFRX-0024</x:v>
      </x:c>
      <x:c r="F25" s="6" t="str">
        <x:f>IFERROR(XLOOKUP(E25,'Review Sequence'!C2:C1586,'Review Sequence'!J2:J1586),"Dependency not found")</x:f>
        <x:v>Not Started</x:v>
      </x:c>
      <x:c r="G25" s="6" t="str">
        <x:v>Galaxy S 10 Plus Screen replacement</x:v>
      </x:c>
      <x:c r="H25" s="6" t="str"/>
      <x:c r="I25" s="6" t="str"/>
      <x:c r="J25" s="6" t="str">
        <x:v>Unknown</x:v>
      </x:c>
      <x:c r="K25" s="6" t="str">
        <x:v>Unresolved</x:v>
      </x:c>
      <x:c r="L25" s="7" t="str">
        <x:v>Nocturnix_Master_Services_Catalog_v1.xlsx | 01 - Master Services | row 64</x:v>
      </x:c>
      <x:c r="M25" s="6" t="str"/>
      <x:c r="N25" s="6" t="str"/>
      <x:c r="O25" s="6" t="str">
        <x:v>Pending</x:v>
      </x:c>
      <x:c r="P25" s="7" t="str">
        <x:f>IF(AND(OR(D25="Reviewer Complete",D25="Awaiting Second-Level Approval"),OR(F25="Reviewer Complete",F25="Awaiting Second-Level Approval")),"","Identity/manufacturer dependency unresolved")</x:f>
        <x:v>Identity/manufacturer dependency unresolved</x:v>
      </x:c>
      <x:c r="Q25" s="6" t="str">
        <x:v>Yes</x:v>
      </x:c>
      <x:c r="R25" s="7" t="str"/>
    </x:row>
    <x:row r="26">
      <x:c r="A26" s="6" t="str">
        <x:v>DEVX-0025</x:v>
      </x:c>
      <x:c r="B26" s="6" t="str">
        <x:v>SVC000025</x:v>
      </x:c>
      <x:c r="C26" s="6" t="str">
        <x:v>SIDX-0025</x:v>
      </x:c>
      <x:c r="D26" s="6" t="str">
        <x:f>IFERROR(XLOOKUP(C26,'Review Sequence'!C2:C1586,'Review Sequence'!J2:J1586),"Dependency not found")</x:f>
        <x:v>Not Started</x:v>
      </x:c>
      <x:c r="E26" s="6" t="str">
        <x:v>MFRX-0025</x:v>
      </x:c>
      <x:c r="F26" s="6" t="str">
        <x:f>IFERROR(XLOOKUP(E26,'Review Sequence'!C2:C1586,'Review Sequence'!J2:J1586),"Dependency not found")</x:f>
        <x:v>Not Started</x:v>
      </x:c>
      <x:c r="G26" s="6" t="str">
        <x:v>Galaxy S 6 Active Screen replacement</x:v>
      </x:c>
      <x:c r="H26" s="6" t="str"/>
      <x:c r="I26" s="6" t="str"/>
      <x:c r="J26" s="6" t="str">
        <x:v>Unknown</x:v>
      </x:c>
      <x:c r="K26" s="6" t="str">
        <x:v>Unresolved</x:v>
      </x:c>
      <x:c r="L26" s="7" t="str">
        <x:v>Nocturnix_Master_Services_Catalog_v1.xlsx | 01 - Master Services | row 65</x:v>
      </x:c>
      <x:c r="M26" s="6" t="str"/>
      <x:c r="N26" s="6" t="str"/>
      <x:c r="O26" s="6" t="str">
        <x:v>Pending</x:v>
      </x:c>
      <x:c r="P26" s="7" t="str">
        <x:f>IF(AND(OR(D26="Reviewer Complete",D26="Awaiting Second-Level Approval"),OR(F26="Reviewer Complete",F26="Awaiting Second-Level Approval")),"","Identity/manufacturer dependency unresolved")</x:f>
        <x:v>Identity/manufacturer dependency unresolved</x:v>
      </x:c>
      <x:c r="Q26" s="6" t="str">
        <x:v>Yes</x:v>
      </x:c>
      <x:c r="R26" s="7" t="str"/>
    </x:row>
    <x:row r="27">
      <x:c r="A27" s="6" t="str">
        <x:v>DEVX-0026</x:v>
      </x:c>
      <x:c r="B27" s="6" t="str">
        <x:v>SVC000026</x:v>
      </x:c>
      <x:c r="C27" s="6" t="str">
        <x:v>SIDX-0026</x:v>
      </x:c>
      <x:c r="D27" s="6" t="str">
        <x:f>IFERROR(XLOOKUP(C27,'Review Sequence'!C2:C1586,'Review Sequence'!J2:J1586),"Dependency not found")</x:f>
        <x:v>Not Started</x:v>
      </x:c>
      <x:c r="E27" s="6" t="str">
        <x:v>MFRX-0026</x:v>
      </x:c>
      <x:c r="F27" s="6" t="str">
        <x:f>IFERROR(XLOOKUP(E27,'Review Sequence'!C2:C1586,'Review Sequence'!J2:J1586),"Dependency not found")</x:f>
        <x:v>Not Started</x:v>
      </x:c>
      <x:c r="G27" s="6" t="str">
        <x:v>Galaxy S 6 Screen replacement</x:v>
      </x:c>
      <x:c r="H27" s="6" t="str"/>
      <x:c r="I27" s="6" t="str"/>
      <x:c r="J27" s="6" t="str">
        <x:v>Unknown</x:v>
      </x:c>
      <x:c r="K27" s="6" t="str">
        <x:v>Unresolved</x:v>
      </x:c>
      <x:c r="L27" s="7" t="str">
        <x:v>Nocturnix_Master_Services_Catalog_v1.xlsx | 01 - Master Services | row 66</x:v>
      </x:c>
      <x:c r="M27" s="6" t="str"/>
      <x:c r="N27" s="6" t="str"/>
      <x:c r="O27" s="6" t="str">
        <x:v>Pending</x:v>
      </x:c>
      <x:c r="P27" s="7" t="str">
        <x:f>IF(AND(OR(D27="Reviewer Complete",D27="Awaiting Second-Level Approval"),OR(F27="Reviewer Complete",F27="Awaiting Second-Level Approval")),"","Identity/manufacturer dependency unresolved")</x:f>
        <x:v>Identity/manufacturer dependency unresolved</x:v>
      </x:c>
      <x:c r="Q27" s="6" t="str">
        <x:v>Yes</x:v>
      </x:c>
      <x:c r="R27" s="7" t="str"/>
    </x:row>
    <x:row r="28">
      <x:c r="A28" s="6" t="str">
        <x:v>DEVX-0027</x:v>
      </x:c>
      <x:c r="B28" s="6" t="str">
        <x:v>SVC000027</x:v>
      </x:c>
      <x:c r="C28" s="6" t="str">
        <x:v>SIDX-0027</x:v>
      </x:c>
      <x:c r="D28" s="6" t="str">
        <x:f>IFERROR(XLOOKUP(C28,'Review Sequence'!C2:C1586,'Review Sequence'!J2:J1586),"Dependency not found")</x:f>
        <x:v>Not Started</x:v>
      </x:c>
      <x:c r="E28" s="6" t="str">
        <x:v>MFRX-0027</x:v>
      </x:c>
      <x:c r="F28" s="6" t="str">
        <x:f>IFERROR(XLOOKUP(E28,'Review Sequence'!C2:C1586,'Review Sequence'!J2:J1586),"Dependency not found")</x:f>
        <x:v>Not Started</x:v>
      </x:c>
      <x:c r="G28" s="6" t="str">
        <x:v>Galaxy S 21 FE Screen replacement</x:v>
      </x:c>
      <x:c r="H28" s="6" t="str"/>
      <x:c r="I28" s="6" t="str"/>
      <x:c r="J28" s="6" t="str">
        <x:v>Unknown</x:v>
      </x:c>
      <x:c r="K28" s="6" t="str">
        <x:v>Unresolved</x:v>
      </x:c>
      <x:c r="L28" s="7" t="str">
        <x:v>Nocturnix_Master_Services_Catalog_v1.xlsx | 01 - Master Services | row 67</x:v>
      </x:c>
      <x:c r="M28" s="6" t="str"/>
      <x:c r="N28" s="6" t="str"/>
      <x:c r="O28" s="6" t="str">
        <x:v>Pending</x:v>
      </x:c>
      <x:c r="P28" s="7" t="str">
        <x:f>IF(AND(OR(D28="Reviewer Complete",D28="Awaiting Second-Level Approval"),OR(F28="Reviewer Complete",F28="Awaiting Second-Level Approval")),"","Identity/manufacturer dependency unresolved")</x:f>
        <x:v>Identity/manufacturer dependency unresolved</x:v>
      </x:c>
      <x:c r="Q28" s="6" t="str">
        <x:v>Yes</x:v>
      </x:c>
      <x:c r="R28" s="7" t="str"/>
    </x:row>
    <x:row r="29">
      <x:c r="A29" s="6" t="str">
        <x:v>DEVX-0028</x:v>
      </x:c>
      <x:c r="B29" s="6" t="str">
        <x:v>SVC000028</x:v>
      </x:c>
      <x:c r="C29" s="6" t="str">
        <x:v>SIDX-0028</x:v>
      </x:c>
      <x:c r="D29" s="6" t="str">
        <x:f>IFERROR(XLOOKUP(C29,'Review Sequence'!C2:C1586,'Review Sequence'!J2:J1586),"Dependency not found")</x:f>
        <x:v>Not Started</x:v>
      </x:c>
      <x:c r="E29" s="6" t="str">
        <x:v>MFRX-0028</x:v>
      </x:c>
      <x:c r="F29" s="6" t="str">
        <x:f>IFERROR(XLOOKUP(E29,'Review Sequence'!C2:C1586,'Review Sequence'!J2:J1586),"Dependency not found")</x:f>
        <x:v>Not Started</x:v>
      </x:c>
      <x:c r="G29" s="6" t="str">
        <x:v>Galaxy S 6 Edge Screen replacement</x:v>
      </x:c>
      <x:c r="H29" s="6" t="str"/>
      <x:c r="I29" s="6" t="str"/>
      <x:c r="J29" s="6" t="str">
        <x:v>Unknown</x:v>
      </x:c>
      <x:c r="K29" s="6" t="str">
        <x:v>Unresolved</x:v>
      </x:c>
      <x:c r="L29" s="7" t="str">
        <x:v>Nocturnix_Master_Services_Catalog_v1.xlsx | 01 - Master Services | row 68</x:v>
      </x:c>
      <x:c r="M29" s="6" t="str"/>
      <x:c r="N29" s="6" t="str"/>
      <x:c r="O29" s="6" t="str">
        <x:v>Pending</x:v>
      </x:c>
      <x:c r="P29" s="7" t="str">
        <x:f>IF(AND(OR(D29="Reviewer Complete",D29="Awaiting Second-Level Approval"),OR(F29="Reviewer Complete",F29="Awaiting Second-Level Approval")),"","Identity/manufacturer dependency unresolved")</x:f>
        <x:v>Identity/manufacturer dependency unresolved</x:v>
      </x:c>
      <x:c r="Q29" s="6" t="str">
        <x:v>Yes</x:v>
      </x:c>
      <x:c r="R29" s="7" t="str"/>
    </x:row>
    <x:row r="30">
      <x:c r="A30" s="6" t="str">
        <x:v>DEVX-0029</x:v>
      </x:c>
      <x:c r="B30" s="6" t="str">
        <x:v>SVC000029</x:v>
      </x:c>
      <x:c r="C30" s="6" t="str">
        <x:v>SIDX-0029</x:v>
      </x:c>
      <x:c r="D30" s="6" t="str">
        <x:f>IFERROR(XLOOKUP(C30,'Review Sequence'!C2:C1586,'Review Sequence'!J2:J1586),"Dependency not found")</x:f>
        <x:v>Not Started</x:v>
      </x:c>
      <x:c r="E30" s="6" t="str">
        <x:v>MFRX-0029</x:v>
      </x:c>
      <x:c r="F30" s="6" t="str">
        <x:f>IFERROR(XLOOKUP(E30,'Review Sequence'!C2:C1586,'Review Sequence'!J2:J1586),"Dependency not found")</x:f>
        <x:v>Not Started</x:v>
      </x:c>
      <x:c r="G30" s="6" t="str">
        <x:v>Galaxy S 21 Plus Screen replacement</x:v>
      </x:c>
      <x:c r="H30" s="6" t="str"/>
      <x:c r="I30" s="6" t="str"/>
      <x:c r="J30" s="6" t="str">
        <x:v>Unknown</x:v>
      </x:c>
      <x:c r="K30" s="6" t="str">
        <x:v>Unresolved</x:v>
      </x:c>
      <x:c r="L30" s="7" t="str">
        <x:v>Nocturnix_Master_Services_Catalog_v1.xlsx | 01 - Master Services | row 69</x:v>
      </x:c>
      <x:c r="M30" s="6" t="str"/>
      <x:c r="N30" s="6" t="str"/>
      <x:c r="O30" s="6" t="str">
        <x:v>Pending</x:v>
      </x:c>
      <x:c r="P30" s="7" t="str">
        <x:f>IF(AND(OR(D30="Reviewer Complete",D30="Awaiting Second-Level Approval"),OR(F30="Reviewer Complete",F30="Awaiting Second-Level Approval")),"","Identity/manufacturer dependency unresolved")</x:f>
        <x:v>Identity/manufacturer dependency unresolved</x:v>
      </x:c>
      <x:c r="Q30" s="6" t="str">
        <x:v>Yes</x:v>
      </x:c>
      <x:c r="R30" s="7" t="str"/>
    </x:row>
    <x:row r="31">
      <x:c r="A31" s="6" t="str">
        <x:v>DEVX-0030</x:v>
      </x:c>
      <x:c r="B31" s="6" t="str">
        <x:v>SVC000030</x:v>
      </x:c>
      <x:c r="C31" s="6" t="str">
        <x:v>SIDX-0030</x:v>
      </x:c>
      <x:c r="D31" s="6" t="str">
        <x:f>IFERROR(XLOOKUP(C31,'Review Sequence'!C2:C1586,'Review Sequence'!J2:J1586),"Dependency not found")</x:f>
        <x:v>Not Started</x:v>
      </x:c>
      <x:c r="E31" s="6" t="str">
        <x:v>MFRX-0030</x:v>
      </x:c>
      <x:c r="F31" s="6" t="str">
        <x:f>IFERROR(XLOOKUP(E31,'Review Sequence'!C2:C1586,'Review Sequence'!J2:J1586),"Dependency not found")</x:f>
        <x:v>Not Started</x:v>
      </x:c>
      <x:c r="G31" s="6" t="str">
        <x:v>Galaxy S 6 Edge Plus Screen replacement</x:v>
      </x:c>
      <x:c r="H31" s="6" t="str"/>
      <x:c r="I31" s="6" t="str"/>
      <x:c r="J31" s="6" t="str">
        <x:v>Unknown</x:v>
      </x:c>
      <x:c r="K31" s="6" t="str">
        <x:v>Unresolved</x:v>
      </x:c>
      <x:c r="L31" s="7" t="str">
        <x:v>Nocturnix_Master_Services_Catalog_v1.xlsx | 01 - Master Services | row 70</x:v>
      </x:c>
      <x:c r="M31" s="6" t="str"/>
      <x:c r="N31" s="6" t="str"/>
      <x:c r="O31" s="6" t="str">
        <x:v>Pending</x:v>
      </x:c>
      <x:c r="P31" s="7" t="str">
        <x:f>IF(AND(OR(D31="Reviewer Complete",D31="Awaiting Second-Level Approval"),OR(F31="Reviewer Complete",F31="Awaiting Second-Level Approval")),"","Identity/manufacturer dependency unresolved")</x:f>
        <x:v>Identity/manufacturer dependency unresolved</x:v>
      </x:c>
      <x:c r="Q31" s="6" t="str">
        <x:v>Yes</x:v>
      </x:c>
      <x:c r="R31" s="7" t="str"/>
    </x:row>
    <x:row r="32">
      <x:c r="A32" s="6" t="str">
        <x:v>DEVX-0031</x:v>
      </x:c>
      <x:c r="B32" s="6" t="str">
        <x:v>SVC000031</x:v>
      </x:c>
      <x:c r="C32" s="6" t="str">
        <x:v>SIDX-0031</x:v>
      </x:c>
      <x:c r="D32" s="6" t="str">
        <x:f>IFERROR(XLOOKUP(C32,'Review Sequence'!C2:C1586,'Review Sequence'!J2:J1586),"Dependency not found")</x:f>
        <x:v>Not Started</x:v>
      </x:c>
      <x:c r="E32" s="6" t="str">
        <x:v>MFRX-0031</x:v>
      </x:c>
      <x:c r="F32" s="6" t="str">
        <x:f>IFERROR(XLOOKUP(E32,'Review Sequence'!C2:C1586,'Review Sequence'!J2:J1586),"Dependency not found")</x:f>
        <x:v>Not Started</x:v>
      </x:c>
      <x:c r="G32" s="6" t="str">
        <x:v>Galaxy S 25 Screen replacement</x:v>
      </x:c>
      <x:c r="H32" s="6" t="str"/>
      <x:c r="I32" s="6" t="str"/>
      <x:c r="J32" s="6" t="str">
        <x:v>Unknown</x:v>
      </x:c>
      <x:c r="K32" s="6" t="str">
        <x:v>Unresolved</x:v>
      </x:c>
      <x:c r="L32" s="7" t="str">
        <x:v>Nocturnix_Master_Services_Catalog_v1.xlsx | 01 - Master Services | row 71</x:v>
      </x:c>
      <x:c r="M32" s="6" t="str"/>
      <x:c r="N32" s="6" t="str"/>
      <x:c r="O32" s="6" t="str">
        <x:v>Pending</x:v>
      </x:c>
      <x:c r="P32" s="7" t="str">
        <x:f>IF(AND(OR(D32="Reviewer Complete",D32="Awaiting Second-Level Approval"),OR(F32="Reviewer Complete",F32="Awaiting Second-Level Approval")),"","Identity/manufacturer dependency unresolved")</x:f>
        <x:v>Identity/manufacturer dependency unresolved</x:v>
      </x:c>
      <x:c r="Q32" s="6" t="str">
        <x:v>Yes</x:v>
      </x:c>
      <x:c r="R32" s="7" t="str"/>
    </x:row>
    <x:row r="33">
      <x:c r="A33" s="6" t="str">
        <x:v>DEVX-0032</x:v>
      </x:c>
      <x:c r="B33" s="6" t="str">
        <x:v>SVC000032</x:v>
      </x:c>
      <x:c r="C33" s="6" t="str">
        <x:v>SIDX-0032</x:v>
      </x:c>
      <x:c r="D33" s="6" t="str">
        <x:f>IFERROR(XLOOKUP(C33,'Review Sequence'!C2:C1586,'Review Sequence'!J2:J1586),"Dependency not found")</x:f>
        <x:v>Not Started</x:v>
      </x:c>
      <x:c r="E33" s="6" t="str">
        <x:v>MFRX-0032</x:v>
      </x:c>
      <x:c r="F33" s="6" t="str">
        <x:f>IFERROR(XLOOKUP(E33,'Review Sequence'!C2:C1586,'Review Sequence'!J2:J1586),"Dependency not found")</x:f>
        <x:v>Not Started</x:v>
      </x:c>
      <x:c r="G33" s="6" t="str">
        <x:v>Galaxy S 10 E Screen replacement</x:v>
      </x:c>
      <x:c r="H33" s="6" t="str"/>
      <x:c r="I33" s="6" t="str"/>
      <x:c r="J33" s="6" t="str">
        <x:v>Unknown</x:v>
      </x:c>
      <x:c r="K33" s="6" t="str">
        <x:v>Unresolved</x:v>
      </x:c>
      <x:c r="L33" s="7" t="str">
        <x:v>Nocturnix_Master_Services_Catalog_v1.xlsx | 01 - Master Services | row 72</x:v>
      </x:c>
      <x:c r="M33" s="6" t="str"/>
      <x:c r="N33" s="6" t="str"/>
      <x:c r="O33" s="6" t="str">
        <x:v>Pending</x:v>
      </x:c>
      <x:c r="P33" s="7" t="str">
        <x:f>IF(AND(OR(D33="Reviewer Complete",D33="Awaiting Second-Level Approval"),OR(F33="Reviewer Complete",F33="Awaiting Second-Level Approval")),"","Identity/manufacturer dependency unresolved")</x:f>
        <x:v>Identity/manufacturer dependency unresolved</x:v>
      </x:c>
      <x:c r="Q33" s="6" t="str">
        <x:v>Yes</x:v>
      </x:c>
      <x:c r="R33" s="7" t="str"/>
    </x:row>
    <x:row r="34">
      <x:c r="A34" s="6" t="str">
        <x:v>DEVX-0033</x:v>
      </x:c>
      <x:c r="B34" s="6" t="str">
        <x:v>SVC000033</x:v>
      </x:c>
      <x:c r="C34" s="6" t="str">
        <x:v>SIDX-0033</x:v>
      </x:c>
      <x:c r="D34" s="6" t="str">
        <x:f>IFERROR(XLOOKUP(C34,'Review Sequence'!C2:C1586,'Review Sequence'!J2:J1586),"Dependency not found")</x:f>
        <x:v>Not Started</x:v>
      </x:c>
      <x:c r="E34" s="6" t="str">
        <x:v>MFRX-0033</x:v>
      </x:c>
      <x:c r="F34" s="6" t="str">
        <x:f>IFERROR(XLOOKUP(E34,'Review Sequence'!C2:C1586,'Review Sequence'!J2:J1586),"Dependency not found")</x:f>
        <x:v>Not Started</x:v>
      </x:c>
      <x:c r="G34" s="6" t="str">
        <x:v>Galaxy S 23 Plus Screen replacement</x:v>
      </x:c>
      <x:c r="H34" s="6" t="str"/>
      <x:c r="I34" s="6" t="str"/>
      <x:c r="J34" s="6" t="str">
        <x:v>Unknown</x:v>
      </x:c>
      <x:c r="K34" s="6" t="str">
        <x:v>Unresolved</x:v>
      </x:c>
      <x:c r="L34" s="7" t="str">
        <x:v>Nocturnix_Master_Services_Catalog_v1.xlsx | 01 - Master Services | row 73</x:v>
      </x:c>
      <x:c r="M34" s="6" t="str"/>
      <x:c r="N34" s="6" t="str"/>
      <x:c r="O34" s="6" t="str">
        <x:v>Pending</x:v>
      </x:c>
      <x:c r="P34" s="7" t="str">
        <x:f>IF(AND(OR(D34="Reviewer Complete",D34="Awaiting Second-Level Approval"),OR(F34="Reviewer Complete",F34="Awaiting Second-Level Approval")),"","Identity/manufacturer dependency unresolved")</x:f>
        <x:v>Identity/manufacturer dependency unresolved</x:v>
      </x:c>
      <x:c r="Q34" s="6" t="str">
        <x:v>Yes</x:v>
      </x:c>
      <x:c r="R34" s="7" t="str"/>
    </x:row>
    <x:row r="35">
      <x:c r="A35" s="6" t="str">
        <x:v>DEVX-0034</x:v>
      </x:c>
      <x:c r="B35" s="6" t="str">
        <x:v>SVC000034</x:v>
      </x:c>
      <x:c r="C35" s="6" t="str">
        <x:v>SIDX-0034</x:v>
      </x:c>
      <x:c r="D35" s="6" t="str">
        <x:f>IFERROR(XLOOKUP(C35,'Review Sequence'!C2:C1586,'Review Sequence'!J2:J1586),"Dependency not found")</x:f>
        <x:v>Not Started</x:v>
      </x:c>
      <x:c r="E35" s="6" t="str">
        <x:v>MFRX-0034</x:v>
      </x:c>
      <x:c r="F35" s="6" t="str">
        <x:f>IFERROR(XLOOKUP(E35,'Review Sequence'!C2:C1586,'Review Sequence'!J2:J1586),"Dependency not found")</x:f>
        <x:v>Not Started</x:v>
      </x:c>
      <x:c r="G35" s="6" t="str">
        <x:v>Galaxy S 8 Screen replacement</x:v>
      </x:c>
      <x:c r="H35" s="6" t="str"/>
      <x:c r="I35" s="6" t="str"/>
      <x:c r="J35" s="6" t="str">
        <x:v>Unknown</x:v>
      </x:c>
      <x:c r="K35" s="6" t="str">
        <x:v>Unresolved</x:v>
      </x:c>
      <x:c r="L35" s="7" t="str">
        <x:v>Nocturnix_Master_Services_Catalog_v1.xlsx | 01 - Master Services | row 74</x:v>
      </x:c>
      <x:c r="M35" s="6" t="str"/>
      <x:c r="N35" s="6" t="str"/>
      <x:c r="O35" s="6" t="str">
        <x:v>Pending</x:v>
      </x:c>
      <x:c r="P35" s="7" t="str">
        <x:f>IF(AND(OR(D35="Reviewer Complete",D35="Awaiting Second-Level Approval"),OR(F35="Reviewer Complete",F35="Awaiting Second-Level Approval")),"","Identity/manufacturer dependency unresolved")</x:f>
        <x:v>Identity/manufacturer dependency unresolved</x:v>
      </x:c>
      <x:c r="Q35" s="6" t="str">
        <x:v>Yes</x:v>
      </x:c>
      <x:c r="R35" s="7" t="str"/>
    </x:row>
    <x:row r="36">
      <x:c r="A36" s="6" t="str">
        <x:v>DEVX-0035</x:v>
      </x:c>
      <x:c r="B36" s="6" t="str">
        <x:v>SVC000035</x:v>
      </x:c>
      <x:c r="C36" s="6" t="str">
        <x:v>SIDX-0035</x:v>
      </x:c>
      <x:c r="D36" s="6" t="str">
        <x:f>IFERROR(XLOOKUP(C36,'Review Sequence'!C2:C1586,'Review Sequence'!J2:J1586),"Dependency not found")</x:f>
        <x:v>Not Started</x:v>
      </x:c>
      <x:c r="E36" s="6" t="str">
        <x:v>MFRX-0035</x:v>
      </x:c>
      <x:c r="F36" s="6" t="str">
        <x:f>IFERROR(XLOOKUP(E36,'Review Sequence'!C2:C1586,'Review Sequence'!J2:J1586),"Dependency not found")</x:f>
        <x:v>Not Started</x:v>
      </x:c>
      <x:c r="G36" s="6" t="str">
        <x:v>Galaxy S 20 Screen replacement</x:v>
      </x:c>
      <x:c r="H36" s="6" t="str"/>
      <x:c r="I36" s="6" t="str"/>
      <x:c r="J36" s="6" t="str">
        <x:v>Unknown</x:v>
      </x:c>
      <x:c r="K36" s="6" t="str">
        <x:v>Unresolved</x:v>
      </x:c>
      <x:c r="L36" s="7" t="str">
        <x:v>Nocturnix_Master_Services_Catalog_v1.xlsx | 01 - Master Services | row 75</x:v>
      </x:c>
      <x:c r="M36" s="6" t="str"/>
      <x:c r="N36" s="6" t="str"/>
      <x:c r="O36" s="6" t="str">
        <x:v>Pending</x:v>
      </x:c>
      <x:c r="P36" s="7" t="str">
        <x:f>IF(AND(OR(D36="Reviewer Complete",D36="Awaiting Second-Level Approval"),OR(F36="Reviewer Complete",F36="Awaiting Second-Level Approval")),"","Identity/manufacturer dependency unresolved")</x:f>
        <x:v>Identity/manufacturer dependency unresolved</x:v>
      </x:c>
      <x:c r="Q36" s="6" t="str">
        <x:v>Yes</x:v>
      </x:c>
      <x:c r="R36" s="7" t="str"/>
    </x:row>
    <x:row r="37">
      <x:c r="A37" s="6" t="str">
        <x:v>DEVX-0036</x:v>
      </x:c>
      <x:c r="B37" s="6" t="str">
        <x:v>SVC000036</x:v>
      </x:c>
      <x:c r="C37" s="6" t="str">
        <x:v>SIDX-0036</x:v>
      </x:c>
      <x:c r="D37" s="6" t="str">
        <x:f>IFERROR(XLOOKUP(C37,'Review Sequence'!C2:C1586,'Review Sequence'!J2:J1586),"Dependency not found")</x:f>
        <x:v>Not Started</x:v>
      </x:c>
      <x:c r="E37" s="6" t="str">
        <x:v>MFRX-0036</x:v>
      </x:c>
      <x:c r="F37" s="6" t="str">
        <x:f>IFERROR(XLOOKUP(E37,'Review Sequence'!C2:C1586,'Review Sequence'!J2:J1586),"Dependency not found")</x:f>
        <x:v>Not Started</x:v>
      </x:c>
      <x:c r="G37" s="6" t="str">
        <x:v>Galaxy S 20 Ultra Screen replacement</x:v>
      </x:c>
      <x:c r="H37" s="6" t="str"/>
      <x:c r="I37" s="6" t="str"/>
      <x:c r="J37" s="6" t="str">
        <x:v>Unknown</x:v>
      </x:c>
      <x:c r="K37" s="6" t="str">
        <x:v>Unresolved</x:v>
      </x:c>
      <x:c r="L37" s="7" t="str">
        <x:v>Nocturnix_Master_Services_Catalog_v1.xlsx | 01 - Master Services | row 76</x:v>
      </x:c>
      <x:c r="M37" s="6" t="str"/>
      <x:c r="N37" s="6" t="str"/>
      <x:c r="O37" s="6" t="str">
        <x:v>Pending</x:v>
      </x:c>
      <x:c r="P37" s="7" t="str">
        <x:f>IF(AND(OR(D37="Reviewer Complete",D37="Awaiting Second-Level Approval"),OR(F37="Reviewer Complete",F37="Awaiting Second-Level Approval")),"","Identity/manufacturer dependency unresolved")</x:f>
        <x:v>Identity/manufacturer dependency unresolved</x:v>
      </x:c>
      <x:c r="Q37" s="6" t="str">
        <x:v>Yes</x:v>
      </x:c>
      <x:c r="R37" s="7" t="str"/>
    </x:row>
    <x:row r="38">
      <x:c r="A38" s="6" t="str">
        <x:v>DEVX-0037</x:v>
      </x:c>
      <x:c r="B38" s="6" t="str">
        <x:v>SVC000037</x:v>
      </x:c>
      <x:c r="C38" s="6" t="str">
        <x:v>SIDX-0037</x:v>
      </x:c>
      <x:c r="D38" s="6" t="str">
        <x:f>IFERROR(XLOOKUP(C38,'Review Sequence'!C2:C1586,'Review Sequence'!J2:J1586),"Dependency not found")</x:f>
        <x:v>Not Started</x:v>
      </x:c>
      <x:c r="E38" s="6" t="str">
        <x:v>MFRX-0037</x:v>
      </x:c>
      <x:c r="F38" s="6" t="str">
        <x:f>IFERROR(XLOOKUP(E38,'Review Sequence'!C2:C1586,'Review Sequence'!J2:J1586),"Dependency not found")</x:f>
        <x:v>Not Started</x:v>
      </x:c>
      <x:c r="G38" s="6" t="str">
        <x:v>Galaxy S 24 Plus Screen replacement</x:v>
      </x:c>
      <x:c r="H38" s="6" t="str"/>
      <x:c r="I38" s="6" t="str"/>
      <x:c r="J38" s="6" t="str">
        <x:v>Unknown</x:v>
      </x:c>
      <x:c r="K38" s="6" t="str">
        <x:v>Unresolved</x:v>
      </x:c>
      <x:c r="L38" s="7" t="str">
        <x:v>Nocturnix_Master_Services_Catalog_v1.xlsx | 01 - Master Services | row 77</x:v>
      </x:c>
      <x:c r="M38" s="6" t="str"/>
      <x:c r="N38" s="6" t="str"/>
      <x:c r="O38" s="6" t="str">
        <x:v>Pending</x:v>
      </x:c>
      <x:c r="P38" s="7" t="str">
        <x:f>IF(AND(OR(D38="Reviewer Complete",D38="Awaiting Second-Level Approval"),OR(F38="Reviewer Complete",F38="Awaiting Second-Level Approval")),"","Identity/manufacturer dependency unresolved")</x:f>
        <x:v>Identity/manufacturer dependency unresolved</x:v>
      </x:c>
      <x:c r="Q38" s="6" t="str">
        <x:v>Yes</x:v>
      </x:c>
      <x:c r="R38" s="7" t="str"/>
    </x:row>
    <x:row r="39">
      <x:c r="A39" s="6" t="str">
        <x:v>DEVX-0038</x:v>
      </x:c>
      <x:c r="B39" s="6" t="str">
        <x:v>SVC000038</x:v>
      </x:c>
      <x:c r="C39" s="6" t="str">
        <x:v>SIDX-0038</x:v>
      </x:c>
      <x:c r="D39" s="6" t="str">
        <x:f>IFERROR(XLOOKUP(C39,'Review Sequence'!C2:C1586,'Review Sequence'!J2:J1586),"Dependency not found")</x:f>
        <x:v>Not Started</x:v>
      </x:c>
      <x:c r="E39" s="6" t="str">
        <x:v>MFRX-0038</x:v>
      </x:c>
      <x:c r="F39" s="6" t="str">
        <x:f>IFERROR(XLOOKUP(E39,'Review Sequence'!C2:C1586,'Review Sequence'!J2:J1586),"Dependency not found")</x:f>
        <x:v>Not Started</x:v>
      </x:c>
      <x:c r="G39" s="6" t="str">
        <x:v>Galaxy S 7 Screen replacement</x:v>
      </x:c>
      <x:c r="H39" s="6" t="str"/>
      <x:c r="I39" s="6" t="str"/>
      <x:c r="J39" s="6" t="str">
        <x:v>Unknown</x:v>
      </x:c>
      <x:c r="K39" s="6" t="str">
        <x:v>Unresolved</x:v>
      </x:c>
      <x:c r="L39" s="7" t="str">
        <x:v>Nocturnix_Master_Services_Catalog_v1.xlsx | 01 - Master Services | row 78</x:v>
      </x:c>
      <x:c r="M39" s="6" t="str"/>
      <x:c r="N39" s="6" t="str"/>
      <x:c r="O39" s="6" t="str">
        <x:v>Pending</x:v>
      </x:c>
      <x:c r="P39" s="7" t="str">
        <x:f>IF(AND(OR(D39="Reviewer Complete",D39="Awaiting Second-Level Approval"),OR(F39="Reviewer Complete",F39="Awaiting Second-Level Approval")),"","Identity/manufacturer dependency unresolved")</x:f>
        <x:v>Identity/manufacturer dependency unresolved</x:v>
      </x:c>
      <x:c r="Q39" s="6" t="str">
        <x:v>Yes</x:v>
      </x:c>
      <x:c r="R39" s="7" t="str"/>
    </x:row>
    <x:row r="40">
      <x:c r="A40" s="6" t="str">
        <x:v>DEVX-0039</x:v>
      </x:c>
      <x:c r="B40" s="6" t="str">
        <x:v>SVC000039</x:v>
      </x:c>
      <x:c r="C40" s="6" t="str">
        <x:v>SIDX-0039</x:v>
      </x:c>
      <x:c r="D40" s="6" t="str">
        <x:f>IFERROR(XLOOKUP(C40,'Review Sequence'!C2:C1586,'Review Sequence'!J2:J1586),"Dependency not found")</x:f>
        <x:v>Not Started</x:v>
      </x:c>
      <x:c r="E40" s="6" t="str">
        <x:v>MFRX-0039</x:v>
      </x:c>
      <x:c r="F40" s="6" t="str">
        <x:f>IFERROR(XLOOKUP(E40,'Review Sequence'!C2:C1586,'Review Sequence'!J2:J1586),"Dependency not found")</x:f>
        <x:v>Not Started</x:v>
      </x:c>
      <x:c r="G40" s="6" t="str">
        <x:v>Galaxy S 10 Screen replacement</x:v>
      </x:c>
      <x:c r="H40" s="6" t="str"/>
      <x:c r="I40" s="6" t="str"/>
      <x:c r="J40" s="6" t="str">
        <x:v>Unknown</x:v>
      </x:c>
      <x:c r="K40" s="6" t="str">
        <x:v>Unresolved</x:v>
      </x:c>
      <x:c r="L40" s="7" t="str">
        <x:v>Nocturnix_Master_Services_Catalog_v1.xlsx | 01 - Master Services | row 79</x:v>
      </x:c>
      <x:c r="M40" s="6" t="str"/>
      <x:c r="N40" s="6" t="str"/>
      <x:c r="O40" s="6" t="str">
        <x:v>Pending</x:v>
      </x:c>
      <x:c r="P40" s="7" t="str">
        <x:f>IF(AND(OR(D40="Reviewer Complete",D40="Awaiting Second-Level Approval"),OR(F40="Reviewer Complete",F40="Awaiting Second-Level Approval")),"","Identity/manufacturer dependency unresolved")</x:f>
        <x:v>Identity/manufacturer dependency unresolved</x:v>
      </x:c>
      <x:c r="Q40" s="6" t="str">
        <x:v>Yes</x:v>
      </x:c>
      <x:c r="R40" s="7" t="str"/>
    </x:row>
    <x:row r="41">
      <x:c r="A41" s="6" t="str">
        <x:v>DEVX-0040</x:v>
      </x:c>
      <x:c r="B41" s="6" t="str">
        <x:v>SVC000040</x:v>
      </x:c>
      <x:c r="C41" s="6" t="str">
        <x:v>SIDX-0040</x:v>
      </x:c>
      <x:c r="D41" s="6" t="str">
        <x:f>IFERROR(XLOOKUP(C41,'Review Sequence'!C2:C1586,'Review Sequence'!J2:J1586),"Dependency not found")</x:f>
        <x:v>Not Started</x:v>
      </x:c>
      <x:c r="E41" s="6" t="str">
        <x:v>MFRX-0040</x:v>
      </x:c>
      <x:c r="F41" s="6" t="str">
        <x:f>IFERROR(XLOOKUP(E41,'Review Sequence'!C2:C1586,'Review Sequence'!J2:J1586),"Dependency not found")</x:f>
        <x:v>Not Started</x:v>
      </x:c>
      <x:c r="G41" s="6" t="str">
        <x:v>Galaxy S 7 Edge Screen replacement</x:v>
      </x:c>
      <x:c r="H41" s="6" t="str"/>
      <x:c r="I41" s="6" t="str"/>
      <x:c r="J41" s="6" t="str">
        <x:v>Unknown</x:v>
      </x:c>
      <x:c r="K41" s="6" t="str">
        <x:v>Unresolved</x:v>
      </x:c>
      <x:c r="L41" s="7" t="str">
        <x:v>Nocturnix_Master_Services_Catalog_v1.xlsx | 01 - Master Services | row 80</x:v>
      </x:c>
      <x:c r="M41" s="6" t="str"/>
      <x:c r="N41" s="6" t="str"/>
      <x:c r="O41" s="6" t="str">
        <x:v>Pending</x:v>
      </x:c>
      <x:c r="P41" s="7" t="str">
        <x:f>IF(AND(OR(D41="Reviewer Complete",D41="Awaiting Second-Level Approval"),OR(F41="Reviewer Complete",F41="Awaiting Second-Level Approval")),"","Identity/manufacturer dependency unresolved")</x:f>
        <x:v>Identity/manufacturer dependency unresolved</x:v>
      </x:c>
      <x:c r="Q41" s="6" t="str">
        <x:v>Yes</x:v>
      </x:c>
      <x:c r="R41" s="7" t="str"/>
    </x:row>
    <x:row r="42">
      <x:c r="A42" s="6" t="str">
        <x:v>DEVX-0041</x:v>
      </x:c>
      <x:c r="B42" s="6" t="str">
        <x:v>SVC000041</x:v>
      </x:c>
      <x:c r="C42" s="6" t="str">
        <x:v>SIDX-0041</x:v>
      </x:c>
      <x:c r="D42" s="6" t="str">
        <x:f>IFERROR(XLOOKUP(C42,'Review Sequence'!C2:C1586,'Review Sequence'!J2:J1586),"Dependency not found")</x:f>
        <x:v>Not Started</x:v>
      </x:c>
      <x:c r="E42" s="6" t="str">
        <x:v>MFRX-0041</x:v>
      </x:c>
      <x:c r="F42" s="6" t="str">
        <x:f>IFERROR(XLOOKUP(E42,'Review Sequence'!C2:C1586,'Review Sequence'!J2:J1586),"Dependency not found")</x:f>
        <x:v>Not Started</x:v>
      </x:c>
      <x:c r="G42" s="6" t="str">
        <x:v>Galaxy S 9 Screen replacement</x:v>
      </x:c>
      <x:c r="H42" s="6" t="str"/>
      <x:c r="I42" s="6" t="str"/>
      <x:c r="J42" s="6" t="str">
        <x:v>Unknown</x:v>
      </x:c>
      <x:c r="K42" s="6" t="str">
        <x:v>Unresolved</x:v>
      </x:c>
      <x:c r="L42" s="7" t="str">
        <x:v>Nocturnix_Master_Services_Catalog_v1.xlsx | 01 - Master Services | row 81</x:v>
      </x:c>
      <x:c r="M42" s="6" t="str"/>
      <x:c r="N42" s="6" t="str"/>
      <x:c r="O42" s="6" t="str">
        <x:v>Pending</x:v>
      </x:c>
      <x:c r="P42" s="7" t="str">
        <x:f>IF(AND(OR(D42="Reviewer Complete",D42="Awaiting Second-Level Approval"),OR(F42="Reviewer Complete",F42="Awaiting Second-Level Approval")),"","Identity/manufacturer dependency unresolved")</x:f>
        <x:v>Identity/manufacturer dependency unresolved</x:v>
      </x:c>
      <x:c r="Q42" s="6" t="str">
        <x:v>Yes</x:v>
      </x:c>
      <x:c r="R42" s="7" t="str"/>
    </x:row>
    <x:row r="43">
      <x:c r="A43" s="6" t="str">
        <x:v>DEVX-0042</x:v>
      </x:c>
      <x:c r="B43" s="6" t="str">
        <x:v>SVC000042</x:v>
      </x:c>
      <x:c r="C43" s="6" t="str">
        <x:v>SIDX-0042</x:v>
      </x:c>
      <x:c r="D43" s="6" t="str">
        <x:f>IFERROR(XLOOKUP(C43,'Review Sequence'!C2:C1586,'Review Sequence'!J2:J1586),"Dependency not found")</x:f>
        <x:v>Not Started</x:v>
      </x:c>
      <x:c r="E43" s="6" t="str">
        <x:v>MFRX-0042</x:v>
      </x:c>
      <x:c r="F43" s="6" t="str">
        <x:f>IFERROR(XLOOKUP(E43,'Review Sequence'!C2:C1586,'Review Sequence'!J2:J1586),"Dependency not found")</x:f>
        <x:v>Not Started</x:v>
      </x:c>
      <x:c r="G43" s="6" t="str">
        <x:v>Galaxy S 23 Screen replacement</x:v>
      </x:c>
      <x:c r="H43" s="6" t="str"/>
      <x:c r="I43" s="6" t="str"/>
      <x:c r="J43" s="6" t="str">
        <x:v>Unknown</x:v>
      </x:c>
      <x:c r="K43" s="6" t="str">
        <x:v>Unresolved</x:v>
      </x:c>
      <x:c r="L43" s="7" t="str">
        <x:v>Nocturnix_Master_Services_Catalog_v1.xlsx | 01 - Master Services | row 82</x:v>
      </x:c>
      <x:c r="M43" s="6" t="str"/>
      <x:c r="N43" s="6" t="str"/>
      <x:c r="O43" s="6" t="str">
        <x:v>Pending</x:v>
      </x:c>
      <x:c r="P43" s="7" t="str">
        <x:f>IF(AND(OR(D43="Reviewer Complete",D43="Awaiting Second-Level Approval"),OR(F43="Reviewer Complete",F43="Awaiting Second-Level Approval")),"","Identity/manufacturer dependency unresolved")</x:f>
        <x:v>Identity/manufacturer dependency unresolved</x:v>
      </x:c>
      <x:c r="Q43" s="6" t="str">
        <x:v>Yes</x:v>
      </x:c>
      <x:c r="R43" s="7" t="str"/>
    </x:row>
    <x:row r="44">
      <x:c r="A44" s="6" t="str">
        <x:v>DEVX-0043</x:v>
      </x:c>
      <x:c r="B44" s="6" t="str">
        <x:v>SVC000043</x:v>
      </x:c>
      <x:c r="C44" s="6" t="str">
        <x:v>SIDX-0043</x:v>
      </x:c>
      <x:c r="D44" s="6" t="str">
        <x:f>IFERROR(XLOOKUP(C44,'Review Sequence'!C2:C1586,'Review Sequence'!J2:J1586),"Dependency not found")</x:f>
        <x:v>Not Started</x:v>
      </x:c>
      <x:c r="E44" s="6" t="str">
        <x:v>MFRX-0043</x:v>
      </x:c>
      <x:c r="F44" s="6" t="str">
        <x:f>IFERROR(XLOOKUP(E44,'Review Sequence'!C2:C1586,'Review Sequence'!J2:J1586),"Dependency not found")</x:f>
        <x:v>Not Started</x:v>
      </x:c>
      <x:c r="G44" s="6" t="str">
        <x:v>Galaxy S 23 FE Screen replacement</x:v>
      </x:c>
      <x:c r="H44" s="6" t="str"/>
      <x:c r="I44" s="6" t="str"/>
      <x:c r="J44" s="6" t="str">
        <x:v>Unknown</x:v>
      </x:c>
      <x:c r="K44" s="6" t="str">
        <x:v>Unresolved</x:v>
      </x:c>
      <x:c r="L44" s="7" t="str">
        <x:v>Nocturnix_Master_Services_Catalog_v1.xlsx | 01 - Master Services | row 83</x:v>
      </x:c>
      <x:c r="M44" s="6" t="str"/>
      <x:c r="N44" s="6" t="str"/>
      <x:c r="O44" s="6" t="str">
        <x:v>Pending</x:v>
      </x:c>
      <x:c r="P44" s="7" t="str">
        <x:f>IF(AND(OR(D44="Reviewer Complete",D44="Awaiting Second-Level Approval"),OR(F44="Reviewer Complete",F44="Awaiting Second-Level Approval")),"","Identity/manufacturer dependency unresolved")</x:f>
        <x:v>Identity/manufacturer dependency unresolved</x:v>
      </x:c>
      <x:c r="Q44" s="6" t="str">
        <x:v>Yes</x:v>
      </x:c>
      <x:c r="R44" s="7" t="str"/>
    </x:row>
    <x:row r="45">
      <x:c r="A45" s="6" t="str">
        <x:v>DEVX-0044</x:v>
      </x:c>
      <x:c r="B45" s="6" t="str">
        <x:v>SVC000044</x:v>
      </x:c>
      <x:c r="C45" s="6" t="str">
        <x:v>SIDX-0044</x:v>
      </x:c>
      <x:c r="D45" s="6" t="str">
        <x:f>IFERROR(XLOOKUP(C45,'Review Sequence'!C2:C1586,'Review Sequence'!J2:J1586),"Dependency not found")</x:f>
        <x:v>Not Started</x:v>
      </x:c>
      <x:c r="E45" s="6" t="str">
        <x:v>MFRX-0044</x:v>
      </x:c>
      <x:c r="F45" s="6" t="str">
        <x:f>IFERROR(XLOOKUP(E45,'Review Sequence'!C2:C1586,'Review Sequence'!J2:J1586),"Dependency not found")</x:f>
        <x:v>Not Started</x:v>
      </x:c>
      <x:c r="G45" s="6" t="str">
        <x:v>Galaxy S3 Mini Screen replacement</x:v>
      </x:c>
      <x:c r="H45" s="6" t="str"/>
      <x:c r="I45" s="6" t="str"/>
      <x:c r="J45" s="6" t="str">
        <x:v>Unknown</x:v>
      </x:c>
      <x:c r="K45" s="6" t="str">
        <x:v>Unresolved</x:v>
      </x:c>
      <x:c r="L45" s="7" t="str">
        <x:v>Nocturnix_Master_Services_Catalog_v1.xlsx | 01 - Master Services | row 84</x:v>
      </x:c>
      <x:c r="M45" s="6" t="str"/>
      <x:c r="N45" s="6" t="str"/>
      <x:c r="O45" s="6" t="str">
        <x:v>Pending</x:v>
      </x:c>
      <x:c r="P45" s="7" t="str">
        <x:f>IF(AND(OR(D45="Reviewer Complete",D45="Awaiting Second-Level Approval"),OR(F45="Reviewer Complete",F45="Awaiting Second-Level Approval")),"","Identity/manufacturer dependency unresolved")</x:f>
        <x:v>Identity/manufacturer dependency unresolved</x:v>
      </x:c>
      <x:c r="Q45" s="6" t="str">
        <x:v>Yes</x:v>
      </x:c>
      <x:c r="R45" s="7" t="str"/>
    </x:row>
    <x:row r="46">
      <x:c r="A46" s="6" t="str">
        <x:v>DEVX-0045</x:v>
      </x:c>
      <x:c r="B46" s="6" t="str">
        <x:v>SVC000045</x:v>
      </x:c>
      <x:c r="C46" s="6" t="str">
        <x:v>SIDX-0045</x:v>
      </x:c>
      <x:c r="D46" s="6" t="str">
        <x:f>IFERROR(XLOOKUP(C46,'Review Sequence'!C2:C1586,'Review Sequence'!J2:J1586),"Dependency not found")</x:f>
        <x:v>Not Started</x:v>
      </x:c>
      <x:c r="E46" s="6" t="str">
        <x:v>MFRX-0045</x:v>
      </x:c>
      <x:c r="F46" s="6" t="str">
        <x:f>IFERROR(XLOOKUP(E46,'Review Sequence'!C2:C1586,'Review Sequence'!J2:J1586),"Dependency not found")</x:f>
        <x:v>Not Started</x:v>
      </x:c>
      <x:c r="G46" s="6" t="str">
        <x:v>Galaxy S 4 Mini Screen replacement</x:v>
      </x:c>
      <x:c r="H46" s="6" t="str"/>
      <x:c r="I46" s="6" t="str"/>
      <x:c r="J46" s="6" t="str">
        <x:v>Unknown</x:v>
      </x:c>
      <x:c r="K46" s="6" t="str">
        <x:v>Unresolved</x:v>
      </x:c>
      <x:c r="L46" s="7" t="str">
        <x:v>Nocturnix_Master_Services_Catalog_v1.xlsx | 01 - Master Services | row 85</x:v>
      </x:c>
      <x:c r="M46" s="6" t="str"/>
      <x:c r="N46" s="6" t="str"/>
      <x:c r="O46" s="6" t="str">
        <x:v>Pending</x:v>
      </x:c>
      <x:c r="P46" s="7" t="str">
        <x:f>IF(AND(OR(D46="Reviewer Complete",D46="Awaiting Second-Level Approval"),OR(F46="Reviewer Complete",F46="Awaiting Second-Level Approval")),"","Identity/manufacturer dependency unresolved")</x:f>
        <x:v>Identity/manufacturer dependency unresolved</x:v>
      </x:c>
      <x:c r="Q46" s="6" t="str">
        <x:v>Yes</x:v>
      </x:c>
      <x:c r="R46" s="7" t="str"/>
    </x:row>
    <x:row r="47">
      <x:c r="A47" s="6" t="str">
        <x:v>DEVX-0046</x:v>
      </x:c>
      <x:c r="B47" s="6" t="str">
        <x:v>SVC000046</x:v>
      </x:c>
      <x:c r="C47" s="6" t="str">
        <x:v>SIDX-0046</x:v>
      </x:c>
      <x:c r="D47" s="6" t="str">
        <x:f>IFERROR(XLOOKUP(C47,'Review Sequence'!C2:C1586,'Review Sequence'!J2:J1586),"Dependency not found")</x:f>
        <x:v>Not Started</x:v>
      </x:c>
      <x:c r="E47" s="6" t="str">
        <x:v>MFRX-0046</x:v>
      </x:c>
      <x:c r="F47" s="6" t="str">
        <x:f>IFERROR(XLOOKUP(E47,'Review Sequence'!C2:C1586,'Review Sequence'!J2:J1586),"Dependency not found")</x:f>
        <x:v>Not Started</x:v>
      </x:c>
      <x:c r="G47" s="6" t="str">
        <x:v>Galaxy S Classic Screen replacement</x:v>
      </x:c>
      <x:c r="H47" s="6" t="str"/>
      <x:c r="I47" s="6" t="str"/>
      <x:c r="J47" s="6" t="str">
        <x:v>Unknown</x:v>
      </x:c>
      <x:c r="K47" s="6" t="str">
        <x:v>Unresolved</x:v>
      </x:c>
      <x:c r="L47" s="7" t="str">
        <x:v>Nocturnix_Master_Services_Catalog_v1.xlsx | 01 - Master Services | row 86</x:v>
      </x:c>
      <x:c r="M47" s="6" t="str"/>
      <x:c r="N47" s="6" t="str"/>
      <x:c r="O47" s="6" t="str">
        <x:v>Pending</x:v>
      </x:c>
      <x:c r="P47" s="7" t="str">
        <x:f>IF(AND(OR(D47="Reviewer Complete",D47="Awaiting Second-Level Approval"),OR(F47="Reviewer Complete",F47="Awaiting Second-Level Approval")),"","Identity/manufacturer dependency unresolved")</x:f>
        <x:v>Identity/manufacturer dependency unresolved</x:v>
      </x:c>
      <x:c r="Q47" s="6" t="str">
        <x:v>Yes</x:v>
      </x:c>
      <x:c r="R47" s="7" t="str"/>
    </x:row>
    <x:row r="48">
      <x:c r="A48" s="6" t="str">
        <x:v>DEVX-0047</x:v>
      </x:c>
      <x:c r="B48" s="6" t="str">
        <x:v>SVC000047</x:v>
      </x:c>
      <x:c r="C48" s="6" t="str">
        <x:v>SIDX-0047</x:v>
      </x:c>
      <x:c r="D48" s="6" t="str">
        <x:f>IFERROR(XLOOKUP(C48,'Review Sequence'!C2:C1586,'Review Sequence'!J2:J1586),"Dependency not found")</x:f>
        <x:v>Not Started</x:v>
      </x:c>
      <x:c r="E48" s="6" t="str">
        <x:v>MFRX-0047</x:v>
      </x:c>
      <x:c r="F48" s="6" t="str">
        <x:f>IFERROR(XLOOKUP(E48,'Review Sequence'!C2:C1586,'Review Sequence'!J2:J1586),"Dependency not found")</x:f>
        <x:v>Not Started</x:v>
      </x:c>
      <x:c r="G48" s="6" t="str">
        <x:v>Galaxy S 5 Active Screen replacement</x:v>
      </x:c>
      <x:c r="H48" s="6" t="str"/>
      <x:c r="I48" s="6" t="str"/>
      <x:c r="J48" s="6" t="str">
        <x:v>Unknown</x:v>
      </x:c>
      <x:c r="K48" s="6" t="str">
        <x:v>Unresolved</x:v>
      </x:c>
      <x:c r="L48" s="7" t="str">
        <x:v>Nocturnix_Master_Services_Catalog_v1.xlsx | 01 - Master Services | row 87</x:v>
      </x:c>
      <x:c r="M48" s="6" t="str"/>
      <x:c r="N48" s="6" t="str"/>
      <x:c r="O48" s="6" t="str">
        <x:v>Pending</x:v>
      </x:c>
      <x:c r="P48" s="7" t="str">
        <x:f>IF(AND(OR(D48="Reviewer Complete",D48="Awaiting Second-Level Approval"),OR(F48="Reviewer Complete",F48="Awaiting Second-Level Approval")),"","Identity/manufacturer dependency unresolved")</x:f>
        <x:v>Identity/manufacturer dependency unresolved</x:v>
      </x:c>
      <x:c r="Q48" s="6" t="str">
        <x:v>Yes</x:v>
      </x:c>
      <x:c r="R48" s="7" t="str"/>
    </x:row>
    <x:row r="49">
      <x:c r="A49" s="6" t="str">
        <x:v>DEVX-0048</x:v>
      </x:c>
      <x:c r="B49" s="6" t="str">
        <x:v>SVC000048</x:v>
      </x:c>
      <x:c r="C49" s="6" t="str">
        <x:v>SIDX-0048</x:v>
      </x:c>
      <x:c r="D49" s="6" t="str">
        <x:f>IFERROR(XLOOKUP(C49,'Review Sequence'!C2:C1586,'Review Sequence'!J2:J1586),"Dependency not found")</x:f>
        <x:v>Not Started</x:v>
      </x:c>
      <x:c r="E49" s="6" t="str">
        <x:v>MFRX-0048</x:v>
      </x:c>
      <x:c r="F49" s="6" t="str">
        <x:f>IFERROR(XLOOKUP(E49,'Review Sequence'!C2:C1586,'Review Sequence'!J2:J1586),"Dependency not found")</x:f>
        <x:v>Not Started</x:v>
      </x:c>
      <x:c r="G49" s="6" t="str">
        <x:v>Galaxy S 5 Neo Screen replacement</x:v>
      </x:c>
      <x:c r="H49" s="6" t="str"/>
      <x:c r="I49" s="6" t="str"/>
      <x:c r="J49" s="6" t="str">
        <x:v>Unknown</x:v>
      </x:c>
      <x:c r="K49" s="6" t="str">
        <x:v>Unresolved</x:v>
      </x:c>
      <x:c r="L49" s="7" t="str">
        <x:v>Nocturnix_Master_Services_Catalog_v1.xlsx | 01 - Master Services | row 88</x:v>
      </x:c>
      <x:c r="M49" s="6" t="str"/>
      <x:c r="N49" s="6" t="str"/>
      <x:c r="O49" s="6" t="str">
        <x:v>Pending</x:v>
      </x:c>
      <x:c r="P49" s="7" t="str">
        <x:f>IF(AND(OR(D49="Reviewer Complete",D49="Awaiting Second-Level Approval"),OR(F49="Reviewer Complete",F49="Awaiting Second-Level Approval")),"","Identity/manufacturer dependency unresolved")</x:f>
        <x:v>Identity/manufacturer dependency unresolved</x:v>
      </x:c>
      <x:c r="Q49" s="6" t="str">
        <x:v>Yes</x:v>
      </x:c>
      <x:c r="R49" s="7" t="str"/>
    </x:row>
    <x:row r="50">
      <x:c r="A50" s="6" t="str">
        <x:v>DEVX-0049</x:v>
      </x:c>
      <x:c r="B50" s="6" t="str">
        <x:v>SVC000049</x:v>
      </x:c>
      <x:c r="C50" s="6" t="str">
        <x:v>SIDX-0049</x:v>
      </x:c>
      <x:c r="D50" s="6" t="str">
        <x:f>IFERROR(XLOOKUP(C50,'Review Sequence'!C2:C1586,'Review Sequence'!J2:J1586),"Dependency not found")</x:f>
        <x:v>Not Started</x:v>
      </x:c>
      <x:c r="E50" s="6" t="str">
        <x:v>MFRX-0049</x:v>
      </x:c>
      <x:c r="F50" s="6" t="str">
        <x:f>IFERROR(XLOOKUP(E50,'Review Sequence'!C2:C1586,'Review Sequence'!J2:J1586),"Dependency not found")</x:f>
        <x:v>Not Started</x:v>
      </x:c>
      <x:c r="G50" s="6" t="str">
        <x:v>Galaxy S2 Screen replacement</x:v>
      </x:c>
      <x:c r="H50" s="6" t="str"/>
      <x:c r="I50" s="6" t="str"/>
      <x:c r="J50" s="6" t="str">
        <x:v>Unknown</x:v>
      </x:c>
      <x:c r="K50" s="6" t="str">
        <x:v>Unresolved</x:v>
      </x:c>
      <x:c r="L50" s="7" t="str">
        <x:v>Nocturnix_Master_Services_Catalog_v1.xlsx | 01 - Master Services | row 89</x:v>
      </x:c>
      <x:c r="M50" s="6" t="str"/>
      <x:c r="N50" s="6" t="str"/>
      <x:c r="O50" s="6" t="str">
        <x:v>Pending</x:v>
      </x:c>
      <x:c r="P50" s="7" t="str">
        <x:f>IF(AND(OR(D50="Reviewer Complete",D50="Awaiting Second-Level Approval"),OR(F50="Reviewer Complete",F50="Awaiting Second-Level Approval")),"","Identity/manufacturer dependency unresolved")</x:f>
        <x:v>Identity/manufacturer dependency unresolved</x:v>
      </x:c>
      <x:c r="Q50" s="6" t="str">
        <x:v>Yes</x:v>
      </x:c>
      <x:c r="R50" s="7" t="str"/>
    </x:row>
    <x:row r="51">
      <x:c r="A51" s="6" t="str">
        <x:v>DEVX-0050</x:v>
      </x:c>
      <x:c r="B51" s="6" t="str">
        <x:v>SVC000050</x:v>
      </x:c>
      <x:c r="C51" s="6" t="str">
        <x:v>SIDX-0050</x:v>
      </x:c>
      <x:c r="D51" s="6" t="str">
        <x:f>IFERROR(XLOOKUP(C51,'Review Sequence'!C2:C1586,'Review Sequence'!J2:J1586),"Dependency not found")</x:f>
        <x:v>Not Started</x:v>
      </x:c>
      <x:c r="E51" s="6" t="str">
        <x:v>MFRX-0050</x:v>
      </x:c>
      <x:c r="F51" s="6" t="str">
        <x:f>IFERROR(XLOOKUP(E51,'Review Sequence'!C2:C1586,'Review Sequence'!J2:J1586),"Dependency not found")</x:f>
        <x:v>Not Started</x:v>
      </x:c>
      <x:c r="G51" s="6" t="str">
        <x:v>Galaxy S3 Neo Screen replacement</x:v>
      </x:c>
      <x:c r="H51" s="6" t="str"/>
      <x:c r="I51" s="6" t="str"/>
      <x:c r="J51" s="6" t="str">
        <x:v>Unknown</x:v>
      </x:c>
      <x:c r="K51" s="6" t="str">
        <x:v>Unresolved</x:v>
      </x:c>
      <x:c r="L51" s="7" t="str">
        <x:v>Nocturnix_Master_Services_Catalog_v1.xlsx | 01 - Master Services | row 90</x:v>
      </x:c>
      <x:c r="M51" s="6" t="str"/>
      <x:c r="N51" s="6" t="str"/>
      <x:c r="O51" s="6" t="str">
        <x:v>Pending</x:v>
      </x:c>
      <x:c r="P51" s="7" t="str">
        <x:f>IF(AND(OR(D51="Reviewer Complete",D51="Awaiting Second-Level Approval"),OR(F51="Reviewer Complete",F51="Awaiting Second-Level Approval")),"","Identity/manufacturer dependency unresolved")</x:f>
        <x:v>Identity/manufacturer dependency unresolved</x:v>
      </x:c>
      <x:c r="Q51" s="6" t="str">
        <x:v>Yes</x:v>
      </x:c>
      <x:c r="R51" s="7" t="str"/>
    </x:row>
    <x:row r="52">
      <x:c r="A52" s="6" t="str">
        <x:v>DEVX-0051</x:v>
      </x:c>
      <x:c r="B52" s="6" t="str">
        <x:v>SVC000051</x:v>
      </x:c>
      <x:c r="C52" s="6" t="str">
        <x:v>SIDX-0051</x:v>
      </x:c>
      <x:c r="D52" s="6" t="str">
        <x:f>IFERROR(XLOOKUP(C52,'Review Sequence'!C2:C1586,'Review Sequence'!J2:J1586),"Dependency not found")</x:f>
        <x:v>Not Started</x:v>
      </x:c>
      <x:c r="E52" s="6" t="str">
        <x:v>MFRX-0051</x:v>
      </x:c>
      <x:c r="F52" s="6" t="str">
        <x:f>IFERROR(XLOOKUP(E52,'Review Sequence'!C2:C1586,'Review Sequence'!J2:J1586),"Dependency not found")</x:f>
        <x:v>Not Started</x:v>
      </x:c>
      <x:c r="G52" s="6" t="str">
        <x:v>Galaxy S3 Screen replacement</x:v>
      </x:c>
      <x:c r="H52" s="6" t="str"/>
      <x:c r="I52" s="6" t="str"/>
      <x:c r="J52" s="6" t="str">
        <x:v>Unknown</x:v>
      </x:c>
      <x:c r="K52" s="6" t="str">
        <x:v>Unresolved</x:v>
      </x:c>
      <x:c r="L52" s="7" t="str">
        <x:v>Nocturnix_Master_Services_Catalog_v1.xlsx | 01 - Master Services | row 91</x:v>
      </x:c>
      <x:c r="M52" s="6" t="str"/>
      <x:c r="N52" s="6" t="str"/>
      <x:c r="O52" s="6" t="str">
        <x:v>Pending</x:v>
      </x:c>
      <x:c r="P52" s="7" t="str">
        <x:f>IF(AND(OR(D52="Reviewer Complete",D52="Awaiting Second-Level Approval"),OR(F52="Reviewer Complete",F52="Awaiting Second-Level Approval")),"","Identity/manufacturer dependency unresolved")</x:f>
        <x:v>Identity/manufacturer dependency unresolved</x:v>
      </x:c>
      <x:c r="Q52" s="6" t="str">
        <x:v>Yes</x:v>
      </x:c>
      <x:c r="R52" s="7" t="str"/>
    </x:row>
    <x:row r="53">
      <x:c r="A53" s="6" t="str">
        <x:v>DEVX-0052</x:v>
      </x:c>
      <x:c r="B53" s="6" t="str">
        <x:v>SVC000052</x:v>
      </x:c>
      <x:c r="C53" s="6" t="str">
        <x:v>SIDX-0052</x:v>
      </x:c>
      <x:c r="D53" s="6" t="str">
        <x:f>IFERROR(XLOOKUP(C53,'Review Sequence'!C2:C1586,'Review Sequence'!J2:J1586),"Dependency not found")</x:f>
        <x:v>Not Started</x:v>
      </x:c>
      <x:c r="E53" s="6" t="str">
        <x:v>MFRX-0052</x:v>
      </x:c>
      <x:c r="F53" s="6" t="str">
        <x:f>IFERROR(XLOOKUP(E53,'Review Sequence'!C2:C1586,'Review Sequence'!J2:J1586),"Dependency not found")</x:f>
        <x:v>Not Started</x:v>
      </x:c>
      <x:c r="G53" s="6" t="str">
        <x:v>Galaxy S4 Screen replacement</x:v>
      </x:c>
      <x:c r="H53" s="6" t="str"/>
      <x:c r="I53" s="6" t="str"/>
      <x:c r="J53" s="6" t="str">
        <x:v>Unknown</x:v>
      </x:c>
      <x:c r="K53" s="6" t="str">
        <x:v>Unresolved</x:v>
      </x:c>
      <x:c r="L53" s="7" t="str">
        <x:v>Nocturnix_Master_Services_Catalog_v1.xlsx | 01 - Master Services | row 92</x:v>
      </x:c>
      <x:c r="M53" s="6" t="str"/>
      <x:c r="N53" s="6" t="str"/>
      <x:c r="O53" s="6" t="str">
        <x:v>Pending</x:v>
      </x:c>
      <x:c r="P53" s="7" t="str">
        <x:f>IF(AND(OR(D53="Reviewer Complete",D53="Awaiting Second-Level Approval"),OR(F53="Reviewer Complete",F53="Awaiting Second-Level Approval")),"","Identity/manufacturer dependency unresolved")</x:f>
        <x:v>Identity/manufacturer dependency unresolved</x:v>
      </x:c>
      <x:c r="Q53" s="6" t="str">
        <x:v>Yes</x:v>
      </x:c>
      <x:c r="R53" s="7" t="str"/>
    </x:row>
    <x:row r="54">
      <x:c r="A54" s="6" t="str">
        <x:v>DEVX-0053</x:v>
      </x:c>
      <x:c r="B54" s="6" t="str">
        <x:v>SVC000053</x:v>
      </x:c>
      <x:c r="C54" s="6" t="str">
        <x:v>SIDX-0053</x:v>
      </x:c>
      <x:c r="D54" s="6" t="str">
        <x:f>IFERROR(XLOOKUP(C54,'Review Sequence'!C2:C1586,'Review Sequence'!J2:J1586),"Dependency not found")</x:f>
        <x:v>Not Started</x:v>
      </x:c>
      <x:c r="E54" s="6" t="str">
        <x:v>MFRX-0053</x:v>
      </x:c>
      <x:c r="F54" s="6" t="str">
        <x:f>IFERROR(XLOOKUP(E54,'Review Sequence'!C2:C1586,'Review Sequence'!J2:J1586),"Dependency not found")</x:f>
        <x:v>Not Started</x:v>
      </x:c>
      <x:c r="G54" s="6" t="str">
        <x:v>Galaxy S 4 Active Screen replacement</x:v>
      </x:c>
      <x:c r="H54" s="6" t="str"/>
      <x:c r="I54" s="6" t="str"/>
      <x:c r="J54" s="6" t="str">
        <x:v>Unknown</x:v>
      </x:c>
      <x:c r="K54" s="6" t="str">
        <x:v>Unresolved</x:v>
      </x:c>
      <x:c r="L54" s="7" t="str">
        <x:v>Nocturnix_Master_Services_Catalog_v1.xlsx | 01 - Master Services | row 93</x:v>
      </x:c>
      <x:c r="M54" s="6" t="str"/>
      <x:c r="N54" s="6" t="str"/>
      <x:c r="O54" s="6" t="str">
        <x:v>Pending</x:v>
      </x:c>
      <x:c r="P54" s="7" t="str">
        <x:f>IF(AND(OR(D54="Reviewer Complete",D54="Awaiting Second-Level Approval"),OR(F54="Reviewer Complete",F54="Awaiting Second-Level Approval")),"","Identity/manufacturer dependency unresolved")</x:f>
        <x:v>Identity/manufacturer dependency unresolved</x:v>
      </x:c>
      <x:c r="Q54" s="6" t="str">
        <x:v>Yes</x:v>
      </x:c>
      <x:c r="R54" s="7" t="str"/>
    </x:row>
    <x:row r="55">
      <x:c r="A55" s="6" t="str">
        <x:v>DEVX-0054</x:v>
      </x:c>
      <x:c r="B55" s="6" t="str">
        <x:v>SVC000054</x:v>
      </x:c>
      <x:c r="C55" s="6" t="str">
        <x:v>SIDX-0054</x:v>
      </x:c>
      <x:c r="D55" s="6" t="str">
        <x:f>IFERROR(XLOOKUP(C55,'Review Sequence'!C2:C1586,'Review Sequence'!J2:J1586),"Dependency not found")</x:f>
        <x:v>Not Started</x:v>
      </x:c>
      <x:c r="E55" s="6" t="str">
        <x:v>MFRX-0054</x:v>
      </x:c>
      <x:c r="F55" s="6" t="str">
        <x:f>IFERROR(XLOOKUP(E55,'Review Sequence'!C2:C1586,'Review Sequence'!J2:J1586),"Dependency not found")</x:f>
        <x:v>Not Started</x:v>
      </x:c>
      <x:c r="G55" s="6" t="str">
        <x:v>Galaxy S 5 Screen replacement</x:v>
      </x:c>
      <x:c r="H55" s="6" t="str"/>
      <x:c r="I55" s="6" t="str"/>
      <x:c r="J55" s="6" t="str">
        <x:v>Unknown</x:v>
      </x:c>
      <x:c r="K55" s="6" t="str">
        <x:v>Unresolved</x:v>
      </x:c>
      <x:c r="L55" s="7" t="str">
        <x:v>Nocturnix_Master_Services_Catalog_v1.xlsx | 01 - Master Services | row 94</x:v>
      </x:c>
      <x:c r="M55" s="6" t="str"/>
      <x:c r="N55" s="6" t="str"/>
      <x:c r="O55" s="6" t="str">
        <x:v>Pending</x:v>
      </x:c>
      <x:c r="P55" s="7" t="str">
        <x:f>IF(AND(OR(D55="Reviewer Complete",D55="Awaiting Second-Level Approval"),OR(F55="Reviewer Complete",F55="Awaiting Second-Level Approval")),"","Identity/manufacturer dependency unresolved")</x:f>
        <x:v>Identity/manufacturer dependency unresolved</x:v>
      </x:c>
      <x:c r="Q55" s="6" t="str">
        <x:v>Yes</x:v>
      </x:c>
      <x:c r="R55" s="7" t="str"/>
    </x:row>
    <x:row r="56">
      <x:c r="A56" s="6" t="str">
        <x:v>DEVX-0055</x:v>
      </x:c>
      <x:c r="B56" s="6" t="str">
        <x:v>SVC000055</x:v>
      </x:c>
      <x:c r="C56" s="6" t="str">
        <x:v>SIDX-0055</x:v>
      </x:c>
      <x:c r="D56" s="6" t="str">
        <x:f>IFERROR(XLOOKUP(C56,'Review Sequence'!C2:C1586,'Review Sequence'!J2:J1586),"Dependency not found")</x:f>
        <x:v>Not Started</x:v>
      </x:c>
      <x:c r="E56" s="6" t="str">
        <x:v>MFRX-0055</x:v>
      </x:c>
      <x:c r="F56" s="6" t="str">
        <x:f>IFERROR(XLOOKUP(E56,'Review Sequence'!C2:C1586,'Review Sequence'!J2:J1586),"Dependency not found")</x:f>
        <x:v>Not Started</x:v>
      </x:c>
      <x:c r="G56" s="6" t="str">
        <x:v>iPhone X Screen replacement</x:v>
      </x:c>
      <x:c r="H56" s="6" t="str"/>
      <x:c r="I56" s="6" t="str"/>
      <x:c r="J56" s="6" t="str">
        <x:v>Unknown</x:v>
      </x:c>
      <x:c r="K56" s="6" t="str">
        <x:v>Unresolved</x:v>
      </x:c>
      <x:c r="L56" s="7" t="str">
        <x:v>Nocturnix_Master_Services_Catalog_v1.xlsx | 01 - Master Services | row 95</x:v>
      </x:c>
      <x:c r="M56" s="6" t="str"/>
      <x:c r="N56" s="6" t="str"/>
      <x:c r="O56" s="6" t="str">
        <x:v>Pending</x:v>
      </x:c>
      <x:c r="P56" s="7" t="str">
        <x:f>IF(AND(OR(D56="Reviewer Complete",D56="Awaiting Second-Level Approval"),OR(F56="Reviewer Complete",F56="Awaiting Second-Level Approval")),"","Identity/manufacturer dependency unresolved")</x:f>
        <x:v>Identity/manufacturer dependency unresolved</x:v>
      </x:c>
      <x:c r="Q56" s="6" t="str">
        <x:v>Yes</x:v>
      </x:c>
      <x:c r="R56" s="7" t="str"/>
    </x:row>
    <x:row r="57">
      <x:c r="A57" s="6" t="str">
        <x:v>DEVX-0056</x:v>
      </x:c>
      <x:c r="B57" s="6" t="str">
        <x:v>SVC000056</x:v>
      </x:c>
      <x:c r="C57" s="6" t="str">
        <x:v>SIDX-0056</x:v>
      </x:c>
      <x:c r="D57" s="6" t="str">
        <x:f>IFERROR(XLOOKUP(C57,'Review Sequence'!C2:C1586,'Review Sequence'!J2:J1586),"Dependency not found")</x:f>
        <x:v>Not Started</x:v>
      </x:c>
      <x:c r="E57" s="6" t="str">
        <x:v>MFRX-0056</x:v>
      </x:c>
      <x:c r="F57" s="6" t="str">
        <x:f>IFERROR(XLOOKUP(E57,'Review Sequence'!C2:C1586,'Review Sequence'!J2:J1586),"Dependency not found")</x:f>
        <x:v>Not Started</x:v>
      </x:c>
      <x:c r="G57" s="6" t="str">
        <x:v>iPhone XS Max Screen replacement</x:v>
      </x:c>
      <x:c r="H57" s="6" t="str"/>
      <x:c r="I57" s="6" t="str"/>
      <x:c r="J57" s="6" t="str">
        <x:v>Unknown</x:v>
      </x:c>
      <x:c r="K57" s="6" t="str">
        <x:v>Unresolved</x:v>
      </x:c>
      <x:c r="L57" s="7" t="str">
        <x:v>Nocturnix_Master_Services_Catalog_v1.xlsx | 01 - Master Services | row 96</x:v>
      </x:c>
      <x:c r="M57" s="6" t="str"/>
      <x:c r="N57" s="6" t="str"/>
      <x:c r="O57" s="6" t="str">
        <x:v>Pending</x:v>
      </x:c>
      <x:c r="P57" s="7" t="str">
        <x:f>IF(AND(OR(D57="Reviewer Complete",D57="Awaiting Second-Level Approval"),OR(F57="Reviewer Complete",F57="Awaiting Second-Level Approval")),"","Identity/manufacturer dependency unresolved")</x:f>
        <x:v>Identity/manufacturer dependency unresolved</x:v>
      </x:c>
      <x:c r="Q57" s="6" t="str">
        <x:v>Yes</x:v>
      </x:c>
      <x:c r="R57" s="7" t="str"/>
    </x:row>
    <x:row r="58">
      <x:c r="A58" s="6" t="str">
        <x:v>DEVX-0057</x:v>
      </x:c>
      <x:c r="B58" s="6" t="str">
        <x:v>SVC000057</x:v>
      </x:c>
      <x:c r="C58" s="6" t="str">
        <x:v>SIDX-0057</x:v>
      </x:c>
      <x:c r="D58" s="6" t="str">
        <x:f>IFERROR(XLOOKUP(C58,'Review Sequence'!C2:C1586,'Review Sequence'!J2:J1586),"Dependency not found")</x:f>
        <x:v>Not Started</x:v>
      </x:c>
      <x:c r="E58" s="6" t="str">
        <x:v>MFRX-0057</x:v>
      </x:c>
      <x:c r="F58" s="6" t="str">
        <x:f>IFERROR(XLOOKUP(E58,'Review Sequence'!C2:C1586,'Review Sequence'!J2:J1586),"Dependency not found")</x:f>
        <x:v>Not Started</x:v>
      </x:c>
      <x:c r="G58" s="6" t="str">
        <x:v>iPhone 12 Screen replacement</x:v>
      </x:c>
      <x:c r="H58" s="6" t="str"/>
      <x:c r="I58" s="6" t="str"/>
      <x:c r="J58" s="6" t="str">
        <x:v>Unknown</x:v>
      </x:c>
      <x:c r="K58" s="6" t="str">
        <x:v>Unresolved</x:v>
      </x:c>
      <x:c r="L58" s="7" t="str">
        <x:v>Nocturnix_Master_Services_Catalog_v1.xlsx | 01 - Master Services | row 97</x:v>
      </x:c>
      <x:c r="M58" s="6" t="str"/>
      <x:c r="N58" s="6" t="str"/>
      <x:c r="O58" s="6" t="str">
        <x:v>Pending</x:v>
      </x:c>
      <x:c r="P58" s="7" t="str">
        <x:f>IF(AND(OR(D58="Reviewer Complete",D58="Awaiting Second-Level Approval"),OR(F58="Reviewer Complete",F58="Awaiting Second-Level Approval")),"","Identity/manufacturer dependency unresolved")</x:f>
        <x:v>Identity/manufacturer dependency unresolved</x:v>
      </x:c>
      <x:c r="Q58" s="6" t="str">
        <x:v>Yes</x:v>
      </x:c>
      <x:c r="R58" s="7" t="str"/>
    </x:row>
    <x:row r="59">
      <x:c r="A59" s="6" t="str">
        <x:v>DEVX-0058</x:v>
      </x:c>
      <x:c r="B59" s="6" t="str">
        <x:v>SVC000058</x:v>
      </x:c>
      <x:c r="C59" s="6" t="str">
        <x:v>SIDX-0058</x:v>
      </x:c>
      <x:c r="D59" s="6" t="str">
        <x:f>IFERROR(XLOOKUP(C59,'Review Sequence'!C2:C1586,'Review Sequence'!J2:J1586),"Dependency not found")</x:f>
        <x:v>Not Started</x:v>
      </x:c>
      <x:c r="E59" s="6" t="str">
        <x:v>MFRX-0058</x:v>
      </x:c>
      <x:c r="F59" s="6" t="str">
        <x:f>IFERROR(XLOOKUP(E59,'Review Sequence'!C2:C1586,'Review Sequence'!J2:J1586),"Dependency not found")</x:f>
        <x:v>Not Started</x:v>
      </x:c>
      <x:c r="G59" s="6" t="str">
        <x:v>iPhone 12 Pro Max Screen replacement</x:v>
      </x:c>
      <x:c r="H59" s="6" t="str"/>
      <x:c r="I59" s="6" t="str"/>
      <x:c r="J59" s="6" t="str">
        <x:v>Unknown</x:v>
      </x:c>
      <x:c r="K59" s="6" t="str">
        <x:v>Unresolved</x:v>
      </x:c>
      <x:c r="L59" s="7" t="str">
        <x:v>Nocturnix_Master_Services_Catalog_v1.xlsx | 01 - Master Services | row 98</x:v>
      </x:c>
      <x:c r="M59" s="6" t="str"/>
      <x:c r="N59" s="6" t="str"/>
      <x:c r="O59" s="6" t="str">
        <x:v>Pending</x:v>
      </x:c>
      <x:c r="P59" s="7" t="str">
        <x:f>IF(AND(OR(D59="Reviewer Complete",D59="Awaiting Second-Level Approval"),OR(F59="Reviewer Complete",F59="Awaiting Second-Level Approval")),"","Identity/manufacturer dependency unresolved")</x:f>
        <x:v>Identity/manufacturer dependency unresolved</x:v>
      </x:c>
      <x:c r="Q59" s="6" t="str">
        <x:v>Yes</x:v>
      </x:c>
      <x:c r="R59" s="7" t="str"/>
    </x:row>
    <x:row r="60">
      <x:c r="A60" s="6" t="str">
        <x:v>DEVX-0059</x:v>
      </x:c>
      <x:c r="B60" s="6" t="str">
        <x:v>SVC000059</x:v>
      </x:c>
      <x:c r="C60" s="6" t="str">
        <x:v>SIDX-0059</x:v>
      </x:c>
      <x:c r="D60" s="6" t="str">
        <x:f>IFERROR(XLOOKUP(C60,'Review Sequence'!C2:C1586,'Review Sequence'!J2:J1586),"Dependency not found")</x:f>
        <x:v>Not Started</x:v>
      </x:c>
      <x:c r="E60" s="6" t="str">
        <x:v>MFRX-0059</x:v>
      </x:c>
      <x:c r="F60" s="6" t="str">
        <x:f>IFERROR(XLOOKUP(E60,'Review Sequence'!C2:C1586,'Review Sequence'!J2:J1586),"Dependency not found")</x:f>
        <x:v>Not Started</x:v>
      </x:c>
      <x:c r="G60" s="6" t="str">
        <x:v>iPhone 12 Mini Screen replacement</x:v>
      </x:c>
      <x:c r="H60" s="6" t="str"/>
      <x:c r="I60" s="6" t="str"/>
      <x:c r="J60" s="6" t="str">
        <x:v>Unknown</x:v>
      </x:c>
      <x:c r="K60" s="6" t="str">
        <x:v>Unresolved</x:v>
      </x:c>
      <x:c r="L60" s="7" t="str">
        <x:v>Nocturnix_Master_Services_Catalog_v1.xlsx | 01 - Master Services | row 99</x:v>
      </x:c>
      <x:c r="M60" s="6" t="str"/>
      <x:c r="N60" s="6" t="str"/>
      <x:c r="O60" s="6" t="str">
        <x:v>Pending</x:v>
      </x:c>
      <x:c r="P60" s="7" t="str">
        <x:f>IF(AND(OR(D60="Reviewer Complete",D60="Awaiting Second-Level Approval"),OR(F60="Reviewer Complete",F60="Awaiting Second-Level Approval")),"","Identity/manufacturer dependency unresolved")</x:f>
        <x:v>Identity/manufacturer dependency unresolved</x:v>
      </x:c>
      <x:c r="Q60" s="6" t="str">
        <x:v>Yes</x:v>
      </x:c>
      <x:c r="R60" s="7" t="str"/>
    </x:row>
    <x:row r="61">
      <x:c r="A61" s="6" t="str">
        <x:v>DEVX-0060</x:v>
      </x:c>
      <x:c r="B61" s="6" t="str">
        <x:v>SVC000060</x:v>
      </x:c>
      <x:c r="C61" s="6" t="str">
        <x:v>SIDX-0060</x:v>
      </x:c>
      <x:c r="D61" s="6" t="str">
        <x:f>IFERROR(XLOOKUP(C61,'Review Sequence'!C2:C1586,'Review Sequence'!J2:J1586),"Dependency not found")</x:f>
        <x:v>Not Started</x:v>
      </x:c>
      <x:c r="E61" s="6" t="str">
        <x:v>MFRX-0060</x:v>
      </x:c>
      <x:c r="F61" s="6" t="str">
        <x:f>IFERROR(XLOOKUP(E61,'Review Sequence'!C2:C1586,'Review Sequence'!J2:J1586),"Dependency not found")</x:f>
        <x:v>Not Started</x:v>
      </x:c>
      <x:c r="G61" s="6" t="str">
        <x:v>iPhone 11 Pro Screen replacement</x:v>
      </x:c>
      <x:c r="H61" s="6" t="str"/>
      <x:c r="I61" s="6" t="str"/>
      <x:c r="J61" s="6" t="str">
        <x:v>Unknown</x:v>
      </x:c>
      <x:c r="K61" s="6" t="str">
        <x:v>Unresolved</x:v>
      </x:c>
      <x:c r="L61" s="7" t="str">
        <x:v>Nocturnix_Master_Services_Catalog_v1.xlsx | 01 - Master Services | row 100</x:v>
      </x:c>
      <x:c r="M61" s="6" t="str"/>
      <x:c r="N61" s="6" t="str"/>
      <x:c r="O61" s="6" t="str">
        <x:v>Pending</x:v>
      </x:c>
      <x:c r="P61" s="7" t="str">
        <x:f>IF(AND(OR(D61="Reviewer Complete",D61="Awaiting Second-Level Approval"),OR(F61="Reviewer Complete",F61="Awaiting Second-Level Approval")),"","Identity/manufacturer dependency unresolved")</x:f>
        <x:v>Identity/manufacturer dependency unresolved</x:v>
      </x:c>
      <x:c r="Q61" s="6" t="str">
        <x:v>Yes</x:v>
      </x:c>
      <x:c r="R61" s="7" t="str"/>
    </x:row>
    <x:row r="62">
      <x:c r="A62" s="6" t="str">
        <x:v>DEVX-0061</x:v>
      </x:c>
      <x:c r="B62" s="6" t="str">
        <x:v>SVC000061</x:v>
      </x:c>
      <x:c r="C62" s="6" t="str">
        <x:v>SIDX-0061</x:v>
      </x:c>
      <x:c r="D62" s="6" t="str">
        <x:f>IFERROR(XLOOKUP(C62,'Review Sequence'!C2:C1586,'Review Sequence'!J2:J1586),"Dependency not found")</x:f>
        <x:v>Not Started</x:v>
      </x:c>
      <x:c r="E62" s="6" t="str">
        <x:v>MFRX-0061</x:v>
      </x:c>
      <x:c r="F62" s="6" t="str">
        <x:f>IFERROR(XLOOKUP(E62,'Review Sequence'!C2:C1586,'Review Sequence'!J2:J1586),"Dependency not found")</x:f>
        <x:v>Not Started</x:v>
      </x:c>
      <x:c r="G62" s="6" t="str">
        <x:v>iPhone 11 Screen replacement</x:v>
      </x:c>
      <x:c r="H62" s="6" t="str"/>
      <x:c r="I62" s="6" t="str"/>
      <x:c r="J62" s="6" t="str">
        <x:v>Unknown</x:v>
      </x:c>
      <x:c r="K62" s="6" t="str">
        <x:v>Unresolved</x:v>
      </x:c>
      <x:c r="L62" s="7" t="str">
        <x:v>Nocturnix_Master_Services_Catalog_v1.xlsx | 01 - Master Services | row 101</x:v>
      </x:c>
      <x:c r="M62" s="6" t="str"/>
      <x:c r="N62" s="6" t="str"/>
      <x:c r="O62" s="6" t="str">
        <x:v>Pending</x:v>
      </x:c>
      <x:c r="P62" s="7" t="str">
        <x:f>IF(AND(OR(D62="Reviewer Complete",D62="Awaiting Second-Level Approval"),OR(F62="Reviewer Complete",F62="Awaiting Second-Level Approval")),"","Identity/manufacturer dependency unresolved")</x:f>
        <x:v>Identity/manufacturer dependency unresolved</x:v>
      </x:c>
      <x:c r="Q62" s="6" t="str">
        <x:v>Yes</x:v>
      </x:c>
      <x:c r="R62" s="7" t="str"/>
    </x:row>
    <x:row r="63">
      <x:c r="A63" s="6" t="str">
        <x:v>DEVX-0062</x:v>
      </x:c>
      <x:c r="B63" s="6" t="str">
        <x:v>SVC000062</x:v>
      </x:c>
      <x:c r="C63" s="6" t="str">
        <x:v>SIDX-0062</x:v>
      </x:c>
      <x:c r="D63" s="6" t="str">
        <x:f>IFERROR(XLOOKUP(C63,'Review Sequence'!C2:C1586,'Review Sequence'!J2:J1586),"Dependency not found")</x:f>
        <x:v>Not Started</x:v>
      </x:c>
      <x:c r="E63" s="6" t="str">
        <x:v>MFRX-0062</x:v>
      </x:c>
      <x:c r="F63" s="6" t="str">
        <x:f>IFERROR(XLOOKUP(E63,'Review Sequence'!C2:C1586,'Review Sequence'!J2:J1586),"Dependency not found")</x:f>
        <x:v>Not Started</x:v>
      </x:c>
      <x:c r="G63" s="6" t="str">
        <x:v>iPhone 11 Pro Max Screen replacement</x:v>
      </x:c>
      <x:c r="H63" s="6" t="str"/>
      <x:c r="I63" s="6" t="str"/>
      <x:c r="J63" s="6" t="str">
        <x:v>Unknown</x:v>
      </x:c>
      <x:c r="K63" s="6" t="str">
        <x:v>Unresolved</x:v>
      </x:c>
      <x:c r="L63" s="7" t="str">
        <x:v>Nocturnix_Master_Services_Catalog_v1.xlsx | 01 - Master Services | row 102</x:v>
      </x:c>
      <x:c r="M63" s="6" t="str"/>
      <x:c r="N63" s="6" t="str"/>
      <x:c r="O63" s="6" t="str">
        <x:v>Pending</x:v>
      </x:c>
      <x:c r="P63" s="7" t="str">
        <x:f>IF(AND(OR(D63="Reviewer Complete",D63="Awaiting Second-Level Approval"),OR(F63="Reviewer Complete",F63="Awaiting Second-Level Approval")),"","Identity/manufacturer dependency unresolved")</x:f>
        <x:v>Identity/manufacturer dependency unresolved</x:v>
      </x:c>
      <x:c r="Q63" s="6" t="str">
        <x:v>Yes</x:v>
      </x:c>
      <x:c r="R63" s="7" t="str"/>
    </x:row>
    <x:row r="64">
      <x:c r="A64" s="6" t="str">
        <x:v>DEVX-0063</x:v>
      </x:c>
      <x:c r="B64" s="6" t="str">
        <x:v>SVC000063</x:v>
      </x:c>
      <x:c r="C64" s="6" t="str">
        <x:v>SIDX-0063</x:v>
      </x:c>
      <x:c r="D64" s="6" t="str">
        <x:f>IFERROR(XLOOKUP(C64,'Review Sequence'!C2:C1586,'Review Sequence'!J2:J1586),"Dependency not found")</x:f>
        <x:v>Not Started</x:v>
      </x:c>
      <x:c r="E64" s="6" t="str">
        <x:v>MFRX-0063</x:v>
      </x:c>
      <x:c r="F64" s="6" t="str">
        <x:f>IFERROR(XLOOKUP(E64,'Review Sequence'!C2:C1586,'Review Sequence'!J2:J1586),"Dependency not found")</x:f>
        <x:v>Not Started</x:v>
      </x:c>
      <x:c r="G64" s="6" t="str">
        <x:v>iPhone 12 Pro Screen replacement</x:v>
      </x:c>
      <x:c r="H64" s="6" t="str"/>
      <x:c r="I64" s="6" t="str"/>
      <x:c r="J64" s="6" t="str">
        <x:v>Unknown</x:v>
      </x:c>
      <x:c r="K64" s="6" t="str">
        <x:v>Unresolved</x:v>
      </x:c>
      <x:c r="L64" s="7" t="str">
        <x:v>Nocturnix_Master_Services_Catalog_v1.xlsx | 01 - Master Services | row 103</x:v>
      </x:c>
      <x:c r="M64" s="6" t="str"/>
      <x:c r="N64" s="6" t="str"/>
      <x:c r="O64" s="6" t="str">
        <x:v>Pending</x:v>
      </x:c>
      <x:c r="P64" s="7" t="str">
        <x:f>IF(AND(OR(D64="Reviewer Complete",D64="Awaiting Second-Level Approval"),OR(F64="Reviewer Complete",F64="Awaiting Second-Level Approval")),"","Identity/manufacturer dependency unresolved")</x:f>
        <x:v>Identity/manufacturer dependency unresolved</x:v>
      </x:c>
      <x:c r="Q64" s="6" t="str">
        <x:v>Yes</x:v>
      </x:c>
      <x:c r="R64" s="7" t="str"/>
    </x:row>
    <x:row r="65">
      <x:c r="A65" s="6" t="str">
        <x:v>DEVX-0064</x:v>
      </x:c>
      <x:c r="B65" s="6" t="str">
        <x:v>SVC000064</x:v>
      </x:c>
      <x:c r="C65" s="6" t="str">
        <x:v>SIDX-0064</x:v>
      </x:c>
      <x:c r="D65" s="6" t="str">
        <x:f>IFERROR(XLOOKUP(C65,'Review Sequence'!C2:C1586,'Review Sequence'!J2:J1586),"Dependency not found")</x:f>
        <x:v>Not Started</x:v>
      </x:c>
      <x:c r="E65" s="6" t="str">
        <x:v>MFRX-0064</x:v>
      </x:c>
      <x:c r="F65" s="6" t="str">
        <x:f>IFERROR(XLOOKUP(E65,'Review Sequence'!C2:C1586,'Review Sequence'!J2:J1586),"Dependency not found")</x:f>
        <x:v>Not Started</x:v>
      </x:c>
      <x:c r="G65" s="6" t="str">
        <x:v>iPhone 13 Pro Screen replacement</x:v>
      </x:c>
      <x:c r="H65" s="6" t="str"/>
      <x:c r="I65" s="6" t="str"/>
      <x:c r="J65" s="6" t="str">
        <x:v>Unknown</x:v>
      </x:c>
      <x:c r="K65" s="6" t="str">
        <x:v>Unresolved</x:v>
      </x:c>
      <x:c r="L65" s="7" t="str">
        <x:v>Nocturnix_Master_Services_Catalog_v1.xlsx | 01 - Master Services | row 104</x:v>
      </x:c>
      <x:c r="M65" s="6" t="str"/>
      <x:c r="N65" s="6" t="str"/>
      <x:c r="O65" s="6" t="str">
        <x:v>Pending</x:v>
      </x:c>
      <x:c r="P65" s="7" t="str">
        <x:f>IF(AND(OR(D65="Reviewer Complete",D65="Awaiting Second-Level Approval"),OR(F65="Reviewer Complete",F65="Awaiting Second-Level Approval")),"","Identity/manufacturer dependency unresolved")</x:f>
        <x:v>Identity/manufacturer dependency unresolved</x:v>
      </x:c>
      <x:c r="Q65" s="6" t="str">
        <x:v>Yes</x:v>
      </x:c>
      <x:c r="R65" s="7" t="str"/>
    </x:row>
    <x:row r="66">
      <x:c r="A66" s="6" t="str">
        <x:v>DEVX-0065</x:v>
      </x:c>
      <x:c r="B66" s="6" t="str">
        <x:v>SVC000065</x:v>
      </x:c>
      <x:c r="C66" s="6" t="str">
        <x:v>SIDX-0065</x:v>
      </x:c>
      <x:c r="D66" s="6" t="str">
        <x:f>IFERROR(XLOOKUP(C66,'Review Sequence'!C2:C1586,'Review Sequence'!J2:J1586),"Dependency not found")</x:f>
        <x:v>Not Started</x:v>
      </x:c>
      <x:c r="E66" s="6" t="str">
        <x:v>MFRX-0065</x:v>
      </x:c>
      <x:c r="F66" s="6" t="str">
        <x:f>IFERROR(XLOOKUP(E66,'Review Sequence'!C2:C1586,'Review Sequence'!J2:J1586),"Dependency not found")</x:f>
        <x:v>Not Started</x:v>
      </x:c>
      <x:c r="G66" s="6" t="str">
        <x:v>iPhone 13 Screen replacement</x:v>
      </x:c>
      <x:c r="H66" s="6" t="str"/>
      <x:c r="I66" s="6" t="str"/>
      <x:c r="J66" s="6" t="str">
        <x:v>Unknown</x:v>
      </x:c>
      <x:c r="K66" s="6" t="str">
        <x:v>Unresolved</x:v>
      </x:c>
      <x:c r="L66" s="7" t="str">
        <x:v>Nocturnix_Master_Services_Catalog_v1.xlsx | 01 - Master Services | row 105</x:v>
      </x:c>
      <x:c r="M66" s="6" t="str"/>
      <x:c r="N66" s="6" t="str"/>
      <x:c r="O66" s="6" t="str">
        <x:v>Pending</x:v>
      </x:c>
      <x:c r="P66" s="7" t="str">
        <x:f>IF(AND(OR(D66="Reviewer Complete",D66="Awaiting Second-Level Approval"),OR(F66="Reviewer Complete",F66="Awaiting Second-Level Approval")),"","Identity/manufacturer dependency unresolved")</x:f>
        <x:v>Identity/manufacturer dependency unresolved</x:v>
      </x:c>
      <x:c r="Q66" s="6" t="str">
        <x:v>Yes</x:v>
      </x:c>
      <x:c r="R66" s="7" t="str"/>
    </x:row>
    <x:row r="67">
      <x:c r="A67" s="6" t="str">
        <x:v>DEVX-0066</x:v>
      </x:c>
      <x:c r="B67" s="6" t="str">
        <x:v>SVC000066</x:v>
      </x:c>
      <x:c r="C67" s="6" t="str">
        <x:v>SIDX-0066</x:v>
      </x:c>
      <x:c r="D67" s="6" t="str">
        <x:f>IFERROR(XLOOKUP(C67,'Review Sequence'!C2:C1586,'Review Sequence'!J2:J1586),"Dependency not found")</x:f>
        <x:v>Not Started</x:v>
      </x:c>
      <x:c r="E67" s="6" t="str">
        <x:v>MFRX-0066</x:v>
      </x:c>
      <x:c r="F67" s="6" t="str">
        <x:f>IFERROR(XLOOKUP(E67,'Review Sequence'!C2:C1586,'Review Sequence'!J2:J1586),"Dependency not found")</x:f>
        <x:v>Not Started</x:v>
      </x:c>
      <x:c r="G67" s="6" t="str">
        <x:v>iPhone 13 Pro Max Screen replacement</x:v>
      </x:c>
      <x:c r="H67" s="6" t="str"/>
      <x:c r="I67" s="6" t="str"/>
      <x:c r="J67" s="6" t="str">
        <x:v>Unknown</x:v>
      </x:c>
      <x:c r="K67" s="6" t="str">
        <x:v>Unresolved</x:v>
      </x:c>
      <x:c r="L67" s="7" t="str">
        <x:v>Nocturnix_Master_Services_Catalog_v1.xlsx | 01 - Master Services | row 106</x:v>
      </x:c>
      <x:c r="M67" s="6" t="str"/>
      <x:c r="N67" s="6" t="str"/>
      <x:c r="O67" s="6" t="str">
        <x:v>Pending</x:v>
      </x:c>
      <x:c r="P67" s="7" t="str">
        <x:f>IF(AND(OR(D67="Reviewer Complete",D67="Awaiting Second-Level Approval"),OR(F67="Reviewer Complete",F67="Awaiting Second-Level Approval")),"","Identity/manufacturer dependency unresolved")</x:f>
        <x:v>Identity/manufacturer dependency unresolved</x:v>
      </x:c>
      <x:c r="Q67" s="6" t="str">
        <x:v>Yes</x:v>
      </x:c>
      <x:c r="R67" s="7" t="str"/>
    </x:row>
    <x:row r="68">
      <x:c r="A68" s="6" t="str">
        <x:v>DEVX-0067</x:v>
      </x:c>
      <x:c r="B68" s="6" t="str">
        <x:v>SVC000067</x:v>
      </x:c>
      <x:c r="C68" s="6" t="str">
        <x:v>SIDX-0067</x:v>
      </x:c>
      <x:c r="D68" s="6" t="str">
        <x:f>IFERROR(XLOOKUP(C68,'Review Sequence'!C2:C1586,'Review Sequence'!J2:J1586),"Dependency not found")</x:f>
        <x:v>Not Started</x:v>
      </x:c>
      <x:c r="E68" s="6" t="str">
        <x:v>MFRX-0067</x:v>
      </x:c>
      <x:c r="F68" s="6" t="str">
        <x:f>IFERROR(XLOOKUP(E68,'Review Sequence'!C2:C1586,'Review Sequence'!J2:J1586),"Dependency not found")</x:f>
        <x:v>Not Started</x:v>
      </x:c>
      <x:c r="G68" s="6" t="str">
        <x:v>iPhone 13 Mini Screen replacement</x:v>
      </x:c>
      <x:c r="H68" s="6" t="str"/>
      <x:c r="I68" s="6" t="str"/>
      <x:c r="J68" s="6" t="str">
        <x:v>Unknown</x:v>
      </x:c>
      <x:c r="K68" s="6" t="str">
        <x:v>Unresolved</x:v>
      </x:c>
      <x:c r="L68" s="7" t="str">
        <x:v>Nocturnix_Master_Services_Catalog_v1.xlsx | 01 - Master Services | row 107</x:v>
      </x:c>
      <x:c r="M68" s="6" t="str"/>
      <x:c r="N68" s="6" t="str"/>
      <x:c r="O68" s="6" t="str">
        <x:v>Pending</x:v>
      </x:c>
      <x:c r="P68" s="7" t="str">
        <x:f>IF(AND(OR(D68="Reviewer Complete",D68="Awaiting Second-Level Approval"),OR(F68="Reviewer Complete",F68="Awaiting Second-Level Approval")),"","Identity/manufacturer dependency unresolved")</x:f>
        <x:v>Identity/manufacturer dependency unresolved</x:v>
      </x:c>
      <x:c r="Q68" s="6" t="str">
        <x:v>Yes</x:v>
      </x:c>
      <x:c r="R68" s="7" t="str"/>
    </x:row>
    <x:row r="69">
      <x:c r="A69" s="6" t="str">
        <x:v>DEVX-0068</x:v>
      </x:c>
      <x:c r="B69" s="6" t="str">
        <x:v>SVC000068</x:v>
      </x:c>
      <x:c r="C69" s="6" t="str">
        <x:v>SIDX-0068</x:v>
      </x:c>
      <x:c r="D69" s="6" t="str">
        <x:f>IFERROR(XLOOKUP(C69,'Review Sequence'!C2:C1586,'Review Sequence'!J2:J1586),"Dependency not found")</x:f>
        <x:v>Not Started</x:v>
      </x:c>
      <x:c r="E69" s="6" t="str">
        <x:v>MFRX-0068</x:v>
      </x:c>
      <x:c r="F69" s="6" t="str">
        <x:f>IFERROR(XLOOKUP(E69,'Review Sequence'!C2:C1586,'Review Sequence'!J2:J1586),"Dependency not found")</x:f>
        <x:v>Not Started</x:v>
      </x:c>
      <x:c r="G69" s="6" t="str">
        <x:v>iPhone 14 Screen replacement</x:v>
      </x:c>
      <x:c r="H69" s="6" t="str"/>
      <x:c r="I69" s="6" t="str"/>
      <x:c r="J69" s="6" t="str">
        <x:v>Unknown</x:v>
      </x:c>
      <x:c r="K69" s="6" t="str">
        <x:v>Unresolved</x:v>
      </x:c>
      <x:c r="L69" s="7" t="str">
        <x:v>Nocturnix_Master_Services_Catalog_v1.xlsx | 01 - Master Services | row 108</x:v>
      </x:c>
      <x:c r="M69" s="6" t="str"/>
      <x:c r="N69" s="6" t="str"/>
      <x:c r="O69" s="6" t="str">
        <x:v>Pending</x:v>
      </x:c>
      <x:c r="P69" s="7" t="str">
        <x:f>IF(AND(OR(D69="Reviewer Complete",D69="Awaiting Second-Level Approval"),OR(F69="Reviewer Complete",F69="Awaiting Second-Level Approval")),"","Identity/manufacturer dependency unresolved")</x:f>
        <x:v>Identity/manufacturer dependency unresolved</x:v>
      </x:c>
      <x:c r="Q69" s="6" t="str">
        <x:v>Yes</x:v>
      </x:c>
      <x:c r="R69" s="7" t="str"/>
    </x:row>
    <x:row r="70">
      <x:c r="A70" s="6" t="str">
        <x:v>DEVX-0069</x:v>
      </x:c>
      <x:c r="B70" s="6" t="str">
        <x:v>SVC000069</x:v>
      </x:c>
      <x:c r="C70" s="6" t="str">
        <x:v>SIDX-0069</x:v>
      </x:c>
      <x:c r="D70" s="6" t="str">
        <x:f>IFERROR(XLOOKUP(C70,'Review Sequence'!C2:C1586,'Review Sequence'!J2:J1586),"Dependency not found")</x:f>
        <x:v>Not Started</x:v>
      </x:c>
      <x:c r="E70" s="6" t="str">
        <x:v>MFRX-0069</x:v>
      </x:c>
      <x:c r="F70" s="6" t="str">
        <x:f>IFERROR(XLOOKUP(E70,'Review Sequence'!C2:C1586,'Review Sequence'!J2:J1586),"Dependency not found")</x:f>
        <x:v>Not Started</x:v>
      </x:c>
      <x:c r="G70" s="6" t="str">
        <x:v>iPhone 14 Pro Max Screen replacement</x:v>
      </x:c>
      <x:c r="H70" s="6" t="str"/>
      <x:c r="I70" s="6" t="str"/>
      <x:c r="J70" s="6" t="str">
        <x:v>Unknown</x:v>
      </x:c>
      <x:c r="K70" s="6" t="str">
        <x:v>Unresolved</x:v>
      </x:c>
      <x:c r="L70" s="7" t="str">
        <x:v>Nocturnix_Master_Services_Catalog_v1.xlsx | 01 - Master Services | row 109</x:v>
      </x:c>
      <x:c r="M70" s="6" t="str"/>
      <x:c r="N70" s="6" t="str"/>
      <x:c r="O70" s="6" t="str">
        <x:v>Pending</x:v>
      </x:c>
      <x:c r="P70" s="7" t="str">
        <x:f>IF(AND(OR(D70="Reviewer Complete",D70="Awaiting Second-Level Approval"),OR(F70="Reviewer Complete",F70="Awaiting Second-Level Approval")),"","Identity/manufacturer dependency unresolved")</x:f>
        <x:v>Identity/manufacturer dependency unresolved</x:v>
      </x:c>
      <x:c r="Q70" s="6" t="str">
        <x:v>Yes</x:v>
      </x:c>
      <x:c r="R70" s="7" t="str"/>
    </x:row>
    <x:row r="71">
      <x:c r="A71" s="6" t="str">
        <x:v>DEVX-0070</x:v>
      </x:c>
      <x:c r="B71" s="6" t="str">
        <x:v>SVC000070</x:v>
      </x:c>
      <x:c r="C71" s="6" t="str">
        <x:v>SIDX-0070</x:v>
      </x:c>
      <x:c r="D71" s="6" t="str">
        <x:f>IFERROR(XLOOKUP(C71,'Review Sequence'!C2:C1586,'Review Sequence'!J2:J1586),"Dependency not found")</x:f>
        <x:v>Not Started</x:v>
      </x:c>
      <x:c r="E71" s="6" t="str">
        <x:v>MFRX-0070</x:v>
      </x:c>
      <x:c r="F71" s="6" t="str">
        <x:f>IFERROR(XLOOKUP(E71,'Review Sequence'!C2:C1586,'Review Sequence'!J2:J1586),"Dependency not found")</x:f>
        <x:v>Not Started</x:v>
      </x:c>
      <x:c r="G71" s="6" t="str">
        <x:v>iPhone 14 Plus Screen replacement</x:v>
      </x:c>
      <x:c r="H71" s="6" t="str"/>
      <x:c r="I71" s="6" t="str"/>
      <x:c r="J71" s="6" t="str">
        <x:v>Unknown</x:v>
      </x:c>
      <x:c r="K71" s="6" t="str">
        <x:v>Unresolved</x:v>
      </x:c>
      <x:c r="L71" s="7" t="str">
        <x:v>Nocturnix_Master_Services_Catalog_v1.xlsx | 01 - Master Services | row 110</x:v>
      </x:c>
      <x:c r="M71" s="6" t="str"/>
      <x:c r="N71" s="6" t="str"/>
      <x:c r="O71" s="6" t="str">
        <x:v>Pending</x:v>
      </x:c>
      <x:c r="P71" s="7" t="str">
        <x:f>IF(AND(OR(D71="Reviewer Complete",D71="Awaiting Second-Level Approval"),OR(F71="Reviewer Complete",F71="Awaiting Second-Level Approval")),"","Identity/manufacturer dependency unresolved")</x:f>
        <x:v>Identity/manufacturer dependency unresolved</x:v>
      </x:c>
      <x:c r="Q71" s="6" t="str">
        <x:v>Yes</x:v>
      </x:c>
      <x:c r="R71" s="7" t="str"/>
    </x:row>
    <x:row r="72">
      <x:c r="A72" s="6" t="str">
        <x:v>DEVX-0071</x:v>
      </x:c>
      <x:c r="B72" s="6" t="str">
        <x:v>SVC000071</x:v>
      </x:c>
      <x:c r="C72" s="6" t="str">
        <x:v>SIDX-0071</x:v>
      </x:c>
      <x:c r="D72" s="6" t="str">
        <x:f>IFERROR(XLOOKUP(C72,'Review Sequence'!C2:C1586,'Review Sequence'!J2:J1586),"Dependency not found")</x:f>
        <x:v>Not Started</x:v>
      </x:c>
      <x:c r="E72" s="6" t="str">
        <x:v>MFRX-0071</x:v>
      </x:c>
      <x:c r="F72" s="6" t="str">
        <x:f>IFERROR(XLOOKUP(E72,'Review Sequence'!C2:C1586,'Review Sequence'!J2:J1586),"Dependency not found")</x:f>
        <x:v>Not Started</x:v>
      </x:c>
      <x:c r="G72" s="6" t="str">
        <x:v>iPhone 14 Pro Screen replacement</x:v>
      </x:c>
      <x:c r="H72" s="6" t="str"/>
      <x:c r="I72" s="6" t="str"/>
      <x:c r="J72" s="6" t="str">
        <x:v>Unknown</x:v>
      </x:c>
      <x:c r="K72" s="6" t="str">
        <x:v>Unresolved</x:v>
      </x:c>
      <x:c r="L72" s="7" t="str">
        <x:v>Nocturnix_Master_Services_Catalog_v1.xlsx | 01 - Master Services | row 111</x:v>
      </x:c>
      <x:c r="M72" s="6" t="str"/>
      <x:c r="N72" s="6" t="str"/>
      <x:c r="O72" s="6" t="str">
        <x:v>Pending</x:v>
      </x:c>
      <x:c r="P72" s="7" t="str">
        <x:f>IF(AND(OR(D72="Reviewer Complete",D72="Awaiting Second-Level Approval"),OR(F72="Reviewer Complete",F72="Awaiting Second-Level Approval")),"","Identity/manufacturer dependency unresolved")</x:f>
        <x:v>Identity/manufacturer dependency unresolved</x:v>
      </x:c>
      <x:c r="Q72" s="6" t="str">
        <x:v>Yes</x:v>
      </x:c>
      <x:c r="R72" s="7" t="str"/>
    </x:row>
    <x:row r="73">
      <x:c r="A73" s="6" t="str">
        <x:v>DEVX-0072</x:v>
      </x:c>
      <x:c r="B73" s="6" t="str">
        <x:v>SVC000072</x:v>
      </x:c>
      <x:c r="C73" s="6" t="str">
        <x:v>SIDX-0072</x:v>
      </x:c>
      <x:c r="D73" s="6" t="str">
        <x:f>IFERROR(XLOOKUP(C73,'Review Sequence'!C2:C1586,'Review Sequence'!J2:J1586),"Dependency not found")</x:f>
        <x:v>Not Started</x:v>
      </x:c>
      <x:c r="E73" s="6" t="str">
        <x:v>MFRX-0072</x:v>
      </x:c>
      <x:c r="F73" s="6" t="str">
        <x:f>IFERROR(XLOOKUP(E73,'Review Sequence'!C2:C1586,'Review Sequence'!J2:J1586),"Dependency not found")</x:f>
        <x:v>Not Started</x:v>
      </x:c>
      <x:c r="G73" s="6" t="str">
        <x:v>iPhone 15 Pro Screen replacement</x:v>
      </x:c>
      <x:c r="H73" s="6" t="str"/>
      <x:c r="I73" s="6" t="str"/>
      <x:c r="J73" s="6" t="str">
        <x:v>Unknown</x:v>
      </x:c>
      <x:c r="K73" s="6" t="str">
        <x:v>Unresolved</x:v>
      </x:c>
      <x:c r="L73" s="7" t="str">
        <x:v>Nocturnix_Master_Services_Catalog_v1.xlsx | 01 - Master Services | row 112</x:v>
      </x:c>
      <x:c r="M73" s="6" t="str"/>
      <x:c r="N73" s="6" t="str"/>
      <x:c r="O73" s="6" t="str">
        <x:v>Pending</x:v>
      </x:c>
      <x:c r="P73" s="7" t="str">
        <x:f>IF(AND(OR(D73="Reviewer Complete",D73="Awaiting Second-Level Approval"),OR(F73="Reviewer Complete",F73="Awaiting Second-Level Approval")),"","Identity/manufacturer dependency unresolved")</x:f>
        <x:v>Identity/manufacturer dependency unresolved</x:v>
      </x:c>
      <x:c r="Q73" s="6" t="str">
        <x:v>Yes</x:v>
      </x:c>
      <x:c r="R73" s="7" t="str"/>
    </x:row>
    <x:row r="74">
      <x:c r="A74" s="6" t="str">
        <x:v>DEVX-0073</x:v>
      </x:c>
      <x:c r="B74" s="6" t="str">
        <x:v>SVC000073</x:v>
      </x:c>
      <x:c r="C74" s="6" t="str">
        <x:v>SIDX-0073</x:v>
      </x:c>
      <x:c r="D74" s="6" t="str">
        <x:f>IFERROR(XLOOKUP(C74,'Review Sequence'!C2:C1586,'Review Sequence'!J2:J1586),"Dependency not found")</x:f>
        <x:v>Not Started</x:v>
      </x:c>
      <x:c r="E74" s="6" t="str">
        <x:v>MFRX-0073</x:v>
      </x:c>
      <x:c r="F74" s="6" t="str">
        <x:f>IFERROR(XLOOKUP(E74,'Review Sequence'!C2:C1586,'Review Sequence'!J2:J1586),"Dependency not found")</x:f>
        <x:v>Not Started</x:v>
      </x:c>
      <x:c r="G74" s="6" t="str">
        <x:v>iPhone 15 Pro Max Screen replacement</x:v>
      </x:c>
      <x:c r="H74" s="6" t="str"/>
      <x:c r="I74" s="6" t="str"/>
      <x:c r="J74" s="6" t="str">
        <x:v>Unknown</x:v>
      </x:c>
      <x:c r="K74" s="6" t="str">
        <x:v>Unresolved</x:v>
      </x:c>
      <x:c r="L74" s="7" t="str">
        <x:v>Nocturnix_Master_Services_Catalog_v1.xlsx | 01 - Master Services | row 113</x:v>
      </x:c>
      <x:c r="M74" s="6" t="str"/>
      <x:c r="N74" s="6" t="str"/>
      <x:c r="O74" s="6" t="str">
        <x:v>Pending</x:v>
      </x:c>
      <x:c r="P74" s="7" t="str">
        <x:f>IF(AND(OR(D74="Reviewer Complete",D74="Awaiting Second-Level Approval"),OR(F74="Reviewer Complete",F74="Awaiting Second-Level Approval")),"","Identity/manufacturer dependency unresolved")</x:f>
        <x:v>Identity/manufacturer dependency unresolved</x:v>
      </x:c>
      <x:c r="Q74" s="6" t="str">
        <x:v>Yes</x:v>
      </x:c>
      <x:c r="R74" s="7" t="str"/>
    </x:row>
    <x:row r="75">
      <x:c r="A75" s="6" t="str">
        <x:v>DEVX-0074</x:v>
      </x:c>
      <x:c r="B75" s="6" t="str">
        <x:v>SVC000074</x:v>
      </x:c>
      <x:c r="C75" s="6" t="str">
        <x:v>SIDX-0074</x:v>
      </x:c>
      <x:c r="D75" s="6" t="str">
        <x:f>IFERROR(XLOOKUP(C75,'Review Sequence'!C2:C1586,'Review Sequence'!J2:J1586),"Dependency not found")</x:f>
        <x:v>Not Started</x:v>
      </x:c>
      <x:c r="E75" s="6" t="str">
        <x:v>MFRX-0074</x:v>
      </x:c>
      <x:c r="F75" s="6" t="str">
        <x:f>IFERROR(XLOOKUP(E75,'Review Sequence'!C2:C1586,'Review Sequence'!J2:J1586),"Dependency not found")</x:f>
        <x:v>Not Started</x:v>
      </x:c>
      <x:c r="G75" s="6" t="str">
        <x:v>iPhone 15 Screen replacement</x:v>
      </x:c>
      <x:c r="H75" s="6" t="str"/>
      <x:c r="I75" s="6" t="str"/>
      <x:c r="J75" s="6" t="str">
        <x:v>Unknown</x:v>
      </x:c>
      <x:c r="K75" s="6" t="str">
        <x:v>Unresolved</x:v>
      </x:c>
      <x:c r="L75" s="7" t="str">
        <x:v>Nocturnix_Master_Services_Catalog_v1.xlsx | 01 - Master Services | row 114</x:v>
      </x:c>
      <x:c r="M75" s="6" t="str"/>
      <x:c r="N75" s="6" t="str"/>
      <x:c r="O75" s="6" t="str">
        <x:v>Pending</x:v>
      </x:c>
      <x:c r="P75" s="7" t="str">
        <x:f>IF(AND(OR(D75="Reviewer Complete",D75="Awaiting Second-Level Approval"),OR(F75="Reviewer Complete",F75="Awaiting Second-Level Approval")),"","Identity/manufacturer dependency unresolved")</x:f>
        <x:v>Identity/manufacturer dependency unresolved</x:v>
      </x:c>
      <x:c r="Q75" s="6" t="str">
        <x:v>Yes</x:v>
      </x:c>
      <x:c r="R75" s="7" t="str"/>
    </x:row>
    <x:row r="76">
      <x:c r="A76" s="6" t="str">
        <x:v>DEVX-0075</x:v>
      </x:c>
      <x:c r="B76" s="6" t="str">
        <x:v>SVC000075</x:v>
      </x:c>
      <x:c r="C76" s="6" t="str">
        <x:v>SIDX-0075</x:v>
      </x:c>
      <x:c r="D76" s="6" t="str">
        <x:f>IFERROR(XLOOKUP(C76,'Review Sequence'!C2:C1586,'Review Sequence'!J2:J1586),"Dependency not found")</x:f>
        <x:v>Not Started</x:v>
      </x:c>
      <x:c r="E76" s="6" t="str">
        <x:v>MFRX-0075</x:v>
      </x:c>
      <x:c r="F76" s="6" t="str">
        <x:f>IFERROR(XLOOKUP(E76,'Review Sequence'!C2:C1586,'Review Sequence'!J2:J1586),"Dependency not found")</x:f>
        <x:v>Not Started</x:v>
      </x:c>
      <x:c r="G76" s="6" t="str">
        <x:v>iPhone 15 Plus Screen replacement</x:v>
      </x:c>
      <x:c r="H76" s="6" t="str"/>
      <x:c r="I76" s="6" t="str"/>
      <x:c r="J76" s="6" t="str">
        <x:v>Unknown</x:v>
      </x:c>
      <x:c r="K76" s="6" t="str">
        <x:v>Unresolved</x:v>
      </x:c>
      <x:c r="L76" s="7" t="str">
        <x:v>Nocturnix_Master_Services_Catalog_v1.xlsx | 01 - Master Services | row 115</x:v>
      </x:c>
      <x:c r="M76" s="6" t="str"/>
      <x:c r="N76" s="6" t="str"/>
      <x:c r="O76" s="6" t="str">
        <x:v>Pending</x:v>
      </x:c>
      <x:c r="P76" s="7" t="str">
        <x:f>IF(AND(OR(D76="Reviewer Complete",D76="Awaiting Second-Level Approval"),OR(F76="Reviewer Complete",F76="Awaiting Second-Level Approval")),"","Identity/manufacturer dependency unresolved")</x:f>
        <x:v>Identity/manufacturer dependency unresolved</x:v>
      </x:c>
      <x:c r="Q76" s="6" t="str">
        <x:v>Yes</x:v>
      </x:c>
      <x:c r="R76" s="7" t="str"/>
    </x:row>
    <x:row r="77">
      <x:c r="A77" s="6" t="str">
        <x:v>DEVX-0076</x:v>
      </x:c>
      <x:c r="B77" s="6" t="str">
        <x:v>SVC000076</x:v>
      </x:c>
      <x:c r="C77" s="6" t="str">
        <x:v>SIDX-0076</x:v>
      </x:c>
      <x:c r="D77" s="6" t="str">
        <x:f>IFERROR(XLOOKUP(C77,'Review Sequence'!C2:C1586,'Review Sequence'!J2:J1586),"Dependency not found")</x:f>
        <x:v>Not Started</x:v>
      </x:c>
      <x:c r="E77" s="6" t="str">
        <x:v>MFRX-0076</x:v>
      </x:c>
      <x:c r="F77" s="6" t="str">
        <x:f>IFERROR(XLOOKUP(E77,'Review Sequence'!C2:C1586,'Review Sequence'!J2:J1586),"Dependency not found")</x:f>
        <x:v>Not Started</x:v>
      </x:c>
      <x:c r="G77" s="6" t="str">
        <x:v>iPhone 16 Plus Screen replacement</x:v>
      </x:c>
      <x:c r="H77" s="6" t="str"/>
      <x:c r="I77" s="6" t="str"/>
      <x:c r="J77" s="6" t="str">
        <x:v>Unknown</x:v>
      </x:c>
      <x:c r="K77" s="6" t="str">
        <x:v>Unresolved</x:v>
      </x:c>
      <x:c r="L77" s="7" t="str">
        <x:v>Nocturnix_Master_Services_Catalog_v1.xlsx | 01 - Master Services | row 116</x:v>
      </x:c>
      <x:c r="M77" s="6" t="str"/>
      <x:c r="N77" s="6" t="str"/>
      <x:c r="O77" s="6" t="str">
        <x:v>Pending</x:v>
      </x:c>
      <x:c r="P77" s="7" t="str">
        <x:f>IF(AND(OR(D77="Reviewer Complete",D77="Awaiting Second-Level Approval"),OR(F77="Reviewer Complete",F77="Awaiting Second-Level Approval")),"","Identity/manufacturer dependency unresolved")</x:f>
        <x:v>Identity/manufacturer dependency unresolved</x:v>
      </x:c>
      <x:c r="Q77" s="6" t="str">
        <x:v>Yes</x:v>
      </x:c>
      <x:c r="R77" s="7" t="str"/>
    </x:row>
    <x:row r="78">
      <x:c r="A78" s="6" t="str">
        <x:v>DEVX-0077</x:v>
      </x:c>
      <x:c r="B78" s="6" t="str">
        <x:v>SVC000077</x:v>
      </x:c>
      <x:c r="C78" s="6" t="str">
        <x:v>SIDX-0077</x:v>
      </x:c>
      <x:c r="D78" s="6" t="str">
        <x:f>IFERROR(XLOOKUP(C78,'Review Sequence'!C2:C1586,'Review Sequence'!J2:J1586),"Dependency not found")</x:f>
        <x:v>Not Started</x:v>
      </x:c>
      <x:c r="E78" s="6" t="str">
        <x:v>MFRX-0077</x:v>
      </x:c>
      <x:c r="F78" s="6" t="str">
        <x:f>IFERROR(XLOOKUP(E78,'Review Sequence'!C2:C1586,'Review Sequence'!J2:J1586),"Dependency not found")</x:f>
        <x:v>Not Started</x:v>
      </x:c>
      <x:c r="G78" s="6" t="str">
        <x:v>iPhone 16 Pro Max Screen replacement</x:v>
      </x:c>
      <x:c r="H78" s="6" t="str"/>
      <x:c r="I78" s="6" t="str"/>
      <x:c r="J78" s="6" t="str">
        <x:v>Unknown</x:v>
      </x:c>
      <x:c r="K78" s="6" t="str">
        <x:v>Unresolved</x:v>
      </x:c>
      <x:c r="L78" s="7" t="str">
        <x:v>Nocturnix_Master_Services_Catalog_v1.xlsx | 01 - Master Services | row 117</x:v>
      </x:c>
      <x:c r="M78" s="6" t="str"/>
      <x:c r="N78" s="6" t="str"/>
      <x:c r="O78" s="6" t="str">
        <x:v>Pending</x:v>
      </x:c>
      <x:c r="P78" s="7" t="str">
        <x:f>IF(AND(OR(D78="Reviewer Complete",D78="Awaiting Second-Level Approval"),OR(F78="Reviewer Complete",F78="Awaiting Second-Level Approval")),"","Identity/manufacturer dependency unresolved")</x:f>
        <x:v>Identity/manufacturer dependency unresolved</x:v>
      </x:c>
      <x:c r="Q78" s="6" t="str">
        <x:v>Yes</x:v>
      </x:c>
      <x:c r="R78" s="7" t="str"/>
    </x:row>
    <x:row r="79">
      <x:c r="A79" s="6" t="str">
        <x:v>DEVX-0078</x:v>
      </x:c>
      <x:c r="B79" s="6" t="str">
        <x:v>SVC000078</x:v>
      </x:c>
      <x:c r="C79" s="6" t="str">
        <x:v>SIDX-0078</x:v>
      </x:c>
      <x:c r="D79" s="6" t="str">
        <x:f>IFERROR(XLOOKUP(C79,'Review Sequence'!C2:C1586,'Review Sequence'!J2:J1586),"Dependency not found")</x:f>
        <x:v>Not Started</x:v>
      </x:c>
      <x:c r="E79" s="6" t="str">
        <x:v>MFRX-0078</x:v>
      </x:c>
      <x:c r="F79" s="6" t="str">
        <x:f>IFERROR(XLOOKUP(E79,'Review Sequence'!C2:C1586,'Review Sequence'!J2:J1586),"Dependency not found")</x:f>
        <x:v>Not Started</x:v>
      </x:c>
      <x:c r="G79" s="6" t="str">
        <x:v>iPhone 16 Screen replacement</x:v>
      </x:c>
      <x:c r="H79" s="6" t="str"/>
      <x:c r="I79" s="6" t="str"/>
      <x:c r="J79" s="6" t="str">
        <x:v>Unknown</x:v>
      </x:c>
      <x:c r="K79" s="6" t="str">
        <x:v>Unresolved</x:v>
      </x:c>
      <x:c r="L79" s="7" t="str">
        <x:v>Nocturnix_Master_Services_Catalog_v1.xlsx | 01 - Master Services | row 118</x:v>
      </x:c>
      <x:c r="M79" s="6" t="str"/>
      <x:c r="N79" s="6" t="str"/>
      <x:c r="O79" s="6" t="str">
        <x:v>Pending</x:v>
      </x:c>
      <x:c r="P79" s="7" t="str">
        <x:f>IF(AND(OR(D79="Reviewer Complete",D79="Awaiting Second-Level Approval"),OR(F79="Reviewer Complete",F79="Awaiting Second-Level Approval")),"","Identity/manufacturer dependency unresolved")</x:f>
        <x:v>Identity/manufacturer dependency unresolved</x:v>
      </x:c>
      <x:c r="Q79" s="6" t="str">
        <x:v>Yes</x:v>
      </x:c>
      <x:c r="R79" s="7" t="str"/>
    </x:row>
    <x:row r="80">
      <x:c r="A80" s="6" t="str">
        <x:v>DEVX-0079</x:v>
      </x:c>
      <x:c r="B80" s="6" t="str">
        <x:v>SVC000079</x:v>
      </x:c>
      <x:c r="C80" s="6" t="str">
        <x:v>SIDX-0079</x:v>
      </x:c>
      <x:c r="D80" s="6" t="str">
        <x:f>IFERROR(XLOOKUP(C80,'Review Sequence'!C2:C1586,'Review Sequence'!J2:J1586),"Dependency not found")</x:f>
        <x:v>Not Started</x:v>
      </x:c>
      <x:c r="E80" s="6" t="str">
        <x:v>MFRX-0079</x:v>
      </x:c>
      <x:c r="F80" s="6" t="str">
        <x:f>IFERROR(XLOOKUP(E80,'Review Sequence'!C2:C1586,'Review Sequence'!J2:J1586),"Dependency not found")</x:f>
        <x:v>Not Started</x:v>
      </x:c>
      <x:c r="G80" s="6" t="str">
        <x:v>iPhone 16 Pro Screen replacement</x:v>
      </x:c>
      <x:c r="H80" s="6" t="str"/>
      <x:c r="I80" s="6" t="str"/>
      <x:c r="J80" s="6" t="str">
        <x:v>Unknown</x:v>
      </x:c>
      <x:c r="K80" s="6" t="str">
        <x:v>Unresolved</x:v>
      </x:c>
      <x:c r="L80" s="7" t="str">
        <x:v>Nocturnix_Master_Services_Catalog_v1.xlsx | 01 - Master Services | row 119</x:v>
      </x:c>
      <x:c r="M80" s="6" t="str"/>
      <x:c r="N80" s="6" t="str"/>
      <x:c r="O80" s="6" t="str">
        <x:v>Pending</x:v>
      </x:c>
      <x:c r="P80" s="7" t="str">
        <x:f>IF(AND(OR(D80="Reviewer Complete",D80="Awaiting Second-Level Approval"),OR(F80="Reviewer Complete",F80="Awaiting Second-Level Approval")),"","Identity/manufacturer dependency unresolved")</x:f>
        <x:v>Identity/manufacturer dependency unresolved</x:v>
      </x:c>
      <x:c r="Q80" s="6" t="str">
        <x:v>Yes</x:v>
      </x:c>
      <x:c r="R80" s="7" t="str"/>
    </x:row>
    <x:row r="81">
      <x:c r="A81" s="6" t="str">
        <x:v>DEVX-0080</x:v>
      </x:c>
      <x:c r="B81" s="6" t="str">
        <x:v>SVC000080</x:v>
      </x:c>
      <x:c r="C81" s="6" t="str">
        <x:v>SIDX-0080</x:v>
      </x:c>
      <x:c r="D81" s="6" t="str">
        <x:f>IFERROR(XLOOKUP(C81,'Review Sequence'!C2:C1586,'Review Sequence'!J2:J1586),"Dependency not found")</x:f>
        <x:v>Not Started</x:v>
      </x:c>
      <x:c r="E81" s="6" t="str">
        <x:v>MFRX-0080</x:v>
      </x:c>
      <x:c r="F81" s="6" t="str">
        <x:f>IFERROR(XLOOKUP(E81,'Review Sequence'!C2:C1586,'Review Sequence'!J2:J1586),"Dependency not found")</x:f>
        <x:v>Not Started</x:v>
      </x:c>
      <x:c r="G81" s="6" t="str">
        <x:v>iPhone 16E Screen replacement</x:v>
      </x:c>
      <x:c r="H81" s="6" t="str"/>
      <x:c r="I81" s="6" t="str"/>
      <x:c r="J81" s="6" t="str">
        <x:v>Unknown</x:v>
      </x:c>
      <x:c r="K81" s="6" t="str">
        <x:v>Unresolved</x:v>
      </x:c>
      <x:c r="L81" s="7" t="str">
        <x:v>Nocturnix_Master_Services_Catalog_v1.xlsx | 01 - Master Services | row 120</x:v>
      </x:c>
      <x:c r="M81" s="6" t="str"/>
      <x:c r="N81" s="6" t="str"/>
      <x:c r="O81" s="6" t="str">
        <x:v>Pending</x:v>
      </x:c>
      <x:c r="P81" s="7" t="str">
        <x:f>IF(AND(OR(D81="Reviewer Complete",D81="Awaiting Second-Level Approval"),OR(F81="Reviewer Complete",F81="Awaiting Second-Level Approval")),"","Identity/manufacturer dependency unresolved")</x:f>
        <x:v>Identity/manufacturer dependency unresolved</x:v>
      </x:c>
      <x:c r="Q81" s="6" t="str">
        <x:v>Yes</x:v>
      </x:c>
      <x:c r="R81" s="7" t="str"/>
    </x:row>
    <x:row r="82">
      <x:c r="A82" s="6" t="str">
        <x:v>DEVX-0081</x:v>
      </x:c>
      <x:c r="B82" s="6" t="str">
        <x:v>SVC000081</x:v>
      </x:c>
      <x:c r="C82" s="6" t="str">
        <x:v>SIDX-0081</x:v>
      </x:c>
      <x:c r="D82" s="6" t="str">
        <x:f>IFERROR(XLOOKUP(C82,'Review Sequence'!C2:C1586,'Review Sequence'!J2:J1586),"Dependency not found")</x:f>
        <x:v>Not Started</x:v>
      </x:c>
      <x:c r="E82" s="6" t="str">
        <x:v>MFRX-0081</x:v>
      </x:c>
      <x:c r="F82" s="6" t="str">
        <x:f>IFERROR(XLOOKUP(E82,'Review Sequence'!C2:C1586,'Review Sequence'!J2:J1586),"Dependency not found")</x:f>
        <x:v>Not Started</x:v>
      </x:c>
      <x:c r="G82" s="6" t="str">
        <x:v>iPhone 17 Pro Max Phone* Screen replacement</x:v>
      </x:c>
      <x:c r="H82" s="6" t="str"/>
      <x:c r="I82" s="6" t="str"/>
      <x:c r="J82" s="6" t="str">
        <x:v>Unknown</x:v>
      </x:c>
      <x:c r="K82" s="6" t="str">
        <x:v>Unresolved</x:v>
      </x:c>
      <x:c r="L82" s="7" t="str">
        <x:v>Nocturnix_Master_Services_Catalog_v1.xlsx | 01 - Master Services | row 121</x:v>
      </x:c>
      <x:c r="M82" s="6" t="str"/>
      <x:c r="N82" s="6" t="str"/>
      <x:c r="O82" s="6" t="str">
        <x:v>Pending</x:v>
      </x:c>
      <x:c r="P82" s="7" t="str">
        <x:f>IF(AND(OR(D82="Reviewer Complete",D82="Awaiting Second-Level Approval"),OR(F82="Reviewer Complete",F82="Awaiting Second-Level Approval")),"","Identity/manufacturer dependency unresolved")</x:f>
        <x:v>Identity/manufacturer dependency unresolved</x:v>
      </x:c>
      <x:c r="Q82" s="6" t="str">
        <x:v>Yes</x:v>
      </x:c>
      <x:c r="R82" s="7" t="str"/>
    </x:row>
    <x:row r="83">
      <x:c r="A83" s="6" t="str">
        <x:v>DEVX-0082</x:v>
      </x:c>
      <x:c r="B83" s="6" t="str">
        <x:v>SVC000082</x:v>
      </x:c>
      <x:c r="C83" s="6" t="str">
        <x:v>SIDX-0082</x:v>
      </x:c>
      <x:c r="D83" s="6" t="str">
        <x:f>IFERROR(XLOOKUP(C83,'Review Sequence'!C2:C1586,'Review Sequence'!J2:J1586),"Dependency not found")</x:f>
        <x:v>Not Started</x:v>
      </x:c>
      <x:c r="E83" s="6" t="str">
        <x:v>MFRX-0082</x:v>
      </x:c>
      <x:c r="F83" s="6" t="str">
        <x:f>IFERROR(XLOOKUP(E83,'Review Sequence'!C2:C1586,'Review Sequence'!J2:J1586),"Dependency not found")</x:f>
        <x:v>Not Started</x:v>
      </x:c>
      <x:c r="G83" s="6" t="str">
        <x:v>iPhone 17 Pro Screen replacement</x:v>
      </x:c>
      <x:c r="H83" s="6" t="str"/>
      <x:c r="I83" s="6" t="str"/>
      <x:c r="J83" s="6" t="str">
        <x:v>Unknown</x:v>
      </x:c>
      <x:c r="K83" s="6" t="str">
        <x:v>Unresolved</x:v>
      </x:c>
      <x:c r="L83" s="7" t="str">
        <x:v>Nocturnix_Master_Services_Catalog_v1.xlsx | 01 - Master Services | row 122</x:v>
      </x:c>
      <x:c r="M83" s="6" t="str"/>
      <x:c r="N83" s="6" t="str"/>
      <x:c r="O83" s="6" t="str">
        <x:v>Pending</x:v>
      </x:c>
      <x:c r="P83" s="7" t="str">
        <x:f>IF(AND(OR(D83="Reviewer Complete",D83="Awaiting Second-Level Approval"),OR(F83="Reviewer Complete",F83="Awaiting Second-Level Approval")),"","Identity/manufacturer dependency unresolved")</x:f>
        <x:v>Identity/manufacturer dependency unresolved</x:v>
      </x:c>
      <x:c r="Q83" s="6" t="str">
        <x:v>Yes</x:v>
      </x:c>
      <x:c r="R83" s="7" t="str"/>
    </x:row>
    <x:row r="84">
      <x:c r="A84" s="6" t="str">
        <x:v>DEVX-0083</x:v>
      </x:c>
      <x:c r="B84" s="6" t="str">
        <x:v>SVC000083</x:v>
      </x:c>
      <x:c r="C84" s="6" t="str">
        <x:v>SIDX-0083</x:v>
      </x:c>
      <x:c r="D84" s="6" t="str">
        <x:f>IFERROR(XLOOKUP(C84,'Review Sequence'!C2:C1586,'Review Sequence'!J2:J1586),"Dependency not found")</x:f>
        <x:v>Not Started</x:v>
      </x:c>
      <x:c r="E84" s="6" t="str">
        <x:v>MFRX-0083</x:v>
      </x:c>
      <x:c r="F84" s="6" t="str">
        <x:f>IFERROR(XLOOKUP(E84,'Review Sequence'!C2:C1586,'Review Sequence'!J2:J1586),"Dependency not found")</x:f>
        <x:v>Not Started</x:v>
      </x:c>
      <x:c r="G84" s="6" t="str">
        <x:v>iPhone 17 Screen replacement</x:v>
      </x:c>
      <x:c r="H84" s="6" t="str"/>
      <x:c r="I84" s="6" t="str"/>
      <x:c r="J84" s="6" t="str">
        <x:v>Unknown</x:v>
      </x:c>
      <x:c r="K84" s="6" t="str">
        <x:v>Unresolved</x:v>
      </x:c>
      <x:c r="L84" s="7" t="str">
        <x:v>Nocturnix_Master_Services_Catalog_v1.xlsx | 01 - Master Services | row 123</x:v>
      </x:c>
      <x:c r="M84" s="6" t="str"/>
      <x:c r="N84" s="6" t="str"/>
      <x:c r="O84" s="6" t="str">
        <x:v>Pending</x:v>
      </x:c>
      <x:c r="P84" s="7" t="str">
        <x:f>IF(AND(OR(D84="Reviewer Complete",D84="Awaiting Second-Level Approval"),OR(F84="Reviewer Complete",F84="Awaiting Second-Level Approval")),"","Identity/manufacturer dependency unresolved")</x:f>
        <x:v>Identity/manufacturer dependency unresolved</x:v>
      </x:c>
      <x:c r="Q84" s="6" t="str">
        <x:v>Yes</x:v>
      </x:c>
      <x:c r="R84" s="7" t="str"/>
    </x:row>
    <x:row r="85">
      <x:c r="A85" s="6" t="str">
        <x:v>DEVX-0084</x:v>
      </x:c>
      <x:c r="B85" s="6" t="str">
        <x:v>SVC000084</x:v>
      </x:c>
      <x:c r="C85" s="6" t="str">
        <x:v>SIDX-0084</x:v>
      </x:c>
      <x:c r="D85" s="6" t="str">
        <x:f>IFERROR(XLOOKUP(C85,'Review Sequence'!C2:C1586,'Review Sequence'!J2:J1586),"Dependency not found")</x:f>
        <x:v>Not Started</x:v>
      </x:c>
      <x:c r="E85" s="6" t="str">
        <x:v>MFRX-0084</x:v>
      </x:c>
      <x:c r="F85" s="6" t="str">
        <x:f>IFERROR(XLOOKUP(E85,'Review Sequence'!C2:C1586,'Review Sequence'!J2:J1586),"Dependency not found")</x:f>
        <x:v>Not Started</x:v>
      </x:c>
      <x:c r="G85" s="6" t="str">
        <x:v>iPhone 5C Screen replacement</x:v>
      </x:c>
      <x:c r="H85" s="6" t="str"/>
      <x:c r="I85" s="6" t="str"/>
      <x:c r="J85" s="6" t="str">
        <x:v>Unknown</x:v>
      </x:c>
      <x:c r="K85" s="6" t="str">
        <x:v>Unresolved</x:v>
      </x:c>
      <x:c r="L85" s="7" t="str">
        <x:v>Nocturnix_Master_Services_Catalog_v1.xlsx | 01 - Master Services | row 124</x:v>
      </x:c>
      <x:c r="M85" s="6" t="str"/>
      <x:c r="N85" s="6" t="str"/>
      <x:c r="O85" s="6" t="str">
        <x:v>Pending</x:v>
      </x:c>
      <x:c r="P85" s="7" t="str">
        <x:f>IF(AND(OR(D85="Reviewer Complete",D85="Awaiting Second-Level Approval"),OR(F85="Reviewer Complete",F85="Awaiting Second-Level Approval")),"","Identity/manufacturer dependency unresolved")</x:f>
        <x:v>Identity/manufacturer dependency unresolved</x:v>
      </x:c>
      <x:c r="Q85" s="6" t="str">
        <x:v>Yes</x:v>
      </x:c>
      <x:c r="R85" s="7" t="str"/>
    </x:row>
    <x:row r="86">
      <x:c r="A86" s="6" t="str">
        <x:v>DEVX-0085</x:v>
      </x:c>
      <x:c r="B86" s="6" t="str">
        <x:v>SVC000085</x:v>
      </x:c>
      <x:c r="C86" s="6" t="str">
        <x:v>SIDX-0085</x:v>
      </x:c>
      <x:c r="D86" s="6" t="str">
        <x:f>IFERROR(XLOOKUP(C86,'Review Sequence'!C2:C1586,'Review Sequence'!J2:J1586),"Dependency not found")</x:f>
        <x:v>Not Started</x:v>
      </x:c>
      <x:c r="E86" s="6" t="str">
        <x:v>MFRX-0085</x:v>
      </x:c>
      <x:c r="F86" s="6" t="str">
        <x:f>IFERROR(XLOOKUP(E86,'Review Sequence'!C2:C1586,'Review Sequence'!J2:J1586),"Dependency not found")</x:f>
        <x:v>Not Started</x:v>
      </x:c>
      <x:c r="G86" s="6" t="str">
        <x:v>iPhone 5S Screen replacement</x:v>
      </x:c>
      <x:c r="H86" s="6" t="str"/>
      <x:c r="I86" s="6" t="str"/>
      <x:c r="J86" s="6" t="str">
        <x:v>Unknown</x:v>
      </x:c>
      <x:c r="K86" s="6" t="str">
        <x:v>Unresolved</x:v>
      </x:c>
      <x:c r="L86" s="7" t="str">
        <x:v>Nocturnix_Master_Services_Catalog_v1.xlsx | 01 - Master Services | row 125</x:v>
      </x:c>
      <x:c r="M86" s="6" t="str"/>
      <x:c r="N86" s="6" t="str"/>
      <x:c r="O86" s="6" t="str">
        <x:v>Pending</x:v>
      </x:c>
      <x:c r="P86" s="7" t="str">
        <x:f>IF(AND(OR(D86="Reviewer Complete",D86="Awaiting Second-Level Approval"),OR(F86="Reviewer Complete",F86="Awaiting Second-Level Approval")),"","Identity/manufacturer dependency unresolved")</x:f>
        <x:v>Identity/manufacturer dependency unresolved</x:v>
      </x:c>
      <x:c r="Q86" s="6" t="str">
        <x:v>Yes</x:v>
      </x:c>
      <x:c r="R86" s="7" t="str"/>
    </x:row>
    <x:row r="87">
      <x:c r="A87" s="6" t="str">
        <x:v>DEVX-0086</x:v>
      </x:c>
      <x:c r="B87" s="6" t="str">
        <x:v>SVC000086</x:v>
      </x:c>
      <x:c r="C87" s="6" t="str">
        <x:v>SIDX-0086</x:v>
      </x:c>
      <x:c r="D87" s="6" t="str">
        <x:f>IFERROR(XLOOKUP(C87,'Review Sequence'!C2:C1586,'Review Sequence'!J2:J1586),"Dependency not found")</x:f>
        <x:v>Not Started</x:v>
      </x:c>
      <x:c r="E87" s="6" t="str">
        <x:v>MFRX-0086</x:v>
      </x:c>
      <x:c r="F87" s="6" t="str">
        <x:f>IFERROR(XLOOKUP(E87,'Review Sequence'!C2:C1586,'Review Sequence'!J2:J1586),"Dependency not found")</x:f>
        <x:v>Not Started</x:v>
      </x:c>
      <x:c r="G87" s="6" t="str">
        <x:v>iPhone 6+ Screen replacement</x:v>
      </x:c>
      <x:c r="H87" s="6" t="str"/>
      <x:c r="I87" s="6" t="str"/>
      <x:c r="J87" s="6" t="str">
        <x:v>Unknown</x:v>
      </x:c>
      <x:c r="K87" s="6" t="str">
        <x:v>Unresolved</x:v>
      </x:c>
      <x:c r="L87" s="7" t="str">
        <x:v>Nocturnix_Master_Services_Catalog_v1.xlsx | 01 - Master Services | row 126</x:v>
      </x:c>
      <x:c r="M87" s="6" t="str"/>
      <x:c r="N87" s="6" t="str"/>
      <x:c r="O87" s="6" t="str">
        <x:v>Pending</x:v>
      </x:c>
      <x:c r="P87" s="7" t="str">
        <x:f>IF(AND(OR(D87="Reviewer Complete",D87="Awaiting Second-Level Approval"),OR(F87="Reviewer Complete",F87="Awaiting Second-Level Approval")),"","Identity/manufacturer dependency unresolved")</x:f>
        <x:v>Identity/manufacturer dependency unresolved</x:v>
      </x:c>
      <x:c r="Q87" s="6" t="str">
        <x:v>Yes</x:v>
      </x:c>
      <x:c r="R87" s="7" t="str"/>
    </x:row>
    <x:row r="88">
      <x:c r="A88" s="6" t="str">
        <x:v>DEVX-0087</x:v>
      </x:c>
      <x:c r="B88" s="6" t="str">
        <x:v>SVC000087</x:v>
      </x:c>
      <x:c r="C88" s="6" t="str">
        <x:v>SIDX-0087</x:v>
      </x:c>
      <x:c r="D88" s="6" t="str">
        <x:f>IFERROR(XLOOKUP(C88,'Review Sequence'!C2:C1586,'Review Sequence'!J2:J1586),"Dependency not found")</x:f>
        <x:v>Not Started</x:v>
      </x:c>
      <x:c r="E88" s="6" t="str">
        <x:v>MFRX-0087</x:v>
      </x:c>
      <x:c r="F88" s="6" t="str">
        <x:f>IFERROR(XLOOKUP(E88,'Review Sequence'!C2:C1586,'Review Sequence'!J2:J1586),"Dependency not found")</x:f>
        <x:v>Not Started</x:v>
      </x:c>
      <x:c r="G88" s="6" t="str">
        <x:v>iPhone 6 Screen replacement</x:v>
      </x:c>
      <x:c r="H88" s="6" t="str"/>
      <x:c r="I88" s="6" t="str"/>
      <x:c r="J88" s="6" t="str">
        <x:v>Unknown</x:v>
      </x:c>
      <x:c r="K88" s="6" t="str">
        <x:v>Unresolved</x:v>
      </x:c>
      <x:c r="L88" s="7" t="str">
        <x:v>Nocturnix_Master_Services_Catalog_v1.xlsx | 01 - Master Services | row 127</x:v>
      </x:c>
      <x:c r="M88" s="6" t="str"/>
      <x:c r="N88" s="6" t="str"/>
      <x:c r="O88" s="6" t="str">
        <x:v>Pending</x:v>
      </x:c>
      <x:c r="P88" s="7" t="str">
        <x:f>IF(AND(OR(D88="Reviewer Complete",D88="Awaiting Second-Level Approval"),OR(F88="Reviewer Complete",F88="Awaiting Second-Level Approval")),"","Identity/manufacturer dependency unresolved")</x:f>
        <x:v>Identity/manufacturer dependency unresolved</x:v>
      </x:c>
      <x:c r="Q88" s="6" t="str">
        <x:v>Yes</x:v>
      </x:c>
      <x:c r="R88" s="7" t="str"/>
    </x:row>
    <x:row r="89">
      <x:c r="A89" s="6" t="str">
        <x:v>DEVX-0088</x:v>
      </x:c>
      <x:c r="B89" s="6" t="str">
        <x:v>SVC000088</x:v>
      </x:c>
      <x:c r="C89" s="6" t="str">
        <x:v>SIDX-0088</x:v>
      </x:c>
      <x:c r="D89" s="6" t="str">
        <x:f>IFERROR(XLOOKUP(C89,'Review Sequence'!C2:C1586,'Review Sequence'!J2:J1586),"Dependency not found")</x:f>
        <x:v>Not Started</x:v>
      </x:c>
      <x:c r="E89" s="6" t="str">
        <x:v>MFRX-0088</x:v>
      </x:c>
      <x:c r="F89" s="6" t="str">
        <x:f>IFERROR(XLOOKUP(E89,'Review Sequence'!C2:C1586,'Review Sequence'!J2:J1586),"Dependency not found")</x:f>
        <x:v>Not Started</x:v>
      </x:c>
      <x:c r="G89" s="6" t="str">
        <x:v>iPhone 6S+ Screen replacement</x:v>
      </x:c>
      <x:c r="H89" s="6" t="str"/>
      <x:c r="I89" s="6" t="str"/>
      <x:c r="J89" s="6" t="str">
        <x:v>Unknown</x:v>
      </x:c>
      <x:c r="K89" s="6" t="str">
        <x:v>Unresolved</x:v>
      </x:c>
      <x:c r="L89" s="7" t="str">
        <x:v>Nocturnix_Master_Services_Catalog_v1.xlsx | 01 - Master Services | row 128</x:v>
      </x:c>
      <x:c r="M89" s="6" t="str"/>
      <x:c r="N89" s="6" t="str"/>
      <x:c r="O89" s="6" t="str">
        <x:v>Pending</x:v>
      </x:c>
      <x:c r="P89" s="7" t="str">
        <x:f>IF(AND(OR(D89="Reviewer Complete",D89="Awaiting Second-Level Approval"),OR(F89="Reviewer Complete",F89="Awaiting Second-Level Approval")),"","Identity/manufacturer dependency unresolved")</x:f>
        <x:v>Identity/manufacturer dependency unresolved</x:v>
      </x:c>
      <x:c r="Q89" s="6" t="str">
        <x:v>Yes</x:v>
      </x:c>
      <x:c r="R89" s="7" t="str"/>
    </x:row>
    <x:row r="90">
      <x:c r="A90" s="6" t="str">
        <x:v>DEVX-0089</x:v>
      </x:c>
      <x:c r="B90" s="6" t="str">
        <x:v>SVC000089</x:v>
      </x:c>
      <x:c r="C90" s="6" t="str">
        <x:v>SIDX-0089</x:v>
      </x:c>
      <x:c r="D90" s="6" t="str">
        <x:f>IFERROR(XLOOKUP(C90,'Review Sequence'!C2:C1586,'Review Sequence'!J2:J1586),"Dependency not found")</x:f>
        <x:v>Not Started</x:v>
      </x:c>
      <x:c r="E90" s="6" t="str">
        <x:v>MFRX-0089</x:v>
      </x:c>
      <x:c r="F90" s="6" t="str">
        <x:f>IFERROR(XLOOKUP(E90,'Review Sequence'!C2:C1586,'Review Sequence'!J2:J1586),"Dependency not found")</x:f>
        <x:v>Not Started</x:v>
      </x:c>
      <x:c r="G90" s="6" t="str">
        <x:v>iPhone 6S Screen replacement</x:v>
      </x:c>
      <x:c r="H90" s="6" t="str"/>
      <x:c r="I90" s="6" t="str"/>
      <x:c r="J90" s="6" t="str">
        <x:v>Unknown</x:v>
      </x:c>
      <x:c r="K90" s="6" t="str">
        <x:v>Unresolved</x:v>
      </x:c>
      <x:c r="L90" s="7" t="str">
        <x:v>Nocturnix_Master_Services_Catalog_v1.xlsx | 01 - Master Services | row 129</x:v>
      </x:c>
      <x:c r="M90" s="6" t="str"/>
      <x:c r="N90" s="6" t="str"/>
      <x:c r="O90" s="6" t="str">
        <x:v>Pending</x:v>
      </x:c>
      <x:c r="P90" s="7" t="str">
        <x:f>IF(AND(OR(D90="Reviewer Complete",D90="Awaiting Second-Level Approval"),OR(F90="Reviewer Complete",F90="Awaiting Second-Level Approval")),"","Identity/manufacturer dependency unresolved")</x:f>
        <x:v>Identity/manufacturer dependency unresolved</x:v>
      </x:c>
      <x:c r="Q90" s="6" t="str">
        <x:v>Yes</x:v>
      </x:c>
      <x:c r="R90" s="7" t="str"/>
    </x:row>
    <x:row r="91">
      <x:c r="A91" s="6" t="str">
        <x:v>DEVX-0090</x:v>
      </x:c>
      <x:c r="B91" s="6" t="str">
        <x:v>SVC000090</x:v>
      </x:c>
      <x:c r="C91" s="6" t="str">
        <x:v>SIDX-0090</x:v>
      </x:c>
      <x:c r="D91" s="6" t="str">
        <x:f>IFERROR(XLOOKUP(C91,'Review Sequence'!C2:C1586,'Review Sequence'!J2:J1586),"Dependency not found")</x:f>
        <x:v>Not Started</x:v>
      </x:c>
      <x:c r="E91" s="6" t="str">
        <x:v>MFRX-0090</x:v>
      </x:c>
      <x:c r="F91" s="6" t="str">
        <x:f>IFERROR(XLOOKUP(E91,'Review Sequence'!C2:C1586,'Review Sequence'!J2:J1586),"Dependency not found")</x:f>
        <x:v>Not Started</x:v>
      </x:c>
      <x:c r="G91" s="6" t="str">
        <x:v>iPhone 7+ Screen replacement</x:v>
      </x:c>
      <x:c r="H91" s="6" t="str"/>
      <x:c r="I91" s="6" t="str"/>
      <x:c r="J91" s="6" t="str">
        <x:v>Unknown</x:v>
      </x:c>
      <x:c r="K91" s="6" t="str">
        <x:v>Unresolved</x:v>
      </x:c>
      <x:c r="L91" s="7" t="str">
        <x:v>Nocturnix_Master_Services_Catalog_v1.xlsx | 01 - Master Services | row 130</x:v>
      </x:c>
      <x:c r="M91" s="6" t="str"/>
      <x:c r="N91" s="6" t="str"/>
      <x:c r="O91" s="6" t="str">
        <x:v>Pending</x:v>
      </x:c>
      <x:c r="P91" s="7" t="str">
        <x:f>IF(AND(OR(D91="Reviewer Complete",D91="Awaiting Second-Level Approval"),OR(F91="Reviewer Complete",F91="Awaiting Second-Level Approval")),"","Identity/manufacturer dependency unresolved")</x:f>
        <x:v>Identity/manufacturer dependency unresolved</x:v>
      </x:c>
      <x:c r="Q91" s="6" t="str">
        <x:v>Yes</x:v>
      </x:c>
      <x:c r="R91" s="7" t="str"/>
    </x:row>
    <x:row r="92">
      <x:c r="A92" s="6" t="str">
        <x:v>DEVX-0091</x:v>
      </x:c>
      <x:c r="B92" s="6" t="str">
        <x:v>SVC000091</x:v>
      </x:c>
      <x:c r="C92" s="6" t="str">
        <x:v>SIDX-0091</x:v>
      </x:c>
      <x:c r="D92" s="6" t="str">
        <x:f>IFERROR(XLOOKUP(C92,'Review Sequence'!C2:C1586,'Review Sequence'!J2:J1586),"Dependency not found")</x:f>
        <x:v>Not Started</x:v>
      </x:c>
      <x:c r="E92" s="6" t="str">
        <x:v>MFRX-0091</x:v>
      </x:c>
      <x:c r="F92" s="6" t="str">
        <x:f>IFERROR(XLOOKUP(E92,'Review Sequence'!C2:C1586,'Review Sequence'!J2:J1586),"Dependency not found")</x:f>
        <x:v>Not Started</x:v>
      </x:c>
      <x:c r="G92" s="6" t="str">
        <x:v>iPhone 7 Screen replacement</x:v>
      </x:c>
      <x:c r="H92" s="6" t="str"/>
      <x:c r="I92" s="6" t="str"/>
      <x:c r="J92" s="6" t="str">
        <x:v>Unknown</x:v>
      </x:c>
      <x:c r="K92" s="6" t="str">
        <x:v>Unresolved</x:v>
      </x:c>
      <x:c r="L92" s="7" t="str">
        <x:v>Nocturnix_Master_Services_Catalog_v1.xlsx | 01 - Master Services | row 131</x:v>
      </x:c>
      <x:c r="M92" s="6" t="str"/>
      <x:c r="N92" s="6" t="str"/>
      <x:c r="O92" s="6" t="str">
        <x:v>Pending</x:v>
      </x:c>
      <x:c r="P92" s="7" t="str">
        <x:f>IF(AND(OR(D92="Reviewer Complete",D92="Awaiting Second-Level Approval"),OR(F92="Reviewer Complete",F92="Awaiting Second-Level Approval")),"","Identity/manufacturer dependency unresolved")</x:f>
        <x:v>Identity/manufacturer dependency unresolved</x:v>
      </x:c>
      <x:c r="Q92" s="6" t="str">
        <x:v>Yes</x:v>
      </x:c>
      <x:c r="R92" s="7" t="str"/>
    </x:row>
    <x:row r="93">
      <x:c r="A93" s="6" t="str">
        <x:v>DEVX-0092</x:v>
      </x:c>
      <x:c r="B93" s="6" t="str">
        <x:v>SVC000092</x:v>
      </x:c>
      <x:c r="C93" s="6" t="str">
        <x:v>SIDX-0092</x:v>
      </x:c>
      <x:c r="D93" s="6" t="str">
        <x:f>IFERROR(XLOOKUP(C93,'Review Sequence'!C2:C1586,'Review Sequence'!J2:J1586),"Dependency not found")</x:f>
        <x:v>Not Started</x:v>
      </x:c>
      <x:c r="E93" s="6" t="str">
        <x:v>MFRX-0092</x:v>
      </x:c>
      <x:c r="F93" s="6" t="str">
        <x:f>IFERROR(XLOOKUP(E93,'Review Sequence'!C2:C1586,'Review Sequence'!J2:J1586),"Dependency not found")</x:f>
        <x:v>Not Started</x:v>
      </x:c>
      <x:c r="G93" s="6" t="str">
        <x:v>iPhone 8+ Screen replacement</x:v>
      </x:c>
      <x:c r="H93" s="6" t="str"/>
      <x:c r="I93" s="6" t="str"/>
      <x:c r="J93" s="6" t="str">
        <x:v>Unknown</x:v>
      </x:c>
      <x:c r="K93" s="6" t="str">
        <x:v>Unresolved</x:v>
      </x:c>
      <x:c r="L93" s="7" t="str">
        <x:v>Nocturnix_Master_Services_Catalog_v1.xlsx | 01 - Master Services | row 132</x:v>
      </x:c>
      <x:c r="M93" s="6" t="str"/>
      <x:c r="N93" s="6" t="str"/>
      <x:c r="O93" s="6" t="str">
        <x:v>Pending</x:v>
      </x:c>
      <x:c r="P93" s="7" t="str">
        <x:f>IF(AND(OR(D93="Reviewer Complete",D93="Awaiting Second-Level Approval"),OR(F93="Reviewer Complete",F93="Awaiting Second-Level Approval")),"","Identity/manufacturer dependency unresolved")</x:f>
        <x:v>Identity/manufacturer dependency unresolved</x:v>
      </x:c>
      <x:c r="Q93" s="6" t="str">
        <x:v>Yes</x:v>
      </x:c>
      <x:c r="R93" s="7" t="str"/>
    </x:row>
    <x:row r="94">
      <x:c r="A94" s="6" t="str">
        <x:v>DEVX-0093</x:v>
      </x:c>
      <x:c r="B94" s="6" t="str">
        <x:v>SVC000093</x:v>
      </x:c>
      <x:c r="C94" s="6" t="str">
        <x:v>SIDX-0093</x:v>
      </x:c>
      <x:c r="D94" s="6" t="str">
        <x:f>IFERROR(XLOOKUP(C94,'Review Sequence'!C2:C1586,'Review Sequence'!J2:J1586),"Dependency not found")</x:f>
        <x:v>Not Started</x:v>
      </x:c>
      <x:c r="E94" s="6" t="str">
        <x:v>MFRX-0093</x:v>
      </x:c>
      <x:c r="F94" s="6" t="str">
        <x:f>IFERROR(XLOOKUP(E94,'Review Sequence'!C2:C1586,'Review Sequence'!J2:J1586),"Dependency not found")</x:f>
        <x:v>Not Started</x:v>
      </x:c>
      <x:c r="G94" s="6" t="str">
        <x:v>iPhone 8 Screen replacement</x:v>
      </x:c>
      <x:c r="H94" s="6" t="str"/>
      <x:c r="I94" s="6" t="str"/>
      <x:c r="J94" s="6" t="str">
        <x:v>Unknown</x:v>
      </x:c>
      <x:c r="K94" s="6" t="str">
        <x:v>Unresolved</x:v>
      </x:c>
      <x:c r="L94" s="7" t="str">
        <x:v>Nocturnix_Master_Services_Catalog_v1.xlsx | 01 - Master Services | row 133</x:v>
      </x:c>
      <x:c r="M94" s="6" t="str"/>
      <x:c r="N94" s="6" t="str"/>
      <x:c r="O94" s="6" t="str">
        <x:v>Pending</x:v>
      </x:c>
      <x:c r="P94" s="7" t="str">
        <x:f>IF(AND(OR(D94="Reviewer Complete",D94="Awaiting Second-Level Approval"),OR(F94="Reviewer Complete",F94="Awaiting Second-Level Approval")),"","Identity/manufacturer dependency unresolved")</x:f>
        <x:v>Identity/manufacturer dependency unresolved</x:v>
      </x:c>
      <x:c r="Q94" s="6" t="str">
        <x:v>Yes</x:v>
      </x:c>
      <x:c r="R94" s="7" t="str"/>
    </x:row>
    <x:row r="95">
      <x:c r="A95" s="6" t="str">
        <x:v>DEVX-0094</x:v>
      </x:c>
      <x:c r="B95" s="6" t="str">
        <x:v>SVC000094</x:v>
      </x:c>
      <x:c r="C95" s="6" t="str">
        <x:v>SIDX-0094</x:v>
      </x:c>
      <x:c r="D95" s="6" t="str">
        <x:f>IFERROR(XLOOKUP(C95,'Review Sequence'!C2:C1586,'Review Sequence'!J2:J1586),"Dependency not found")</x:f>
        <x:v>Not Started</x:v>
      </x:c>
      <x:c r="E95" s="6" t="str">
        <x:v>MFRX-0094</x:v>
      </x:c>
      <x:c r="F95" s="6" t="str">
        <x:f>IFERROR(XLOOKUP(E95,'Review Sequence'!C2:C1586,'Review Sequence'!J2:J1586),"Dependency not found")</x:f>
        <x:v>Not Started</x:v>
      </x:c>
      <x:c r="G95" s="6" t="str">
        <x:v>iPhone Air Screen replacement</x:v>
      </x:c>
      <x:c r="H95" s="6" t="str"/>
      <x:c r="I95" s="6" t="str"/>
      <x:c r="J95" s="6" t="str">
        <x:v>Unknown</x:v>
      </x:c>
      <x:c r="K95" s="6" t="str">
        <x:v>Unresolved</x:v>
      </x:c>
      <x:c r="L95" s="7" t="str">
        <x:v>Nocturnix_Master_Services_Catalog_v1.xlsx | 01 - Master Services | row 134</x:v>
      </x:c>
      <x:c r="M95" s="6" t="str"/>
      <x:c r="N95" s="6" t="str"/>
      <x:c r="O95" s="6" t="str">
        <x:v>Pending</x:v>
      </x:c>
      <x:c r="P95" s="7" t="str">
        <x:f>IF(AND(OR(D95="Reviewer Complete",D95="Awaiting Second-Level Approval"),OR(F95="Reviewer Complete",F95="Awaiting Second-Level Approval")),"","Identity/manufacturer dependency unresolved")</x:f>
        <x:v>Identity/manufacturer dependency unresolved</x:v>
      </x:c>
      <x:c r="Q95" s="6" t="str">
        <x:v>Yes</x:v>
      </x:c>
      <x:c r="R95" s="7" t="str"/>
    </x:row>
    <x:row r="96">
      <x:c r="A96" s="6" t="str">
        <x:v>DEVX-0095</x:v>
      </x:c>
      <x:c r="B96" s="6" t="str">
        <x:v>SVC000095</x:v>
      </x:c>
      <x:c r="C96" s="6" t="str">
        <x:v>SIDX-0095</x:v>
      </x:c>
      <x:c r="D96" s="6" t="str">
        <x:f>IFERROR(XLOOKUP(C96,'Review Sequence'!C2:C1586,'Review Sequence'!J2:J1586),"Dependency not found")</x:f>
        <x:v>Not Started</x:v>
      </x:c>
      <x:c r="E96" s="6" t="str">
        <x:v>MFRX-0095</x:v>
      </x:c>
      <x:c r="F96" s="6" t="str">
        <x:f>IFERROR(XLOOKUP(E96,'Review Sequence'!C2:C1586,'Review Sequence'!J2:J1586),"Dependency not found")</x:f>
        <x:v>Not Started</x:v>
      </x:c>
      <x:c r="G96" s="6" t="str">
        <x:v>iPhone SE(1ST GEN) Screen replacement</x:v>
      </x:c>
      <x:c r="H96" s="6" t="str"/>
      <x:c r="I96" s="6" t="str"/>
      <x:c r="J96" s="6" t="str">
        <x:v>Unknown</x:v>
      </x:c>
      <x:c r="K96" s="6" t="str">
        <x:v>Unresolved</x:v>
      </x:c>
      <x:c r="L96" s="7" t="str">
        <x:v>Nocturnix_Master_Services_Catalog_v1.xlsx | 01 - Master Services | row 135</x:v>
      </x:c>
      <x:c r="M96" s="6" t="str"/>
      <x:c r="N96" s="6" t="str"/>
      <x:c r="O96" s="6" t="str">
        <x:v>Pending</x:v>
      </x:c>
      <x:c r="P96" s="7" t="str">
        <x:f>IF(AND(OR(D96="Reviewer Complete",D96="Awaiting Second-Level Approval"),OR(F96="Reviewer Complete",F96="Awaiting Second-Level Approval")),"","Identity/manufacturer dependency unresolved")</x:f>
        <x:v>Identity/manufacturer dependency unresolved</x:v>
      </x:c>
      <x:c r="Q96" s="6" t="str">
        <x:v>Yes</x:v>
      </x:c>
      <x:c r="R96" s="7" t="str"/>
    </x:row>
    <x:row r="97">
      <x:c r="A97" s="6" t="str">
        <x:v>DEVX-0096</x:v>
      </x:c>
      <x:c r="B97" s="6" t="str">
        <x:v>SVC000096</x:v>
      </x:c>
      <x:c r="C97" s="6" t="str">
        <x:v>SIDX-0096</x:v>
      </x:c>
      <x:c r="D97" s="6" t="str">
        <x:f>IFERROR(XLOOKUP(C97,'Review Sequence'!C2:C1586,'Review Sequence'!J2:J1586),"Dependency not found")</x:f>
        <x:v>Not Started</x:v>
      </x:c>
      <x:c r="E97" s="6" t="str">
        <x:v>MFRX-0096</x:v>
      </x:c>
      <x:c r="F97" s="6" t="str">
        <x:f>IFERROR(XLOOKUP(E97,'Review Sequence'!C2:C1586,'Review Sequence'!J2:J1586),"Dependency not found")</x:f>
        <x:v>Not Started</x:v>
      </x:c>
      <x:c r="G97" s="6" t="str">
        <x:v>iPhone SE (2ND GEN) Screen replacement</x:v>
      </x:c>
      <x:c r="H97" s="6" t="str"/>
      <x:c r="I97" s="6" t="str"/>
      <x:c r="J97" s="6" t="str">
        <x:v>Unknown</x:v>
      </x:c>
      <x:c r="K97" s="6" t="str">
        <x:v>Unresolved</x:v>
      </x:c>
      <x:c r="L97" s="7" t="str">
        <x:v>Nocturnix_Master_Services_Catalog_v1.xlsx | 01 - Master Services | row 136</x:v>
      </x:c>
      <x:c r="M97" s="6" t="str"/>
      <x:c r="N97" s="6" t="str"/>
      <x:c r="O97" s="6" t="str">
        <x:v>Pending</x:v>
      </x:c>
      <x:c r="P97" s="7" t="str">
        <x:f>IF(AND(OR(D97="Reviewer Complete",D97="Awaiting Second-Level Approval"),OR(F97="Reviewer Complete",F97="Awaiting Second-Level Approval")),"","Identity/manufacturer dependency unresolved")</x:f>
        <x:v>Identity/manufacturer dependency unresolved</x:v>
      </x:c>
      <x:c r="Q97" s="6" t="str">
        <x:v>Yes</x:v>
      </x:c>
      <x:c r="R97" s="7" t="str"/>
    </x:row>
    <x:row r="98">
      <x:c r="A98" s="6" t="str">
        <x:v>DEVX-0097</x:v>
      </x:c>
      <x:c r="B98" s="6" t="str">
        <x:v>SVC000097</x:v>
      </x:c>
      <x:c r="C98" s="6" t="str">
        <x:v>SIDX-0097</x:v>
      </x:c>
      <x:c r="D98" s="6" t="str">
        <x:f>IFERROR(XLOOKUP(C98,'Review Sequence'!C2:C1586,'Review Sequence'!J2:J1586),"Dependency not found")</x:f>
        <x:v>Not Started</x:v>
      </x:c>
      <x:c r="E98" s="6" t="str">
        <x:v>MFRX-0097</x:v>
      </x:c>
      <x:c r="F98" s="6" t="str">
        <x:f>IFERROR(XLOOKUP(E98,'Review Sequence'!C2:C1586,'Review Sequence'!J2:J1586),"Dependency not found")</x:f>
        <x:v>Not Started</x:v>
      </x:c>
      <x:c r="G98" s="6" t="str">
        <x:v>iPhone SE (3RD GEN) Screen replacement</x:v>
      </x:c>
      <x:c r="H98" s="6" t="str"/>
      <x:c r="I98" s="6" t="str"/>
      <x:c r="J98" s="6" t="str">
        <x:v>Unknown</x:v>
      </x:c>
      <x:c r="K98" s="6" t="str">
        <x:v>Unresolved</x:v>
      </x:c>
      <x:c r="L98" s="7" t="str">
        <x:v>Nocturnix_Master_Services_Catalog_v1.xlsx | 01 - Master Services | row 137</x:v>
      </x:c>
      <x:c r="M98" s="6" t="str"/>
      <x:c r="N98" s="6" t="str"/>
      <x:c r="O98" s="6" t="str">
        <x:v>Pending</x:v>
      </x:c>
      <x:c r="P98" s="7" t="str">
        <x:f>IF(AND(OR(D98="Reviewer Complete",D98="Awaiting Second-Level Approval"),OR(F98="Reviewer Complete",F98="Awaiting Second-Level Approval")),"","Identity/manufacturer dependency unresolved")</x:f>
        <x:v>Identity/manufacturer dependency unresolved</x:v>
      </x:c>
      <x:c r="Q98" s="6" t="str">
        <x:v>Yes</x:v>
      </x:c>
      <x:c r="R98" s="7" t="str"/>
    </x:row>
    <x:row r="99">
      <x:c r="A99" s="6" t="str">
        <x:v>DEVX-0098</x:v>
      </x:c>
      <x:c r="B99" s="6" t="str">
        <x:v>SVC000098</x:v>
      </x:c>
      <x:c r="C99" s="6" t="str">
        <x:v>SIDX-0098</x:v>
      </x:c>
      <x:c r="D99" s="6" t="str">
        <x:f>IFERROR(XLOOKUP(C99,'Review Sequence'!C2:C1586,'Review Sequence'!J2:J1586),"Dependency not found")</x:f>
        <x:v>Not Started</x:v>
      </x:c>
      <x:c r="E99" s="6" t="str">
        <x:v>MFRX-0098</x:v>
      </x:c>
      <x:c r="F99" s="6" t="str">
        <x:f>IFERROR(XLOOKUP(E99,'Review Sequence'!C2:C1586,'Review Sequence'!J2:J1586),"Dependency not found")</x:f>
        <x:v>Not Started</x:v>
      </x:c>
      <x:c r="G99" s="6" t="str">
        <x:v>iPhone XR Screen replacement</x:v>
      </x:c>
      <x:c r="H99" s="6" t="str"/>
      <x:c r="I99" s="6" t="str"/>
      <x:c r="J99" s="6" t="str">
        <x:v>Unknown</x:v>
      </x:c>
      <x:c r="K99" s="6" t="str">
        <x:v>Unresolved</x:v>
      </x:c>
      <x:c r="L99" s="7" t="str">
        <x:v>Nocturnix_Master_Services_Catalog_v1.xlsx | 01 - Master Services | row 138</x:v>
      </x:c>
      <x:c r="M99" s="6" t="str"/>
      <x:c r="N99" s="6" t="str"/>
      <x:c r="O99" s="6" t="str">
        <x:v>Pending</x:v>
      </x:c>
      <x:c r="P99" s="7" t="str">
        <x:f>IF(AND(OR(D99="Reviewer Complete",D99="Awaiting Second-Level Approval"),OR(F99="Reviewer Complete",F99="Awaiting Second-Level Approval")),"","Identity/manufacturer dependency unresolved")</x:f>
        <x:v>Identity/manufacturer dependency unresolved</x:v>
      </x:c>
      <x:c r="Q99" s="6" t="str">
        <x:v>Yes</x:v>
      </x:c>
      <x:c r="R99" s="7" t="str"/>
    </x:row>
    <x:row r="100">
      <x:c r="A100" s="6" t="str">
        <x:v>DEVX-0099</x:v>
      </x:c>
      <x:c r="B100" s="6" t="str">
        <x:v>SVC000099</x:v>
      </x:c>
      <x:c r="C100" s="6" t="str">
        <x:v>SIDX-0099</x:v>
      </x:c>
      <x:c r="D100" s="6" t="str">
        <x:f>IFERROR(XLOOKUP(C100,'Review Sequence'!C2:C1586,'Review Sequence'!J2:J1586),"Dependency not found")</x:f>
        <x:v>Not Started</x:v>
      </x:c>
      <x:c r="E100" s="6" t="str">
        <x:v>MFRX-0099</x:v>
      </x:c>
      <x:c r="F100" s="6" t="str">
        <x:f>IFERROR(XLOOKUP(E100,'Review Sequence'!C2:C1586,'Review Sequence'!J2:J1586),"Dependency not found")</x:f>
        <x:v>Not Started</x:v>
      </x:c>
      <x:c r="G100" s="6" t="str">
        <x:v>iPhone XS Screen replacement</x:v>
      </x:c>
      <x:c r="H100" s="6" t="str"/>
      <x:c r="I100" s="6" t="str"/>
      <x:c r="J100" s="6" t="str">
        <x:v>Unknown</x:v>
      </x:c>
      <x:c r="K100" s="6" t="str">
        <x:v>Unresolved</x:v>
      </x:c>
      <x:c r="L100" s="7" t="str">
        <x:v>Nocturnix_Master_Services_Catalog_v1.xlsx | 01 - Master Services | row 139</x:v>
      </x:c>
      <x:c r="M100" s="6" t="str"/>
      <x:c r="N100" s="6" t="str"/>
      <x:c r="O100" s="6" t="str">
        <x:v>Pending</x:v>
      </x:c>
      <x:c r="P100" s="7" t="str">
        <x:f>IF(AND(OR(D100="Reviewer Complete",D100="Awaiting Second-Level Approval"),OR(F100="Reviewer Complete",F100="Awaiting Second-Level Approval")),"","Identity/manufacturer dependency unresolved")</x:f>
        <x:v>Identity/manufacturer dependency unresolved</x:v>
      </x:c>
      <x:c r="Q100" s="6" t="str">
        <x:v>Yes</x:v>
      </x:c>
      <x:c r="R100" s="7" t="str"/>
    </x:row>
    <x:row r="101">
      <x:c r="A101" s="6" t="str">
        <x:v>DEVX-0100</x:v>
      </x:c>
      <x:c r="B101" s="6" t="str">
        <x:v>SVC000100</x:v>
      </x:c>
      <x:c r="C101" s="6" t="str">
        <x:v>SIDX-0100</x:v>
      </x:c>
      <x:c r="D101" s="6" t="str">
        <x:f>IFERROR(XLOOKUP(C101,'Review Sequence'!C2:C1586,'Review Sequence'!J2:J1586),"Dependency not found")</x:f>
        <x:v>Not Started</x:v>
      </x:c>
      <x:c r="E101" s="6" t="str">
        <x:v>MFRX-0100</x:v>
      </x:c>
      <x:c r="F101" s="6" t="str">
        <x:f>IFERROR(XLOOKUP(E101,'Review Sequence'!C2:C1586,'Review Sequence'!J2:J1586),"Dependency not found")</x:f>
        <x:v>Not Started</x:v>
      </x:c>
      <x:c r="G101" s="6" t="str">
        <x:v>iPhone 5 Screen replacement</x:v>
      </x:c>
      <x:c r="H101" s="6" t="str"/>
      <x:c r="I101" s="6" t="str"/>
      <x:c r="J101" s="6" t="str">
        <x:v>Unknown</x:v>
      </x:c>
      <x:c r="K101" s="6" t="str">
        <x:v>Unresolved</x:v>
      </x:c>
      <x:c r="L101" s="7" t="str">
        <x:v>Nocturnix_Master_Services_Catalog_v1.xlsx | 01 - Master Services | row 140</x:v>
      </x:c>
      <x:c r="M101" s="6" t="str"/>
      <x:c r="N101" s="6" t="str"/>
      <x:c r="O101" s="6" t="str">
        <x:v>Pending</x:v>
      </x:c>
      <x:c r="P101" s="7" t="str">
        <x:f>IF(AND(OR(D101="Reviewer Complete",D101="Awaiting Second-Level Approval"),OR(F101="Reviewer Complete",F101="Awaiting Second-Level Approval")),"","Identity/manufacturer dependency unresolved")</x:f>
        <x:v>Identity/manufacturer dependency unresolved</x:v>
      </x:c>
      <x:c r="Q101" s="6" t="str">
        <x:v>Yes</x:v>
      </x:c>
      <x:c r="R101" s="7" t="str"/>
    </x:row>
    <x:row r="102">
      <x:c r="A102" s="6" t="str">
        <x:v>DEVX-0101</x:v>
      </x:c>
      <x:c r="B102" s="6" t="str">
        <x:v>SVC000101</x:v>
      </x:c>
      <x:c r="C102" s="6" t="str">
        <x:v>SIDX-0101</x:v>
      </x:c>
      <x:c r="D102" s="6" t="str">
        <x:f>IFERROR(XLOOKUP(C102,'Review Sequence'!C2:C1586,'Review Sequence'!J2:J1586),"Dependency not found")</x:f>
        <x:v>Not Started</x:v>
      </x:c>
      <x:c r="E102" s="6" t="str">
        <x:v>MFRX-0101</x:v>
      </x:c>
      <x:c r="F102" s="6" t="str">
        <x:f>IFERROR(XLOOKUP(E102,'Review Sequence'!C2:C1586,'Review Sequence'!J2:J1586),"Dependency not found")</x:f>
        <x:v>Not Started</x:v>
      </x:c>
      <x:c r="G102" s="6" t="str">
        <x:v>iPhone 4S Screen replacement</x:v>
      </x:c>
      <x:c r="H102" s="6" t="str"/>
      <x:c r="I102" s="6" t="str"/>
      <x:c r="J102" s="6" t="str">
        <x:v>Unknown</x:v>
      </x:c>
      <x:c r="K102" s="6" t="str">
        <x:v>Unresolved</x:v>
      </x:c>
      <x:c r="L102" s="7" t="str">
        <x:v>Nocturnix_Master_Services_Catalog_v1.xlsx | 01 - Master Services | row 141</x:v>
      </x:c>
      <x:c r="M102" s="6" t="str"/>
      <x:c r="N102" s="6" t="str"/>
      <x:c r="O102" s="6" t="str">
        <x:v>Pending</x:v>
      </x:c>
      <x:c r="P102" s="7" t="str">
        <x:f>IF(AND(OR(D102="Reviewer Complete",D102="Awaiting Second-Level Approval"),OR(F102="Reviewer Complete",F102="Awaiting Second-Level Approval")),"","Identity/manufacturer dependency unresolved")</x:f>
        <x:v>Identity/manufacturer dependency unresolved</x:v>
      </x:c>
      <x:c r="Q102" s="6" t="str">
        <x:v>Yes</x:v>
      </x:c>
      <x:c r="R102" s="7" t="str"/>
    </x:row>
    <x:row r="103">
      <x:c r="A103" s="6" t="str">
        <x:v>DEVX-0102</x:v>
      </x:c>
      <x:c r="B103" s="6" t="str">
        <x:v>SVC000102</x:v>
      </x:c>
      <x:c r="C103" s="6" t="str">
        <x:v>SIDX-0102</x:v>
      </x:c>
      <x:c r="D103" s="6" t="str">
        <x:f>IFERROR(XLOOKUP(C103,'Review Sequence'!C2:C1586,'Review Sequence'!J2:J1586),"Dependency not found")</x:f>
        <x:v>Not Started</x:v>
      </x:c>
      <x:c r="E103" s="6" t="str">
        <x:v>MFRX-0102</x:v>
      </x:c>
      <x:c r="F103" s="6" t="str">
        <x:f>IFERROR(XLOOKUP(E103,'Review Sequence'!C2:C1586,'Review Sequence'!J2:J1586),"Dependency not found")</x:f>
        <x:v>Not Started</x:v>
      </x:c>
      <x:c r="G103" s="6" t="str">
        <x:v>iPhone 4S Screen replacement</x:v>
      </x:c>
      <x:c r="H103" s="6" t="str"/>
      <x:c r="I103" s="6" t="str"/>
      <x:c r="J103" s="6" t="str">
        <x:v>Unknown</x:v>
      </x:c>
      <x:c r="K103" s="6" t="str">
        <x:v>Unresolved</x:v>
      </x:c>
      <x:c r="L103" s="7" t="str">
        <x:v>Nocturnix_Master_Services_Catalog_v1.xlsx | 01 - Master Services | row 142</x:v>
      </x:c>
      <x:c r="M103" s="6" t="str"/>
      <x:c r="N103" s="6" t="str"/>
      <x:c r="O103" s="6" t="str">
        <x:v>Pending</x:v>
      </x:c>
      <x:c r="P103" s="7" t="str">
        <x:f>IF(AND(OR(D103="Reviewer Complete",D103="Awaiting Second-Level Approval"),OR(F103="Reviewer Complete",F103="Awaiting Second-Level Approval")),"","Identity/manufacturer dependency unresolved")</x:f>
        <x:v>Identity/manufacturer dependency unresolved</x:v>
      </x:c>
      <x:c r="Q103" s="6" t="str">
        <x:v>Yes</x:v>
      </x:c>
      <x:c r="R103" s="7" t="str"/>
    </x:row>
    <x:row r="104">
      <x:c r="A104" s="6" t="str">
        <x:v>DEVX-0103</x:v>
      </x:c>
      <x:c r="B104" s="6" t="str">
        <x:v>SVC000103</x:v>
      </x:c>
      <x:c r="C104" s="6" t="str">
        <x:v>SIDX-0103</x:v>
      </x:c>
      <x:c r="D104" s="6" t="str">
        <x:f>IFERROR(XLOOKUP(C104,'Review Sequence'!C2:C1586,'Review Sequence'!J2:J1586),"Dependency not found")</x:f>
        <x:v>Not Started</x:v>
      </x:c>
      <x:c r="E104" s="6" t="str">
        <x:v>MFRX-0103</x:v>
      </x:c>
      <x:c r="F104" s="6" t="str">
        <x:f>IFERROR(XLOOKUP(E104,'Review Sequence'!C2:C1586,'Review Sequence'!J2:J1586),"Dependency not found")</x:f>
        <x:v>Not Started</x:v>
      </x:c>
      <x:c r="G104" s="6" t="str">
        <x:v>iPhone 4S Screen replacement</x:v>
      </x:c>
      <x:c r="H104" s="6" t="str"/>
      <x:c r="I104" s="6" t="str"/>
      <x:c r="J104" s="6" t="str">
        <x:v>Unknown</x:v>
      </x:c>
      <x:c r="K104" s="6" t="str">
        <x:v>Unresolved</x:v>
      </x:c>
      <x:c r="L104" s="7" t="str">
        <x:v>Nocturnix_Master_Services_Catalog_v1.xlsx | 01 - Master Services | row 143</x:v>
      </x:c>
      <x:c r="M104" s="6" t="str"/>
      <x:c r="N104" s="6" t="str"/>
      <x:c r="O104" s="6" t="str">
        <x:v>Pending</x:v>
      </x:c>
      <x:c r="P104" s="7" t="str">
        <x:f>IF(AND(OR(D104="Reviewer Complete",D104="Awaiting Second-Level Approval"),OR(F104="Reviewer Complete",F104="Awaiting Second-Level Approval")),"","Identity/manufacturer dependency unresolved")</x:f>
        <x:v>Identity/manufacturer dependency unresolved</x:v>
      </x:c>
      <x:c r="Q104" s="6" t="str">
        <x:v>Yes</x:v>
      </x:c>
      <x:c r="R104" s="7" t="str"/>
    </x:row>
    <x:row r="105">
      <x:c r="A105" s="6" t="str">
        <x:v>DEVX-0104</x:v>
      </x:c>
      <x:c r="B105" s="6" t="str">
        <x:v>SVC000104</x:v>
      </x:c>
      <x:c r="C105" s="6" t="str">
        <x:v>SIDX-0104</x:v>
      </x:c>
      <x:c r="D105" s="6" t="str">
        <x:f>IFERROR(XLOOKUP(C105,'Review Sequence'!C2:C1586,'Review Sequence'!J2:J1586),"Dependency not found")</x:f>
        <x:v>Not Started</x:v>
      </x:c>
      <x:c r="E105" s="6" t="str">
        <x:v>MFRX-0104</x:v>
      </x:c>
      <x:c r="F105" s="6" t="str">
        <x:f>IFERROR(XLOOKUP(E105,'Review Sequence'!C2:C1586,'Review Sequence'!J2:J1586),"Dependency not found")</x:f>
        <x:v>Not Started</x:v>
      </x:c>
      <x:c r="G105" s="6" t="str">
        <x:v>iPhone 3GS Screen replacement</x:v>
      </x:c>
      <x:c r="H105" s="6" t="str"/>
      <x:c r="I105" s="6" t="str"/>
      <x:c r="J105" s="6" t="str">
        <x:v>Unknown</x:v>
      </x:c>
      <x:c r="K105" s="6" t="str">
        <x:v>Unresolved</x:v>
      </x:c>
      <x:c r="L105" s="7" t="str">
        <x:v>Nocturnix_Master_Services_Catalog_v1.xlsx | 01 - Master Services | row 144</x:v>
      </x:c>
      <x:c r="M105" s="6" t="str"/>
      <x:c r="N105" s="6" t="str"/>
      <x:c r="O105" s="6" t="str">
        <x:v>Pending</x:v>
      </x:c>
      <x:c r="P105" s="7" t="str">
        <x:f>IF(AND(OR(D105="Reviewer Complete",D105="Awaiting Second-Level Approval"),OR(F105="Reviewer Complete",F105="Awaiting Second-Level Approval")),"","Identity/manufacturer dependency unresolved")</x:f>
        <x:v>Identity/manufacturer dependency unresolved</x:v>
      </x:c>
      <x:c r="Q105" s="6" t="str">
        <x:v>Yes</x:v>
      </x:c>
      <x:c r="R105" s="7" t="str"/>
    </x:row>
    <x:row r="106">
      <x:c r="A106" s="6" t="str">
        <x:v>DEVX-0105</x:v>
      </x:c>
      <x:c r="B106" s="6" t="str">
        <x:v>SVC000105</x:v>
      </x:c>
      <x:c r="C106" s="6" t="str">
        <x:v>SIDX-0105</x:v>
      </x:c>
      <x:c r="D106" s="6" t="str">
        <x:f>IFERROR(XLOOKUP(C106,'Review Sequence'!C2:C1586,'Review Sequence'!J2:J1586),"Dependency not found")</x:f>
        <x:v>Not Started</x:v>
      </x:c>
      <x:c r="E106" s="6" t="str">
        <x:v>MFRX-0105</x:v>
      </x:c>
      <x:c r="F106" s="6" t="str">
        <x:f>IFERROR(XLOOKUP(E106,'Review Sequence'!C2:C1586,'Review Sequence'!J2:J1586),"Dependency not found")</x:f>
        <x:v>Not Started</x:v>
      </x:c>
      <x:c r="G106" s="6" t="str">
        <x:v>iPhone 3G Screen replacement</x:v>
      </x:c>
      <x:c r="H106" s="6" t="str"/>
      <x:c r="I106" s="6" t="str"/>
      <x:c r="J106" s="6" t="str">
        <x:v>Unknown</x:v>
      </x:c>
      <x:c r="K106" s="6" t="str">
        <x:v>Unresolved</x:v>
      </x:c>
      <x:c r="L106" s="7" t="str">
        <x:v>Nocturnix_Master_Services_Catalog_v1.xlsx | 01 - Master Services | row 145</x:v>
      </x:c>
      <x:c r="M106" s="6" t="str"/>
      <x:c r="N106" s="6" t="str"/>
      <x:c r="O106" s="6" t="str">
        <x:v>Pending</x:v>
      </x:c>
      <x:c r="P106" s="7" t="str">
        <x:f>IF(AND(OR(D106="Reviewer Complete",D106="Awaiting Second-Level Approval"),OR(F106="Reviewer Complete",F106="Awaiting Second-Level Approval")),"","Identity/manufacturer dependency unresolved")</x:f>
        <x:v>Identity/manufacturer dependency unresolved</x:v>
      </x:c>
      <x:c r="Q106" s="6" t="str">
        <x:v>Yes</x:v>
      </x:c>
      <x:c r="R106" s="7" t="str"/>
    </x:row>
    <x:row r="107">
      <x:c r="A107" s="6" t="str">
        <x:v>DEVX-0106</x:v>
      </x:c>
      <x:c r="B107" s="6" t="str">
        <x:v>SVC000106</x:v>
      </x:c>
      <x:c r="C107" s="6" t="str">
        <x:v>SIDX-0106</x:v>
      </x:c>
      <x:c r="D107" s="6" t="str">
        <x:f>IFERROR(XLOOKUP(C107,'Review Sequence'!C2:C1586,'Review Sequence'!J2:J1586),"Dependency not found")</x:f>
        <x:v>Not Started</x:v>
      </x:c>
      <x:c r="E107" s="6" t="str">
        <x:v>MFRX-0106</x:v>
      </x:c>
      <x:c r="F107" s="6" t="str">
        <x:f>IFERROR(XLOOKUP(E107,'Review Sequence'!C2:C1586,'Review Sequence'!J2:J1586),"Dependency not found")</x:f>
        <x:v>Not Started</x:v>
      </x:c>
      <x:c r="G107" s="6" t="str">
        <x:v>iPhone Screen replacement</x:v>
      </x:c>
      <x:c r="H107" s="6" t="str"/>
      <x:c r="I107" s="6" t="str"/>
      <x:c r="J107" s="6" t="str">
        <x:v>Unknown</x:v>
      </x:c>
      <x:c r="K107" s="6" t="str">
        <x:v>Unresolved</x:v>
      </x:c>
      <x:c r="L107" s="7" t="str">
        <x:v>Nocturnix_Master_Services_Catalog_v1.xlsx | 01 - Master Services | row 146</x:v>
      </x:c>
      <x:c r="M107" s="6" t="str"/>
      <x:c r="N107" s="6" t="str"/>
      <x:c r="O107" s="6" t="str">
        <x:v>Pending</x:v>
      </x:c>
      <x:c r="P107" s="7" t="str">
        <x:f>IF(AND(OR(D107="Reviewer Complete",D107="Awaiting Second-Level Approval"),OR(F107="Reviewer Complete",F107="Awaiting Second-Level Approval")),"","Identity/manufacturer dependency unresolved")</x:f>
        <x:v>Identity/manufacturer dependency unresolved</x:v>
      </x:c>
      <x:c r="Q107" s="6" t="str">
        <x:v>Yes</x:v>
      </x:c>
      <x:c r="R107" s="7" t="str"/>
    </x:row>
    <x:row r="108">
      <x:c r="A108" s="6" t="str">
        <x:v>DEVX-0107</x:v>
      </x:c>
      <x:c r="B108" s="6" t="str">
        <x:v>SVC000107</x:v>
      </x:c>
      <x:c r="C108" s="6" t="str">
        <x:v>SIDX-0107</x:v>
      </x:c>
      <x:c r="D108" s="6" t="str">
        <x:f>IFERROR(XLOOKUP(C108,'Review Sequence'!C2:C1586,'Review Sequence'!J2:J1586),"Dependency not found")</x:f>
        <x:v>Not Started</x:v>
      </x:c>
      <x:c r="E108" s="6" t="str">
        <x:v>MFRX-0107</x:v>
      </x:c>
      <x:c r="F108" s="6" t="str">
        <x:f>IFERROR(XLOOKUP(E108,'Review Sequence'!C2:C1586,'Review Sequence'!J2:J1586),"Dependency not found")</x:f>
        <x:v>Not Started</x:v>
      </x:c>
      <x:c r="G108" s="6" t="str">
        <x:v>Galaxy S 24 FE Charge Port Replacement</x:v>
      </x:c>
      <x:c r="H108" s="6" t="str"/>
      <x:c r="I108" s="6" t="str"/>
      <x:c r="J108" s="6" t="str">
        <x:v>Unknown</x:v>
      </x:c>
      <x:c r="K108" s="6" t="str">
        <x:v>Unresolved</x:v>
      </x:c>
      <x:c r="L108" s="7" t="str">
        <x:v>Nocturnix_Master_Services_Catalog_v1.xlsx | 01 - Master Services | row 147</x:v>
      </x:c>
      <x:c r="M108" s="6" t="str"/>
      <x:c r="N108" s="6" t="str"/>
      <x:c r="O108" s="6" t="str">
        <x:v>Pending</x:v>
      </x:c>
      <x:c r="P108" s="7" t="str">
        <x:f>IF(AND(OR(D108="Reviewer Complete",D108="Awaiting Second-Level Approval"),OR(F108="Reviewer Complete",F108="Awaiting Second-Level Approval")),"","Identity/manufacturer dependency unresolved")</x:f>
        <x:v>Identity/manufacturer dependency unresolved</x:v>
      </x:c>
      <x:c r="Q108" s="6" t="str">
        <x:v>Yes</x:v>
      </x:c>
      <x:c r="R108" s="7" t="str"/>
    </x:row>
    <x:row r="109">
      <x:c r="A109" s="6" t="str">
        <x:v>DEVX-0108</x:v>
      </x:c>
      <x:c r="B109" s="6" t="str">
        <x:v>SVC000108</x:v>
      </x:c>
      <x:c r="C109" s="6" t="str">
        <x:v>SIDX-0108</x:v>
      </x:c>
      <x:c r="D109" s="6" t="str">
        <x:f>IFERROR(XLOOKUP(C109,'Review Sequence'!C2:C1586,'Review Sequence'!J2:J1586),"Dependency not found")</x:f>
        <x:v>Not Started</x:v>
      </x:c>
      <x:c r="E109" s="6" t="str">
        <x:v>MFRX-0108</x:v>
      </x:c>
      <x:c r="F109" s="6" t="str">
        <x:f>IFERROR(XLOOKUP(E109,'Review Sequence'!C2:C1586,'Review Sequence'!J2:J1586),"Dependency not found")</x:f>
        <x:v>Not Started</x:v>
      </x:c>
      <x:c r="G109" s="6" t="str">
        <x:v>Galaxy S 25 Charge Port Replacement</x:v>
      </x:c>
      <x:c r="H109" s="6" t="str"/>
      <x:c r="I109" s="6" t="str"/>
      <x:c r="J109" s="6" t="str">
        <x:v>Unknown</x:v>
      </x:c>
      <x:c r="K109" s="6" t="str">
        <x:v>Unresolved</x:v>
      </x:c>
      <x:c r="L109" s="7" t="str">
        <x:v>Nocturnix_Master_Services_Catalog_v1.xlsx | 01 - Master Services | row 148</x:v>
      </x:c>
      <x:c r="M109" s="6" t="str"/>
      <x:c r="N109" s="6" t="str"/>
      <x:c r="O109" s="6" t="str">
        <x:v>Pending</x:v>
      </x:c>
      <x:c r="P109" s="7" t="str">
        <x:f>IF(AND(OR(D109="Reviewer Complete",D109="Awaiting Second-Level Approval"),OR(F109="Reviewer Complete",F109="Awaiting Second-Level Approval")),"","Identity/manufacturer dependency unresolved")</x:f>
        <x:v>Identity/manufacturer dependency unresolved</x:v>
      </x:c>
      <x:c r="Q109" s="6" t="str">
        <x:v>Yes</x:v>
      </x:c>
      <x:c r="R109" s="7" t="str"/>
    </x:row>
    <x:row r="110">
      <x:c r="A110" s="6" t="str">
        <x:v>DEVX-0109</x:v>
      </x:c>
      <x:c r="B110" s="6" t="str">
        <x:v>SVC000109</x:v>
      </x:c>
      <x:c r="C110" s="6" t="str">
        <x:v>SIDX-0109</x:v>
      </x:c>
      <x:c r="D110" s="6" t="str">
        <x:f>IFERROR(XLOOKUP(C110,'Review Sequence'!C2:C1586,'Review Sequence'!J2:J1586),"Dependency not found")</x:f>
        <x:v>Not Started</x:v>
      </x:c>
      <x:c r="E110" s="6" t="str">
        <x:v>MFRX-0109</x:v>
      </x:c>
      <x:c r="F110" s="6" t="str">
        <x:f>IFERROR(XLOOKUP(E110,'Review Sequence'!C2:C1586,'Review Sequence'!J2:J1586),"Dependency not found")</x:f>
        <x:v>Not Started</x:v>
      </x:c>
      <x:c r="G110" s="6" t="str">
        <x:v>Galaxy S 25 Plus Charge Port Replacement</x:v>
      </x:c>
      <x:c r="H110" s="6" t="str"/>
      <x:c r="I110" s="6" t="str"/>
      <x:c r="J110" s="6" t="str">
        <x:v>Unknown</x:v>
      </x:c>
      <x:c r="K110" s="6" t="str">
        <x:v>Unresolved</x:v>
      </x:c>
      <x:c r="L110" s="7" t="str">
        <x:v>Nocturnix_Master_Services_Catalog_v1.xlsx | 01 - Master Services | row 149</x:v>
      </x:c>
      <x:c r="M110" s="6" t="str"/>
      <x:c r="N110" s="6" t="str"/>
      <x:c r="O110" s="6" t="str">
        <x:v>Pending</x:v>
      </x:c>
      <x:c r="P110" s="7" t="str">
        <x:f>IF(AND(OR(D110="Reviewer Complete",D110="Awaiting Second-Level Approval"),OR(F110="Reviewer Complete",F110="Awaiting Second-Level Approval")),"","Identity/manufacturer dependency unresolved")</x:f>
        <x:v>Identity/manufacturer dependency unresolved</x:v>
      </x:c>
      <x:c r="Q110" s="6" t="str">
        <x:v>Yes</x:v>
      </x:c>
      <x:c r="R110" s="7" t="str"/>
    </x:row>
    <x:row r="111">
      <x:c r="A111" s="6" t="str">
        <x:v>DEVX-0110</x:v>
      </x:c>
      <x:c r="B111" s="6" t="str">
        <x:v>SVC000110</x:v>
      </x:c>
      <x:c r="C111" s="6" t="str">
        <x:v>SIDX-0110</x:v>
      </x:c>
      <x:c r="D111" s="6" t="str">
        <x:f>IFERROR(XLOOKUP(C111,'Review Sequence'!C2:C1586,'Review Sequence'!J2:J1586),"Dependency not found")</x:f>
        <x:v>Not Started</x:v>
      </x:c>
      <x:c r="E111" s="6" t="str">
        <x:v>MFRX-0110</x:v>
      </x:c>
      <x:c r="F111" s="6" t="str">
        <x:f>IFERROR(XLOOKUP(E111,'Review Sequence'!C2:C1586,'Review Sequence'!J2:J1586),"Dependency not found")</x:f>
        <x:v>Not Started</x:v>
      </x:c>
      <x:c r="G111" s="6" t="str">
        <x:v>Galaxy S 25 Edge Charge Port Replacement</x:v>
      </x:c>
      <x:c r="H111" s="6" t="str"/>
      <x:c r="I111" s="6" t="str"/>
      <x:c r="J111" s="6" t="str">
        <x:v>Unknown</x:v>
      </x:c>
      <x:c r="K111" s="6" t="str">
        <x:v>Unresolved</x:v>
      </x:c>
      <x:c r="L111" s="7" t="str">
        <x:v>Nocturnix_Master_Services_Catalog_v1.xlsx | 01 - Master Services | row 150</x:v>
      </x:c>
      <x:c r="M111" s="6" t="str"/>
      <x:c r="N111" s="6" t="str"/>
      <x:c r="O111" s="6" t="str">
        <x:v>Pending</x:v>
      </x:c>
      <x:c r="P111" s="7" t="str">
        <x:f>IF(AND(OR(D111="Reviewer Complete",D111="Awaiting Second-Level Approval"),OR(F111="Reviewer Complete",F111="Awaiting Second-Level Approval")),"","Identity/manufacturer dependency unresolved")</x:f>
        <x:v>Identity/manufacturer dependency unresolved</x:v>
      </x:c>
      <x:c r="Q111" s="6" t="str">
        <x:v>Yes</x:v>
      </x:c>
      <x:c r="R111" s="7" t="str"/>
    </x:row>
    <x:row r="112">
      <x:c r="A112" s="6" t="str">
        <x:v>DEVX-0111</x:v>
      </x:c>
      <x:c r="B112" s="6" t="str">
        <x:v>SVC000111</x:v>
      </x:c>
      <x:c r="C112" s="6" t="str">
        <x:v>SIDX-0111</x:v>
      </x:c>
      <x:c r="D112" s="6" t="str">
        <x:f>IFERROR(XLOOKUP(C112,'Review Sequence'!C2:C1586,'Review Sequence'!J2:J1586),"Dependency not found")</x:f>
        <x:v>Not Started</x:v>
      </x:c>
      <x:c r="E112" s="6" t="str">
        <x:v>MFRX-0111</x:v>
      </x:c>
      <x:c r="F112" s="6" t="str">
        <x:f>IFERROR(XLOOKUP(E112,'Review Sequence'!C2:C1586,'Review Sequence'!J2:J1586),"Dependency not found")</x:f>
        <x:v>Not Started</x:v>
      </x:c>
      <x:c r="G112" s="6" t="str">
        <x:v>Galaxy S 22 Plus Battery Replacement</x:v>
      </x:c>
      <x:c r="H112" s="6" t="str"/>
      <x:c r="I112" s="6" t="str"/>
      <x:c r="J112" s="6" t="str">
        <x:v>Unknown</x:v>
      </x:c>
      <x:c r="K112" s="6" t="str">
        <x:v>Unresolved</x:v>
      </x:c>
      <x:c r="L112" s="7" t="str">
        <x:v>Nocturnix_Master_Services_Catalog_v1.xlsx | 01 - Master Services | row 151</x:v>
      </x:c>
      <x:c r="M112" s="6" t="str"/>
      <x:c r="N112" s="6" t="str"/>
      <x:c r="O112" s="6" t="str">
        <x:v>Pending</x:v>
      </x:c>
      <x:c r="P112" s="7" t="str">
        <x:f>IF(AND(OR(D112="Reviewer Complete",D112="Awaiting Second-Level Approval"),OR(F112="Reviewer Complete",F112="Awaiting Second-Level Approval")),"","Identity/manufacturer dependency unresolved")</x:f>
        <x:v>Identity/manufacturer dependency unresolved</x:v>
      </x:c>
      <x:c r="Q112" s="6" t="str">
        <x:v>Yes</x:v>
      </x:c>
      <x:c r="R112" s="7" t="str"/>
    </x:row>
    <x:row r="113">
      <x:c r="A113" s="6" t="str">
        <x:v>DEVX-0112</x:v>
      </x:c>
      <x:c r="B113" s="6" t="str">
        <x:v>SVC000112</x:v>
      </x:c>
      <x:c r="C113" s="6" t="str">
        <x:v>SIDX-0112</x:v>
      </x:c>
      <x:c r="D113" s="6" t="str">
        <x:f>IFERROR(XLOOKUP(C113,'Review Sequence'!C2:C1586,'Review Sequence'!J2:J1586),"Dependency not found")</x:f>
        <x:v>Not Started</x:v>
      </x:c>
      <x:c r="E113" s="6" t="str">
        <x:v>MFRX-0112</x:v>
      </x:c>
      <x:c r="F113" s="6" t="str">
        <x:f>IFERROR(XLOOKUP(E113,'Review Sequence'!C2:C1586,'Review Sequence'!J2:J1586),"Dependency not found")</x:f>
        <x:v>Not Started</x:v>
      </x:c>
      <x:c r="G113" s="6" t="str">
        <x:v>Galaxy S 22 Ultra Battery Replacement</x:v>
      </x:c>
      <x:c r="H113" s="6" t="str"/>
      <x:c r="I113" s="6" t="str"/>
      <x:c r="J113" s="6" t="str">
        <x:v>Unknown</x:v>
      </x:c>
      <x:c r="K113" s="6" t="str">
        <x:v>Unresolved</x:v>
      </x:c>
      <x:c r="L113" s="7" t="str">
        <x:v>Nocturnix_Master_Services_Catalog_v1.xlsx | 01 - Master Services | row 152</x:v>
      </x:c>
      <x:c r="M113" s="6" t="str"/>
      <x:c r="N113" s="6" t="str"/>
      <x:c r="O113" s="6" t="str">
        <x:v>Pending</x:v>
      </x:c>
      <x:c r="P113" s="7" t="str">
        <x:f>IF(AND(OR(D113="Reviewer Complete",D113="Awaiting Second-Level Approval"),OR(F113="Reviewer Complete",F113="Awaiting Second-Level Approval")),"","Identity/manufacturer dependency unresolved")</x:f>
        <x:v>Identity/manufacturer dependency unresolved</x:v>
      </x:c>
      <x:c r="Q113" s="6" t="str">
        <x:v>Yes</x:v>
      </x:c>
      <x:c r="R113" s="7" t="str"/>
    </x:row>
    <x:row r="114">
      <x:c r="A114" s="6" t="str">
        <x:v>DEVX-0113</x:v>
      </x:c>
      <x:c r="B114" s="6" t="str">
        <x:v>SVC000113</x:v>
      </x:c>
      <x:c r="C114" s="6" t="str">
        <x:v>SIDX-0113</x:v>
      </x:c>
      <x:c r="D114" s="6" t="str">
        <x:f>IFERROR(XLOOKUP(C114,'Review Sequence'!C2:C1586,'Review Sequence'!J2:J1586),"Dependency not found")</x:f>
        <x:v>Not Started</x:v>
      </x:c>
      <x:c r="E114" s="6" t="str">
        <x:v>MFRX-0113</x:v>
      </x:c>
      <x:c r="F114" s="6" t="str">
        <x:f>IFERROR(XLOOKUP(E114,'Review Sequence'!C2:C1586,'Review Sequence'!J2:J1586),"Dependency not found")</x:f>
        <x:v>Not Started</x:v>
      </x:c>
      <x:c r="G114" s="6" t="str">
        <x:v>Galaxy S 23 Plus Battery Replacement</x:v>
      </x:c>
      <x:c r="H114" s="6" t="str"/>
      <x:c r="I114" s="6" t="str"/>
      <x:c r="J114" s="6" t="str">
        <x:v>Unknown</x:v>
      </x:c>
      <x:c r="K114" s="6" t="str">
        <x:v>Unresolved</x:v>
      </x:c>
      <x:c r="L114" s="7" t="str">
        <x:v>Nocturnix_Master_Services_Catalog_v1.xlsx | 01 - Master Services | row 153</x:v>
      </x:c>
      <x:c r="M114" s="6" t="str"/>
      <x:c r="N114" s="6" t="str"/>
      <x:c r="O114" s="6" t="str">
        <x:v>Pending</x:v>
      </x:c>
      <x:c r="P114" s="7" t="str">
        <x:f>IF(AND(OR(D114="Reviewer Complete",D114="Awaiting Second-Level Approval"),OR(F114="Reviewer Complete",F114="Awaiting Second-Level Approval")),"","Identity/manufacturer dependency unresolved")</x:f>
        <x:v>Identity/manufacturer dependency unresolved</x:v>
      </x:c>
      <x:c r="Q114" s="6" t="str">
        <x:v>Yes</x:v>
      </x:c>
      <x:c r="R114" s="7" t="str"/>
    </x:row>
    <x:row r="115">
      <x:c r="A115" s="6" t="str">
        <x:v>DEVX-0114</x:v>
      </x:c>
      <x:c r="B115" s="6" t="str">
        <x:v>SVC000114</x:v>
      </x:c>
      <x:c r="C115" s="6" t="str">
        <x:v>SIDX-0114</x:v>
      </x:c>
      <x:c r="D115" s="6" t="str">
        <x:f>IFERROR(XLOOKUP(C115,'Review Sequence'!C2:C1586,'Review Sequence'!J2:J1586),"Dependency not found")</x:f>
        <x:v>Not Started</x:v>
      </x:c>
      <x:c r="E115" s="6" t="str">
        <x:v>MFRX-0114</x:v>
      </x:c>
      <x:c r="F115" s="6" t="str">
        <x:f>IFERROR(XLOOKUP(E115,'Review Sequence'!C2:C1586,'Review Sequence'!J2:J1586),"Dependency not found")</x:f>
        <x:v>Not Started</x:v>
      </x:c>
      <x:c r="G115" s="6" t="str">
        <x:v>Galaxy S 24 Battery Replacement</x:v>
      </x:c>
      <x:c r="H115" s="6" t="str"/>
      <x:c r="I115" s="6" t="str"/>
      <x:c r="J115" s="6" t="str">
        <x:v>Unknown</x:v>
      </x:c>
      <x:c r="K115" s="6" t="str">
        <x:v>Unresolved</x:v>
      </x:c>
      <x:c r="L115" s="7" t="str">
        <x:v>Nocturnix_Master_Services_Catalog_v1.xlsx | 01 - Master Services | row 154</x:v>
      </x:c>
      <x:c r="M115" s="6" t="str"/>
      <x:c r="N115" s="6" t="str"/>
      <x:c r="O115" s="6" t="str">
        <x:v>Pending</x:v>
      </x:c>
      <x:c r="P115" s="7" t="str">
        <x:f>IF(AND(OR(D115="Reviewer Complete",D115="Awaiting Second-Level Approval"),OR(F115="Reviewer Complete",F115="Awaiting Second-Level Approval")),"","Identity/manufacturer dependency unresolved")</x:f>
        <x:v>Identity/manufacturer dependency unresolved</x:v>
      </x:c>
      <x:c r="Q115" s="6" t="str">
        <x:v>Yes</x:v>
      </x:c>
      <x:c r="R115" s="7" t="str"/>
    </x:row>
    <x:row r="116">
      <x:c r="A116" s="6" t="str">
        <x:v>DEVX-0115</x:v>
      </x:c>
      <x:c r="B116" s="6" t="str">
        <x:v>SVC000115</x:v>
      </x:c>
      <x:c r="C116" s="6" t="str">
        <x:v>SIDX-0115</x:v>
      </x:c>
      <x:c r="D116" s="6" t="str">
        <x:f>IFERROR(XLOOKUP(C116,'Review Sequence'!C2:C1586,'Review Sequence'!J2:J1586),"Dependency not found")</x:f>
        <x:v>Not Started</x:v>
      </x:c>
      <x:c r="E116" s="6" t="str">
        <x:v>MFRX-0115</x:v>
      </x:c>
      <x:c r="F116" s="6" t="str">
        <x:f>IFERROR(XLOOKUP(E116,'Review Sequence'!C2:C1586,'Review Sequence'!J2:J1586),"Dependency not found")</x:f>
        <x:v>Not Started</x:v>
      </x:c>
      <x:c r="G116" s="6" t="str">
        <x:v>Galaxy S 24 Plus Battery Replacement</x:v>
      </x:c>
      <x:c r="H116" s="6" t="str"/>
      <x:c r="I116" s="6" t="str"/>
      <x:c r="J116" s="6" t="str">
        <x:v>Unknown</x:v>
      </x:c>
      <x:c r="K116" s="6" t="str">
        <x:v>Unresolved</x:v>
      </x:c>
      <x:c r="L116" s="7" t="str">
        <x:v>Nocturnix_Master_Services_Catalog_v1.xlsx | 01 - Master Services | row 155</x:v>
      </x:c>
      <x:c r="M116" s="6" t="str"/>
      <x:c r="N116" s="6" t="str"/>
      <x:c r="O116" s="6" t="str">
        <x:v>Pending</x:v>
      </x:c>
      <x:c r="P116" s="7" t="str">
        <x:f>IF(AND(OR(D116="Reviewer Complete",D116="Awaiting Second-Level Approval"),OR(F116="Reviewer Complete",F116="Awaiting Second-Level Approval")),"","Identity/manufacturer dependency unresolved")</x:f>
        <x:v>Identity/manufacturer dependency unresolved</x:v>
      </x:c>
      <x:c r="Q116" s="6" t="str">
        <x:v>Yes</x:v>
      </x:c>
      <x:c r="R116" s="7" t="str"/>
    </x:row>
    <x:row r="117">
      <x:c r="A117" s="6" t="str">
        <x:v>DEVX-0116</x:v>
      </x:c>
      <x:c r="B117" s="6" t="str">
        <x:v>SVC000116</x:v>
      </x:c>
      <x:c r="C117" s="6" t="str">
        <x:v>SIDX-0116</x:v>
      </x:c>
      <x:c r="D117" s="6" t="str">
        <x:f>IFERROR(XLOOKUP(C117,'Review Sequence'!C2:C1586,'Review Sequence'!J2:J1586),"Dependency not found")</x:f>
        <x:v>Not Started</x:v>
      </x:c>
      <x:c r="E117" s="6" t="str">
        <x:v>MFRX-0116</x:v>
      </x:c>
      <x:c r="F117" s="6" t="str">
        <x:f>IFERROR(XLOOKUP(E117,'Review Sequence'!C2:C1586,'Review Sequence'!J2:J1586),"Dependency not found")</x:f>
        <x:v>Not Started</x:v>
      </x:c>
      <x:c r="G117" s="6" t="str">
        <x:v>Galaxy S 24 Ultra Battery Replacement</x:v>
      </x:c>
      <x:c r="H117" s="6" t="str"/>
      <x:c r="I117" s="6" t="str"/>
      <x:c r="J117" s="6" t="str">
        <x:v>Unknown</x:v>
      </x:c>
      <x:c r="K117" s="6" t="str">
        <x:v>Unresolved</x:v>
      </x:c>
      <x:c r="L117" s="7" t="str">
        <x:v>Nocturnix_Master_Services_Catalog_v1.xlsx | 01 - Master Services | row 156</x:v>
      </x:c>
      <x:c r="M117" s="6" t="str"/>
      <x:c r="N117" s="6" t="str"/>
      <x:c r="O117" s="6" t="str">
        <x:v>Pending</x:v>
      </x:c>
      <x:c r="P117" s="7" t="str">
        <x:f>IF(AND(OR(D117="Reviewer Complete",D117="Awaiting Second-Level Approval"),OR(F117="Reviewer Complete",F117="Awaiting Second-Level Approval")),"","Identity/manufacturer dependency unresolved")</x:f>
        <x:v>Identity/manufacturer dependency unresolved</x:v>
      </x:c>
      <x:c r="Q117" s="6" t="str">
        <x:v>Yes</x:v>
      </x:c>
      <x:c r="R117" s="7" t="str"/>
    </x:row>
    <x:row r="118">
      <x:c r="A118" s="6" t="str">
        <x:v>DEVX-0117</x:v>
      </x:c>
      <x:c r="B118" s="6" t="str">
        <x:v>SVC000117</x:v>
      </x:c>
      <x:c r="C118" s="6" t="str">
        <x:v>SIDX-0117</x:v>
      </x:c>
      <x:c r="D118" s="6" t="str">
        <x:f>IFERROR(XLOOKUP(C118,'Review Sequence'!C2:C1586,'Review Sequence'!J2:J1586),"Dependency not found")</x:f>
        <x:v>Not Started</x:v>
      </x:c>
      <x:c r="E118" s="6" t="str">
        <x:v>MFRX-0117</x:v>
      </x:c>
      <x:c r="F118" s="6" t="str">
        <x:f>IFERROR(XLOOKUP(E118,'Review Sequence'!C2:C1586,'Review Sequence'!J2:J1586),"Dependency not found")</x:f>
        <x:v>Not Started</x:v>
      </x:c>
      <x:c r="G118" s="6" t="str">
        <x:v>Galaxy S 25 Plus Battery Replacement</x:v>
      </x:c>
      <x:c r="H118" s="6" t="str"/>
      <x:c r="I118" s="6" t="str"/>
      <x:c r="J118" s="6" t="str">
        <x:v>Unknown</x:v>
      </x:c>
      <x:c r="K118" s="6" t="str">
        <x:v>Unresolved</x:v>
      </x:c>
      <x:c r="L118" s="7" t="str">
        <x:v>Nocturnix_Master_Services_Catalog_v1.xlsx | 01 - Master Services | row 157</x:v>
      </x:c>
      <x:c r="M118" s="6" t="str"/>
      <x:c r="N118" s="6" t="str"/>
      <x:c r="O118" s="6" t="str">
        <x:v>Pending</x:v>
      </x:c>
      <x:c r="P118" s="7" t="str">
        <x:f>IF(AND(OR(D118="Reviewer Complete",D118="Awaiting Second-Level Approval"),OR(F118="Reviewer Complete",F118="Awaiting Second-Level Approval")),"","Identity/manufacturer dependency unresolved")</x:f>
        <x:v>Identity/manufacturer dependency unresolved</x:v>
      </x:c>
      <x:c r="Q118" s="6" t="str">
        <x:v>Yes</x:v>
      </x:c>
      <x:c r="R118" s="7" t="str"/>
    </x:row>
    <x:row r="119">
      <x:c r="A119" s="6" t="str">
        <x:v>DEVX-0118</x:v>
      </x:c>
      <x:c r="B119" s="6" t="str">
        <x:v>SVC000118</x:v>
      </x:c>
      <x:c r="C119" s="6" t="str">
        <x:v>SIDX-0118</x:v>
      </x:c>
      <x:c r="D119" s="6" t="str">
        <x:f>IFERROR(XLOOKUP(C119,'Review Sequence'!C2:C1586,'Review Sequence'!J2:J1586),"Dependency not found")</x:f>
        <x:v>Not Started</x:v>
      </x:c>
      <x:c r="E119" s="6" t="str">
        <x:v>MFRX-0118</x:v>
      </x:c>
      <x:c r="F119" s="6" t="str">
        <x:f>IFERROR(XLOOKUP(E119,'Review Sequence'!C2:C1586,'Review Sequence'!J2:J1586),"Dependency not found")</x:f>
        <x:v>Not Started</x:v>
      </x:c>
      <x:c r="G119" s="6" t="str">
        <x:v>Galaxy S 10 Battery Replacement</x:v>
      </x:c>
      <x:c r="H119" s="6" t="str"/>
      <x:c r="I119" s="6" t="str"/>
      <x:c r="J119" s="6" t="str">
        <x:v>Unknown</x:v>
      </x:c>
      <x:c r="K119" s="6" t="str">
        <x:v>Unresolved</x:v>
      </x:c>
      <x:c r="L119" s="7" t="str">
        <x:v>Nocturnix_Master_Services_Catalog_v1.xlsx | 01 - Master Services | row 158</x:v>
      </x:c>
      <x:c r="M119" s="6" t="str"/>
      <x:c r="N119" s="6" t="str"/>
      <x:c r="O119" s="6" t="str">
        <x:v>Pending</x:v>
      </x:c>
      <x:c r="P119" s="7" t="str">
        <x:f>IF(AND(OR(D119="Reviewer Complete",D119="Awaiting Second-Level Approval"),OR(F119="Reviewer Complete",F119="Awaiting Second-Level Approval")),"","Identity/manufacturer dependency unresolved")</x:f>
        <x:v>Identity/manufacturer dependency unresolved</x:v>
      </x:c>
      <x:c r="Q119" s="6" t="str">
        <x:v>Yes</x:v>
      </x:c>
      <x:c r="R119" s="7" t="str"/>
    </x:row>
    <x:row r="120">
      <x:c r="A120" s="6" t="str">
        <x:v>DEVX-0119</x:v>
      </x:c>
      <x:c r="B120" s="6" t="str">
        <x:v>SVC000119</x:v>
      </x:c>
      <x:c r="C120" s="6" t="str">
        <x:v>SIDX-0119</x:v>
      </x:c>
      <x:c r="D120" s="6" t="str">
        <x:f>IFERROR(XLOOKUP(C120,'Review Sequence'!C2:C1586,'Review Sequence'!J2:J1586),"Dependency not found")</x:f>
        <x:v>Not Started</x:v>
      </x:c>
      <x:c r="E120" s="6" t="str">
        <x:v>MFRX-0119</x:v>
      </x:c>
      <x:c r="F120" s="6" t="str">
        <x:f>IFERROR(XLOOKUP(E120,'Review Sequence'!C2:C1586,'Review Sequence'!J2:J1586),"Dependency not found")</x:f>
        <x:v>Not Started</x:v>
      </x:c>
      <x:c r="G120" s="6" t="str">
        <x:v>Galaxy S 10 Plus Battery Replacement</x:v>
      </x:c>
      <x:c r="H120" s="6" t="str"/>
      <x:c r="I120" s="6" t="str"/>
      <x:c r="J120" s="6" t="str">
        <x:v>Unknown</x:v>
      </x:c>
      <x:c r="K120" s="6" t="str">
        <x:v>Unresolved</x:v>
      </x:c>
      <x:c r="L120" s="7" t="str">
        <x:v>Nocturnix_Master_Services_Catalog_v1.xlsx | 01 - Master Services | row 159</x:v>
      </x:c>
      <x:c r="M120" s="6" t="str"/>
      <x:c r="N120" s="6" t="str"/>
      <x:c r="O120" s="6" t="str">
        <x:v>Pending</x:v>
      </x:c>
      <x:c r="P120" s="7" t="str">
        <x:f>IF(AND(OR(D120="Reviewer Complete",D120="Awaiting Second-Level Approval"),OR(F120="Reviewer Complete",F120="Awaiting Second-Level Approval")),"","Identity/manufacturer dependency unresolved")</x:f>
        <x:v>Identity/manufacturer dependency unresolved</x:v>
      </x:c>
      <x:c r="Q120" s="6" t="str">
        <x:v>Yes</x:v>
      </x:c>
      <x:c r="R120" s="7" t="str"/>
    </x:row>
    <x:row r="121">
      <x:c r="A121" s="6" t="str">
        <x:v>DEVX-0120</x:v>
      </x:c>
      <x:c r="B121" s="6" t="str">
        <x:v>SVC000120</x:v>
      </x:c>
      <x:c r="C121" s="6" t="str">
        <x:v>SIDX-0120</x:v>
      </x:c>
      <x:c r="D121" s="6" t="str">
        <x:f>IFERROR(XLOOKUP(C121,'Review Sequence'!C2:C1586,'Review Sequence'!J2:J1586),"Dependency not found")</x:f>
        <x:v>Not Started</x:v>
      </x:c>
      <x:c r="E121" s="6" t="str">
        <x:v>MFRX-0120</x:v>
      </x:c>
      <x:c r="F121" s="6" t="str">
        <x:f>IFERROR(XLOOKUP(E121,'Review Sequence'!C2:C1586,'Review Sequence'!J2:J1586),"Dependency not found")</x:f>
        <x:v>Not Started</x:v>
      </x:c>
      <x:c r="G121" s="6" t="str">
        <x:v>Galaxy S 10 E Battery Replacement</x:v>
      </x:c>
      <x:c r="H121" s="6" t="str"/>
      <x:c r="I121" s="6" t="str"/>
      <x:c r="J121" s="6" t="str">
        <x:v>Unknown</x:v>
      </x:c>
      <x:c r="K121" s="6" t="str">
        <x:v>Unresolved</x:v>
      </x:c>
      <x:c r="L121" s="7" t="str">
        <x:v>Nocturnix_Master_Services_Catalog_v1.xlsx | 01 - Master Services | row 160</x:v>
      </x:c>
      <x:c r="M121" s="6" t="str"/>
      <x:c r="N121" s="6" t="str"/>
      <x:c r="O121" s="6" t="str">
        <x:v>Pending</x:v>
      </x:c>
      <x:c r="P121" s="7" t="str">
        <x:f>IF(AND(OR(D121="Reviewer Complete",D121="Awaiting Second-Level Approval"),OR(F121="Reviewer Complete",F121="Awaiting Second-Level Approval")),"","Identity/manufacturer dependency unresolved")</x:f>
        <x:v>Identity/manufacturer dependency unresolved</x:v>
      </x:c>
      <x:c r="Q121" s="6" t="str">
        <x:v>Yes</x:v>
      </x:c>
      <x:c r="R121" s="7" t="str"/>
    </x:row>
    <x:row r="122">
      <x:c r="A122" s="6" t="str">
        <x:v>DEVX-0121</x:v>
      </x:c>
      <x:c r="B122" s="6" t="str">
        <x:v>SVC000121</x:v>
      </x:c>
      <x:c r="C122" s="6" t="str">
        <x:v>SIDX-0121</x:v>
      </x:c>
      <x:c r="D122" s="6" t="str">
        <x:f>IFERROR(XLOOKUP(C122,'Review Sequence'!C2:C1586,'Review Sequence'!J2:J1586),"Dependency not found")</x:f>
        <x:v>Not Started</x:v>
      </x:c>
      <x:c r="E122" s="6" t="str">
        <x:v>MFRX-0121</x:v>
      </x:c>
      <x:c r="F122" s="6" t="str">
        <x:f>IFERROR(XLOOKUP(E122,'Review Sequence'!C2:C1586,'Review Sequence'!J2:J1586),"Dependency not found")</x:f>
        <x:v>Not Started</x:v>
      </x:c>
      <x:c r="G122" s="6" t="str">
        <x:v>Galaxy Note 9 Battery Replacement</x:v>
      </x:c>
      <x:c r="H122" s="6" t="str"/>
      <x:c r="I122" s="6" t="str"/>
      <x:c r="J122" s="6" t="str">
        <x:v>Unknown</x:v>
      </x:c>
      <x:c r="K122" s="6" t="str">
        <x:v>Unresolved</x:v>
      </x:c>
      <x:c r="L122" s="7" t="str">
        <x:v>Nocturnix_Master_Services_Catalog_v1.xlsx | 01 - Master Services | row 161</x:v>
      </x:c>
      <x:c r="M122" s="6" t="str"/>
      <x:c r="N122" s="6" t="str"/>
      <x:c r="O122" s="6" t="str">
        <x:v>Pending</x:v>
      </x:c>
      <x:c r="P122" s="7" t="str">
        <x:f>IF(AND(OR(D122="Reviewer Complete",D122="Awaiting Second-Level Approval"),OR(F122="Reviewer Complete",F122="Awaiting Second-Level Approval")),"","Identity/manufacturer dependency unresolved")</x:f>
        <x:v>Identity/manufacturer dependency unresolved</x:v>
      </x:c>
      <x:c r="Q122" s="6" t="str">
        <x:v>Yes</x:v>
      </x:c>
      <x:c r="R122" s="7" t="str"/>
    </x:row>
    <x:row r="123">
      <x:c r="A123" s="6" t="str">
        <x:v>DEVX-0122</x:v>
      </x:c>
      <x:c r="B123" s="6" t="str">
        <x:v>SVC000122</x:v>
      </x:c>
      <x:c r="C123" s="6" t="str">
        <x:v>SIDX-0122</x:v>
      </x:c>
      <x:c r="D123" s="6" t="str">
        <x:f>IFERROR(XLOOKUP(C123,'Review Sequence'!C2:C1586,'Review Sequence'!J2:J1586),"Dependency not found")</x:f>
        <x:v>Not Started</x:v>
      </x:c>
      <x:c r="E123" s="6" t="str">
        <x:v>MFRX-0122</x:v>
      </x:c>
      <x:c r="F123" s="6" t="str">
        <x:f>IFERROR(XLOOKUP(E123,'Review Sequence'!C2:C1586,'Review Sequence'!J2:J1586),"Dependency not found")</x:f>
        <x:v>Not Started</x:v>
      </x:c>
      <x:c r="G123" s="6" t="str">
        <x:v>Galaxy Note 10 Plus Battery Replacement</x:v>
      </x:c>
      <x:c r="H123" s="6" t="str"/>
      <x:c r="I123" s="6" t="str"/>
      <x:c r="J123" s="6" t="str">
        <x:v>Unknown</x:v>
      </x:c>
      <x:c r="K123" s="6" t="str">
        <x:v>Unresolved</x:v>
      </x:c>
      <x:c r="L123" s="7" t="str">
        <x:v>Nocturnix_Master_Services_Catalog_v1.xlsx | 01 - Master Services | row 162</x:v>
      </x:c>
      <x:c r="M123" s="6" t="str"/>
      <x:c r="N123" s="6" t="str"/>
      <x:c r="O123" s="6" t="str">
        <x:v>Pending</x:v>
      </x:c>
      <x:c r="P123" s="7" t="str">
        <x:f>IF(AND(OR(D123="Reviewer Complete",D123="Awaiting Second-Level Approval"),OR(F123="Reviewer Complete",F123="Awaiting Second-Level Approval")),"","Identity/manufacturer dependency unresolved")</x:f>
        <x:v>Identity/manufacturer dependency unresolved</x:v>
      </x:c>
      <x:c r="Q123" s="6" t="str">
        <x:v>Yes</x:v>
      </x:c>
      <x:c r="R123" s="7" t="str"/>
    </x:row>
    <x:row r="124">
      <x:c r="A124" s="6" t="str">
        <x:v>DEVX-0123</x:v>
      </x:c>
      <x:c r="B124" s="6" t="str">
        <x:v>SVC000123</x:v>
      </x:c>
      <x:c r="C124" s="6" t="str">
        <x:v>SIDX-0123</x:v>
      </x:c>
      <x:c r="D124" s="6" t="str">
        <x:f>IFERROR(XLOOKUP(C124,'Review Sequence'!C2:C1586,'Review Sequence'!J2:J1586),"Dependency not found")</x:f>
        <x:v>Not Started</x:v>
      </x:c>
      <x:c r="E124" s="6" t="str">
        <x:v>MFRX-0123</x:v>
      </x:c>
      <x:c r="F124" s="6" t="str">
        <x:f>IFERROR(XLOOKUP(E124,'Review Sequence'!C2:C1586,'Review Sequence'!J2:J1586),"Dependency not found")</x:f>
        <x:v>Not Started</x:v>
      </x:c>
      <x:c r="G124" s="6" t="str">
        <x:v>Galaxy S 20 Battery Replacement</x:v>
      </x:c>
      <x:c r="H124" s="6" t="str"/>
      <x:c r="I124" s="6" t="str"/>
      <x:c r="J124" s="6" t="str">
        <x:v>Unknown</x:v>
      </x:c>
      <x:c r="K124" s="6" t="str">
        <x:v>Unresolved</x:v>
      </x:c>
      <x:c r="L124" s="7" t="str">
        <x:v>Nocturnix_Master_Services_Catalog_v1.xlsx | 01 - Master Services | row 163</x:v>
      </x:c>
      <x:c r="M124" s="6" t="str"/>
      <x:c r="N124" s="6" t="str"/>
      <x:c r="O124" s="6" t="str">
        <x:v>Pending</x:v>
      </x:c>
      <x:c r="P124" s="7" t="str">
        <x:f>IF(AND(OR(D124="Reviewer Complete",D124="Awaiting Second-Level Approval"),OR(F124="Reviewer Complete",F124="Awaiting Second-Level Approval")),"","Identity/manufacturer dependency unresolved")</x:f>
        <x:v>Identity/manufacturer dependency unresolved</x:v>
      </x:c>
      <x:c r="Q124" s="6" t="str">
        <x:v>Yes</x:v>
      </x:c>
      <x:c r="R124" s="7" t="str"/>
    </x:row>
    <x:row r="125">
      <x:c r="A125" s="6" t="str">
        <x:v>DEVX-0124</x:v>
      </x:c>
      <x:c r="B125" s="6" t="str">
        <x:v>SVC000124</x:v>
      </x:c>
      <x:c r="C125" s="6" t="str">
        <x:v>SIDX-0124</x:v>
      </x:c>
      <x:c r="D125" s="6" t="str">
        <x:f>IFERROR(XLOOKUP(C125,'Review Sequence'!C2:C1586,'Review Sequence'!J2:J1586),"Dependency not found")</x:f>
        <x:v>Not Started</x:v>
      </x:c>
      <x:c r="E125" s="6" t="str">
        <x:v>MFRX-0124</x:v>
      </x:c>
      <x:c r="F125" s="6" t="str">
        <x:f>IFERROR(XLOOKUP(E125,'Review Sequence'!C2:C1586,'Review Sequence'!J2:J1586),"Dependency not found")</x:f>
        <x:v>Not Started</x:v>
      </x:c>
      <x:c r="G125" s="6" t="str">
        <x:v>Galaxy S 20 Plus Battery Replacement</x:v>
      </x:c>
      <x:c r="H125" s="6" t="str"/>
      <x:c r="I125" s="6" t="str"/>
      <x:c r="J125" s="6" t="str">
        <x:v>Unknown</x:v>
      </x:c>
      <x:c r="K125" s="6" t="str">
        <x:v>Unresolved</x:v>
      </x:c>
      <x:c r="L125" s="7" t="str">
        <x:v>Nocturnix_Master_Services_Catalog_v1.xlsx | 01 - Master Services | row 164</x:v>
      </x:c>
      <x:c r="M125" s="6" t="str"/>
      <x:c r="N125" s="6" t="str"/>
      <x:c r="O125" s="6" t="str">
        <x:v>Pending</x:v>
      </x:c>
      <x:c r="P125" s="7" t="str">
        <x:f>IF(AND(OR(D125="Reviewer Complete",D125="Awaiting Second-Level Approval"),OR(F125="Reviewer Complete",F125="Awaiting Second-Level Approval")),"","Identity/manufacturer dependency unresolved")</x:f>
        <x:v>Identity/manufacturer dependency unresolved</x:v>
      </x:c>
      <x:c r="Q125" s="6" t="str">
        <x:v>Yes</x:v>
      </x:c>
      <x:c r="R125" s="7" t="str"/>
    </x:row>
    <x:row r="126">
      <x:c r="A126" s="6" t="str">
        <x:v>DEVX-0125</x:v>
      </x:c>
      <x:c r="B126" s="6" t="str">
        <x:v>SVC000125</x:v>
      </x:c>
      <x:c r="C126" s="6" t="str">
        <x:v>SIDX-0125</x:v>
      </x:c>
      <x:c r="D126" s="6" t="str">
        <x:f>IFERROR(XLOOKUP(C126,'Review Sequence'!C2:C1586,'Review Sequence'!J2:J1586),"Dependency not found")</x:f>
        <x:v>Not Started</x:v>
      </x:c>
      <x:c r="E126" s="6" t="str">
        <x:v>MFRX-0125</x:v>
      </x:c>
      <x:c r="F126" s="6" t="str">
        <x:f>IFERROR(XLOOKUP(E126,'Review Sequence'!C2:C1586,'Review Sequence'!J2:J1586),"Dependency not found")</x:f>
        <x:v>Not Started</x:v>
      </x:c>
      <x:c r="G126" s="6" t="str">
        <x:v>Galaxy S 21 Plus Battery Replacement</x:v>
      </x:c>
      <x:c r="H126" s="6" t="str"/>
      <x:c r="I126" s="6" t="str"/>
      <x:c r="J126" s="6" t="str">
        <x:v>Unknown</x:v>
      </x:c>
      <x:c r="K126" s="6" t="str">
        <x:v>Unresolved</x:v>
      </x:c>
      <x:c r="L126" s="7" t="str">
        <x:v>Nocturnix_Master_Services_Catalog_v1.xlsx | 01 - Master Services | row 165</x:v>
      </x:c>
      <x:c r="M126" s="6" t="str"/>
      <x:c r="N126" s="6" t="str"/>
      <x:c r="O126" s="6" t="str">
        <x:v>Pending</x:v>
      </x:c>
      <x:c r="P126" s="7" t="str">
        <x:f>IF(AND(OR(D126="Reviewer Complete",D126="Awaiting Second-Level Approval"),OR(F126="Reviewer Complete",F126="Awaiting Second-Level Approval")),"","Identity/manufacturer dependency unresolved")</x:f>
        <x:v>Identity/manufacturer dependency unresolved</x:v>
      </x:c>
      <x:c r="Q126" s="6" t="str">
        <x:v>Yes</x:v>
      </x:c>
      <x:c r="R126" s="7" t="str"/>
    </x:row>
    <x:row r="127">
      <x:c r="A127" s="6" t="str">
        <x:v>DEVX-0126</x:v>
      </x:c>
      <x:c r="B127" s="6" t="str">
        <x:v>SVC000126</x:v>
      </x:c>
      <x:c r="C127" s="6" t="str">
        <x:v>SIDX-0126</x:v>
      </x:c>
      <x:c r="D127" s="6" t="str">
        <x:f>IFERROR(XLOOKUP(C127,'Review Sequence'!C2:C1586,'Review Sequence'!J2:J1586),"Dependency not found")</x:f>
        <x:v>Not Started</x:v>
      </x:c>
      <x:c r="E127" s="6" t="str">
        <x:v>MFRX-0126</x:v>
      </x:c>
      <x:c r="F127" s="6" t="str">
        <x:f>IFERROR(XLOOKUP(E127,'Review Sequence'!C2:C1586,'Review Sequence'!J2:J1586),"Dependency not found")</x:f>
        <x:v>Not Started</x:v>
      </x:c>
      <x:c r="G127" s="6" t="str">
        <x:v>Galaxy S 7 Battery Replacement</x:v>
      </x:c>
      <x:c r="H127" s="6" t="str"/>
      <x:c r="I127" s="6" t="str"/>
      <x:c r="J127" s="6" t="str">
        <x:v>Unknown</x:v>
      </x:c>
      <x:c r="K127" s="6" t="str">
        <x:v>Unresolved</x:v>
      </x:c>
      <x:c r="L127" s="7" t="str">
        <x:v>Nocturnix_Master_Services_Catalog_v1.xlsx | 01 - Master Services | row 166</x:v>
      </x:c>
      <x:c r="M127" s="6" t="str"/>
      <x:c r="N127" s="6" t="str"/>
      <x:c r="O127" s="6" t="str">
        <x:v>Pending</x:v>
      </x:c>
      <x:c r="P127" s="7" t="str">
        <x:f>IF(AND(OR(D127="Reviewer Complete",D127="Awaiting Second-Level Approval"),OR(F127="Reviewer Complete",F127="Awaiting Second-Level Approval")),"","Identity/manufacturer dependency unresolved")</x:f>
        <x:v>Identity/manufacturer dependency unresolved</x:v>
      </x:c>
      <x:c r="Q127" s="6" t="str">
        <x:v>Yes</x:v>
      </x:c>
      <x:c r="R127" s="7" t="str"/>
    </x:row>
    <x:row r="128">
      <x:c r="A128" s="6" t="str">
        <x:v>DEVX-0127</x:v>
      </x:c>
      <x:c r="B128" s="6" t="str">
        <x:v>SVC000127</x:v>
      </x:c>
      <x:c r="C128" s="6" t="str">
        <x:v>SIDX-0127</x:v>
      </x:c>
      <x:c r="D128" s="6" t="str">
        <x:f>IFERROR(XLOOKUP(C128,'Review Sequence'!C2:C1586,'Review Sequence'!J2:J1586),"Dependency not found")</x:f>
        <x:v>Not Started</x:v>
      </x:c>
      <x:c r="E128" s="6" t="str">
        <x:v>MFRX-0127</x:v>
      </x:c>
      <x:c r="F128" s="6" t="str">
        <x:f>IFERROR(XLOOKUP(E128,'Review Sequence'!C2:C1586,'Review Sequence'!J2:J1586),"Dependency not found")</x:f>
        <x:v>Not Started</x:v>
      </x:c>
      <x:c r="G128" s="6" t="str">
        <x:v>Galaxy S 7 Edge Battery Replacement</x:v>
      </x:c>
      <x:c r="H128" s="6" t="str"/>
      <x:c r="I128" s="6" t="str"/>
      <x:c r="J128" s="6" t="str">
        <x:v>Unknown</x:v>
      </x:c>
      <x:c r="K128" s="6" t="str">
        <x:v>Unresolved</x:v>
      </x:c>
      <x:c r="L128" s="7" t="str">
        <x:v>Nocturnix_Master_Services_Catalog_v1.xlsx | 01 - Master Services | row 167</x:v>
      </x:c>
      <x:c r="M128" s="6" t="str"/>
      <x:c r="N128" s="6" t="str"/>
      <x:c r="O128" s="6" t="str">
        <x:v>Pending</x:v>
      </x:c>
      <x:c r="P128" s="7" t="str">
        <x:f>IF(AND(OR(D128="Reviewer Complete",D128="Awaiting Second-Level Approval"),OR(F128="Reviewer Complete",F128="Awaiting Second-Level Approval")),"","Identity/manufacturer dependency unresolved")</x:f>
        <x:v>Identity/manufacturer dependency unresolved</x:v>
      </x:c>
      <x:c r="Q128" s="6" t="str">
        <x:v>Yes</x:v>
      </x:c>
      <x:c r="R128" s="7" t="str"/>
    </x:row>
    <x:row r="129">
      <x:c r="A129" s="6" t="str">
        <x:v>DEVX-0128</x:v>
      </x:c>
      <x:c r="B129" s="6" t="str">
        <x:v>SVC000128</x:v>
      </x:c>
      <x:c r="C129" s="6" t="str">
        <x:v>SIDX-0128</x:v>
      </x:c>
      <x:c r="D129" s="6" t="str">
        <x:f>IFERROR(XLOOKUP(C129,'Review Sequence'!C2:C1586,'Review Sequence'!J2:J1586),"Dependency not found")</x:f>
        <x:v>Not Started</x:v>
      </x:c>
      <x:c r="E129" s="6" t="str">
        <x:v>MFRX-0128</x:v>
      </x:c>
      <x:c r="F129" s="6" t="str">
        <x:f>IFERROR(XLOOKUP(E129,'Review Sequence'!C2:C1586,'Review Sequence'!J2:J1586),"Dependency not found")</x:f>
        <x:v>Not Started</x:v>
      </x:c>
      <x:c r="G129" s="6" t="str">
        <x:v>Galaxy S 5 Active Battery Replacement</x:v>
      </x:c>
      <x:c r="H129" s="6" t="str"/>
      <x:c r="I129" s="6" t="str"/>
      <x:c r="J129" s="6" t="str">
        <x:v>Unknown</x:v>
      </x:c>
      <x:c r="K129" s="6" t="str">
        <x:v>Unresolved</x:v>
      </x:c>
      <x:c r="L129" s="7" t="str">
        <x:v>Nocturnix_Master_Services_Catalog_v1.xlsx | 01 - Master Services | row 168</x:v>
      </x:c>
      <x:c r="M129" s="6" t="str"/>
      <x:c r="N129" s="6" t="str"/>
      <x:c r="O129" s="6" t="str">
        <x:v>Pending</x:v>
      </x:c>
      <x:c r="P129" s="7" t="str">
        <x:f>IF(AND(OR(D129="Reviewer Complete",D129="Awaiting Second-Level Approval"),OR(F129="Reviewer Complete",F129="Awaiting Second-Level Approval")),"","Identity/manufacturer dependency unresolved")</x:f>
        <x:v>Identity/manufacturer dependency unresolved</x:v>
      </x:c>
      <x:c r="Q129" s="6" t="str">
        <x:v>Yes</x:v>
      </x:c>
      <x:c r="R129" s="7" t="str"/>
    </x:row>
    <x:row r="130">
      <x:c r="A130" s="6" t="str">
        <x:v>DEVX-0129</x:v>
      </x:c>
      <x:c r="B130" s="6" t="str">
        <x:v>SVC000129</x:v>
      </x:c>
      <x:c r="C130" s="6" t="str">
        <x:v>SIDX-0129</x:v>
      </x:c>
      <x:c r="D130" s="6" t="str">
        <x:f>IFERROR(XLOOKUP(C130,'Review Sequence'!C2:C1586,'Review Sequence'!J2:J1586),"Dependency not found")</x:f>
        <x:v>Not Started</x:v>
      </x:c>
      <x:c r="E130" s="6" t="str">
        <x:v>MFRX-0129</x:v>
      </x:c>
      <x:c r="F130" s="6" t="str">
        <x:f>IFERROR(XLOOKUP(E130,'Review Sequence'!C2:C1586,'Review Sequence'!J2:J1586),"Dependency not found")</x:f>
        <x:v>Not Started</x:v>
      </x:c>
      <x:c r="G130" s="6" t="str">
        <x:v>Galaxy S 6 Edge Battery Replacement</x:v>
      </x:c>
      <x:c r="H130" s="6" t="str"/>
      <x:c r="I130" s="6" t="str"/>
      <x:c r="J130" s="6" t="str">
        <x:v>Unknown</x:v>
      </x:c>
      <x:c r="K130" s="6" t="str">
        <x:v>Unresolved</x:v>
      </x:c>
      <x:c r="L130" s="7" t="str">
        <x:v>Nocturnix_Master_Services_Catalog_v1.xlsx | 01 - Master Services | row 169</x:v>
      </x:c>
      <x:c r="M130" s="6" t="str"/>
      <x:c r="N130" s="6" t="str"/>
      <x:c r="O130" s="6" t="str">
        <x:v>Pending</x:v>
      </x:c>
      <x:c r="P130" s="7" t="str">
        <x:f>IF(AND(OR(D130="Reviewer Complete",D130="Awaiting Second-Level Approval"),OR(F130="Reviewer Complete",F130="Awaiting Second-Level Approval")),"","Identity/manufacturer dependency unresolved")</x:f>
        <x:v>Identity/manufacturer dependency unresolved</x:v>
      </x:c>
      <x:c r="Q130" s="6" t="str">
        <x:v>Yes</x:v>
      </x:c>
      <x:c r="R130" s="7" t="str"/>
    </x:row>
    <x:row r="131">
      <x:c r="A131" s="6" t="str">
        <x:v>DEVX-0130</x:v>
      </x:c>
      <x:c r="B131" s="6" t="str">
        <x:v>SVC000130</x:v>
      </x:c>
      <x:c r="C131" s="6" t="str">
        <x:v>SIDX-0130</x:v>
      </x:c>
      <x:c r="D131" s="6" t="str">
        <x:f>IFERROR(XLOOKUP(C131,'Review Sequence'!C2:C1586,'Review Sequence'!J2:J1586),"Dependency not found")</x:f>
        <x:v>Not Started</x:v>
      </x:c>
      <x:c r="E131" s="6" t="str">
        <x:v>MFRX-0130</x:v>
      </x:c>
      <x:c r="F131" s="6" t="str">
        <x:f>IFERROR(XLOOKUP(E131,'Review Sequence'!C2:C1586,'Review Sequence'!J2:J1586),"Dependency not found")</x:f>
        <x:v>Not Started</x:v>
      </x:c>
      <x:c r="G131" s="6" t="str">
        <x:v>Galaxy S 8 Plus Battery Replacement</x:v>
      </x:c>
      <x:c r="H131" s="6" t="str"/>
      <x:c r="I131" s="6" t="str"/>
      <x:c r="J131" s="6" t="str">
        <x:v>Unknown</x:v>
      </x:c>
      <x:c r="K131" s="6" t="str">
        <x:v>Unresolved</x:v>
      </x:c>
      <x:c r="L131" s="7" t="str">
        <x:v>Nocturnix_Master_Services_Catalog_v1.xlsx | 01 - Master Services | row 170</x:v>
      </x:c>
      <x:c r="M131" s="6" t="str"/>
      <x:c r="N131" s="6" t="str"/>
      <x:c r="O131" s="6" t="str">
        <x:v>Pending</x:v>
      </x:c>
      <x:c r="P131" s="7" t="str">
        <x:f>IF(AND(OR(D131="Reviewer Complete",D131="Awaiting Second-Level Approval"),OR(F131="Reviewer Complete",F131="Awaiting Second-Level Approval")),"","Identity/manufacturer dependency unresolved")</x:f>
        <x:v>Identity/manufacturer dependency unresolved</x:v>
      </x:c>
      <x:c r="Q131" s="6" t="str">
        <x:v>Yes</x:v>
      </x:c>
      <x:c r="R131" s="7" t="str"/>
    </x:row>
    <x:row r="132">
      <x:c r="A132" s="6" t="str">
        <x:v>DEVX-0131</x:v>
      </x:c>
      <x:c r="B132" s="6" t="str">
        <x:v>SVC000131</x:v>
      </x:c>
      <x:c r="C132" s="6" t="str">
        <x:v>SIDX-0131</x:v>
      </x:c>
      <x:c r="D132" s="6" t="str">
        <x:f>IFERROR(XLOOKUP(C132,'Review Sequence'!C2:C1586,'Review Sequence'!J2:J1586),"Dependency not found")</x:f>
        <x:v>Not Started</x:v>
      </x:c>
      <x:c r="E132" s="6" t="str">
        <x:v>MFRX-0131</x:v>
      </x:c>
      <x:c r="F132" s="6" t="str">
        <x:f>IFERROR(XLOOKUP(E132,'Review Sequence'!C2:C1586,'Review Sequence'!J2:J1586),"Dependency not found")</x:f>
        <x:v>Not Started</x:v>
      </x:c>
      <x:c r="G132" s="6" t="str">
        <x:v>Galaxy S 8 Active Battery Replacement</x:v>
      </x:c>
      <x:c r="H132" s="6" t="str"/>
      <x:c r="I132" s="6" t="str"/>
      <x:c r="J132" s="6" t="str">
        <x:v>Unknown</x:v>
      </x:c>
      <x:c r="K132" s="6" t="str">
        <x:v>Unresolved</x:v>
      </x:c>
      <x:c r="L132" s="7" t="str">
        <x:v>Nocturnix_Master_Services_Catalog_v1.xlsx | 01 - Master Services | row 171</x:v>
      </x:c>
      <x:c r="M132" s="6" t="str"/>
      <x:c r="N132" s="6" t="str"/>
      <x:c r="O132" s="6" t="str">
        <x:v>Pending</x:v>
      </x:c>
      <x:c r="P132" s="7" t="str">
        <x:f>IF(AND(OR(D132="Reviewer Complete",D132="Awaiting Second-Level Approval"),OR(F132="Reviewer Complete",F132="Awaiting Second-Level Approval")),"","Identity/manufacturer dependency unresolved")</x:f>
        <x:v>Identity/manufacturer dependency unresolved</x:v>
      </x:c>
      <x:c r="Q132" s="6" t="str">
        <x:v>Yes</x:v>
      </x:c>
      <x:c r="R132" s="7" t="str"/>
    </x:row>
    <x:row r="133">
      <x:c r="A133" s="6" t="str">
        <x:v>DEVX-0132</x:v>
      </x:c>
      <x:c r="B133" s="6" t="str">
        <x:v>SVC000132</x:v>
      </x:c>
      <x:c r="C133" s="6" t="str">
        <x:v>SIDX-0132</x:v>
      </x:c>
      <x:c r="D133" s="6" t="str">
        <x:f>IFERROR(XLOOKUP(C133,'Review Sequence'!C2:C1586,'Review Sequence'!J2:J1586),"Dependency not found")</x:f>
        <x:v>Not Started</x:v>
      </x:c>
      <x:c r="E133" s="6" t="str">
        <x:v>MFRX-0132</x:v>
      </x:c>
      <x:c r="F133" s="6" t="str">
        <x:f>IFERROR(XLOOKUP(E133,'Review Sequence'!C2:C1586,'Review Sequence'!J2:J1586),"Dependency not found")</x:f>
        <x:v>Not Started</x:v>
      </x:c>
      <x:c r="G133" s="6" t="str">
        <x:v>Galaxy S 9 Plus Battery Replacement</x:v>
      </x:c>
      <x:c r="H133" s="6" t="str"/>
      <x:c r="I133" s="6" t="str"/>
      <x:c r="J133" s="6" t="str">
        <x:v>Unknown</x:v>
      </x:c>
      <x:c r="K133" s="6" t="str">
        <x:v>Unresolved</x:v>
      </x:c>
      <x:c r="L133" s="7" t="str">
        <x:v>Nocturnix_Master_Services_Catalog_v1.xlsx | 01 - Master Services | row 172</x:v>
      </x:c>
      <x:c r="M133" s="6" t="str"/>
      <x:c r="N133" s="6" t="str"/>
      <x:c r="O133" s="6" t="str">
        <x:v>Pending</x:v>
      </x:c>
      <x:c r="P133" s="7" t="str">
        <x:f>IF(AND(OR(D133="Reviewer Complete",D133="Awaiting Second-Level Approval"),OR(F133="Reviewer Complete",F133="Awaiting Second-Level Approval")),"","Identity/manufacturer dependency unresolved")</x:f>
        <x:v>Identity/manufacturer dependency unresolved</x:v>
      </x:c>
      <x:c r="Q133" s="6" t="str">
        <x:v>Yes</x:v>
      </x:c>
      <x:c r="R133" s="7" t="str"/>
    </x:row>
    <x:row r="134">
      <x:c r="A134" s="6" t="str">
        <x:v>DEVX-0133</x:v>
      </x:c>
      <x:c r="B134" s="6" t="str">
        <x:v>SVC000133</x:v>
      </x:c>
      <x:c r="C134" s="6" t="str">
        <x:v>SIDX-0133</x:v>
      </x:c>
      <x:c r="D134" s="6" t="str">
        <x:f>IFERROR(XLOOKUP(C134,'Review Sequence'!C2:C1586,'Review Sequence'!J2:J1586),"Dependency not found")</x:f>
        <x:v>Not Started</x:v>
      </x:c>
      <x:c r="E134" s="6" t="str">
        <x:v>MFRX-0133</x:v>
      </x:c>
      <x:c r="F134" s="6" t="str">
        <x:f>IFERROR(XLOOKUP(E134,'Review Sequence'!C2:C1586,'Review Sequence'!J2:J1586),"Dependency not found")</x:f>
        <x:v>Not Started</x:v>
      </x:c>
      <x:c r="G134" s="6" t="str">
        <x:v>Galaxy S 20 Ultra Battery Replacement</x:v>
      </x:c>
      <x:c r="H134" s="6" t="str"/>
      <x:c r="I134" s="6" t="str"/>
      <x:c r="J134" s="6" t="str">
        <x:v>Unknown</x:v>
      </x:c>
      <x:c r="K134" s="6" t="str">
        <x:v>Unresolved</x:v>
      </x:c>
      <x:c r="L134" s="7" t="str">
        <x:v>Nocturnix_Master_Services_Catalog_v1.xlsx | 01 - Master Services | row 173</x:v>
      </x:c>
      <x:c r="M134" s="6" t="str"/>
      <x:c r="N134" s="6" t="str"/>
      <x:c r="O134" s="6" t="str">
        <x:v>Pending</x:v>
      </x:c>
      <x:c r="P134" s="7" t="str">
        <x:f>IF(AND(OR(D134="Reviewer Complete",D134="Awaiting Second-Level Approval"),OR(F134="Reviewer Complete",F134="Awaiting Second-Level Approval")),"","Identity/manufacturer dependency unresolved")</x:f>
        <x:v>Identity/manufacturer dependency unresolved</x:v>
      </x:c>
      <x:c r="Q134" s="6" t="str">
        <x:v>Yes</x:v>
      </x:c>
      <x:c r="R134" s="7" t="str"/>
    </x:row>
    <x:row r="135">
      <x:c r="A135" s="6" t="str">
        <x:v>DEVX-0134</x:v>
      </x:c>
      <x:c r="B135" s="6" t="str">
        <x:v>SVC000134</x:v>
      </x:c>
      <x:c r="C135" s="6" t="str">
        <x:v>SIDX-0134</x:v>
      </x:c>
      <x:c r="D135" s="6" t="str">
        <x:f>IFERROR(XLOOKUP(C135,'Review Sequence'!C2:C1586,'Review Sequence'!J2:J1586),"Dependency not found")</x:f>
        <x:v>Not Started</x:v>
      </x:c>
      <x:c r="E135" s="6" t="str">
        <x:v>MFRX-0134</x:v>
      </x:c>
      <x:c r="F135" s="6" t="str">
        <x:f>IFERROR(XLOOKUP(E135,'Review Sequence'!C2:C1586,'Review Sequence'!J2:J1586),"Dependency not found")</x:f>
        <x:v>Not Started</x:v>
      </x:c>
      <x:c r="G135" s="6" t="str">
        <x:v>Galaxy S 5 Neo Battery Replacement</x:v>
      </x:c>
      <x:c r="H135" s="6" t="str"/>
      <x:c r="I135" s="6" t="str"/>
      <x:c r="J135" s="6" t="str">
        <x:v>Unknown</x:v>
      </x:c>
      <x:c r="K135" s="6" t="str">
        <x:v>Unresolved</x:v>
      </x:c>
      <x:c r="L135" s="7" t="str">
        <x:v>Nocturnix_Master_Services_Catalog_v1.xlsx | 01 - Master Services | row 174</x:v>
      </x:c>
      <x:c r="M135" s="6" t="str"/>
      <x:c r="N135" s="6" t="str"/>
      <x:c r="O135" s="6" t="str">
        <x:v>Pending</x:v>
      </x:c>
      <x:c r="P135" s="7" t="str">
        <x:f>IF(AND(OR(D135="Reviewer Complete",D135="Awaiting Second-Level Approval"),OR(F135="Reviewer Complete",F135="Awaiting Second-Level Approval")),"","Identity/manufacturer dependency unresolved")</x:f>
        <x:v>Identity/manufacturer dependency unresolved</x:v>
      </x:c>
      <x:c r="Q135" s="6" t="str">
        <x:v>Yes</x:v>
      </x:c>
      <x:c r="R135" s="7" t="str"/>
    </x:row>
    <x:row r="136">
      <x:c r="A136" s="6" t="str">
        <x:v>DEVX-0135</x:v>
      </x:c>
      <x:c r="B136" s="6" t="str">
        <x:v>SVC000135</x:v>
      </x:c>
      <x:c r="C136" s="6" t="str">
        <x:v>SIDX-0135</x:v>
      </x:c>
      <x:c r="D136" s="6" t="str">
        <x:f>IFERROR(XLOOKUP(C136,'Review Sequence'!C2:C1586,'Review Sequence'!J2:J1586),"Dependency not found")</x:f>
        <x:v>Not Started</x:v>
      </x:c>
      <x:c r="E136" s="6" t="str">
        <x:v>MFRX-0135</x:v>
      </x:c>
      <x:c r="F136" s="6" t="str">
        <x:f>IFERROR(XLOOKUP(E136,'Review Sequence'!C2:C1586,'Review Sequence'!J2:J1586),"Dependency not found")</x:f>
        <x:v>Not Started</x:v>
      </x:c>
      <x:c r="G136" s="6" t="str">
        <x:v>Galaxy S 4 Mini Battery Replacement</x:v>
      </x:c>
      <x:c r="H136" s="6" t="str"/>
      <x:c r="I136" s="6" t="str"/>
      <x:c r="J136" s="6" t="str">
        <x:v>Unknown</x:v>
      </x:c>
      <x:c r="K136" s="6" t="str">
        <x:v>Unresolved</x:v>
      </x:c>
      <x:c r="L136" s="7" t="str">
        <x:v>Nocturnix_Master_Services_Catalog_v1.xlsx | 01 - Master Services | row 175</x:v>
      </x:c>
      <x:c r="M136" s="6" t="str"/>
      <x:c r="N136" s="6" t="str"/>
      <x:c r="O136" s="6" t="str">
        <x:v>Pending</x:v>
      </x:c>
      <x:c r="P136" s="7" t="str">
        <x:f>IF(AND(OR(D136="Reviewer Complete",D136="Awaiting Second-Level Approval"),OR(F136="Reviewer Complete",F136="Awaiting Second-Level Approval")),"","Identity/manufacturer dependency unresolved")</x:f>
        <x:v>Identity/manufacturer dependency unresolved</x:v>
      </x:c>
      <x:c r="Q136" s="6" t="str">
        <x:v>Yes</x:v>
      </x:c>
      <x:c r="R136" s="7" t="str"/>
    </x:row>
    <x:row r="137">
      <x:c r="A137" s="6" t="str">
        <x:v>DEVX-0136</x:v>
      </x:c>
      <x:c r="B137" s="6" t="str">
        <x:v>SVC000136</x:v>
      </x:c>
      <x:c r="C137" s="6" t="str">
        <x:v>SIDX-0136</x:v>
      </x:c>
      <x:c r="D137" s="6" t="str">
        <x:f>IFERROR(XLOOKUP(C137,'Review Sequence'!C2:C1586,'Review Sequence'!J2:J1586),"Dependency not found")</x:f>
        <x:v>Not Started</x:v>
      </x:c>
      <x:c r="E137" s="6" t="str">
        <x:v>MFRX-0136</x:v>
      </x:c>
      <x:c r="F137" s="6" t="str">
        <x:f>IFERROR(XLOOKUP(E137,'Review Sequence'!C2:C1586,'Review Sequence'!J2:J1586),"Dependency not found")</x:f>
        <x:v>Not Started</x:v>
      </x:c>
      <x:c r="G137" s="6" t="str">
        <x:v>Galaxy S 23 Ultra Battery Replacement</x:v>
      </x:c>
      <x:c r="H137" s="6" t="str"/>
      <x:c r="I137" s="6" t="str"/>
      <x:c r="J137" s="6" t="str">
        <x:v>Unknown</x:v>
      </x:c>
      <x:c r="K137" s="6" t="str">
        <x:v>Unresolved</x:v>
      </x:c>
      <x:c r="L137" s="7" t="str">
        <x:v>Nocturnix_Master_Services_Catalog_v1.xlsx | 01 - Master Services | row 176</x:v>
      </x:c>
      <x:c r="M137" s="6" t="str"/>
      <x:c r="N137" s="6" t="str"/>
      <x:c r="O137" s="6" t="str">
        <x:v>Pending</x:v>
      </x:c>
      <x:c r="P137" s="7" t="str">
        <x:f>IF(AND(OR(D137="Reviewer Complete",D137="Awaiting Second-Level Approval"),OR(F137="Reviewer Complete",F137="Awaiting Second-Level Approval")),"","Identity/manufacturer dependency unresolved")</x:f>
        <x:v>Identity/manufacturer dependency unresolved</x:v>
      </x:c>
      <x:c r="Q137" s="6" t="str">
        <x:v>Yes</x:v>
      </x:c>
      <x:c r="R137" s="7" t="str"/>
    </x:row>
    <x:row r="138">
      <x:c r="A138" s="6" t="str">
        <x:v>DEVX-0137</x:v>
      </x:c>
      <x:c r="B138" s="6" t="str">
        <x:v>SVC000137</x:v>
      </x:c>
      <x:c r="C138" s="6" t="str">
        <x:v>SIDX-0137</x:v>
      </x:c>
      <x:c r="D138" s="6" t="str">
        <x:f>IFERROR(XLOOKUP(C138,'Review Sequence'!C2:C1586,'Review Sequence'!J2:J1586),"Dependency not found")</x:f>
        <x:v>Not Started</x:v>
      </x:c>
      <x:c r="E138" s="6" t="str">
        <x:v>MFRX-0137</x:v>
      </x:c>
      <x:c r="F138" s="6" t="str">
        <x:f>IFERROR(XLOOKUP(E138,'Review Sequence'!C2:C1586,'Review Sequence'!J2:J1586),"Dependency not found")</x:f>
        <x:v>Not Started</x:v>
      </x:c>
      <x:c r="G138" s="6" t="str">
        <x:v>Galaxy S 23 FE Battery Replacement</x:v>
      </x:c>
      <x:c r="H138" s="6" t="str"/>
      <x:c r="I138" s="6" t="str"/>
      <x:c r="J138" s="6" t="str">
        <x:v>Unknown</x:v>
      </x:c>
      <x:c r="K138" s="6" t="str">
        <x:v>Unresolved</x:v>
      </x:c>
      <x:c r="L138" s="7" t="str">
        <x:v>Nocturnix_Master_Services_Catalog_v1.xlsx | 01 - Master Services | row 177</x:v>
      </x:c>
      <x:c r="M138" s="6" t="str"/>
      <x:c r="N138" s="6" t="str"/>
      <x:c r="O138" s="6" t="str">
        <x:v>Pending</x:v>
      </x:c>
      <x:c r="P138" s="7" t="str">
        <x:f>IF(AND(OR(D138="Reviewer Complete",D138="Awaiting Second-Level Approval"),OR(F138="Reviewer Complete",F138="Awaiting Second-Level Approval")),"","Identity/manufacturer dependency unresolved")</x:f>
        <x:v>Identity/manufacturer dependency unresolved</x:v>
      </x:c>
      <x:c r="Q138" s="6" t="str">
        <x:v>Yes</x:v>
      </x:c>
      <x:c r="R138" s="7" t="str"/>
    </x:row>
    <x:row r="139">
      <x:c r="A139" s="6" t="str">
        <x:v>DEVX-0138</x:v>
      </x:c>
      <x:c r="B139" s="6" t="str">
        <x:v>SVC000138</x:v>
      </x:c>
      <x:c r="C139" s="6" t="str">
        <x:v>SIDX-0138</x:v>
      </x:c>
      <x:c r="D139" s="6" t="str">
        <x:f>IFERROR(XLOOKUP(C139,'Review Sequence'!C2:C1586,'Review Sequence'!J2:J1586),"Dependency not found")</x:f>
        <x:v>Not Started</x:v>
      </x:c>
      <x:c r="E139" s="6" t="str">
        <x:v>MFRX-0138</x:v>
      </x:c>
      <x:c r="F139" s="6" t="str">
        <x:f>IFERROR(XLOOKUP(E139,'Review Sequence'!C2:C1586,'Review Sequence'!J2:J1586),"Dependency not found")</x:f>
        <x:v>Not Started</x:v>
      </x:c>
      <x:c r="G139" s="6" t="str">
        <x:v>Galaxy S 25 Battery Replacement</x:v>
      </x:c>
      <x:c r="H139" s="6" t="str"/>
      <x:c r="I139" s="6" t="str"/>
      <x:c r="J139" s="6" t="str">
        <x:v>Unknown</x:v>
      </x:c>
      <x:c r="K139" s="6" t="str">
        <x:v>Unresolved</x:v>
      </x:c>
      <x:c r="L139" s="7" t="str">
        <x:v>Nocturnix_Master_Services_Catalog_v1.xlsx | 01 - Master Services | row 178</x:v>
      </x:c>
      <x:c r="M139" s="6" t="str"/>
      <x:c r="N139" s="6" t="str"/>
      <x:c r="O139" s="6" t="str">
        <x:v>Pending</x:v>
      </x:c>
      <x:c r="P139" s="7" t="str">
        <x:f>IF(AND(OR(D139="Reviewer Complete",D139="Awaiting Second-Level Approval"),OR(F139="Reviewer Complete",F139="Awaiting Second-Level Approval")),"","Identity/manufacturer dependency unresolved")</x:f>
        <x:v>Identity/manufacturer dependency unresolved</x:v>
      </x:c>
      <x:c r="Q139" s="6" t="str">
        <x:v>Yes</x:v>
      </x:c>
      <x:c r="R139" s="7" t="str"/>
    </x:row>
    <x:row r="140">
      <x:c r="A140" s="6" t="str">
        <x:v>DEVX-0139</x:v>
      </x:c>
      <x:c r="B140" s="6" t="str">
        <x:v>SVC000139</x:v>
      </x:c>
      <x:c r="C140" s="6" t="str">
        <x:v>SIDX-0139</x:v>
      </x:c>
      <x:c r="D140" s="6" t="str">
        <x:f>IFERROR(XLOOKUP(C140,'Review Sequence'!C2:C1586,'Review Sequence'!J2:J1586),"Dependency not found")</x:f>
        <x:v>Not Started</x:v>
      </x:c>
      <x:c r="E140" s="6" t="str">
        <x:v>MFRX-0139</x:v>
      </x:c>
      <x:c r="F140" s="6" t="str">
        <x:f>IFERROR(XLOOKUP(E140,'Review Sequence'!C2:C1586,'Review Sequence'!J2:J1586),"Dependency not found")</x:f>
        <x:v>Not Started</x:v>
      </x:c>
      <x:c r="G140" s="6" t="str">
        <x:v>Galaxy S 25 Edge Battery Replacement</x:v>
      </x:c>
      <x:c r="H140" s="6" t="str"/>
      <x:c r="I140" s="6" t="str"/>
      <x:c r="J140" s="6" t="str">
        <x:v>Unknown</x:v>
      </x:c>
      <x:c r="K140" s="6" t="str">
        <x:v>Unresolved</x:v>
      </x:c>
      <x:c r="L140" s="7" t="str">
        <x:v>Nocturnix_Master_Services_Catalog_v1.xlsx | 01 - Master Services | row 179</x:v>
      </x:c>
      <x:c r="M140" s="6" t="str"/>
      <x:c r="N140" s="6" t="str"/>
      <x:c r="O140" s="6" t="str">
        <x:v>Pending</x:v>
      </x:c>
      <x:c r="P140" s="7" t="str">
        <x:f>IF(AND(OR(D140="Reviewer Complete",D140="Awaiting Second-Level Approval"),OR(F140="Reviewer Complete",F140="Awaiting Second-Level Approval")),"","Identity/manufacturer dependency unresolved")</x:f>
        <x:v>Identity/manufacturer dependency unresolved</x:v>
      </x:c>
      <x:c r="Q140" s="6" t="str">
        <x:v>Yes</x:v>
      </x:c>
      <x:c r="R140" s="7" t="str"/>
    </x:row>
    <x:row r="141">
      <x:c r="A141" s="6" t="str">
        <x:v>DEVX-0140</x:v>
      </x:c>
      <x:c r="B141" s="6" t="str">
        <x:v>SVC000140</x:v>
      </x:c>
      <x:c r="C141" s="6" t="str">
        <x:v>SIDX-0140</x:v>
      </x:c>
      <x:c r="D141" s="6" t="str">
        <x:f>IFERROR(XLOOKUP(C141,'Review Sequence'!C2:C1586,'Review Sequence'!J2:J1586),"Dependency not found")</x:f>
        <x:v>Not Started</x:v>
      </x:c>
      <x:c r="E141" s="6" t="str">
        <x:v>MFRX-0140</x:v>
      </x:c>
      <x:c r="F141" s="6" t="str">
        <x:f>IFERROR(XLOOKUP(E141,'Review Sequence'!C2:C1586,'Review Sequence'!J2:J1586),"Dependency not found")</x:f>
        <x:v>Not Started</x:v>
      </x:c>
      <x:c r="G141" s="6" t="str">
        <x:v>iPhone 14 Plus Battery Replacement</x:v>
      </x:c>
      <x:c r="H141" s="6" t="str"/>
      <x:c r="I141" s="6" t="str"/>
      <x:c r="J141" s="6" t="str">
        <x:v>Unknown</x:v>
      </x:c>
      <x:c r="K141" s="6" t="str">
        <x:v>Unresolved</x:v>
      </x:c>
      <x:c r="L141" s="7" t="str">
        <x:v>Nocturnix_Master_Services_Catalog_v1.xlsx | 01 - Master Services | row 180</x:v>
      </x:c>
      <x:c r="M141" s="6" t="str"/>
      <x:c r="N141" s="6" t="str"/>
      <x:c r="O141" s="6" t="str">
        <x:v>Pending</x:v>
      </x:c>
      <x:c r="P141" s="7" t="str">
        <x:f>IF(AND(OR(D141="Reviewer Complete",D141="Awaiting Second-Level Approval"),OR(F141="Reviewer Complete",F141="Awaiting Second-Level Approval")),"","Identity/manufacturer dependency unresolved")</x:f>
        <x:v>Identity/manufacturer dependency unresolved</x:v>
      </x:c>
      <x:c r="Q141" s="6" t="str">
        <x:v>Yes</x:v>
      </x:c>
      <x:c r="R141" s="7" t="str"/>
    </x:row>
    <x:row r="142">
      <x:c r="A142" s="6" t="str">
        <x:v>DEVX-0141</x:v>
      </x:c>
      <x:c r="B142" s="6" t="str">
        <x:v>SVC000141</x:v>
      </x:c>
      <x:c r="C142" s="6" t="str">
        <x:v>SIDX-0141</x:v>
      </x:c>
      <x:c r="D142" s="6" t="str">
        <x:f>IFERROR(XLOOKUP(C142,'Review Sequence'!C2:C1586,'Review Sequence'!J2:J1586),"Dependency not found")</x:f>
        <x:v>Not Started</x:v>
      </x:c>
      <x:c r="E142" s="6" t="str">
        <x:v>MFRX-0141</x:v>
      </x:c>
      <x:c r="F142" s="6" t="str">
        <x:f>IFERROR(XLOOKUP(E142,'Review Sequence'!C2:C1586,'Review Sequence'!J2:J1586),"Dependency not found")</x:f>
        <x:v>Not Started</x:v>
      </x:c>
      <x:c r="G142" s="6" t="str">
        <x:v>iPhone 13 Pro Battery Replacement</x:v>
      </x:c>
      <x:c r="H142" s="6" t="str"/>
      <x:c r="I142" s="6" t="str"/>
      <x:c r="J142" s="6" t="str">
        <x:v>Unknown</x:v>
      </x:c>
      <x:c r="K142" s="6" t="str">
        <x:v>Unresolved</x:v>
      </x:c>
      <x:c r="L142" s="7" t="str">
        <x:v>Nocturnix_Master_Services_Catalog_v1.xlsx | 01 - Master Services | row 181</x:v>
      </x:c>
      <x:c r="M142" s="6" t="str"/>
      <x:c r="N142" s="6" t="str"/>
      <x:c r="O142" s="6" t="str">
        <x:v>Pending</x:v>
      </x:c>
      <x:c r="P142" s="7" t="str">
        <x:f>IF(AND(OR(D142="Reviewer Complete",D142="Awaiting Second-Level Approval"),OR(F142="Reviewer Complete",F142="Awaiting Second-Level Approval")),"","Identity/manufacturer dependency unresolved")</x:f>
        <x:v>Identity/manufacturer dependency unresolved</x:v>
      </x:c>
      <x:c r="Q142" s="6" t="str">
        <x:v>Yes</x:v>
      </x:c>
      <x:c r="R142" s="7" t="str"/>
    </x:row>
    <x:row r="143">
      <x:c r="A143" s="6" t="str">
        <x:v>DEVX-0142</x:v>
      </x:c>
      <x:c r="B143" s="6" t="str">
        <x:v>SVC000142</x:v>
      </x:c>
      <x:c r="C143" s="6" t="str">
        <x:v>SIDX-0142</x:v>
      </x:c>
      <x:c r="D143" s="6" t="str">
        <x:f>IFERROR(XLOOKUP(C143,'Review Sequence'!C2:C1586,'Review Sequence'!J2:J1586),"Dependency not found")</x:f>
        <x:v>Not Started</x:v>
      </x:c>
      <x:c r="E143" s="6" t="str">
        <x:v>MFRX-0142</x:v>
      </x:c>
      <x:c r="F143" s="6" t="str">
        <x:f>IFERROR(XLOOKUP(E143,'Review Sequence'!C2:C1586,'Review Sequence'!J2:J1586),"Dependency not found")</x:f>
        <x:v>Not Started</x:v>
      </x:c>
      <x:c r="G143" s="6" t="str">
        <x:v>iPhone 13 Mini Battery Replacement</x:v>
      </x:c>
      <x:c r="H143" s="6" t="str"/>
      <x:c r="I143" s="6" t="str"/>
      <x:c r="J143" s="6" t="str">
        <x:v>Unknown</x:v>
      </x:c>
      <x:c r="K143" s="6" t="str">
        <x:v>Unresolved</x:v>
      </x:c>
      <x:c r="L143" s="7" t="str">
        <x:v>Nocturnix_Master_Services_Catalog_v1.xlsx | 01 - Master Services | row 182</x:v>
      </x:c>
      <x:c r="M143" s="6" t="str"/>
      <x:c r="N143" s="6" t="str"/>
      <x:c r="O143" s="6" t="str">
        <x:v>Pending</x:v>
      </x:c>
      <x:c r="P143" s="7" t="str">
        <x:f>IF(AND(OR(D143="Reviewer Complete",D143="Awaiting Second-Level Approval"),OR(F143="Reviewer Complete",F143="Awaiting Second-Level Approval")),"","Identity/manufacturer dependency unresolved")</x:f>
        <x:v>Identity/manufacturer dependency unresolved</x:v>
      </x:c>
      <x:c r="Q143" s="6" t="str">
        <x:v>Yes</x:v>
      </x:c>
      <x:c r="R143" s="7" t="str"/>
    </x:row>
    <x:row r="144">
      <x:c r="A144" s="6" t="str">
        <x:v>DEVX-0143</x:v>
      </x:c>
      <x:c r="B144" s="6" t="str">
        <x:v>SVC000143</x:v>
      </x:c>
      <x:c r="C144" s="6" t="str">
        <x:v>SIDX-0143</x:v>
      </x:c>
      <x:c r="D144" s="6" t="str">
        <x:f>IFERROR(XLOOKUP(C144,'Review Sequence'!C2:C1586,'Review Sequence'!J2:J1586),"Dependency not found")</x:f>
        <x:v>Not Started</x:v>
      </x:c>
      <x:c r="E144" s="6" t="str">
        <x:v>MFRX-0143</x:v>
      </x:c>
      <x:c r="F144" s="6" t="str">
        <x:f>IFERROR(XLOOKUP(E144,'Review Sequence'!C2:C1586,'Review Sequence'!J2:J1586),"Dependency not found")</x:f>
        <x:v>Not Started</x:v>
      </x:c>
      <x:c r="G144" s="6" t="str">
        <x:v>iPhone 13 Battery Replacement</x:v>
      </x:c>
      <x:c r="H144" s="6" t="str"/>
      <x:c r="I144" s="6" t="str"/>
      <x:c r="J144" s="6" t="str">
        <x:v>Unknown</x:v>
      </x:c>
      <x:c r="K144" s="6" t="str">
        <x:v>Unresolved</x:v>
      </x:c>
      <x:c r="L144" s="7" t="str">
        <x:v>Nocturnix_Master_Services_Catalog_v1.xlsx | 01 - Master Services | row 183</x:v>
      </x:c>
      <x:c r="M144" s="6" t="str"/>
      <x:c r="N144" s="6" t="str"/>
      <x:c r="O144" s="6" t="str">
        <x:v>Pending</x:v>
      </x:c>
      <x:c r="P144" s="7" t="str">
        <x:f>IF(AND(OR(D144="Reviewer Complete",D144="Awaiting Second-Level Approval"),OR(F144="Reviewer Complete",F144="Awaiting Second-Level Approval")),"","Identity/manufacturer dependency unresolved")</x:f>
        <x:v>Identity/manufacturer dependency unresolved</x:v>
      </x:c>
      <x:c r="Q144" s="6" t="str">
        <x:v>Yes</x:v>
      </x:c>
      <x:c r="R144" s="7" t="str"/>
    </x:row>
    <x:row r="145">
      <x:c r="A145" s="6" t="str">
        <x:v>DEVX-0144</x:v>
      </x:c>
      <x:c r="B145" s="6" t="str">
        <x:v>SVC000144</x:v>
      </x:c>
      <x:c r="C145" s="6" t="str">
        <x:v>SIDX-0144</x:v>
      </x:c>
      <x:c r="D145" s="6" t="str">
        <x:f>IFERROR(XLOOKUP(C145,'Review Sequence'!C2:C1586,'Review Sequence'!J2:J1586),"Dependency not found")</x:f>
        <x:v>Not Started</x:v>
      </x:c>
      <x:c r="E145" s="6" t="str">
        <x:v>MFRX-0144</x:v>
      </x:c>
      <x:c r="F145" s="6" t="str">
        <x:f>IFERROR(XLOOKUP(E145,'Review Sequence'!C2:C1586,'Review Sequence'!J2:J1586),"Dependency not found")</x:f>
        <x:v>Not Started</x:v>
      </x:c>
      <x:c r="G145" s="6" t="str">
        <x:v>iPhone 12 Battery Replacement</x:v>
      </x:c>
      <x:c r="H145" s="6" t="str"/>
      <x:c r="I145" s="6" t="str"/>
      <x:c r="J145" s="6" t="str">
        <x:v>Unknown</x:v>
      </x:c>
      <x:c r="K145" s="6" t="str">
        <x:v>Unresolved</x:v>
      </x:c>
      <x:c r="L145" s="7" t="str">
        <x:v>Nocturnix_Master_Services_Catalog_v1.xlsx | 01 - Master Services | row 184</x:v>
      </x:c>
      <x:c r="M145" s="6" t="str"/>
      <x:c r="N145" s="6" t="str"/>
      <x:c r="O145" s="6" t="str">
        <x:v>Pending</x:v>
      </x:c>
      <x:c r="P145" s="7" t="str">
        <x:f>IF(AND(OR(D145="Reviewer Complete",D145="Awaiting Second-Level Approval"),OR(F145="Reviewer Complete",F145="Awaiting Second-Level Approval")),"","Identity/manufacturer dependency unresolved")</x:f>
        <x:v>Identity/manufacturer dependency unresolved</x:v>
      </x:c>
      <x:c r="Q145" s="6" t="str">
        <x:v>Yes</x:v>
      </x:c>
      <x:c r="R145" s="7" t="str"/>
    </x:row>
    <x:row r="146">
      <x:c r="A146" s="6" t="str">
        <x:v>DEVX-0145</x:v>
      </x:c>
      <x:c r="B146" s="6" t="str">
        <x:v>SVC000145</x:v>
      </x:c>
      <x:c r="C146" s="6" t="str">
        <x:v>SIDX-0145</x:v>
      </x:c>
      <x:c r="D146" s="6" t="str">
        <x:f>IFERROR(XLOOKUP(C146,'Review Sequence'!C2:C1586,'Review Sequence'!J2:J1586),"Dependency not found")</x:f>
        <x:v>Not Started</x:v>
      </x:c>
      <x:c r="E146" s="6" t="str">
        <x:v>MFRX-0145</x:v>
      </x:c>
      <x:c r="F146" s="6" t="str">
        <x:f>IFERROR(XLOOKUP(E146,'Review Sequence'!C2:C1586,'Review Sequence'!J2:J1586),"Dependency not found")</x:f>
        <x:v>Not Started</x:v>
      </x:c>
      <x:c r="G146" s="6" t="str">
        <x:v>iPhone 12 Pro Max Battery Replacement</x:v>
      </x:c>
      <x:c r="H146" s="6" t="str"/>
      <x:c r="I146" s="6" t="str"/>
      <x:c r="J146" s="6" t="str">
        <x:v>Unknown</x:v>
      </x:c>
      <x:c r="K146" s="6" t="str">
        <x:v>Unresolved</x:v>
      </x:c>
      <x:c r="L146" s="7" t="str">
        <x:v>Nocturnix_Master_Services_Catalog_v1.xlsx | 01 - Master Services | row 185</x:v>
      </x:c>
      <x:c r="M146" s="6" t="str"/>
      <x:c r="N146" s="6" t="str"/>
      <x:c r="O146" s="6" t="str">
        <x:v>Pending</x:v>
      </x:c>
      <x:c r="P146" s="7" t="str">
        <x:f>IF(AND(OR(D146="Reviewer Complete",D146="Awaiting Second-Level Approval"),OR(F146="Reviewer Complete",F146="Awaiting Second-Level Approval")),"","Identity/manufacturer dependency unresolved")</x:f>
        <x:v>Identity/manufacturer dependency unresolved</x:v>
      </x:c>
      <x:c r="Q146" s="6" t="str">
        <x:v>Yes</x:v>
      </x:c>
      <x:c r="R146" s="7" t="str"/>
    </x:row>
    <x:row r="147">
      <x:c r="A147" s="6" t="str">
        <x:v>DEVX-0146</x:v>
      </x:c>
      <x:c r="B147" s="6" t="str">
        <x:v>SVC000146</x:v>
      </x:c>
      <x:c r="C147" s="6" t="str">
        <x:v>SIDX-0146</x:v>
      </x:c>
      <x:c r="D147" s="6" t="str">
        <x:f>IFERROR(XLOOKUP(C147,'Review Sequence'!C2:C1586,'Review Sequence'!J2:J1586),"Dependency not found")</x:f>
        <x:v>Not Started</x:v>
      </x:c>
      <x:c r="E147" s="6" t="str">
        <x:v>MFRX-0146</x:v>
      </x:c>
      <x:c r="F147" s="6" t="str">
        <x:f>IFERROR(XLOOKUP(E147,'Review Sequence'!C2:C1586,'Review Sequence'!J2:J1586),"Dependency not found")</x:f>
        <x:v>Not Started</x:v>
      </x:c>
      <x:c r="G147" s="6" t="str">
        <x:v>iPhone 12 Pro Battery Replacement</x:v>
      </x:c>
      <x:c r="H147" s="6" t="str"/>
      <x:c r="I147" s="6" t="str"/>
      <x:c r="J147" s="6" t="str">
        <x:v>Unknown</x:v>
      </x:c>
      <x:c r="K147" s="6" t="str">
        <x:v>Unresolved</x:v>
      </x:c>
      <x:c r="L147" s="7" t="str">
        <x:v>Nocturnix_Master_Services_Catalog_v1.xlsx | 01 - Master Services | row 186</x:v>
      </x:c>
      <x:c r="M147" s="6" t="str"/>
      <x:c r="N147" s="6" t="str"/>
      <x:c r="O147" s="6" t="str">
        <x:v>Pending</x:v>
      </x:c>
      <x:c r="P147" s="7" t="str">
        <x:f>IF(AND(OR(D147="Reviewer Complete",D147="Awaiting Second-Level Approval"),OR(F147="Reviewer Complete",F147="Awaiting Second-Level Approval")),"","Identity/manufacturer dependency unresolved")</x:f>
        <x:v>Identity/manufacturer dependency unresolved</x:v>
      </x:c>
      <x:c r="Q147" s="6" t="str">
        <x:v>Yes</x:v>
      </x:c>
      <x:c r="R147" s="7" t="str"/>
    </x:row>
    <x:row r="148">
      <x:c r="A148" s="6" t="str">
        <x:v>DEVX-0147</x:v>
      </x:c>
      <x:c r="B148" s="6" t="str">
        <x:v>SVC000147</x:v>
      </x:c>
      <x:c r="C148" s="6" t="str">
        <x:v>SIDX-0147</x:v>
      </x:c>
      <x:c r="D148" s="6" t="str">
        <x:f>IFERROR(XLOOKUP(C148,'Review Sequence'!C2:C1586,'Review Sequence'!J2:J1586),"Dependency not found")</x:f>
        <x:v>Not Started</x:v>
      </x:c>
      <x:c r="E148" s="6" t="str">
        <x:v>MFRX-0147</x:v>
      </x:c>
      <x:c r="F148" s="6" t="str">
        <x:f>IFERROR(XLOOKUP(E148,'Review Sequence'!C2:C1586,'Review Sequence'!J2:J1586),"Dependency not found")</x:f>
        <x:v>Not Started</x:v>
      </x:c>
      <x:c r="G148" s="6" t="str">
        <x:v>iPhone 13 Pro Max Battery Replacement</x:v>
      </x:c>
      <x:c r="H148" s="6" t="str"/>
      <x:c r="I148" s="6" t="str"/>
      <x:c r="J148" s="6" t="str">
        <x:v>Unknown</x:v>
      </x:c>
      <x:c r="K148" s="6" t="str">
        <x:v>Unresolved</x:v>
      </x:c>
      <x:c r="L148" s="7" t="str">
        <x:v>Nocturnix_Master_Services_Catalog_v1.xlsx | 01 - Master Services | row 187</x:v>
      </x:c>
      <x:c r="M148" s="6" t="str"/>
      <x:c r="N148" s="6" t="str"/>
      <x:c r="O148" s="6" t="str">
        <x:v>Pending</x:v>
      </x:c>
      <x:c r="P148" s="7" t="str">
        <x:f>IF(AND(OR(D148="Reviewer Complete",D148="Awaiting Second-Level Approval"),OR(F148="Reviewer Complete",F148="Awaiting Second-Level Approval")),"","Identity/manufacturer dependency unresolved")</x:f>
        <x:v>Identity/manufacturer dependency unresolved</x:v>
      </x:c>
      <x:c r="Q148" s="6" t="str">
        <x:v>Yes</x:v>
      </x:c>
      <x:c r="R148" s="7" t="str"/>
    </x:row>
    <x:row r="149">
      <x:c r="A149" s="6" t="str">
        <x:v>DEVX-0148</x:v>
      </x:c>
      <x:c r="B149" s="6" t="str">
        <x:v>SVC000148</x:v>
      </x:c>
      <x:c r="C149" s="6" t="str">
        <x:v>SIDX-0148</x:v>
      </x:c>
      <x:c r="D149" s="6" t="str">
        <x:f>IFERROR(XLOOKUP(C149,'Review Sequence'!C2:C1586,'Review Sequence'!J2:J1586),"Dependency not found")</x:f>
        <x:v>Not Started</x:v>
      </x:c>
      <x:c r="E149" s="6" t="str">
        <x:v>MFRX-0148</x:v>
      </x:c>
      <x:c r="F149" s="6" t="str">
        <x:f>IFERROR(XLOOKUP(E149,'Review Sequence'!C2:C1586,'Review Sequence'!J2:J1586),"Dependency not found")</x:f>
        <x:v>Not Started</x:v>
      </x:c>
      <x:c r="G149" s="6" t="str">
        <x:v>iPhone 12 Mini Battery Replacement</x:v>
      </x:c>
      <x:c r="H149" s="6" t="str"/>
      <x:c r="I149" s="6" t="str"/>
      <x:c r="J149" s="6" t="str">
        <x:v>Unknown</x:v>
      </x:c>
      <x:c r="K149" s="6" t="str">
        <x:v>Unresolved</x:v>
      </x:c>
      <x:c r="L149" s="7" t="str">
        <x:v>Nocturnix_Master_Services_Catalog_v1.xlsx | 01 - Master Services | row 188</x:v>
      </x:c>
      <x:c r="M149" s="6" t="str"/>
      <x:c r="N149" s="6" t="str"/>
      <x:c r="O149" s="6" t="str">
        <x:v>Pending</x:v>
      </x:c>
      <x:c r="P149" s="7" t="str">
        <x:f>IF(AND(OR(D149="Reviewer Complete",D149="Awaiting Second-Level Approval"),OR(F149="Reviewer Complete",F149="Awaiting Second-Level Approval")),"","Identity/manufacturer dependency unresolved")</x:f>
        <x:v>Identity/manufacturer dependency unresolved</x:v>
      </x:c>
      <x:c r="Q149" s="6" t="str">
        <x:v>Yes</x:v>
      </x:c>
      <x:c r="R149" s="7" t="str"/>
    </x:row>
    <x:row r="150">
      <x:c r="A150" s="6" t="str">
        <x:v>DEVX-0149</x:v>
      </x:c>
      <x:c r="B150" s="6" t="str">
        <x:v>SVC000149</x:v>
      </x:c>
      <x:c r="C150" s="6" t="str">
        <x:v>SIDX-0149</x:v>
      </x:c>
      <x:c r="D150" s="6" t="str">
        <x:f>IFERROR(XLOOKUP(C150,'Review Sequence'!C2:C1586,'Review Sequence'!J2:J1586),"Dependency not found")</x:f>
        <x:v>Not Started</x:v>
      </x:c>
      <x:c r="E150" s="6" t="str">
        <x:v>MFRX-0149</x:v>
      </x:c>
      <x:c r="F150" s="6" t="str">
        <x:f>IFERROR(XLOOKUP(E150,'Review Sequence'!C2:C1586,'Review Sequence'!J2:J1586),"Dependency not found")</x:f>
        <x:v>Not Started</x:v>
      </x:c>
      <x:c r="G150" s="6" t="str">
        <x:v>iPhone 14 Pro Max Battery Replacement</x:v>
      </x:c>
      <x:c r="H150" s="6" t="str"/>
      <x:c r="I150" s="6" t="str"/>
      <x:c r="J150" s="6" t="str">
        <x:v>Unknown</x:v>
      </x:c>
      <x:c r="K150" s="6" t="str">
        <x:v>Unresolved</x:v>
      </x:c>
      <x:c r="L150" s="7" t="str">
        <x:v>Nocturnix_Master_Services_Catalog_v1.xlsx | 01 - Master Services | row 189</x:v>
      </x:c>
      <x:c r="M150" s="6" t="str"/>
      <x:c r="N150" s="6" t="str"/>
      <x:c r="O150" s="6" t="str">
        <x:v>Pending</x:v>
      </x:c>
      <x:c r="P150" s="7" t="str">
        <x:f>IF(AND(OR(D150="Reviewer Complete",D150="Awaiting Second-Level Approval"),OR(F150="Reviewer Complete",F150="Awaiting Second-Level Approval")),"","Identity/manufacturer dependency unresolved")</x:f>
        <x:v>Identity/manufacturer dependency unresolved</x:v>
      </x:c>
      <x:c r="Q150" s="6" t="str">
        <x:v>Yes</x:v>
      </x:c>
      <x:c r="R150" s="7" t="str"/>
    </x:row>
    <x:row r="151">
      <x:c r="A151" s="6" t="str">
        <x:v>DEVX-0150</x:v>
      </x:c>
      <x:c r="B151" s="6" t="str">
        <x:v>SVC000150</x:v>
      </x:c>
      <x:c r="C151" s="6" t="str">
        <x:v>SIDX-0150</x:v>
      </x:c>
      <x:c r="D151" s="6" t="str">
        <x:f>IFERROR(XLOOKUP(C151,'Review Sequence'!C2:C1586,'Review Sequence'!J2:J1586),"Dependency not found")</x:f>
        <x:v>Not Started</x:v>
      </x:c>
      <x:c r="E151" s="6" t="str">
        <x:v>MFRX-0150</x:v>
      </x:c>
      <x:c r="F151" s="6" t="str">
        <x:f>IFERROR(XLOOKUP(E151,'Review Sequence'!C2:C1586,'Review Sequence'!J2:J1586),"Dependency not found")</x:f>
        <x:v>Not Started</x:v>
      </x:c>
      <x:c r="G151" s="6" t="str">
        <x:v>Galaxy S 21 FE Battery Replacement</x:v>
      </x:c>
      <x:c r="H151" s="6" t="str"/>
      <x:c r="I151" s="6" t="str"/>
      <x:c r="J151" s="6" t="str">
        <x:v>Unknown</x:v>
      </x:c>
      <x:c r="K151" s="6" t="str">
        <x:v>Unresolved</x:v>
      </x:c>
      <x:c r="L151" s="7" t="str">
        <x:v>Nocturnix_Master_Services_Catalog_v1.xlsx | 01 - Master Services | row 190</x:v>
      </x:c>
      <x:c r="M151" s="6" t="str"/>
      <x:c r="N151" s="6" t="str"/>
      <x:c r="O151" s="6" t="str">
        <x:v>Pending</x:v>
      </x:c>
      <x:c r="P151" s="7" t="str">
        <x:f>IF(AND(OR(D151="Reviewer Complete",D151="Awaiting Second-Level Approval"),OR(F151="Reviewer Complete",F151="Awaiting Second-Level Approval")),"","Identity/manufacturer dependency unresolved")</x:f>
        <x:v>Identity/manufacturer dependency unresolved</x:v>
      </x:c>
      <x:c r="Q151" s="6" t="str">
        <x:v>Yes</x:v>
      </x:c>
      <x:c r="R151" s="7" t="str"/>
    </x:row>
    <x:row r="152">
      <x:c r="A152" s="6" t="str">
        <x:v>DEVX-0151</x:v>
      </x:c>
      <x:c r="B152" s="6" t="str">
        <x:v>SVC000151</x:v>
      </x:c>
      <x:c r="C152" s="6" t="str">
        <x:v>SIDX-0151</x:v>
      </x:c>
      <x:c r="D152" s="6" t="str">
        <x:f>IFERROR(XLOOKUP(C152,'Review Sequence'!C2:C1586,'Review Sequence'!J2:J1586),"Dependency not found")</x:f>
        <x:v>Not Started</x:v>
      </x:c>
      <x:c r="E152" s="6" t="str">
        <x:v>MFRX-0151</x:v>
      </x:c>
      <x:c r="F152" s="6" t="str">
        <x:f>IFERROR(XLOOKUP(E152,'Review Sequence'!C2:C1586,'Review Sequence'!J2:J1586),"Dependency not found")</x:f>
        <x:v>Not Started</x:v>
      </x:c>
      <x:c r="G152" s="6" t="str">
        <x:v>Galaxy S 6 Active Battery Replacement</x:v>
      </x:c>
      <x:c r="H152" s="6" t="str"/>
      <x:c r="I152" s="6" t="str"/>
      <x:c r="J152" s="6" t="str">
        <x:v>Unknown</x:v>
      </x:c>
      <x:c r="K152" s="6" t="str">
        <x:v>Unresolved</x:v>
      </x:c>
      <x:c r="L152" s="7" t="str">
        <x:v>Nocturnix_Master_Services_Catalog_v1.xlsx | 01 - Master Services | row 191</x:v>
      </x:c>
      <x:c r="M152" s="6" t="str"/>
      <x:c r="N152" s="6" t="str"/>
      <x:c r="O152" s="6" t="str">
        <x:v>Pending</x:v>
      </x:c>
      <x:c r="P152" s="7" t="str">
        <x:f>IF(AND(OR(D152="Reviewer Complete",D152="Awaiting Second-Level Approval"),OR(F152="Reviewer Complete",F152="Awaiting Second-Level Approval")),"","Identity/manufacturer dependency unresolved")</x:f>
        <x:v>Identity/manufacturer dependency unresolved</x:v>
      </x:c>
      <x:c r="Q152" s="6" t="str">
        <x:v>Yes</x:v>
      </x:c>
      <x:c r="R152" s="7" t="str"/>
    </x:row>
    <x:row r="153">
      <x:c r="A153" s="6" t="str">
        <x:v>DEVX-0152</x:v>
      </x:c>
      <x:c r="B153" s="6" t="str">
        <x:v>SVC000152</x:v>
      </x:c>
      <x:c r="C153" s="6" t="str">
        <x:v>SIDX-0152</x:v>
      </x:c>
      <x:c r="D153" s="6" t="str">
        <x:f>IFERROR(XLOOKUP(C153,'Review Sequence'!C2:C1586,'Review Sequence'!J2:J1586),"Dependency not found")</x:f>
        <x:v>Not Started</x:v>
      </x:c>
      <x:c r="E153" s="6" t="str">
        <x:v>MFRX-0152</x:v>
      </x:c>
      <x:c r="F153" s="6" t="str">
        <x:f>IFERROR(XLOOKUP(E153,'Review Sequence'!C2:C1586,'Review Sequence'!J2:J1586),"Dependency not found")</x:f>
        <x:v>Not Started</x:v>
      </x:c>
      <x:c r="G153" s="6" t="str">
        <x:v>Galaxy S 21 Battery Replacement</x:v>
      </x:c>
      <x:c r="H153" s="6" t="str"/>
      <x:c r="I153" s="6" t="str"/>
      <x:c r="J153" s="6" t="str">
        <x:v>Unknown</x:v>
      </x:c>
      <x:c r="K153" s="6" t="str">
        <x:v>Unresolved</x:v>
      </x:c>
      <x:c r="L153" s="7" t="str">
        <x:v>Nocturnix_Master_Services_Catalog_v1.xlsx | 01 - Master Services | row 192</x:v>
      </x:c>
      <x:c r="M153" s="6" t="str"/>
      <x:c r="N153" s="6" t="str"/>
      <x:c r="O153" s="6" t="str">
        <x:v>Pending</x:v>
      </x:c>
      <x:c r="P153" s="7" t="str">
        <x:f>IF(AND(OR(D153="Reviewer Complete",D153="Awaiting Second-Level Approval"),OR(F153="Reviewer Complete",F153="Awaiting Second-Level Approval")),"","Identity/manufacturer dependency unresolved")</x:f>
        <x:v>Identity/manufacturer dependency unresolved</x:v>
      </x:c>
      <x:c r="Q153" s="6" t="str">
        <x:v>Yes</x:v>
      </x:c>
      <x:c r="R153" s="7" t="str"/>
    </x:row>
    <x:row r="154">
      <x:c r="A154" s="6" t="str">
        <x:v>DEVX-0153</x:v>
      </x:c>
      <x:c r="B154" s="6" t="str">
        <x:v>SVC000153</x:v>
      </x:c>
      <x:c r="C154" s="6" t="str">
        <x:v>SIDX-0153</x:v>
      </x:c>
      <x:c r="D154" s="6" t="str">
        <x:f>IFERROR(XLOOKUP(C154,'Review Sequence'!C2:C1586,'Review Sequence'!J2:J1586),"Dependency not found")</x:f>
        <x:v>Not Started</x:v>
      </x:c>
      <x:c r="E154" s="6" t="str">
        <x:v>MFRX-0153</x:v>
      </x:c>
      <x:c r="F154" s="6" t="str">
        <x:f>IFERROR(XLOOKUP(E154,'Review Sequence'!C2:C1586,'Review Sequence'!J2:J1586),"Dependency not found")</x:f>
        <x:v>Not Started</x:v>
      </x:c>
      <x:c r="G154" s="6" t="str">
        <x:v>Galaxy S 6 Battery Replacement</x:v>
      </x:c>
      <x:c r="H154" s="6" t="str"/>
      <x:c r="I154" s="6" t="str"/>
      <x:c r="J154" s="6" t="str">
        <x:v>Unknown</x:v>
      </x:c>
      <x:c r="K154" s="6" t="str">
        <x:v>Unresolved</x:v>
      </x:c>
      <x:c r="L154" s="7" t="str">
        <x:v>Nocturnix_Master_Services_Catalog_v1.xlsx | 01 - Master Services | row 193</x:v>
      </x:c>
      <x:c r="M154" s="6" t="str"/>
      <x:c r="N154" s="6" t="str"/>
      <x:c r="O154" s="6" t="str">
        <x:v>Pending</x:v>
      </x:c>
      <x:c r="P154" s="7" t="str">
        <x:f>IF(AND(OR(D154="Reviewer Complete",D154="Awaiting Second-Level Approval"),OR(F154="Reviewer Complete",F154="Awaiting Second-Level Approval")),"","Identity/manufacturer dependency unresolved")</x:f>
        <x:v>Identity/manufacturer dependency unresolved</x:v>
      </x:c>
      <x:c r="Q154" s="6" t="str">
        <x:v>Yes</x:v>
      </x:c>
      <x:c r="R154" s="7" t="str"/>
    </x:row>
    <x:row r="155">
      <x:c r="A155" s="6" t="str">
        <x:v>DEVX-0154</x:v>
      </x:c>
      <x:c r="B155" s="6" t="str">
        <x:v>SVC000154</x:v>
      </x:c>
      <x:c r="C155" s="6" t="str">
        <x:v>SIDX-0154</x:v>
      </x:c>
      <x:c r="D155" s="6" t="str">
        <x:f>IFERROR(XLOOKUP(C155,'Review Sequence'!C2:C1586,'Review Sequence'!J2:J1586),"Dependency not found")</x:f>
        <x:v>Not Started</x:v>
      </x:c>
      <x:c r="E155" s="6" t="str">
        <x:v>MFRX-0154</x:v>
      </x:c>
      <x:c r="F155" s="6" t="str">
        <x:f>IFERROR(XLOOKUP(E155,'Review Sequence'!C2:C1586,'Review Sequence'!J2:J1586),"Dependency not found")</x:f>
        <x:v>Not Started</x:v>
      </x:c>
      <x:c r="G155" s="6" t="str">
        <x:v>Galaxy S 6 Edge Plus Battery Replacement</x:v>
      </x:c>
      <x:c r="H155" s="6" t="str"/>
      <x:c r="I155" s="6" t="str"/>
      <x:c r="J155" s="6" t="str">
        <x:v>Unknown</x:v>
      </x:c>
      <x:c r="K155" s="6" t="str">
        <x:v>Unresolved</x:v>
      </x:c>
      <x:c r="L155" s="7" t="str">
        <x:v>Nocturnix_Master_Services_Catalog_v1.xlsx | 01 - Master Services | row 194</x:v>
      </x:c>
      <x:c r="M155" s="6" t="str"/>
      <x:c r="N155" s="6" t="str"/>
      <x:c r="O155" s="6" t="str">
        <x:v>Pending</x:v>
      </x:c>
      <x:c r="P155" s="7" t="str">
        <x:f>IF(AND(OR(D155="Reviewer Complete",D155="Awaiting Second-Level Approval"),OR(F155="Reviewer Complete",F155="Awaiting Second-Level Approval")),"","Identity/manufacturer dependency unresolved")</x:f>
        <x:v>Identity/manufacturer dependency unresolved</x:v>
      </x:c>
      <x:c r="Q155" s="6" t="str">
        <x:v>Yes</x:v>
      </x:c>
      <x:c r="R155" s="7" t="str"/>
    </x:row>
    <x:row r="156">
      <x:c r="A156" s="6" t="str">
        <x:v>DEVX-0155</x:v>
      </x:c>
      <x:c r="B156" s="6" t="str">
        <x:v>SVC000155</x:v>
      </x:c>
      <x:c r="C156" s="6" t="str">
        <x:v>SIDX-0155</x:v>
      </x:c>
      <x:c r="D156" s="6" t="str">
        <x:f>IFERROR(XLOOKUP(C156,'Review Sequence'!C2:C1586,'Review Sequence'!J2:J1586),"Dependency not found")</x:f>
        <x:v>Not Started</x:v>
      </x:c>
      <x:c r="E156" s="6" t="str">
        <x:v>MFRX-0155</x:v>
      </x:c>
      <x:c r="F156" s="6" t="str">
        <x:f>IFERROR(XLOOKUP(E156,'Review Sequence'!C2:C1586,'Review Sequence'!J2:J1586),"Dependency not found")</x:f>
        <x:v>Not Started</x:v>
      </x:c>
      <x:c r="G156" s="6" t="str">
        <x:v>Galaxy S 7 Active Battery Replacement</x:v>
      </x:c>
      <x:c r="H156" s="6" t="str"/>
      <x:c r="I156" s="6" t="str"/>
      <x:c r="J156" s="6" t="str">
        <x:v>Unknown</x:v>
      </x:c>
      <x:c r="K156" s="6" t="str">
        <x:v>Unresolved</x:v>
      </x:c>
      <x:c r="L156" s="7" t="str">
        <x:v>Nocturnix_Master_Services_Catalog_v1.xlsx | 01 - Master Services | row 195</x:v>
      </x:c>
      <x:c r="M156" s="6" t="str"/>
      <x:c r="N156" s="6" t="str"/>
      <x:c r="O156" s="6" t="str">
        <x:v>Pending</x:v>
      </x:c>
      <x:c r="P156" s="7" t="str">
        <x:f>IF(AND(OR(D156="Reviewer Complete",D156="Awaiting Second-Level Approval"),OR(F156="Reviewer Complete",F156="Awaiting Second-Level Approval")),"","Identity/manufacturer dependency unresolved")</x:f>
        <x:v>Identity/manufacturer dependency unresolved</x:v>
      </x:c>
      <x:c r="Q156" s="6" t="str">
        <x:v>Yes</x:v>
      </x:c>
      <x:c r="R156" s="7" t="str"/>
    </x:row>
    <x:row r="157">
      <x:c r="A157" s="6" t="str">
        <x:v>DEVX-0156</x:v>
      </x:c>
      <x:c r="B157" s="6" t="str">
        <x:v>SVC000156</x:v>
      </x:c>
      <x:c r="C157" s="6" t="str">
        <x:v>SIDX-0156</x:v>
      </x:c>
      <x:c r="D157" s="6" t="str">
        <x:f>IFERROR(XLOOKUP(C157,'Review Sequence'!C2:C1586,'Review Sequence'!J2:J1586),"Dependency not found")</x:f>
        <x:v>Not Started</x:v>
      </x:c>
      <x:c r="E157" s="6" t="str">
        <x:v>MFRX-0156</x:v>
      </x:c>
      <x:c r="F157" s="6" t="str">
        <x:f>IFERROR(XLOOKUP(E157,'Review Sequence'!C2:C1586,'Review Sequence'!J2:J1586),"Dependency not found")</x:f>
        <x:v>Not Started</x:v>
      </x:c>
      <x:c r="G157" s="6" t="str">
        <x:v>Galaxy S 8 Battery Replacement</x:v>
      </x:c>
      <x:c r="H157" s="6" t="str"/>
      <x:c r="I157" s="6" t="str"/>
      <x:c r="J157" s="6" t="str">
        <x:v>Unknown</x:v>
      </x:c>
      <x:c r="K157" s="6" t="str">
        <x:v>Unresolved</x:v>
      </x:c>
      <x:c r="L157" s="7" t="str">
        <x:v>Nocturnix_Master_Services_Catalog_v1.xlsx | 01 - Master Services | row 196</x:v>
      </x:c>
      <x:c r="M157" s="6" t="str"/>
      <x:c r="N157" s="6" t="str"/>
      <x:c r="O157" s="6" t="str">
        <x:v>Pending</x:v>
      </x:c>
      <x:c r="P157" s="7" t="str">
        <x:f>IF(AND(OR(D157="Reviewer Complete",D157="Awaiting Second-Level Approval"),OR(F157="Reviewer Complete",F157="Awaiting Second-Level Approval")),"","Identity/manufacturer dependency unresolved")</x:f>
        <x:v>Identity/manufacturer dependency unresolved</x:v>
      </x:c>
      <x:c r="Q157" s="6" t="str">
        <x:v>Yes</x:v>
      </x:c>
      <x:c r="R157" s="7" t="str"/>
    </x:row>
    <x:row r="158">
      <x:c r="A158" s="6" t="str">
        <x:v>DEVX-0157</x:v>
      </x:c>
      <x:c r="B158" s="6" t="str">
        <x:v>SVC000157</x:v>
      </x:c>
      <x:c r="C158" s="6" t="str">
        <x:v>SIDX-0157</x:v>
      </x:c>
      <x:c r="D158" s="6" t="str">
        <x:f>IFERROR(XLOOKUP(C158,'Review Sequence'!C2:C1586,'Review Sequence'!J2:J1586),"Dependency not found")</x:f>
        <x:v>Not Started</x:v>
      </x:c>
      <x:c r="E158" s="6" t="str">
        <x:v>MFRX-0157</x:v>
      </x:c>
      <x:c r="F158" s="6" t="str">
        <x:f>IFERROR(XLOOKUP(E158,'Review Sequence'!C2:C1586,'Review Sequence'!J2:J1586),"Dependency not found")</x:f>
        <x:v>Not Started</x:v>
      </x:c>
      <x:c r="G158" s="6" t="str">
        <x:v>Galaxy S 9 Battery Replacement</x:v>
      </x:c>
      <x:c r="H158" s="6" t="str"/>
      <x:c r="I158" s="6" t="str"/>
      <x:c r="J158" s="6" t="str">
        <x:v>Unknown</x:v>
      </x:c>
      <x:c r="K158" s="6" t="str">
        <x:v>Unresolved</x:v>
      </x:c>
      <x:c r="L158" s="7" t="str">
        <x:v>Nocturnix_Master_Services_Catalog_v1.xlsx | 01 - Master Services | row 197</x:v>
      </x:c>
      <x:c r="M158" s="6" t="str"/>
      <x:c r="N158" s="6" t="str"/>
      <x:c r="O158" s="6" t="str">
        <x:v>Pending</x:v>
      </x:c>
      <x:c r="P158" s="7" t="str">
        <x:f>IF(AND(OR(D158="Reviewer Complete",D158="Awaiting Second-Level Approval"),OR(F158="Reviewer Complete",F158="Awaiting Second-Level Approval")),"","Identity/manufacturer dependency unresolved")</x:f>
        <x:v>Identity/manufacturer dependency unresolved</x:v>
      </x:c>
      <x:c r="Q158" s="6" t="str">
        <x:v>Yes</x:v>
      </x:c>
      <x:c r="R158" s="7" t="str"/>
    </x:row>
    <x:row r="159">
      <x:c r="A159" s="6" t="str">
        <x:v>DEVX-0158</x:v>
      </x:c>
      <x:c r="B159" s="6" t="str">
        <x:v>SVC000158</x:v>
      </x:c>
      <x:c r="C159" s="6" t="str">
        <x:v>SIDX-0158</x:v>
      </x:c>
      <x:c r="D159" s="6" t="str">
        <x:f>IFERROR(XLOOKUP(C159,'Review Sequence'!C2:C1586,'Review Sequence'!J2:J1586),"Dependency not found")</x:f>
        <x:v>Not Started</x:v>
      </x:c>
      <x:c r="E159" s="6" t="str">
        <x:v>MFRX-0158</x:v>
      </x:c>
      <x:c r="F159" s="6" t="str">
        <x:f>IFERROR(XLOOKUP(E159,'Review Sequence'!C2:C1586,'Review Sequence'!J2:J1586),"Dependency not found")</x:f>
        <x:v>Not Started</x:v>
      </x:c>
      <x:c r="G159" s="6" t="str">
        <x:v>Galaxy S 20 FE Battery Replacement</x:v>
      </x:c>
      <x:c r="H159" s="6" t="str"/>
      <x:c r="I159" s="6" t="str"/>
      <x:c r="J159" s="6" t="str">
        <x:v>Unknown</x:v>
      </x:c>
      <x:c r="K159" s="6" t="str">
        <x:v>Unresolved</x:v>
      </x:c>
      <x:c r="L159" s="7" t="str">
        <x:v>Nocturnix_Master_Services_Catalog_v1.xlsx | 01 - Master Services | row 198</x:v>
      </x:c>
      <x:c r="M159" s="6" t="str"/>
      <x:c r="N159" s="6" t="str"/>
      <x:c r="O159" s="6" t="str">
        <x:v>Pending</x:v>
      </x:c>
      <x:c r="P159" s="7" t="str">
        <x:f>IF(AND(OR(D159="Reviewer Complete",D159="Awaiting Second-Level Approval"),OR(F159="Reviewer Complete",F159="Awaiting Second-Level Approval")),"","Identity/manufacturer dependency unresolved")</x:f>
        <x:v>Identity/manufacturer dependency unresolved</x:v>
      </x:c>
      <x:c r="Q159" s="6" t="str">
        <x:v>Yes</x:v>
      </x:c>
      <x:c r="R159" s="7" t="str"/>
    </x:row>
    <x:row r="160">
      <x:c r="A160" s="6" t="str">
        <x:v>DEVX-0159</x:v>
      </x:c>
      <x:c r="B160" s="6" t="str">
        <x:v>SVC000159</x:v>
      </x:c>
      <x:c r="C160" s="6" t="str">
        <x:v>SIDX-0159</x:v>
      </x:c>
      <x:c r="D160" s="6" t="str">
        <x:f>IFERROR(XLOOKUP(C160,'Review Sequence'!C2:C1586,'Review Sequence'!J2:J1586),"Dependency not found")</x:f>
        <x:v>Not Started</x:v>
      </x:c>
      <x:c r="E160" s="6" t="str">
        <x:v>MFRX-0159</x:v>
      </x:c>
      <x:c r="F160" s="6" t="str">
        <x:f>IFERROR(XLOOKUP(E160,'Review Sequence'!C2:C1586,'Review Sequence'!J2:J1586),"Dependency not found")</x:f>
        <x:v>Not Started</x:v>
      </x:c>
      <x:c r="G160" s="6" t="str">
        <x:v>Galaxy S Classic Battery Replacement</x:v>
      </x:c>
      <x:c r="H160" s="6" t="str"/>
      <x:c r="I160" s="6" t="str"/>
      <x:c r="J160" s="6" t="str">
        <x:v>Unknown</x:v>
      </x:c>
      <x:c r="K160" s="6" t="str">
        <x:v>Unresolved</x:v>
      </x:c>
      <x:c r="L160" s="7" t="str">
        <x:v>Nocturnix_Master_Services_Catalog_v1.xlsx | 01 - Master Services | row 199</x:v>
      </x:c>
      <x:c r="M160" s="6" t="str"/>
      <x:c r="N160" s="6" t="str"/>
      <x:c r="O160" s="6" t="str">
        <x:v>Pending</x:v>
      </x:c>
      <x:c r="P160" s="7" t="str">
        <x:f>IF(AND(OR(D160="Reviewer Complete",D160="Awaiting Second-Level Approval"),OR(F160="Reviewer Complete",F160="Awaiting Second-Level Approval")),"","Identity/manufacturer dependency unresolved")</x:f>
        <x:v>Identity/manufacturer dependency unresolved</x:v>
      </x:c>
      <x:c r="Q160" s="6" t="str">
        <x:v>Yes</x:v>
      </x:c>
      <x:c r="R160" s="7" t="str"/>
    </x:row>
    <x:row r="161">
      <x:c r="A161" s="6" t="str">
        <x:v>DEVX-0160</x:v>
      </x:c>
      <x:c r="B161" s="6" t="str">
        <x:v>SVC000160</x:v>
      </x:c>
      <x:c r="C161" s="6" t="str">
        <x:v>SIDX-0160</x:v>
      </x:c>
      <x:c r="D161" s="6" t="str">
        <x:f>IFERROR(XLOOKUP(C161,'Review Sequence'!C2:C1586,'Review Sequence'!J2:J1586),"Dependency not found")</x:f>
        <x:v>Not Started</x:v>
      </x:c>
      <x:c r="E161" s="6" t="str">
        <x:v>MFRX-0160</x:v>
      </x:c>
      <x:c r="F161" s="6" t="str">
        <x:f>IFERROR(XLOOKUP(E161,'Review Sequence'!C2:C1586,'Review Sequence'!J2:J1586),"Dependency not found")</x:f>
        <x:v>Not Started</x:v>
      </x:c>
      <x:c r="G161" s="6" t="str">
        <x:v>Galaxy S2 Battery Replacement</x:v>
      </x:c>
      <x:c r="H161" s="6" t="str"/>
      <x:c r="I161" s="6" t="str"/>
      <x:c r="J161" s="6" t="str">
        <x:v>Unknown</x:v>
      </x:c>
      <x:c r="K161" s="6" t="str">
        <x:v>Unresolved</x:v>
      </x:c>
      <x:c r="L161" s="7" t="str">
        <x:v>Nocturnix_Master_Services_Catalog_v1.xlsx | 01 - Master Services | row 200</x:v>
      </x:c>
      <x:c r="M161" s="6" t="str"/>
      <x:c r="N161" s="6" t="str"/>
      <x:c r="O161" s="6" t="str">
        <x:v>Pending</x:v>
      </x:c>
      <x:c r="P161" s="7" t="str">
        <x:f>IF(AND(OR(D161="Reviewer Complete",D161="Awaiting Second-Level Approval"),OR(F161="Reviewer Complete",F161="Awaiting Second-Level Approval")),"","Identity/manufacturer dependency unresolved")</x:f>
        <x:v>Identity/manufacturer dependency unresolved</x:v>
      </x:c>
      <x:c r="Q161" s="6" t="str">
        <x:v>Yes</x:v>
      </x:c>
      <x:c r="R161" s="7" t="str"/>
    </x:row>
    <x:row r="162">
      <x:c r="A162" s="6" t="str">
        <x:v>DEVX-0161</x:v>
      </x:c>
      <x:c r="B162" s="6" t="str">
        <x:v>SVC000161</x:v>
      </x:c>
      <x:c r="C162" s="6" t="str">
        <x:v>SIDX-0161</x:v>
      </x:c>
      <x:c r="D162" s="6" t="str">
        <x:f>IFERROR(XLOOKUP(C162,'Review Sequence'!C2:C1586,'Review Sequence'!J2:J1586),"Dependency not found")</x:f>
        <x:v>Not Started</x:v>
      </x:c>
      <x:c r="E162" s="6" t="str">
        <x:v>MFRX-0161</x:v>
      </x:c>
      <x:c r="F162" s="6" t="str">
        <x:f>IFERROR(XLOOKUP(E162,'Review Sequence'!C2:C1586,'Review Sequence'!J2:J1586),"Dependency not found")</x:f>
        <x:v>Not Started</x:v>
      </x:c>
      <x:c r="G162" s="6" t="str">
        <x:v>Galaxy S3 Battery Replacement</x:v>
      </x:c>
      <x:c r="H162" s="6" t="str"/>
      <x:c r="I162" s="6" t="str"/>
      <x:c r="J162" s="6" t="str">
        <x:v>Unknown</x:v>
      </x:c>
      <x:c r="K162" s="6" t="str">
        <x:v>Unresolved</x:v>
      </x:c>
      <x:c r="L162" s="7" t="str">
        <x:v>Nocturnix_Master_Services_Catalog_v1.xlsx | 01 - Master Services | row 201</x:v>
      </x:c>
      <x:c r="M162" s="6" t="str"/>
      <x:c r="N162" s="6" t="str"/>
      <x:c r="O162" s="6" t="str">
        <x:v>Pending</x:v>
      </x:c>
      <x:c r="P162" s="7" t="str">
        <x:f>IF(AND(OR(D162="Reviewer Complete",D162="Awaiting Second-Level Approval"),OR(F162="Reviewer Complete",F162="Awaiting Second-Level Approval")),"","Identity/manufacturer dependency unresolved")</x:f>
        <x:v>Identity/manufacturer dependency unresolved</x:v>
      </x:c>
      <x:c r="Q162" s="6" t="str">
        <x:v>Yes</x:v>
      </x:c>
      <x:c r="R162" s="7" t="str"/>
    </x:row>
    <x:row r="163">
      <x:c r="A163" s="6" t="str">
        <x:v>DEVX-0162</x:v>
      </x:c>
      <x:c r="B163" s="6" t="str">
        <x:v>SVC000162</x:v>
      </x:c>
      <x:c r="C163" s="6" t="str">
        <x:v>SIDX-0162</x:v>
      </x:c>
      <x:c r="D163" s="6" t="str">
        <x:f>IFERROR(XLOOKUP(C163,'Review Sequence'!C2:C1586,'Review Sequence'!J2:J1586),"Dependency not found")</x:f>
        <x:v>Not Started</x:v>
      </x:c>
      <x:c r="E163" s="6" t="str">
        <x:v>MFRX-0162</x:v>
      </x:c>
      <x:c r="F163" s="6" t="str">
        <x:f>IFERROR(XLOOKUP(E163,'Review Sequence'!C2:C1586,'Review Sequence'!J2:J1586),"Dependency not found")</x:f>
        <x:v>Not Started</x:v>
      </x:c>
      <x:c r="G163" s="6" t="str">
        <x:v>Galaxy S3 Mini Battery Replacement</x:v>
      </x:c>
      <x:c r="H163" s="6" t="str"/>
      <x:c r="I163" s="6" t="str"/>
      <x:c r="J163" s="6" t="str">
        <x:v>Unknown</x:v>
      </x:c>
      <x:c r="K163" s="6" t="str">
        <x:v>Unresolved</x:v>
      </x:c>
      <x:c r="L163" s="7" t="str">
        <x:v>Nocturnix_Master_Services_Catalog_v1.xlsx | 01 - Master Services | row 202</x:v>
      </x:c>
      <x:c r="M163" s="6" t="str"/>
      <x:c r="N163" s="6" t="str"/>
      <x:c r="O163" s="6" t="str">
        <x:v>Pending</x:v>
      </x:c>
      <x:c r="P163" s="7" t="str">
        <x:f>IF(AND(OR(D163="Reviewer Complete",D163="Awaiting Second-Level Approval"),OR(F163="Reviewer Complete",F163="Awaiting Second-Level Approval")),"","Identity/manufacturer dependency unresolved")</x:f>
        <x:v>Identity/manufacturer dependency unresolved</x:v>
      </x:c>
      <x:c r="Q163" s="6" t="str">
        <x:v>Yes</x:v>
      </x:c>
      <x:c r="R163" s="7" t="str"/>
    </x:row>
    <x:row r="164">
      <x:c r="A164" s="6" t="str">
        <x:v>DEVX-0163</x:v>
      </x:c>
      <x:c r="B164" s="6" t="str">
        <x:v>SVC000163</x:v>
      </x:c>
      <x:c r="C164" s="6" t="str">
        <x:v>SIDX-0163</x:v>
      </x:c>
      <x:c r="D164" s="6" t="str">
        <x:f>IFERROR(XLOOKUP(C164,'Review Sequence'!C2:C1586,'Review Sequence'!J2:J1586),"Dependency not found")</x:f>
        <x:v>Not Started</x:v>
      </x:c>
      <x:c r="E164" s="6" t="str">
        <x:v>MFRX-0163</x:v>
      </x:c>
      <x:c r="F164" s="6" t="str">
        <x:f>IFERROR(XLOOKUP(E164,'Review Sequence'!C2:C1586,'Review Sequence'!J2:J1586),"Dependency not found")</x:f>
        <x:v>Not Started</x:v>
      </x:c>
      <x:c r="G164" s="6" t="str">
        <x:v>Galaxy S3 Neo Battery Replacement</x:v>
      </x:c>
      <x:c r="H164" s="6" t="str"/>
      <x:c r="I164" s="6" t="str"/>
      <x:c r="J164" s="6" t="str">
        <x:v>Unknown</x:v>
      </x:c>
      <x:c r="K164" s="6" t="str">
        <x:v>Unresolved</x:v>
      </x:c>
      <x:c r="L164" s="7" t="str">
        <x:v>Nocturnix_Master_Services_Catalog_v1.xlsx | 01 - Master Services | row 203</x:v>
      </x:c>
      <x:c r="M164" s="6" t="str"/>
      <x:c r="N164" s="6" t="str"/>
      <x:c r="O164" s="6" t="str">
        <x:v>Pending</x:v>
      </x:c>
      <x:c r="P164" s="7" t="str">
        <x:f>IF(AND(OR(D164="Reviewer Complete",D164="Awaiting Second-Level Approval"),OR(F164="Reviewer Complete",F164="Awaiting Second-Level Approval")),"","Identity/manufacturer dependency unresolved")</x:f>
        <x:v>Identity/manufacturer dependency unresolved</x:v>
      </x:c>
      <x:c r="Q164" s="6" t="str">
        <x:v>Yes</x:v>
      </x:c>
      <x:c r="R164" s="7" t="str"/>
    </x:row>
    <x:row r="165">
      <x:c r="A165" s="6" t="str">
        <x:v>DEVX-0164</x:v>
      </x:c>
      <x:c r="B165" s="6" t="str">
        <x:v>SVC000164</x:v>
      </x:c>
      <x:c r="C165" s="6" t="str">
        <x:v>SIDX-0164</x:v>
      </x:c>
      <x:c r="D165" s="6" t="str">
        <x:f>IFERROR(XLOOKUP(C165,'Review Sequence'!C2:C1586,'Review Sequence'!J2:J1586),"Dependency not found")</x:f>
        <x:v>Not Started</x:v>
      </x:c>
      <x:c r="E165" s="6" t="str">
        <x:v>MFRX-0164</x:v>
      </x:c>
      <x:c r="F165" s="6" t="str">
        <x:f>IFERROR(XLOOKUP(E165,'Review Sequence'!C2:C1586,'Review Sequence'!J2:J1586),"Dependency not found")</x:f>
        <x:v>Not Started</x:v>
      </x:c>
      <x:c r="G165" s="6" t="str">
        <x:v>Galaxy S4 Battery Replacement</x:v>
      </x:c>
      <x:c r="H165" s="6" t="str"/>
      <x:c r="I165" s="6" t="str"/>
      <x:c r="J165" s="6" t="str">
        <x:v>Unknown</x:v>
      </x:c>
      <x:c r="K165" s="6" t="str">
        <x:v>Unresolved</x:v>
      </x:c>
      <x:c r="L165" s="7" t="str">
        <x:v>Nocturnix_Master_Services_Catalog_v1.xlsx | 01 - Master Services | row 204</x:v>
      </x:c>
      <x:c r="M165" s="6" t="str"/>
      <x:c r="N165" s="6" t="str"/>
      <x:c r="O165" s="6" t="str">
        <x:v>Pending</x:v>
      </x:c>
      <x:c r="P165" s="7" t="str">
        <x:f>IF(AND(OR(D165="Reviewer Complete",D165="Awaiting Second-Level Approval"),OR(F165="Reviewer Complete",F165="Awaiting Second-Level Approval")),"","Identity/manufacturer dependency unresolved")</x:f>
        <x:v>Identity/manufacturer dependency unresolved</x:v>
      </x:c>
      <x:c r="Q165" s="6" t="str">
        <x:v>Yes</x:v>
      </x:c>
      <x:c r="R165" s="7" t="str"/>
    </x:row>
    <x:row r="166">
      <x:c r="A166" s="6" t="str">
        <x:v>DEVX-0165</x:v>
      </x:c>
      <x:c r="B166" s="6" t="str">
        <x:v>SVC000165</x:v>
      </x:c>
      <x:c r="C166" s="6" t="str">
        <x:v>SIDX-0165</x:v>
      </x:c>
      <x:c r="D166" s="6" t="str">
        <x:f>IFERROR(XLOOKUP(C166,'Review Sequence'!C2:C1586,'Review Sequence'!J2:J1586),"Dependency not found")</x:f>
        <x:v>Not Started</x:v>
      </x:c>
      <x:c r="E166" s="6" t="str">
        <x:v>MFRX-0165</x:v>
      </x:c>
      <x:c r="F166" s="6" t="str">
        <x:f>IFERROR(XLOOKUP(E166,'Review Sequence'!C2:C1586,'Review Sequence'!J2:J1586),"Dependency not found")</x:f>
        <x:v>Not Started</x:v>
      </x:c>
      <x:c r="G166" s="6" t="str">
        <x:v>Galaxy S 4 Active Battery Replacement</x:v>
      </x:c>
      <x:c r="H166" s="6" t="str"/>
      <x:c r="I166" s="6" t="str"/>
      <x:c r="J166" s="6" t="str">
        <x:v>Unknown</x:v>
      </x:c>
      <x:c r="K166" s="6" t="str">
        <x:v>Unresolved</x:v>
      </x:c>
      <x:c r="L166" s="7" t="str">
        <x:v>Nocturnix_Master_Services_Catalog_v1.xlsx | 01 - Master Services | row 205</x:v>
      </x:c>
      <x:c r="M166" s="6" t="str"/>
      <x:c r="N166" s="6" t="str"/>
      <x:c r="O166" s="6" t="str">
        <x:v>Pending</x:v>
      </x:c>
      <x:c r="P166" s="7" t="str">
        <x:f>IF(AND(OR(D166="Reviewer Complete",D166="Awaiting Second-Level Approval"),OR(F166="Reviewer Complete",F166="Awaiting Second-Level Approval")),"","Identity/manufacturer dependency unresolved")</x:f>
        <x:v>Identity/manufacturer dependency unresolved</x:v>
      </x:c>
      <x:c r="Q166" s="6" t="str">
        <x:v>Yes</x:v>
      </x:c>
      <x:c r="R166" s="7" t="str"/>
    </x:row>
    <x:row r="167">
      <x:c r="A167" s="6" t="str">
        <x:v>DEVX-0166</x:v>
      </x:c>
      <x:c r="B167" s="6" t="str">
        <x:v>SVC000166</x:v>
      </x:c>
      <x:c r="C167" s="6" t="str">
        <x:v>SIDX-0166</x:v>
      </x:c>
      <x:c r="D167" s="6" t="str">
        <x:f>IFERROR(XLOOKUP(C167,'Review Sequence'!C2:C1586,'Review Sequence'!J2:J1586),"Dependency not found")</x:f>
        <x:v>Not Started</x:v>
      </x:c>
      <x:c r="E167" s="6" t="str">
        <x:v>MFRX-0166</x:v>
      </x:c>
      <x:c r="F167" s="6" t="str">
        <x:f>IFERROR(XLOOKUP(E167,'Review Sequence'!C2:C1586,'Review Sequence'!J2:J1586),"Dependency not found")</x:f>
        <x:v>Not Started</x:v>
      </x:c>
      <x:c r="G167" s="6" t="str">
        <x:v>Galaxy S 5 Battery Replacement</x:v>
      </x:c>
      <x:c r="H167" s="6" t="str"/>
      <x:c r="I167" s="6" t="str"/>
      <x:c r="J167" s="6" t="str">
        <x:v>Unknown</x:v>
      </x:c>
      <x:c r="K167" s="6" t="str">
        <x:v>Unresolved</x:v>
      </x:c>
      <x:c r="L167" s="7" t="str">
        <x:v>Nocturnix_Master_Services_Catalog_v1.xlsx | 01 - Master Services | row 206</x:v>
      </x:c>
      <x:c r="M167" s="6" t="str"/>
      <x:c r="N167" s="6" t="str"/>
      <x:c r="O167" s="6" t="str">
        <x:v>Pending</x:v>
      </x:c>
      <x:c r="P167" s="7" t="str">
        <x:f>IF(AND(OR(D167="Reviewer Complete",D167="Awaiting Second-Level Approval"),OR(F167="Reviewer Complete",F167="Awaiting Second-Level Approval")),"","Identity/manufacturer dependency unresolved")</x:f>
        <x:v>Identity/manufacturer dependency unresolved</x:v>
      </x:c>
      <x:c r="Q167" s="6" t="str">
        <x:v>Yes</x:v>
      </x:c>
      <x:c r="R167" s="7" t="str"/>
    </x:row>
    <x:row r="168">
      <x:c r="A168" s="6" t="str">
        <x:v>DEVX-0167</x:v>
      </x:c>
      <x:c r="B168" s="6" t="str">
        <x:v>SVC000167</x:v>
      </x:c>
      <x:c r="C168" s="6" t="str">
        <x:v>SIDX-0167</x:v>
      </x:c>
      <x:c r="D168" s="6" t="str">
        <x:f>IFERROR(XLOOKUP(C168,'Review Sequence'!C2:C1586,'Review Sequence'!J2:J1586),"Dependency not found")</x:f>
        <x:v>Not Started</x:v>
      </x:c>
      <x:c r="E168" s="6" t="str">
        <x:v>MFRX-0167</x:v>
      </x:c>
      <x:c r="F168" s="6" t="str">
        <x:f>IFERROR(XLOOKUP(E168,'Review Sequence'!C2:C1586,'Review Sequence'!J2:J1586),"Dependency not found")</x:f>
        <x:v>Not Started</x:v>
      </x:c>
      <x:c r="G168" s="6" t="str">
        <x:v>iPhone 7+ Battery Replacement</x:v>
      </x:c>
      <x:c r="H168" s="6" t="str"/>
      <x:c r="I168" s="6" t="str"/>
      <x:c r="J168" s="6" t="str">
        <x:v>Unknown</x:v>
      </x:c>
      <x:c r="K168" s="6" t="str">
        <x:v>Unresolved</x:v>
      </x:c>
      <x:c r="L168" s="7" t="str">
        <x:v>Nocturnix_Master_Services_Catalog_v1.xlsx | 01 - Master Services | row 207</x:v>
      </x:c>
      <x:c r="M168" s="6" t="str"/>
      <x:c r="N168" s="6" t="str"/>
      <x:c r="O168" s="6" t="str">
        <x:v>Pending</x:v>
      </x:c>
      <x:c r="P168" s="7" t="str">
        <x:f>IF(AND(OR(D168="Reviewer Complete",D168="Awaiting Second-Level Approval"),OR(F168="Reviewer Complete",F168="Awaiting Second-Level Approval")),"","Identity/manufacturer dependency unresolved")</x:f>
        <x:v>Identity/manufacturer dependency unresolved</x:v>
      </x:c>
      <x:c r="Q168" s="6" t="str">
        <x:v>Yes</x:v>
      </x:c>
      <x:c r="R168" s="7" t="str"/>
    </x:row>
    <x:row r="169">
      <x:c r="A169" s="6" t="str">
        <x:v>DEVX-0168</x:v>
      </x:c>
      <x:c r="B169" s="6" t="str">
        <x:v>SVC000168</x:v>
      </x:c>
      <x:c r="C169" s="6" t="str">
        <x:v>SIDX-0168</x:v>
      </x:c>
      <x:c r="D169" s="6" t="str">
        <x:f>IFERROR(XLOOKUP(C169,'Review Sequence'!C2:C1586,'Review Sequence'!J2:J1586),"Dependency not found")</x:f>
        <x:v>Not Started</x:v>
      </x:c>
      <x:c r="E169" s="6" t="str">
        <x:v>MFRX-0168</x:v>
      </x:c>
      <x:c r="F169" s="6" t="str">
        <x:f>IFERROR(XLOOKUP(E169,'Review Sequence'!C2:C1586,'Review Sequence'!J2:J1586),"Dependency not found")</x:f>
        <x:v>Not Started</x:v>
      </x:c>
      <x:c r="G169" s="6" t="str">
        <x:v>iPhone Battery Replacement</x:v>
      </x:c>
      <x:c r="H169" s="6" t="str"/>
      <x:c r="I169" s="6" t="str"/>
      <x:c r="J169" s="6" t="str">
        <x:v>Unknown</x:v>
      </x:c>
      <x:c r="K169" s="6" t="str">
        <x:v>Unresolved</x:v>
      </x:c>
      <x:c r="L169" s="7" t="str">
        <x:v>Nocturnix_Master_Services_Catalog_v1.xlsx | 01 - Master Services | row 208</x:v>
      </x:c>
      <x:c r="M169" s="6" t="str"/>
      <x:c r="N169" s="6" t="str"/>
      <x:c r="O169" s="6" t="str">
        <x:v>Pending</x:v>
      </x:c>
      <x:c r="P169" s="7" t="str">
        <x:f>IF(AND(OR(D169="Reviewer Complete",D169="Awaiting Second-Level Approval"),OR(F169="Reviewer Complete",F169="Awaiting Second-Level Approval")),"","Identity/manufacturer dependency unresolved")</x:f>
        <x:v>Identity/manufacturer dependency unresolved</x:v>
      </x:c>
      <x:c r="Q169" s="6" t="str">
        <x:v>Yes</x:v>
      </x:c>
      <x:c r="R169" s="7" t="str"/>
    </x:row>
    <x:row r="170">
      <x:c r="A170" s="6" t="str">
        <x:v>DEVX-0169</x:v>
      </x:c>
      <x:c r="B170" s="6" t="str">
        <x:v>SVC000169</x:v>
      </x:c>
      <x:c r="C170" s="6" t="str">
        <x:v>SIDX-0169</x:v>
      </x:c>
      <x:c r="D170" s="6" t="str">
        <x:f>IFERROR(XLOOKUP(C170,'Review Sequence'!C2:C1586,'Review Sequence'!J2:J1586),"Dependency not found")</x:f>
        <x:v>Not Started</x:v>
      </x:c>
      <x:c r="E170" s="6" t="str">
        <x:v>MFRX-0169</x:v>
      </x:c>
      <x:c r="F170" s="6" t="str">
        <x:f>IFERROR(XLOOKUP(E170,'Review Sequence'!C2:C1586,'Review Sequence'!J2:J1586),"Dependency not found")</x:f>
        <x:v>Not Started</x:v>
      </x:c>
      <x:c r="G170" s="6" t="str">
        <x:v>iPhone 3GS Battery Replacement</x:v>
      </x:c>
      <x:c r="H170" s="6" t="str"/>
      <x:c r="I170" s="6" t="str"/>
      <x:c r="J170" s="6" t="str">
        <x:v>Unknown</x:v>
      </x:c>
      <x:c r="K170" s="6" t="str">
        <x:v>Unresolved</x:v>
      </x:c>
      <x:c r="L170" s="7" t="str">
        <x:v>Nocturnix_Master_Services_Catalog_v1.xlsx | 01 - Master Services | row 209</x:v>
      </x:c>
      <x:c r="M170" s="6" t="str"/>
      <x:c r="N170" s="6" t="str"/>
      <x:c r="O170" s="6" t="str">
        <x:v>Pending</x:v>
      </x:c>
      <x:c r="P170" s="7" t="str">
        <x:f>IF(AND(OR(D170="Reviewer Complete",D170="Awaiting Second-Level Approval"),OR(F170="Reviewer Complete",F170="Awaiting Second-Level Approval")),"","Identity/manufacturer dependency unresolved")</x:f>
        <x:v>Identity/manufacturer dependency unresolved</x:v>
      </x:c>
      <x:c r="Q170" s="6" t="str">
        <x:v>Yes</x:v>
      </x:c>
      <x:c r="R170" s="7" t="str"/>
    </x:row>
    <x:row r="171">
      <x:c r="A171" s="6" t="str">
        <x:v>DEVX-0170</x:v>
      </x:c>
      <x:c r="B171" s="6" t="str">
        <x:v>SVC000170</x:v>
      </x:c>
      <x:c r="C171" s="6" t="str">
        <x:v>SIDX-0170</x:v>
      </x:c>
      <x:c r="D171" s="6" t="str">
        <x:f>IFERROR(XLOOKUP(C171,'Review Sequence'!C2:C1586,'Review Sequence'!J2:J1586),"Dependency not found")</x:f>
        <x:v>Not Started</x:v>
      </x:c>
      <x:c r="E171" s="6" t="str">
        <x:v>MFRX-0170</x:v>
      </x:c>
      <x:c r="F171" s="6" t="str">
        <x:f>IFERROR(XLOOKUP(E171,'Review Sequence'!C2:C1586,'Review Sequence'!J2:J1586),"Dependency not found")</x:f>
        <x:v>Not Started</x:v>
      </x:c>
      <x:c r="G171" s="6" t="str">
        <x:v>iPhone 4S Battery Replacement</x:v>
      </x:c>
      <x:c r="H171" s="6" t="str"/>
      <x:c r="I171" s="6" t="str"/>
      <x:c r="J171" s="6" t="str">
        <x:v>Unknown</x:v>
      </x:c>
      <x:c r="K171" s="6" t="str">
        <x:v>Unresolved</x:v>
      </x:c>
      <x:c r="L171" s="7" t="str">
        <x:v>Nocturnix_Master_Services_Catalog_v1.xlsx | 01 - Master Services | row 210</x:v>
      </x:c>
      <x:c r="M171" s="6" t="str"/>
      <x:c r="N171" s="6" t="str"/>
      <x:c r="O171" s="6" t="str">
        <x:v>Pending</x:v>
      </x:c>
      <x:c r="P171" s="7" t="str">
        <x:f>IF(AND(OR(D171="Reviewer Complete",D171="Awaiting Second-Level Approval"),OR(F171="Reviewer Complete",F171="Awaiting Second-Level Approval")),"","Identity/manufacturer dependency unresolved")</x:f>
        <x:v>Identity/manufacturer dependency unresolved</x:v>
      </x:c>
      <x:c r="Q171" s="6" t="str">
        <x:v>Yes</x:v>
      </x:c>
      <x:c r="R171" s="7" t="str"/>
    </x:row>
    <x:row r="172">
      <x:c r="A172" s="6" t="str">
        <x:v>DEVX-0171</x:v>
      </x:c>
      <x:c r="B172" s="6" t="str">
        <x:v>SVC000171</x:v>
      </x:c>
      <x:c r="C172" s="6" t="str">
        <x:v>SIDX-0171</x:v>
      </x:c>
      <x:c r="D172" s="6" t="str">
        <x:f>IFERROR(XLOOKUP(C172,'Review Sequence'!C2:C1586,'Review Sequence'!J2:J1586),"Dependency not found")</x:f>
        <x:v>Not Started</x:v>
      </x:c>
      <x:c r="E172" s="6" t="str">
        <x:v>MFRX-0171</x:v>
      </x:c>
      <x:c r="F172" s="6" t="str">
        <x:f>IFERROR(XLOOKUP(E172,'Review Sequence'!C2:C1586,'Review Sequence'!J2:J1586),"Dependency not found")</x:f>
        <x:v>Not Started</x:v>
      </x:c>
      <x:c r="G172" s="6" t="str">
        <x:v>iPhone 5 Battery Replacement</x:v>
      </x:c>
      <x:c r="H172" s="6" t="str"/>
      <x:c r="I172" s="6" t="str"/>
      <x:c r="J172" s="6" t="str">
        <x:v>Unknown</x:v>
      </x:c>
      <x:c r="K172" s="6" t="str">
        <x:v>Unresolved</x:v>
      </x:c>
      <x:c r="L172" s="7" t="str">
        <x:v>Nocturnix_Master_Services_Catalog_v1.xlsx | 01 - Master Services | row 211</x:v>
      </x:c>
      <x:c r="M172" s="6" t="str"/>
      <x:c r="N172" s="6" t="str"/>
      <x:c r="O172" s="6" t="str">
        <x:v>Pending</x:v>
      </x:c>
      <x:c r="P172" s="7" t="str">
        <x:f>IF(AND(OR(D172="Reviewer Complete",D172="Awaiting Second-Level Approval"),OR(F172="Reviewer Complete",F172="Awaiting Second-Level Approval")),"","Identity/manufacturer dependency unresolved")</x:f>
        <x:v>Identity/manufacturer dependency unresolved</x:v>
      </x:c>
      <x:c r="Q172" s="6" t="str">
        <x:v>Yes</x:v>
      </x:c>
      <x:c r="R172" s="7" t="str"/>
    </x:row>
    <x:row r="173">
      <x:c r="A173" s="6" t="str">
        <x:v>DEVX-0172</x:v>
      </x:c>
      <x:c r="B173" s="6" t="str">
        <x:v>SVC000172</x:v>
      </x:c>
      <x:c r="C173" s="6" t="str">
        <x:v>SIDX-0172</x:v>
      </x:c>
      <x:c r="D173" s="6" t="str">
        <x:f>IFERROR(XLOOKUP(C173,'Review Sequence'!C2:C1586,'Review Sequence'!J2:J1586),"Dependency not found")</x:f>
        <x:v>Not Started</x:v>
      </x:c>
      <x:c r="E173" s="6" t="str">
        <x:v>MFRX-0172</x:v>
      </x:c>
      <x:c r="F173" s="6" t="str">
        <x:f>IFERROR(XLOOKUP(E173,'Review Sequence'!C2:C1586,'Review Sequence'!J2:J1586),"Dependency not found")</x:f>
        <x:v>Not Started</x:v>
      </x:c>
      <x:c r="G173" s="6" t="str">
        <x:v>iPhone 5C Battery Replacement</x:v>
      </x:c>
      <x:c r="H173" s="6" t="str"/>
      <x:c r="I173" s="6" t="str"/>
      <x:c r="J173" s="6" t="str">
        <x:v>Unknown</x:v>
      </x:c>
      <x:c r="K173" s="6" t="str">
        <x:v>Unresolved</x:v>
      </x:c>
      <x:c r="L173" s="7" t="str">
        <x:v>Nocturnix_Master_Services_Catalog_v1.xlsx | 01 - Master Services | row 212</x:v>
      </x:c>
      <x:c r="M173" s="6" t="str"/>
      <x:c r="N173" s="6" t="str"/>
      <x:c r="O173" s="6" t="str">
        <x:v>Pending</x:v>
      </x:c>
      <x:c r="P173" s="7" t="str">
        <x:f>IF(AND(OR(D173="Reviewer Complete",D173="Awaiting Second-Level Approval"),OR(F173="Reviewer Complete",F173="Awaiting Second-Level Approval")),"","Identity/manufacturer dependency unresolved")</x:f>
        <x:v>Identity/manufacturer dependency unresolved</x:v>
      </x:c>
      <x:c r="Q173" s="6" t="str">
        <x:v>Yes</x:v>
      </x:c>
      <x:c r="R173" s="7" t="str"/>
    </x:row>
    <x:row r="174">
      <x:c r="A174" s="6" t="str">
        <x:v>DEVX-0173</x:v>
      </x:c>
      <x:c r="B174" s="6" t="str">
        <x:v>SVC000173</x:v>
      </x:c>
      <x:c r="C174" s="6" t="str">
        <x:v>SIDX-0173</x:v>
      </x:c>
      <x:c r="D174" s="6" t="str">
        <x:f>IFERROR(XLOOKUP(C174,'Review Sequence'!C2:C1586,'Review Sequence'!J2:J1586),"Dependency not found")</x:f>
        <x:v>Not Started</x:v>
      </x:c>
      <x:c r="E174" s="6" t="str">
        <x:v>MFRX-0173</x:v>
      </x:c>
      <x:c r="F174" s="6" t="str">
        <x:f>IFERROR(XLOOKUP(E174,'Review Sequence'!C2:C1586,'Review Sequence'!J2:J1586),"Dependency not found")</x:f>
        <x:v>Not Started</x:v>
      </x:c>
      <x:c r="G174" s="6" t="str">
        <x:v>iPhone 8+ Battery Replacement</x:v>
      </x:c>
      <x:c r="H174" s="6" t="str"/>
      <x:c r="I174" s="6" t="str"/>
      <x:c r="J174" s="6" t="str">
        <x:v>Unknown</x:v>
      </x:c>
      <x:c r="K174" s="6" t="str">
        <x:v>Unresolved</x:v>
      </x:c>
      <x:c r="L174" s="7" t="str">
        <x:v>Nocturnix_Master_Services_Catalog_v1.xlsx | 01 - Master Services | row 213</x:v>
      </x:c>
      <x:c r="M174" s="6" t="str"/>
      <x:c r="N174" s="6" t="str"/>
      <x:c r="O174" s="6" t="str">
        <x:v>Pending</x:v>
      </x:c>
      <x:c r="P174" s="7" t="str">
        <x:f>IF(AND(OR(D174="Reviewer Complete",D174="Awaiting Second-Level Approval"),OR(F174="Reviewer Complete",F174="Awaiting Second-Level Approval")),"","Identity/manufacturer dependency unresolved")</x:f>
        <x:v>Identity/manufacturer dependency unresolved</x:v>
      </x:c>
      <x:c r="Q174" s="6" t="str">
        <x:v>Yes</x:v>
      </x:c>
      <x:c r="R174" s="7" t="str"/>
    </x:row>
    <x:row r="175">
      <x:c r="A175" s="6" t="str">
        <x:v>DEVX-0174</x:v>
      </x:c>
      <x:c r="B175" s="6" t="str">
        <x:v>SVC000174</x:v>
      </x:c>
      <x:c r="C175" s="6" t="str">
        <x:v>SIDX-0174</x:v>
      </x:c>
      <x:c r="D175" s="6" t="str">
        <x:f>IFERROR(XLOOKUP(C175,'Review Sequence'!C2:C1586,'Review Sequence'!J2:J1586),"Dependency not found")</x:f>
        <x:v>Not Started</x:v>
      </x:c>
      <x:c r="E175" s="6" t="str">
        <x:v>MFRX-0174</x:v>
      </x:c>
      <x:c r="F175" s="6" t="str">
        <x:f>IFERROR(XLOOKUP(E175,'Review Sequence'!C2:C1586,'Review Sequence'!J2:J1586),"Dependency not found")</x:f>
        <x:v>Not Started</x:v>
      </x:c>
      <x:c r="G175" s="6" t="str">
        <x:v>iPhone 6S Battery Replacement</x:v>
      </x:c>
      <x:c r="H175" s="6" t="str"/>
      <x:c r="I175" s="6" t="str"/>
      <x:c r="J175" s="6" t="str">
        <x:v>Unknown</x:v>
      </x:c>
      <x:c r="K175" s="6" t="str">
        <x:v>Unresolved</x:v>
      </x:c>
      <x:c r="L175" s="7" t="str">
        <x:v>Nocturnix_Master_Services_Catalog_v1.xlsx | 01 - Master Services | row 214</x:v>
      </x:c>
      <x:c r="M175" s="6" t="str"/>
      <x:c r="N175" s="6" t="str"/>
      <x:c r="O175" s="6" t="str">
        <x:v>Pending</x:v>
      </x:c>
      <x:c r="P175" s="7" t="str">
        <x:f>IF(AND(OR(D175="Reviewer Complete",D175="Awaiting Second-Level Approval"),OR(F175="Reviewer Complete",F175="Awaiting Second-Level Approval")),"","Identity/manufacturer dependency unresolved")</x:f>
        <x:v>Identity/manufacturer dependency unresolved</x:v>
      </x:c>
      <x:c r="Q175" s="6" t="str">
        <x:v>Yes</x:v>
      </x:c>
      <x:c r="R175" s="7" t="str"/>
    </x:row>
    <x:row r="176">
      <x:c r="A176" s="6" t="str">
        <x:v>DEVX-0175</x:v>
      </x:c>
      <x:c r="B176" s="6" t="str">
        <x:v>SVC000175</x:v>
      </x:c>
      <x:c r="C176" s="6" t="str">
        <x:v>SIDX-0175</x:v>
      </x:c>
      <x:c r="D176" s="6" t="str">
        <x:f>IFERROR(XLOOKUP(C176,'Review Sequence'!C2:C1586,'Review Sequence'!J2:J1586),"Dependency not found")</x:f>
        <x:v>Not Started</x:v>
      </x:c>
      <x:c r="E176" s="6" t="str">
        <x:v>MFRX-0175</x:v>
      </x:c>
      <x:c r="F176" s="6" t="str">
        <x:f>IFERROR(XLOOKUP(E176,'Review Sequence'!C2:C1586,'Review Sequence'!J2:J1586),"Dependency not found")</x:f>
        <x:v>Not Started</x:v>
      </x:c>
      <x:c r="G176" s="6" t="str">
        <x:v>iPhone 8 Battery Replacement</x:v>
      </x:c>
      <x:c r="H176" s="6" t="str"/>
      <x:c r="I176" s="6" t="str"/>
      <x:c r="J176" s="6" t="str">
        <x:v>Unknown</x:v>
      </x:c>
      <x:c r="K176" s="6" t="str">
        <x:v>Unresolved</x:v>
      </x:c>
      <x:c r="L176" s="7" t="str">
        <x:v>Nocturnix_Master_Services_Catalog_v1.xlsx | 01 - Master Services | row 215</x:v>
      </x:c>
      <x:c r="M176" s="6" t="str"/>
      <x:c r="N176" s="6" t="str"/>
      <x:c r="O176" s="6" t="str">
        <x:v>Pending</x:v>
      </x:c>
      <x:c r="P176" s="7" t="str">
        <x:f>IF(AND(OR(D176="Reviewer Complete",D176="Awaiting Second-Level Approval"),OR(F176="Reviewer Complete",F176="Awaiting Second-Level Approval")),"","Identity/manufacturer dependency unresolved")</x:f>
        <x:v>Identity/manufacturer dependency unresolved</x:v>
      </x:c>
      <x:c r="Q176" s="6" t="str">
        <x:v>Yes</x:v>
      </x:c>
      <x:c r="R176" s="7" t="str"/>
    </x:row>
    <x:row r="177">
      <x:c r="A177" s="6" t="str">
        <x:v>DEVX-0176</x:v>
      </x:c>
      <x:c r="B177" s="6" t="str">
        <x:v>SVC000176</x:v>
      </x:c>
      <x:c r="C177" s="6" t="str">
        <x:v>SIDX-0176</x:v>
      </x:c>
      <x:c r="D177" s="6" t="str">
        <x:f>IFERROR(XLOOKUP(C177,'Review Sequence'!C2:C1586,'Review Sequence'!J2:J1586),"Dependency not found")</x:f>
        <x:v>Not Started</x:v>
      </x:c>
      <x:c r="E177" s="6" t="str">
        <x:v>MFRX-0176</x:v>
      </x:c>
      <x:c r="F177" s="6" t="str">
        <x:f>IFERROR(XLOOKUP(E177,'Review Sequence'!C2:C1586,'Review Sequence'!J2:J1586),"Dependency not found")</x:f>
        <x:v>Not Started</x:v>
      </x:c>
      <x:c r="G177" s="6" t="str">
        <x:v>iPhone 6S+ Battery Replacement</x:v>
      </x:c>
      <x:c r="H177" s="6" t="str"/>
      <x:c r="I177" s="6" t="str"/>
      <x:c r="J177" s="6" t="str">
        <x:v>Unknown</x:v>
      </x:c>
      <x:c r="K177" s="6" t="str">
        <x:v>Unresolved</x:v>
      </x:c>
      <x:c r="L177" s="7" t="str">
        <x:v>Nocturnix_Master_Services_Catalog_v1.xlsx | 01 - Master Services | row 216</x:v>
      </x:c>
      <x:c r="M177" s="6" t="str"/>
      <x:c r="N177" s="6" t="str"/>
      <x:c r="O177" s="6" t="str">
        <x:v>Pending</x:v>
      </x:c>
      <x:c r="P177" s="7" t="str">
        <x:f>IF(AND(OR(D177="Reviewer Complete",D177="Awaiting Second-Level Approval"),OR(F177="Reviewer Complete",F177="Awaiting Second-Level Approval")),"","Identity/manufacturer dependency unresolved")</x:f>
        <x:v>Identity/manufacturer dependency unresolved</x:v>
      </x:c>
      <x:c r="Q177" s="6" t="str">
        <x:v>Yes</x:v>
      </x:c>
      <x:c r="R177" s="7" t="str"/>
    </x:row>
    <x:row r="178">
      <x:c r="A178" s="6" t="str">
        <x:v>DEVX-0177</x:v>
      </x:c>
      <x:c r="B178" s="6" t="str">
        <x:v>SVC000177</x:v>
      </x:c>
      <x:c r="C178" s="6" t="str">
        <x:v>SIDX-0177</x:v>
      </x:c>
      <x:c r="D178" s="6" t="str">
        <x:f>IFERROR(XLOOKUP(C178,'Review Sequence'!C2:C1586,'Review Sequence'!J2:J1586),"Dependency not found")</x:f>
        <x:v>Not Started</x:v>
      </x:c>
      <x:c r="E178" s="6" t="str">
        <x:v>MFRX-0177</x:v>
      </x:c>
      <x:c r="F178" s="6" t="str">
        <x:f>IFERROR(XLOOKUP(E178,'Review Sequence'!C2:C1586,'Review Sequence'!J2:J1586),"Dependency not found")</x:f>
        <x:v>Not Started</x:v>
      </x:c>
      <x:c r="G178" s="6" t="str">
        <x:v>iPhone 6S+ Battery Replacement</x:v>
      </x:c>
      <x:c r="H178" s="6" t="str"/>
      <x:c r="I178" s="6" t="str"/>
      <x:c r="J178" s="6" t="str">
        <x:v>Unknown</x:v>
      </x:c>
      <x:c r="K178" s="6" t="str">
        <x:v>Unresolved</x:v>
      </x:c>
      <x:c r="L178" s="7" t="str">
        <x:v>Nocturnix_Master_Services_Catalog_v1.xlsx | 01 - Master Services | row 217</x:v>
      </x:c>
      <x:c r="M178" s="6" t="str"/>
      <x:c r="N178" s="6" t="str"/>
      <x:c r="O178" s="6" t="str">
        <x:v>Pending</x:v>
      </x:c>
      <x:c r="P178" s="7" t="str">
        <x:f>IF(AND(OR(D178="Reviewer Complete",D178="Awaiting Second-Level Approval"),OR(F178="Reviewer Complete",F178="Awaiting Second-Level Approval")),"","Identity/manufacturer dependency unresolved")</x:f>
        <x:v>Identity/manufacturer dependency unresolved</x:v>
      </x:c>
      <x:c r="Q178" s="6" t="str">
        <x:v>Yes</x:v>
      </x:c>
      <x:c r="R178" s="7" t="str"/>
    </x:row>
    <x:row r="179">
      <x:c r="A179" s="6" t="str">
        <x:v>DEVX-0178</x:v>
      </x:c>
      <x:c r="B179" s="6" t="str">
        <x:v>SVC000178</x:v>
      </x:c>
      <x:c r="C179" s="6" t="str">
        <x:v>SIDX-0178</x:v>
      </x:c>
      <x:c r="D179" s="6" t="str">
        <x:f>IFERROR(XLOOKUP(C179,'Review Sequence'!C2:C1586,'Review Sequence'!J2:J1586),"Dependency not found")</x:f>
        <x:v>Not Started</x:v>
      </x:c>
      <x:c r="E179" s="6" t="str">
        <x:v>MFRX-0178</x:v>
      </x:c>
      <x:c r="F179" s="6" t="str">
        <x:f>IFERROR(XLOOKUP(E179,'Review Sequence'!C2:C1586,'Review Sequence'!J2:J1586),"Dependency not found")</x:f>
        <x:v>Not Started</x:v>
      </x:c>
      <x:c r="G179" s="6" t="str">
        <x:v>iPhone 5S Battery Replacement</x:v>
      </x:c>
      <x:c r="H179" s="6" t="str"/>
      <x:c r="I179" s="6" t="str"/>
      <x:c r="J179" s="6" t="str">
        <x:v>Unknown</x:v>
      </x:c>
      <x:c r="K179" s="6" t="str">
        <x:v>Unresolved</x:v>
      </x:c>
      <x:c r="L179" s="7" t="str">
        <x:v>Nocturnix_Master_Services_Catalog_v1.xlsx | 01 - Master Services | row 218</x:v>
      </x:c>
      <x:c r="M179" s="6" t="str"/>
      <x:c r="N179" s="6" t="str"/>
      <x:c r="O179" s="6" t="str">
        <x:v>Pending</x:v>
      </x:c>
      <x:c r="P179" s="7" t="str">
        <x:f>IF(AND(OR(D179="Reviewer Complete",D179="Awaiting Second-Level Approval"),OR(F179="Reviewer Complete",F179="Awaiting Second-Level Approval")),"","Identity/manufacturer dependency unresolved")</x:f>
        <x:v>Identity/manufacturer dependency unresolved</x:v>
      </x:c>
      <x:c r="Q179" s="6" t="str">
        <x:v>Yes</x:v>
      </x:c>
      <x:c r="R179" s="7" t="str"/>
    </x:row>
    <x:row r="180">
      <x:c r="A180" s="6" t="str">
        <x:v>DEVX-0179</x:v>
      </x:c>
      <x:c r="B180" s="6" t="str">
        <x:v>SVC000179</x:v>
      </x:c>
      <x:c r="C180" s="6" t="str">
        <x:v>SIDX-0179</x:v>
      </x:c>
      <x:c r="D180" s="6" t="str">
        <x:f>IFERROR(XLOOKUP(C180,'Review Sequence'!C2:C1586,'Review Sequence'!J2:J1586),"Dependency not found")</x:f>
        <x:v>Not Started</x:v>
      </x:c>
      <x:c r="E180" s="6" t="str">
        <x:v>MFRX-0179</x:v>
      </x:c>
      <x:c r="F180" s="6" t="str">
        <x:f>IFERROR(XLOOKUP(E180,'Review Sequence'!C2:C1586,'Review Sequence'!J2:J1586),"Dependency not found")</x:f>
        <x:v>Not Started</x:v>
      </x:c>
      <x:c r="G180" s="6" t="str">
        <x:v>iPhone 14 Battery Replacement</x:v>
      </x:c>
      <x:c r="H180" s="6" t="str"/>
      <x:c r="I180" s="6" t="str"/>
      <x:c r="J180" s="6" t="str">
        <x:v>Unknown</x:v>
      </x:c>
      <x:c r="K180" s="6" t="str">
        <x:v>Unresolved</x:v>
      </x:c>
      <x:c r="L180" s="7" t="str">
        <x:v>Nocturnix_Master_Services_Catalog_v1.xlsx | 01 - Master Services | row 219</x:v>
      </x:c>
      <x:c r="M180" s="6" t="str"/>
      <x:c r="N180" s="6" t="str"/>
      <x:c r="O180" s="6" t="str">
        <x:v>Pending</x:v>
      </x:c>
      <x:c r="P180" s="7" t="str">
        <x:f>IF(AND(OR(D180="Reviewer Complete",D180="Awaiting Second-Level Approval"),OR(F180="Reviewer Complete",F180="Awaiting Second-Level Approval")),"","Identity/manufacturer dependency unresolved")</x:f>
        <x:v>Identity/manufacturer dependency unresolved</x:v>
      </x:c>
      <x:c r="Q180" s="6" t="str">
        <x:v>Yes</x:v>
      </x:c>
      <x:c r="R180" s="7" t="str"/>
    </x:row>
    <x:row r="181">
      <x:c r="A181" s="6" t="str">
        <x:v>DEVX-0180</x:v>
      </x:c>
      <x:c r="B181" s="6" t="str">
        <x:v>SVC000180</x:v>
      </x:c>
      <x:c r="C181" s="6" t="str">
        <x:v>SIDX-0180</x:v>
      </x:c>
      <x:c r="D181" s="6" t="str">
        <x:f>IFERROR(XLOOKUP(C181,'Review Sequence'!C2:C1586,'Review Sequence'!J2:J1586),"Dependency not found")</x:f>
        <x:v>Not Started</x:v>
      </x:c>
      <x:c r="E181" s="6" t="str">
        <x:v>MFRX-0180</x:v>
      </x:c>
      <x:c r="F181" s="6" t="str">
        <x:f>IFERROR(XLOOKUP(E181,'Review Sequence'!C2:C1586,'Review Sequence'!J2:J1586),"Dependency not found")</x:f>
        <x:v>Not Started</x:v>
      </x:c>
      <x:c r="G181" s="6" t="str">
        <x:v>iPhone 6+ Battery Replacement</x:v>
      </x:c>
      <x:c r="H181" s="6" t="str"/>
      <x:c r="I181" s="6" t="str"/>
      <x:c r="J181" s="6" t="str">
        <x:v>Unknown</x:v>
      </x:c>
      <x:c r="K181" s="6" t="str">
        <x:v>Unresolved</x:v>
      </x:c>
      <x:c r="L181" s="7" t="str">
        <x:v>Nocturnix_Master_Services_Catalog_v1.xlsx | 01 - Master Services | row 220</x:v>
      </x:c>
      <x:c r="M181" s="6" t="str"/>
      <x:c r="N181" s="6" t="str"/>
      <x:c r="O181" s="6" t="str">
        <x:v>Pending</x:v>
      </x:c>
      <x:c r="P181" s="7" t="str">
        <x:f>IF(AND(OR(D181="Reviewer Complete",D181="Awaiting Second-Level Approval"),OR(F181="Reviewer Complete",F181="Awaiting Second-Level Approval")),"","Identity/manufacturer dependency unresolved")</x:f>
        <x:v>Identity/manufacturer dependency unresolved</x:v>
      </x:c>
      <x:c r="Q181" s="6" t="str">
        <x:v>Yes</x:v>
      </x:c>
      <x:c r="R181" s="7" t="str"/>
    </x:row>
    <x:row r="182">
      <x:c r="A182" s="6" t="str">
        <x:v>DEVX-0181</x:v>
      </x:c>
      <x:c r="B182" s="6" t="str">
        <x:v>SVC000181</x:v>
      </x:c>
      <x:c r="C182" s="6" t="str">
        <x:v>SIDX-0181</x:v>
      </x:c>
      <x:c r="D182" s="6" t="str">
        <x:f>IFERROR(XLOOKUP(C182,'Review Sequence'!C2:C1586,'Review Sequence'!J2:J1586),"Dependency not found")</x:f>
        <x:v>Not Started</x:v>
      </x:c>
      <x:c r="E182" s="6" t="str">
        <x:v>MFRX-0181</x:v>
      </x:c>
      <x:c r="F182" s="6" t="str">
        <x:f>IFERROR(XLOOKUP(E182,'Review Sequence'!C2:C1586,'Review Sequence'!J2:J1586),"Dependency not found")</x:f>
        <x:v>Not Started</x:v>
      </x:c>
      <x:c r="G182" s="6" t="str">
        <x:v>iPhone 16E Battery Replacement</x:v>
      </x:c>
      <x:c r="H182" s="6" t="str"/>
      <x:c r="I182" s="6" t="str"/>
      <x:c r="J182" s="6" t="str">
        <x:v>Unknown</x:v>
      </x:c>
      <x:c r="K182" s="6" t="str">
        <x:v>Unresolved</x:v>
      </x:c>
      <x:c r="L182" s="7" t="str">
        <x:v>Nocturnix_Master_Services_Catalog_v1.xlsx | 01 - Master Services | row 221</x:v>
      </x:c>
      <x:c r="M182" s="6" t="str"/>
      <x:c r="N182" s="6" t="str"/>
      <x:c r="O182" s="6" t="str">
        <x:v>Pending</x:v>
      </x:c>
      <x:c r="P182" s="7" t="str">
        <x:f>IF(AND(OR(D182="Reviewer Complete",D182="Awaiting Second-Level Approval"),OR(F182="Reviewer Complete",F182="Awaiting Second-Level Approval")),"","Identity/manufacturer dependency unresolved")</x:f>
        <x:v>Identity/manufacturer dependency unresolved</x:v>
      </x:c>
      <x:c r="Q182" s="6" t="str">
        <x:v>Yes</x:v>
      </x:c>
      <x:c r="R182" s="7" t="str"/>
    </x:row>
    <x:row r="183">
      <x:c r="A183" s="6" t="str">
        <x:v>DEVX-0182</x:v>
      </x:c>
      <x:c r="B183" s="6" t="str">
        <x:v>SVC000182</x:v>
      </x:c>
      <x:c r="C183" s="6" t="str">
        <x:v>SIDX-0182</x:v>
      </x:c>
      <x:c r="D183" s="6" t="str">
        <x:f>IFERROR(XLOOKUP(C183,'Review Sequence'!C2:C1586,'Review Sequence'!J2:J1586),"Dependency not found")</x:f>
        <x:v>Not Started</x:v>
      </x:c>
      <x:c r="E183" s="6" t="str">
        <x:v>MFRX-0182</x:v>
      </x:c>
      <x:c r="F183" s="6" t="str">
        <x:f>IFERROR(XLOOKUP(E183,'Review Sequence'!C2:C1586,'Review Sequence'!J2:J1586),"Dependency not found")</x:f>
        <x:v>Not Started</x:v>
      </x:c>
      <x:c r="G183" s="6" t="str">
        <x:v>iPhone 17 Battery Replacement</x:v>
      </x:c>
      <x:c r="H183" s="6" t="str"/>
      <x:c r="I183" s="6" t="str"/>
      <x:c r="J183" s="6" t="str">
        <x:v>Unknown</x:v>
      </x:c>
      <x:c r="K183" s="6" t="str">
        <x:v>Unresolved</x:v>
      </x:c>
      <x:c r="L183" s="7" t="str">
        <x:v>Nocturnix_Master_Services_Catalog_v1.xlsx | 01 - Master Services | row 222</x:v>
      </x:c>
      <x:c r="M183" s="6" t="str"/>
      <x:c r="N183" s="6" t="str"/>
      <x:c r="O183" s="6" t="str">
        <x:v>Pending</x:v>
      </x:c>
      <x:c r="P183" s="7" t="str">
        <x:f>IF(AND(OR(D183="Reviewer Complete",D183="Awaiting Second-Level Approval"),OR(F183="Reviewer Complete",F183="Awaiting Second-Level Approval")),"","Identity/manufacturer dependency unresolved")</x:f>
        <x:v>Identity/manufacturer dependency unresolved</x:v>
      </x:c>
      <x:c r="Q183" s="6" t="str">
        <x:v>Yes</x:v>
      </x:c>
      <x:c r="R183" s="7" t="str"/>
    </x:row>
    <x:row r="184">
      <x:c r="A184" s="6" t="str">
        <x:v>DEVX-0183</x:v>
      </x:c>
      <x:c r="B184" s="6" t="str">
        <x:v>SVC000183</x:v>
      </x:c>
      <x:c r="C184" s="6" t="str">
        <x:v>SIDX-0183</x:v>
      </x:c>
      <x:c r="D184" s="6" t="str">
        <x:f>IFERROR(XLOOKUP(C184,'Review Sequence'!C2:C1586,'Review Sequence'!J2:J1586),"Dependency not found")</x:f>
        <x:v>Not Started</x:v>
      </x:c>
      <x:c r="E184" s="6" t="str">
        <x:v>MFRX-0183</x:v>
      </x:c>
      <x:c r="F184" s="6" t="str">
        <x:f>IFERROR(XLOOKUP(E184,'Review Sequence'!C2:C1586,'Review Sequence'!J2:J1586),"Dependency not found")</x:f>
        <x:v>Not Started</x:v>
      </x:c>
      <x:c r="G184" s="6" t="str">
        <x:v>iPhone 16 Plus Battery Replacement</x:v>
      </x:c>
      <x:c r="H184" s="6" t="str"/>
      <x:c r="I184" s="6" t="str"/>
      <x:c r="J184" s="6" t="str">
        <x:v>Unknown</x:v>
      </x:c>
      <x:c r="K184" s="6" t="str">
        <x:v>Unresolved</x:v>
      </x:c>
      <x:c r="L184" s="7" t="str">
        <x:v>Nocturnix_Master_Services_Catalog_v1.xlsx | 01 - Master Services | row 223</x:v>
      </x:c>
      <x:c r="M184" s="6" t="str"/>
      <x:c r="N184" s="6" t="str"/>
      <x:c r="O184" s="6" t="str">
        <x:v>Pending</x:v>
      </x:c>
      <x:c r="P184" s="7" t="str">
        <x:f>IF(AND(OR(D184="Reviewer Complete",D184="Awaiting Second-Level Approval"),OR(F184="Reviewer Complete",F184="Awaiting Second-Level Approval")),"","Identity/manufacturer dependency unresolved")</x:f>
        <x:v>Identity/manufacturer dependency unresolved</x:v>
      </x:c>
      <x:c r="Q184" s="6" t="str">
        <x:v>Yes</x:v>
      </x:c>
      <x:c r="R184" s="7" t="str"/>
    </x:row>
    <x:row r="185">
      <x:c r="A185" s="6" t="str">
        <x:v>DEVX-0184</x:v>
      </x:c>
      <x:c r="B185" s="6" t="str">
        <x:v>SVC000184</x:v>
      </x:c>
      <x:c r="C185" s="6" t="str">
        <x:v>SIDX-0184</x:v>
      </x:c>
      <x:c r="D185" s="6" t="str">
        <x:f>IFERROR(XLOOKUP(C185,'Review Sequence'!C2:C1586,'Review Sequence'!J2:J1586),"Dependency not found")</x:f>
        <x:v>Not Started</x:v>
      </x:c>
      <x:c r="E185" s="6" t="str">
        <x:v>MFRX-0184</x:v>
      </x:c>
      <x:c r="F185" s="6" t="str">
        <x:f>IFERROR(XLOOKUP(E185,'Review Sequence'!C2:C1586,'Review Sequence'!J2:J1586),"Dependency not found")</x:f>
        <x:v>Not Started</x:v>
      </x:c>
      <x:c r="G185" s="6" t="str">
        <x:v>iPhone 16 Pro Max Battery Replacement</x:v>
      </x:c>
      <x:c r="H185" s="6" t="str"/>
      <x:c r="I185" s="6" t="str"/>
      <x:c r="J185" s="6" t="str">
        <x:v>Unknown</x:v>
      </x:c>
      <x:c r="K185" s="6" t="str">
        <x:v>Unresolved</x:v>
      </x:c>
      <x:c r="L185" s="7" t="str">
        <x:v>Nocturnix_Master_Services_Catalog_v1.xlsx | 01 - Master Services | row 224</x:v>
      </x:c>
      <x:c r="M185" s="6" t="str"/>
      <x:c r="N185" s="6" t="str"/>
      <x:c r="O185" s="6" t="str">
        <x:v>Pending</x:v>
      </x:c>
      <x:c r="P185" s="7" t="str">
        <x:f>IF(AND(OR(D185="Reviewer Complete",D185="Awaiting Second-Level Approval"),OR(F185="Reviewer Complete",F185="Awaiting Second-Level Approval")),"","Identity/manufacturer dependency unresolved")</x:f>
        <x:v>Identity/manufacturer dependency unresolved</x:v>
      </x:c>
      <x:c r="Q185" s="6" t="str">
        <x:v>Yes</x:v>
      </x:c>
      <x:c r="R185" s="7" t="str"/>
    </x:row>
    <x:row r="186">
      <x:c r="A186" s="6" t="str">
        <x:v>DEVX-0185</x:v>
      </x:c>
      <x:c r="B186" s="6" t="str">
        <x:v>SVC000185</x:v>
      </x:c>
      <x:c r="C186" s="6" t="str">
        <x:v>SIDX-0185</x:v>
      </x:c>
      <x:c r="D186" s="6" t="str">
        <x:f>IFERROR(XLOOKUP(C186,'Review Sequence'!C2:C1586,'Review Sequence'!J2:J1586),"Dependency not found")</x:f>
        <x:v>Not Started</x:v>
      </x:c>
      <x:c r="E186" s="6" t="str">
        <x:v>MFRX-0185</x:v>
      </x:c>
      <x:c r="F186" s="6" t="str">
        <x:f>IFERROR(XLOOKUP(E186,'Review Sequence'!C2:C1586,'Review Sequence'!J2:J1586),"Dependency not found")</x:f>
        <x:v>Not Started</x:v>
      </x:c>
      <x:c r="G186" s="6" t="str">
        <x:v>iPhone 16 Battery Replacement</x:v>
      </x:c>
      <x:c r="H186" s="6" t="str"/>
      <x:c r="I186" s="6" t="str"/>
      <x:c r="J186" s="6" t="str">
        <x:v>Unknown</x:v>
      </x:c>
      <x:c r="K186" s="6" t="str">
        <x:v>Unresolved</x:v>
      </x:c>
      <x:c r="L186" s="7" t="str">
        <x:v>Nocturnix_Master_Services_Catalog_v1.xlsx | 01 - Master Services | row 225</x:v>
      </x:c>
      <x:c r="M186" s="6" t="str"/>
      <x:c r="N186" s="6" t="str"/>
      <x:c r="O186" s="6" t="str">
        <x:v>Pending</x:v>
      </x:c>
      <x:c r="P186" s="7" t="str">
        <x:f>IF(AND(OR(D186="Reviewer Complete",D186="Awaiting Second-Level Approval"),OR(F186="Reviewer Complete",F186="Awaiting Second-Level Approval")),"","Identity/manufacturer dependency unresolved")</x:f>
        <x:v>Identity/manufacturer dependency unresolved</x:v>
      </x:c>
      <x:c r="Q186" s="6" t="str">
        <x:v>Yes</x:v>
      </x:c>
      <x:c r="R186" s="7" t="str"/>
    </x:row>
    <x:row r="187">
      <x:c r="A187" s="6" t="str">
        <x:v>DEVX-0186</x:v>
      </x:c>
      <x:c r="B187" s="6" t="str">
        <x:v>SVC000186</x:v>
      </x:c>
      <x:c r="C187" s="6" t="str">
        <x:v>SIDX-0186</x:v>
      </x:c>
      <x:c r="D187" s="6" t="str">
        <x:f>IFERROR(XLOOKUP(C187,'Review Sequence'!C2:C1586,'Review Sequence'!J2:J1586),"Dependency not found")</x:f>
        <x:v>Not Started</x:v>
      </x:c>
      <x:c r="E187" s="6" t="str">
        <x:v>MFRX-0186</x:v>
      </x:c>
      <x:c r="F187" s="6" t="str">
        <x:f>IFERROR(XLOOKUP(E187,'Review Sequence'!C2:C1586,'Review Sequence'!J2:J1586),"Dependency not found")</x:f>
        <x:v>Not Started</x:v>
      </x:c>
      <x:c r="G187" s="6" t="str">
        <x:v>iPhone 15 Pro Max Battery Replacement</x:v>
      </x:c>
      <x:c r="H187" s="6" t="str"/>
      <x:c r="I187" s="6" t="str"/>
      <x:c r="J187" s="6" t="str">
        <x:v>Unknown</x:v>
      </x:c>
      <x:c r="K187" s="6" t="str">
        <x:v>Unresolved</x:v>
      </x:c>
      <x:c r="L187" s="7" t="str">
        <x:v>Nocturnix_Master_Services_Catalog_v1.xlsx | 01 - Master Services | row 226</x:v>
      </x:c>
      <x:c r="M187" s="6" t="str"/>
      <x:c r="N187" s="6" t="str"/>
      <x:c r="O187" s="6" t="str">
        <x:v>Pending</x:v>
      </x:c>
      <x:c r="P187" s="7" t="str">
        <x:f>IF(AND(OR(D187="Reviewer Complete",D187="Awaiting Second-Level Approval"),OR(F187="Reviewer Complete",F187="Awaiting Second-Level Approval")),"","Identity/manufacturer dependency unresolved")</x:f>
        <x:v>Identity/manufacturer dependency unresolved</x:v>
      </x:c>
      <x:c r="Q187" s="6" t="str">
        <x:v>Yes</x:v>
      </x:c>
      <x:c r="R187" s="7" t="str"/>
    </x:row>
    <x:row r="188">
      <x:c r="A188" s="6" t="str">
        <x:v>DEVX-0187</x:v>
      </x:c>
      <x:c r="B188" s="6" t="str">
        <x:v>SVC000187</x:v>
      </x:c>
      <x:c r="C188" s="6" t="str">
        <x:v>SIDX-0187</x:v>
      </x:c>
      <x:c r="D188" s="6" t="str">
        <x:f>IFERROR(XLOOKUP(C188,'Review Sequence'!C2:C1586,'Review Sequence'!J2:J1586),"Dependency not found")</x:f>
        <x:v>Not Started</x:v>
      </x:c>
      <x:c r="E188" s="6" t="str">
        <x:v>MFRX-0187</x:v>
      </x:c>
      <x:c r="F188" s="6" t="str">
        <x:f>IFERROR(XLOOKUP(E188,'Review Sequence'!C2:C1586,'Review Sequence'!J2:J1586),"Dependency not found")</x:f>
        <x:v>Not Started</x:v>
      </x:c>
      <x:c r="G188" s="6" t="str">
        <x:v>iPhone 15 Pro Phone Battery Replacement</x:v>
      </x:c>
      <x:c r="H188" s="6" t="str"/>
      <x:c r="I188" s="6" t="str"/>
      <x:c r="J188" s="6" t="str">
        <x:v>Unknown</x:v>
      </x:c>
      <x:c r="K188" s="6" t="str">
        <x:v>Unresolved</x:v>
      </x:c>
      <x:c r="L188" s="7" t="str">
        <x:v>Nocturnix_Master_Services_Catalog_v1.xlsx | 01 - Master Services | row 227</x:v>
      </x:c>
      <x:c r="M188" s="6" t="str"/>
      <x:c r="N188" s="6" t="str"/>
      <x:c r="O188" s="6" t="str">
        <x:v>Pending</x:v>
      </x:c>
      <x:c r="P188" s="7" t="str">
        <x:f>IF(AND(OR(D188="Reviewer Complete",D188="Awaiting Second-Level Approval"),OR(F188="Reviewer Complete",F188="Awaiting Second-Level Approval")),"","Identity/manufacturer dependency unresolved")</x:f>
        <x:v>Identity/manufacturer dependency unresolved</x:v>
      </x:c>
      <x:c r="Q188" s="6" t="str">
        <x:v>Yes</x:v>
      </x:c>
      <x:c r="R188" s="7" t="str"/>
    </x:row>
    <x:row r="189">
      <x:c r="A189" s="6" t="str">
        <x:v>DEVX-0188</x:v>
      </x:c>
      <x:c r="B189" s="6" t="str">
        <x:v>SVC000188</x:v>
      </x:c>
      <x:c r="C189" s="6" t="str">
        <x:v>SIDX-0188</x:v>
      </x:c>
      <x:c r="D189" s="6" t="str">
        <x:f>IFERROR(XLOOKUP(C189,'Review Sequence'!C2:C1586,'Review Sequence'!J2:J1586),"Dependency not found")</x:f>
        <x:v>Not Started</x:v>
      </x:c>
      <x:c r="E189" s="6" t="str">
        <x:v>MFRX-0188</x:v>
      </x:c>
      <x:c r="F189" s="6" t="str">
        <x:f>IFERROR(XLOOKUP(E189,'Review Sequence'!C2:C1586,'Review Sequence'!J2:J1586),"Dependency not found")</x:f>
        <x:v>Not Started</x:v>
      </x:c>
      <x:c r="G189" s="6" t="str">
        <x:v>iPhone 15 Plus Battery Replacement</x:v>
      </x:c>
      <x:c r="H189" s="6" t="str"/>
      <x:c r="I189" s="6" t="str"/>
      <x:c r="J189" s="6" t="str">
        <x:v>Unknown</x:v>
      </x:c>
      <x:c r="K189" s="6" t="str">
        <x:v>Unresolved</x:v>
      </x:c>
      <x:c r="L189" s="7" t="str">
        <x:v>Nocturnix_Master_Services_Catalog_v1.xlsx | 01 - Master Services | row 228</x:v>
      </x:c>
      <x:c r="M189" s="6" t="str"/>
      <x:c r="N189" s="6" t="str"/>
      <x:c r="O189" s="6" t="str">
        <x:v>Pending</x:v>
      </x:c>
      <x:c r="P189" s="7" t="str">
        <x:f>IF(AND(OR(D189="Reviewer Complete",D189="Awaiting Second-Level Approval"),OR(F189="Reviewer Complete",F189="Awaiting Second-Level Approval")),"","Identity/manufacturer dependency unresolved")</x:f>
        <x:v>Identity/manufacturer dependency unresolved</x:v>
      </x:c>
      <x:c r="Q189" s="6" t="str">
        <x:v>Yes</x:v>
      </x:c>
      <x:c r="R189" s="7" t="str"/>
    </x:row>
    <x:row r="190">
      <x:c r="A190" s="6" t="str">
        <x:v>DEVX-0189</x:v>
      </x:c>
      <x:c r="B190" s="6" t="str">
        <x:v>SVC000189</x:v>
      </x:c>
      <x:c r="C190" s="6" t="str">
        <x:v>SIDX-0189</x:v>
      </x:c>
      <x:c r="D190" s="6" t="str">
        <x:f>IFERROR(XLOOKUP(C190,'Review Sequence'!C2:C1586,'Review Sequence'!J2:J1586),"Dependency not found")</x:f>
        <x:v>Not Started</x:v>
      </x:c>
      <x:c r="E190" s="6" t="str">
        <x:v>MFRX-0189</x:v>
      </x:c>
      <x:c r="F190" s="6" t="str">
        <x:f>IFERROR(XLOOKUP(E190,'Review Sequence'!C2:C1586,'Review Sequence'!J2:J1586),"Dependency not found")</x:f>
        <x:v>Not Started</x:v>
      </x:c>
      <x:c r="G190" s="6" t="str">
        <x:v>iPhone 16 Pro Battery Replacement</x:v>
      </x:c>
      <x:c r="H190" s="6" t="str"/>
      <x:c r="I190" s="6" t="str"/>
      <x:c r="J190" s="6" t="str">
        <x:v>Unknown</x:v>
      </x:c>
      <x:c r="K190" s="6" t="str">
        <x:v>Unresolved</x:v>
      </x:c>
      <x:c r="L190" s="7" t="str">
        <x:v>Nocturnix_Master_Services_Catalog_v1.xlsx | 01 - Master Services | row 229</x:v>
      </x:c>
      <x:c r="M190" s="6" t="str"/>
      <x:c r="N190" s="6" t="str"/>
      <x:c r="O190" s="6" t="str">
        <x:v>Pending</x:v>
      </x:c>
      <x:c r="P190" s="7" t="str">
        <x:f>IF(AND(OR(D190="Reviewer Complete",D190="Awaiting Second-Level Approval"),OR(F190="Reviewer Complete",F190="Awaiting Second-Level Approval")),"","Identity/manufacturer dependency unresolved")</x:f>
        <x:v>Identity/manufacturer dependency unresolved</x:v>
      </x:c>
      <x:c r="Q190" s="6" t="str">
        <x:v>Yes</x:v>
      </x:c>
      <x:c r="R190" s="7" t="str"/>
    </x:row>
    <x:row r="191">
      <x:c r="A191" s="6" t="str">
        <x:v>DEVX-0190</x:v>
      </x:c>
      <x:c r="B191" s="6" t="str">
        <x:v>SVC000190</x:v>
      </x:c>
      <x:c r="C191" s="6" t="str">
        <x:v>SIDX-0190</x:v>
      </x:c>
      <x:c r="D191" s="6" t="str">
        <x:f>IFERROR(XLOOKUP(C191,'Review Sequence'!C2:C1586,'Review Sequence'!J2:J1586),"Dependency not found")</x:f>
        <x:v>Not Started</x:v>
      </x:c>
      <x:c r="E191" s="6" t="str">
        <x:v>MFRX-0190</x:v>
      </x:c>
      <x:c r="F191" s="6" t="str">
        <x:f>IFERROR(XLOOKUP(E191,'Review Sequence'!C2:C1586,'Review Sequence'!J2:J1586),"Dependency not found")</x:f>
        <x:v>Not Started</x:v>
      </x:c>
      <x:c r="G191" s="6" t="str">
        <x:v>iPhone 15 Battery Replacement</x:v>
      </x:c>
      <x:c r="H191" s="6" t="str"/>
      <x:c r="I191" s="6" t="str"/>
      <x:c r="J191" s="6" t="str">
        <x:v>Unknown</x:v>
      </x:c>
      <x:c r="K191" s="6" t="str">
        <x:v>Unresolved</x:v>
      </x:c>
      <x:c r="L191" s="7" t="str">
        <x:v>Nocturnix_Master_Services_Catalog_v1.xlsx | 01 - Master Services | row 230</x:v>
      </x:c>
      <x:c r="M191" s="6" t="str"/>
      <x:c r="N191" s="6" t="str"/>
      <x:c r="O191" s="6" t="str">
        <x:v>Pending</x:v>
      </x:c>
      <x:c r="P191" s="7" t="str">
        <x:f>IF(AND(OR(D191="Reviewer Complete",D191="Awaiting Second-Level Approval"),OR(F191="Reviewer Complete",F191="Awaiting Second-Level Approval")),"","Identity/manufacturer dependency unresolved")</x:f>
        <x:v>Identity/manufacturer dependency unresolved</x:v>
      </x:c>
      <x:c r="Q191" s="6" t="str">
        <x:v>Yes</x:v>
      </x:c>
      <x:c r="R191" s="7" t="str"/>
    </x:row>
    <x:row r="192">
      <x:c r="A192" s="6" t="str">
        <x:v>DEVX-0191</x:v>
      </x:c>
      <x:c r="B192" s="6" t="str">
        <x:v>SVC000191</x:v>
      </x:c>
      <x:c r="C192" s="6" t="str">
        <x:v>SIDX-0191</x:v>
      </x:c>
      <x:c r="D192" s="6" t="str">
        <x:f>IFERROR(XLOOKUP(C192,'Review Sequence'!C2:C1586,'Review Sequence'!J2:J1586),"Dependency not found")</x:f>
        <x:v>Not Started</x:v>
      </x:c>
      <x:c r="E192" s="6" t="str">
        <x:v>MFRX-0191</x:v>
      </x:c>
      <x:c r="F192" s="6" t="str">
        <x:f>IFERROR(XLOOKUP(E192,'Review Sequence'!C2:C1586,'Review Sequence'!J2:J1586),"Dependency not found")</x:f>
        <x:v>Not Started</x:v>
      </x:c>
      <x:c r="G192" s="6" t="str">
        <x:v>iPhone 14 Pro Battery Replacement</x:v>
      </x:c>
      <x:c r="H192" s="6" t="str"/>
      <x:c r="I192" s="6" t="str"/>
      <x:c r="J192" s="6" t="str">
        <x:v>Unknown</x:v>
      </x:c>
      <x:c r="K192" s="6" t="str">
        <x:v>Unresolved</x:v>
      </x:c>
      <x:c r="L192" s="7" t="str">
        <x:v>Nocturnix_Master_Services_Catalog_v1.xlsx | 01 - Master Services | row 231</x:v>
      </x:c>
      <x:c r="M192" s="6" t="str"/>
      <x:c r="N192" s="6" t="str"/>
      <x:c r="O192" s="6" t="str">
        <x:v>Pending</x:v>
      </x:c>
      <x:c r="P192" s="7" t="str">
        <x:f>IF(AND(OR(D192="Reviewer Complete",D192="Awaiting Second-Level Approval"),OR(F192="Reviewer Complete",F192="Awaiting Second-Level Approval")),"","Identity/manufacturer dependency unresolved")</x:f>
        <x:v>Identity/manufacturer dependency unresolved</x:v>
      </x:c>
      <x:c r="Q192" s="6" t="str">
        <x:v>Yes</x:v>
      </x:c>
      <x:c r="R192" s="7" t="str"/>
    </x:row>
    <x:row r="193">
      <x:c r="A193" s="6" t="str">
        <x:v>DEVX-0192</x:v>
      </x:c>
      <x:c r="B193" s="6" t="str">
        <x:v>SVC000192</x:v>
      </x:c>
      <x:c r="C193" s="6" t="str">
        <x:v>SIDX-0192</x:v>
      </x:c>
      <x:c r="D193" s="6" t="str">
        <x:f>IFERROR(XLOOKUP(C193,'Review Sequence'!C2:C1586,'Review Sequence'!J2:J1586),"Dependency not found")</x:f>
        <x:v>Not Started</x:v>
      </x:c>
      <x:c r="E193" s="6" t="str">
        <x:v>MFRX-0192</x:v>
      </x:c>
      <x:c r="F193" s="6" t="str">
        <x:f>IFERROR(XLOOKUP(E193,'Review Sequence'!C2:C1586,'Review Sequence'!J2:J1586),"Dependency not found")</x:f>
        <x:v>Not Started</x:v>
      </x:c>
      <x:c r="G193" s="6" t="str">
        <x:v>iPhone 17 Pro Battery Replacement</x:v>
      </x:c>
      <x:c r="H193" s="6" t="str"/>
      <x:c r="I193" s="6" t="str"/>
      <x:c r="J193" s="6" t="str">
        <x:v>Unknown</x:v>
      </x:c>
      <x:c r="K193" s="6" t="str">
        <x:v>Unresolved</x:v>
      </x:c>
      <x:c r="L193" s="7" t="str">
        <x:v>Nocturnix_Master_Services_Catalog_v1.xlsx | 01 - Master Services | row 232</x:v>
      </x:c>
      <x:c r="M193" s="6" t="str"/>
      <x:c r="N193" s="6" t="str"/>
      <x:c r="O193" s="6" t="str">
        <x:v>Pending</x:v>
      </x:c>
      <x:c r="P193" s="7" t="str">
        <x:f>IF(AND(OR(D193="Reviewer Complete",D193="Awaiting Second-Level Approval"),OR(F193="Reviewer Complete",F193="Awaiting Second-Level Approval")),"","Identity/manufacturer dependency unresolved")</x:f>
        <x:v>Identity/manufacturer dependency unresolved</x:v>
      </x:c>
      <x:c r="Q193" s="6" t="str">
        <x:v>Yes</x:v>
      </x:c>
      <x:c r="R193" s="7" t="str"/>
    </x:row>
    <x:row r="194">
      <x:c r="A194" s="6" t="str">
        <x:v>DEVX-0193</x:v>
      </x:c>
      <x:c r="B194" s="6" t="str">
        <x:v>SVC000193</x:v>
      </x:c>
      <x:c r="C194" s="6" t="str">
        <x:v>SIDX-0193</x:v>
      </x:c>
      <x:c r="D194" s="6" t="str">
        <x:f>IFERROR(XLOOKUP(C194,'Review Sequence'!C2:C1586,'Review Sequence'!J2:J1586),"Dependency not found")</x:f>
        <x:v>Not Started</x:v>
      </x:c>
      <x:c r="E194" s="6" t="str">
        <x:v>MFRX-0193</x:v>
      </x:c>
      <x:c r="F194" s="6" t="str">
        <x:f>IFERROR(XLOOKUP(E194,'Review Sequence'!C2:C1586,'Review Sequence'!J2:J1586),"Dependency not found")</x:f>
        <x:v>Not Started</x:v>
      </x:c>
      <x:c r="G194" s="6" t="str">
        <x:v>iPhone 17 Pro Max Phone* Battery Replacement</x:v>
      </x:c>
      <x:c r="H194" s="6" t="str"/>
      <x:c r="I194" s="6" t="str"/>
      <x:c r="J194" s="6" t="str">
        <x:v>Unknown</x:v>
      </x:c>
      <x:c r="K194" s="6" t="str">
        <x:v>Unresolved</x:v>
      </x:c>
      <x:c r="L194" s="7" t="str">
        <x:v>Nocturnix_Master_Services_Catalog_v1.xlsx | 01 - Master Services | row 233</x:v>
      </x:c>
      <x:c r="M194" s="6" t="str"/>
      <x:c r="N194" s="6" t="str"/>
      <x:c r="O194" s="6" t="str">
        <x:v>Pending</x:v>
      </x:c>
      <x:c r="P194" s="7" t="str">
        <x:f>IF(AND(OR(D194="Reviewer Complete",D194="Awaiting Second-Level Approval"),OR(F194="Reviewer Complete",F194="Awaiting Second-Level Approval")),"","Identity/manufacturer dependency unresolved")</x:f>
        <x:v>Identity/manufacturer dependency unresolved</x:v>
      </x:c>
      <x:c r="Q194" s="6" t="str">
        <x:v>Yes</x:v>
      </x:c>
      <x:c r="R194" s="7" t="str"/>
    </x:row>
    <x:row r="195">
      <x:c r="A195" s="6" t="str">
        <x:v>DEVX-0194</x:v>
      </x:c>
      <x:c r="B195" s="6" t="str">
        <x:v>SVC000194</x:v>
      </x:c>
      <x:c r="C195" s="6" t="str">
        <x:v>SIDX-0194</x:v>
      </x:c>
      <x:c r="D195" s="6" t="str">
        <x:f>IFERROR(XLOOKUP(C195,'Review Sequence'!C2:C1586,'Review Sequence'!J2:J1586),"Dependency not found")</x:f>
        <x:v>Not Started</x:v>
      </x:c>
      <x:c r="E195" s="6" t="str">
        <x:v>MFRX-0194</x:v>
      </x:c>
      <x:c r="F195" s="6" t="str">
        <x:f>IFERROR(XLOOKUP(E195,'Review Sequence'!C2:C1586,'Review Sequence'!J2:J1586),"Dependency not found")</x:f>
        <x:v>Not Started</x:v>
      </x:c>
      <x:c r="G195" s="6" t="str">
        <x:v>iPhone Air Battery Replacement</x:v>
      </x:c>
      <x:c r="H195" s="6" t="str"/>
      <x:c r="I195" s="6" t="str"/>
      <x:c r="J195" s="6" t="str">
        <x:v>Unknown</x:v>
      </x:c>
      <x:c r="K195" s="6" t="str">
        <x:v>Unresolved</x:v>
      </x:c>
      <x:c r="L195" s="7" t="str">
        <x:v>Nocturnix_Master_Services_Catalog_v1.xlsx | 01 - Master Services | row 234</x:v>
      </x:c>
      <x:c r="M195" s="6" t="str"/>
      <x:c r="N195" s="6" t="str"/>
      <x:c r="O195" s="6" t="str">
        <x:v>Pending</x:v>
      </x:c>
      <x:c r="P195" s="7" t="str">
        <x:f>IF(AND(OR(D195="Reviewer Complete",D195="Awaiting Second-Level Approval"),OR(F195="Reviewer Complete",F195="Awaiting Second-Level Approval")),"","Identity/manufacturer dependency unresolved")</x:f>
        <x:v>Identity/manufacturer dependency unresolved</x:v>
      </x:c>
      <x:c r="Q195" s="6" t="str">
        <x:v>Yes</x:v>
      </x:c>
      <x:c r="R195" s="7" t="str"/>
    </x:row>
    <x:row r="196">
      <x:c r="A196" s="6" t="str">
        <x:v>DEVX-0195</x:v>
      </x:c>
      <x:c r="B196" s="6" t="str">
        <x:v>SVC000195</x:v>
      </x:c>
      <x:c r="C196" s="6" t="str">
        <x:v>SIDX-0195</x:v>
      </x:c>
      <x:c r="D196" s="6" t="str">
        <x:f>IFERROR(XLOOKUP(C196,'Review Sequence'!C2:C1586,'Review Sequence'!J2:J1586),"Dependency not found")</x:f>
        <x:v>Not Started</x:v>
      </x:c>
      <x:c r="E196" s="6" t="str">
        <x:v>MFRX-0195</x:v>
      </x:c>
      <x:c r="F196" s="6" t="str">
        <x:f>IFERROR(XLOOKUP(E196,'Review Sequence'!C2:C1586,'Review Sequence'!J2:J1586),"Dependency not found")</x:f>
        <x:v>Not Started</x:v>
      </x:c>
      <x:c r="G196" s="6" t="str">
        <x:v>iPhone XR Battery Replacement</x:v>
      </x:c>
      <x:c r="H196" s="6" t="str"/>
      <x:c r="I196" s="6" t="str"/>
      <x:c r="J196" s="6" t="str">
        <x:v>Unknown</x:v>
      </x:c>
      <x:c r="K196" s="6" t="str">
        <x:v>Unresolved</x:v>
      </x:c>
      <x:c r="L196" s="7" t="str">
        <x:v>Nocturnix_Master_Services_Catalog_v1.xlsx | 01 - Master Services | row 235</x:v>
      </x:c>
      <x:c r="M196" s="6" t="str"/>
      <x:c r="N196" s="6" t="str"/>
      <x:c r="O196" s="6" t="str">
        <x:v>Pending</x:v>
      </x:c>
      <x:c r="P196" s="7" t="str">
        <x:f>IF(AND(OR(D196="Reviewer Complete",D196="Awaiting Second-Level Approval"),OR(F196="Reviewer Complete",F196="Awaiting Second-Level Approval")),"","Identity/manufacturer dependency unresolved")</x:f>
        <x:v>Identity/manufacturer dependency unresolved</x:v>
      </x:c>
      <x:c r="Q196" s="6" t="str">
        <x:v>Yes</x:v>
      </x:c>
      <x:c r="R196" s="7" t="str"/>
    </x:row>
    <x:row r="197">
      <x:c r="A197" s="6" t="str">
        <x:v>DEVX-0196</x:v>
      </x:c>
      <x:c r="B197" s="6" t="str">
        <x:v>SVC000196</x:v>
      </x:c>
      <x:c r="C197" s="6" t="str">
        <x:v>SIDX-0196</x:v>
      </x:c>
      <x:c r="D197" s="6" t="str">
        <x:f>IFERROR(XLOOKUP(C197,'Review Sequence'!C2:C1586,'Review Sequence'!J2:J1586),"Dependency not found")</x:f>
        <x:v>Not Started</x:v>
      </x:c>
      <x:c r="E197" s="6" t="str">
        <x:v>MFRX-0196</x:v>
      </x:c>
      <x:c r="F197" s="6" t="str">
        <x:f>IFERROR(XLOOKUP(E197,'Review Sequence'!C2:C1586,'Review Sequence'!J2:J1586),"Dependency not found")</x:f>
        <x:v>Not Started</x:v>
      </x:c>
      <x:c r="G197" s="6" t="str">
        <x:v>iPhone XS Max Battery Replacement</x:v>
      </x:c>
      <x:c r="H197" s="6" t="str"/>
      <x:c r="I197" s="6" t="str"/>
      <x:c r="J197" s="6" t="str">
        <x:v>Unknown</x:v>
      </x:c>
      <x:c r="K197" s="6" t="str">
        <x:v>Unresolved</x:v>
      </x:c>
      <x:c r="L197" s="7" t="str">
        <x:v>Nocturnix_Master_Services_Catalog_v1.xlsx | 01 - Master Services | row 236</x:v>
      </x:c>
      <x:c r="M197" s="6" t="str"/>
      <x:c r="N197" s="6" t="str"/>
      <x:c r="O197" s="6" t="str">
        <x:v>Pending</x:v>
      </x:c>
      <x:c r="P197" s="7" t="str">
        <x:f>IF(AND(OR(D197="Reviewer Complete",D197="Awaiting Second-Level Approval"),OR(F197="Reviewer Complete",F197="Awaiting Second-Level Approval")),"","Identity/manufacturer dependency unresolved")</x:f>
        <x:v>Identity/manufacturer dependency unresolved</x:v>
      </x:c>
      <x:c r="Q197" s="6" t="str">
        <x:v>Yes</x:v>
      </x:c>
      <x:c r="R197" s="7" t="str"/>
    </x:row>
    <x:row r="198">
      <x:c r="A198" s="6" t="str">
        <x:v>DEVX-0197</x:v>
      </x:c>
      <x:c r="B198" s="6" t="str">
        <x:v>SVC000197</x:v>
      </x:c>
      <x:c r="C198" s="6" t="str">
        <x:v>SIDX-0197</x:v>
      </x:c>
      <x:c r="D198" s="6" t="str">
        <x:f>IFERROR(XLOOKUP(C198,'Review Sequence'!C2:C1586,'Review Sequence'!J2:J1586),"Dependency not found")</x:f>
        <x:v>Not Started</x:v>
      </x:c>
      <x:c r="E198" s="6" t="str">
        <x:v>MFRX-0197</x:v>
      </x:c>
      <x:c r="F198" s="6" t="str">
        <x:f>IFERROR(XLOOKUP(E198,'Review Sequence'!C2:C1586,'Review Sequence'!J2:J1586),"Dependency not found")</x:f>
        <x:v>Not Started</x:v>
      </x:c>
      <x:c r="G198" s="6" t="str">
        <x:v>iPhone X Battery Replacement</x:v>
      </x:c>
      <x:c r="H198" s="6" t="str"/>
      <x:c r="I198" s="6" t="str"/>
      <x:c r="J198" s="6" t="str">
        <x:v>Unknown</x:v>
      </x:c>
      <x:c r="K198" s="6" t="str">
        <x:v>Unresolved</x:v>
      </x:c>
      <x:c r="L198" s="7" t="str">
        <x:v>Nocturnix_Master_Services_Catalog_v1.xlsx | 01 - Master Services | row 237</x:v>
      </x:c>
      <x:c r="M198" s="6" t="str"/>
      <x:c r="N198" s="6" t="str"/>
      <x:c r="O198" s="6" t="str">
        <x:v>Pending</x:v>
      </x:c>
      <x:c r="P198" s="7" t="str">
        <x:f>IF(AND(OR(D198="Reviewer Complete",D198="Awaiting Second-Level Approval"),OR(F198="Reviewer Complete",F198="Awaiting Second-Level Approval")),"","Identity/manufacturer dependency unresolved")</x:f>
        <x:v>Identity/manufacturer dependency unresolved</x:v>
      </x:c>
      <x:c r="Q198" s="6" t="str">
        <x:v>Yes</x:v>
      </x:c>
      <x:c r="R198" s="7" t="str"/>
    </x:row>
    <x:row r="199">
      <x:c r="A199" s="6" t="str">
        <x:v>DEVX-0198</x:v>
      </x:c>
      <x:c r="B199" s="6" t="str">
        <x:v>SVC000198</x:v>
      </x:c>
      <x:c r="C199" s="6" t="str">
        <x:v>SIDX-0198</x:v>
      </x:c>
      <x:c r="D199" s="6" t="str">
        <x:f>IFERROR(XLOOKUP(C199,'Review Sequence'!C2:C1586,'Review Sequence'!J2:J1586),"Dependency not found")</x:f>
        <x:v>Not Started</x:v>
      </x:c>
      <x:c r="E199" s="6" t="str">
        <x:v>MFRX-0198</x:v>
      </x:c>
      <x:c r="F199" s="6" t="str">
        <x:f>IFERROR(XLOOKUP(E199,'Review Sequence'!C2:C1586,'Review Sequence'!J2:J1586),"Dependency not found")</x:f>
        <x:v>Not Started</x:v>
      </x:c>
      <x:c r="G199" s="6" t="str">
        <x:v>iPhone SE(1ST GEN) Battery Replacement</x:v>
      </x:c>
      <x:c r="H199" s="6" t="str"/>
      <x:c r="I199" s="6" t="str"/>
      <x:c r="J199" s="6" t="str">
        <x:v>Unknown</x:v>
      </x:c>
      <x:c r="K199" s="6" t="str">
        <x:v>Unresolved</x:v>
      </x:c>
      <x:c r="L199" s="7" t="str">
        <x:v>Nocturnix_Master_Services_Catalog_v1.xlsx | 01 - Master Services | row 238</x:v>
      </x:c>
      <x:c r="M199" s="6" t="str"/>
      <x:c r="N199" s="6" t="str"/>
      <x:c r="O199" s="6" t="str">
        <x:v>Pending</x:v>
      </x:c>
      <x:c r="P199" s="7" t="str">
        <x:f>IF(AND(OR(D199="Reviewer Complete",D199="Awaiting Second-Level Approval"),OR(F199="Reviewer Complete",F199="Awaiting Second-Level Approval")),"","Identity/manufacturer dependency unresolved")</x:f>
        <x:v>Identity/manufacturer dependency unresolved</x:v>
      </x:c>
      <x:c r="Q199" s="6" t="str">
        <x:v>Yes</x:v>
      </x:c>
      <x:c r="R199" s="7" t="str"/>
    </x:row>
    <x:row r="200">
      <x:c r="A200" s="6" t="str">
        <x:v>DEVX-0199</x:v>
      </x:c>
      <x:c r="B200" s="6" t="str">
        <x:v>SVC000199</x:v>
      </x:c>
      <x:c r="C200" s="6" t="str">
        <x:v>SIDX-0199</x:v>
      </x:c>
      <x:c r="D200" s="6" t="str">
        <x:f>IFERROR(XLOOKUP(C200,'Review Sequence'!C2:C1586,'Review Sequence'!J2:J1586),"Dependency not found")</x:f>
        <x:v>Not Started</x:v>
      </x:c>
      <x:c r="E200" s="6" t="str">
        <x:v>MFRX-0199</x:v>
      </x:c>
      <x:c r="F200" s="6" t="str">
        <x:f>IFERROR(XLOOKUP(E200,'Review Sequence'!C2:C1586,'Review Sequence'!J2:J1586),"Dependency not found")</x:f>
        <x:v>Not Started</x:v>
      </x:c>
      <x:c r="G200" s="6" t="str">
        <x:v>iPhone XS Battery Replacement</x:v>
      </x:c>
      <x:c r="H200" s="6" t="str"/>
      <x:c r="I200" s="6" t="str"/>
      <x:c r="J200" s="6" t="str">
        <x:v>Unknown</x:v>
      </x:c>
      <x:c r="K200" s="6" t="str">
        <x:v>Unresolved</x:v>
      </x:c>
      <x:c r="L200" s="7" t="str">
        <x:v>Nocturnix_Master_Services_Catalog_v1.xlsx | 01 - Master Services | row 239</x:v>
      </x:c>
      <x:c r="M200" s="6" t="str"/>
      <x:c r="N200" s="6" t="str"/>
      <x:c r="O200" s="6" t="str">
        <x:v>Pending</x:v>
      </x:c>
      <x:c r="P200" s="7" t="str">
        <x:f>IF(AND(OR(D200="Reviewer Complete",D200="Awaiting Second-Level Approval"),OR(F200="Reviewer Complete",F200="Awaiting Second-Level Approval")),"","Identity/manufacturer dependency unresolved")</x:f>
        <x:v>Identity/manufacturer dependency unresolved</x:v>
      </x:c>
      <x:c r="Q200" s="6" t="str">
        <x:v>Yes</x:v>
      </x:c>
      <x:c r="R200" s="7" t="str"/>
    </x:row>
    <x:row r="201">
      <x:c r="A201" s="6" t="str">
        <x:v>DEVX-0200</x:v>
      </x:c>
      <x:c r="B201" s="6" t="str">
        <x:v>SVC000200</x:v>
      </x:c>
      <x:c r="C201" s="6" t="str">
        <x:v>SIDX-0200</x:v>
      </x:c>
      <x:c r="D201" s="6" t="str">
        <x:f>IFERROR(XLOOKUP(C201,'Review Sequence'!C2:C1586,'Review Sequence'!J2:J1586),"Dependency not found")</x:f>
        <x:v>Not Started</x:v>
      </x:c>
      <x:c r="E201" s="6" t="str">
        <x:v>MFRX-0200</x:v>
      </x:c>
      <x:c r="F201" s="6" t="str">
        <x:f>IFERROR(XLOOKUP(E201,'Review Sequence'!C2:C1586,'Review Sequence'!J2:J1586),"Dependency not found")</x:f>
        <x:v>Not Started</x:v>
      </x:c>
      <x:c r="G201" s="6" t="str">
        <x:v>iPhone SE (3RD GEN) Battery Replacement</x:v>
      </x:c>
      <x:c r="H201" s="6" t="str"/>
      <x:c r="I201" s="6" t="str"/>
      <x:c r="J201" s="6" t="str">
        <x:v>Unknown</x:v>
      </x:c>
      <x:c r="K201" s="6" t="str">
        <x:v>Unresolved</x:v>
      </x:c>
      <x:c r="L201" s="7" t="str">
        <x:v>Nocturnix_Master_Services_Catalog_v1.xlsx | 01 - Master Services | row 240</x:v>
      </x:c>
      <x:c r="M201" s="6" t="str"/>
      <x:c r="N201" s="6" t="str"/>
      <x:c r="O201" s="6" t="str">
        <x:v>Pending</x:v>
      </x:c>
      <x:c r="P201" s="7" t="str">
        <x:f>IF(AND(OR(D201="Reviewer Complete",D201="Awaiting Second-Level Approval"),OR(F201="Reviewer Complete",F201="Awaiting Second-Level Approval")),"","Identity/manufacturer dependency unresolved")</x:f>
        <x:v>Identity/manufacturer dependency unresolved</x:v>
      </x:c>
      <x:c r="Q201" s="6" t="str">
        <x:v>Yes</x:v>
      </x:c>
      <x:c r="R201" s="7" t="str"/>
    </x:row>
    <x:row r="202">
      <x:c r="A202" s="6" t="str">
        <x:v>DEVX-0201</x:v>
      </x:c>
      <x:c r="B202" s="6" t="str">
        <x:v>SVC000201</x:v>
      </x:c>
      <x:c r="C202" s="6" t="str">
        <x:v>SIDX-0201</x:v>
      </x:c>
      <x:c r="D202" s="6" t="str">
        <x:f>IFERROR(XLOOKUP(C202,'Review Sequence'!C2:C1586,'Review Sequence'!J2:J1586),"Dependency not found")</x:f>
        <x:v>Not Started</x:v>
      </x:c>
      <x:c r="E202" s="6" t="str">
        <x:v>MFRX-0201</x:v>
      </x:c>
      <x:c r="F202" s="6" t="str">
        <x:f>IFERROR(XLOOKUP(E202,'Review Sequence'!C2:C1586,'Review Sequence'!J2:J1586),"Dependency not found")</x:f>
        <x:v>Not Started</x:v>
      </x:c>
      <x:c r="G202" s="6" t="str">
        <x:v>iPhone SE (2ND GEN) Battery Replacement</x:v>
      </x:c>
      <x:c r="H202" s="6" t="str"/>
      <x:c r="I202" s="6" t="str"/>
      <x:c r="J202" s="6" t="str">
        <x:v>Unknown</x:v>
      </x:c>
      <x:c r="K202" s="6" t="str">
        <x:v>Unresolved</x:v>
      </x:c>
      <x:c r="L202" s="7" t="str">
        <x:v>Nocturnix_Master_Services_Catalog_v1.xlsx | 01 - Master Services | row 241</x:v>
      </x:c>
      <x:c r="M202" s="6" t="str"/>
      <x:c r="N202" s="6" t="str"/>
      <x:c r="O202" s="6" t="str">
        <x:v>Pending</x:v>
      </x:c>
      <x:c r="P202" s="7" t="str">
        <x:f>IF(AND(OR(D202="Reviewer Complete",D202="Awaiting Second-Level Approval"),OR(F202="Reviewer Complete",F202="Awaiting Second-Level Approval")),"","Identity/manufacturer dependency unresolved")</x:f>
        <x:v>Identity/manufacturer dependency unresolved</x:v>
      </x:c>
      <x:c r="Q202" s="6" t="str">
        <x:v>Yes</x:v>
      </x:c>
      <x:c r="R202" s="7" t="str"/>
    </x:row>
    <x:row r="203">
      <x:c r="A203" s="6" t="str">
        <x:v>DEVX-0202</x:v>
      </x:c>
      <x:c r="B203" s="6" t="str">
        <x:v>SVC000202</x:v>
      </x:c>
      <x:c r="C203" s="6" t="str">
        <x:v>SIDX-0202</x:v>
      </x:c>
      <x:c r="D203" s="6" t="str">
        <x:f>IFERROR(XLOOKUP(C203,'Review Sequence'!C2:C1586,'Review Sequence'!J2:J1586),"Dependency not found")</x:f>
        <x:v>Not Started</x:v>
      </x:c>
      <x:c r="E203" s="6" t="str">
        <x:v>MFRX-0202</x:v>
      </x:c>
      <x:c r="F203" s="6" t="str">
        <x:f>IFERROR(XLOOKUP(E203,'Review Sequence'!C2:C1586,'Review Sequence'!J2:J1586),"Dependency not found")</x:f>
        <x:v>Not Started</x:v>
      </x:c>
      <x:c r="G203" s="6" t="str">
        <x:v>iPhone 7 Battery Replacement</x:v>
      </x:c>
      <x:c r="H203" s="6" t="str"/>
      <x:c r="I203" s="6" t="str"/>
      <x:c r="J203" s="6" t="str">
        <x:v>Unknown</x:v>
      </x:c>
      <x:c r="K203" s="6" t="str">
        <x:v>Unresolved</x:v>
      </x:c>
      <x:c r="L203" s="7" t="str">
        <x:v>Nocturnix_Master_Services_Catalog_v1.xlsx | 01 - Master Services | row 242</x:v>
      </x:c>
      <x:c r="M203" s="6" t="str"/>
      <x:c r="N203" s="6" t="str"/>
      <x:c r="O203" s="6" t="str">
        <x:v>Pending</x:v>
      </x:c>
      <x:c r="P203" s="7" t="str">
        <x:f>IF(AND(OR(D203="Reviewer Complete",D203="Awaiting Second-Level Approval"),OR(F203="Reviewer Complete",F203="Awaiting Second-Level Approval")),"","Identity/manufacturer dependency unresolved")</x:f>
        <x:v>Identity/manufacturer dependency unresolved</x:v>
      </x:c>
      <x:c r="Q203" s="6" t="str">
        <x:v>Yes</x:v>
      </x:c>
      <x:c r="R203" s="7" t="str"/>
    </x:row>
    <x:row r="204">
      <x:c r="A204" s="6" t="str">
        <x:v>DEVX-0203</x:v>
      </x:c>
      <x:c r="B204" s="6" t="str">
        <x:v>SVC000203</x:v>
      </x:c>
      <x:c r="C204" s="6" t="str">
        <x:v>SIDX-0203</x:v>
      </x:c>
      <x:c r="D204" s="6" t="str">
        <x:f>IFERROR(XLOOKUP(C204,'Review Sequence'!C2:C1586,'Review Sequence'!J2:J1586),"Dependency not found")</x:f>
        <x:v>Not Started</x:v>
      </x:c>
      <x:c r="E204" s="6" t="str">
        <x:v>MFRX-0203</x:v>
      </x:c>
      <x:c r="F204" s="6" t="str">
        <x:f>IFERROR(XLOOKUP(E204,'Review Sequence'!C2:C1586,'Review Sequence'!J2:J1586),"Dependency not found")</x:f>
        <x:v>Not Started</x:v>
      </x:c>
      <x:c r="G204" s="6" t="str">
        <x:v>iPhone 4S Battery Replacement</x:v>
      </x:c>
      <x:c r="H204" s="6" t="str"/>
      <x:c r="I204" s="6" t="str"/>
      <x:c r="J204" s="6" t="str">
        <x:v>Unknown</x:v>
      </x:c>
      <x:c r="K204" s="6" t="str">
        <x:v>Unresolved</x:v>
      </x:c>
      <x:c r="L204" s="7" t="str">
        <x:v>Nocturnix_Master_Services_Catalog_v1.xlsx | 01 - Master Services | row 243</x:v>
      </x:c>
      <x:c r="M204" s="6" t="str"/>
      <x:c r="N204" s="6" t="str"/>
      <x:c r="O204" s="6" t="str">
        <x:v>Pending</x:v>
      </x:c>
      <x:c r="P204" s="7" t="str">
        <x:f>IF(AND(OR(D204="Reviewer Complete",D204="Awaiting Second-Level Approval"),OR(F204="Reviewer Complete",F204="Awaiting Second-Level Approval")),"","Identity/manufacturer dependency unresolved")</x:f>
        <x:v>Identity/manufacturer dependency unresolved</x:v>
      </x:c>
      <x:c r="Q204" s="6" t="str">
        <x:v>Yes</x:v>
      </x:c>
      <x:c r="R204" s="7" t="str"/>
    </x:row>
    <x:row r="205">
      <x:c r="A205" s="6" t="str">
        <x:v>DEVX-0204</x:v>
      </x:c>
      <x:c r="B205" s="6" t="str">
        <x:v>SVC000204</x:v>
      </x:c>
      <x:c r="C205" s="6" t="str">
        <x:v>SIDX-0204</x:v>
      </x:c>
      <x:c r="D205" s="6" t="str">
        <x:f>IFERROR(XLOOKUP(C205,'Review Sequence'!C2:C1586,'Review Sequence'!J2:J1586),"Dependency not found")</x:f>
        <x:v>Not Started</x:v>
      </x:c>
      <x:c r="E205" s="6" t="str">
        <x:v>MFRX-0204</x:v>
      </x:c>
      <x:c r="F205" s="6" t="str">
        <x:f>IFERROR(XLOOKUP(E205,'Review Sequence'!C2:C1586,'Review Sequence'!J2:J1586),"Dependency not found")</x:f>
        <x:v>Not Started</x:v>
      </x:c>
      <x:c r="G205" s="6" t="str">
        <x:v>iPhone 4S Battery Replacement</x:v>
      </x:c>
      <x:c r="H205" s="6" t="str"/>
      <x:c r="I205" s="6" t="str"/>
      <x:c r="J205" s="6" t="str">
        <x:v>Unknown</x:v>
      </x:c>
      <x:c r="K205" s="6" t="str">
        <x:v>Unresolved</x:v>
      </x:c>
      <x:c r="L205" s="7" t="str">
        <x:v>Nocturnix_Master_Services_Catalog_v1.xlsx | 01 - Master Services | row 244</x:v>
      </x:c>
      <x:c r="M205" s="6" t="str"/>
      <x:c r="N205" s="6" t="str"/>
      <x:c r="O205" s="6" t="str">
        <x:v>Pending</x:v>
      </x:c>
      <x:c r="P205" s="7" t="str">
        <x:f>IF(AND(OR(D205="Reviewer Complete",D205="Awaiting Second-Level Approval"),OR(F205="Reviewer Complete",F205="Awaiting Second-Level Approval")),"","Identity/manufacturer dependency unresolved")</x:f>
        <x:v>Identity/manufacturer dependency unresolved</x:v>
      </x:c>
      <x:c r="Q205" s="6" t="str">
        <x:v>Yes</x:v>
      </x:c>
      <x:c r="R205" s="7" t="str"/>
    </x:row>
    <x:row r="206">
      <x:c r="A206" s="6" t="str">
        <x:v>DEVX-0205</x:v>
      </x:c>
      <x:c r="B206" s="6" t="str">
        <x:v>SVC000205</x:v>
      </x:c>
      <x:c r="C206" s="6" t="str">
        <x:v>SIDX-0205</x:v>
      </x:c>
      <x:c r="D206" s="6" t="str">
        <x:f>IFERROR(XLOOKUP(C206,'Review Sequence'!C2:C1586,'Review Sequence'!J2:J1586),"Dependency not found")</x:f>
        <x:v>Not Started</x:v>
      </x:c>
      <x:c r="E206" s="6" t="str">
        <x:v>MFRX-0205</x:v>
      </x:c>
      <x:c r="F206" s="6" t="str">
        <x:f>IFERROR(XLOOKUP(E206,'Review Sequence'!C2:C1586,'Review Sequence'!J2:J1586),"Dependency not found")</x:f>
        <x:v>Not Started</x:v>
      </x:c>
      <x:c r="G206" s="6" t="str">
        <x:v>Galaxy S 25 FE Battery Replacement</x:v>
      </x:c>
      <x:c r="H206" s="6" t="str"/>
      <x:c r="I206" s="6" t="str"/>
      <x:c r="J206" s="6" t="str">
        <x:v>Unknown</x:v>
      </x:c>
      <x:c r="K206" s="6" t="str">
        <x:v>Unresolved</x:v>
      </x:c>
      <x:c r="L206" s="7" t="str">
        <x:v>Nocturnix_Master_Services_Catalog_v1.xlsx | 01 - Master Services | row 245</x:v>
      </x:c>
      <x:c r="M206" s="6" t="str"/>
      <x:c r="N206" s="6" t="str"/>
      <x:c r="O206" s="6" t="str">
        <x:v>Pending</x:v>
      </x:c>
      <x:c r="P206" s="7" t="str">
        <x:f>IF(AND(OR(D206="Reviewer Complete",D206="Awaiting Second-Level Approval"),OR(F206="Reviewer Complete",F206="Awaiting Second-Level Approval")),"","Identity/manufacturer dependency unresolved")</x:f>
        <x:v>Identity/manufacturer dependency unresolved</x:v>
      </x:c>
      <x:c r="Q206" s="6" t="str">
        <x:v>Yes</x:v>
      </x:c>
      <x:c r="R206" s="7" t="str"/>
    </x:row>
    <x:row r="207">
      <x:c r="A207" s="6" t="str">
        <x:v>DEVX-0206</x:v>
      </x:c>
      <x:c r="B207" s="6" t="str">
        <x:v>SVC000206</x:v>
      </x:c>
      <x:c r="C207" s="6" t="str">
        <x:v>SIDX-0206</x:v>
      </x:c>
      <x:c r="D207" s="6" t="str">
        <x:f>IFERROR(XLOOKUP(C207,'Review Sequence'!C2:C1586,'Review Sequence'!J2:J1586),"Dependency not found")</x:f>
        <x:v>Not Started</x:v>
      </x:c>
      <x:c r="E207" s="6" t="str">
        <x:v>MFRX-0206</x:v>
      </x:c>
      <x:c r="F207" s="6" t="str">
        <x:f>IFERROR(XLOOKUP(E207,'Review Sequence'!C2:C1586,'Review Sequence'!J2:J1586),"Dependency not found")</x:f>
        <x:v>Not Started</x:v>
      </x:c>
      <x:c r="G207" s="6" t="str">
        <x:v>iPhone 6 Battery Replacement</x:v>
      </x:c>
      <x:c r="H207" s="6" t="str"/>
      <x:c r="I207" s="6" t="str"/>
      <x:c r="J207" s="6" t="str">
        <x:v>Unknown</x:v>
      </x:c>
      <x:c r="K207" s="6" t="str">
        <x:v>Unresolved</x:v>
      </x:c>
      <x:c r="L207" s="7" t="str">
        <x:v>Nocturnix_Master_Services_Catalog_v1.xlsx | 01 - Master Services | row 246</x:v>
      </x:c>
      <x:c r="M207" s="6" t="str"/>
      <x:c r="N207" s="6" t="str"/>
      <x:c r="O207" s="6" t="str">
        <x:v>Pending</x:v>
      </x:c>
      <x:c r="P207" s="7" t="str">
        <x:f>IF(AND(OR(D207="Reviewer Complete",D207="Awaiting Second-Level Approval"),OR(F207="Reviewer Complete",F207="Awaiting Second-Level Approval")),"","Identity/manufacturer dependency unresolved")</x:f>
        <x:v>Identity/manufacturer dependency unresolved</x:v>
      </x:c>
      <x:c r="Q207" s="6" t="str">
        <x:v>Yes</x:v>
      </x:c>
      <x:c r="R207" s="7" t="str"/>
    </x:row>
    <x:row r="208">
      <x:c r="A208" s="6" t="str">
        <x:v>DEVX-0207</x:v>
      </x:c>
      <x:c r="B208" s="6" t="str">
        <x:v>SVC000207</x:v>
      </x:c>
      <x:c r="C208" s="6" t="str">
        <x:v>SIDX-0207</x:v>
      </x:c>
      <x:c r="D208" s="6" t="str">
        <x:f>IFERROR(XLOOKUP(C208,'Review Sequence'!C2:C1586,'Review Sequence'!J2:J1586),"Dependency not found")</x:f>
        <x:v>Not Started</x:v>
      </x:c>
      <x:c r="E208" s="6" t="str">
        <x:v>MFRX-0207</x:v>
      </x:c>
      <x:c r="F208" s="6" t="str">
        <x:f>IFERROR(XLOOKUP(E208,'Review Sequence'!C2:C1586,'Review Sequence'!J2:J1586),"Dependency not found")</x:f>
        <x:v>Not Started</x:v>
      </x:c>
      <x:c r="G208" s="6" t="str">
        <x:v>iPhone 6 Battery Replacement</x:v>
      </x:c>
      <x:c r="H208" s="6" t="str"/>
      <x:c r="I208" s="6" t="str"/>
      <x:c r="J208" s="6" t="str">
        <x:v>Unknown</x:v>
      </x:c>
      <x:c r="K208" s="6" t="str">
        <x:v>Unresolved</x:v>
      </x:c>
      <x:c r="L208" s="7" t="str">
        <x:v>Nocturnix_Master_Services_Catalog_v1.xlsx | 01 - Master Services | row 247</x:v>
      </x:c>
      <x:c r="M208" s="6" t="str"/>
      <x:c r="N208" s="6" t="str"/>
      <x:c r="O208" s="6" t="str">
        <x:v>Pending</x:v>
      </x:c>
      <x:c r="P208" s="7" t="str">
        <x:f>IF(AND(OR(D208="Reviewer Complete",D208="Awaiting Second-Level Approval"),OR(F208="Reviewer Complete",F208="Awaiting Second-Level Approval")),"","Identity/manufacturer dependency unresolved")</x:f>
        <x:v>Identity/manufacturer dependency unresolved</x:v>
      </x:c>
      <x:c r="Q208" s="6" t="str">
        <x:v>Yes</x:v>
      </x:c>
      <x:c r="R208" s="7" t="str"/>
    </x:row>
    <x:row r="209">
      <x:c r="A209" s="6" t="str">
        <x:v>DEVX-0208</x:v>
      </x:c>
      <x:c r="B209" s="6" t="str">
        <x:v>SVC000208</x:v>
      </x:c>
      <x:c r="C209" s="6" t="str">
        <x:v>SIDX-0208</x:v>
      </x:c>
      <x:c r="D209" s="6" t="str">
        <x:f>IFERROR(XLOOKUP(C209,'Review Sequence'!C2:C1586,'Review Sequence'!J2:J1586),"Dependency not found")</x:f>
        <x:v>Not Started</x:v>
      </x:c>
      <x:c r="E209" s="6" t="str">
        <x:v>MFRX-0208</x:v>
      </x:c>
      <x:c r="F209" s="6" t="str">
        <x:f>IFERROR(XLOOKUP(E209,'Review Sequence'!C2:C1586,'Review Sequence'!J2:J1586),"Dependency not found")</x:f>
        <x:v>Not Started</x:v>
      </x:c>
      <x:c r="G209" s="6" t="str">
        <x:v>Galaxy Note 8 Battery Replacement</x:v>
      </x:c>
      <x:c r="H209" s="6" t="str"/>
      <x:c r="I209" s="6" t="str"/>
      <x:c r="J209" s="6" t="str">
        <x:v>Unknown</x:v>
      </x:c>
      <x:c r="K209" s="6" t="str">
        <x:v>Unresolved</x:v>
      </x:c>
      <x:c r="L209" s="7" t="str">
        <x:v>Nocturnix_Master_Services_Catalog_v1.xlsx | 01 - Master Services | row 248</x:v>
      </x:c>
      <x:c r="M209" s="6" t="str"/>
      <x:c r="N209" s="6" t="str"/>
      <x:c r="O209" s="6" t="str">
        <x:v>Pending</x:v>
      </x:c>
      <x:c r="P209" s="7" t="str">
        <x:f>IF(AND(OR(D209="Reviewer Complete",D209="Awaiting Second-Level Approval"),OR(F209="Reviewer Complete",F209="Awaiting Second-Level Approval")),"","Identity/manufacturer dependency unresolved")</x:f>
        <x:v>Identity/manufacturer dependency unresolved</x:v>
      </x:c>
      <x:c r="Q209" s="6" t="str">
        <x:v>Yes</x:v>
      </x:c>
      <x:c r="R209" s="7" t="str"/>
    </x:row>
    <x:row r="210">
      <x:c r="A210" s="6" t="str">
        <x:v>DEVX-0209</x:v>
      </x:c>
      <x:c r="B210" s="6" t="str">
        <x:v>SVC000209</x:v>
      </x:c>
      <x:c r="C210" s="6" t="str">
        <x:v>SIDX-0209</x:v>
      </x:c>
      <x:c r="D210" s="6" t="str">
        <x:f>IFERROR(XLOOKUP(C210,'Review Sequence'!C2:C1586,'Review Sequence'!J2:J1586),"Dependency not found")</x:f>
        <x:v>Not Started</x:v>
      </x:c>
      <x:c r="E210" s="6" t="str">
        <x:v>MFRX-0209</x:v>
      </x:c>
      <x:c r="F210" s="6" t="str">
        <x:f>IFERROR(XLOOKUP(E210,'Review Sequence'!C2:C1586,'Review Sequence'!J2:J1586),"Dependency not found")</x:f>
        <x:v>Not Started</x:v>
      </x:c>
      <x:c r="G210" s="6" t="str">
        <x:v>Galaxy S 22 Battery Replacement</x:v>
      </x:c>
      <x:c r="H210" s="6" t="str"/>
      <x:c r="I210" s="6" t="str"/>
      <x:c r="J210" s="6" t="str">
        <x:v>Unknown</x:v>
      </x:c>
      <x:c r="K210" s="6" t="str">
        <x:v>Unresolved</x:v>
      </x:c>
      <x:c r="L210" s="7" t="str">
        <x:v>Nocturnix_Master_Services_Catalog_v1.xlsx | 01 - Master Services | row 249</x:v>
      </x:c>
      <x:c r="M210" s="6" t="str"/>
      <x:c r="N210" s="6" t="str"/>
      <x:c r="O210" s="6" t="str">
        <x:v>Pending</x:v>
      </x:c>
      <x:c r="P210" s="7" t="str">
        <x:f>IF(AND(OR(D210="Reviewer Complete",D210="Awaiting Second-Level Approval"),OR(F210="Reviewer Complete",F210="Awaiting Second-Level Approval")),"","Identity/manufacturer dependency unresolved")</x:f>
        <x:v>Identity/manufacturer dependency unresolved</x:v>
      </x:c>
      <x:c r="Q210" s="6" t="str">
        <x:v>Yes</x:v>
      </x:c>
      <x:c r="R210" s="7" t="str"/>
    </x:row>
    <x:row r="211">
      <x:c r="A211" s="6" t="str">
        <x:v>DEVX-0210</x:v>
      </x:c>
      <x:c r="B211" s="6" t="str">
        <x:v>SVC000210</x:v>
      </x:c>
      <x:c r="C211" s="6" t="str">
        <x:v>SIDX-0210</x:v>
      </x:c>
      <x:c r="D211" s="6" t="str">
        <x:f>IFERROR(XLOOKUP(C211,'Review Sequence'!C2:C1586,'Review Sequence'!J2:J1586),"Dependency not found")</x:f>
        <x:v>Not Started</x:v>
      </x:c>
      <x:c r="E211" s="6" t="str">
        <x:v>MFRX-0210</x:v>
      </x:c>
      <x:c r="F211" s="6" t="str">
        <x:f>IFERROR(XLOOKUP(E211,'Review Sequence'!C2:C1586,'Review Sequence'!J2:J1586),"Dependency not found")</x:f>
        <x:v>Not Started</x:v>
      </x:c>
      <x:c r="G211" s="6" t="str">
        <x:v>iPhone 3G Battery Replacement</x:v>
      </x:c>
      <x:c r="H211" s="6" t="str"/>
      <x:c r="I211" s="6" t="str"/>
      <x:c r="J211" s="6" t="str">
        <x:v>Unknown</x:v>
      </x:c>
      <x:c r="K211" s="6" t="str">
        <x:v>Unresolved</x:v>
      </x:c>
      <x:c r="L211" s="7" t="str">
        <x:v>Nocturnix_Master_Services_Catalog_v1.xlsx | 01 - Master Services | row 250</x:v>
      </x:c>
      <x:c r="M211" s="6" t="str"/>
      <x:c r="N211" s="6" t="str"/>
      <x:c r="O211" s="6" t="str">
        <x:v>Pending</x:v>
      </x:c>
      <x:c r="P211" s="7" t="str">
        <x:f>IF(AND(OR(D211="Reviewer Complete",D211="Awaiting Second-Level Approval"),OR(F211="Reviewer Complete",F211="Awaiting Second-Level Approval")),"","Identity/manufacturer dependency unresolved")</x:f>
        <x:v>Identity/manufacturer dependency unresolved</x:v>
      </x:c>
      <x:c r="Q211" s="6" t="str">
        <x:v>Yes</x:v>
      </x:c>
      <x:c r="R211" s="7" t="str"/>
    </x:row>
    <x:row r="212">
      <x:c r="A212" s="6" t="str">
        <x:v>DEVX-0211</x:v>
      </x:c>
      <x:c r="B212" s="6" t="str">
        <x:v>SVC000211</x:v>
      </x:c>
      <x:c r="C212" s="6" t="str">
        <x:v>SIDX-0211</x:v>
      </x:c>
      <x:c r="D212" s="6" t="str">
        <x:f>IFERROR(XLOOKUP(C212,'Review Sequence'!C2:C1586,'Review Sequence'!J2:J1586),"Dependency not found")</x:f>
        <x:v>Not Started</x:v>
      </x:c>
      <x:c r="E212" s="6" t="str">
        <x:v>MFRX-0211</x:v>
      </x:c>
      <x:c r="F212" s="6" t="str">
        <x:f>IFERROR(XLOOKUP(E212,'Review Sequence'!C2:C1586,'Review Sequence'!J2:J1586),"Dependency not found")</x:f>
        <x:v>Not Started</x:v>
      </x:c>
      <x:c r="G212" s="6" t="str">
        <x:v>iPhone 11 Battery Replacement</x:v>
      </x:c>
      <x:c r="H212" s="6" t="str"/>
      <x:c r="I212" s="6" t="str"/>
      <x:c r="J212" s="6" t="str">
        <x:v>Unknown</x:v>
      </x:c>
      <x:c r="K212" s="6" t="str">
        <x:v>Unresolved</x:v>
      </x:c>
      <x:c r="L212" s="7" t="str">
        <x:v>Nocturnix_Master_Services_Catalog_v1.xlsx | 01 - Master Services | row 251</x:v>
      </x:c>
      <x:c r="M212" s="6" t="str"/>
      <x:c r="N212" s="6" t="str"/>
      <x:c r="O212" s="6" t="str">
        <x:v>Pending</x:v>
      </x:c>
      <x:c r="P212" s="7" t="str">
        <x:f>IF(AND(OR(D212="Reviewer Complete",D212="Awaiting Second-Level Approval"),OR(F212="Reviewer Complete",F212="Awaiting Second-Level Approval")),"","Identity/manufacturer dependency unresolved")</x:f>
        <x:v>Identity/manufacturer dependency unresolved</x:v>
      </x:c>
      <x:c r="Q212" s="6" t="str">
        <x:v>Yes</x:v>
      </x:c>
      <x:c r="R212" s="7" t="str"/>
    </x:row>
    <x:row r="213">
      <x:c r="A213" s="6" t="str">
        <x:v>DEVX-0212</x:v>
      </x:c>
      <x:c r="B213" s="6" t="str">
        <x:v>SVC000212</x:v>
      </x:c>
      <x:c r="C213" s="6" t="str">
        <x:v>SIDX-0212</x:v>
      </x:c>
      <x:c r="D213" s="6" t="str">
        <x:f>IFERROR(XLOOKUP(C213,'Review Sequence'!C2:C1586,'Review Sequence'!J2:J1586),"Dependency not found")</x:f>
        <x:v>Not Started</x:v>
      </x:c>
      <x:c r="E213" s="6" t="str">
        <x:v>MFRX-0212</x:v>
      </x:c>
      <x:c r="F213" s="6" t="str">
        <x:f>IFERROR(XLOOKUP(E213,'Review Sequence'!C2:C1586,'Review Sequence'!J2:J1586),"Dependency not found")</x:f>
        <x:v>Not Started</x:v>
      </x:c>
      <x:c r="G213" s="6" t="str">
        <x:v>iPhone 11 Pro Battery Replacement</x:v>
      </x:c>
      <x:c r="H213" s="6" t="str"/>
      <x:c r="I213" s="6" t="str"/>
      <x:c r="J213" s="6" t="str">
        <x:v>Unknown</x:v>
      </x:c>
      <x:c r="K213" s="6" t="str">
        <x:v>Unresolved</x:v>
      </x:c>
      <x:c r="L213" s="7" t="str">
        <x:v>Nocturnix_Master_Services_Catalog_v1.xlsx | 01 - Master Services | row 252</x:v>
      </x:c>
      <x:c r="M213" s="6" t="str"/>
      <x:c r="N213" s="6" t="str"/>
      <x:c r="O213" s="6" t="str">
        <x:v>Pending</x:v>
      </x:c>
      <x:c r="P213" s="7" t="str">
        <x:f>IF(AND(OR(D213="Reviewer Complete",D213="Awaiting Second-Level Approval"),OR(F213="Reviewer Complete",F213="Awaiting Second-Level Approval")),"","Identity/manufacturer dependency unresolved")</x:f>
        <x:v>Identity/manufacturer dependency unresolved</x:v>
      </x:c>
      <x:c r="Q213" s="6" t="str">
        <x:v>Yes</x:v>
      </x:c>
      <x:c r="R213" s="7" t="str"/>
    </x:row>
    <x:row r="214">
      <x:c r="A214" s="6" t="str">
        <x:v>DEVX-0213</x:v>
      </x:c>
      <x:c r="B214" s="6" t="str">
        <x:v>SVC000213</x:v>
      </x:c>
      <x:c r="C214" s="6" t="str">
        <x:v>SIDX-0213</x:v>
      </x:c>
      <x:c r="D214" s="6" t="str">
        <x:f>IFERROR(XLOOKUP(C214,'Review Sequence'!C2:C1586,'Review Sequence'!J2:J1586),"Dependency not found")</x:f>
        <x:v>Not Started</x:v>
      </x:c>
      <x:c r="E214" s="6" t="str">
        <x:v>MFRX-0213</x:v>
      </x:c>
      <x:c r="F214" s="6" t="str">
        <x:f>IFERROR(XLOOKUP(E214,'Review Sequence'!C2:C1586,'Review Sequence'!J2:J1586),"Dependency not found")</x:f>
        <x:v>Not Started</x:v>
      </x:c>
      <x:c r="G214" s="6" t="str">
        <x:v>iPhone 11 Pro Max Battery Replacement</x:v>
      </x:c>
      <x:c r="H214" s="6" t="str"/>
      <x:c r="I214" s="6" t="str"/>
      <x:c r="J214" s="6" t="str">
        <x:v>Unknown</x:v>
      </x:c>
      <x:c r="K214" s="6" t="str">
        <x:v>Unresolved</x:v>
      </x:c>
      <x:c r="L214" s="7" t="str">
        <x:v>Nocturnix_Master_Services_Catalog_v1.xlsx | 01 - Master Services | row 253</x:v>
      </x:c>
      <x:c r="M214" s="6" t="str"/>
      <x:c r="N214" s="6" t="str"/>
      <x:c r="O214" s="6" t="str">
        <x:v>Pending</x:v>
      </x:c>
      <x:c r="P214" s="7" t="str">
        <x:f>IF(AND(OR(D214="Reviewer Complete",D214="Awaiting Second-Level Approval"),OR(F214="Reviewer Complete",F214="Awaiting Second-Level Approval")),"","Identity/manufacturer dependency unresolved")</x:f>
        <x:v>Identity/manufacturer dependency unresolved</x:v>
      </x:c>
      <x:c r="Q214" s="6" t="str">
        <x:v>Yes</x:v>
      </x:c>
      <x:c r="R214" s="7" t="str"/>
    </x:row>
    <x:row r="215">
      <x:c r="A215" s="6" t="str">
        <x:v>DEVX-0214</x:v>
      </x:c>
      <x:c r="B215" s="6" t="str">
        <x:v>SVC000214</x:v>
      </x:c>
      <x:c r="C215" s="6" t="str">
        <x:v>SIDX-0214</x:v>
      </x:c>
      <x:c r="D215" s="6" t="str">
        <x:f>IFERROR(XLOOKUP(C215,'Review Sequence'!C2:C1586,'Review Sequence'!J2:J1586),"Dependency not found")</x:f>
        <x:v>Not Started</x:v>
      </x:c>
      <x:c r="E215" s="6" t="str">
        <x:v>MFRX-0214</x:v>
      </x:c>
      <x:c r="F215" s="6" t="str">
        <x:f>IFERROR(XLOOKUP(E215,'Review Sequence'!C2:C1586,'Review Sequence'!J2:J1586),"Dependency not found")</x:f>
        <x:v>Not Started</x:v>
      </x:c>
      <x:c r="G215" s="6" t="str">
        <x:v>iPhone Charge Port Replacement</x:v>
      </x:c>
      <x:c r="H215" s="6" t="str"/>
      <x:c r="I215" s="6" t="str"/>
      <x:c r="J215" s="6" t="str">
        <x:v>Unknown</x:v>
      </x:c>
      <x:c r="K215" s="6" t="str">
        <x:v>Unresolved</x:v>
      </x:c>
      <x:c r="L215" s="7" t="str">
        <x:v>Nocturnix_Master_Services_Catalog_v1.xlsx | 01 - Master Services | row 254</x:v>
      </x:c>
      <x:c r="M215" s="6" t="str"/>
      <x:c r="N215" s="6" t="str"/>
      <x:c r="O215" s="6" t="str">
        <x:v>Pending</x:v>
      </x:c>
      <x:c r="P215" s="7" t="str">
        <x:f>IF(AND(OR(D215="Reviewer Complete",D215="Awaiting Second-Level Approval"),OR(F215="Reviewer Complete",F215="Awaiting Second-Level Approval")),"","Identity/manufacturer dependency unresolved")</x:f>
        <x:v>Identity/manufacturer dependency unresolved</x:v>
      </x:c>
      <x:c r="Q215" s="6" t="str">
        <x:v>Yes</x:v>
      </x:c>
      <x:c r="R215" s="7" t="str"/>
    </x:row>
    <x:row r="216">
      <x:c r="A216" s="6" t="str">
        <x:v>DEVX-0215</x:v>
      </x:c>
      <x:c r="B216" s="6" t="str">
        <x:v>SVC000215</x:v>
      </x:c>
      <x:c r="C216" s="6" t="str">
        <x:v>SIDX-0215</x:v>
      </x:c>
      <x:c r="D216" s="6" t="str">
        <x:f>IFERROR(XLOOKUP(C216,'Review Sequence'!C2:C1586,'Review Sequence'!J2:J1586),"Dependency not found")</x:f>
        <x:v>Not Started</x:v>
      </x:c>
      <x:c r="E216" s="6" t="str">
        <x:v>MFRX-0215</x:v>
      </x:c>
      <x:c r="F216" s="6" t="str">
        <x:f>IFERROR(XLOOKUP(E216,'Review Sequence'!C2:C1586,'Review Sequence'!J2:J1586),"Dependency not found")</x:f>
        <x:v>Not Started</x:v>
      </x:c>
      <x:c r="G216" s="6" t="str">
        <x:v>iPhone 3G Charge Port Replacement</x:v>
      </x:c>
      <x:c r="H216" s="6" t="str"/>
      <x:c r="I216" s="6" t="str"/>
      <x:c r="J216" s="6" t="str">
        <x:v>Unknown</x:v>
      </x:c>
      <x:c r="K216" s="6" t="str">
        <x:v>Unresolved</x:v>
      </x:c>
      <x:c r="L216" s="7" t="str">
        <x:v>Nocturnix_Master_Services_Catalog_v1.xlsx | 01 - Master Services | row 255</x:v>
      </x:c>
      <x:c r="M216" s="6" t="str"/>
      <x:c r="N216" s="6" t="str"/>
      <x:c r="O216" s="6" t="str">
        <x:v>Pending</x:v>
      </x:c>
      <x:c r="P216" s="7" t="str">
        <x:f>IF(AND(OR(D216="Reviewer Complete",D216="Awaiting Second-Level Approval"),OR(F216="Reviewer Complete",F216="Awaiting Second-Level Approval")),"","Identity/manufacturer dependency unresolved")</x:f>
        <x:v>Identity/manufacturer dependency unresolved</x:v>
      </x:c>
      <x:c r="Q216" s="6" t="str">
        <x:v>Yes</x:v>
      </x:c>
      <x:c r="R216" s="7" t="str"/>
    </x:row>
    <x:row r="217">
      <x:c r="A217" s="6" t="str">
        <x:v>DEVX-0216</x:v>
      </x:c>
      <x:c r="B217" s="6" t="str">
        <x:v>SVC000216</x:v>
      </x:c>
      <x:c r="C217" s="6" t="str">
        <x:v>SIDX-0216</x:v>
      </x:c>
      <x:c r="D217" s="6" t="str">
        <x:f>IFERROR(XLOOKUP(C217,'Review Sequence'!C2:C1586,'Review Sequence'!J2:J1586),"Dependency not found")</x:f>
        <x:v>Not Started</x:v>
      </x:c>
      <x:c r="E217" s="6" t="str">
        <x:v>MFRX-0216</x:v>
      </x:c>
      <x:c r="F217" s="6" t="str">
        <x:f>IFERROR(XLOOKUP(E217,'Review Sequence'!C2:C1586,'Review Sequence'!J2:J1586),"Dependency not found")</x:f>
        <x:v>Not Started</x:v>
      </x:c>
      <x:c r="G217" s="6" t="str">
        <x:v>iPhone 3GS Charge Port Replacement</x:v>
      </x:c>
      <x:c r="H217" s="6" t="str"/>
      <x:c r="I217" s="6" t="str"/>
      <x:c r="J217" s="6" t="str">
        <x:v>Unknown</x:v>
      </x:c>
      <x:c r="K217" s="6" t="str">
        <x:v>Unresolved</x:v>
      </x:c>
      <x:c r="L217" s="7" t="str">
        <x:v>Nocturnix_Master_Services_Catalog_v1.xlsx | 01 - Master Services | row 256</x:v>
      </x:c>
      <x:c r="M217" s="6" t="str"/>
      <x:c r="N217" s="6" t="str"/>
      <x:c r="O217" s="6" t="str">
        <x:v>Pending</x:v>
      </x:c>
      <x:c r="P217" s="7" t="str">
        <x:f>IF(AND(OR(D217="Reviewer Complete",D217="Awaiting Second-Level Approval"),OR(F217="Reviewer Complete",F217="Awaiting Second-Level Approval")),"","Identity/manufacturer dependency unresolved")</x:f>
        <x:v>Identity/manufacturer dependency unresolved</x:v>
      </x:c>
      <x:c r="Q217" s="6" t="str">
        <x:v>Yes</x:v>
      </x:c>
      <x:c r="R217" s="7" t="str"/>
    </x:row>
    <x:row r="218">
      <x:c r="A218" s="6" t="str">
        <x:v>DEVX-0217</x:v>
      </x:c>
      <x:c r="B218" s="6" t="str">
        <x:v>SVC000217</x:v>
      </x:c>
      <x:c r="C218" s="6" t="str">
        <x:v>SIDX-0217</x:v>
      </x:c>
      <x:c r="D218" s="6" t="str">
        <x:f>IFERROR(XLOOKUP(C218,'Review Sequence'!C2:C1586,'Review Sequence'!J2:J1586),"Dependency not found")</x:f>
        <x:v>Not Started</x:v>
      </x:c>
      <x:c r="E218" s="6" t="str">
        <x:v>MFRX-0217</x:v>
      </x:c>
      <x:c r="F218" s="6" t="str">
        <x:f>IFERROR(XLOOKUP(E218,'Review Sequence'!C2:C1586,'Review Sequence'!J2:J1586),"Dependency not found")</x:f>
        <x:v>Not Started</x:v>
      </x:c>
      <x:c r="G218" s="6" t="str">
        <x:v>iPhone 4S Charge Port Replacement</x:v>
      </x:c>
      <x:c r="H218" s="6" t="str"/>
      <x:c r="I218" s="6" t="str"/>
      <x:c r="J218" s="6" t="str">
        <x:v>Unknown</x:v>
      </x:c>
      <x:c r="K218" s="6" t="str">
        <x:v>Unresolved</x:v>
      </x:c>
      <x:c r="L218" s="7" t="str">
        <x:v>Nocturnix_Master_Services_Catalog_v1.xlsx | 01 - Master Services | row 257</x:v>
      </x:c>
      <x:c r="M218" s="6" t="str"/>
      <x:c r="N218" s="6" t="str"/>
      <x:c r="O218" s="6" t="str">
        <x:v>Pending</x:v>
      </x:c>
      <x:c r="P218" s="7" t="str">
        <x:f>IF(AND(OR(D218="Reviewer Complete",D218="Awaiting Second-Level Approval"),OR(F218="Reviewer Complete",F218="Awaiting Second-Level Approval")),"","Identity/manufacturer dependency unresolved")</x:f>
        <x:v>Identity/manufacturer dependency unresolved</x:v>
      </x:c>
      <x:c r="Q218" s="6" t="str">
        <x:v>Yes</x:v>
      </x:c>
      <x:c r="R218" s="7" t="str"/>
    </x:row>
    <x:row r="219">
      <x:c r="A219" s="6" t="str">
        <x:v>DEVX-0218</x:v>
      </x:c>
      <x:c r="B219" s="6" t="str">
        <x:v>SVC000218</x:v>
      </x:c>
      <x:c r="C219" s="6" t="str">
        <x:v>SIDX-0218</x:v>
      </x:c>
      <x:c r="D219" s="6" t="str">
        <x:f>IFERROR(XLOOKUP(C219,'Review Sequence'!C2:C1586,'Review Sequence'!J2:J1586),"Dependency not found")</x:f>
        <x:v>Not Started</x:v>
      </x:c>
      <x:c r="E219" s="6" t="str">
        <x:v>MFRX-0218</x:v>
      </x:c>
      <x:c r="F219" s="6" t="str">
        <x:f>IFERROR(XLOOKUP(E219,'Review Sequence'!C2:C1586,'Review Sequence'!J2:J1586),"Dependency not found")</x:f>
        <x:v>Not Started</x:v>
      </x:c>
      <x:c r="G219" s="6" t="str">
        <x:v>iPhone 4S Charge Port Replacement</x:v>
      </x:c>
      <x:c r="H219" s="6" t="str"/>
      <x:c r="I219" s="6" t="str"/>
      <x:c r="J219" s="6" t="str">
        <x:v>Unknown</x:v>
      </x:c>
      <x:c r="K219" s="6" t="str">
        <x:v>Unresolved</x:v>
      </x:c>
      <x:c r="L219" s="7" t="str">
        <x:v>Nocturnix_Master_Services_Catalog_v1.xlsx | 01 - Master Services | row 258</x:v>
      </x:c>
      <x:c r="M219" s="6" t="str"/>
      <x:c r="N219" s="6" t="str"/>
      <x:c r="O219" s="6" t="str">
        <x:v>Pending</x:v>
      </x:c>
      <x:c r="P219" s="7" t="str">
        <x:f>IF(AND(OR(D219="Reviewer Complete",D219="Awaiting Second-Level Approval"),OR(F219="Reviewer Complete",F219="Awaiting Second-Level Approval")),"","Identity/manufacturer dependency unresolved")</x:f>
        <x:v>Identity/manufacturer dependency unresolved</x:v>
      </x:c>
      <x:c r="Q219" s="6" t="str">
        <x:v>Yes</x:v>
      </x:c>
      <x:c r="R219" s="7" t="str"/>
    </x:row>
    <x:row r="220">
      <x:c r="A220" s="6" t="str">
        <x:v>DEVX-0219</x:v>
      </x:c>
      <x:c r="B220" s="6" t="str">
        <x:v>SVC000219</x:v>
      </x:c>
      <x:c r="C220" s="6" t="str">
        <x:v>SIDX-0219</x:v>
      </x:c>
      <x:c r="D220" s="6" t="str">
        <x:f>IFERROR(XLOOKUP(C220,'Review Sequence'!C2:C1586,'Review Sequence'!J2:J1586),"Dependency not found")</x:f>
        <x:v>Not Started</x:v>
      </x:c>
      <x:c r="E220" s="6" t="str">
        <x:v>MFRX-0219</x:v>
      </x:c>
      <x:c r="F220" s="6" t="str">
        <x:f>IFERROR(XLOOKUP(E220,'Review Sequence'!C2:C1586,'Review Sequence'!J2:J1586),"Dependency not found")</x:f>
        <x:v>Not Started</x:v>
      </x:c>
      <x:c r="G220" s="6" t="str">
        <x:v>iPhone 4S Charge Port Replacement</x:v>
      </x:c>
      <x:c r="H220" s="6" t="str"/>
      <x:c r="I220" s="6" t="str"/>
      <x:c r="J220" s="6" t="str">
        <x:v>Unknown</x:v>
      </x:c>
      <x:c r="K220" s="6" t="str">
        <x:v>Unresolved</x:v>
      </x:c>
      <x:c r="L220" s="7" t="str">
        <x:v>Nocturnix_Master_Services_Catalog_v1.xlsx | 01 - Master Services | row 259</x:v>
      </x:c>
      <x:c r="M220" s="6" t="str"/>
      <x:c r="N220" s="6" t="str"/>
      <x:c r="O220" s="6" t="str">
        <x:v>Pending</x:v>
      </x:c>
      <x:c r="P220" s="7" t="str">
        <x:f>IF(AND(OR(D220="Reviewer Complete",D220="Awaiting Second-Level Approval"),OR(F220="Reviewer Complete",F220="Awaiting Second-Level Approval")),"","Identity/manufacturer dependency unresolved")</x:f>
        <x:v>Identity/manufacturer dependency unresolved</x:v>
      </x:c>
      <x:c r="Q220" s="6" t="str">
        <x:v>Yes</x:v>
      </x:c>
      <x:c r="R220" s="7" t="str"/>
    </x:row>
    <x:row r="221">
      <x:c r="A221" s="6" t="str">
        <x:v>DEVX-0220</x:v>
      </x:c>
      <x:c r="B221" s="6" t="str">
        <x:v>SVC000220</x:v>
      </x:c>
      <x:c r="C221" s="6" t="str">
        <x:v>SIDX-0220</x:v>
      </x:c>
      <x:c r="D221" s="6" t="str">
        <x:f>IFERROR(XLOOKUP(C221,'Review Sequence'!C2:C1586,'Review Sequence'!J2:J1586),"Dependency not found")</x:f>
        <x:v>Not Started</x:v>
      </x:c>
      <x:c r="E221" s="6" t="str">
        <x:v>MFRX-0220</x:v>
      </x:c>
      <x:c r="F221" s="6" t="str">
        <x:f>IFERROR(XLOOKUP(E221,'Review Sequence'!C2:C1586,'Review Sequence'!J2:J1586),"Dependency not found")</x:f>
        <x:v>Not Started</x:v>
      </x:c>
      <x:c r="G221" s="6" t="str">
        <x:v>iPhone 5 Charge Port Replacement</x:v>
      </x:c>
      <x:c r="H221" s="6" t="str"/>
      <x:c r="I221" s="6" t="str"/>
      <x:c r="J221" s="6" t="str">
        <x:v>Unknown</x:v>
      </x:c>
      <x:c r="K221" s="6" t="str">
        <x:v>Unresolved</x:v>
      </x:c>
      <x:c r="L221" s="7" t="str">
        <x:v>Nocturnix_Master_Services_Catalog_v1.xlsx | 01 - Master Services | row 260</x:v>
      </x:c>
      <x:c r="M221" s="6" t="str"/>
      <x:c r="N221" s="6" t="str"/>
      <x:c r="O221" s="6" t="str">
        <x:v>Pending</x:v>
      </x:c>
      <x:c r="P221" s="7" t="str">
        <x:f>IF(AND(OR(D221="Reviewer Complete",D221="Awaiting Second-Level Approval"),OR(F221="Reviewer Complete",F221="Awaiting Second-Level Approval")),"","Identity/manufacturer dependency unresolved")</x:f>
        <x:v>Identity/manufacturer dependency unresolved</x:v>
      </x:c>
      <x:c r="Q221" s="6" t="str">
        <x:v>Yes</x:v>
      </x:c>
      <x:c r="R221" s="7" t="str"/>
    </x:row>
    <x:row r="222">
      <x:c r="A222" s="6" t="str">
        <x:v>DEVX-0221</x:v>
      </x:c>
      <x:c r="B222" s="6" t="str">
        <x:v>SVC000221</x:v>
      </x:c>
      <x:c r="C222" s="6" t="str">
        <x:v>SIDX-0221</x:v>
      </x:c>
      <x:c r="D222" s="6" t="str">
        <x:f>IFERROR(XLOOKUP(C222,'Review Sequence'!C2:C1586,'Review Sequence'!J2:J1586),"Dependency not found")</x:f>
        <x:v>Not Started</x:v>
      </x:c>
      <x:c r="E222" s="6" t="str">
        <x:v>MFRX-0221</x:v>
      </x:c>
      <x:c r="F222" s="6" t="str">
        <x:f>IFERROR(XLOOKUP(E222,'Review Sequence'!C2:C1586,'Review Sequence'!J2:J1586),"Dependency not found")</x:f>
        <x:v>Not Started</x:v>
      </x:c>
      <x:c r="G222" s="6" t="str">
        <x:v>iPhone 5C Charge Port Replacement</x:v>
      </x:c>
      <x:c r="H222" s="6" t="str"/>
      <x:c r="I222" s="6" t="str"/>
      <x:c r="J222" s="6" t="str">
        <x:v>Unknown</x:v>
      </x:c>
      <x:c r="K222" s="6" t="str">
        <x:v>Unresolved</x:v>
      </x:c>
      <x:c r="L222" s="7" t="str">
        <x:v>Nocturnix_Master_Services_Catalog_v1.xlsx | 01 - Master Services | row 261</x:v>
      </x:c>
      <x:c r="M222" s="6" t="str"/>
      <x:c r="N222" s="6" t="str"/>
      <x:c r="O222" s="6" t="str">
        <x:v>Pending</x:v>
      </x:c>
      <x:c r="P222" s="7" t="str">
        <x:f>IF(AND(OR(D222="Reviewer Complete",D222="Awaiting Second-Level Approval"),OR(F222="Reviewer Complete",F222="Awaiting Second-Level Approval")),"","Identity/manufacturer dependency unresolved")</x:f>
        <x:v>Identity/manufacturer dependency unresolved</x:v>
      </x:c>
      <x:c r="Q222" s="6" t="str">
        <x:v>Yes</x:v>
      </x:c>
      <x:c r="R222" s="7" t="str"/>
    </x:row>
    <x:row r="223">
      <x:c r="A223" s="6" t="str">
        <x:v>DEVX-0222</x:v>
      </x:c>
      <x:c r="B223" s="6" t="str">
        <x:v>SVC000222</x:v>
      </x:c>
      <x:c r="C223" s="6" t="str">
        <x:v>SIDX-0222</x:v>
      </x:c>
      <x:c r="D223" s="6" t="str">
        <x:f>IFERROR(XLOOKUP(C223,'Review Sequence'!C2:C1586,'Review Sequence'!J2:J1586),"Dependency not found")</x:f>
        <x:v>Not Started</x:v>
      </x:c>
      <x:c r="E223" s="6" t="str">
        <x:v>MFRX-0222</x:v>
      </x:c>
      <x:c r="F223" s="6" t="str">
        <x:f>IFERROR(XLOOKUP(E223,'Review Sequence'!C2:C1586,'Review Sequence'!J2:J1586),"Dependency not found")</x:f>
        <x:v>Not Started</x:v>
      </x:c>
      <x:c r="G223" s="6" t="str">
        <x:v>iPhone 5S Charge Port Replacement</x:v>
      </x:c>
      <x:c r="H223" s="6" t="str"/>
      <x:c r="I223" s="6" t="str"/>
      <x:c r="J223" s="6" t="str">
        <x:v>Unknown</x:v>
      </x:c>
      <x:c r="K223" s="6" t="str">
        <x:v>Unresolved</x:v>
      </x:c>
      <x:c r="L223" s="7" t="str">
        <x:v>Nocturnix_Master_Services_Catalog_v1.xlsx | 01 - Master Services | row 262</x:v>
      </x:c>
      <x:c r="M223" s="6" t="str"/>
      <x:c r="N223" s="6" t="str"/>
      <x:c r="O223" s="6" t="str">
        <x:v>Pending</x:v>
      </x:c>
      <x:c r="P223" s="7" t="str">
        <x:f>IF(AND(OR(D223="Reviewer Complete",D223="Awaiting Second-Level Approval"),OR(F223="Reviewer Complete",F223="Awaiting Second-Level Approval")),"","Identity/manufacturer dependency unresolved")</x:f>
        <x:v>Identity/manufacturer dependency unresolved</x:v>
      </x:c>
      <x:c r="Q223" s="6" t="str">
        <x:v>Yes</x:v>
      </x:c>
      <x:c r="R223" s="7" t="str"/>
    </x:row>
    <x:row r="224">
      <x:c r="A224" s="6" t="str">
        <x:v>DEVX-0223</x:v>
      </x:c>
      <x:c r="B224" s="6" t="str">
        <x:v>SVC000223</x:v>
      </x:c>
      <x:c r="C224" s="6" t="str">
        <x:v>SIDX-0223</x:v>
      </x:c>
      <x:c r="D224" s="6" t="str">
        <x:f>IFERROR(XLOOKUP(C224,'Review Sequence'!C2:C1586,'Review Sequence'!J2:J1586),"Dependency not found")</x:f>
        <x:v>Not Started</x:v>
      </x:c>
      <x:c r="E224" s="6" t="str">
        <x:v>MFRX-0223</x:v>
      </x:c>
      <x:c r="F224" s="6" t="str">
        <x:f>IFERROR(XLOOKUP(E224,'Review Sequence'!C2:C1586,'Review Sequence'!J2:J1586),"Dependency not found")</x:f>
        <x:v>Not Started</x:v>
      </x:c>
      <x:c r="G224" s="6" t="str">
        <x:v>iPhone 6 Charge Port Replacement</x:v>
      </x:c>
      <x:c r="H224" s="6" t="str"/>
      <x:c r="I224" s="6" t="str"/>
      <x:c r="J224" s="6" t="str">
        <x:v>Unknown</x:v>
      </x:c>
      <x:c r="K224" s="6" t="str">
        <x:v>Unresolved</x:v>
      </x:c>
      <x:c r="L224" s="7" t="str">
        <x:v>Nocturnix_Master_Services_Catalog_v1.xlsx | 01 - Master Services | row 263</x:v>
      </x:c>
      <x:c r="M224" s="6" t="str"/>
      <x:c r="N224" s="6" t="str"/>
      <x:c r="O224" s="6" t="str">
        <x:v>Pending</x:v>
      </x:c>
      <x:c r="P224" s="7" t="str">
        <x:f>IF(AND(OR(D224="Reviewer Complete",D224="Awaiting Second-Level Approval"),OR(F224="Reviewer Complete",F224="Awaiting Second-Level Approval")),"","Identity/manufacturer dependency unresolved")</x:f>
        <x:v>Identity/manufacturer dependency unresolved</x:v>
      </x:c>
      <x:c r="Q224" s="6" t="str">
        <x:v>Yes</x:v>
      </x:c>
      <x:c r="R224" s="7" t="str"/>
    </x:row>
    <x:row r="225">
      <x:c r="A225" s="6" t="str">
        <x:v>DEVX-0224</x:v>
      </x:c>
      <x:c r="B225" s="6" t="str">
        <x:v>SVC000224</x:v>
      </x:c>
      <x:c r="C225" s="6" t="str">
        <x:v>SIDX-0224</x:v>
      </x:c>
      <x:c r="D225" s="6" t="str">
        <x:f>IFERROR(XLOOKUP(C225,'Review Sequence'!C2:C1586,'Review Sequence'!J2:J1586),"Dependency not found")</x:f>
        <x:v>Not Started</x:v>
      </x:c>
      <x:c r="E225" s="6" t="str">
        <x:v>MFRX-0224</x:v>
      </x:c>
      <x:c r="F225" s="6" t="str">
        <x:f>IFERROR(XLOOKUP(E225,'Review Sequence'!C2:C1586,'Review Sequence'!J2:J1586),"Dependency not found")</x:f>
        <x:v>Not Started</x:v>
      </x:c>
      <x:c r="G225" s="6" t="str">
        <x:v>iPhone 6+ Charge Port Replacement</x:v>
      </x:c>
      <x:c r="H225" s="6" t="str"/>
      <x:c r="I225" s="6" t="str"/>
      <x:c r="J225" s="6" t="str">
        <x:v>Unknown</x:v>
      </x:c>
      <x:c r="K225" s="6" t="str">
        <x:v>Unresolved</x:v>
      </x:c>
      <x:c r="L225" s="7" t="str">
        <x:v>Nocturnix_Master_Services_Catalog_v1.xlsx | 01 - Master Services | row 264</x:v>
      </x:c>
      <x:c r="M225" s="6" t="str"/>
      <x:c r="N225" s="6" t="str"/>
      <x:c r="O225" s="6" t="str">
        <x:v>Pending</x:v>
      </x:c>
      <x:c r="P225" s="7" t="str">
        <x:f>IF(AND(OR(D225="Reviewer Complete",D225="Awaiting Second-Level Approval"),OR(F225="Reviewer Complete",F225="Awaiting Second-Level Approval")),"","Identity/manufacturer dependency unresolved")</x:f>
        <x:v>Identity/manufacturer dependency unresolved</x:v>
      </x:c>
      <x:c r="Q225" s="6" t="str">
        <x:v>Yes</x:v>
      </x:c>
      <x:c r="R225" s="7" t="str"/>
    </x:row>
    <x:row r="226">
      <x:c r="A226" s="6" t="str">
        <x:v>DEVX-0225</x:v>
      </x:c>
      <x:c r="B226" s="6" t="str">
        <x:v>SVC000225</x:v>
      </x:c>
      <x:c r="C226" s="6" t="str">
        <x:v>SIDX-0225</x:v>
      </x:c>
      <x:c r="D226" s="6" t="str">
        <x:f>IFERROR(XLOOKUP(C226,'Review Sequence'!C2:C1586,'Review Sequence'!J2:J1586),"Dependency not found")</x:f>
        <x:v>Not Started</x:v>
      </x:c>
      <x:c r="E226" s="6" t="str">
        <x:v>MFRX-0225</x:v>
      </x:c>
      <x:c r="F226" s="6" t="str">
        <x:f>IFERROR(XLOOKUP(E226,'Review Sequence'!C2:C1586,'Review Sequence'!J2:J1586),"Dependency not found")</x:f>
        <x:v>Not Started</x:v>
      </x:c>
      <x:c r="G226" s="6" t="str">
        <x:v>iPhone 6S Charge Port Replacement</x:v>
      </x:c>
      <x:c r="H226" s="6" t="str"/>
      <x:c r="I226" s="6" t="str"/>
      <x:c r="J226" s="6" t="str">
        <x:v>Unknown</x:v>
      </x:c>
      <x:c r="K226" s="6" t="str">
        <x:v>Unresolved</x:v>
      </x:c>
      <x:c r="L226" s="7" t="str">
        <x:v>Nocturnix_Master_Services_Catalog_v1.xlsx | 01 - Master Services | row 265</x:v>
      </x:c>
      <x:c r="M226" s="6" t="str"/>
      <x:c r="N226" s="6" t="str"/>
      <x:c r="O226" s="6" t="str">
        <x:v>Pending</x:v>
      </x:c>
      <x:c r="P226" s="7" t="str">
        <x:f>IF(AND(OR(D226="Reviewer Complete",D226="Awaiting Second-Level Approval"),OR(F226="Reviewer Complete",F226="Awaiting Second-Level Approval")),"","Identity/manufacturer dependency unresolved")</x:f>
        <x:v>Identity/manufacturer dependency unresolved</x:v>
      </x:c>
      <x:c r="Q226" s="6" t="str">
        <x:v>Yes</x:v>
      </x:c>
      <x:c r="R226" s="7" t="str"/>
    </x:row>
    <x:row r="227">
      <x:c r="A227" s="6" t="str">
        <x:v>DEVX-0226</x:v>
      </x:c>
      <x:c r="B227" s="6" t="str">
        <x:v>SVC000226</x:v>
      </x:c>
      <x:c r="C227" s="6" t="str">
        <x:v>SIDX-0226</x:v>
      </x:c>
      <x:c r="D227" s="6" t="str">
        <x:f>IFERROR(XLOOKUP(C227,'Review Sequence'!C2:C1586,'Review Sequence'!J2:J1586),"Dependency not found")</x:f>
        <x:v>Not Started</x:v>
      </x:c>
      <x:c r="E227" s="6" t="str">
        <x:v>MFRX-0226</x:v>
      </x:c>
      <x:c r="F227" s="6" t="str">
        <x:f>IFERROR(XLOOKUP(E227,'Review Sequence'!C2:C1586,'Review Sequence'!J2:J1586),"Dependency not found")</x:f>
        <x:v>Not Started</x:v>
      </x:c>
      <x:c r="G227" s="6" t="str">
        <x:v>iPhone 6S+ Charge Port Replacement</x:v>
      </x:c>
      <x:c r="H227" s="6" t="str"/>
      <x:c r="I227" s="6" t="str"/>
      <x:c r="J227" s="6" t="str">
        <x:v>Unknown</x:v>
      </x:c>
      <x:c r="K227" s="6" t="str">
        <x:v>Unresolved</x:v>
      </x:c>
      <x:c r="L227" s="7" t="str">
        <x:v>Nocturnix_Master_Services_Catalog_v1.xlsx | 01 - Master Services | row 266</x:v>
      </x:c>
      <x:c r="M227" s="6" t="str"/>
      <x:c r="N227" s="6" t="str"/>
      <x:c r="O227" s="6" t="str">
        <x:v>Pending</x:v>
      </x:c>
      <x:c r="P227" s="7" t="str">
        <x:f>IF(AND(OR(D227="Reviewer Complete",D227="Awaiting Second-Level Approval"),OR(F227="Reviewer Complete",F227="Awaiting Second-Level Approval")),"","Identity/manufacturer dependency unresolved")</x:f>
        <x:v>Identity/manufacturer dependency unresolved</x:v>
      </x:c>
      <x:c r="Q227" s="6" t="str">
        <x:v>Yes</x:v>
      </x:c>
      <x:c r="R227" s="7" t="str"/>
    </x:row>
    <x:row r="228">
      <x:c r="A228" s="6" t="str">
        <x:v>DEVX-0227</x:v>
      </x:c>
      <x:c r="B228" s="6" t="str">
        <x:v>SVC000227</x:v>
      </x:c>
      <x:c r="C228" s="6" t="str">
        <x:v>SIDX-0227</x:v>
      </x:c>
      <x:c r="D228" s="6" t="str">
        <x:f>IFERROR(XLOOKUP(C228,'Review Sequence'!C2:C1586,'Review Sequence'!J2:J1586),"Dependency not found")</x:f>
        <x:v>Not Started</x:v>
      </x:c>
      <x:c r="E228" s="6" t="str">
        <x:v>MFRX-0227</x:v>
      </x:c>
      <x:c r="F228" s="6" t="str">
        <x:f>IFERROR(XLOOKUP(E228,'Review Sequence'!C2:C1586,'Review Sequence'!J2:J1586),"Dependency not found")</x:f>
        <x:v>Not Started</x:v>
      </x:c>
      <x:c r="G228" s="6" t="str">
        <x:v>iPhone 6S+ Charge Port Replacement</x:v>
      </x:c>
      <x:c r="H228" s="6" t="str"/>
      <x:c r="I228" s="6" t="str"/>
      <x:c r="J228" s="6" t="str">
        <x:v>Unknown</x:v>
      </x:c>
      <x:c r="K228" s="6" t="str">
        <x:v>Unresolved</x:v>
      </x:c>
      <x:c r="L228" s="7" t="str">
        <x:v>Nocturnix_Master_Services_Catalog_v1.xlsx | 01 - Master Services | row 267</x:v>
      </x:c>
      <x:c r="M228" s="6" t="str"/>
      <x:c r="N228" s="6" t="str"/>
      <x:c r="O228" s="6" t="str">
        <x:v>Pending</x:v>
      </x:c>
      <x:c r="P228" s="7" t="str">
        <x:f>IF(AND(OR(D228="Reviewer Complete",D228="Awaiting Second-Level Approval"),OR(F228="Reviewer Complete",F228="Awaiting Second-Level Approval")),"","Identity/manufacturer dependency unresolved")</x:f>
        <x:v>Identity/manufacturer dependency unresolved</x:v>
      </x:c>
      <x:c r="Q228" s="6" t="str">
        <x:v>Yes</x:v>
      </x:c>
      <x:c r="R228" s="7" t="str"/>
    </x:row>
    <x:row r="229">
      <x:c r="A229" s="6" t="str">
        <x:v>DEVX-0228</x:v>
      </x:c>
      <x:c r="B229" s="6" t="str">
        <x:v>SVC000228</x:v>
      </x:c>
      <x:c r="C229" s="6" t="str">
        <x:v>SIDX-0228</x:v>
      </x:c>
      <x:c r="D229" s="6" t="str">
        <x:f>IFERROR(XLOOKUP(C229,'Review Sequence'!C2:C1586,'Review Sequence'!J2:J1586),"Dependency not found")</x:f>
        <x:v>Not Started</x:v>
      </x:c>
      <x:c r="E229" s="6" t="str">
        <x:v>MFRX-0228</x:v>
      </x:c>
      <x:c r="F229" s="6" t="str">
        <x:f>IFERROR(XLOOKUP(E229,'Review Sequence'!C2:C1586,'Review Sequence'!J2:J1586),"Dependency not found")</x:f>
        <x:v>Not Started</x:v>
      </x:c>
      <x:c r="G229" s="6" t="str">
        <x:v>iPhone SE(1ST GEN) Charge Port Replacement</x:v>
      </x:c>
      <x:c r="H229" s="6" t="str"/>
      <x:c r="I229" s="6" t="str"/>
      <x:c r="J229" s="6" t="str">
        <x:v>Unknown</x:v>
      </x:c>
      <x:c r="K229" s="6" t="str">
        <x:v>Unresolved</x:v>
      </x:c>
      <x:c r="L229" s="7" t="str">
        <x:v>Nocturnix_Master_Services_Catalog_v1.xlsx | 01 - Master Services | row 268</x:v>
      </x:c>
      <x:c r="M229" s="6" t="str"/>
      <x:c r="N229" s="6" t="str"/>
      <x:c r="O229" s="6" t="str">
        <x:v>Pending</x:v>
      </x:c>
      <x:c r="P229" s="7" t="str">
        <x:f>IF(AND(OR(D229="Reviewer Complete",D229="Awaiting Second-Level Approval"),OR(F229="Reviewer Complete",F229="Awaiting Second-Level Approval")),"","Identity/manufacturer dependency unresolved")</x:f>
        <x:v>Identity/manufacturer dependency unresolved</x:v>
      </x:c>
      <x:c r="Q229" s="6" t="str">
        <x:v>Yes</x:v>
      </x:c>
      <x:c r="R229" s="7" t="str"/>
    </x:row>
    <x:row r="230">
      <x:c r="A230" s="6" t="str">
        <x:v>DEVX-0229</x:v>
      </x:c>
      <x:c r="B230" s="6" t="str">
        <x:v>SVC000229</x:v>
      </x:c>
      <x:c r="C230" s="6" t="str">
        <x:v>SIDX-0229</x:v>
      </x:c>
      <x:c r="D230" s="6" t="str">
        <x:f>IFERROR(XLOOKUP(C230,'Review Sequence'!C2:C1586,'Review Sequence'!J2:J1586),"Dependency not found")</x:f>
        <x:v>Not Started</x:v>
      </x:c>
      <x:c r="E230" s="6" t="str">
        <x:v>MFRX-0229</x:v>
      </x:c>
      <x:c r="F230" s="6" t="str">
        <x:f>IFERROR(XLOOKUP(E230,'Review Sequence'!C2:C1586,'Review Sequence'!J2:J1586),"Dependency not found")</x:f>
        <x:v>Not Started</x:v>
      </x:c>
      <x:c r="G230" s="6" t="str">
        <x:v>iPhone 7 Charge Port Replacement</x:v>
      </x:c>
      <x:c r="H230" s="6" t="str"/>
      <x:c r="I230" s="6" t="str"/>
      <x:c r="J230" s="6" t="str">
        <x:v>Unknown</x:v>
      </x:c>
      <x:c r="K230" s="6" t="str">
        <x:v>Unresolved</x:v>
      </x:c>
      <x:c r="L230" s="7" t="str">
        <x:v>Nocturnix_Master_Services_Catalog_v1.xlsx | 01 - Master Services | row 269</x:v>
      </x:c>
      <x:c r="M230" s="6" t="str"/>
      <x:c r="N230" s="6" t="str"/>
      <x:c r="O230" s="6" t="str">
        <x:v>Pending</x:v>
      </x:c>
      <x:c r="P230" s="7" t="str">
        <x:f>IF(AND(OR(D230="Reviewer Complete",D230="Awaiting Second-Level Approval"),OR(F230="Reviewer Complete",F230="Awaiting Second-Level Approval")),"","Identity/manufacturer dependency unresolved")</x:f>
        <x:v>Identity/manufacturer dependency unresolved</x:v>
      </x:c>
      <x:c r="Q230" s="6" t="str">
        <x:v>Yes</x:v>
      </x:c>
      <x:c r="R230" s="7" t="str"/>
    </x:row>
    <x:row r="231">
      <x:c r="A231" s="6" t="str">
        <x:v>DEVX-0230</x:v>
      </x:c>
      <x:c r="B231" s="6" t="str">
        <x:v>SVC000230</x:v>
      </x:c>
      <x:c r="C231" s="6" t="str">
        <x:v>SIDX-0230</x:v>
      </x:c>
      <x:c r="D231" s="6" t="str">
        <x:f>IFERROR(XLOOKUP(C231,'Review Sequence'!C2:C1586,'Review Sequence'!J2:J1586),"Dependency not found")</x:f>
        <x:v>Not Started</x:v>
      </x:c>
      <x:c r="E231" s="6" t="str">
        <x:v>MFRX-0230</x:v>
      </x:c>
      <x:c r="F231" s="6" t="str">
        <x:f>IFERROR(XLOOKUP(E231,'Review Sequence'!C2:C1586,'Review Sequence'!J2:J1586),"Dependency not found")</x:f>
        <x:v>Not Started</x:v>
      </x:c>
      <x:c r="G231" s="6" t="str">
        <x:v>iPhone 7+ Charge Port Replacement</x:v>
      </x:c>
      <x:c r="H231" s="6" t="str"/>
      <x:c r="I231" s="6" t="str"/>
      <x:c r="J231" s="6" t="str">
        <x:v>Unknown</x:v>
      </x:c>
      <x:c r="K231" s="6" t="str">
        <x:v>Unresolved</x:v>
      </x:c>
      <x:c r="L231" s="7" t="str">
        <x:v>Nocturnix_Master_Services_Catalog_v1.xlsx | 01 - Master Services | row 270</x:v>
      </x:c>
      <x:c r="M231" s="6" t="str"/>
      <x:c r="N231" s="6" t="str"/>
      <x:c r="O231" s="6" t="str">
        <x:v>Pending</x:v>
      </x:c>
      <x:c r="P231" s="7" t="str">
        <x:f>IF(AND(OR(D231="Reviewer Complete",D231="Awaiting Second-Level Approval"),OR(F231="Reviewer Complete",F231="Awaiting Second-Level Approval")),"","Identity/manufacturer dependency unresolved")</x:f>
        <x:v>Identity/manufacturer dependency unresolved</x:v>
      </x:c>
      <x:c r="Q231" s="6" t="str">
        <x:v>Yes</x:v>
      </x:c>
      <x:c r="R231" s="7" t="str"/>
    </x:row>
    <x:row r="232">
      <x:c r="A232" s="6" t="str">
        <x:v>DEVX-0231</x:v>
      </x:c>
      <x:c r="B232" s="6" t="str">
        <x:v>SVC000231</x:v>
      </x:c>
      <x:c r="C232" s="6" t="str">
        <x:v>SIDX-0231</x:v>
      </x:c>
      <x:c r="D232" s="6" t="str">
        <x:f>IFERROR(XLOOKUP(C232,'Review Sequence'!C2:C1586,'Review Sequence'!J2:J1586),"Dependency not found")</x:f>
        <x:v>Not Started</x:v>
      </x:c>
      <x:c r="E232" s="6" t="str">
        <x:v>MFRX-0231</x:v>
      </x:c>
      <x:c r="F232" s="6" t="str">
        <x:f>IFERROR(XLOOKUP(E232,'Review Sequence'!C2:C1586,'Review Sequence'!J2:J1586),"Dependency not found")</x:f>
        <x:v>Not Started</x:v>
      </x:c>
      <x:c r="G232" s="6" t="str">
        <x:v>iPhone 8 Charge Port Replacement</x:v>
      </x:c>
      <x:c r="H232" s="6" t="str"/>
      <x:c r="I232" s="6" t="str"/>
      <x:c r="J232" s="6" t="str">
        <x:v>Unknown</x:v>
      </x:c>
      <x:c r="K232" s="6" t="str">
        <x:v>Unresolved</x:v>
      </x:c>
      <x:c r="L232" s="7" t="str">
        <x:v>Nocturnix_Master_Services_Catalog_v1.xlsx | 01 - Master Services | row 271</x:v>
      </x:c>
      <x:c r="M232" s="6" t="str"/>
      <x:c r="N232" s="6" t="str"/>
      <x:c r="O232" s="6" t="str">
        <x:v>Pending</x:v>
      </x:c>
      <x:c r="P232" s="7" t="str">
        <x:f>IF(AND(OR(D232="Reviewer Complete",D232="Awaiting Second-Level Approval"),OR(F232="Reviewer Complete",F232="Awaiting Second-Level Approval")),"","Identity/manufacturer dependency unresolved")</x:f>
        <x:v>Identity/manufacturer dependency unresolved</x:v>
      </x:c>
      <x:c r="Q232" s="6" t="str">
        <x:v>Yes</x:v>
      </x:c>
      <x:c r="R232" s="7" t="str"/>
    </x:row>
    <x:row r="233">
      <x:c r="A233" s="6" t="str">
        <x:v>DEVX-0232</x:v>
      </x:c>
      <x:c r="B233" s="6" t="str">
        <x:v>SVC000232</x:v>
      </x:c>
      <x:c r="C233" s="6" t="str">
        <x:v>SIDX-0232</x:v>
      </x:c>
      <x:c r="D233" s="6" t="str">
        <x:f>IFERROR(XLOOKUP(C233,'Review Sequence'!C2:C1586,'Review Sequence'!J2:J1586),"Dependency not found")</x:f>
        <x:v>Not Started</x:v>
      </x:c>
      <x:c r="E233" s="6" t="str">
        <x:v>MFRX-0232</x:v>
      </x:c>
      <x:c r="F233" s="6" t="str">
        <x:f>IFERROR(XLOOKUP(E233,'Review Sequence'!C2:C1586,'Review Sequence'!J2:J1586),"Dependency not found")</x:f>
        <x:v>Not Started</x:v>
      </x:c>
      <x:c r="G233" s="6" t="str">
        <x:v>iPhone 8+ Charge Port Replacement</x:v>
      </x:c>
      <x:c r="H233" s="6" t="str"/>
      <x:c r="I233" s="6" t="str"/>
      <x:c r="J233" s="6" t="str">
        <x:v>Unknown</x:v>
      </x:c>
      <x:c r="K233" s="6" t="str">
        <x:v>Unresolved</x:v>
      </x:c>
      <x:c r="L233" s="7" t="str">
        <x:v>Nocturnix_Master_Services_Catalog_v1.xlsx | 01 - Master Services | row 272</x:v>
      </x:c>
      <x:c r="M233" s="6" t="str"/>
      <x:c r="N233" s="6" t="str"/>
      <x:c r="O233" s="6" t="str">
        <x:v>Pending</x:v>
      </x:c>
      <x:c r="P233" s="7" t="str">
        <x:f>IF(AND(OR(D233="Reviewer Complete",D233="Awaiting Second-Level Approval"),OR(F233="Reviewer Complete",F233="Awaiting Second-Level Approval")),"","Identity/manufacturer dependency unresolved")</x:f>
        <x:v>Identity/manufacturer dependency unresolved</x:v>
      </x:c>
      <x:c r="Q233" s="6" t="str">
        <x:v>Yes</x:v>
      </x:c>
      <x:c r="R233" s="7" t="str"/>
    </x:row>
    <x:row r="234">
      <x:c r="A234" s="6" t="str">
        <x:v>DEVX-0233</x:v>
      </x:c>
      <x:c r="B234" s="6" t="str">
        <x:v>SVC000233</x:v>
      </x:c>
      <x:c r="C234" s="6" t="str">
        <x:v>SIDX-0233</x:v>
      </x:c>
      <x:c r="D234" s="6" t="str">
        <x:f>IFERROR(XLOOKUP(C234,'Review Sequence'!C2:C1586,'Review Sequence'!J2:J1586),"Dependency not found")</x:f>
        <x:v>Not Started</x:v>
      </x:c>
      <x:c r="E234" s="6" t="str">
        <x:v>MFRX-0233</x:v>
      </x:c>
      <x:c r="F234" s="6" t="str">
        <x:f>IFERROR(XLOOKUP(E234,'Review Sequence'!C2:C1586,'Review Sequence'!J2:J1586),"Dependency not found")</x:f>
        <x:v>Not Started</x:v>
      </x:c>
      <x:c r="G234" s="6" t="str">
        <x:v>iPhone X Charge Port Replacement</x:v>
      </x:c>
      <x:c r="H234" s="6" t="str"/>
      <x:c r="I234" s="6" t="str"/>
      <x:c r="J234" s="6" t="str">
        <x:v>Unknown</x:v>
      </x:c>
      <x:c r="K234" s="6" t="str">
        <x:v>Unresolved</x:v>
      </x:c>
      <x:c r="L234" s="7" t="str">
        <x:v>Nocturnix_Master_Services_Catalog_v1.xlsx | 01 - Master Services | row 273</x:v>
      </x:c>
      <x:c r="M234" s="6" t="str"/>
      <x:c r="N234" s="6" t="str"/>
      <x:c r="O234" s="6" t="str">
        <x:v>Pending</x:v>
      </x:c>
      <x:c r="P234" s="7" t="str">
        <x:f>IF(AND(OR(D234="Reviewer Complete",D234="Awaiting Second-Level Approval"),OR(F234="Reviewer Complete",F234="Awaiting Second-Level Approval")),"","Identity/manufacturer dependency unresolved")</x:f>
        <x:v>Identity/manufacturer dependency unresolved</x:v>
      </x:c>
      <x:c r="Q234" s="6" t="str">
        <x:v>Yes</x:v>
      </x:c>
      <x:c r="R234" s="7" t="str"/>
    </x:row>
    <x:row r="235">
      <x:c r="A235" s="6" t="str">
        <x:v>DEVX-0234</x:v>
      </x:c>
      <x:c r="B235" s="6" t="str">
        <x:v>SVC000234</x:v>
      </x:c>
      <x:c r="C235" s="6" t="str">
        <x:v>SIDX-0234</x:v>
      </x:c>
      <x:c r="D235" s="6" t="str">
        <x:f>IFERROR(XLOOKUP(C235,'Review Sequence'!C2:C1586,'Review Sequence'!J2:J1586),"Dependency not found")</x:f>
        <x:v>Not Started</x:v>
      </x:c>
      <x:c r="E235" s="6" t="str">
        <x:v>MFRX-0234</x:v>
      </x:c>
      <x:c r="F235" s="6" t="str">
        <x:f>IFERROR(XLOOKUP(E235,'Review Sequence'!C2:C1586,'Review Sequence'!J2:J1586),"Dependency not found")</x:f>
        <x:v>Not Started</x:v>
      </x:c>
      <x:c r="G235" s="6" t="str">
        <x:v>iPhone XR Charge Port Replacement</x:v>
      </x:c>
      <x:c r="H235" s="6" t="str"/>
      <x:c r="I235" s="6" t="str"/>
      <x:c r="J235" s="6" t="str">
        <x:v>Unknown</x:v>
      </x:c>
      <x:c r="K235" s="6" t="str">
        <x:v>Unresolved</x:v>
      </x:c>
      <x:c r="L235" s="7" t="str">
        <x:v>Nocturnix_Master_Services_Catalog_v1.xlsx | 01 - Master Services | row 274</x:v>
      </x:c>
      <x:c r="M235" s="6" t="str"/>
      <x:c r="N235" s="6" t="str"/>
      <x:c r="O235" s="6" t="str">
        <x:v>Pending</x:v>
      </x:c>
      <x:c r="P235" s="7" t="str">
        <x:f>IF(AND(OR(D235="Reviewer Complete",D235="Awaiting Second-Level Approval"),OR(F235="Reviewer Complete",F235="Awaiting Second-Level Approval")),"","Identity/manufacturer dependency unresolved")</x:f>
        <x:v>Identity/manufacturer dependency unresolved</x:v>
      </x:c>
      <x:c r="Q235" s="6" t="str">
        <x:v>Yes</x:v>
      </x:c>
      <x:c r="R235" s="7" t="str"/>
    </x:row>
    <x:row r="236">
      <x:c r="A236" s="6" t="str">
        <x:v>DEVX-0235</x:v>
      </x:c>
      <x:c r="B236" s="6" t="str">
        <x:v>SVC000235</x:v>
      </x:c>
      <x:c r="C236" s="6" t="str">
        <x:v>SIDX-0235</x:v>
      </x:c>
      <x:c r="D236" s="6" t="str">
        <x:f>IFERROR(XLOOKUP(C236,'Review Sequence'!C2:C1586,'Review Sequence'!J2:J1586),"Dependency not found")</x:f>
        <x:v>Not Started</x:v>
      </x:c>
      <x:c r="E236" s="6" t="str">
        <x:v>MFRX-0235</x:v>
      </x:c>
      <x:c r="F236" s="6" t="str">
        <x:f>IFERROR(XLOOKUP(E236,'Review Sequence'!C2:C1586,'Review Sequence'!J2:J1586),"Dependency not found")</x:f>
        <x:v>Not Started</x:v>
      </x:c>
      <x:c r="G236" s="6" t="str">
        <x:v>Galaxy S 23 Battery Replacement</x:v>
      </x:c>
      <x:c r="H236" s="6" t="str"/>
      <x:c r="I236" s="6" t="str"/>
      <x:c r="J236" s="6" t="str">
        <x:v>Unknown</x:v>
      </x:c>
      <x:c r="K236" s="6" t="str">
        <x:v>Unresolved</x:v>
      </x:c>
      <x:c r="L236" s="7" t="str">
        <x:v>Nocturnix_Master_Services_Catalog_v1.xlsx | 01 - Master Services | row 275</x:v>
      </x:c>
      <x:c r="M236" s="6" t="str"/>
      <x:c r="N236" s="6" t="str"/>
      <x:c r="O236" s="6" t="str">
        <x:v>Pending</x:v>
      </x:c>
      <x:c r="P236" s="7" t="str">
        <x:f>IF(AND(OR(D236="Reviewer Complete",D236="Awaiting Second-Level Approval"),OR(F236="Reviewer Complete",F236="Awaiting Second-Level Approval")),"","Identity/manufacturer dependency unresolved")</x:f>
        <x:v>Identity/manufacturer dependency unresolved</x:v>
      </x:c>
      <x:c r="Q236" s="6" t="str">
        <x:v>Yes</x:v>
      </x:c>
      <x:c r="R236" s="7" t="str"/>
    </x:row>
    <x:row r="237">
      <x:c r="A237" s="6" t="str">
        <x:v>DEVX-0236</x:v>
      </x:c>
      <x:c r="B237" s="6" t="str">
        <x:v>SVC000236</x:v>
      </x:c>
      <x:c r="C237" s="6" t="str">
        <x:v>SIDX-0236</x:v>
      </x:c>
      <x:c r="D237" s="6" t="str">
        <x:f>IFERROR(XLOOKUP(C237,'Review Sequence'!C2:C1586,'Review Sequence'!J2:J1586),"Dependency not found")</x:f>
        <x:v>Not Started</x:v>
      </x:c>
      <x:c r="E237" s="6" t="str">
        <x:v>MFRX-0236</x:v>
      </x:c>
      <x:c r="F237" s="6" t="str">
        <x:f>IFERROR(XLOOKUP(E237,'Review Sequence'!C2:C1586,'Review Sequence'!J2:J1586),"Dependency not found")</x:f>
        <x:v>Not Started</x:v>
      </x:c>
      <x:c r="G237" s="6" t="str">
        <x:v>iPhone XS Charge Port Replacement</x:v>
      </x:c>
      <x:c r="H237" s="6" t="str"/>
      <x:c r="I237" s="6" t="str"/>
      <x:c r="J237" s="6" t="str">
        <x:v>Unknown</x:v>
      </x:c>
      <x:c r="K237" s="6" t="str">
        <x:v>Unresolved</x:v>
      </x:c>
      <x:c r="L237" s="7" t="str">
        <x:v>Nocturnix_Master_Services_Catalog_v1.xlsx | 01 - Master Services | row 276</x:v>
      </x:c>
      <x:c r="M237" s="6" t="str"/>
      <x:c r="N237" s="6" t="str"/>
      <x:c r="O237" s="6" t="str">
        <x:v>Pending</x:v>
      </x:c>
      <x:c r="P237" s="7" t="str">
        <x:f>IF(AND(OR(D237="Reviewer Complete",D237="Awaiting Second-Level Approval"),OR(F237="Reviewer Complete",F237="Awaiting Second-Level Approval")),"","Identity/manufacturer dependency unresolved")</x:f>
        <x:v>Identity/manufacturer dependency unresolved</x:v>
      </x:c>
      <x:c r="Q237" s="6" t="str">
        <x:v>Yes</x:v>
      </x:c>
      <x:c r="R237" s="7" t="str"/>
    </x:row>
    <x:row r="238">
      <x:c r="A238" s="6" t="str">
        <x:v>DEVX-0237</x:v>
      </x:c>
      <x:c r="B238" s="6" t="str">
        <x:v>SVC000237</x:v>
      </x:c>
      <x:c r="C238" s="6" t="str">
        <x:v>SIDX-0237</x:v>
      </x:c>
      <x:c r="D238" s="6" t="str">
        <x:f>IFERROR(XLOOKUP(C238,'Review Sequence'!C2:C1586,'Review Sequence'!J2:J1586),"Dependency not found")</x:f>
        <x:v>Not Started</x:v>
      </x:c>
      <x:c r="E238" s="6" t="str">
        <x:v>MFRX-0237</x:v>
      </x:c>
      <x:c r="F238" s="6" t="str">
        <x:f>IFERROR(XLOOKUP(E238,'Review Sequence'!C2:C1586,'Review Sequence'!J2:J1586),"Dependency not found")</x:f>
        <x:v>Not Started</x:v>
      </x:c>
      <x:c r="G238" s="6" t="str">
        <x:v>iPhone XS Max Charge Port Replacement</x:v>
      </x:c>
      <x:c r="H238" s="6" t="str"/>
      <x:c r="I238" s="6" t="str"/>
      <x:c r="J238" s="6" t="str">
        <x:v>Unknown</x:v>
      </x:c>
      <x:c r="K238" s="6" t="str">
        <x:v>Unresolved</x:v>
      </x:c>
      <x:c r="L238" s="7" t="str">
        <x:v>Nocturnix_Master_Services_Catalog_v1.xlsx | 01 - Master Services | row 277</x:v>
      </x:c>
      <x:c r="M238" s="6" t="str"/>
      <x:c r="N238" s="6" t="str"/>
      <x:c r="O238" s="6" t="str">
        <x:v>Pending</x:v>
      </x:c>
      <x:c r="P238" s="7" t="str">
        <x:f>IF(AND(OR(D238="Reviewer Complete",D238="Awaiting Second-Level Approval"),OR(F238="Reviewer Complete",F238="Awaiting Second-Level Approval")),"","Identity/manufacturer dependency unresolved")</x:f>
        <x:v>Identity/manufacturer dependency unresolved</x:v>
      </x:c>
      <x:c r="Q238" s="6" t="str">
        <x:v>Yes</x:v>
      </x:c>
      <x:c r="R238" s="7" t="str"/>
    </x:row>
    <x:row r="239">
      <x:c r="A239" s="6" t="str">
        <x:v>DEVX-0238</x:v>
      </x:c>
      <x:c r="B239" s="6" t="str">
        <x:v>SVC000238</x:v>
      </x:c>
      <x:c r="C239" s="6" t="str">
        <x:v>SIDX-0238</x:v>
      </x:c>
      <x:c r="D239" s="6" t="str">
        <x:f>IFERROR(XLOOKUP(C239,'Review Sequence'!C2:C1586,'Review Sequence'!J2:J1586),"Dependency not found")</x:f>
        <x:v>Not Started</x:v>
      </x:c>
      <x:c r="E239" s="6" t="str">
        <x:v>MFRX-0238</x:v>
      </x:c>
      <x:c r="F239" s="6" t="str">
        <x:f>IFERROR(XLOOKUP(E239,'Review Sequence'!C2:C1586,'Review Sequence'!J2:J1586),"Dependency not found")</x:f>
        <x:v>Not Started</x:v>
      </x:c>
      <x:c r="G239" s="6" t="str">
        <x:v>iPhone 11 Charge Port Replacement</x:v>
      </x:c>
      <x:c r="H239" s="6" t="str"/>
      <x:c r="I239" s="6" t="str"/>
      <x:c r="J239" s="6" t="str">
        <x:v>Unknown</x:v>
      </x:c>
      <x:c r="K239" s="6" t="str">
        <x:v>Unresolved</x:v>
      </x:c>
      <x:c r="L239" s="7" t="str">
        <x:v>Nocturnix_Master_Services_Catalog_v1.xlsx | 01 - Master Services | row 278</x:v>
      </x:c>
      <x:c r="M239" s="6" t="str"/>
      <x:c r="N239" s="6" t="str"/>
      <x:c r="O239" s="6" t="str">
        <x:v>Pending</x:v>
      </x:c>
      <x:c r="P239" s="7" t="str">
        <x:f>IF(AND(OR(D239="Reviewer Complete",D239="Awaiting Second-Level Approval"),OR(F239="Reviewer Complete",F239="Awaiting Second-Level Approval")),"","Identity/manufacturer dependency unresolved")</x:f>
        <x:v>Identity/manufacturer dependency unresolved</x:v>
      </x:c>
      <x:c r="Q239" s="6" t="str">
        <x:v>Yes</x:v>
      </x:c>
      <x:c r="R239" s="7" t="str"/>
    </x:row>
    <x:row r="240">
      <x:c r="A240" s="6" t="str">
        <x:v>DEVX-0239</x:v>
      </x:c>
      <x:c r="B240" s="6" t="str">
        <x:v>SVC000239</x:v>
      </x:c>
      <x:c r="C240" s="6" t="str">
        <x:v>SIDX-0239</x:v>
      </x:c>
      <x:c r="D240" s="6" t="str">
        <x:f>IFERROR(XLOOKUP(C240,'Review Sequence'!C2:C1586,'Review Sequence'!J2:J1586),"Dependency not found")</x:f>
        <x:v>Not Started</x:v>
      </x:c>
      <x:c r="E240" s="6" t="str">
        <x:v>MFRX-0239</x:v>
      </x:c>
      <x:c r="F240" s="6" t="str">
        <x:f>IFERROR(XLOOKUP(E240,'Review Sequence'!C2:C1586,'Review Sequence'!J2:J1586),"Dependency not found")</x:f>
        <x:v>Not Started</x:v>
      </x:c>
      <x:c r="G240" s="6" t="str">
        <x:v>iPhone 11 Pro Charge Port Replacement</x:v>
      </x:c>
      <x:c r="H240" s="6" t="str"/>
      <x:c r="I240" s="6" t="str"/>
      <x:c r="J240" s="6" t="str">
        <x:v>Unknown</x:v>
      </x:c>
      <x:c r="K240" s="6" t="str">
        <x:v>Unresolved</x:v>
      </x:c>
      <x:c r="L240" s="7" t="str">
        <x:v>Nocturnix_Master_Services_Catalog_v1.xlsx | 01 - Master Services | row 279</x:v>
      </x:c>
      <x:c r="M240" s="6" t="str"/>
      <x:c r="N240" s="6" t="str"/>
      <x:c r="O240" s="6" t="str">
        <x:v>Pending</x:v>
      </x:c>
      <x:c r="P240" s="7" t="str">
        <x:f>IF(AND(OR(D240="Reviewer Complete",D240="Awaiting Second-Level Approval"),OR(F240="Reviewer Complete",F240="Awaiting Second-Level Approval")),"","Identity/manufacturer dependency unresolved")</x:f>
        <x:v>Identity/manufacturer dependency unresolved</x:v>
      </x:c>
      <x:c r="Q240" s="6" t="str">
        <x:v>Yes</x:v>
      </x:c>
      <x:c r="R240" s="7" t="str"/>
    </x:row>
    <x:row r="241">
      <x:c r="A241" s="6" t="str">
        <x:v>DEVX-0240</x:v>
      </x:c>
      <x:c r="B241" s="6" t="str">
        <x:v>SVC000240</x:v>
      </x:c>
      <x:c r="C241" s="6" t="str">
        <x:v>SIDX-0240</x:v>
      </x:c>
      <x:c r="D241" s="6" t="str">
        <x:f>IFERROR(XLOOKUP(C241,'Review Sequence'!C2:C1586,'Review Sequence'!J2:J1586),"Dependency not found")</x:f>
        <x:v>Not Started</x:v>
      </x:c>
      <x:c r="E241" s="6" t="str">
        <x:v>MFRX-0240</x:v>
      </x:c>
      <x:c r="F241" s="6" t="str">
        <x:f>IFERROR(XLOOKUP(E241,'Review Sequence'!C2:C1586,'Review Sequence'!J2:J1586),"Dependency not found")</x:f>
        <x:v>Not Started</x:v>
      </x:c>
      <x:c r="G241" s="6" t="str">
        <x:v>iPhone 11 Pro Max Charge Port Replacement</x:v>
      </x:c>
      <x:c r="H241" s="6" t="str"/>
      <x:c r="I241" s="6" t="str"/>
      <x:c r="J241" s="6" t="str">
        <x:v>Unknown</x:v>
      </x:c>
      <x:c r="K241" s="6" t="str">
        <x:v>Unresolved</x:v>
      </x:c>
      <x:c r="L241" s="7" t="str">
        <x:v>Nocturnix_Master_Services_Catalog_v1.xlsx | 01 - Master Services | row 280</x:v>
      </x:c>
      <x:c r="M241" s="6" t="str"/>
      <x:c r="N241" s="6" t="str"/>
      <x:c r="O241" s="6" t="str">
        <x:v>Pending</x:v>
      </x:c>
      <x:c r="P241" s="7" t="str">
        <x:f>IF(AND(OR(D241="Reviewer Complete",D241="Awaiting Second-Level Approval"),OR(F241="Reviewer Complete",F241="Awaiting Second-Level Approval")),"","Identity/manufacturer dependency unresolved")</x:f>
        <x:v>Identity/manufacturer dependency unresolved</x:v>
      </x:c>
      <x:c r="Q241" s="6" t="str">
        <x:v>Yes</x:v>
      </x:c>
      <x:c r="R241" s="7" t="str"/>
    </x:row>
    <x:row r="242">
      <x:c r="A242" s="6" t="str">
        <x:v>DEVX-0241</x:v>
      </x:c>
      <x:c r="B242" s="6" t="str">
        <x:v>SVC000241</x:v>
      </x:c>
      <x:c r="C242" s="6" t="str">
        <x:v>SIDX-0241</x:v>
      </x:c>
      <x:c r="D242" s="6" t="str">
        <x:f>IFERROR(XLOOKUP(C242,'Review Sequence'!C2:C1586,'Review Sequence'!J2:J1586),"Dependency not found")</x:f>
        <x:v>Not Started</x:v>
      </x:c>
      <x:c r="E242" s="6" t="str">
        <x:v>MFRX-0241</x:v>
      </x:c>
      <x:c r="F242" s="6" t="str">
        <x:f>IFERROR(XLOOKUP(E242,'Review Sequence'!C2:C1586,'Review Sequence'!J2:J1586),"Dependency not found")</x:f>
        <x:v>Not Started</x:v>
      </x:c>
      <x:c r="G242" s="6" t="str">
        <x:v>iPhone SE (2ND GEN) Charge Port Replacement</x:v>
      </x:c>
      <x:c r="H242" s="6" t="str"/>
      <x:c r="I242" s="6" t="str"/>
      <x:c r="J242" s="6" t="str">
        <x:v>Unknown</x:v>
      </x:c>
      <x:c r="K242" s="6" t="str">
        <x:v>Unresolved</x:v>
      </x:c>
      <x:c r="L242" s="7" t="str">
        <x:v>Nocturnix_Master_Services_Catalog_v1.xlsx | 01 - Master Services | row 281</x:v>
      </x:c>
      <x:c r="M242" s="6" t="str"/>
      <x:c r="N242" s="6" t="str"/>
      <x:c r="O242" s="6" t="str">
        <x:v>Pending</x:v>
      </x:c>
      <x:c r="P242" s="7" t="str">
        <x:f>IF(AND(OR(D242="Reviewer Complete",D242="Awaiting Second-Level Approval"),OR(F242="Reviewer Complete",F242="Awaiting Second-Level Approval")),"","Identity/manufacturer dependency unresolved")</x:f>
        <x:v>Identity/manufacturer dependency unresolved</x:v>
      </x:c>
      <x:c r="Q242" s="6" t="str">
        <x:v>Yes</x:v>
      </x:c>
      <x:c r="R242" s="7" t="str"/>
    </x:row>
    <x:row r="243">
      <x:c r="A243" s="6" t="str">
        <x:v>DEVX-0242</x:v>
      </x:c>
      <x:c r="B243" s="6" t="str">
        <x:v>SVC000242</x:v>
      </x:c>
      <x:c r="C243" s="6" t="str">
        <x:v>SIDX-0242</x:v>
      </x:c>
      <x:c r="D243" s="6" t="str">
        <x:f>IFERROR(XLOOKUP(C243,'Review Sequence'!C2:C1586,'Review Sequence'!J2:J1586),"Dependency not found")</x:f>
        <x:v>Not Started</x:v>
      </x:c>
      <x:c r="E243" s="6" t="str">
        <x:v>MFRX-0242</x:v>
      </x:c>
      <x:c r="F243" s="6" t="str">
        <x:f>IFERROR(XLOOKUP(E243,'Review Sequence'!C2:C1586,'Review Sequence'!J2:J1586),"Dependency not found")</x:f>
        <x:v>Not Started</x:v>
      </x:c>
      <x:c r="G243" s="6" t="str">
        <x:v>iPhone 12 Charge Port Replacement</x:v>
      </x:c>
      <x:c r="H243" s="6" t="str"/>
      <x:c r="I243" s="6" t="str"/>
      <x:c r="J243" s="6" t="str">
        <x:v>Unknown</x:v>
      </x:c>
      <x:c r="K243" s="6" t="str">
        <x:v>Unresolved</x:v>
      </x:c>
      <x:c r="L243" s="7" t="str">
        <x:v>Nocturnix_Master_Services_Catalog_v1.xlsx | 01 - Master Services | row 282</x:v>
      </x:c>
      <x:c r="M243" s="6" t="str"/>
      <x:c r="N243" s="6" t="str"/>
      <x:c r="O243" s="6" t="str">
        <x:v>Pending</x:v>
      </x:c>
      <x:c r="P243" s="7" t="str">
        <x:f>IF(AND(OR(D243="Reviewer Complete",D243="Awaiting Second-Level Approval"),OR(F243="Reviewer Complete",F243="Awaiting Second-Level Approval")),"","Identity/manufacturer dependency unresolved")</x:f>
        <x:v>Identity/manufacturer dependency unresolved</x:v>
      </x:c>
      <x:c r="Q243" s="6" t="str">
        <x:v>Yes</x:v>
      </x:c>
      <x:c r="R243" s="7" t="str"/>
    </x:row>
    <x:row r="244">
      <x:c r="A244" s="6" t="str">
        <x:v>DEVX-0243</x:v>
      </x:c>
      <x:c r="B244" s="6" t="str">
        <x:v>SVC000243</x:v>
      </x:c>
      <x:c r="C244" s="6" t="str">
        <x:v>SIDX-0243</x:v>
      </x:c>
      <x:c r="D244" s="6" t="str">
        <x:f>IFERROR(XLOOKUP(C244,'Review Sequence'!C2:C1586,'Review Sequence'!J2:J1586),"Dependency not found")</x:f>
        <x:v>Not Started</x:v>
      </x:c>
      <x:c r="E244" s="6" t="str">
        <x:v>MFRX-0243</x:v>
      </x:c>
      <x:c r="F244" s="6" t="str">
        <x:f>IFERROR(XLOOKUP(E244,'Review Sequence'!C2:C1586,'Review Sequence'!J2:J1586),"Dependency not found")</x:f>
        <x:v>Not Started</x:v>
      </x:c>
      <x:c r="G244" s="6" t="str">
        <x:v>iPhone 12 Mini Charge Port Replacement</x:v>
      </x:c>
      <x:c r="H244" s="6" t="str"/>
      <x:c r="I244" s="6" t="str"/>
      <x:c r="J244" s="6" t="str">
        <x:v>Unknown</x:v>
      </x:c>
      <x:c r="K244" s="6" t="str">
        <x:v>Unresolved</x:v>
      </x:c>
      <x:c r="L244" s="7" t="str">
        <x:v>Nocturnix_Master_Services_Catalog_v1.xlsx | 01 - Master Services | row 283</x:v>
      </x:c>
      <x:c r="M244" s="6" t="str"/>
      <x:c r="N244" s="6" t="str"/>
      <x:c r="O244" s="6" t="str">
        <x:v>Pending</x:v>
      </x:c>
      <x:c r="P244" s="7" t="str">
        <x:f>IF(AND(OR(D244="Reviewer Complete",D244="Awaiting Second-Level Approval"),OR(F244="Reviewer Complete",F244="Awaiting Second-Level Approval")),"","Identity/manufacturer dependency unresolved")</x:f>
        <x:v>Identity/manufacturer dependency unresolved</x:v>
      </x:c>
      <x:c r="Q244" s="6" t="str">
        <x:v>Yes</x:v>
      </x:c>
      <x:c r="R244" s="7" t="str"/>
    </x:row>
    <x:row r="245">
      <x:c r="A245" s="6" t="str">
        <x:v>DEVX-0244</x:v>
      </x:c>
      <x:c r="B245" s="6" t="str">
        <x:v>SVC000244</x:v>
      </x:c>
      <x:c r="C245" s="6" t="str">
        <x:v>SIDX-0244</x:v>
      </x:c>
      <x:c r="D245" s="6" t="str">
        <x:f>IFERROR(XLOOKUP(C245,'Review Sequence'!C2:C1586,'Review Sequence'!J2:J1586),"Dependency not found")</x:f>
        <x:v>Not Started</x:v>
      </x:c>
      <x:c r="E245" s="6" t="str">
        <x:v>MFRX-0244</x:v>
      </x:c>
      <x:c r="F245" s="6" t="str">
        <x:f>IFERROR(XLOOKUP(E245,'Review Sequence'!C2:C1586,'Review Sequence'!J2:J1586),"Dependency not found")</x:f>
        <x:v>Not Started</x:v>
      </x:c>
      <x:c r="G245" s="6" t="str">
        <x:v>iPhone 12 Pro Charge Port Replacement</x:v>
      </x:c>
      <x:c r="H245" s="6" t="str"/>
      <x:c r="I245" s="6" t="str"/>
      <x:c r="J245" s="6" t="str">
        <x:v>Unknown</x:v>
      </x:c>
      <x:c r="K245" s="6" t="str">
        <x:v>Unresolved</x:v>
      </x:c>
      <x:c r="L245" s="7" t="str">
        <x:v>Nocturnix_Master_Services_Catalog_v1.xlsx | 01 - Master Services | row 284</x:v>
      </x:c>
      <x:c r="M245" s="6" t="str"/>
      <x:c r="N245" s="6" t="str"/>
      <x:c r="O245" s="6" t="str">
        <x:v>Pending</x:v>
      </x:c>
      <x:c r="P245" s="7" t="str">
        <x:f>IF(AND(OR(D245="Reviewer Complete",D245="Awaiting Second-Level Approval"),OR(F245="Reviewer Complete",F245="Awaiting Second-Level Approval")),"","Identity/manufacturer dependency unresolved")</x:f>
        <x:v>Identity/manufacturer dependency unresolved</x:v>
      </x:c>
      <x:c r="Q245" s="6" t="str">
        <x:v>Yes</x:v>
      </x:c>
      <x:c r="R245" s="7" t="str"/>
    </x:row>
    <x:row r="246">
      <x:c r="A246" s="6" t="str">
        <x:v>DEVX-0245</x:v>
      </x:c>
      <x:c r="B246" s="6" t="str">
        <x:v>SVC000245</x:v>
      </x:c>
      <x:c r="C246" s="6" t="str">
        <x:v>SIDX-0245</x:v>
      </x:c>
      <x:c r="D246" s="6" t="str">
        <x:f>IFERROR(XLOOKUP(C246,'Review Sequence'!C2:C1586,'Review Sequence'!J2:J1586),"Dependency not found")</x:f>
        <x:v>Not Started</x:v>
      </x:c>
      <x:c r="E246" s="6" t="str">
        <x:v>MFRX-0245</x:v>
      </x:c>
      <x:c r="F246" s="6" t="str">
        <x:f>IFERROR(XLOOKUP(E246,'Review Sequence'!C2:C1586,'Review Sequence'!J2:J1586),"Dependency not found")</x:f>
        <x:v>Not Started</x:v>
      </x:c>
      <x:c r="G246" s="6" t="str">
        <x:v>iPhone 12 Pro Max Charge Port Replacement</x:v>
      </x:c>
      <x:c r="H246" s="6" t="str"/>
      <x:c r="I246" s="6" t="str"/>
      <x:c r="J246" s="6" t="str">
        <x:v>Unknown</x:v>
      </x:c>
      <x:c r="K246" s="6" t="str">
        <x:v>Unresolved</x:v>
      </x:c>
      <x:c r="L246" s="7" t="str">
        <x:v>Nocturnix_Master_Services_Catalog_v1.xlsx | 01 - Master Services | row 285</x:v>
      </x:c>
      <x:c r="M246" s="6" t="str"/>
      <x:c r="N246" s="6" t="str"/>
      <x:c r="O246" s="6" t="str">
        <x:v>Pending</x:v>
      </x:c>
      <x:c r="P246" s="7" t="str">
        <x:f>IF(AND(OR(D246="Reviewer Complete",D246="Awaiting Second-Level Approval"),OR(F246="Reviewer Complete",F246="Awaiting Second-Level Approval")),"","Identity/manufacturer dependency unresolved")</x:f>
        <x:v>Identity/manufacturer dependency unresolved</x:v>
      </x:c>
      <x:c r="Q246" s="6" t="str">
        <x:v>Yes</x:v>
      </x:c>
      <x:c r="R246" s="7" t="str"/>
    </x:row>
    <x:row r="247">
      <x:c r="A247" s="6" t="str">
        <x:v>DEVX-0246</x:v>
      </x:c>
      <x:c r="B247" s="6" t="str">
        <x:v>SVC000246</x:v>
      </x:c>
      <x:c r="C247" s="6" t="str">
        <x:v>SIDX-0246</x:v>
      </x:c>
      <x:c r="D247" s="6" t="str">
        <x:f>IFERROR(XLOOKUP(C247,'Review Sequence'!C2:C1586,'Review Sequence'!J2:J1586),"Dependency not found")</x:f>
        <x:v>Not Started</x:v>
      </x:c>
      <x:c r="E247" s="6" t="str">
        <x:v>MFRX-0246</x:v>
      </x:c>
      <x:c r="F247" s="6" t="str">
        <x:f>IFERROR(XLOOKUP(E247,'Review Sequence'!C2:C1586,'Review Sequence'!J2:J1586),"Dependency not found")</x:f>
        <x:v>Not Started</x:v>
      </x:c>
      <x:c r="G247" s="6" t="str">
        <x:v>iPhone 13 Charge Port Replacement</x:v>
      </x:c>
      <x:c r="H247" s="6" t="str"/>
      <x:c r="I247" s="6" t="str"/>
      <x:c r="J247" s="6" t="str">
        <x:v>Unknown</x:v>
      </x:c>
      <x:c r="K247" s="6" t="str">
        <x:v>Unresolved</x:v>
      </x:c>
      <x:c r="L247" s="7" t="str">
        <x:v>Nocturnix_Master_Services_Catalog_v1.xlsx | 01 - Master Services | row 286</x:v>
      </x:c>
      <x:c r="M247" s="6" t="str"/>
      <x:c r="N247" s="6" t="str"/>
      <x:c r="O247" s="6" t="str">
        <x:v>Pending</x:v>
      </x:c>
      <x:c r="P247" s="7" t="str">
        <x:f>IF(AND(OR(D247="Reviewer Complete",D247="Awaiting Second-Level Approval"),OR(F247="Reviewer Complete",F247="Awaiting Second-Level Approval")),"","Identity/manufacturer dependency unresolved")</x:f>
        <x:v>Identity/manufacturer dependency unresolved</x:v>
      </x:c>
      <x:c r="Q247" s="6" t="str">
        <x:v>Yes</x:v>
      </x:c>
      <x:c r="R247" s="7" t="str"/>
    </x:row>
    <x:row r="248">
      <x:c r="A248" s="6" t="str">
        <x:v>DEVX-0247</x:v>
      </x:c>
      <x:c r="B248" s="6" t="str">
        <x:v>SVC000247</x:v>
      </x:c>
      <x:c r="C248" s="6" t="str">
        <x:v>SIDX-0247</x:v>
      </x:c>
      <x:c r="D248" s="6" t="str">
        <x:f>IFERROR(XLOOKUP(C248,'Review Sequence'!C2:C1586,'Review Sequence'!J2:J1586),"Dependency not found")</x:f>
        <x:v>Not Started</x:v>
      </x:c>
      <x:c r="E248" s="6" t="str">
        <x:v>MFRX-0247</x:v>
      </x:c>
      <x:c r="F248" s="6" t="str">
        <x:f>IFERROR(XLOOKUP(E248,'Review Sequence'!C2:C1586,'Review Sequence'!J2:J1586),"Dependency not found")</x:f>
        <x:v>Not Started</x:v>
      </x:c>
      <x:c r="G248" s="6" t="str">
        <x:v>iPhone 13 Mini Charge Port Replacement</x:v>
      </x:c>
      <x:c r="H248" s="6" t="str"/>
      <x:c r="I248" s="6" t="str"/>
      <x:c r="J248" s="6" t="str">
        <x:v>Unknown</x:v>
      </x:c>
      <x:c r="K248" s="6" t="str">
        <x:v>Unresolved</x:v>
      </x:c>
      <x:c r="L248" s="7" t="str">
        <x:v>Nocturnix_Master_Services_Catalog_v1.xlsx | 01 - Master Services | row 287</x:v>
      </x:c>
      <x:c r="M248" s="6" t="str"/>
      <x:c r="N248" s="6" t="str"/>
      <x:c r="O248" s="6" t="str">
        <x:v>Pending</x:v>
      </x:c>
      <x:c r="P248" s="7" t="str">
        <x:f>IF(AND(OR(D248="Reviewer Complete",D248="Awaiting Second-Level Approval"),OR(F248="Reviewer Complete",F248="Awaiting Second-Level Approval")),"","Identity/manufacturer dependency unresolved")</x:f>
        <x:v>Identity/manufacturer dependency unresolved</x:v>
      </x:c>
      <x:c r="Q248" s="6" t="str">
        <x:v>Yes</x:v>
      </x:c>
      <x:c r="R248" s="7" t="str"/>
    </x:row>
    <x:row r="249">
      <x:c r="A249" s="6" t="str">
        <x:v>DEVX-0248</x:v>
      </x:c>
      <x:c r="B249" s="6" t="str">
        <x:v>SVC000248</x:v>
      </x:c>
      <x:c r="C249" s="6" t="str">
        <x:v>SIDX-0248</x:v>
      </x:c>
      <x:c r="D249" s="6" t="str">
        <x:f>IFERROR(XLOOKUP(C249,'Review Sequence'!C2:C1586,'Review Sequence'!J2:J1586),"Dependency not found")</x:f>
        <x:v>Not Started</x:v>
      </x:c>
      <x:c r="E249" s="6" t="str">
        <x:v>MFRX-0248</x:v>
      </x:c>
      <x:c r="F249" s="6" t="str">
        <x:f>IFERROR(XLOOKUP(E249,'Review Sequence'!C2:C1586,'Review Sequence'!J2:J1586),"Dependency not found")</x:f>
        <x:v>Not Started</x:v>
      </x:c>
      <x:c r="G249" s="6" t="str">
        <x:v>iPhone 13 Pro Charge Port Replacement</x:v>
      </x:c>
      <x:c r="H249" s="6" t="str"/>
      <x:c r="I249" s="6" t="str"/>
      <x:c r="J249" s="6" t="str">
        <x:v>Unknown</x:v>
      </x:c>
      <x:c r="K249" s="6" t="str">
        <x:v>Unresolved</x:v>
      </x:c>
      <x:c r="L249" s="7" t="str">
        <x:v>Nocturnix_Master_Services_Catalog_v1.xlsx | 01 - Master Services | row 288</x:v>
      </x:c>
      <x:c r="M249" s="6" t="str"/>
      <x:c r="N249" s="6" t="str"/>
      <x:c r="O249" s="6" t="str">
        <x:v>Pending</x:v>
      </x:c>
      <x:c r="P249" s="7" t="str">
        <x:f>IF(AND(OR(D249="Reviewer Complete",D249="Awaiting Second-Level Approval"),OR(F249="Reviewer Complete",F249="Awaiting Second-Level Approval")),"","Identity/manufacturer dependency unresolved")</x:f>
        <x:v>Identity/manufacturer dependency unresolved</x:v>
      </x:c>
      <x:c r="Q249" s="6" t="str">
        <x:v>Yes</x:v>
      </x:c>
      <x:c r="R249" s="7" t="str"/>
    </x:row>
    <x:row r="250">
      <x:c r="A250" s="6" t="str">
        <x:v>DEVX-0249</x:v>
      </x:c>
      <x:c r="B250" s="6" t="str">
        <x:v>SVC000249</x:v>
      </x:c>
      <x:c r="C250" s="6" t="str">
        <x:v>SIDX-0249</x:v>
      </x:c>
      <x:c r="D250" s="6" t="str">
        <x:f>IFERROR(XLOOKUP(C250,'Review Sequence'!C2:C1586,'Review Sequence'!J2:J1586),"Dependency not found")</x:f>
        <x:v>Not Started</x:v>
      </x:c>
      <x:c r="E250" s="6" t="str">
        <x:v>MFRX-0249</x:v>
      </x:c>
      <x:c r="F250" s="6" t="str">
        <x:f>IFERROR(XLOOKUP(E250,'Review Sequence'!C2:C1586,'Review Sequence'!J2:J1586),"Dependency not found")</x:f>
        <x:v>Not Started</x:v>
      </x:c>
      <x:c r="G250" s="6" t="str">
        <x:v>iPhone 13 Pro Max Charge Port Replacement</x:v>
      </x:c>
      <x:c r="H250" s="6" t="str"/>
      <x:c r="I250" s="6" t="str"/>
      <x:c r="J250" s="6" t="str">
        <x:v>Unknown</x:v>
      </x:c>
      <x:c r="K250" s="6" t="str">
        <x:v>Unresolved</x:v>
      </x:c>
      <x:c r="L250" s="7" t="str">
        <x:v>Nocturnix_Master_Services_Catalog_v1.xlsx | 01 - Master Services | row 289</x:v>
      </x:c>
      <x:c r="M250" s="6" t="str"/>
      <x:c r="N250" s="6" t="str"/>
      <x:c r="O250" s="6" t="str">
        <x:v>Pending</x:v>
      </x:c>
      <x:c r="P250" s="7" t="str">
        <x:f>IF(AND(OR(D250="Reviewer Complete",D250="Awaiting Second-Level Approval"),OR(F250="Reviewer Complete",F250="Awaiting Second-Level Approval")),"","Identity/manufacturer dependency unresolved")</x:f>
        <x:v>Identity/manufacturer dependency unresolved</x:v>
      </x:c>
      <x:c r="Q250" s="6" t="str">
        <x:v>Yes</x:v>
      </x:c>
      <x:c r="R250" s="7" t="str"/>
    </x:row>
    <x:row r="251">
      <x:c r="A251" s="6" t="str">
        <x:v>DEVX-0250</x:v>
      </x:c>
      <x:c r="B251" s="6" t="str">
        <x:v>SVC000250</x:v>
      </x:c>
      <x:c r="C251" s="6" t="str">
        <x:v>SIDX-0250</x:v>
      </x:c>
      <x:c r="D251" s="6" t="str">
        <x:f>IFERROR(XLOOKUP(C251,'Review Sequence'!C2:C1586,'Review Sequence'!J2:J1586),"Dependency not found")</x:f>
        <x:v>Not Started</x:v>
      </x:c>
      <x:c r="E251" s="6" t="str">
        <x:v>MFRX-0250</x:v>
      </x:c>
      <x:c r="F251" s="6" t="str">
        <x:f>IFERROR(XLOOKUP(E251,'Review Sequence'!C2:C1586,'Review Sequence'!J2:J1586),"Dependency not found")</x:f>
        <x:v>Not Started</x:v>
      </x:c>
      <x:c r="G251" s="6" t="str">
        <x:v>iPhone SE (3RD GEN) Charge Port Replacement</x:v>
      </x:c>
      <x:c r="H251" s="6" t="str"/>
      <x:c r="I251" s="6" t="str"/>
      <x:c r="J251" s="6" t="str">
        <x:v>Unknown</x:v>
      </x:c>
      <x:c r="K251" s="6" t="str">
        <x:v>Unresolved</x:v>
      </x:c>
      <x:c r="L251" s="7" t="str">
        <x:v>Nocturnix_Master_Services_Catalog_v1.xlsx | 01 - Master Services | row 290</x:v>
      </x:c>
      <x:c r="M251" s="6" t="str"/>
      <x:c r="N251" s="6" t="str"/>
      <x:c r="O251" s="6" t="str">
        <x:v>Pending</x:v>
      </x:c>
      <x:c r="P251" s="7" t="str">
        <x:f>IF(AND(OR(D251="Reviewer Complete",D251="Awaiting Second-Level Approval"),OR(F251="Reviewer Complete",F251="Awaiting Second-Level Approval")),"","Identity/manufacturer dependency unresolved")</x:f>
        <x:v>Identity/manufacturer dependency unresolved</x:v>
      </x:c>
      <x:c r="Q251" s="6" t="str">
        <x:v>Yes</x:v>
      </x:c>
      <x:c r="R251" s="7" t="str"/>
    </x:row>
    <x:row r="252">
      <x:c r="A252" s="6" t="str">
        <x:v>DEVX-0251</x:v>
      </x:c>
      <x:c r="B252" s="6" t="str">
        <x:v>SVC000251</x:v>
      </x:c>
      <x:c r="C252" s="6" t="str">
        <x:v>SIDX-0251</x:v>
      </x:c>
      <x:c r="D252" s="6" t="str">
        <x:f>IFERROR(XLOOKUP(C252,'Review Sequence'!C2:C1586,'Review Sequence'!J2:J1586),"Dependency not found")</x:f>
        <x:v>Not Started</x:v>
      </x:c>
      <x:c r="E252" s="6" t="str">
        <x:v>MFRX-0251</x:v>
      </x:c>
      <x:c r="F252" s="6" t="str">
        <x:f>IFERROR(XLOOKUP(E252,'Review Sequence'!C2:C1586,'Review Sequence'!J2:J1586),"Dependency not found")</x:f>
        <x:v>Not Started</x:v>
      </x:c>
      <x:c r="G252" s="6" t="str">
        <x:v>iPhone 14 Charge Port Replacement</x:v>
      </x:c>
      <x:c r="H252" s="6" t="str"/>
      <x:c r="I252" s="6" t="str"/>
      <x:c r="J252" s="6" t="str">
        <x:v>Unknown</x:v>
      </x:c>
      <x:c r="K252" s="6" t="str">
        <x:v>Unresolved</x:v>
      </x:c>
      <x:c r="L252" s="7" t="str">
        <x:v>Nocturnix_Master_Services_Catalog_v1.xlsx | 01 - Master Services | row 291</x:v>
      </x:c>
      <x:c r="M252" s="6" t="str"/>
      <x:c r="N252" s="6" t="str"/>
      <x:c r="O252" s="6" t="str">
        <x:v>Pending</x:v>
      </x:c>
      <x:c r="P252" s="7" t="str">
        <x:f>IF(AND(OR(D252="Reviewer Complete",D252="Awaiting Second-Level Approval"),OR(F252="Reviewer Complete",F252="Awaiting Second-Level Approval")),"","Identity/manufacturer dependency unresolved")</x:f>
        <x:v>Identity/manufacturer dependency unresolved</x:v>
      </x:c>
      <x:c r="Q252" s="6" t="str">
        <x:v>Yes</x:v>
      </x:c>
      <x:c r="R252" s="7" t="str"/>
    </x:row>
    <x:row r="253">
      <x:c r="A253" s="6" t="str">
        <x:v>DEVX-0252</x:v>
      </x:c>
      <x:c r="B253" s="6" t="str">
        <x:v>SVC000252</x:v>
      </x:c>
      <x:c r="C253" s="6" t="str">
        <x:v>SIDX-0252</x:v>
      </x:c>
      <x:c r="D253" s="6" t="str">
        <x:f>IFERROR(XLOOKUP(C253,'Review Sequence'!C2:C1586,'Review Sequence'!J2:J1586),"Dependency not found")</x:f>
        <x:v>Not Started</x:v>
      </x:c>
      <x:c r="E253" s="6" t="str">
        <x:v>MFRX-0252</x:v>
      </x:c>
      <x:c r="F253" s="6" t="str">
        <x:f>IFERROR(XLOOKUP(E253,'Review Sequence'!C2:C1586,'Review Sequence'!J2:J1586),"Dependency not found")</x:f>
        <x:v>Not Started</x:v>
      </x:c>
      <x:c r="G253" s="6" t="str">
        <x:v>iPhone 14 Plus Charge Port Replacement</x:v>
      </x:c>
      <x:c r="H253" s="6" t="str"/>
      <x:c r="I253" s="6" t="str"/>
      <x:c r="J253" s="6" t="str">
        <x:v>Unknown</x:v>
      </x:c>
      <x:c r="K253" s="6" t="str">
        <x:v>Unresolved</x:v>
      </x:c>
      <x:c r="L253" s="7" t="str">
        <x:v>Nocturnix_Master_Services_Catalog_v1.xlsx | 01 - Master Services | row 292</x:v>
      </x:c>
      <x:c r="M253" s="6" t="str"/>
      <x:c r="N253" s="6" t="str"/>
      <x:c r="O253" s="6" t="str">
        <x:v>Pending</x:v>
      </x:c>
      <x:c r="P253" s="7" t="str">
        <x:f>IF(AND(OR(D253="Reviewer Complete",D253="Awaiting Second-Level Approval"),OR(F253="Reviewer Complete",F253="Awaiting Second-Level Approval")),"","Identity/manufacturer dependency unresolved")</x:f>
        <x:v>Identity/manufacturer dependency unresolved</x:v>
      </x:c>
      <x:c r="Q253" s="6" t="str">
        <x:v>Yes</x:v>
      </x:c>
      <x:c r="R253" s="7" t="str"/>
    </x:row>
    <x:row r="254">
      <x:c r="A254" s="6" t="str">
        <x:v>DEVX-0253</x:v>
      </x:c>
      <x:c r="B254" s="6" t="str">
        <x:v>SVC000253</x:v>
      </x:c>
      <x:c r="C254" s="6" t="str">
        <x:v>SIDX-0253</x:v>
      </x:c>
      <x:c r="D254" s="6" t="str">
        <x:f>IFERROR(XLOOKUP(C254,'Review Sequence'!C2:C1586,'Review Sequence'!J2:J1586),"Dependency not found")</x:f>
        <x:v>Not Started</x:v>
      </x:c>
      <x:c r="E254" s="6" t="str">
        <x:v>MFRX-0253</x:v>
      </x:c>
      <x:c r="F254" s="6" t="str">
        <x:f>IFERROR(XLOOKUP(E254,'Review Sequence'!C2:C1586,'Review Sequence'!J2:J1586),"Dependency not found")</x:f>
        <x:v>Not Started</x:v>
      </x:c>
      <x:c r="G254" s="6" t="str">
        <x:v>iPhone 14 Pro Charge Port Replacement</x:v>
      </x:c>
      <x:c r="H254" s="6" t="str"/>
      <x:c r="I254" s="6" t="str"/>
      <x:c r="J254" s="6" t="str">
        <x:v>Unknown</x:v>
      </x:c>
      <x:c r="K254" s="6" t="str">
        <x:v>Unresolved</x:v>
      </x:c>
      <x:c r="L254" s="7" t="str">
        <x:v>Nocturnix_Master_Services_Catalog_v1.xlsx | 01 - Master Services | row 293</x:v>
      </x:c>
      <x:c r="M254" s="6" t="str"/>
      <x:c r="N254" s="6" t="str"/>
      <x:c r="O254" s="6" t="str">
        <x:v>Pending</x:v>
      </x:c>
      <x:c r="P254" s="7" t="str">
        <x:f>IF(AND(OR(D254="Reviewer Complete",D254="Awaiting Second-Level Approval"),OR(F254="Reviewer Complete",F254="Awaiting Second-Level Approval")),"","Identity/manufacturer dependency unresolved")</x:f>
        <x:v>Identity/manufacturer dependency unresolved</x:v>
      </x:c>
      <x:c r="Q254" s="6" t="str">
        <x:v>Yes</x:v>
      </x:c>
      <x:c r="R254" s="7" t="str"/>
    </x:row>
    <x:row r="255">
      <x:c r="A255" s="6" t="str">
        <x:v>DEVX-0254</x:v>
      </x:c>
      <x:c r="B255" s="6" t="str">
        <x:v>SVC000254</x:v>
      </x:c>
      <x:c r="C255" s="6" t="str">
        <x:v>SIDX-0254</x:v>
      </x:c>
      <x:c r="D255" s="6" t="str">
        <x:f>IFERROR(XLOOKUP(C255,'Review Sequence'!C2:C1586,'Review Sequence'!J2:J1586),"Dependency not found")</x:f>
        <x:v>Not Started</x:v>
      </x:c>
      <x:c r="E255" s="6" t="str">
        <x:v>MFRX-0254</x:v>
      </x:c>
      <x:c r="F255" s="6" t="str">
        <x:f>IFERROR(XLOOKUP(E255,'Review Sequence'!C2:C1586,'Review Sequence'!J2:J1586),"Dependency not found")</x:f>
        <x:v>Not Started</x:v>
      </x:c>
      <x:c r="G255" s="6" t="str">
        <x:v>iPhone 14 Pro Max Charge Port Replacement</x:v>
      </x:c>
      <x:c r="H255" s="6" t="str"/>
      <x:c r="I255" s="6" t="str"/>
      <x:c r="J255" s="6" t="str">
        <x:v>Unknown</x:v>
      </x:c>
      <x:c r="K255" s="6" t="str">
        <x:v>Unresolved</x:v>
      </x:c>
      <x:c r="L255" s="7" t="str">
        <x:v>Nocturnix_Master_Services_Catalog_v1.xlsx | 01 - Master Services | row 294</x:v>
      </x:c>
      <x:c r="M255" s="6" t="str"/>
      <x:c r="N255" s="6" t="str"/>
      <x:c r="O255" s="6" t="str">
        <x:v>Pending</x:v>
      </x:c>
      <x:c r="P255" s="7" t="str">
        <x:f>IF(AND(OR(D255="Reviewer Complete",D255="Awaiting Second-Level Approval"),OR(F255="Reviewer Complete",F255="Awaiting Second-Level Approval")),"","Identity/manufacturer dependency unresolved")</x:f>
        <x:v>Identity/manufacturer dependency unresolved</x:v>
      </x:c>
      <x:c r="Q255" s="6" t="str">
        <x:v>Yes</x:v>
      </x:c>
      <x:c r="R255" s="7" t="str"/>
    </x:row>
    <x:row r="256">
      <x:c r="A256" s="6" t="str">
        <x:v>DEVX-0255</x:v>
      </x:c>
      <x:c r="B256" s="6" t="str">
        <x:v>SVC000255</x:v>
      </x:c>
      <x:c r="C256" s="6" t="str">
        <x:v>SIDX-0255</x:v>
      </x:c>
      <x:c r="D256" s="6" t="str">
        <x:f>IFERROR(XLOOKUP(C256,'Review Sequence'!C2:C1586,'Review Sequence'!J2:J1586),"Dependency not found")</x:f>
        <x:v>Not Started</x:v>
      </x:c>
      <x:c r="E256" s="6" t="str">
        <x:v>MFRX-0255</x:v>
      </x:c>
      <x:c r="F256" s="6" t="str">
        <x:f>IFERROR(XLOOKUP(E256,'Review Sequence'!C2:C1586,'Review Sequence'!J2:J1586),"Dependency not found")</x:f>
        <x:v>Not Started</x:v>
      </x:c>
      <x:c r="G256" s="6" t="str">
        <x:v>iPhone 15 Charge Port Replacement</x:v>
      </x:c>
      <x:c r="H256" s="6" t="str"/>
      <x:c r="I256" s="6" t="str"/>
      <x:c r="J256" s="6" t="str">
        <x:v>Unknown</x:v>
      </x:c>
      <x:c r="K256" s="6" t="str">
        <x:v>Unresolved</x:v>
      </x:c>
      <x:c r="L256" s="7" t="str">
        <x:v>Nocturnix_Master_Services_Catalog_v1.xlsx | 01 - Master Services | row 295</x:v>
      </x:c>
      <x:c r="M256" s="6" t="str"/>
      <x:c r="N256" s="6" t="str"/>
      <x:c r="O256" s="6" t="str">
        <x:v>Pending</x:v>
      </x:c>
      <x:c r="P256" s="7" t="str">
        <x:f>IF(AND(OR(D256="Reviewer Complete",D256="Awaiting Second-Level Approval"),OR(F256="Reviewer Complete",F256="Awaiting Second-Level Approval")),"","Identity/manufacturer dependency unresolved")</x:f>
        <x:v>Identity/manufacturer dependency unresolved</x:v>
      </x:c>
      <x:c r="Q256" s="6" t="str">
        <x:v>Yes</x:v>
      </x:c>
      <x:c r="R256" s="7" t="str"/>
    </x:row>
    <x:row r="257">
      <x:c r="A257" s="6" t="str">
        <x:v>DEVX-0256</x:v>
      </x:c>
      <x:c r="B257" s="6" t="str">
        <x:v>SVC000256</x:v>
      </x:c>
      <x:c r="C257" s="6" t="str">
        <x:v>SIDX-0256</x:v>
      </x:c>
      <x:c r="D257" s="6" t="str">
        <x:f>IFERROR(XLOOKUP(C257,'Review Sequence'!C2:C1586,'Review Sequence'!J2:J1586),"Dependency not found")</x:f>
        <x:v>Not Started</x:v>
      </x:c>
      <x:c r="E257" s="6" t="str">
        <x:v>MFRX-0256</x:v>
      </x:c>
      <x:c r="F257" s="6" t="str">
        <x:f>IFERROR(XLOOKUP(E257,'Review Sequence'!C2:C1586,'Review Sequence'!J2:J1586),"Dependency not found")</x:f>
        <x:v>Not Started</x:v>
      </x:c>
      <x:c r="G257" s="6" t="str">
        <x:v>iPhone 15 Plus Charge Port Replacement</x:v>
      </x:c>
      <x:c r="H257" s="6" t="str"/>
      <x:c r="I257" s="6" t="str"/>
      <x:c r="J257" s="6" t="str">
        <x:v>Unknown</x:v>
      </x:c>
      <x:c r="K257" s="6" t="str">
        <x:v>Unresolved</x:v>
      </x:c>
      <x:c r="L257" s="7" t="str">
        <x:v>Nocturnix_Master_Services_Catalog_v1.xlsx | 01 - Master Services | row 296</x:v>
      </x:c>
      <x:c r="M257" s="6" t="str"/>
      <x:c r="N257" s="6" t="str"/>
      <x:c r="O257" s="6" t="str">
        <x:v>Pending</x:v>
      </x:c>
      <x:c r="P257" s="7" t="str">
        <x:f>IF(AND(OR(D257="Reviewer Complete",D257="Awaiting Second-Level Approval"),OR(F257="Reviewer Complete",F257="Awaiting Second-Level Approval")),"","Identity/manufacturer dependency unresolved")</x:f>
        <x:v>Identity/manufacturer dependency unresolved</x:v>
      </x:c>
      <x:c r="Q257" s="6" t="str">
        <x:v>Yes</x:v>
      </x:c>
      <x:c r="R257" s="7" t="str"/>
    </x:row>
    <x:row r="258">
      <x:c r="A258" s="6" t="str">
        <x:v>DEVX-0257</x:v>
      </x:c>
      <x:c r="B258" s="6" t="str">
        <x:v>SVC000257</x:v>
      </x:c>
      <x:c r="C258" s="6" t="str">
        <x:v>SIDX-0257</x:v>
      </x:c>
      <x:c r="D258" s="6" t="str">
        <x:f>IFERROR(XLOOKUP(C258,'Review Sequence'!C2:C1586,'Review Sequence'!J2:J1586),"Dependency not found")</x:f>
        <x:v>Not Started</x:v>
      </x:c>
      <x:c r="E258" s="6" t="str">
        <x:v>MFRX-0257</x:v>
      </x:c>
      <x:c r="F258" s="6" t="str">
        <x:f>IFERROR(XLOOKUP(E258,'Review Sequence'!C2:C1586,'Review Sequence'!J2:J1586),"Dependency not found")</x:f>
        <x:v>Not Started</x:v>
      </x:c>
      <x:c r="G258" s="6" t="str">
        <x:v>iPhone 15 Pro Phone Charge Port Replacement</x:v>
      </x:c>
      <x:c r="H258" s="6" t="str"/>
      <x:c r="I258" s="6" t="str"/>
      <x:c r="J258" s="6" t="str">
        <x:v>Unknown</x:v>
      </x:c>
      <x:c r="K258" s="6" t="str">
        <x:v>Unresolved</x:v>
      </x:c>
      <x:c r="L258" s="7" t="str">
        <x:v>Nocturnix_Master_Services_Catalog_v1.xlsx | 01 - Master Services | row 297</x:v>
      </x:c>
      <x:c r="M258" s="6" t="str"/>
      <x:c r="N258" s="6" t="str"/>
      <x:c r="O258" s="6" t="str">
        <x:v>Pending</x:v>
      </x:c>
      <x:c r="P258" s="7" t="str">
        <x:f>IF(AND(OR(D258="Reviewer Complete",D258="Awaiting Second-Level Approval"),OR(F258="Reviewer Complete",F258="Awaiting Second-Level Approval")),"","Identity/manufacturer dependency unresolved")</x:f>
        <x:v>Identity/manufacturer dependency unresolved</x:v>
      </x:c>
      <x:c r="Q258" s="6" t="str">
        <x:v>Yes</x:v>
      </x:c>
      <x:c r="R258" s="7" t="str"/>
    </x:row>
    <x:row r="259">
      <x:c r="A259" s="6" t="str">
        <x:v>DEVX-0258</x:v>
      </x:c>
      <x:c r="B259" s="6" t="str">
        <x:v>SVC000258</x:v>
      </x:c>
      <x:c r="C259" s="6" t="str">
        <x:v>SIDX-0258</x:v>
      </x:c>
      <x:c r="D259" s="6" t="str">
        <x:f>IFERROR(XLOOKUP(C259,'Review Sequence'!C2:C1586,'Review Sequence'!J2:J1586),"Dependency not found")</x:f>
        <x:v>Not Started</x:v>
      </x:c>
      <x:c r="E259" s="6" t="str">
        <x:v>MFRX-0258</x:v>
      </x:c>
      <x:c r="F259" s="6" t="str">
        <x:f>IFERROR(XLOOKUP(E259,'Review Sequence'!C2:C1586,'Review Sequence'!J2:J1586),"Dependency not found")</x:f>
        <x:v>Not Started</x:v>
      </x:c>
      <x:c r="G259" s="6" t="str">
        <x:v>iPhone 15 Pro Max Charge Port Replacement</x:v>
      </x:c>
      <x:c r="H259" s="6" t="str"/>
      <x:c r="I259" s="6" t="str"/>
      <x:c r="J259" s="6" t="str">
        <x:v>Unknown</x:v>
      </x:c>
      <x:c r="K259" s="6" t="str">
        <x:v>Unresolved</x:v>
      </x:c>
      <x:c r="L259" s="7" t="str">
        <x:v>Nocturnix_Master_Services_Catalog_v1.xlsx | 01 - Master Services | row 298</x:v>
      </x:c>
      <x:c r="M259" s="6" t="str"/>
      <x:c r="N259" s="6" t="str"/>
      <x:c r="O259" s="6" t="str">
        <x:v>Pending</x:v>
      </x:c>
      <x:c r="P259" s="7" t="str">
        <x:f>IF(AND(OR(D259="Reviewer Complete",D259="Awaiting Second-Level Approval"),OR(F259="Reviewer Complete",F259="Awaiting Second-Level Approval")),"","Identity/manufacturer dependency unresolved")</x:f>
        <x:v>Identity/manufacturer dependency unresolved</x:v>
      </x:c>
      <x:c r="Q259" s="6" t="str">
        <x:v>Yes</x:v>
      </x:c>
      <x:c r="R259" s="7" t="str"/>
    </x:row>
    <x:row r="260">
      <x:c r="A260" s="6" t="str">
        <x:v>DEVX-0259</x:v>
      </x:c>
      <x:c r="B260" s="6" t="str">
        <x:v>SVC000259</x:v>
      </x:c>
      <x:c r="C260" s="6" t="str">
        <x:v>SIDX-0259</x:v>
      </x:c>
      <x:c r="D260" s="6" t="str">
        <x:f>IFERROR(XLOOKUP(C260,'Review Sequence'!C2:C1586,'Review Sequence'!J2:J1586),"Dependency not found")</x:f>
        <x:v>Not Started</x:v>
      </x:c>
      <x:c r="E260" s="6" t="str">
        <x:v>MFRX-0259</x:v>
      </x:c>
      <x:c r="F260" s="6" t="str">
        <x:f>IFERROR(XLOOKUP(E260,'Review Sequence'!C2:C1586,'Review Sequence'!J2:J1586),"Dependency not found")</x:f>
        <x:v>Not Started</x:v>
      </x:c>
      <x:c r="G260" s="6" t="str">
        <x:v>iPhone 16 Charge Port Replacement</x:v>
      </x:c>
      <x:c r="H260" s="6" t="str"/>
      <x:c r="I260" s="6" t="str"/>
      <x:c r="J260" s="6" t="str">
        <x:v>Unknown</x:v>
      </x:c>
      <x:c r="K260" s="6" t="str">
        <x:v>Unresolved</x:v>
      </x:c>
      <x:c r="L260" s="7" t="str">
        <x:v>Nocturnix_Master_Services_Catalog_v1.xlsx | 01 - Master Services | row 299</x:v>
      </x:c>
      <x:c r="M260" s="6" t="str"/>
      <x:c r="N260" s="6" t="str"/>
      <x:c r="O260" s="6" t="str">
        <x:v>Pending</x:v>
      </x:c>
      <x:c r="P260" s="7" t="str">
        <x:f>IF(AND(OR(D260="Reviewer Complete",D260="Awaiting Second-Level Approval"),OR(F260="Reviewer Complete",F260="Awaiting Second-Level Approval")),"","Identity/manufacturer dependency unresolved")</x:f>
        <x:v>Identity/manufacturer dependency unresolved</x:v>
      </x:c>
      <x:c r="Q260" s="6" t="str">
        <x:v>Yes</x:v>
      </x:c>
      <x:c r="R260" s="7" t="str"/>
    </x:row>
    <x:row r="261">
      <x:c r="A261" s="6" t="str">
        <x:v>DEVX-0260</x:v>
      </x:c>
      <x:c r="B261" s="6" t="str">
        <x:v>SVC000260</x:v>
      </x:c>
      <x:c r="C261" s="6" t="str">
        <x:v>SIDX-0260</x:v>
      </x:c>
      <x:c r="D261" s="6" t="str">
        <x:f>IFERROR(XLOOKUP(C261,'Review Sequence'!C2:C1586,'Review Sequence'!J2:J1586),"Dependency not found")</x:f>
        <x:v>Not Started</x:v>
      </x:c>
      <x:c r="E261" s="6" t="str">
        <x:v>MFRX-0260</x:v>
      </x:c>
      <x:c r="F261" s="6" t="str">
        <x:f>IFERROR(XLOOKUP(E261,'Review Sequence'!C2:C1586,'Review Sequence'!J2:J1586),"Dependency not found")</x:f>
        <x:v>Not Started</x:v>
      </x:c>
      <x:c r="G261" s="6" t="str">
        <x:v>iPhone 16 Plus Charge Port Replacement</x:v>
      </x:c>
      <x:c r="H261" s="6" t="str"/>
      <x:c r="I261" s="6" t="str"/>
      <x:c r="J261" s="6" t="str">
        <x:v>Unknown</x:v>
      </x:c>
      <x:c r="K261" s="6" t="str">
        <x:v>Unresolved</x:v>
      </x:c>
      <x:c r="L261" s="7" t="str">
        <x:v>Nocturnix_Master_Services_Catalog_v1.xlsx | 01 - Master Services | row 300</x:v>
      </x:c>
      <x:c r="M261" s="6" t="str"/>
      <x:c r="N261" s="6" t="str"/>
      <x:c r="O261" s="6" t="str">
        <x:v>Pending</x:v>
      </x:c>
      <x:c r="P261" s="7" t="str">
        <x:f>IF(AND(OR(D261="Reviewer Complete",D261="Awaiting Second-Level Approval"),OR(F261="Reviewer Complete",F261="Awaiting Second-Level Approval")),"","Identity/manufacturer dependency unresolved")</x:f>
        <x:v>Identity/manufacturer dependency unresolved</x:v>
      </x:c>
      <x:c r="Q261" s="6" t="str">
        <x:v>Yes</x:v>
      </x:c>
      <x:c r="R261" s="7" t="str"/>
    </x:row>
    <x:row r="262">
      <x:c r="A262" s="6" t="str">
        <x:v>DEVX-0261</x:v>
      </x:c>
      <x:c r="B262" s="6" t="str">
        <x:v>SVC000261</x:v>
      </x:c>
      <x:c r="C262" s="6" t="str">
        <x:v>SIDX-0261</x:v>
      </x:c>
      <x:c r="D262" s="6" t="str">
        <x:f>IFERROR(XLOOKUP(C262,'Review Sequence'!C2:C1586,'Review Sequence'!J2:J1586),"Dependency not found")</x:f>
        <x:v>Not Started</x:v>
      </x:c>
      <x:c r="E262" s="6" t="str">
        <x:v>MFRX-0261</x:v>
      </x:c>
      <x:c r="F262" s="6" t="str">
        <x:f>IFERROR(XLOOKUP(E262,'Review Sequence'!C2:C1586,'Review Sequence'!J2:J1586),"Dependency not found")</x:f>
        <x:v>Not Started</x:v>
      </x:c>
      <x:c r="G262" s="6" t="str">
        <x:v>iPhone 16 Pro Charge Port Replacement</x:v>
      </x:c>
      <x:c r="H262" s="6" t="str"/>
      <x:c r="I262" s="6" t="str"/>
      <x:c r="J262" s="6" t="str">
        <x:v>Unknown</x:v>
      </x:c>
      <x:c r="K262" s="6" t="str">
        <x:v>Unresolved</x:v>
      </x:c>
      <x:c r="L262" s="7" t="str">
        <x:v>Nocturnix_Master_Services_Catalog_v1.xlsx | 01 - Master Services | row 301</x:v>
      </x:c>
      <x:c r="M262" s="6" t="str"/>
      <x:c r="N262" s="6" t="str"/>
      <x:c r="O262" s="6" t="str">
        <x:v>Pending</x:v>
      </x:c>
      <x:c r="P262" s="7" t="str">
        <x:f>IF(AND(OR(D262="Reviewer Complete",D262="Awaiting Second-Level Approval"),OR(F262="Reviewer Complete",F262="Awaiting Second-Level Approval")),"","Identity/manufacturer dependency unresolved")</x:f>
        <x:v>Identity/manufacturer dependency unresolved</x:v>
      </x:c>
      <x:c r="Q262" s="6" t="str">
        <x:v>Yes</x:v>
      </x:c>
      <x:c r="R262" s="7" t="str"/>
    </x:row>
    <x:row r="263">
      <x:c r="A263" s="6" t="str">
        <x:v>DEVX-0262</x:v>
      </x:c>
      <x:c r="B263" s="6" t="str">
        <x:v>SVC000262</x:v>
      </x:c>
      <x:c r="C263" s="6" t="str">
        <x:v>SIDX-0262</x:v>
      </x:c>
      <x:c r="D263" s="6" t="str">
        <x:f>IFERROR(XLOOKUP(C263,'Review Sequence'!C2:C1586,'Review Sequence'!J2:J1586),"Dependency not found")</x:f>
        <x:v>Not Started</x:v>
      </x:c>
      <x:c r="E263" s="6" t="str">
        <x:v>MFRX-0262</x:v>
      </x:c>
      <x:c r="F263" s="6" t="str">
        <x:f>IFERROR(XLOOKUP(E263,'Review Sequence'!C2:C1586,'Review Sequence'!J2:J1586),"Dependency not found")</x:f>
        <x:v>Not Started</x:v>
      </x:c>
      <x:c r="G263" s="6" t="str">
        <x:v>iPhone 16 Pro Max Charge Port Replacement</x:v>
      </x:c>
      <x:c r="H263" s="6" t="str"/>
      <x:c r="I263" s="6" t="str"/>
      <x:c r="J263" s="6" t="str">
        <x:v>Unknown</x:v>
      </x:c>
      <x:c r="K263" s="6" t="str">
        <x:v>Unresolved</x:v>
      </x:c>
      <x:c r="L263" s="7" t="str">
        <x:v>Nocturnix_Master_Services_Catalog_v1.xlsx | 01 - Master Services | row 302</x:v>
      </x:c>
      <x:c r="M263" s="6" t="str"/>
      <x:c r="N263" s="6" t="str"/>
      <x:c r="O263" s="6" t="str">
        <x:v>Pending</x:v>
      </x:c>
      <x:c r="P263" s="7" t="str">
        <x:f>IF(AND(OR(D263="Reviewer Complete",D263="Awaiting Second-Level Approval"),OR(F263="Reviewer Complete",F263="Awaiting Second-Level Approval")),"","Identity/manufacturer dependency unresolved")</x:f>
        <x:v>Identity/manufacturer dependency unresolved</x:v>
      </x:c>
      <x:c r="Q263" s="6" t="str">
        <x:v>Yes</x:v>
      </x:c>
      <x:c r="R263" s="7" t="str"/>
    </x:row>
    <x:row r="264">
      <x:c r="A264" s="6" t="str">
        <x:v>DEVX-0263</x:v>
      </x:c>
      <x:c r="B264" s="6" t="str">
        <x:v>SVC000263</x:v>
      </x:c>
      <x:c r="C264" s="6" t="str">
        <x:v>SIDX-0263</x:v>
      </x:c>
      <x:c r="D264" s="6" t="str">
        <x:f>IFERROR(XLOOKUP(C264,'Review Sequence'!C2:C1586,'Review Sequence'!J2:J1586),"Dependency not found")</x:f>
        <x:v>Not Started</x:v>
      </x:c>
      <x:c r="E264" s="6" t="str">
        <x:v>MFRX-0263</x:v>
      </x:c>
      <x:c r="F264" s="6" t="str">
        <x:f>IFERROR(XLOOKUP(E264,'Review Sequence'!C2:C1586,'Review Sequence'!J2:J1586),"Dependency not found")</x:f>
        <x:v>Not Started</x:v>
      </x:c>
      <x:c r="G264" s="6" t="str">
        <x:v>iPhone 16E Charge Port Replacement</x:v>
      </x:c>
      <x:c r="H264" s="6" t="str"/>
      <x:c r="I264" s="6" t="str"/>
      <x:c r="J264" s="6" t="str">
        <x:v>Unknown</x:v>
      </x:c>
      <x:c r="K264" s="6" t="str">
        <x:v>Unresolved</x:v>
      </x:c>
      <x:c r="L264" s="7" t="str">
        <x:v>Nocturnix_Master_Services_Catalog_v1.xlsx | 01 - Master Services | row 303</x:v>
      </x:c>
      <x:c r="M264" s="6" t="str"/>
      <x:c r="N264" s="6" t="str"/>
      <x:c r="O264" s="6" t="str">
        <x:v>Pending</x:v>
      </x:c>
      <x:c r="P264" s="7" t="str">
        <x:f>IF(AND(OR(D264="Reviewer Complete",D264="Awaiting Second-Level Approval"),OR(F264="Reviewer Complete",F264="Awaiting Second-Level Approval")),"","Identity/manufacturer dependency unresolved")</x:f>
        <x:v>Identity/manufacturer dependency unresolved</x:v>
      </x:c>
      <x:c r="Q264" s="6" t="str">
        <x:v>Yes</x:v>
      </x:c>
      <x:c r="R264" s="7" t="str"/>
    </x:row>
    <x:row r="265">
      <x:c r="A265" s="6" t="str">
        <x:v>DEVX-0264</x:v>
      </x:c>
      <x:c r="B265" s="6" t="str">
        <x:v>SVC000264</x:v>
      </x:c>
      <x:c r="C265" s="6" t="str">
        <x:v>SIDX-0264</x:v>
      </x:c>
      <x:c r="D265" s="6" t="str">
        <x:f>IFERROR(XLOOKUP(C265,'Review Sequence'!C2:C1586,'Review Sequence'!J2:J1586),"Dependency not found")</x:f>
        <x:v>Not Started</x:v>
      </x:c>
      <x:c r="E265" s="6" t="str">
        <x:v>MFRX-0264</x:v>
      </x:c>
      <x:c r="F265" s="6" t="str">
        <x:f>IFERROR(XLOOKUP(E265,'Review Sequence'!C2:C1586,'Review Sequence'!J2:J1586),"Dependency not found")</x:f>
        <x:v>Not Started</x:v>
      </x:c>
      <x:c r="G265" s="6" t="str">
        <x:v>iPhone 17 Charge Port Replacement</x:v>
      </x:c>
      <x:c r="H265" s="6" t="str"/>
      <x:c r="I265" s="6" t="str"/>
      <x:c r="J265" s="6" t="str">
        <x:v>Unknown</x:v>
      </x:c>
      <x:c r="K265" s="6" t="str">
        <x:v>Unresolved</x:v>
      </x:c>
      <x:c r="L265" s="7" t="str">
        <x:v>Nocturnix_Master_Services_Catalog_v1.xlsx | 01 - Master Services | row 304</x:v>
      </x:c>
      <x:c r="M265" s="6" t="str"/>
      <x:c r="N265" s="6" t="str"/>
      <x:c r="O265" s="6" t="str">
        <x:v>Pending</x:v>
      </x:c>
      <x:c r="P265" s="7" t="str">
        <x:f>IF(AND(OR(D265="Reviewer Complete",D265="Awaiting Second-Level Approval"),OR(F265="Reviewer Complete",F265="Awaiting Second-Level Approval")),"","Identity/manufacturer dependency unresolved")</x:f>
        <x:v>Identity/manufacturer dependency unresolved</x:v>
      </x:c>
      <x:c r="Q265" s="6" t="str">
        <x:v>Yes</x:v>
      </x:c>
      <x:c r="R265" s="7" t="str"/>
    </x:row>
    <x:row r="266">
      <x:c r="A266" s="6" t="str">
        <x:v>DEVX-0265</x:v>
      </x:c>
      <x:c r="B266" s="6" t="str">
        <x:v>SVC000265</x:v>
      </x:c>
      <x:c r="C266" s="6" t="str">
        <x:v>SIDX-0265</x:v>
      </x:c>
      <x:c r="D266" s="6" t="str">
        <x:f>IFERROR(XLOOKUP(C266,'Review Sequence'!C2:C1586,'Review Sequence'!J2:J1586),"Dependency not found")</x:f>
        <x:v>Not Started</x:v>
      </x:c>
      <x:c r="E266" s="6" t="str">
        <x:v>MFRX-0265</x:v>
      </x:c>
      <x:c r="F266" s="6" t="str">
        <x:f>IFERROR(XLOOKUP(E266,'Review Sequence'!C2:C1586,'Review Sequence'!J2:J1586),"Dependency not found")</x:f>
        <x:v>Not Started</x:v>
      </x:c>
      <x:c r="G266" s="6" t="str">
        <x:v>iPhone 17 Pro Charge Port Replacement</x:v>
      </x:c>
      <x:c r="H266" s="6" t="str"/>
      <x:c r="I266" s="6" t="str"/>
      <x:c r="J266" s="6" t="str">
        <x:v>Unknown</x:v>
      </x:c>
      <x:c r="K266" s="6" t="str">
        <x:v>Unresolved</x:v>
      </x:c>
      <x:c r="L266" s="7" t="str">
        <x:v>Nocturnix_Master_Services_Catalog_v1.xlsx | 01 - Master Services | row 305</x:v>
      </x:c>
      <x:c r="M266" s="6" t="str"/>
      <x:c r="N266" s="6" t="str"/>
      <x:c r="O266" s="6" t="str">
        <x:v>Pending</x:v>
      </x:c>
      <x:c r="P266" s="7" t="str">
        <x:f>IF(AND(OR(D266="Reviewer Complete",D266="Awaiting Second-Level Approval"),OR(F266="Reviewer Complete",F266="Awaiting Second-Level Approval")),"","Identity/manufacturer dependency unresolved")</x:f>
        <x:v>Identity/manufacturer dependency unresolved</x:v>
      </x:c>
      <x:c r="Q266" s="6" t="str">
        <x:v>Yes</x:v>
      </x:c>
      <x:c r="R266" s="7" t="str"/>
    </x:row>
    <x:row r="267">
      <x:c r="A267" s="6" t="str">
        <x:v>DEVX-0266</x:v>
      </x:c>
      <x:c r="B267" s="6" t="str">
        <x:v>SVC000266</x:v>
      </x:c>
      <x:c r="C267" s="6" t="str">
        <x:v>SIDX-0266</x:v>
      </x:c>
      <x:c r="D267" s="6" t="str">
        <x:f>IFERROR(XLOOKUP(C267,'Review Sequence'!C2:C1586,'Review Sequence'!J2:J1586),"Dependency not found")</x:f>
        <x:v>Not Started</x:v>
      </x:c>
      <x:c r="E267" s="6" t="str">
        <x:v>MFRX-0266</x:v>
      </x:c>
      <x:c r="F267" s="6" t="str">
        <x:f>IFERROR(XLOOKUP(E267,'Review Sequence'!C2:C1586,'Review Sequence'!J2:J1586),"Dependency not found")</x:f>
        <x:v>Not Started</x:v>
      </x:c>
      <x:c r="G267" s="6" t="str">
        <x:v>iPhone 17 Pro Max Phone* Charge Port Replacement</x:v>
      </x:c>
      <x:c r="H267" s="6" t="str"/>
      <x:c r="I267" s="6" t="str"/>
      <x:c r="J267" s="6" t="str">
        <x:v>Unknown</x:v>
      </x:c>
      <x:c r="K267" s="6" t="str">
        <x:v>Unresolved</x:v>
      </x:c>
      <x:c r="L267" s="7" t="str">
        <x:v>Nocturnix_Master_Services_Catalog_v1.xlsx | 01 - Master Services | row 306</x:v>
      </x:c>
      <x:c r="M267" s="6" t="str"/>
      <x:c r="N267" s="6" t="str"/>
      <x:c r="O267" s="6" t="str">
        <x:v>Pending</x:v>
      </x:c>
      <x:c r="P267" s="7" t="str">
        <x:f>IF(AND(OR(D267="Reviewer Complete",D267="Awaiting Second-Level Approval"),OR(F267="Reviewer Complete",F267="Awaiting Second-Level Approval")),"","Identity/manufacturer dependency unresolved")</x:f>
        <x:v>Identity/manufacturer dependency unresolved</x:v>
      </x:c>
      <x:c r="Q267" s="6" t="str">
        <x:v>Yes</x:v>
      </x:c>
      <x:c r="R267" s="7" t="str"/>
    </x:row>
    <x:row r="268">
      <x:c r="A268" s="6" t="str">
        <x:v>DEVX-0267</x:v>
      </x:c>
      <x:c r="B268" s="6" t="str">
        <x:v>SVC000267</x:v>
      </x:c>
      <x:c r="C268" s="6" t="str">
        <x:v>SIDX-0267</x:v>
      </x:c>
      <x:c r="D268" s="6" t="str">
        <x:f>IFERROR(XLOOKUP(C268,'Review Sequence'!C2:C1586,'Review Sequence'!J2:J1586),"Dependency not found")</x:f>
        <x:v>Not Started</x:v>
      </x:c>
      <x:c r="E268" s="6" t="str">
        <x:v>MFRX-0267</x:v>
      </x:c>
      <x:c r="F268" s="6" t="str">
        <x:f>IFERROR(XLOOKUP(E268,'Review Sequence'!C2:C1586,'Review Sequence'!J2:J1586),"Dependency not found")</x:f>
        <x:v>Not Started</x:v>
      </x:c>
      <x:c r="G268" s="6" t="str">
        <x:v>iPhone Air Charge Port Replacement</x:v>
      </x:c>
      <x:c r="H268" s="6" t="str"/>
      <x:c r="I268" s="6" t="str"/>
      <x:c r="J268" s="6" t="str">
        <x:v>Unknown</x:v>
      </x:c>
      <x:c r="K268" s="6" t="str">
        <x:v>Unresolved</x:v>
      </x:c>
      <x:c r="L268" s="7" t="str">
        <x:v>Nocturnix_Master_Services_Catalog_v1.xlsx | 01 - Master Services | row 307</x:v>
      </x:c>
      <x:c r="M268" s="6" t="str"/>
      <x:c r="N268" s="6" t="str"/>
      <x:c r="O268" s="6" t="str">
        <x:v>Pending</x:v>
      </x:c>
      <x:c r="P268" s="7" t="str">
        <x:f>IF(AND(OR(D268="Reviewer Complete",D268="Awaiting Second-Level Approval"),OR(F268="Reviewer Complete",F268="Awaiting Second-Level Approval")),"","Identity/manufacturer dependency unresolved")</x:f>
        <x:v>Identity/manufacturer dependency unresolved</x:v>
      </x:c>
      <x:c r="Q268" s="6" t="str">
        <x:v>Yes</x:v>
      </x:c>
      <x:c r="R268" s="7" t="str"/>
    </x:row>
    <x:row r="269">
      <x:c r="A269" s="6" t="str">
        <x:v>DEVX-0268</x:v>
      </x:c>
      <x:c r="B269" s="6" t="str">
        <x:v>SVC000268</x:v>
      </x:c>
      <x:c r="C269" s="6" t="str">
        <x:v>SIDX-0268</x:v>
      </x:c>
      <x:c r="D269" s="6" t="str">
        <x:f>IFERROR(XLOOKUP(C269,'Review Sequence'!C2:C1586,'Review Sequence'!J2:J1586),"Dependency not found")</x:f>
        <x:v>Not Started</x:v>
      </x:c>
      <x:c r="E269" s="6" t="str">
        <x:v>MFRX-0268</x:v>
      </x:c>
      <x:c r="F269" s="6" t="str">
        <x:f>IFERROR(XLOOKUP(E269,'Review Sequence'!C2:C1586,'Review Sequence'!J2:J1586),"Dependency not found")</x:f>
        <x:v>Not Started</x:v>
      </x:c>
      <x:c r="G269" s="6" t="str">
        <x:v>nan Charge Port Replacement</x:v>
      </x:c>
      <x:c r="H269" s="6" t="str"/>
      <x:c r="I269" s="6" t="str"/>
      <x:c r="J269" s="6" t="str">
        <x:v>Unknown</x:v>
      </x:c>
      <x:c r="K269" s="6" t="str">
        <x:v>Unresolved</x:v>
      </x:c>
      <x:c r="L269" s="7" t="str">
        <x:v>Nocturnix_Master_Services_Catalog_v1.xlsx | 01 - Master Services | row 308</x:v>
      </x:c>
      <x:c r="M269" s="6" t="str"/>
      <x:c r="N269" s="6" t="str"/>
      <x:c r="O269" s="6" t="str">
        <x:v>Pending</x:v>
      </x:c>
      <x:c r="P269" s="7" t="str">
        <x:f>IF(AND(OR(D269="Reviewer Complete",D269="Awaiting Second-Level Approval"),OR(F269="Reviewer Complete",F269="Awaiting Second-Level Approval")),"","Identity/manufacturer dependency unresolved")</x:f>
        <x:v>Identity/manufacturer dependency unresolved</x:v>
      </x:c>
      <x:c r="Q269" s="6" t="str">
        <x:v>Yes</x:v>
      </x:c>
      <x:c r="R269" s="7" t="str"/>
    </x:row>
    <x:row r="270">
      <x:c r="A270" s="6" t="str">
        <x:v>DEVX-0269</x:v>
      </x:c>
      <x:c r="B270" s="6" t="str">
        <x:v>SVC000269</x:v>
      </x:c>
      <x:c r="C270" s="6" t="str">
        <x:v>SIDX-0269</x:v>
      </x:c>
      <x:c r="D270" s="6" t="str">
        <x:f>IFERROR(XLOOKUP(C270,'Review Sequence'!C2:C1586,'Review Sequence'!J2:J1586),"Dependency not found")</x:f>
        <x:v>Not Started</x:v>
      </x:c>
      <x:c r="E270" s="6" t="str">
        <x:v>MFRX-0269</x:v>
      </x:c>
      <x:c r="F270" s="6" t="str">
        <x:f>IFERROR(XLOOKUP(E270,'Review Sequence'!C2:C1586,'Review Sequence'!J2:J1586),"Dependency not found")</x:f>
        <x:v>Not Started</x:v>
      </x:c>
      <x:c r="G270" s="6" t="str">
        <x:v>Galaxy S Classic Charge Port Replacement</x:v>
      </x:c>
      <x:c r="H270" s="6" t="str"/>
      <x:c r="I270" s="6" t="str"/>
      <x:c r="J270" s="6" t="str">
        <x:v>Unknown</x:v>
      </x:c>
      <x:c r="K270" s="6" t="str">
        <x:v>Unresolved</x:v>
      </x:c>
      <x:c r="L270" s="7" t="str">
        <x:v>Nocturnix_Master_Services_Catalog_v1.xlsx | 01 - Master Services | row 309</x:v>
      </x:c>
      <x:c r="M270" s="6" t="str"/>
      <x:c r="N270" s="6" t="str"/>
      <x:c r="O270" s="6" t="str">
        <x:v>Pending</x:v>
      </x:c>
      <x:c r="P270" s="7" t="str">
        <x:f>IF(AND(OR(D270="Reviewer Complete",D270="Awaiting Second-Level Approval"),OR(F270="Reviewer Complete",F270="Awaiting Second-Level Approval")),"","Identity/manufacturer dependency unresolved")</x:f>
        <x:v>Identity/manufacturer dependency unresolved</x:v>
      </x:c>
      <x:c r="Q270" s="6" t="str">
        <x:v>Yes</x:v>
      </x:c>
      <x:c r="R270" s="7" t="str"/>
    </x:row>
    <x:row r="271">
      <x:c r="A271" s="6" t="str">
        <x:v>DEVX-0270</x:v>
      </x:c>
      <x:c r="B271" s="6" t="str">
        <x:v>SVC000270</x:v>
      </x:c>
      <x:c r="C271" s="6" t="str">
        <x:v>SIDX-0270</x:v>
      </x:c>
      <x:c r="D271" s="6" t="str">
        <x:f>IFERROR(XLOOKUP(C271,'Review Sequence'!C2:C1586,'Review Sequence'!J2:J1586),"Dependency not found")</x:f>
        <x:v>Not Started</x:v>
      </x:c>
      <x:c r="E271" s="6" t="str">
        <x:v>MFRX-0270</x:v>
      </x:c>
      <x:c r="F271" s="6" t="str">
        <x:f>IFERROR(XLOOKUP(E271,'Review Sequence'!C2:C1586,'Review Sequence'!J2:J1586),"Dependency not found")</x:f>
        <x:v>Not Started</x:v>
      </x:c>
      <x:c r="G271" s="6" t="str">
        <x:v>Galaxy S2 Charge Port Replacement</x:v>
      </x:c>
      <x:c r="H271" s="6" t="str"/>
      <x:c r="I271" s="6" t="str"/>
      <x:c r="J271" s="6" t="str">
        <x:v>Unknown</x:v>
      </x:c>
      <x:c r="K271" s="6" t="str">
        <x:v>Unresolved</x:v>
      </x:c>
      <x:c r="L271" s="7" t="str">
        <x:v>Nocturnix_Master_Services_Catalog_v1.xlsx | 01 - Master Services | row 310</x:v>
      </x:c>
      <x:c r="M271" s="6" t="str"/>
      <x:c r="N271" s="6" t="str"/>
      <x:c r="O271" s="6" t="str">
        <x:v>Pending</x:v>
      </x:c>
      <x:c r="P271" s="7" t="str">
        <x:f>IF(AND(OR(D271="Reviewer Complete",D271="Awaiting Second-Level Approval"),OR(F271="Reviewer Complete",F271="Awaiting Second-Level Approval")),"","Identity/manufacturer dependency unresolved")</x:f>
        <x:v>Identity/manufacturer dependency unresolved</x:v>
      </x:c>
      <x:c r="Q271" s="6" t="str">
        <x:v>Yes</x:v>
      </x:c>
      <x:c r="R271" s="7" t="str"/>
    </x:row>
    <x:row r="272">
      <x:c r="A272" s="6" t="str">
        <x:v>DEVX-0271</x:v>
      </x:c>
      <x:c r="B272" s="6" t="str">
        <x:v>SVC000271</x:v>
      </x:c>
      <x:c r="C272" s="6" t="str">
        <x:v>SIDX-0271</x:v>
      </x:c>
      <x:c r="D272" s="6" t="str">
        <x:f>IFERROR(XLOOKUP(C272,'Review Sequence'!C2:C1586,'Review Sequence'!J2:J1586),"Dependency not found")</x:f>
        <x:v>Not Started</x:v>
      </x:c>
      <x:c r="E272" s="6" t="str">
        <x:v>MFRX-0271</x:v>
      </x:c>
      <x:c r="F272" s="6" t="str">
        <x:f>IFERROR(XLOOKUP(E272,'Review Sequence'!C2:C1586,'Review Sequence'!J2:J1586),"Dependency not found")</x:f>
        <x:v>Not Started</x:v>
      </x:c>
      <x:c r="G272" s="6" t="str">
        <x:v>Galaxy S3 Charge Port Replacement</x:v>
      </x:c>
      <x:c r="H272" s="6" t="str"/>
      <x:c r="I272" s="6" t="str"/>
      <x:c r="J272" s="6" t="str">
        <x:v>Unknown</x:v>
      </x:c>
      <x:c r="K272" s="6" t="str">
        <x:v>Unresolved</x:v>
      </x:c>
      <x:c r="L272" s="7" t="str">
        <x:v>Nocturnix_Master_Services_Catalog_v1.xlsx | 01 - Master Services | row 311</x:v>
      </x:c>
      <x:c r="M272" s="6" t="str"/>
      <x:c r="N272" s="6" t="str"/>
      <x:c r="O272" s="6" t="str">
        <x:v>Pending</x:v>
      </x:c>
      <x:c r="P272" s="7" t="str">
        <x:f>IF(AND(OR(D272="Reviewer Complete",D272="Awaiting Second-Level Approval"),OR(F272="Reviewer Complete",F272="Awaiting Second-Level Approval")),"","Identity/manufacturer dependency unresolved")</x:f>
        <x:v>Identity/manufacturer dependency unresolved</x:v>
      </x:c>
      <x:c r="Q272" s="6" t="str">
        <x:v>Yes</x:v>
      </x:c>
      <x:c r="R272" s="7" t="str"/>
    </x:row>
    <x:row r="273">
      <x:c r="A273" s="6" t="str">
        <x:v>DEVX-0272</x:v>
      </x:c>
      <x:c r="B273" s="6" t="str">
        <x:v>SVC000272</x:v>
      </x:c>
      <x:c r="C273" s="6" t="str">
        <x:v>SIDX-0272</x:v>
      </x:c>
      <x:c r="D273" s="6" t="str">
        <x:f>IFERROR(XLOOKUP(C273,'Review Sequence'!C2:C1586,'Review Sequence'!J2:J1586),"Dependency not found")</x:f>
        <x:v>Not Started</x:v>
      </x:c>
      <x:c r="E273" s="6" t="str">
        <x:v>MFRX-0272</x:v>
      </x:c>
      <x:c r="F273" s="6" t="str">
        <x:f>IFERROR(XLOOKUP(E273,'Review Sequence'!C2:C1586,'Review Sequence'!J2:J1586),"Dependency not found")</x:f>
        <x:v>Not Started</x:v>
      </x:c>
      <x:c r="G273" s="6" t="str">
        <x:v>Galaxy S3 Mini Charge Port Replacement</x:v>
      </x:c>
      <x:c r="H273" s="6" t="str"/>
      <x:c r="I273" s="6" t="str"/>
      <x:c r="J273" s="6" t="str">
        <x:v>Unknown</x:v>
      </x:c>
      <x:c r="K273" s="6" t="str">
        <x:v>Unresolved</x:v>
      </x:c>
      <x:c r="L273" s="7" t="str">
        <x:v>Nocturnix_Master_Services_Catalog_v1.xlsx | 01 - Master Services | row 312</x:v>
      </x:c>
      <x:c r="M273" s="6" t="str"/>
      <x:c r="N273" s="6" t="str"/>
      <x:c r="O273" s="6" t="str">
        <x:v>Pending</x:v>
      </x:c>
      <x:c r="P273" s="7" t="str">
        <x:f>IF(AND(OR(D273="Reviewer Complete",D273="Awaiting Second-Level Approval"),OR(F273="Reviewer Complete",F273="Awaiting Second-Level Approval")),"","Identity/manufacturer dependency unresolved")</x:f>
        <x:v>Identity/manufacturer dependency unresolved</x:v>
      </x:c>
      <x:c r="Q273" s="6" t="str">
        <x:v>Yes</x:v>
      </x:c>
      <x:c r="R273" s="7" t="str"/>
    </x:row>
    <x:row r="274">
      <x:c r="A274" s="6" t="str">
        <x:v>DEVX-0273</x:v>
      </x:c>
      <x:c r="B274" s="6" t="str">
        <x:v>SVC000273</x:v>
      </x:c>
      <x:c r="C274" s="6" t="str">
        <x:v>SIDX-0273</x:v>
      </x:c>
      <x:c r="D274" s="6" t="str">
        <x:f>IFERROR(XLOOKUP(C274,'Review Sequence'!C2:C1586,'Review Sequence'!J2:J1586),"Dependency not found")</x:f>
        <x:v>Not Started</x:v>
      </x:c>
      <x:c r="E274" s="6" t="str">
        <x:v>MFRX-0273</x:v>
      </x:c>
      <x:c r="F274" s="6" t="str">
        <x:f>IFERROR(XLOOKUP(E274,'Review Sequence'!C2:C1586,'Review Sequence'!J2:J1586),"Dependency not found")</x:f>
        <x:v>Not Started</x:v>
      </x:c>
      <x:c r="G274" s="6" t="str">
        <x:v>Galaxy S3 Neo Charge Port Replacement</x:v>
      </x:c>
      <x:c r="H274" s="6" t="str"/>
      <x:c r="I274" s="6" t="str"/>
      <x:c r="J274" s="6" t="str">
        <x:v>Unknown</x:v>
      </x:c>
      <x:c r="K274" s="6" t="str">
        <x:v>Unresolved</x:v>
      </x:c>
      <x:c r="L274" s="7" t="str">
        <x:v>Nocturnix_Master_Services_Catalog_v1.xlsx | 01 - Master Services | row 313</x:v>
      </x:c>
      <x:c r="M274" s="6" t="str"/>
      <x:c r="N274" s="6" t="str"/>
      <x:c r="O274" s="6" t="str">
        <x:v>Pending</x:v>
      </x:c>
      <x:c r="P274" s="7" t="str">
        <x:f>IF(AND(OR(D274="Reviewer Complete",D274="Awaiting Second-Level Approval"),OR(F274="Reviewer Complete",F274="Awaiting Second-Level Approval")),"","Identity/manufacturer dependency unresolved")</x:f>
        <x:v>Identity/manufacturer dependency unresolved</x:v>
      </x:c>
      <x:c r="Q274" s="6" t="str">
        <x:v>Yes</x:v>
      </x:c>
      <x:c r="R274" s="7" t="str"/>
    </x:row>
    <x:row r="275">
      <x:c r="A275" s="6" t="str">
        <x:v>DEVX-0274</x:v>
      </x:c>
      <x:c r="B275" s="6" t="str">
        <x:v>SVC000274</x:v>
      </x:c>
      <x:c r="C275" s="6" t="str">
        <x:v>SIDX-0274</x:v>
      </x:c>
      <x:c r="D275" s="6" t="str">
        <x:f>IFERROR(XLOOKUP(C275,'Review Sequence'!C2:C1586,'Review Sequence'!J2:J1586),"Dependency not found")</x:f>
        <x:v>Not Started</x:v>
      </x:c>
      <x:c r="E275" s="6" t="str">
        <x:v>MFRX-0274</x:v>
      </x:c>
      <x:c r="F275" s="6" t="str">
        <x:f>IFERROR(XLOOKUP(E275,'Review Sequence'!C2:C1586,'Review Sequence'!J2:J1586),"Dependency not found")</x:f>
        <x:v>Not Started</x:v>
      </x:c>
      <x:c r="G275" s="6" t="str">
        <x:v>Galaxy S4 Charge Port Replacement</x:v>
      </x:c>
      <x:c r="H275" s="6" t="str"/>
      <x:c r="I275" s="6" t="str"/>
      <x:c r="J275" s="6" t="str">
        <x:v>Unknown</x:v>
      </x:c>
      <x:c r="K275" s="6" t="str">
        <x:v>Unresolved</x:v>
      </x:c>
      <x:c r="L275" s="7" t="str">
        <x:v>Nocturnix_Master_Services_Catalog_v1.xlsx | 01 - Master Services | row 314</x:v>
      </x:c>
      <x:c r="M275" s="6" t="str"/>
      <x:c r="N275" s="6" t="str"/>
      <x:c r="O275" s="6" t="str">
        <x:v>Pending</x:v>
      </x:c>
      <x:c r="P275" s="7" t="str">
        <x:f>IF(AND(OR(D275="Reviewer Complete",D275="Awaiting Second-Level Approval"),OR(F275="Reviewer Complete",F275="Awaiting Second-Level Approval")),"","Identity/manufacturer dependency unresolved")</x:f>
        <x:v>Identity/manufacturer dependency unresolved</x:v>
      </x:c>
      <x:c r="Q275" s="6" t="str">
        <x:v>Yes</x:v>
      </x:c>
      <x:c r="R275" s="7" t="str"/>
    </x:row>
    <x:row r="276">
      <x:c r="A276" s="6" t="str">
        <x:v>DEVX-0275</x:v>
      </x:c>
      <x:c r="B276" s="6" t="str">
        <x:v>SVC000275</x:v>
      </x:c>
      <x:c r="C276" s="6" t="str">
        <x:v>SIDX-0275</x:v>
      </x:c>
      <x:c r="D276" s="6" t="str">
        <x:f>IFERROR(XLOOKUP(C276,'Review Sequence'!C2:C1586,'Review Sequence'!J2:J1586),"Dependency not found")</x:f>
        <x:v>Not Started</x:v>
      </x:c>
      <x:c r="E276" s="6" t="str">
        <x:v>MFRX-0275</x:v>
      </x:c>
      <x:c r="F276" s="6" t="str">
        <x:f>IFERROR(XLOOKUP(E276,'Review Sequence'!C2:C1586,'Review Sequence'!J2:J1586),"Dependency not found")</x:f>
        <x:v>Not Started</x:v>
      </x:c>
      <x:c r="G276" s="6" t="str">
        <x:v>Galaxy S 4 Mini Charge Port Replacement</x:v>
      </x:c>
      <x:c r="H276" s="6" t="str"/>
      <x:c r="I276" s="6" t="str"/>
      <x:c r="J276" s="6" t="str">
        <x:v>Unknown</x:v>
      </x:c>
      <x:c r="K276" s="6" t="str">
        <x:v>Unresolved</x:v>
      </x:c>
      <x:c r="L276" s="7" t="str">
        <x:v>Nocturnix_Master_Services_Catalog_v1.xlsx | 01 - Master Services | row 315</x:v>
      </x:c>
      <x:c r="M276" s="6" t="str"/>
      <x:c r="N276" s="6" t="str"/>
      <x:c r="O276" s="6" t="str">
        <x:v>Pending</x:v>
      </x:c>
      <x:c r="P276" s="7" t="str">
        <x:f>IF(AND(OR(D276="Reviewer Complete",D276="Awaiting Second-Level Approval"),OR(F276="Reviewer Complete",F276="Awaiting Second-Level Approval")),"","Identity/manufacturer dependency unresolved")</x:f>
        <x:v>Identity/manufacturer dependency unresolved</x:v>
      </x:c>
      <x:c r="Q276" s="6" t="str">
        <x:v>Yes</x:v>
      </x:c>
      <x:c r="R276" s="7" t="str"/>
    </x:row>
    <x:row r="277">
      <x:c r="A277" s="6" t="str">
        <x:v>DEVX-0276</x:v>
      </x:c>
      <x:c r="B277" s="6" t="str">
        <x:v>SVC000276</x:v>
      </x:c>
      <x:c r="C277" s="6" t="str">
        <x:v>SIDX-0276</x:v>
      </x:c>
      <x:c r="D277" s="6" t="str">
        <x:f>IFERROR(XLOOKUP(C277,'Review Sequence'!C2:C1586,'Review Sequence'!J2:J1586),"Dependency not found")</x:f>
        <x:v>Not Started</x:v>
      </x:c>
      <x:c r="E277" s="6" t="str">
        <x:v>MFRX-0276</x:v>
      </x:c>
      <x:c r="F277" s="6" t="str">
        <x:f>IFERROR(XLOOKUP(E277,'Review Sequence'!C2:C1586,'Review Sequence'!J2:J1586),"Dependency not found")</x:f>
        <x:v>Not Started</x:v>
      </x:c>
      <x:c r="G277" s="6" t="str">
        <x:v>Galaxy S 4 Active Charge Port Replacement</x:v>
      </x:c>
      <x:c r="H277" s="6" t="str"/>
      <x:c r="I277" s="6" t="str"/>
      <x:c r="J277" s="6" t="str">
        <x:v>Unknown</x:v>
      </x:c>
      <x:c r="K277" s="6" t="str">
        <x:v>Unresolved</x:v>
      </x:c>
      <x:c r="L277" s="7" t="str">
        <x:v>Nocturnix_Master_Services_Catalog_v1.xlsx | 01 - Master Services | row 316</x:v>
      </x:c>
      <x:c r="M277" s="6" t="str"/>
      <x:c r="N277" s="6" t="str"/>
      <x:c r="O277" s="6" t="str">
        <x:v>Pending</x:v>
      </x:c>
      <x:c r="P277" s="7" t="str">
        <x:f>IF(AND(OR(D277="Reviewer Complete",D277="Awaiting Second-Level Approval"),OR(F277="Reviewer Complete",F277="Awaiting Second-Level Approval")),"","Identity/manufacturer dependency unresolved")</x:f>
        <x:v>Identity/manufacturer dependency unresolved</x:v>
      </x:c>
      <x:c r="Q277" s="6" t="str">
        <x:v>Yes</x:v>
      </x:c>
      <x:c r="R277" s="7" t="str"/>
    </x:row>
    <x:row r="278">
      <x:c r="A278" s="6" t="str">
        <x:v>DEVX-0277</x:v>
      </x:c>
      <x:c r="B278" s="6" t="str">
        <x:v>SVC000277</x:v>
      </x:c>
      <x:c r="C278" s="6" t="str">
        <x:v>SIDX-0277</x:v>
      </x:c>
      <x:c r="D278" s="6" t="str">
        <x:f>IFERROR(XLOOKUP(C278,'Review Sequence'!C2:C1586,'Review Sequence'!J2:J1586),"Dependency not found")</x:f>
        <x:v>Not Started</x:v>
      </x:c>
      <x:c r="E278" s="6" t="str">
        <x:v>MFRX-0277</x:v>
      </x:c>
      <x:c r="F278" s="6" t="str">
        <x:f>IFERROR(XLOOKUP(E278,'Review Sequence'!C2:C1586,'Review Sequence'!J2:J1586),"Dependency not found")</x:f>
        <x:v>Not Started</x:v>
      </x:c>
      <x:c r="G278" s="6" t="str">
        <x:v>Galaxy S 5 Charge Port Replacement</x:v>
      </x:c>
      <x:c r="H278" s="6" t="str"/>
      <x:c r="I278" s="6" t="str"/>
      <x:c r="J278" s="6" t="str">
        <x:v>Unknown</x:v>
      </x:c>
      <x:c r="K278" s="6" t="str">
        <x:v>Unresolved</x:v>
      </x:c>
      <x:c r="L278" s="7" t="str">
        <x:v>Nocturnix_Master_Services_Catalog_v1.xlsx | 01 - Master Services | row 317</x:v>
      </x:c>
      <x:c r="M278" s="6" t="str"/>
      <x:c r="N278" s="6" t="str"/>
      <x:c r="O278" s="6" t="str">
        <x:v>Pending</x:v>
      </x:c>
      <x:c r="P278" s="7" t="str">
        <x:f>IF(AND(OR(D278="Reviewer Complete",D278="Awaiting Second-Level Approval"),OR(F278="Reviewer Complete",F278="Awaiting Second-Level Approval")),"","Identity/manufacturer dependency unresolved")</x:f>
        <x:v>Identity/manufacturer dependency unresolved</x:v>
      </x:c>
      <x:c r="Q278" s="6" t="str">
        <x:v>Yes</x:v>
      </x:c>
      <x:c r="R278" s="7" t="str"/>
    </x:row>
    <x:row r="279">
      <x:c r="A279" s="6" t="str">
        <x:v>DEVX-0278</x:v>
      </x:c>
      <x:c r="B279" s="6" t="str">
        <x:v>SVC000278</x:v>
      </x:c>
      <x:c r="C279" s="6" t="str">
        <x:v>SIDX-0278</x:v>
      </x:c>
      <x:c r="D279" s="6" t="str">
        <x:f>IFERROR(XLOOKUP(C279,'Review Sequence'!C2:C1586,'Review Sequence'!J2:J1586),"Dependency not found")</x:f>
        <x:v>Not Started</x:v>
      </x:c>
      <x:c r="E279" s="6" t="str">
        <x:v>MFRX-0278</x:v>
      </x:c>
      <x:c r="F279" s="6" t="str">
        <x:f>IFERROR(XLOOKUP(E279,'Review Sequence'!C2:C1586,'Review Sequence'!J2:J1586),"Dependency not found")</x:f>
        <x:v>Not Started</x:v>
      </x:c>
      <x:c r="G279" s="6" t="str">
        <x:v>Galaxy S 5 Neo Charge Port Replacement</x:v>
      </x:c>
      <x:c r="H279" s="6" t="str"/>
      <x:c r="I279" s="6" t="str"/>
      <x:c r="J279" s="6" t="str">
        <x:v>Unknown</x:v>
      </x:c>
      <x:c r="K279" s="6" t="str">
        <x:v>Unresolved</x:v>
      </x:c>
      <x:c r="L279" s="7" t="str">
        <x:v>Nocturnix_Master_Services_Catalog_v1.xlsx | 01 - Master Services | row 318</x:v>
      </x:c>
      <x:c r="M279" s="6" t="str"/>
      <x:c r="N279" s="6" t="str"/>
      <x:c r="O279" s="6" t="str">
        <x:v>Pending</x:v>
      </x:c>
      <x:c r="P279" s="7" t="str">
        <x:f>IF(AND(OR(D279="Reviewer Complete",D279="Awaiting Second-Level Approval"),OR(F279="Reviewer Complete",F279="Awaiting Second-Level Approval")),"","Identity/manufacturer dependency unresolved")</x:f>
        <x:v>Identity/manufacturer dependency unresolved</x:v>
      </x:c>
      <x:c r="Q279" s="6" t="str">
        <x:v>Yes</x:v>
      </x:c>
      <x:c r="R279" s="7" t="str"/>
    </x:row>
    <x:row r="280">
      <x:c r="A280" s="6" t="str">
        <x:v>DEVX-0279</x:v>
      </x:c>
      <x:c r="B280" s="6" t="str">
        <x:v>SVC000279</x:v>
      </x:c>
      <x:c r="C280" s="6" t="str">
        <x:v>SIDX-0279</x:v>
      </x:c>
      <x:c r="D280" s="6" t="str">
        <x:f>IFERROR(XLOOKUP(C280,'Review Sequence'!C2:C1586,'Review Sequence'!J2:J1586),"Dependency not found")</x:f>
        <x:v>Not Started</x:v>
      </x:c>
      <x:c r="E280" s="6" t="str">
        <x:v>MFRX-0279</x:v>
      </x:c>
      <x:c r="F280" s="6" t="str">
        <x:f>IFERROR(XLOOKUP(E280,'Review Sequence'!C2:C1586,'Review Sequence'!J2:J1586),"Dependency not found")</x:f>
        <x:v>Not Started</x:v>
      </x:c>
      <x:c r="G280" s="6" t="str">
        <x:v>Galaxy S 5 Active Charge Port Replacement</x:v>
      </x:c>
      <x:c r="H280" s="6" t="str"/>
      <x:c r="I280" s="6" t="str"/>
      <x:c r="J280" s="6" t="str">
        <x:v>Unknown</x:v>
      </x:c>
      <x:c r="K280" s="6" t="str">
        <x:v>Unresolved</x:v>
      </x:c>
      <x:c r="L280" s="7" t="str">
        <x:v>Nocturnix_Master_Services_Catalog_v1.xlsx | 01 - Master Services | row 319</x:v>
      </x:c>
      <x:c r="M280" s="6" t="str"/>
      <x:c r="N280" s="6" t="str"/>
      <x:c r="O280" s="6" t="str">
        <x:v>Pending</x:v>
      </x:c>
      <x:c r="P280" s="7" t="str">
        <x:f>IF(AND(OR(D280="Reviewer Complete",D280="Awaiting Second-Level Approval"),OR(F280="Reviewer Complete",F280="Awaiting Second-Level Approval")),"","Identity/manufacturer dependency unresolved")</x:f>
        <x:v>Identity/manufacturer dependency unresolved</x:v>
      </x:c>
      <x:c r="Q280" s="6" t="str">
        <x:v>Yes</x:v>
      </x:c>
      <x:c r="R280" s="7" t="str"/>
    </x:row>
    <x:row r="281">
      <x:c r="A281" s="6" t="str">
        <x:v>DEVX-0280</x:v>
      </x:c>
      <x:c r="B281" s="6" t="str">
        <x:v>SVC000280</x:v>
      </x:c>
      <x:c r="C281" s="6" t="str">
        <x:v>SIDX-0280</x:v>
      </x:c>
      <x:c r="D281" s="6" t="str">
        <x:f>IFERROR(XLOOKUP(C281,'Review Sequence'!C2:C1586,'Review Sequence'!J2:J1586),"Dependency not found")</x:f>
        <x:v>Not Started</x:v>
      </x:c>
      <x:c r="E281" s="6" t="str">
        <x:v>MFRX-0280</x:v>
      </x:c>
      <x:c r="F281" s="6" t="str">
        <x:f>IFERROR(XLOOKUP(E281,'Review Sequence'!C2:C1586,'Review Sequence'!J2:J1586),"Dependency not found")</x:f>
        <x:v>Not Started</x:v>
      </x:c>
      <x:c r="G281" s="6" t="str">
        <x:v>Galaxy S 6 Charge Port Replacement</x:v>
      </x:c>
      <x:c r="H281" s="6" t="str"/>
      <x:c r="I281" s="6" t="str"/>
      <x:c r="J281" s="6" t="str">
        <x:v>Unknown</x:v>
      </x:c>
      <x:c r="K281" s="6" t="str">
        <x:v>Unresolved</x:v>
      </x:c>
      <x:c r="L281" s="7" t="str">
        <x:v>Nocturnix_Master_Services_Catalog_v1.xlsx | 01 - Master Services | row 320</x:v>
      </x:c>
      <x:c r="M281" s="6" t="str"/>
      <x:c r="N281" s="6" t="str"/>
      <x:c r="O281" s="6" t="str">
        <x:v>Pending</x:v>
      </x:c>
      <x:c r="P281" s="7" t="str">
        <x:f>IF(AND(OR(D281="Reviewer Complete",D281="Awaiting Second-Level Approval"),OR(F281="Reviewer Complete",F281="Awaiting Second-Level Approval")),"","Identity/manufacturer dependency unresolved")</x:f>
        <x:v>Identity/manufacturer dependency unresolved</x:v>
      </x:c>
      <x:c r="Q281" s="6" t="str">
        <x:v>Yes</x:v>
      </x:c>
      <x:c r="R281" s="7" t="str"/>
    </x:row>
    <x:row r="282">
      <x:c r="A282" s="6" t="str">
        <x:v>DEVX-0281</x:v>
      </x:c>
      <x:c r="B282" s="6" t="str">
        <x:v>SVC000281</x:v>
      </x:c>
      <x:c r="C282" s="6" t="str">
        <x:v>SIDX-0281</x:v>
      </x:c>
      <x:c r="D282" s="6" t="str">
        <x:f>IFERROR(XLOOKUP(C282,'Review Sequence'!C2:C1586,'Review Sequence'!J2:J1586),"Dependency not found")</x:f>
        <x:v>Not Started</x:v>
      </x:c>
      <x:c r="E282" s="6" t="str">
        <x:v>MFRX-0281</x:v>
      </x:c>
      <x:c r="F282" s="6" t="str">
        <x:f>IFERROR(XLOOKUP(E282,'Review Sequence'!C2:C1586,'Review Sequence'!J2:J1586),"Dependency not found")</x:f>
        <x:v>Not Started</x:v>
      </x:c>
      <x:c r="G282" s="6" t="str">
        <x:v>Galaxy S 6 Edge Charge Port Replacement</x:v>
      </x:c>
      <x:c r="H282" s="6" t="str"/>
      <x:c r="I282" s="6" t="str"/>
      <x:c r="J282" s="6" t="str">
        <x:v>Unknown</x:v>
      </x:c>
      <x:c r="K282" s="6" t="str">
        <x:v>Unresolved</x:v>
      </x:c>
      <x:c r="L282" s="7" t="str">
        <x:v>Nocturnix_Master_Services_Catalog_v1.xlsx | 01 - Master Services | row 321</x:v>
      </x:c>
      <x:c r="M282" s="6" t="str"/>
      <x:c r="N282" s="6" t="str"/>
      <x:c r="O282" s="6" t="str">
        <x:v>Pending</x:v>
      </x:c>
      <x:c r="P282" s="7" t="str">
        <x:f>IF(AND(OR(D282="Reviewer Complete",D282="Awaiting Second-Level Approval"),OR(F282="Reviewer Complete",F282="Awaiting Second-Level Approval")),"","Identity/manufacturer dependency unresolved")</x:f>
        <x:v>Identity/manufacturer dependency unresolved</x:v>
      </x:c>
      <x:c r="Q282" s="6" t="str">
        <x:v>Yes</x:v>
      </x:c>
      <x:c r="R282" s="7" t="str"/>
    </x:row>
    <x:row r="283">
      <x:c r="A283" s="6" t="str">
        <x:v>DEVX-0282</x:v>
      </x:c>
      <x:c r="B283" s="6" t="str">
        <x:v>SVC000282</x:v>
      </x:c>
      <x:c r="C283" s="6" t="str">
        <x:v>SIDX-0282</x:v>
      </x:c>
      <x:c r="D283" s="6" t="str">
        <x:f>IFERROR(XLOOKUP(C283,'Review Sequence'!C2:C1586,'Review Sequence'!J2:J1586),"Dependency not found")</x:f>
        <x:v>Not Started</x:v>
      </x:c>
      <x:c r="E283" s="6" t="str">
        <x:v>MFRX-0282</x:v>
      </x:c>
      <x:c r="F283" s="6" t="str">
        <x:f>IFERROR(XLOOKUP(E283,'Review Sequence'!C2:C1586,'Review Sequence'!J2:J1586),"Dependency not found")</x:f>
        <x:v>Not Started</x:v>
      </x:c>
      <x:c r="G283" s="6" t="str">
        <x:v>Galaxy S 6 Edge Plus Charge Port Replacement</x:v>
      </x:c>
      <x:c r="H283" s="6" t="str"/>
      <x:c r="I283" s="6" t="str"/>
      <x:c r="J283" s="6" t="str">
        <x:v>Unknown</x:v>
      </x:c>
      <x:c r="K283" s="6" t="str">
        <x:v>Unresolved</x:v>
      </x:c>
      <x:c r="L283" s="7" t="str">
        <x:v>Nocturnix_Master_Services_Catalog_v1.xlsx | 01 - Master Services | row 322</x:v>
      </x:c>
      <x:c r="M283" s="6" t="str"/>
      <x:c r="N283" s="6" t="str"/>
      <x:c r="O283" s="6" t="str">
        <x:v>Pending</x:v>
      </x:c>
      <x:c r="P283" s="7" t="str">
        <x:f>IF(AND(OR(D283="Reviewer Complete",D283="Awaiting Second-Level Approval"),OR(F283="Reviewer Complete",F283="Awaiting Second-Level Approval")),"","Identity/manufacturer dependency unresolved")</x:f>
        <x:v>Identity/manufacturer dependency unresolved</x:v>
      </x:c>
      <x:c r="Q283" s="6" t="str">
        <x:v>Yes</x:v>
      </x:c>
      <x:c r="R283" s="7" t="str"/>
    </x:row>
    <x:row r="284">
      <x:c r="A284" s="6" t="str">
        <x:v>DEVX-0283</x:v>
      </x:c>
      <x:c r="B284" s="6" t="str">
        <x:v>SVC000283</x:v>
      </x:c>
      <x:c r="C284" s="6" t="str">
        <x:v>SIDX-0283</x:v>
      </x:c>
      <x:c r="D284" s="6" t="str">
        <x:f>IFERROR(XLOOKUP(C284,'Review Sequence'!C2:C1586,'Review Sequence'!J2:J1586),"Dependency not found")</x:f>
        <x:v>Not Started</x:v>
      </x:c>
      <x:c r="E284" s="6" t="str">
        <x:v>MFRX-0283</x:v>
      </x:c>
      <x:c r="F284" s="6" t="str">
        <x:f>IFERROR(XLOOKUP(E284,'Review Sequence'!C2:C1586,'Review Sequence'!J2:J1586),"Dependency not found")</x:f>
        <x:v>Not Started</x:v>
      </x:c>
      <x:c r="G284" s="6" t="str">
        <x:v>Galaxy S 6 Active Charge Port Replacement</x:v>
      </x:c>
      <x:c r="H284" s="6" t="str"/>
      <x:c r="I284" s="6" t="str"/>
      <x:c r="J284" s="6" t="str">
        <x:v>Unknown</x:v>
      </x:c>
      <x:c r="K284" s="6" t="str">
        <x:v>Unresolved</x:v>
      </x:c>
      <x:c r="L284" s="7" t="str">
        <x:v>Nocturnix_Master_Services_Catalog_v1.xlsx | 01 - Master Services | row 323</x:v>
      </x:c>
      <x:c r="M284" s="6" t="str"/>
      <x:c r="N284" s="6" t="str"/>
      <x:c r="O284" s="6" t="str">
        <x:v>Pending</x:v>
      </x:c>
      <x:c r="P284" s="7" t="str">
        <x:f>IF(AND(OR(D284="Reviewer Complete",D284="Awaiting Second-Level Approval"),OR(F284="Reviewer Complete",F284="Awaiting Second-Level Approval")),"","Identity/manufacturer dependency unresolved")</x:f>
        <x:v>Identity/manufacturer dependency unresolved</x:v>
      </x:c>
      <x:c r="Q284" s="6" t="str">
        <x:v>Yes</x:v>
      </x:c>
      <x:c r="R284" s="7" t="str"/>
    </x:row>
    <x:row r="285">
      <x:c r="A285" s="6" t="str">
        <x:v>DEVX-0284</x:v>
      </x:c>
      <x:c r="B285" s="6" t="str">
        <x:v>SVC000284</x:v>
      </x:c>
      <x:c r="C285" s="6" t="str">
        <x:v>SIDX-0284</x:v>
      </x:c>
      <x:c r="D285" s="6" t="str">
        <x:f>IFERROR(XLOOKUP(C285,'Review Sequence'!C2:C1586,'Review Sequence'!J2:J1586),"Dependency not found")</x:f>
        <x:v>Not Started</x:v>
      </x:c>
      <x:c r="E285" s="6" t="str">
        <x:v>MFRX-0284</x:v>
      </x:c>
      <x:c r="F285" s="6" t="str">
        <x:f>IFERROR(XLOOKUP(E285,'Review Sequence'!C2:C1586,'Review Sequence'!J2:J1586),"Dependency not found")</x:f>
        <x:v>Not Started</x:v>
      </x:c>
      <x:c r="G285" s="6" t="str">
        <x:v>Galaxy S 7 Charge Port Replacement</x:v>
      </x:c>
      <x:c r="H285" s="6" t="str"/>
      <x:c r="I285" s="6" t="str"/>
      <x:c r="J285" s="6" t="str">
        <x:v>Unknown</x:v>
      </x:c>
      <x:c r="K285" s="6" t="str">
        <x:v>Unresolved</x:v>
      </x:c>
      <x:c r="L285" s="7" t="str">
        <x:v>Nocturnix_Master_Services_Catalog_v1.xlsx | 01 - Master Services | row 324</x:v>
      </x:c>
      <x:c r="M285" s="6" t="str"/>
      <x:c r="N285" s="6" t="str"/>
      <x:c r="O285" s="6" t="str">
        <x:v>Pending</x:v>
      </x:c>
      <x:c r="P285" s="7" t="str">
        <x:f>IF(AND(OR(D285="Reviewer Complete",D285="Awaiting Second-Level Approval"),OR(F285="Reviewer Complete",F285="Awaiting Second-Level Approval")),"","Identity/manufacturer dependency unresolved")</x:f>
        <x:v>Identity/manufacturer dependency unresolved</x:v>
      </x:c>
      <x:c r="Q285" s="6" t="str">
        <x:v>Yes</x:v>
      </x:c>
      <x:c r="R285" s="7" t="str"/>
    </x:row>
    <x:row r="286">
      <x:c r="A286" s="6" t="str">
        <x:v>DEVX-0285</x:v>
      </x:c>
      <x:c r="B286" s="6" t="str">
        <x:v>SVC000285</x:v>
      </x:c>
      <x:c r="C286" s="6" t="str">
        <x:v>SIDX-0285</x:v>
      </x:c>
      <x:c r="D286" s="6" t="str">
        <x:f>IFERROR(XLOOKUP(C286,'Review Sequence'!C2:C1586,'Review Sequence'!J2:J1586),"Dependency not found")</x:f>
        <x:v>Not Started</x:v>
      </x:c>
      <x:c r="E286" s="6" t="str">
        <x:v>MFRX-0285</x:v>
      </x:c>
      <x:c r="F286" s="6" t="str">
        <x:f>IFERROR(XLOOKUP(E286,'Review Sequence'!C2:C1586,'Review Sequence'!J2:J1586),"Dependency not found")</x:f>
        <x:v>Not Started</x:v>
      </x:c>
      <x:c r="G286" s="6" t="str">
        <x:v>Galaxy S 7 Edge Charge Port Replacement</x:v>
      </x:c>
      <x:c r="H286" s="6" t="str"/>
      <x:c r="I286" s="6" t="str"/>
      <x:c r="J286" s="6" t="str">
        <x:v>Unknown</x:v>
      </x:c>
      <x:c r="K286" s="6" t="str">
        <x:v>Unresolved</x:v>
      </x:c>
      <x:c r="L286" s="7" t="str">
        <x:v>Nocturnix_Master_Services_Catalog_v1.xlsx | 01 - Master Services | row 325</x:v>
      </x:c>
      <x:c r="M286" s="6" t="str"/>
      <x:c r="N286" s="6" t="str"/>
      <x:c r="O286" s="6" t="str">
        <x:v>Pending</x:v>
      </x:c>
      <x:c r="P286" s="7" t="str">
        <x:f>IF(AND(OR(D286="Reviewer Complete",D286="Awaiting Second-Level Approval"),OR(F286="Reviewer Complete",F286="Awaiting Second-Level Approval")),"","Identity/manufacturer dependency unresolved")</x:f>
        <x:v>Identity/manufacturer dependency unresolved</x:v>
      </x:c>
      <x:c r="Q286" s="6" t="str">
        <x:v>Yes</x:v>
      </x:c>
      <x:c r="R286" s="7" t="str"/>
    </x:row>
    <x:row r="287">
      <x:c r="A287" s="6" t="str">
        <x:v>DEVX-0286</x:v>
      </x:c>
      <x:c r="B287" s="6" t="str">
        <x:v>SVC000286</x:v>
      </x:c>
      <x:c r="C287" s="6" t="str">
        <x:v>SIDX-0286</x:v>
      </x:c>
      <x:c r="D287" s="6" t="str">
        <x:f>IFERROR(XLOOKUP(C287,'Review Sequence'!C2:C1586,'Review Sequence'!J2:J1586),"Dependency not found")</x:f>
        <x:v>Not Started</x:v>
      </x:c>
      <x:c r="E287" s="6" t="str">
        <x:v>MFRX-0286</x:v>
      </x:c>
      <x:c r="F287" s="6" t="str">
        <x:f>IFERROR(XLOOKUP(E287,'Review Sequence'!C2:C1586,'Review Sequence'!J2:J1586),"Dependency not found")</x:f>
        <x:v>Not Started</x:v>
      </x:c>
      <x:c r="G287" s="6" t="str">
        <x:v>Galaxy S 7 Active Charge Port Replacement</x:v>
      </x:c>
      <x:c r="H287" s="6" t="str"/>
      <x:c r="I287" s="6" t="str"/>
      <x:c r="J287" s="6" t="str">
        <x:v>Unknown</x:v>
      </x:c>
      <x:c r="K287" s="6" t="str">
        <x:v>Unresolved</x:v>
      </x:c>
      <x:c r="L287" s="7" t="str">
        <x:v>Nocturnix_Master_Services_Catalog_v1.xlsx | 01 - Master Services | row 326</x:v>
      </x:c>
      <x:c r="M287" s="6" t="str"/>
      <x:c r="N287" s="6" t="str"/>
      <x:c r="O287" s="6" t="str">
        <x:v>Pending</x:v>
      </x:c>
      <x:c r="P287" s="7" t="str">
        <x:f>IF(AND(OR(D287="Reviewer Complete",D287="Awaiting Second-Level Approval"),OR(F287="Reviewer Complete",F287="Awaiting Second-Level Approval")),"","Identity/manufacturer dependency unresolved")</x:f>
        <x:v>Identity/manufacturer dependency unresolved</x:v>
      </x:c>
      <x:c r="Q287" s="6" t="str">
        <x:v>Yes</x:v>
      </x:c>
      <x:c r="R287" s="7" t="str"/>
    </x:row>
    <x:row r="288">
      <x:c r="A288" s="6" t="str">
        <x:v>DEVX-0287</x:v>
      </x:c>
      <x:c r="B288" s="6" t="str">
        <x:v>SVC000287</x:v>
      </x:c>
      <x:c r="C288" s="6" t="str">
        <x:v>SIDX-0287</x:v>
      </x:c>
      <x:c r="D288" s="6" t="str">
        <x:f>IFERROR(XLOOKUP(C288,'Review Sequence'!C2:C1586,'Review Sequence'!J2:J1586),"Dependency not found")</x:f>
        <x:v>Not Started</x:v>
      </x:c>
      <x:c r="E288" s="6" t="str">
        <x:v>MFRX-0287</x:v>
      </x:c>
      <x:c r="F288" s="6" t="str">
        <x:f>IFERROR(XLOOKUP(E288,'Review Sequence'!C2:C1586,'Review Sequence'!J2:J1586),"Dependency not found")</x:f>
        <x:v>Not Started</x:v>
      </x:c>
      <x:c r="G288" s="6" t="str">
        <x:v>Galaxy S 8 Charge Port Replacement</x:v>
      </x:c>
      <x:c r="H288" s="6" t="str"/>
      <x:c r="I288" s="6" t="str"/>
      <x:c r="J288" s="6" t="str">
        <x:v>Unknown</x:v>
      </x:c>
      <x:c r="K288" s="6" t="str">
        <x:v>Unresolved</x:v>
      </x:c>
      <x:c r="L288" s="7" t="str">
        <x:v>Nocturnix_Master_Services_Catalog_v1.xlsx | 01 - Master Services | row 327</x:v>
      </x:c>
      <x:c r="M288" s="6" t="str"/>
      <x:c r="N288" s="6" t="str"/>
      <x:c r="O288" s="6" t="str">
        <x:v>Pending</x:v>
      </x:c>
      <x:c r="P288" s="7" t="str">
        <x:f>IF(AND(OR(D288="Reviewer Complete",D288="Awaiting Second-Level Approval"),OR(F288="Reviewer Complete",F288="Awaiting Second-Level Approval")),"","Identity/manufacturer dependency unresolved")</x:f>
        <x:v>Identity/manufacturer dependency unresolved</x:v>
      </x:c>
      <x:c r="Q288" s="6" t="str">
        <x:v>Yes</x:v>
      </x:c>
      <x:c r="R288" s="7" t="str"/>
    </x:row>
    <x:row r="289">
      <x:c r="A289" s="6" t="str">
        <x:v>DEVX-0288</x:v>
      </x:c>
      <x:c r="B289" s="6" t="str">
        <x:v>SVC000288</x:v>
      </x:c>
      <x:c r="C289" s="6" t="str">
        <x:v>SIDX-0288</x:v>
      </x:c>
      <x:c r="D289" s="6" t="str">
        <x:f>IFERROR(XLOOKUP(C289,'Review Sequence'!C2:C1586,'Review Sequence'!J2:J1586),"Dependency not found")</x:f>
        <x:v>Not Started</x:v>
      </x:c>
      <x:c r="E289" s="6" t="str">
        <x:v>MFRX-0288</x:v>
      </x:c>
      <x:c r="F289" s="6" t="str">
        <x:f>IFERROR(XLOOKUP(E289,'Review Sequence'!C2:C1586,'Review Sequence'!J2:J1586),"Dependency not found")</x:f>
        <x:v>Not Started</x:v>
      </x:c>
      <x:c r="G289" s="6" t="str">
        <x:v>Galaxy S 8 Plus Charge Port Replacement</x:v>
      </x:c>
      <x:c r="H289" s="6" t="str"/>
      <x:c r="I289" s="6" t="str"/>
      <x:c r="J289" s="6" t="str">
        <x:v>Unknown</x:v>
      </x:c>
      <x:c r="K289" s="6" t="str">
        <x:v>Unresolved</x:v>
      </x:c>
      <x:c r="L289" s="7" t="str">
        <x:v>Nocturnix_Master_Services_Catalog_v1.xlsx | 01 - Master Services | row 328</x:v>
      </x:c>
      <x:c r="M289" s="6" t="str"/>
      <x:c r="N289" s="6" t="str"/>
      <x:c r="O289" s="6" t="str">
        <x:v>Pending</x:v>
      </x:c>
      <x:c r="P289" s="7" t="str">
        <x:f>IF(AND(OR(D289="Reviewer Complete",D289="Awaiting Second-Level Approval"),OR(F289="Reviewer Complete",F289="Awaiting Second-Level Approval")),"","Identity/manufacturer dependency unresolved")</x:f>
        <x:v>Identity/manufacturer dependency unresolved</x:v>
      </x:c>
      <x:c r="Q289" s="6" t="str">
        <x:v>Yes</x:v>
      </x:c>
      <x:c r="R289" s="7" t="str"/>
    </x:row>
    <x:row r="290">
      <x:c r="A290" s="6" t="str">
        <x:v>DEVX-0289</x:v>
      </x:c>
      <x:c r="B290" s="6" t="str">
        <x:v>SVC000289</x:v>
      </x:c>
      <x:c r="C290" s="6" t="str">
        <x:v>SIDX-0289</x:v>
      </x:c>
      <x:c r="D290" s="6" t="str">
        <x:f>IFERROR(XLOOKUP(C290,'Review Sequence'!C2:C1586,'Review Sequence'!J2:J1586),"Dependency not found")</x:f>
        <x:v>Not Started</x:v>
      </x:c>
      <x:c r="E290" s="6" t="str">
        <x:v>MFRX-0289</x:v>
      </x:c>
      <x:c r="F290" s="6" t="str">
        <x:f>IFERROR(XLOOKUP(E290,'Review Sequence'!C2:C1586,'Review Sequence'!J2:J1586),"Dependency not found")</x:f>
        <x:v>Not Started</x:v>
      </x:c>
      <x:c r="G290" s="6" t="str">
        <x:v>Galaxy S 8 Active Charge Port Replacement</x:v>
      </x:c>
      <x:c r="H290" s="6" t="str"/>
      <x:c r="I290" s="6" t="str"/>
      <x:c r="J290" s="6" t="str">
        <x:v>Unknown</x:v>
      </x:c>
      <x:c r="K290" s="6" t="str">
        <x:v>Unresolved</x:v>
      </x:c>
      <x:c r="L290" s="7" t="str">
        <x:v>Nocturnix_Master_Services_Catalog_v1.xlsx | 01 - Master Services | row 329</x:v>
      </x:c>
      <x:c r="M290" s="6" t="str"/>
      <x:c r="N290" s="6" t="str"/>
      <x:c r="O290" s="6" t="str">
        <x:v>Pending</x:v>
      </x:c>
      <x:c r="P290" s="7" t="str">
        <x:f>IF(AND(OR(D290="Reviewer Complete",D290="Awaiting Second-Level Approval"),OR(F290="Reviewer Complete",F290="Awaiting Second-Level Approval")),"","Identity/manufacturer dependency unresolved")</x:f>
        <x:v>Identity/manufacturer dependency unresolved</x:v>
      </x:c>
      <x:c r="Q290" s="6" t="str">
        <x:v>Yes</x:v>
      </x:c>
      <x:c r="R290" s="7" t="str"/>
    </x:row>
    <x:row r="291">
      <x:c r="A291" s="6" t="str">
        <x:v>DEVX-0290</x:v>
      </x:c>
      <x:c r="B291" s="6" t="str">
        <x:v>SVC000290</x:v>
      </x:c>
      <x:c r="C291" s="6" t="str">
        <x:v>SIDX-0290</x:v>
      </x:c>
      <x:c r="D291" s="6" t="str">
        <x:f>IFERROR(XLOOKUP(C291,'Review Sequence'!C2:C1586,'Review Sequence'!J2:J1586),"Dependency not found")</x:f>
        <x:v>Not Started</x:v>
      </x:c>
      <x:c r="E291" s="6" t="str">
        <x:v>MFRX-0290</x:v>
      </x:c>
      <x:c r="F291" s="6" t="str">
        <x:f>IFERROR(XLOOKUP(E291,'Review Sequence'!C2:C1586,'Review Sequence'!J2:J1586),"Dependency not found")</x:f>
        <x:v>Not Started</x:v>
      </x:c>
      <x:c r="G291" s="6" t="str">
        <x:v>Galaxy S 9 Charge Port Replacement</x:v>
      </x:c>
      <x:c r="H291" s="6" t="str"/>
      <x:c r="I291" s="6" t="str"/>
      <x:c r="J291" s="6" t="str">
        <x:v>Unknown</x:v>
      </x:c>
      <x:c r="K291" s="6" t="str">
        <x:v>Unresolved</x:v>
      </x:c>
      <x:c r="L291" s="7" t="str">
        <x:v>Nocturnix_Master_Services_Catalog_v1.xlsx | 01 - Master Services | row 330</x:v>
      </x:c>
      <x:c r="M291" s="6" t="str"/>
      <x:c r="N291" s="6" t="str"/>
      <x:c r="O291" s="6" t="str">
        <x:v>Pending</x:v>
      </x:c>
      <x:c r="P291" s="7" t="str">
        <x:f>IF(AND(OR(D291="Reviewer Complete",D291="Awaiting Second-Level Approval"),OR(F291="Reviewer Complete",F291="Awaiting Second-Level Approval")),"","Identity/manufacturer dependency unresolved")</x:f>
        <x:v>Identity/manufacturer dependency unresolved</x:v>
      </x:c>
      <x:c r="Q291" s="6" t="str">
        <x:v>Yes</x:v>
      </x:c>
      <x:c r="R291" s="7" t="str"/>
    </x:row>
    <x:row r="292">
      <x:c r="A292" s="6" t="str">
        <x:v>DEVX-0291</x:v>
      </x:c>
      <x:c r="B292" s="6" t="str">
        <x:v>SVC000291</x:v>
      </x:c>
      <x:c r="C292" s="6" t="str">
        <x:v>SIDX-0291</x:v>
      </x:c>
      <x:c r="D292" s="6" t="str">
        <x:f>IFERROR(XLOOKUP(C292,'Review Sequence'!C2:C1586,'Review Sequence'!J2:J1586),"Dependency not found")</x:f>
        <x:v>Not Started</x:v>
      </x:c>
      <x:c r="E292" s="6" t="str">
        <x:v>MFRX-0291</x:v>
      </x:c>
      <x:c r="F292" s="6" t="str">
        <x:f>IFERROR(XLOOKUP(E292,'Review Sequence'!C2:C1586,'Review Sequence'!J2:J1586),"Dependency not found")</x:f>
        <x:v>Not Started</x:v>
      </x:c>
      <x:c r="G292" s="6" t="str">
        <x:v>Galaxy S 9 Plus Charge Port Replacement</x:v>
      </x:c>
      <x:c r="H292" s="6" t="str"/>
      <x:c r="I292" s="6" t="str"/>
      <x:c r="J292" s="6" t="str">
        <x:v>Unknown</x:v>
      </x:c>
      <x:c r="K292" s="6" t="str">
        <x:v>Unresolved</x:v>
      </x:c>
      <x:c r="L292" s="7" t="str">
        <x:v>Nocturnix_Master_Services_Catalog_v1.xlsx | 01 - Master Services | row 331</x:v>
      </x:c>
      <x:c r="M292" s="6" t="str"/>
      <x:c r="N292" s="6" t="str"/>
      <x:c r="O292" s="6" t="str">
        <x:v>Pending</x:v>
      </x:c>
      <x:c r="P292" s="7" t="str">
        <x:f>IF(AND(OR(D292="Reviewer Complete",D292="Awaiting Second-Level Approval"),OR(F292="Reviewer Complete",F292="Awaiting Second-Level Approval")),"","Identity/manufacturer dependency unresolved")</x:f>
        <x:v>Identity/manufacturer dependency unresolved</x:v>
      </x:c>
      <x:c r="Q292" s="6" t="str">
        <x:v>Yes</x:v>
      </x:c>
      <x:c r="R292" s="7" t="str"/>
    </x:row>
    <x:row r="293">
      <x:c r="A293" s="6" t="str">
        <x:v>DEVX-0292</x:v>
      </x:c>
      <x:c r="B293" s="6" t="str">
        <x:v>SVC000292</x:v>
      </x:c>
      <x:c r="C293" s="6" t="str">
        <x:v>SIDX-0292</x:v>
      </x:c>
      <x:c r="D293" s="6" t="str">
        <x:f>IFERROR(XLOOKUP(C293,'Review Sequence'!C2:C1586,'Review Sequence'!J2:J1586),"Dependency not found")</x:f>
        <x:v>Not Started</x:v>
      </x:c>
      <x:c r="E293" s="6" t="str">
        <x:v>MFRX-0292</x:v>
      </x:c>
      <x:c r="F293" s="6" t="str">
        <x:f>IFERROR(XLOOKUP(E293,'Review Sequence'!C2:C1586,'Review Sequence'!J2:J1586),"Dependency not found")</x:f>
        <x:v>Not Started</x:v>
      </x:c>
      <x:c r="G293" s="6" t="str">
        <x:v>Galaxy S 10 Charge Port Replacement</x:v>
      </x:c>
      <x:c r="H293" s="6" t="str"/>
      <x:c r="I293" s="6" t="str"/>
      <x:c r="J293" s="6" t="str">
        <x:v>Unknown</x:v>
      </x:c>
      <x:c r="K293" s="6" t="str">
        <x:v>Unresolved</x:v>
      </x:c>
      <x:c r="L293" s="7" t="str">
        <x:v>Nocturnix_Master_Services_Catalog_v1.xlsx | 01 - Master Services | row 332</x:v>
      </x:c>
      <x:c r="M293" s="6" t="str"/>
      <x:c r="N293" s="6" t="str"/>
      <x:c r="O293" s="6" t="str">
        <x:v>Pending</x:v>
      </x:c>
      <x:c r="P293" s="7" t="str">
        <x:f>IF(AND(OR(D293="Reviewer Complete",D293="Awaiting Second-Level Approval"),OR(F293="Reviewer Complete",F293="Awaiting Second-Level Approval")),"","Identity/manufacturer dependency unresolved")</x:f>
        <x:v>Identity/manufacturer dependency unresolved</x:v>
      </x:c>
      <x:c r="Q293" s="6" t="str">
        <x:v>Yes</x:v>
      </x:c>
      <x:c r="R293" s="7" t="str"/>
    </x:row>
    <x:row r="294">
      <x:c r="A294" s="6" t="str">
        <x:v>DEVX-0293</x:v>
      </x:c>
      <x:c r="B294" s="6" t="str">
        <x:v>SVC000293</x:v>
      </x:c>
      <x:c r="C294" s="6" t="str">
        <x:v>SIDX-0293</x:v>
      </x:c>
      <x:c r="D294" s="6" t="str">
        <x:f>IFERROR(XLOOKUP(C294,'Review Sequence'!C2:C1586,'Review Sequence'!J2:J1586),"Dependency not found")</x:f>
        <x:v>Not Started</x:v>
      </x:c>
      <x:c r="E294" s="6" t="str">
        <x:v>MFRX-0293</x:v>
      </x:c>
      <x:c r="F294" s="6" t="str">
        <x:f>IFERROR(XLOOKUP(E294,'Review Sequence'!C2:C1586,'Review Sequence'!J2:J1586),"Dependency not found")</x:f>
        <x:v>Not Started</x:v>
      </x:c>
      <x:c r="G294" s="6" t="str">
        <x:v>Galaxy S 10 Plus Charge Port Replacement</x:v>
      </x:c>
      <x:c r="H294" s="6" t="str"/>
      <x:c r="I294" s="6" t="str"/>
      <x:c r="J294" s="6" t="str">
        <x:v>Unknown</x:v>
      </x:c>
      <x:c r="K294" s="6" t="str">
        <x:v>Unresolved</x:v>
      </x:c>
      <x:c r="L294" s="7" t="str">
        <x:v>Nocturnix_Master_Services_Catalog_v1.xlsx | 01 - Master Services | row 333</x:v>
      </x:c>
      <x:c r="M294" s="6" t="str"/>
      <x:c r="N294" s="6" t="str"/>
      <x:c r="O294" s="6" t="str">
        <x:v>Pending</x:v>
      </x:c>
      <x:c r="P294" s="7" t="str">
        <x:f>IF(AND(OR(D294="Reviewer Complete",D294="Awaiting Second-Level Approval"),OR(F294="Reviewer Complete",F294="Awaiting Second-Level Approval")),"","Identity/manufacturer dependency unresolved")</x:f>
        <x:v>Identity/manufacturer dependency unresolved</x:v>
      </x:c>
      <x:c r="Q294" s="6" t="str">
        <x:v>Yes</x:v>
      </x:c>
      <x:c r="R294" s="7" t="str"/>
    </x:row>
    <x:row r="295">
      <x:c r="A295" s="6" t="str">
        <x:v>DEVX-0294</x:v>
      </x:c>
      <x:c r="B295" s="6" t="str">
        <x:v>SVC000294</x:v>
      </x:c>
      <x:c r="C295" s="6" t="str">
        <x:v>SIDX-0294</x:v>
      </x:c>
      <x:c r="D295" s="6" t="str">
        <x:f>IFERROR(XLOOKUP(C295,'Review Sequence'!C2:C1586,'Review Sequence'!J2:J1586),"Dependency not found")</x:f>
        <x:v>Not Started</x:v>
      </x:c>
      <x:c r="E295" s="6" t="str">
        <x:v>MFRX-0294</x:v>
      </x:c>
      <x:c r="F295" s="6" t="str">
        <x:f>IFERROR(XLOOKUP(E295,'Review Sequence'!C2:C1586,'Review Sequence'!J2:J1586),"Dependency not found")</x:f>
        <x:v>Not Started</x:v>
      </x:c>
      <x:c r="G295" s="6" t="str">
        <x:v>Galaxy S 10 E Charge Port Replacement</x:v>
      </x:c>
      <x:c r="H295" s="6" t="str"/>
      <x:c r="I295" s="6" t="str"/>
      <x:c r="J295" s="6" t="str">
        <x:v>Unknown</x:v>
      </x:c>
      <x:c r="K295" s="6" t="str">
        <x:v>Unresolved</x:v>
      </x:c>
      <x:c r="L295" s="7" t="str">
        <x:v>Nocturnix_Master_Services_Catalog_v1.xlsx | 01 - Master Services | row 334</x:v>
      </x:c>
      <x:c r="M295" s="6" t="str"/>
      <x:c r="N295" s="6" t="str"/>
      <x:c r="O295" s="6" t="str">
        <x:v>Pending</x:v>
      </x:c>
      <x:c r="P295" s="7" t="str">
        <x:f>IF(AND(OR(D295="Reviewer Complete",D295="Awaiting Second-Level Approval"),OR(F295="Reviewer Complete",F295="Awaiting Second-Level Approval")),"","Identity/manufacturer dependency unresolved")</x:f>
        <x:v>Identity/manufacturer dependency unresolved</x:v>
      </x:c>
      <x:c r="Q295" s="6" t="str">
        <x:v>Yes</x:v>
      </x:c>
      <x:c r="R295" s="7" t="str"/>
    </x:row>
    <x:row r="296">
      <x:c r="A296" s="6" t="str">
        <x:v>DEVX-0295</x:v>
      </x:c>
      <x:c r="B296" s="6" t="str">
        <x:v>SVC000295</x:v>
      </x:c>
      <x:c r="C296" s="6" t="str">
        <x:v>SIDX-0295</x:v>
      </x:c>
      <x:c r="D296" s="6" t="str">
        <x:f>IFERROR(XLOOKUP(C296,'Review Sequence'!C2:C1586,'Review Sequence'!J2:J1586),"Dependency not found")</x:f>
        <x:v>Not Started</x:v>
      </x:c>
      <x:c r="E296" s="6" t="str">
        <x:v>MFRX-0295</x:v>
      </x:c>
      <x:c r="F296" s="6" t="str">
        <x:f>IFERROR(XLOOKUP(E296,'Review Sequence'!C2:C1586,'Review Sequence'!J2:J1586),"Dependency not found")</x:f>
        <x:v>Not Started</x:v>
      </x:c>
      <x:c r="G296" s="6" t="str">
        <x:v>Galaxy Note 8 Charge Port Replacement</x:v>
      </x:c>
      <x:c r="H296" s="6" t="str"/>
      <x:c r="I296" s="6" t="str"/>
      <x:c r="J296" s="6" t="str">
        <x:v>Unknown</x:v>
      </x:c>
      <x:c r="K296" s="6" t="str">
        <x:v>Unresolved</x:v>
      </x:c>
      <x:c r="L296" s="7" t="str">
        <x:v>Nocturnix_Master_Services_Catalog_v1.xlsx | 01 - Master Services | row 335</x:v>
      </x:c>
      <x:c r="M296" s="6" t="str"/>
      <x:c r="N296" s="6" t="str"/>
      <x:c r="O296" s="6" t="str">
        <x:v>Pending</x:v>
      </x:c>
      <x:c r="P296" s="7" t="str">
        <x:f>IF(AND(OR(D296="Reviewer Complete",D296="Awaiting Second-Level Approval"),OR(F296="Reviewer Complete",F296="Awaiting Second-Level Approval")),"","Identity/manufacturer dependency unresolved")</x:f>
        <x:v>Identity/manufacturer dependency unresolved</x:v>
      </x:c>
      <x:c r="Q296" s="6" t="str">
        <x:v>Yes</x:v>
      </x:c>
      <x:c r="R296" s="7" t="str"/>
    </x:row>
    <x:row r="297">
      <x:c r="A297" s="6" t="str">
        <x:v>DEVX-0296</x:v>
      </x:c>
      <x:c r="B297" s="6" t="str">
        <x:v>SVC000296</x:v>
      </x:c>
      <x:c r="C297" s="6" t="str">
        <x:v>SIDX-0296</x:v>
      </x:c>
      <x:c r="D297" s="6" t="str">
        <x:f>IFERROR(XLOOKUP(C297,'Review Sequence'!C2:C1586,'Review Sequence'!J2:J1586),"Dependency not found")</x:f>
        <x:v>Not Started</x:v>
      </x:c>
      <x:c r="E297" s="6" t="str">
        <x:v>MFRX-0296</x:v>
      </x:c>
      <x:c r="F297" s="6" t="str">
        <x:f>IFERROR(XLOOKUP(E297,'Review Sequence'!C2:C1586,'Review Sequence'!J2:J1586),"Dependency not found")</x:f>
        <x:v>Not Started</x:v>
      </x:c>
      <x:c r="G297" s="6" t="str">
        <x:v>Galaxy Note 9 Charge Port Replacement</x:v>
      </x:c>
      <x:c r="H297" s="6" t="str"/>
      <x:c r="I297" s="6" t="str"/>
      <x:c r="J297" s="6" t="str">
        <x:v>Unknown</x:v>
      </x:c>
      <x:c r="K297" s="6" t="str">
        <x:v>Unresolved</x:v>
      </x:c>
      <x:c r="L297" s="7" t="str">
        <x:v>Nocturnix_Master_Services_Catalog_v1.xlsx | 01 - Master Services | row 336</x:v>
      </x:c>
      <x:c r="M297" s="6" t="str"/>
      <x:c r="N297" s="6" t="str"/>
      <x:c r="O297" s="6" t="str">
        <x:v>Pending</x:v>
      </x:c>
      <x:c r="P297" s="7" t="str">
        <x:f>IF(AND(OR(D297="Reviewer Complete",D297="Awaiting Second-Level Approval"),OR(F297="Reviewer Complete",F297="Awaiting Second-Level Approval")),"","Identity/manufacturer dependency unresolved")</x:f>
        <x:v>Identity/manufacturer dependency unresolved</x:v>
      </x:c>
      <x:c r="Q297" s="6" t="str">
        <x:v>Yes</x:v>
      </x:c>
      <x:c r="R297" s="7" t="str"/>
    </x:row>
    <x:row r="298">
      <x:c r="A298" s="6" t="str">
        <x:v>DEVX-0297</x:v>
      </x:c>
      <x:c r="B298" s="6" t="str">
        <x:v>SVC000297</x:v>
      </x:c>
      <x:c r="C298" s="6" t="str">
        <x:v>SIDX-0297</x:v>
      </x:c>
      <x:c r="D298" s="6" t="str">
        <x:f>IFERROR(XLOOKUP(C298,'Review Sequence'!C2:C1586,'Review Sequence'!J2:J1586),"Dependency not found")</x:f>
        <x:v>Not Started</x:v>
      </x:c>
      <x:c r="E298" s="6" t="str">
        <x:v>MFRX-0297</x:v>
      </x:c>
      <x:c r="F298" s="6" t="str">
        <x:f>IFERROR(XLOOKUP(E298,'Review Sequence'!C2:C1586,'Review Sequence'!J2:J1586),"Dependency not found")</x:f>
        <x:v>Not Started</x:v>
      </x:c>
      <x:c r="G298" s="6" t="str">
        <x:v>Galaxy Note 10 Plus Charge Port Replacement</x:v>
      </x:c>
      <x:c r="H298" s="6" t="str"/>
      <x:c r="I298" s="6" t="str"/>
      <x:c r="J298" s="6" t="str">
        <x:v>Unknown</x:v>
      </x:c>
      <x:c r="K298" s="6" t="str">
        <x:v>Unresolved</x:v>
      </x:c>
      <x:c r="L298" s="7" t="str">
        <x:v>Nocturnix_Master_Services_Catalog_v1.xlsx | 01 - Master Services | row 337</x:v>
      </x:c>
      <x:c r="M298" s="6" t="str"/>
      <x:c r="N298" s="6" t="str"/>
      <x:c r="O298" s="6" t="str">
        <x:v>Pending</x:v>
      </x:c>
      <x:c r="P298" s="7" t="str">
        <x:f>IF(AND(OR(D298="Reviewer Complete",D298="Awaiting Second-Level Approval"),OR(F298="Reviewer Complete",F298="Awaiting Second-Level Approval")),"","Identity/manufacturer dependency unresolved")</x:f>
        <x:v>Identity/manufacturer dependency unresolved</x:v>
      </x:c>
      <x:c r="Q298" s="6" t="str">
        <x:v>Yes</x:v>
      </x:c>
      <x:c r="R298" s="7" t="str"/>
    </x:row>
    <x:row r="299">
      <x:c r="A299" s="6" t="str">
        <x:v>DEVX-0298</x:v>
      </x:c>
      <x:c r="B299" s="6" t="str">
        <x:v>SVC000298</x:v>
      </x:c>
      <x:c r="C299" s="6" t="str">
        <x:v>SIDX-0298</x:v>
      </x:c>
      <x:c r="D299" s="6" t="str">
        <x:f>IFERROR(XLOOKUP(C299,'Review Sequence'!C2:C1586,'Review Sequence'!J2:J1586),"Dependency not found")</x:f>
        <x:v>Not Started</x:v>
      </x:c>
      <x:c r="E299" s="6" t="str">
        <x:v>MFRX-0298</x:v>
      </x:c>
      <x:c r="F299" s="6" t="str">
        <x:f>IFERROR(XLOOKUP(E299,'Review Sequence'!C2:C1586,'Review Sequence'!J2:J1586),"Dependency not found")</x:f>
        <x:v>Not Started</x:v>
      </x:c>
      <x:c r="G299" s="6" t="str">
        <x:v>Galaxy S 20 Charge Port Replacement</x:v>
      </x:c>
      <x:c r="H299" s="6" t="str"/>
      <x:c r="I299" s="6" t="str"/>
      <x:c r="J299" s="6" t="str">
        <x:v>Unknown</x:v>
      </x:c>
      <x:c r="K299" s="6" t="str">
        <x:v>Unresolved</x:v>
      </x:c>
      <x:c r="L299" s="7" t="str">
        <x:v>Nocturnix_Master_Services_Catalog_v1.xlsx | 01 - Master Services | row 338</x:v>
      </x:c>
      <x:c r="M299" s="6" t="str"/>
      <x:c r="N299" s="6" t="str"/>
      <x:c r="O299" s="6" t="str">
        <x:v>Pending</x:v>
      </x:c>
      <x:c r="P299" s="7" t="str">
        <x:f>IF(AND(OR(D299="Reviewer Complete",D299="Awaiting Second-Level Approval"),OR(F299="Reviewer Complete",F299="Awaiting Second-Level Approval")),"","Identity/manufacturer dependency unresolved")</x:f>
        <x:v>Identity/manufacturer dependency unresolved</x:v>
      </x:c>
      <x:c r="Q299" s="6" t="str">
        <x:v>Yes</x:v>
      </x:c>
      <x:c r="R299" s="7" t="str"/>
    </x:row>
    <x:row r="300">
      <x:c r="A300" s="6" t="str">
        <x:v>DEVX-0299</x:v>
      </x:c>
      <x:c r="B300" s="6" t="str">
        <x:v>SVC000299</x:v>
      </x:c>
      <x:c r="C300" s="6" t="str">
        <x:v>SIDX-0299</x:v>
      </x:c>
      <x:c r="D300" s="6" t="str">
        <x:f>IFERROR(XLOOKUP(C300,'Review Sequence'!C2:C1586,'Review Sequence'!J2:J1586),"Dependency not found")</x:f>
        <x:v>Not Started</x:v>
      </x:c>
      <x:c r="E300" s="6" t="str">
        <x:v>MFRX-0299</x:v>
      </x:c>
      <x:c r="F300" s="6" t="str">
        <x:f>IFERROR(XLOOKUP(E300,'Review Sequence'!C2:C1586,'Review Sequence'!J2:J1586),"Dependency not found")</x:f>
        <x:v>Not Started</x:v>
      </x:c>
      <x:c r="G300" s="6" t="str">
        <x:v>Galaxy S 20 Plus Charge Port Replacement</x:v>
      </x:c>
      <x:c r="H300" s="6" t="str"/>
      <x:c r="I300" s="6" t="str"/>
      <x:c r="J300" s="6" t="str">
        <x:v>Unknown</x:v>
      </x:c>
      <x:c r="K300" s="6" t="str">
        <x:v>Unresolved</x:v>
      </x:c>
      <x:c r="L300" s="7" t="str">
        <x:v>Nocturnix_Master_Services_Catalog_v1.xlsx | 01 - Master Services | row 339</x:v>
      </x:c>
      <x:c r="M300" s="6" t="str"/>
      <x:c r="N300" s="6" t="str"/>
      <x:c r="O300" s="6" t="str">
        <x:v>Pending</x:v>
      </x:c>
      <x:c r="P300" s="7" t="str">
        <x:f>IF(AND(OR(D300="Reviewer Complete",D300="Awaiting Second-Level Approval"),OR(F300="Reviewer Complete",F300="Awaiting Second-Level Approval")),"","Identity/manufacturer dependency unresolved")</x:f>
        <x:v>Identity/manufacturer dependency unresolved</x:v>
      </x:c>
      <x:c r="Q300" s="6" t="str">
        <x:v>Yes</x:v>
      </x:c>
      <x:c r="R300" s="7" t="str"/>
    </x:row>
    <x:row r="301">
      <x:c r="A301" s="6" t="str">
        <x:v>DEVX-0300</x:v>
      </x:c>
      <x:c r="B301" s="6" t="str">
        <x:v>SVC000300</x:v>
      </x:c>
      <x:c r="C301" s="6" t="str">
        <x:v>SIDX-0300</x:v>
      </x:c>
      <x:c r="D301" s="6" t="str">
        <x:f>IFERROR(XLOOKUP(C301,'Review Sequence'!C2:C1586,'Review Sequence'!J2:J1586),"Dependency not found")</x:f>
        <x:v>Not Started</x:v>
      </x:c>
      <x:c r="E301" s="6" t="str">
        <x:v>MFRX-0300</x:v>
      </x:c>
      <x:c r="F301" s="6" t="str">
        <x:f>IFERROR(XLOOKUP(E301,'Review Sequence'!C2:C1586,'Review Sequence'!J2:J1586),"Dependency not found")</x:f>
        <x:v>Not Started</x:v>
      </x:c>
      <x:c r="G301" s="6" t="str">
        <x:v>Galaxy S 20 Ultra Charge Port Replacement</x:v>
      </x:c>
      <x:c r="H301" s="6" t="str"/>
      <x:c r="I301" s="6" t="str"/>
      <x:c r="J301" s="6" t="str">
        <x:v>Unknown</x:v>
      </x:c>
      <x:c r="K301" s="6" t="str">
        <x:v>Unresolved</x:v>
      </x:c>
      <x:c r="L301" s="7" t="str">
        <x:v>Nocturnix_Master_Services_Catalog_v1.xlsx | 01 - Master Services | row 340</x:v>
      </x:c>
      <x:c r="M301" s="6" t="str"/>
      <x:c r="N301" s="6" t="str"/>
      <x:c r="O301" s="6" t="str">
        <x:v>Pending</x:v>
      </x:c>
      <x:c r="P301" s="7" t="str">
        <x:f>IF(AND(OR(D301="Reviewer Complete",D301="Awaiting Second-Level Approval"),OR(F301="Reviewer Complete",F301="Awaiting Second-Level Approval")),"","Identity/manufacturer dependency unresolved")</x:f>
        <x:v>Identity/manufacturer dependency unresolved</x:v>
      </x:c>
      <x:c r="Q301" s="6" t="str">
        <x:v>Yes</x:v>
      </x:c>
      <x:c r="R301" s="7" t="str"/>
    </x:row>
    <x:row r="302">
      <x:c r="A302" s="6" t="str">
        <x:v>DEVX-0301</x:v>
      </x:c>
      <x:c r="B302" s="6" t="str">
        <x:v>SVC000301</x:v>
      </x:c>
      <x:c r="C302" s="6" t="str">
        <x:v>SIDX-0301</x:v>
      </x:c>
      <x:c r="D302" s="6" t="str">
        <x:f>IFERROR(XLOOKUP(C302,'Review Sequence'!C2:C1586,'Review Sequence'!J2:J1586),"Dependency not found")</x:f>
        <x:v>Not Started</x:v>
      </x:c>
      <x:c r="E302" s="6" t="str">
        <x:v>MFRX-0301</x:v>
      </x:c>
      <x:c r="F302" s="6" t="str">
        <x:f>IFERROR(XLOOKUP(E302,'Review Sequence'!C2:C1586,'Review Sequence'!J2:J1586),"Dependency not found")</x:f>
        <x:v>Not Started</x:v>
      </x:c>
      <x:c r="G302" s="6" t="str">
        <x:v>Galaxy S 20 FE Charge Port Replacement</x:v>
      </x:c>
      <x:c r="H302" s="6" t="str"/>
      <x:c r="I302" s="6" t="str"/>
      <x:c r="J302" s="6" t="str">
        <x:v>Unknown</x:v>
      </x:c>
      <x:c r="K302" s="6" t="str">
        <x:v>Unresolved</x:v>
      </x:c>
      <x:c r="L302" s="7" t="str">
        <x:v>Nocturnix_Master_Services_Catalog_v1.xlsx | 01 - Master Services | row 341</x:v>
      </x:c>
      <x:c r="M302" s="6" t="str"/>
      <x:c r="N302" s="6" t="str"/>
      <x:c r="O302" s="6" t="str">
        <x:v>Pending</x:v>
      </x:c>
      <x:c r="P302" s="7" t="str">
        <x:f>IF(AND(OR(D302="Reviewer Complete",D302="Awaiting Second-Level Approval"),OR(F302="Reviewer Complete",F302="Awaiting Second-Level Approval")),"","Identity/manufacturer dependency unresolved")</x:f>
        <x:v>Identity/manufacturer dependency unresolved</x:v>
      </x:c>
      <x:c r="Q302" s="6" t="str">
        <x:v>Yes</x:v>
      </x:c>
      <x:c r="R302" s="7" t="str"/>
    </x:row>
    <x:row r="303">
      <x:c r="A303" s="6" t="str">
        <x:v>DEVX-0302</x:v>
      </x:c>
      <x:c r="B303" s="6" t="str">
        <x:v>SVC000302</x:v>
      </x:c>
      <x:c r="C303" s="6" t="str">
        <x:v>SIDX-0302</x:v>
      </x:c>
      <x:c r="D303" s="6" t="str">
        <x:f>IFERROR(XLOOKUP(C303,'Review Sequence'!C2:C1586,'Review Sequence'!J2:J1586),"Dependency not found")</x:f>
        <x:v>Not Started</x:v>
      </x:c>
      <x:c r="E303" s="6" t="str">
        <x:v>MFRX-0302</x:v>
      </x:c>
      <x:c r="F303" s="6" t="str">
        <x:f>IFERROR(XLOOKUP(E303,'Review Sequence'!C2:C1586,'Review Sequence'!J2:J1586),"Dependency not found")</x:f>
        <x:v>Not Started</x:v>
      </x:c>
      <x:c r="G303" s="6" t="str">
        <x:v>Galaxy S 21 Charge Port Replacement</x:v>
      </x:c>
      <x:c r="H303" s="6" t="str"/>
      <x:c r="I303" s="6" t="str"/>
      <x:c r="J303" s="6" t="str">
        <x:v>Unknown</x:v>
      </x:c>
      <x:c r="K303" s="6" t="str">
        <x:v>Unresolved</x:v>
      </x:c>
      <x:c r="L303" s="7" t="str">
        <x:v>Nocturnix_Master_Services_Catalog_v1.xlsx | 01 - Master Services | row 342</x:v>
      </x:c>
      <x:c r="M303" s="6" t="str"/>
      <x:c r="N303" s="6" t="str"/>
      <x:c r="O303" s="6" t="str">
        <x:v>Pending</x:v>
      </x:c>
      <x:c r="P303" s="7" t="str">
        <x:f>IF(AND(OR(D303="Reviewer Complete",D303="Awaiting Second-Level Approval"),OR(F303="Reviewer Complete",F303="Awaiting Second-Level Approval")),"","Identity/manufacturer dependency unresolved")</x:f>
        <x:v>Identity/manufacturer dependency unresolved</x:v>
      </x:c>
      <x:c r="Q303" s="6" t="str">
        <x:v>Yes</x:v>
      </x:c>
      <x:c r="R303" s="7" t="str"/>
    </x:row>
    <x:row r="304">
      <x:c r="A304" s="6" t="str">
        <x:v>DEVX-0303</x:v>
      </x:c>
      <x:c r="B304" s="6" t="str">
        <x:v>SVC000303</x:v>
      </x:c>
      <x:c r="C304" s="6" t="str">
        <x:v>SIDX-0303</x:v>
      </x:c>
      <x:c r="D304" s="6" t="str">
        <x:f>IFERROR(XLOOKUP(C304,'Review Sequence'!C2:C1586,'Review Sequence'!J2:J1586),"Dependency not found")</x:f>
        <x:v>Not Started</x:v>
      </x:c>
      <x:c r="E304" s="6" t="str">
        <x:v>MFRX-0303</x:v>
      </x:c>
      <x:c r="F304" s="6" t="str">
        <x:f>IFERROR(XLOOKUP(E304,'Review Sequence'!C2:C1586,'Review Sequence'!J2:J1586),"Dependency not found")</x:f>
        <x:v>Not Started</x:v>
      </x:c>
      <x:c r="G304" s="6" t="str">
        <x:v>Galaxy S 21 Plus Charge Port Replacement</x:v>
      </x:c>
      <x:c r="H304" s="6" t="str"/>
      <x:c r="I304" s="6" t="str"/>
      <x:c r="J304" s="6" t="str">
        <x:v>Unknown</x:v>
      </x:c>
      <x:c r="K304" s="6" t="str">
        <x:v>Unresolved</x:v>
      </x:c>
      <x:c r="L304" s="7" t="str">
        <x:v>Nocturnix_Master_Services_Catalog_v1.xlsx | 01 - Master Services | row 343</x:v>
      </x:c>
      <x:c r="M304" s="6" t="str"/>
      <x:c r="N304" s="6" t="str"/>
      <x:c r="O304" s="6" t="str">
        <x:v>Pending</x:v>
      </x:c>
      <x:c r="P304" s="7" t="str">
        <x:f>IF(AND(OR(D304="Reviewer Complete",D304="Awaiting Second-Level Approval"),OR(F304="Reviewer Complete",F304="Awaiting Second-Level Approval")),"","Identity/manufacturer dependency unresolved")</x:f>
        <x:v>Identity/manufacturer dependency unresolved</x:v>
      </x:c>
      <x:c r="Q304" s="6" t="str">
        <x:v>Yes</x:v>
      </x:c>
      <x:c r="R304" s="7" t="str"/>
    </x:row>
    <x:row r="305">
      <x:c r="A305" s="6" t="str">
        <x:v>DEVX-0304</x:v>
      </x:c>
      <x:c r="B305" s="6" t="str">
        <x:v>SVC000304</x:v>
      </x:c>
      <x:c r="C305" s="6" t="str">
        <x:v>SIDX-0304</x:v>
      </x:c>
      <x:c r="D305" s="6" t="str">
        <x:f>IFERROR(XLOOKUP(C305,'Review Sequence'!C2:C1586,'Review Sequence'!J2:J1586),"Dependency not found")</x:f>
        <x:v>Not Started</x:v>
      </x:c>
      <x:c r="E305" s="6" t="str">
        <x:v>MFRX-0304</x:v>
      </x:c>
      <x:c r="F305" s="6" t="str">
        <x:f>IFERROR(XLOOKUP(E305,'Review Sequence'!C2:C1586,'Review Sequence'!J2:J1586),"Dependency not found")</x:f>
        <x:v>Not Started</x:v>
      </x:c>
      <x:c r="G305" s="6" t="str">
        <x:v>Galaxy S 21 FE Charge Port Replacement</x:v>
      </x:c>
      <x:c r="H305" s="6" t="str"/>
      <x:c r="I305" s="6" t="str"/>
      <x:c r="J305" s="6" t="str">
        <x:v>Unknown</x:v>
      </x:c>
      <x:c r="K305" s="6" t="str">
        <x:v>Unresolved</x:v>
      </x:c>
      <x:c r="L305" s="7" t="str">
        <x:v>Nocturnix_Master_Services_Catalog_v1.xlsx | 01 - Master Services | row 344</x:v>
      </x:c>
      <x:c r="M305" s="6" t="str"/>
      <x:c r="N305" s="6" t="str"/>
      <x:c r="O305" s="6" t="str">
        <x:v>Pending</x:v>
      </x:c>
      <x:c r="P305" s="7" t="str">
        <x:f>IF(AND(OR(D305="Reviewer Complete",D305="Awaiting Second-Level Approval"),OR(F305="Reviewer Complete",F305="Awaiting Second-Level Approval")),"","Identity/manufacturer dependency unresolved")</x:f>
        <x:v>Identity/manufacturer dependency unresolved</x:v>
      </x:c>
      <x:c r="Q305" s="6" t="str">
        <x:v>Yes</x:v>
      </x:c>
      <x:c r="R305" s="7" t="str"/>
    </x:row>
    <x:row r="306">
      <x:c r="A306" s="6" t="str">
        <x:v>DEVX-0305</x:v>
      </x:c>
      <x:c r="B306" s="6" t="str">
        <x:v>SVC000305</x:v>
      </x:c>
      <x:c r="C306" s="6" t="str">
        <x:v>SIDX-0305</x:v>
      </x:c>
      <x:c r="D306" s="6" t="str">
        <x:f>IFERROR(XLOOKUP(C306,'Review Sequence'!C2:C1586,'Review Sequence'!J2:J1586),"Dependency not found")</x:f>
        <x:v>Not Started</x:v>
      </x:c>
      <x:c r="E306" s="6" t="str">
        <x:v>MFRX-0305</x:v>
      </x:c>
      <x:c r="F306" s="6" t="str">
        <x:f>IFERROR(XLOOKUP(E306,'Review Sequence'!C2:C1586,'Review Sequence'!J2:J1586),"Dependency not found")</x:f>
        <x:v>Not Started</x:v>
      </x:c>
      <x:c r="G306" s="6" t="str">
        <x:v>Galaxy S 22 Charge Port Replacement</x:v>
      </x:c>
      <x:c r="H306" s="6" t="str"/>
      <x:c r="I306" s="6" t="str"/>
      <x:c r="J306" s="6" t="str">
        <x:v>Unknown</x:v>
      </x:c>
      <x:c r="K306" s="6" t="str">
        <x:v>Unresolved</x:v>
      </x:c>
      <x:c r="L306" s="7" t="str">
        <x:v>Nocturnix_Master_Services_Catalog_v1.xlsx | 01 - Master Services | row 345</x:v>
      </x:c>
      <x:c r="M306" s="6" t="str"/>
      <x:c r="N306" s="6" t="str"/>
      <x:c r="O306" s="6" t="str">
        <x:v>Pending</x:v>
      </x:c>
      <x:c r="P306" s="7" t="str">
        <x:f>IF(AND(OR(D306="Reviewer Complete",D306="Awaiting Second-Level Approval"),OR(F306="Reviewer Complete",F306="Awaiting Second-Level Approval")),"","Identity/manufacturer dependency unresolved")</x:f>
        <x:v>Identity/manufacturer dependency unresolved</x:v>
      </x:c>
      <x:c r="Q306" s="6" t="str">
        <x:v>Yes</x:v>
      </x:c>
      <x:c r="R306" s="7" t="str"/>
    </x:row>
    <x:row r="307">
      <x:c r="A307" s="6" t="str">
        <x:v>DEVX-0306</x:v>
      </x:c>
      <x:c r="B307" s="6" t="str">
        <x:v>SVC000306</x:v>
      </x:c>
      <x:c r="C307" s="6" t="str">
        <x:v>SIDX-0306</x:v>
      </x:c>
      <x:c r="D307" s="6" t="str">
        <x:f>IFERROR(XLOOKUP(C307,'Review Sequence'!C2:C1586,'Review Sequence'!J2:J1586),"Dependency not found")</x:f>
        <x:v>Not Started</x:v>
      </x:c>
      <x:c r="E307" s="6" t="str">
        <x:v>MFRX-0306</x:v>
      </x:c>
      <x:c r="F307" s="6" t="str">
        <x:f>IFERROR(XLOOKUP(E307,'Review Sequence'!C2:C1586,'Review Sequence'!J2:J1586),"Dependency not found")</x:f>
        <x:v>Not Started</x:v>
      </x:c>
      <x:c r="G307" s="6" t="str">
        <x:v>Galaxy S 22 Plus Charge Port Replacement</x:v>
      </x:c>
      <x:c r="H307" s="6" t="str"/>
      <x:c r="I307" s="6" t="str"/>
      <x:c r="J307" s="6" t="str">
        <x:v>Unknown</x:v>
      </x:c>
      <x:c r="K307" s="6" t="str">
        <x:v>Unresolved</x:v>
      </x:c>
      <x:c r="L307" s="7" t="str">
        <x:v>Nocturnix_Master_Services_Catalog_v1.xlsx | 01 - Master Services | row 346</x:v>
      </x:c>
      <x:c r="M307" s="6" t="str"/>
      <x:c r="N307" s="6" t="str"/>
      <x:c r="O307" s="6" t="str">
        <x:v>Pending</x:v>
      </x:c>
      <x:c r="P307" s="7" t="str">
        <x:f>IF(AND(OR(D307="Reviewer Complete",D307="Awaiting Second-Level Approval"),OR(F307="Reviewer Complete",F307="Awaiting Second-Level Approval")),"","Identity/manufacturer dependency unresolved")</x:f>
        <x:v>Identity/manufacturer dependency unresolved</x:v>
      </x:c>
      <x:c r="Q307" s="6" t="str">
        <x:v>Yes</x:v>
      </x:c>
      <x:c r="R307" s="7" t="str"/>
    </x:row>
    <x:row r="308">
      <x:c r="A308" s="6" t="str">
        <x:v>DEVX-0307</x:v>
      </x:c>
      <x:c r="B308" s="6" t="str">
        <x:v>SVC000307</x:v>
      </x:c>
      <x:c r="C308" s="6" t="str">
        <x:v>SIDX-0307</x:v>
      </x:c>
      <x:c r="D308" s="6" t="str">
        <x:f>IFERROR(XLOOKUP(C308,'Review Sequence'!C2:C1586,'Review Sequence'!J2:J1586),"Dependency not found")</x:f>
        <x:v>Not Started</x:v>
      </x:c>
      <x:c r="E308" s="6" t="str">
        <x:v>MFRX-0307</x:v>
      </x:c>
      <x:c r="F308" s="6" t="str">
        <x:f>IFERROR(XLOOKUP(E308,'Review Sequence'!C2:C1586,'Review Sequence'!J2:J1586),"Dependency not found")</x:f>
        <x:v>Not Started</x:v>
      </x:c>
      <x:c r="G308" s="6" t="str">
        <x:v>Galaxy S 22 Ultra Charge Port Replacement</x:v>
      </x:c>
      <x:c r="H308" s="6" t="str"/>
      <x:c r="I308" s="6" t="str"/>
      <x:c r="J308" s="6" t="str">
        <x:v>Unknown</x:v>
      </x:c>
      <x:c r="K308" s="6" t="str">
        <x:v>Unresolved</x:v>
      </x:c>
      <x:c r="L308" s="7" t="str">
        <x:v>Nocturnix_Master_Services_Catalog_v1.xlsx | 01 - Master Services | row 347</x:v>
      </x:c>
      <x:c r="M308" s="6" t="str"/>
      <x:c r="N308" s="6" t="str"/>
      <x:c r="O308" s="6" t="str">
        <x:v>Pending</x:v>
      </x:c>
      <x:c r="P308" s="7" t="str">
        <x:f>IF(AND(OR(D308="Reviewer Complete",D308="Awaiting Second-Level Approval"),OR(F308="Reviewer Complete",F308="Awaiting Second-Level Approval")),"","Identity/manufacturer dependency unresolved")</x:f>
        <x:v>Identity/manufacturer dependency unresolved</x:v>
      </x:c>
      <x:c r="Q308" s="6" t="str">
        <x:v>Yes</x:v>
      </x:c>
      <x:c r="R308" s="7" t="str"/>
    </x:row>
    <x:row r="309">
      <x:c r="A309" s="6" t="str">
        <x:v>DEVX-0308</x:v>
      </x:c>
      <x:c r="B309" s="6" t="str">
        <x:v>SVC000308</x:v>
      </x:c>
      <x:c r="C309" s="6" t="str">
        <x:v>SIDX-0308</x:v>
      </x:c>
      <x:c r="D309" s="6" t="str">
        <x:f>IFERROR(XLOOKUP(C309,'Review Sequence'!C2:C1586,'Review Sequence'!J2:J1586),"Dependency not found")</x:f>
        <x:v>Not Started</x:v>
      </x:c>
      <x:c r="E309" s="6" t="str">
        <x:v>MFRX-0308</x:v>
      </x:c>
      <x:c r="F309" s="6" t="str">
        <x:f>IFERROR(XLOOKUP(E309,'Review Sequence'!C2:C1586,'Review Sequence'!J2:J1586),"Dependency not found")</x:f>
        <x:v>Not Started</x:v>
      </x:c>
      <x:c r="G309" s="6" t="str">
        <x:v>Galaxy S 23 Charge Port Replacement</x:v>
      </x:c>
      <x:c r="H309" s="6" t="str"/>
      <x:c r="I309" s="6" t="str"/>
      <x:c r="J309" s="6" t="str">
        <x:v>Unknown</x:v>
      </x:c>
      <x:c r="K309" s="6" t="str">
        <x:v>Unresolved</x:v>
      </x:c>
      <x:c r="L309" s="7" t="str">
        <x:v>Nocturnix_Master_Services_Catalog_v1.xlsx | 01 - Master Services | row 348</x:v>
      </x:c>
      <x:c r="M309" s="6" t="str"/>
      <x:c r="N309" s="6" t="str"/>
      <x:c r="O309" s="6" t="str">
        <x:v>Pending</x:v>
      </x:c>
      <x:c r="P309" s="7" t="str">
        <x:f>IF(AND(OR(D309="Reviewer Complete",D309="Awaiting Second-Level Approval"),OR(F309="Reviewer Complete",F309="Awaiting Second-Level Approval")),"","Identity/manufacturer dependency unresolved")</x:f>
        <x:v>Identity/manufacturer dependency unresolved</x:v>
      </x:c>
      <x:c r="Q309" s="6" t="str">
        <x:v>Yes</x:v>
      </x:c>
      <x:c r="R309" s="7" t="str"/>
    </x:row>
    <x:row r="310">
      <x:c r="A310" s="6" t="str">
        <x:v>DEVX-0309</x:v>
      </x:c>
      <x:c r="B310" s="6" t="str">
        <x:v>SVC000309</x:v>
      </x:c>
      <x:c r="C310" s="6" t="str">
        <x:v>SIDX-0309</x:v>
      </x:c>
      <x:c r="D310" s="6" t="str">
        <x:f>IFERROR(XLOOKUP(C310,'Review Sequence'!C2:C1586,'Review Sequence'!J2:J1586),"Dependency not found")</x:f>
        <x:v>Not Started</x:v>
      </x:c>
      <x:c r="E310" s="6" t="str">
        <x:v>MFRX-0309</x:v>
      </x:c>
      <x:c r="F310" s="6" t="str">
        <x:f>IFERROR(XLOOKUP(E310,'Review Sequence'!C2:C1586,'Review Sequence'!J2:J1586),"Dependency not found")</x:f>
        <x:v>Not Started</x:v>
      </x:c>
      <x:c r="G310" s="6" t="str">
        <x:v>Galaxy S 23 Plus Charge Port Replacement</x:v>
      </x:c>
      <x:c r="H310" s="6" t="str"/>
      <x:c r="I310" s="6" t="str"/>
      <x:c r="J310" s="6" t="str">
        <x:v>Unknown</x:v>
      </x:c>
      <x:c r="K310" s="6" t="str">
        <x:v>Unresolved</x:v>
      </x:c>
      <x:c r="L310" s="7" t="str">
        <x:v>Nocturnix_Master_Services_Catalog_v1.xlsx | 01 - Master Services | row 349</x:v>
      </x:c>
      <x:c r="M310" s="6" t="str"/>
      <x:c r="N310" s="6" t="str"/>
      <x:c r="O310" s="6" t="str">
        <x:v>Pending</x:v>
      </x:c>
      <x:c r="P310" s="7" t="str">
        <x:f>IF(AND(OR(D310="Reviewer Complete",D310="Awaiting Second-Level Approval"),OR(F310="Reviewer Complete",F310="Awaiting Second-Level Approval")),"","Identity/manufacturer dependency unresolved")</x:f>
        <x:v>Identity/manufacturer dependency unresolved</x:v>
      </x:c>
      <x:c r="Q310" s="6" t="str">
        <x:v>Yes</x:v>
      </x:c>
      <x:c r="R310" s="7" t="str"/>
    </x:row>
    <x:row r="311">
      <x:c r="A311" s="6" t="str">
        <x:v>DEVX-0310</x:v>
      </x:c>
      <x:c r="B311" s="6" t="str">
        <x:v>SVC000310</x:v>
      </x:c>
      <x:c r="C311" s="6" t="str">
        <x:v>SIDX-0310</x:v>
      </x:c>
      <x:c r="D311" s="6" t="str">
        <x:f>IFERROR(XLOOKUP(C311,'Review Sequence'!C2:C1586,'Review Sequence'!J2:J1586),"Dependency not found")</x:f>
        <x:v>Not Started</x:v>
      </x:c>
      <x:c r="E311" s="6" t="str">
        <x:v>MFRX-0310</x:v>
      </x:c>
      <x:c r="F311" s="6" t="str">
        <x:f>IFERROR(XLOOKUP(E311,'Review Sequence'!C2:C1586,'Review Sequence'!J2:J1586),"Dependency not found")</x:f>
        <x:v>Not Started</x:v>
      </x:c>
      <x:c r="G311" s="6" t="str">
        <x:v>Galaxy S 23 Ultra Charge Port Replacement</x:v>
      </x:c>
      <x:c r="H311" s="6" t="str"/>
      <x:c r="I311" s="6" t="str"/>
      <x:c r="J311" s="6" t="str">
        <x:v>Unknown</x:v>
      </x:c>
      <x:c r="K311" s="6" t="str">
        <x:v>Unresolved</x:v>
      </x:c>
      <x:c r="L311" s="7" t="str">
        <x:v>Nocturnix_Master_Services_Catalog_v1.xlsx | 01 - Master Services | row 350</x:v>
      </x:c>
      <x:c r="M311" s="6" t="str"/>
      <x:c r="N311" s="6" t="str"/>
      <x:c r="O311" s="6" t="str">
        <x:v>Pending</x:v>
      </x:c>
      <x:c r="P311" s="7" t="str">
        <x:f>IF(AND(OR(D311="Reviewer Complete",D311="Awaiting Second-Level Approval"),OR(F311="Reviewer Complete",F311="Awaiting Second-Level Approval")),"","Identity/manufacturer dependency unresolved")</x:f>
        <x:v>Identity/manufacturer dependency unresolved</x:v>
      </x:c>
      <x:c r="Q311" s="6" t="str">
        <x:v>Yes</x:v>
      </x:c>
      <x:c r="R311" s="7" t="str"/>
    </x:row>
    <x:row r="312">
      <x:c r="A312" s="6" t="str">
        <x:v>DEVX-0311</x:v>
      </x:c>
      <x:c r="B312" s="6" t="str">
        <x:v>SVC000311</x:v>
      </x:c>
      <x:c r="C312" s="6" t="str">
        <x:v>SIDX-0311</x:v>
      </x:c>
      <x:c r="D312" s="6" t="str">
        <x:f>IFERROR(XLOOKUP(C312,'Review Sequence'!C2:C1586,'Review Sequence'!J2:J1586),"Dependency not found")</x:f>
        <x:v>Not Started</x:v>
      </x:c>
      <x:c r="E312" s="6" t="str">
        <x:v>MFRX-0311</x:v>
      </x:c>
      <x:c r="F312" s="6" t="str">
        <x:f>IFERROR(XLOOKUP(E312,'Review Sequence'!C2:C1586,'Review Sequence'!J2:J1586),"Dependency not found")</x:f>
        <x:v>Not Started</x:v>
      </x:c>
      <x:c r="G312" s="6" t="str">
        <x:v>Galaxy S 23 FE Charge Port Replacement</x:v>
      </x:c>
      <x:c r="H312" s="6" t="str"/>
      <x:c r="I312" s="6" t="str"/>
      <x:c r="J312" s="6" t="str">
        <x:v>Unknown</x:v>
      </x:c>
      <x:c r="K312" s="6" t="str">
        <x:v>Unresolved</x:v>
      </x:c>
      <x:c r="L312" s="7" t="str">
        <x:v>Nocturnix_Master_Services_Catalog_v1.xlsx | 01 - Master Services | row 351</x:v>
      </x:c>
      <x:c r="M312" s="6" t="str"/>
      <x:c r="N312" s="6" t="str"/>
      <x:c r="O312" s="6" t="str">
        <x:v>Pending</x:v>
      </x:c>
      <x:c r="P312" s="7" t="str">
        <x:f>IF(AND(OR(D312="Reviewer Complete",D312="Awaiting Second-Level Approval"),OR(F312="Reviewer Complete",F312="Awaiting Second-Level Approval")),"","Identity/manufacturer dependency unresolved")</x:f>
        <x:v>Identity/manufacturer dependency unresolved</x:v>
      </x:c>
      <x:c r="Q312" s="6" t="str">
        <x:v>Yes</x:v>
      </x:c>
      <x:c r="R312" s="7" t="str"/>
    </x:row>
    <x:row r="313">
      <x:c r="A313" s="6" t="str">
        <x:v>DEVX-0312</x:v>
      </x:c>
      <x:c r="B313" s="6" t="str">
        <x:v>SVC000312</x:v>
      </x:c>
      <x:c r="C313" s="6" t="str">
        <x:v>SIDX-0312</x:v>
      </x:c>
      <x:c r="D313" s="6" t="str">
        <x:f>IFERROR(XLOOKUP(C313,'Review Sequence'!C2:C1586,'Review Sequence'!J2:J1586),"Dependency not found")</x:f>
        <x:v>Not Started</x:v>
      </x:c>
      <x:c r="E313" s="6" t="str">
        <x:v>MFRX-0312</x:v>
      </x:c>
      <x:c r="F313" s="6" t="str">
        <x:f>IFERROR(XLOOKUP(E313,'Review Sequence'!C2:C1586,'Review Sequence'!J2:J1586),"Dependency not found")</x:f>
        <x:v>Not Started</x:v>
      </x:c>
      <x:c r="G313" s="6" t="str">
        <x:v>Galaxy S 24 Charge Port Replacement</x:v>
      </x:c>
      <x:c r="H313" s="6" t="str"/>
      <x:c r="I313" s="6" t="str"/>
      <x:c r="J313" s="6" t="str">
        <x:v>Unknown</x:v>
      </x:c>
      <x:c r="K313" s="6" t="str">
        <x:v>Unresolved</x:v>
      </x:c>
      <x:c r="L313" s="7" t="str">
        <x:v>Nocturnix_Master_Services_Catalog_v1.xlsx | 01 - Master Services | row 352</x:v>
      </x:c>
      <x:c r="M313" s="6" t="str"/>
      <x:c r="N313" s="6" t="str"/>
      <x:c r="O313" s="6" t="str">
        <x:v>Pending</x:v>
      </x:c>
      <x:c r="P313" s="7" t="str">
        <x:f>IF(AND(OR(D313="Reviewer Complete",D313="Awaiting Second-Level Approval"),OR(F313="Reviewer Complete",F313="Awaiting Second-Level Approval")),"","Identity/manufacturer dependency unresolved")</x:f>
        <x:v>Identity/manufacturer dependency unresolved</x:v>
      </x:c>
      <x:c r="Q313" s="6" t="str">
        <x:v>Yes</x:v>
      </x:c>
      <x:c r="R313" s="7" t="str"/>
    </x:row>
    <x:row r="314">
      <x:c r="A314" s="6" t="str">
        <x:v>DEVX-0313</x:v>
      </x:c>
      <x:c r="B314" s="6" t="str">
        <x:v>SVC000313</x:v>
      </x:c>
      <x:c r="C314" s="6" t="str">
        <x:v>SIDX-0313</x:v>
      </x:c>
      <x:c r="D314" s="6" t="str">
        <x:f>IFERROR(XLOOKUP(C314,'Review Sequence'!C2:C1586,'Review Sequence'!J2:J1586),"Dependency not found")</x:f>
        <x:v>Not Started</x:v>
      </x:c>
      <x:c r="E314" s="6" t="str">
        <x:v>MFRX-0313</x:v>
      </x:c>
      <x:c r="F314" s="6" t="str">
        <x:f>IFERROR(XLOOKUP(E314,'Review Sequence'!C2:C1586,'Review Sequence'!J2:J1586),"Dependency not found")</x:f>
        <x:v>Not Started</x:v>
      </x:c>
      <x:c r="G314" s="6" t="str">
        <x:v>Galaxy S 24 Plus Charge Port Replacement</x:v>
      </x:c>
      <x:c r="H314" s="6" t="str"/>
      <x:c r="I314" s="6" t="str"/>
      <x:c r="J314" s="6" t="str">
        <x:v>Unknown</x:v>
      </x:c>
      <x:c r="K314" s="6" t="str">
        <x:v>Unresolved</x:v>
      </x:c>
      <x:c r="L314" s="7" t="str">
        <x:v>Nocturnix_Master_Services_Catalog_v1.xlsx | 01 - Master Services | row 353</x:v>
      </x:c>
      <x:c r="M314" s="6" t="str"/>
      <x:c r="N314" s="6" t="str"/>
      <x:c r="O314" s="6" t="str">
        <x:v>Pending</x:v>
      </x:c>
      <x:c r="P314" s="7" t="str">
        <x:f>IF(AND(OR(D314="Reviewer Complete",D314="Awaiting Second-Level Approval"),OR(F314="Reviewer Complete",F314="Awaiting Second-Level Approval")),"","Identity/manufacturer dependency unresolved")</x:f>
        <x:v>Identity/manufacturer dependency unresolved</x:v>
      </x:c>
      <x:c r="Q314" s="6" t="str">
        <x:v>Yes</x:v>
      </x:c>
      <x:c r="R314" s="7" t="str"/>
    </x:row>
    <x:row r="315">
      <x:c r="A315" s="6" t="str">
        <x:v>DEVX-0314</x:v>
      </x:c>
      <x:c r="B315" s="6" t="str">
        <x:v>SVC000314</x:v>
      </x:c>
      <x:c r="C315" s="6" t="str">
        <x:v>SIDX-0314</x:v>
      </x:c>
      <x:c r="D315" s="6" t="str">
        <x:f>IFERROR(XLOOKUP(C315,'Review Sequence'!C2:C1586,'Review Sequence'!J2:J1586),"Dependency not found")</x:f>
        <x:v>Not Started</x:v>
      </x:c>
      <x:c r="E315" s="6" t="str">
        <x:v>MFRX-0314</x:v>
      </x:c>
      <x:c r="F315" s="6" t="str">
        <x:f>IFERROR(XLOOKUP(E315,'Review Sequence'!C2:C1586,'Review Sequence'!J2:J1586),"Dependency not found")</x:f>
        <x:v>Not Started</x:v>
      </x:c>
      <x:c r="G315" s="6" t="str">
        <x:v>Galaxy S 24 Ultra Charge Port Replacement</x:v>
      </x:c>
      <x:c r="H315" s="6" t="str"/>
      <x:c r="I315" s="6" t="str"/>
      <x:c r="J315" s="6" t="str">
        <x:v>Unknown</x:v>
      </x:c>
      <x:c r="K315" s="6" t="str">
        <x:v>Unresolved</x:v>
      </x:c>
      <x:c r="L315" s="7" t="str">
        <x:v>Nocturnix_Master_Services_Catalog_v1.xlsx | 01 - Master Services | row 354</x:v>
      </x:c>
      <x:c r="M315" s="6" t="str"/>
      <x:c r="N315" s="6" t="str"/>
      <x:c r="O315" s="6" t="str">
        <x:v>Pending</x:v>
      </x:c>
      <x:c r="P315" s="7" t="str">
        <x:f>IF(AND(OR(D315="Reviewer Complete",D315="Awaiting Second-Level Approval"),OR(F315="Reviewer Complete",F315="Awaiting Second-Level Approval")),"","Identity/manufacturer dependency unresolved")</x:f>
        <x:v>Identity/manufacturer dependency unresolved</x:v>
      </x:c>
      <x:c r="Q315" s="6" t="str">
        <x:v>Yes</x:v>
      </x:c>
      <x:c r="R315" s="7" t="str"/>
    </x:row>
  </x:sheetData>
  <x:dataValidations count="6">
    <x:dataValidation type="list" sqref="J2:J315">
      <x:formula1>"Exact Device,Device Family,Manufacturer-Wide,Generic,Unknown,Not Applicable"</x:formula1>
    </x:dataValidation>
    <x:dataValidation type="list" sqref="K2:K315">
      <x:formula1>"Confirm Current Identity,Propose Identity Change,Keep Separate,Suspected Duplicate,Reject Source Record,Escalate,Unresolved"</x:formula1>
    </x:dataValidation>
    <x:dataValidation type="list" sqref="O2:O315">
      <x:formula1>"Pending,Approved,Rejected,Escalated,Not Approved"</x:formula1>
    </x:dataValidation>
    <x:dataValidation type="list" sqref="Q2:Q315">
      <x:formula1>"Yes,No"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H2:H315">
      <x:formula1>"DEV000001,DEV000002,DEV000003,DEV000004,DEV000005,DEV000006,DEV000007,DEV000008,DEV000009,DEV000010,DEV000011,DEV000012,DEV000013,DEV000014,DEV000015,DEV000016,DEV000017,DEV000018,DEV000019,DEV000020,DEV000021,DEV000022,DEV000023,DEV000024,DEV000025,DEV000026,DEV000027,DEV000028,DEV000029,DEV000030,DEV000031,DEV000032,DEV000033,DEV000034,DEV000035,DEV000036,DEV000037,DEV000038,DEV000039,DEV000040,DEV000041,DEV000042,DEV000043,DEV000044,DEV000045,DEV000046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35235416464c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10.75" hidden="0" customWidth="1"/>
    <x:col min="3" max="3" width="24.8799991607666" hidden="0" customWidth="1"/>
    <x:col min="4" max="4" width="17.8799991607666" hidden="0" customWidth="1"/>
    <x:col min="5" max="5" width="18.3799991607666" hidden="0" customWidth="1"/>
    <x:col min="6" max="6" width="15.75" hidden="0" customWidth="1"/>
    <x:col min="7" max="7" width="18.6299991607666" hidden="0" customWidth="1"/>
    <x:col min="8" max="8" width="16.75" hidden="0" customWidth="1"/>
    <x:col min="9" max="9" width="9.630000114440918" hidden="0" customWidth="1"/>
    <x:col min="10" max="10" width="17" hidden="0" customWidth="1"/>
    <x:col min="11" max="11" width="54.630001068115234" hidden="0" customWidth="1"/>
    <x:col min="12" max="12" width="14.880000114440918" hidden="0" customWidth="1"/>
    <x:col min="13" max="13" width="12.380000114440918" hidden="0" customWidth="1"/>
    <x:col min="14" max="14" width="25.75" hidden="0" customWidth="1"/>
    <x:col min="15" max="15" width="14" hidden="0" customWidth="1"/>
    <x:col min="16" max="16" width="18.25" hidden="0" customWidth="1"/>
    <x:col min="17" max="17" width="7.630000114440918" hidden="0" customWidth="1"/>
  </x:cols>
  <x:sheetData>
    <x:row r="1">
      <x:c r="A1" s="5" t="str">
        <x:v>Execution Item ID</x:v>
      </x:c>
      <x:c r="B1" s="5" t="str">
        <x:v>Service ID</x:v>
      </x:c>
      <x:c r="C1" s="5" t="str">
        <x:v>Service Identity Dependency</x:v>
      </x:c>
      <x:c r="D1" s="5" t="str">
        <x:v>Dependency Status</x:v>
      </x:c>
      <x:c r="E1" s="5" t="str">
        <x:v>Observed Part Value</x:v>
      </x:c>
      <x:c r="F1" s="5" t="str">
        <x:v>Proposed Part ID</x:v>
      </x:c>
      <x:c r="G1" s="5" t="str">
        <x:v>Proposed Part Name</x:v>
      </x:c>
      <x:c r="H1" s="5" t="str">
        <x:v>Requirement Type</x:v>
      </x:c>
      <x:c r="I1" s="5" t="str">
        <x:v>Quantity</x:v>
      </x:c>
      <x:c r="J1" s="5" t="str">
        <x:v>Reviewer Decision</x:v>
      </x:c>
      <x:c r="K1" s="5" t="str">
        <x:v>Evidence Reference</x:v>
      </x:c>
      <x:c r="L1" s="5" t="str">
        <x:v>Reviewer Name</x:v>
      </x:c>
      <x:c r="M1" s="5" t="str">
        <x:v>Review Date</x:v>
      </x:c>
      <x:c r="N1" s="5" t="str">
        <x:v>Second-Level Approval Status</x:v>
      </x:c>
      <x:c r="O1" s="5" t="str">
        <x:v>Blocking Issue</x:v>
      </x:c>
      <x:c r="P1" s="5" t="str">
        <x:v>Escalation Required</x:v>
      </x:c>
      <x:c r="Q1" s="5" t="str">
        <x:v>Notes</x:v>
      </x:c>
    </x:row>
    <x:row r="2">
      <x:c r="A2" s="6" t="str">
        <x:v>PRTX-0001</x:v>
      </x:c>
      <x:c r="B2" s="6" t="str">
        <x:v>SVC000001</x:v>
      </x:c>
      <x:c r="C2" s="6" t="str">
        <x:v>SIDX-0001</x:v>
      </x:c>
      <x:c r="D2" s="6" t="str">
        <x:f>IFERROR(XLOOKUP(C2,'Review Sequence'!C2:C1586,'Review Sequence'!J2:J1586),"Dependency not found")</x:f>
        <x:v>Not Started</x:v>
      </x:c>
      <x:c r="E2" s="6" t="str"/>
      <x:c r="F2" s="6" t="str"/>
      <x:c r="G2" s="6" t="str"/>
      <x:c r="H2" s="6" t="str">
        <x:v>Unknown</x:v>
      </x:c>
      <x:c r="I2" s="6" t="str"/>
      <x:c r="J2" s="6" t="str">
        <x:v>Unresolved</x:v>
      </x:c>
      <x:c r="K2" s="7" t="str">
        <x:v>Nocturnix_Master_Services_Catalog_v1.xlsx | 01 - Master Services | row 41</x:v>
      </x:c>
      <x:c r="L2" s="6" t="str"/>
      <x:c r="M2" s="6" t="str"/>
      <x:c r="N2" s="6" t="str">
        <x:v>Pending</x:v>
      </x:c>
      <x:c r="O2" s="7" t="str">
        <x:f>IF(OR(D2="Reviewer Complete",D2="Awaiting Second-Level Approval"),"","Service identity dependency unresolved")</x:f>
        <x:v>Service identity dependency unresolved</x:v>
      </x:c>
      <x:c r="P2" s="6" t="str">
        <x:v>Yes</x:v>
      </x:c>
      <x:c r="Q2" s="7" t="str"/>
    </x:row>
    <x:row r="3">
      <x:c r="A3" s="6" t="str">
        <x:v>PRTX-0002</x:v>
      </x:c>
      <x:c r="B3" s="6" t="str">
        <x:v>SVC000002</x:v>
      </x:c>
      <x:c r="C3" s="6" t="str">
        <x:v>SIDX-0002</x:v>
      </x:c>
      <x:c r="D3" s="6" t="str">
        <x:f>IFERROR(XLOOKUP(C3,'Review Sequence'!C2:C1586,'Review Sequence'!J2:J1586),"Dependency not found")</x:f>
        <x:v>Not Started</x:v>
      </x:c>
      <x:c r="E3" s="6" t="str"/>
      <x:c r="F3" s="6" t="str"/>
      <x:c r="G3" s="6" t="str"/>
      <x:c r="H3" s="6" t="str">
        <x:v>Unknown</x:v>
      </x:c>
      <x:c r="I3" s="6" t="str"/>
      <x:c r="J3" s="6" t="str">
        <x:v>Unresolved</x:v>
      </x:c>
      <x:c r="K3" s="7" t="str">
        <x:v>Nocturnix_Master_Services_Catalog_v1.xlsx | 01 - Master Services | row 42</x:v>
      </x:c>
      <x:c r="L3" s="6" t="str"/>
      <x:c r="M3" s="6" t="str"/>
      <x:c r="N3" s="6" t="str">
        <x:v>Pending</x:v>
      </x:c>
      <x:c r="O3" s="7" t="str">
        <x:f>IF(OR(D3="Reviewer Complete",D3="Awaiting Second-Level Approval"),"","Service identity dependency unresolved")</x:f>
        <x:v>Service identity dependency unresolved</x:v>
      </x:c>
      <x:c r="P3" s="6" t="str">
        <x:v>Yes</x:v>
      </x:c>
      <x:c r="Q3" s="7" t="str"/>
    </x:row>
    <x:row r="4">
      <x:c r="A4" s="6" t="str">
        <x:v>PRTX-0003</x:v>
      </x:c>
      <x:c r="B4" s="6" t="str">
        <x:v>SVC000003</x:v>
      </x:c>
      <x:c r="C4" s="6" t="str">
        <x:v>SIDX-0003</x:v>
      </x:c>
      <x:c r="D4" s="6" t="str">
        <x:f>IFERROR(XLOOKUP(C4,'Review Sequence'!C2:C1586,'Review Sequence'!J2:J1586),"Dependency not found")</x:f>
        <x:v>Not Started</x:v>
      </x:c>
      <x:c r="E4" s="6" t="str"/>
      <x:c r="F4" s="6" t="str"/>
      <x:c r="G4" s="6" t="str"/>
      <x:c r="H4" s="6" t="str">
        <x:v>Unknown</x:v>
      </x:c>
      <x:c r="I4" s="6" t="str"/>
      <x:c r="J4" s="6" t="str">
        <x:v>Unresolved</x:v>
      </x:c>
      <x:c r="K4" s="7" t="str">
        <x:v>Nocturnix_Master_Services_Catalog_v1.xlsx | 01 - Master Services | row 43</x:v>
      </x:c>
      <x:c r="L4" s="6" t="str"/>
      <x:c r="M4" s="6" t="str"/>
      <x:c r="N4" s="6" t="str">
        <x:v>Pending</x:v>
      </x:c>
      <x:c r="O4" s="7" t="str">
        <x:f>IF(OR(D4="Reviewer Complete",D4="Awaiting Second-Level Approval"),"","Service identity dependency unresolved")</x:f>
        <x:v>Service identity dependency unresolved</x:v>
      </x:c>
      <x:c r="P4" s="6" t="str">
        <x:v>Yes</x:v>
      </x:c>
      <x:c r="Q4" s="7" t="str"/>
    </x:row>
    <x:row r="5">
      <x:c r="A5" s="6" t="str">
        <x:v>PRTX-0004</x:v>
      </x:c>
      <x:c r="B5" s="6" t="str">
        <x:v>SVC000004</x:v>
      </x:c>
      <x:c r="C5" s="6" t="str">
        <x:v>SIDX-0004</x:v>
      </x:c>
      <x:c r="D5" s="6" t="str">
        <x:f>IFERROR(XLOOKUP(C5,'Review Sequence'!C2:C1586,'Review Sequence'!J2:J1586),"Dependency not found")</x:f>
        <x:v>Not Started</x:v>
      </x:c>
      <x:c r="E5" s="6" t="str"/>
      <x:c r="F5" s="6" t="str"/>
      <x:c r="G5" s="6" t="str"/>
      <x:c r="H5" s="6" t="str">
        <x:v>Unknown</x:v>
      </x:c>
      <x:c r="I5" s="6" t="str"/>
      <x:c r="J5" s="6" t="str">
        <x:v>Unresolved</x:v>
      </x:c>
      <x:c r="K5" s="7" t="str">
        <x:v>Nocturnix_Master_Services_Catalog_v1.xlsx | 01 - Master Services | row 44</x:v>
      </x:c>
      <x:c r="L5" s="6" t="str"/>
      <x:c r="M5" s="6" t="str"/>
      <x:c r="N5" s="6" t="str">
        <x:v>Pending</x:v>
      </x:c>
      <x:c r="O5" s="7" t="str">
        <x:f>IF(OR(D5="Reviewer Complete",D5="Awaiting Second-Level Approval"),"","Service identity dependency unresolved")</x:f>
        <x:v>Service identity dependency unresolved</x:v>
      </x:c>
      <x:c r="P5" s="6" t="str">
        <x:v>Yes</x:v>
      </x:c>
      <x:c r="Q5" s="7" t="str"/>
    </x:row>
    <x:row r="6">
      <x:c r="A6" s="6" t="str">
        <x:v>PRTX-0005</x:v>
      </x:c>
      <x:c r="B6" s="6" t="str">
        <x:v>SVC000005</x:v>
      </x:c>
      <x:c r="C6" s="6" t="str">
        <x:v>SIDX-0005</x:v>
      </x:c>
      <x:c r="D6" s="6" t="str">
        <x:f>IFERROR(XLOOKUP(C6,'Review Sequence'!C2:C1586,'Review Sequence'!J2:J1586),"Dependency not found")</x:f>
        <x:v>Not Started</x:v>
      </x:c>
      <x:c r="E6" s="6" t="str"/>
      <x:c r="F6" s="6" t="str"/>
      <x:c r="G6" s="6" t="str"/>
      <x:c r="H6" s="6" t="str">
        <x:v>Unknown</x:v>
      </x:c>
      <x:c r="I6" s="6" t="str"/>
      <x:c r="J6" s="6" t="str">
        <x:v>Unresolved</x:v>
      </x:c>
      <x:c r="K6" s="7" t="str">
        <x:v>Nocturnix_Master_Services_Catalog_v1.xlsx | 01 - Master Services | row 45</x:v>
      </x:c>
      <x:c r="L6" s="6" t="str"/>
      <x:c r="M6" s="6" t="str"/>
      <x:c r="N6" s="6" t="str">
        <x:v>Pending</x:v>
      </x:c>
      <x:c r="O6" s="7" t="str">
        <x:f>IF(OR(D6="Reviewer Complete",D6="Awaiting Second-Level Approval"),"","Service identity dependency unresolved")</x:f>
        <x:v>Service identity dependency unresolved</x:v>
      </x:c>
      <x:c r="P6" s="6" t="str">
        <x:v>Yes</x:v>
      </x:c>
      <x:c r="Q6" s="7" t="str"/>
    </x:row>
    <x:row r="7">
      <x:c r="A7" s="6" t="str">
        <x:v>PRTX-0006</x:v>
      </x:c>
      <x:c r="B7" s="6" t="str">
        <x:v>SVC000006</x:v>
      </x:c>
      <x:c r="C7" s="6" t="str">
        <x:v>SIDX-0006</x:v>
      </x:c>
      <x:c r="D7" s="6" t="str">
        <x:f>IFERROR(XLOOKUP(C7,'Review Sequence'!C2:C1586,'Review Sequence'!J2:J1586),"Dependency not found")</x:f>
        <x:v>Not Started</x:v>
      </x:c>
      <x:c r="E7" s="6" t="str"/>
      <x:c r="F7" s="6" t="str"/>
      <x:c r="G7" s="6" t="str"/>
      <x:c r="H7" s="6" t="str">
        <x:v>Unknown</x:v>
      </x:c>
      <x:c r="I7" s="6" t="str"/>
      <x:c r="J7" s="6" t="str">
        <x:v>Unresolved</x:v>
      </x:c>
      <x:c r="K7" s="7" t="str">
        <x:v>Nocturnix_Master_Services_Catalog_v1.xlsx | 01 - Master Services | row 46</x:v>
      </x:c>
      <x:c r="L7" s="6" t="str"/>
      <x:c r="M7" s="6" t="str"/>
      <x:c r="N7" s="6" t="str">
        <x:v>Pending</x:v>
      </x:c>
      <x:c r="O7" s="7" t="str">
        <x:f>IF(OR(D7="Reviewer Complete",D7="Awaiting Second-Level Approval"),"","Service identity dependency unresolved")</x:f>
        <x:v>Service identity dependency unresolved</x:v>
      </x:c>
      <x:c r="P7" s="6" t="str">
        <x:v>Yes</x:v>
      </x:c>
      <x:c r="Q7" s="7" t="str"/>
    </x:row>
    <x:row r="8">
      <x:c r="A8" s="6" t="str">
        <x:v>PRTX-0007</x:v>
      </x:c>
      <x:c r="B8" s="6" t="str">
        <x:v>SVC000007</x:v>
      </x:c>
      <x:c r="C8" s="6" t="str">
        <x:v>SIDX-0007</x:v>
      </x:c>
      <x:c r="D8" s="6" t="str">
        <x:f>IFERROR(XLOOKUP(C8,'Review Sequence'!C2:C1586,'Review Sequence'!J2:J1586),"Dependency not found")</x:f>
        <x:v>Not Started</x:v>
      </x:c>
      <x:c r="E8" s="6" t="str"/>
      <x:c r="F8" s="6" t="str"/>
      <x:c r="G8" s="6" t="str"/>
      <x:c r="H8" s="6" t="str">
        <x:v>Unknown</x:v>
      </x:c>
      <x:c r="I8" s="6" t="str"/>
      <x:c r="J8" s="6" t="str">
        <x:v>Unresolved</x:v>
      </x:c>
      <x:c r="K8" s="7" t="str">
        <x:v>Nocturnix_Master_Services_Catalog_v1.xlsx | 01 - Master Services | row 47</x:v>
      </x:c>
      <x:c r="L8" s="6" t="str"/>
      <x:c r="M8" s="6" t="str"/>
      <x:c r="N8" s="6" t="str">
        <x:v>Pending</x:v>
      </x:c>
      <x:c r="O8" s="7" t="str">
        <x:f>IF(OR(D8="Reviewer Complete",D8="Awaiting Second-Level Approval"),"","Service identity dependency unresolved")</x:f>
        <x:v>Service identity dependency unresolved</x:v>
      </x:c>
      <x:c r="P8" s="6" t="str">
        <x:v>Yes</x:v>
      </x:c>
      <x:c r="Q8" s="7" t="str"/>
    </x:row>
    <x:row r="9">
      <x:c r="A9" s="6" t="str">
        <x:v>PRTX-0008</x:v>
      </x:c>
      <x:c r="B9" s="6" t="str">
        <x:v>SVC000008</x:v>
      </x:c>
      <x:c r="C9" s="6" t="str">
        <x:v>SIDX-0008</x:v>
      </x:c>
      <x:c r="D9" s="6" t="str">
        <x:f>IFERROR(XLOOKUP(C9,'Review Sequence'!C2:C1586,'Review Sequence'!J2:J1586),"Dependency not found")</x:f>
        <x:v>Not Started</x:v>
      </x:c>
      <x:c r="E9" s="6" t="str"/>
      <x:c r="F9" s="6" t="str"/>
      <x:c r="G9" s="6" t="str"/>
      <x:c r="H9" s="6" t="str">
        <x:v>Unknown</x:v>
      </x:c>
      <x:c r="I9" s="6" t="str"/>
      <x:c r="J9" s="6" t="str">
        <x:v>Unresolved</x:v>
      </x:c>
      <x:c r="K9" s="7" t="str">
        <x:v>Nocturnix_Master_Services_Catalog_v1.xlsx | 01 - Master Services | row 48</x:v>
      </x:c>
      <x:c r="L9" s="6" t="str"/>
      <x:c r="M9" s="6" t="str"/>
      <x:c r="N9" s="6" t="str">
        <x:v>Pending</x:v>
      </x:c>
      <x:c r="O9" s="7" t="str">
        <x:f>IF(OR(D9="Reviewer Complete",D9="Awaiting Second-Level Approval"),"","Service identity dependency unresolved")</x:f>
        <x:v>Service identity dependency unresolved</x:v>
      </x:c>
      <x:c r="P9" s="6" t="str">
        <x:v>Yes</x:v>
      </x:c>
      <x:c r="Q9" s="7" t="str"/>
    </x:row>
    <x:row r="10">
      <x:c r="A10" s="6" t="str">
        <x:v>PRTX-0009</x:v>
      </x:c>
      <x:c r="B10" s="6" t="str">
        <x:v>SVC000009</x:v>
      </x:c>
      <x:c r="C10" s="6" t="str">
        <x:v>SIDX-0009</x:v>
      </x:c>
      <x:c r="D10" s="6" t="str">
        <x:f>IFERROR(XLOOKUP(C10,'Review Sequence'!C2:C1586,'Review Sequence'!J2:J1586),"Dependency not found")</x:f>
        <x:v>Not Started</x:v>
      </x:c>
      <x:c r="E10" s="6" t="str"/>
      <x:c r="F10" s="6" t="str"/>
      <x:c r="G10" s="6" t="str"/>
      <x:c r="H10" s="6" t="str">
        <x:v>Unknown</x:v>
      </x:c>
      <x:c r="I10" s="6" t="str"/>
      <x:c r="J10" s="6" t="str">
        <x:v>Unresolved</x:v>
      </x:c>
      <x:c r="K10" s="7" t="str">
        <x:v>Nocturnix_Master_Services_Catalog_v1.xlsx | 01 - Master Services | row 49</x:v>
      </x:c>
      <x:c r="L10" s="6" t="str"/>
      <x:c r="M10" s="6" t="str"/>
      <x:c r="N10" s="6" t="str">
        <x:v>Pending</x:v>
      </x:c>
      <x:c r="O10" s="7" t="str">
        <x:f>IF(OR(D10="Reviewer Complete",D10="Awaiting Second-Level Approval"),"","Service identity dependency unresolved")</x:f>
        <x:v>Service identity dependency unresolved</x:v>
      </x:c>
      <x:c r="P10" s="6" t="str">
        <x:v>Yes</x:v>
      </x:c>
      <x:c r="Q10" s="7" t="str"/>
    </x:row>
    <x:row r="11">
      <x:c r="A11" s="6" t="str">
        <x:v>PRTX-0010</x:v>
      </x:c>
      <x:c r="B11" s="6" t="str">
        <x:v>SVC000010</x:v>
      </x:c>
      <x:c r="C11" s="6" t="str">
        <x:v>SIDX-0010</x:v>
      </x:c>
      <x:c r="D11" s="6" t="str">
        <x:f>IFERROR(XLOOKUP(C11,'Review Sequence'!C2:C1586,'Review Sequence'!J2:J1586),"Dependency not found")</x:f>
        <x:v>Not Started</x:v>
      </x:c>
      <x:c r="E11" s="6" t="str"/>
      <x:c r="F11" s="6" t="str"/>
      <x:c r="G11" s="6" t="str"/>
      <x:c r="H11" s="6" t="str">
        <x:v>Unknown</x:v>
      </x:c>
      <x:c r="I11" s="6" t="str"/>
      <x:c r="J11" s="6" t="str">
        <x:v>Unresolved</x:v>
      </x:c>
      <x:c r="K11" s="7" t="str">
        <x:v>Nocturnix_Master_Services_Catalog_v1.xlsx | 01 - Master Services | row 50</x:v>
      </x:c>
      <x:c r="L11" s="6" t="str"/>
      <x:c r="M11" s="6" t="str"/>
      <x:c r="N11" s="6" t="str">
        <x:v>Pending</x:v>
      </x:c>
      <x:c r="O11" s="7" t="str">
        <x:f>IF(OR(D11="Reviewer Complete",D11="Awaiting Second-Level Approval"),"","Service identity dependency unresolved")</x:f>
        <x:v>Service identity dependency unresolved</x:v>
      </x:c>
      <x:c r="P11" s="6" t="str">
        <x:v>Yes</x:v>
      </x:c>
      <x:c r="Q11" s="7" t="str"/>
    </x:row>
    <x:row r="12">
      <x:c r="A12" s="6" t="str">
        <x:v>PRTX-0011</x:v>
      </x:c>
      <x:c r="B12" s="6" t="str">
        <x:v>SVC000011</x:v>
      </x:c>
      <x:c r="C12" s="6" t="str">
        <x:v>SIDX-0011</x:v>
      </x:c>
      <x:c r="D12" s="6" t="str">
        <x:f>IFERROR(XLOOKUP(C12,'Review Sequence'!C2:C1586,'Review Sequence'!J2:J1586),"Dependency not found")</x:f>
        <x:v>Not Started</x:v>
      </x:c>
      <x:c r="E12" s="6" t="str"/>
      <x:c r="F12" s="6" t="str"/>
      <x:c r="G12" s="6" t="str"/>
      <x:c r="H12" s="6" t="str">
        <x:v>Unknown</x:v>
      </x:c>
      <x:c r="I12" s="6" t="str"/>
      <x:c r="J12" s="6" t="str">
        <x:v>Unresolved</x:v>
      </x:c>
      <x:c r="K12" s="7" t="str">
        <x:v>Nocturnix_Master_Services_Catalog_v1.xlsx | 01 - Master Services | row 51</x:v>
      </x:c>
      <x:c r="L12" s="6" t="str"/>
      <x:c r="M12" s="6" t="str"/>
      <x:c r="N12" s="6" t="str">
        <x:v>Pending</x:v>
      </x:c>
      <x:c r="O12" s="7" t="str">
        <x:f>IF(OR(D12="Reviewer Complete",D12="Awaiting Second-Level Approval"),"","Service identity dependency unresolved")</x:f>
        <x:v>Service identity dependency unresolved</x:v>
      </x:c>
      <x:c r="P12" s="6" t="str">
        <x:v>Yes</x:v>
      </x:c>
      <x:c r="Q12" s="7" t="str"/>
    </x:row>
    <x:row r="13">
      <x:c r="A13" s="6" t="str">
        <x:v>PRTX-0012</x:v>
      </x:c>
      <x:c r="B13" s="6" t="str">
        <x:v>SVC000012</x:v>
      </x:c>
      <x:c r="C13" s="6" t="str">
        <x:v>SIDX-0012</x:v>
      </x:c>
      <x:c r="D13" s="6" t="str">
        <x:f>IFERROR(XLOOKUP(C13,'Review Sequence'!C2:C1586,'Review Sequence'!J2:J1586),"Dependency not found")</x:f>
        <x:v>Not Started</x:v>
      </x:c>
      <x:c r="E13" s="6" t="str"/>
      <x:c r="F13" s="6" t="str"/>
      <x:c r="G13" s="6" t="str"/>
      <x:c r="H13" s="6" t="str">
        <x:v>Unknown</x:v>
      </x:c>
      <x:c r="I13" s="6" t="str"/>
      <x:c r="J13" s="6" t="str">
        <x:v>Unresolved</x:v>
      </x:c>
      <x:c r="K13" s="7" t="str">
        <x:v>Nocturnix_Master_Services_Catalog_v1.xlsx | 01 - Master Services | row 52</x:v>
      </x:c>
      <x:c r="L13" s="6" t="str"/>
      <x:c r="M13" s="6" t="str"/>
      <x:c r="N13" s="6" t="str">
        <x:v>Pending</x:v>
      </x:c>
      <x:c r="O13" s="7" t="str">
        <x:f>IF(OR(D13="Reviewer Complete",D13="Awaiting Second-Level Approval"),"","Service identity dependency unresolved")</x:f>
        <x:v>Service identity dependency unresolved</x:v>
      </x:c>
      <x:c r="P13" s="6" t="str">
        <x:v>Yes</x:v>
      </x:c>
      <x:c r="Q13" s="7" t="str"/>
    </x:row>
    <x:row r="14">
      <x:c r="A14" s="6" t="str">
        <x:v>PRTX-0013</x:v>
      </x:c>
      <x:c r="B14" s="6" t="str">
        <x:v>SVC000013</x:v>
      </x:c>
      <x:c r="C14" s="6" t="str">
        <x:v>SIDX-0013</x:v>
      </x:c>
      <x:c r="D14" s="6" t="str">
        <x:f>IFERROR(XLOOKUP(C14,'Review Sequence'!C2:C1586,'Review Sequence'!J2:J1586),"Dependency not found")</x:f>
        <x:v>Not Started</x:v>
      </x:c>
      <x:c r="E14" s="6" t="str"/>
      <x:c r="F14" s="6" t="str"/>
      <x:c r="G14" s="6" t="str"/>
      <x:c r="H14" s="6" t="str">
        <x:v>Unknown</x:v>
      </x:c>
      <x:c r="I14" s="6" t="str"/>
      <x:c r="J14" s="6" t="str">
        <x:v>Unresolved</x:v>
      </x:c>
      <x:c r="K14" s="7" t="str">
        <x:v>Nocturnix_Master_Services_Catalog_v1.xlsx | 01 - Master Services | row 53</x:v>
      </x:c>
      <x:c r="L14" s="6" t="str"/>
      <x:c r="M14" s="6" t="str"/>
      <x:c r="N14" s="6" t="str">
        <x:v>Pending</x:v>
      </x:c>
      <x:c r="O14" s="7" t="str">
        <x:f>IF(OR(D14="Reviewer Complete",D14="Awaiting Second-Level Approval"),"","Service identity dependency unresolved")</x:f>
        <x:v>Service identity dependency unresolved</x:v>
      </x:c>
      <x:c r="P14" s="6" t="str">
        <x:v>Yes</x:v>
      </x:c>
      <x:c r="Q14" s="7" t="str"/>
    </x:row>
    <x:row r="15">
      <x:c r="A15" s="6" t="str">
        <x:v>PRTX-0014</x:v>
      </x:c>
      <x:c r="B15" s="6" t="str">
        <x:v>SVC000014</x:v>
      </x:c>
      <x:c r="C15" s="6" t="str">
        <x:v>SIDX-0014</x:v>
      </x:c>
      <x:c r="D15" s="6" t="str">
        <x:f>IFERROR(XLOOKUP(C15,'Review Sequence'!C2:C1586,'Review Sequence'!J2:J1586),"Dependency not found")</x:f>
        <x:v>Not Started</x:v>
      </x:c>
      <x:c r="E15" s="6" t="str"/>
      <x:c r="F15" s="6" t="str"/>
      <x:c r="G15" s="6" t="str"/>
      <x:c r="H15" s="6" t="str">
        <x:v>Unknown</x:v>
      </x:c>
      <x:c r="I15" s="6" t="str"/>
      <x:c r="J15" s="6" t="str">
        <x:v>Unresolved</x:v>
      </x:c>
      <x:c r="K15" s="7" t="str">
        <x:v>Nocturnix_Master_Services_Catalog_v1.xlsx | 01 - Master Services | row 54</x:v>
      </x:c>
      <x:c r="L15" s="6" t="str"/>
      <x:c r="M15" s="6" t="str"/>
      <x:c r="N15" s="6" t="str">
        <x:v>Pending</x:v>
      </x:c>
      <x:c r="O15" s="7" t="str">
        <x:f>IF(OR(D15="Reviewer Complete",D15="Awaiting Second-Level Approval"),"","Service identity dependency unresolved")</x:f>
        <x:v>Service identity dependency unresolved</x:v>
      </x:c>
      <x:c r="P15" s="6" t="str">
        <x:v>Yes</x:v>
      </x:c>
      <x:c r="Q15" s="7" t="str"/>
    </x:row>
    <x:row r="16">
      <x:c r="A16" s="6" t="str">
        <x:v>PRTX-0015</x:v>
      </x:c>
      <x:c r="B16" s="6" t="str">
        <x:v>SVC000015</x:v>
      </x:c>
      <x:c r="C16" s="6" t="str">
        <x:v>SIDX-0015</x:v>
      </x:c>
      <x:c r="D16" s="6" t="str">
        <x:f>IFERROR(XLOOKUP(C16,'Review Sequence'!C2:C1586,'Review Sequence'!J2:J1586),"Dependency not found")</x:f>
        <x:v>Not Started</x:v>
      </x:c>
      <x:c r="E16" s="6" t="str"/>
      <x:c r="F16" s="6" t="str"/>
      <x:c r="G16" s="6" t="str"/>
      <x:c r="H16" s="6" t="str">
        <x:v>Unknown</x:v>
      </x:c>
      <x:c r="I16" s="6" t="str"/>
      <x:c r="J16" s="6" t="str">
        <x:v>Unresolved</x:v>
      </x:c>
      <x:c r="K16" s="7" t="str">
        <x:v>Nocturnix_Master_Services_Catalog_v1.xlsx | 01 - Master Services | row 55</x:v>
      </x:c>
      <x:c r="L16" s="6" t="str"/>
      <x:c r="M16" s="6" t="str"/>
      <x:c r="N16" s="6" t="str">
        <x:v>Pending</x:v>
      </x:c>
      <x:c r="O16" s="7" t="str">
        <x:f>IF(OR(D16="Reviewer Complete",D16="Awaiting Second-Level Approval"),"","Service identity dependency unresolved")</x:f>
        <x:v>Service identity dependency unresolved</x:v>
      </x:c>
      <x:c r="P16" s="6" t="str">
        <x:v>Yes</x:v>
      </x:c>
      <x:c r="Q16" s="7" t="str"/>
    </x:row>
    <x:row r="17">
      <x:c r="A17" s="6" t="str">
        <x:v>PRTX-0016</x:v>
      </x:c>
      <x:c r="B17" s="6" t="str">
        <x:v>SVC000016</x:v>
      </x:c>
      <x:c r="C17" s="6" t="str">
        <x:v>SIDX-0016</x:v>
      </x:c>
      <x:c r="D17" s="6" t="str">
        <x:f>IFERROR(XLOOKUP(C17,'Review Sequence'!C2:C1586,'Review Sequence'!J2:J1586),"Dependency not found")</x:f>
        <x:v>Not Started</x:v>
      </x:c>
      <x:c r="E17" s="6" t="str"/>
      <x:c r="F17" s="6" t="str"/>
      <x:c r="G17" s="6" t="str"/>
      <x:c r="H17" s="6" t="str">
        <x:v>Unknown</x:v>
      </x:c>
      <x:c r="I17" s="6" t="str"/>
      <x:c r="J17" s="6" t="str">
        <x:v>Unresolved</x:v>
      </x:c>
      <x:c r="K17" s="7" t="str">
        <x:v>Nocturnix_Master_Services_Catalog_v1.xlsx | 01 - Master Services | row 56</x:v>
      </x:c>
      <x:c r="L17" s="6" t="str"/>
      <x:c r="M17" s="6" t="str"/>
      <x:c r="N17" s="6" t="str">
        <x:v>Pending</x:v>
      </x:c>
      <x:c r="O17" s="7" t="str">
        <x:f>IF(OR(D17="Reviewer Complete",D17="Awaiting Second-Level Approval"),"","Service identity dependency unresolved")</x:f>
        <x:v>Service identity dependency unresolved</x:v>
      </x:c>
      <x:c r="P17" s="6" t="str">
        <x:v>Yes</x:v>
      </x:c>
      <x:c r="Q17" s="7" t="str"/>
    </x:row>
    <x:row r="18">
      <x:c r="A18" s="6" t="str">
        <x:v>PRTX-0017</x:v>
      </x:c>
      <x:c r="B18" s="6" t="str">
        <x:v>SVC000017</x:v>
      </x:c>
      <x:c r="C18" s="6" t="str">
        <x:v>SIDX-0017</x:v>
      </x:c>
      <x:c r="D18" s="6" t="str">
        <x:f>IFERROR(XLOOKUP(C18,'Review Sequence'!C2:C1586,'Review Sequence'!J2:J1586),"Dependency not found")</x:f>
        <x:v>Not Started</x:v>
      </x:c>
      <x:c r="E18" s="6" t="str"/>
      <x:c r="F18" s="6" t="str"/>
      <x:c r="G18" s="6" t="str"/>
      <x:c r="H18" s="6" t="str">
        <x:v>Unknown</x:v>
      </x:c>
      <x:c r="I18" s="6" t="str"/>
      <x:c r="J18" s="6" t="str">
        <x:v>Unresolved</x:v>
      </x:c>
      <x:c r="K18" s="7" t="str">
        <x:v>Nocturnix_Master_Services_Catalog_v1.xlsx | 01 - Master Services | row 57</x:v>
      </x:c>
      <x:c r="L18" s="6" t="str"/>
      <x:c r="M18" s="6" t="str"/>
      <x:c r="N18" s="6" t="str">
        <x:v>Pending</x:v>
      </x:c>
      <x:c r="O18" s="7" t="str">
        <x:f>IF(OR(D18="Reviewer Complete",D18="Awaiting Second-Level Approval"),"","Service identity dependency unresolved")</x:f>
        <x:v>Service identity dependency unresolved</x:v>
      </x:c>
      <x:c r="P18" s="6" t="str">
        <x:v>Yes</x:v>
      </x:c>
      <x:c r="Q18" s="7" t="str"/>
    </x:row>
    <x:row r="19">
      <x:c r="A19" s="6" t="str">
        <x:v>PRTX-0018</x:v>
      </x:c>
      <x:c r="B19" s="6" t="str">
        <x:v>SVC000018</x:v>
      </x:c>
      <x:c r="C19" s="6" t="str">
        <x:v>SIDX-0018</x:v>
      </x:c>
      <x:c r="D19" s="6" t="str">
        <x:f>IFERROR(XLOOKUP(C19,'Review Sequence'!C2:C1586,'Review Sequence'!J2:J1586),"Dependency not found")</x:f>
        <x:v>Not Started</x:v>
      </x:c>
      <x:c r="E19" s="6" t="str"/>
      <x:c r="F19" s="6" t="str"/>
      <x:c r="G19" s="6" t="str"/>
      <x:c r="H19" s="6" t="str">
        <x:v>Unknown</x:v>
      </x:c>
      <x:c r="I19" s="6" t="str"/>
      <x:c r="J19" s="6" t="str">
        <x:v>Unresolved</x:v>
      </x:c>
      <x:c r="K19" s="7" t="str">
        <x:v>Nocturnix_Master_Services_Catalog_v1.xlsx | 01 - Master Services | row 58</x:v>
      </x:c>
      <x:c r="L19" s="6" t="str"/>
      <x:c r="M19" s="6" t="str"/>
      <x:c r="N19" s="6" t="str">
        <x:v>Pending</x:v>
      </x:c>
      <x:c r="O19" s="7" t="str">
        <x:f>IF(OR(D19="Reviewer Complete",D19="Awaiting Second-Level Approval"),"","Service identity dependency unresolved")</x:f>
        <x:v>Service identity dependency unresolved</x:v>
      </x:c>
      <x:c r="P19" s="6" t="str">
        <x:v>Yes</x:v>
      </x:c>
      <x:c r="Q19" s="7" t="str"/>
    </x:row>
    <x:row r="20">
      <x:c r="A20" s="6" t="str">
        <x:v>PRTX-0019</x:v>
      </x:c>
      <x:c r="B20" s="6" t="str">
        <x:v>SVC000019</x:v>
      </x:c>
      <x:c r="C20" s="6" t="str">
        <x:v>SIDX-0019</x:v>
      </x:c>
      <x:c r="D20" s="6" t="str">
        <x:f>IFERROR(XLOOKUP(C20,'Review Sequence'!C2:C1586,'Review Sequence'!J2:J1586),"Dependency not found")</x:f>
        <x:v>Not Started</x:v>
      </x:c>
      <x:c r="E20" s="6" t="str"/>
      <x:c r="F20" s="6" t="str"/>
      <x:c r="G20" s="6" t="str"/>
      <x:c r="H20" s="6" t="str">
        <x:v>Unknown</x:v>
      </x:c>
      <x:c r="I20" s="6" t="str"/>
      <x:c r="J20" s="6" t="str">
        <x:v>Unresolved</x:v>
      </x:c>
      <x:c r="K20" s="7" t="str">
        <x:v>Nocturnix_Master_Services_Catalog_v1.xlsx | 01 - Master Services | row 59</x:v>
      </x:c>
      <x:c r="L20" s="6" t="str"/>
      <x:c r="M20" s="6" t="str"/>
      <x:c r="N20" s="6" t="str">
        <x:v>Pending</x:v>
      </x:c>
      <x:c r="O20" s="7" t="str">
        <x:f>IF(OR(D20="Reviewer Complete",D20="Awaiting Second-Level Approval"),"","Service identity dependency unresolved")</x:f>
        <x:v>Service identity dependency unresolved</x:v>
      </x:c>
      <x:c r="P20" s="6" t="str">
        <x:v>Yes</x:v>
      </x:c>
      <x:c r="Q20" s="7" t="str"/>
    </x:row>
    <x:row r="21">
      <x:c r="A21" s="6" t="str">
        <x:v>PRTX-0020</x:v>
      </x:c>
      <x:c r="B21" s="6" t="str">
        <x:v>SVC000020</x:v>
      </x:c>
      <x:c r="C21" s="6" t="str">
        <x:v>SIDX-0020</x:v>
      </x:c>
      <x:c r="D21" s="6" t="str">
        <x:f>IFERROR(XLOOKUP(C21,'Review Sequence'!C2:C1586,'Review Sequence'!J2:J1586),"Dependency not found")</x:f>
        <x:v>Not Started</x:v>
      </x:c>
      <x:c r="E21" s="6" t="str"/>
      <x:c r="F21" s="6" t="str"/>
      <x:c r="G21" s="6" t="str"/>
      <x:c r="H21" s="6" t="str">
        <x:v>Unknown</x:v>
      </x:c>
      <x:c r="I21" s="6" t="str"/>
      <x:c r="J21" s="6" t="str">
        <x:v>Unresolved</x:v>
      </x:c>
      <x:c r="K21" s="7" t="str">
        <x:v>Nocturnix_Master_Services_Catalog_v1.xlsx | 01 - Master Services | row 60</x:v>
      </x:c>
      <x:c r="L21" s="6" t="str"/>
      <x:c r="M21" s="6" t="str"/>
      <x:c r="N21" s="6" t="str">
        <x:v>Pending</x:v>
      </x:c>
      <x:c r="O21" s="7" t="str">
        <x:f>IF(OR(D21="Reviewer Complete",D21="Awaiting Second-Level Approval"),"","Service identity dependency unresolved")</x:f>
        <x:v>Service identity dependency unresolved</x:v>
      </x:c>
      <x:c r="P21" s="6" t="str">
        <x:v>Yes</x:v>
      </x:c>
      <x:c r="Q21" s="7" t="str"/>
    </x:row>
    <x:row r="22">
      <x:c r="A22" s="6" t="str">
        <x:v>PRTX-0021</x:v>
      </x:c>
      <x:c r="B22" s="6" t="str">
        <x:v>SVC000021</x:v>
      </x:c>
      <x:c r="C22" s="6" t="str">
        <x:v>SIDX-0021</x:v>
      </x:c>
      <x:c r="D22" s="6" t="str">
        <x:f>IFERROR(XLOOKUP(C22,'Review Sequence'!C2:C1586,'Review Sequence'!J2:J1586),"Dependency not found")</x:f>
        <x:v>Not Started</x:v>
      </x:c>
      <x:c r="E22" s="6" t="str"/>
      <x:c r="F22" s="6" t="str"/>
      <x:c r="G22" s="6" t="str"/>
      <x:c r="H22" s="6" t="str">
        <x:v>Unknown</x:v>
      </x:c>
      <x:c r="I22" s="6" t="str"/>
      <x:c r="J22" s="6" t="str">
        <x:v>Unresolved</x:v>
      </x:c>
      <x:c r="K22" s="7" t="str">
        <x:v>Nocturnix_Master_Services_Catalog_v1.xlsx | 01 - Master Services | row 61</x:v>
      </x:c>
      <x:c r="L22" s="6" t="str"/>
      <x:c r="M22" s="6" t="str"/>
      <x:c r="N22" s="6" t="str">
        <x:v>Pending</x:v>
      </x:c>
      <x:c r="O22" s="7" t="str">
        <x:f>IF(OR(D22="Reviewer Complete",D22="Awaiting Second-Level Approval"),"","Service identity dependency unresolved")</x:f>
        <x:v>Service identity dependency unresolved</x:v>
      </x:c>
      <x:c r="P22" s="6" t="str">
        <x:v>Yes</x:v>
      </x:c>
      <x:c r="Q22" s="7" t="str"/>
    </x:row>
    <x:row r="23">
      <x:c r="A23" s="6" t="str">
        <x:v>PRTX-0022</x:v>
      </x:c>
      <x:c r="B23" s="6" t="str">
        <x:v>SVC000022</x:v>
      </x:c>
      <x:c r="C23" s="6" t="str">
        <x:v>SIDX-0022</x:v>
      </x:c>
      <x:c r="D23" s="6" t="str">
        <x:f>IFERROR(XLOOKUP(C23,'Review Sequence'!C2:C1586,'Review Sequence'!J2:J1586),"Dependency not found")</x:f>
        <x:v>Not Started</x:v>
      </x:c>
      <x:c r="E23" s="6" t="str"/>
      <x:c r="F23" s="6" t="str"/>
      <x:c r="G23" s="6" t="str"/>
      <x:c r="H23" s="6" t="str">
        <x:v>Unknown</x:v>
      </x:c>
      <x:c r="I23" s="6" t="str"/>
      <x:c r="J23" s="6" t="str">
        <x:v>Unresolved</x:v>
      </x:c>
      <x:c r="K23" s="7" t="str">
        <x:v>Nocturnix_Master_Services_Catalog_v1.xlsx | 01 - Master Services | row 62</x:v>
      </x:c>
      <x:c r="L23" s="6" t="str"/>
      <x:c r="M23" s="6" t="str"/>
      <x:c r="N23" s="6" t="str">
        <x:v>Pending</x:v>
      </x:c>
      <x:c r="O23" s="7" t="str">
        <x:f>IF(OR(D23="Reviewer Complete",D23="Awaiting Second-Level Approval"),"","Service identity dependency unresolved")</x:f>
        <x:v>Service identity dependency unresolved</x:v>
      </x:c>
      <x:c r="P23" s="6" t="str">
        <x:v>Yes</x:v>
      </x:c>
      <x:c r="Q23" s="7" t="str"/>
    </x:row>
    <x:row r="24">
      <x:c r="A24" s="6" t="str">
        <x:v>PRTX-0023</x:v>
      </x:c>
      <x:c r="B24" s="6" t="str">
        <x:v>SVC000023</x:v>
      </x:c>
      <x:c r="C24" s="6" t="str">
        <x:v>SIDX-0023</x:v>
      </x:c>
      <x:c r="D24" s="6" t="str">
        <x:f>IFERROR(XLOOKUP(C24,'Review Sequence'!C2:C1586,'Review Sequence'!J2:J1586),"Dependency not found")</x:f>
        <x:v>Not Started</x:v>
      </x:c>
      <x:c r="E24" s="6" t="str"/>
      <x:c r="F24" s="6" t="str"/>
      <x:c r="G24" s="6" t="str"/>
      <x:c r="H24" s="6" t="str">
        <x:v>Unknown</x:v>
      </x:c>
      <x:c r="I24" s="6" t="str"/>
      <x:c r="J24" s="6" t="str">
        <x:v>Unresolved</x:v>
      </x:c>
      <x:c r="K24" s="7" t="str">
        <x:v>Nocturnix_Master_Services_Catalog_v1.xlsx | 01 - Master Services | row 63</x:v>
      </x:c>
      <x:c r="L24" s="6" t="str"/>
      <x:c r="M24" s="6" t="str"/>
      <x:c r="N24" s="6" t="str">
        <x:v>Pending</x:v>
      </x:c>
      <x:c r="O24" s="7" t="str">
        <x:f>IF(OR(D24="Reviewer Complete",D24="Awaiting Second-Level Approval"),"","Service identity dependency unresolved")</x:f>
        <x:v>Service identity dependency unresolved</x:v>
      </x:c>
      <x:c r="P24" s="6" t="str">
        <x:v>Yes</x:v>
      </x:c>
      <x:c r="Q24" s="7" t="str"/>
    </x:row>
    <x:row r="25">
      <x:c r="A25" s="6" t="str">
        <x:v>PRTX-0024</x:v>
      </x:c>
      <x:c r="B25" s="6" t="str">
        <x:v>SVC000024</x:v>
      </x:c>
      <x:c r="C25" s="6" t="str">
        <x:v>SIDX-0024</x:v>
      </x:c>
      <x:c r="D25" s="6" t="str">
        <x:f>IFERROR(XLOOKUP(C25,'Review Sequence'!C2:C1586,'Review Sequence'!J2:J1586),"Dependency not found")</x:f>
        <x:v>Not Started</x:v>
      </x:c>
      <x:c r="E25" s="6" t="str"/>
      <x:c r="F25" s="6" t="str"/>
      <x:c r="G25" s="6" t="str"/>
      <x:c r="H25" s="6" t="str">
        <x:v>Unknown</x:v>
      </x:c>
      <x:c r="I25" s="6" t="str"/>
      <x:c r="J25" s="6" t="str">
        <x:v>Unresolved</x:v>
      </x:c>
      <x:c r="K25" s="7" t="str">
        <x:v>Nocturnix_Master_Services_Catalog_v1.xlsx | 01 - Master Services | row 64</x:v>
      </x:c>
      <x:c r="L25" s="6" t="str"/>
      <x:c r="M25" s="6" t="str"/>
      <x:c r="N25" s="6" t="str">
        <x:v>Pending</x:v>
      </x:c>
      <x:c r="O25" s="7" t="str">
        <x:f>IF(OR(D25="Reviewer Complete",D25="Awaiting Second-Level Approval"),"","Service identity dependency unresolved")</x:f>
        <x:v>Service identity dependency unresolved</x:v>
      </x:c>
      <x:c r="P25" s="6" t="str">
        <x:v>Yes</x:v>
      </x:c>
      <x:c r="Q25" s="7" t="str"/>
    </x:row>
    <x:row r="26">
      <x:c r="A26" s="6" t="str">
        <x:v>PRTX-0025</x:v>
      </x:c>
      <x:c r="B26" s="6" t="str">
        <x:v>SVC000025</x:v>
      </x:c>
      <x:c r="C26" s="6" t="str">
        <x:v>SIDX-0025</x:v>
      </x:c>
      <x:c r="D26" s="6" t="str">
        <x:f>IFERROR(XLOOKUP(C26,'Review Sequence'!C2:C1586,'Review Sequence'!J2:J1586),"Dependency not found")</x:f>
        <x:v>Not Started</x:v>
      </x:c>
      <x:c r="E26" s="6" t="str"/>
      <x:c r="F26" s="6" t="str"/>
      <x:c r="G26" s="6" t="str"/>
      <x:c r="H26" s="6" t="str">
        <x:v>Unknown</x:v>
      </x:c>
      <x:c r="I26" s="6" t="str"/>
      <x:c r="J26" s="6" t="str">
        <x:v>Unresolved</x:v>
      </x:c>
      <x:c r="K26" s="7" t="str">
        <x:v>Nocturnix_Master_Services_Catalog_v1.xlsx | 01 - Master Services | row 65</x:v>
      </x:c>
      <x:c r="L26" s="6" t="str"/>
      <x:c r="M26" s="6" t="str"/>
      <x:c r="N26" s="6" t="str">
        <x:v>Pending</x:v>
      </x:c>
      <x:c r="O26" s="7" t="str">
        <x:f>IF(OR(D26="Reviewer Complete",D26="Awaiting Second-Level Approval"),"","Service identity dependency unresolved")</x:f>
        <x:v>Service identity dependency unresolved</x:v>
      </x:c>
      <x:c r="P26" s="6" t="str">
        <x:v>Yes</x:v>
      </x:c>
      <x:c r="Q26" s="7" t="str"/>
    </x:row>
    <x:row r="27">
      <x:c r="A27" s="6" t="str">
        <x:v>PRTX-0026</x:v>
      </x:c>
      <x:c r="B27" s="6" t="str">
        <x:v>SVC000026</x:v>
      </x:c>
      <x:c r="C27" s="6" t="str">
        <x:v>SIDX-0026</x:v>
      </x:c>
      <x:c r="D27" s="6" t="str">
        <x:f>IFERROR(XLOOKUP(C27,'Review Sequence'!C2:C1586,'Review Sequence'!J2:J1586),"Dependency not found")</x:f>
        <x:v>Not Started</x:v>
      </x:c>
      <x:c r="E27" s="6" t="str"/>
      <x:c r="F27" s="6" t="str"/>
      <x:c r="G27" s="6" t="str"/>
      <x:c r="H27" s="6" t="str">
        <x:v>Unknown</x:v>
      </x:c>
      <x:c r="I27" s="6" t="str"/>
      <x:c r="J27" s="6" t="str">
        <x:v>Unresolved</x:v>
      </x:c>
      <x:c r="K27" s="7" t="str">
        <x:v>Nocturnix_Master_Services_Catalog_v1.xlsx | 01 - Master Services | row 66</x:v>
      </x:c>
      <x:c r="L27" s="6" t="str"/>
      <x:c r="M27" s="6" t="str"/>
      <x:c r="N27" s="6" t="str">
        <x:v>Pending</x:v>
      </x:c>
      <x:c r="O27" s="7" t="str">
        <x:f>IF(OR(D27="Reviewer Complete",D27="Awaiting Second-Level Approval"),"","Service identity dependency unresolved")</x:f>
        <x:v>Service identity dependency unresolved</x:v>
      </x:c>
      <x:c r="P27" s="6" t="str">
        <x:v>Yes</x:v>
      </x:c>
      <x:c r="Q27" s="7" t="str"/>
    </x:row>
    <x:row r="28">
      <x:c r="A28" s="6" t="str">
        <x:v>PRTX-0027</x:v>
      </x:c>
      <x:c r="B28" s="6" t="str">
        <x:v>SVC000027</x:v>
      </x:c>
      <x:c r="C28" s="6" t="str">
        <x:v>SIDX-0027</x:v>
      </x:c>
      <x:c r="D28" s="6" t="str">
        <x:f>IFERROR(XLOOKUP(C28,'Review Sequence'!C2:C1586,'Review Sequence'!J2:J1586),"Dependency not found")</x:f>
        <x:v>Not Started</x:v>
      </x:c>
      <x:c r="E28" s="6" t="str"/>
      <x:c r="F28" s="6" t="str"/>
      <x:c r="G28" s="6" t="str"/>
      <x:c r="H28" s="6" t="str">
        <x:v>Unknown</x:v>
      </x:c>
      <x:c r="I28" s="6" t="str"/>
      <x:c r="J28" s="6" t="str">
        <x:v>Unresolved</x:v>
      </x:c>
      <x:c r="K28" s="7" t="str">
        <x:v>Nocturnix_Master_Services_Catalog_v1.xlsx | 01 - Master Services | row 67</x:v>
      </x:c>
      <x:c r="L28" s="6" t="str"/>
      <x:c r="M28" s="6" t="str"/>
      <x:c r="N28" s="6" t="str">
        <x:v>Pending</x:v>
      </x:c>
      <x:c r="O28" s="7" t="str">
        <x:f>IF(OR(D28="Reviewer Complete",D28="Awaiting Second-Level Approval"),"","Service identity dependency unresolved")</x:f>
        <x:v>Service identity dependency unresolved</x:v>
      </x:c>
      <x:c r="P28" s="6" t="str">
        <x:v>Yes</x:v>
      </x:c>
      <x:c r="Q28" s="7" t="str"/>
    </x:row>
    <x:row r="29">
      <x:c r="A29" s="6" t="str">
        <x:v>PRTX-0028</x:v>
      </x:c>
      <x:c r="B29" s="6" t="str">
        <x:v>SVC000028</x:v>
      </x:c>
      <x:c r="C29" s="6" t="str">
        <x:v>SIDX-0028</x:v>
      </x:c>
      <x:c r="D29" s="6" t="str">
        <x:f>IFERROR(XLOOKUP(C29,'Review Sequence'!C2:C1586,'Review Sequence'!J2:J1586),"Dependency not found")</x:f>
        <x:v>Not Started</x:v>
      </x:c>
      <x:c r="E29" s="6" t="str"/>
      <x:c r="F29" s="6" t="str"/>
      <x:c r="G29" s="6" t="str"/>
      <x:c r="H29" s="6" t="str">
        <x:v>Unknown</x:v>
      </x:c>
      <x:c r="I29" s="6" t="str"/>
      <x:c r="J29" s="6" t="str">
        <x:v>Unresolved</x:v>
      </x:c>
      <x:c r="K29" s="7" t="str">
        <x:v>Nocturnix_Master_Services_Catalog_v1.xlsx | 01 - Master Services | row 68</x:v>
      </x:c>
      <x:c r="L29" s="6" t="str"/>
      <x:c r="M29" s="6" t="str"/>
      <x:c r="N29" s="6" t="str">
        <x:v>Pending</x:v>
      </x:c>
      <x:c r="O29" s="7" t="str">
        <x:f>IF(OR(D29="Reviewer Complete",D29="Awaiting Second-Level Approval"),"","Service identity dependency unresolved")</x:f>
        <x:v>Service identity dependency unresolved</x:v>
      </x:c>
      <x:c r="P29" s="6" t="str">
        <x:v>Yes</x:v>
      </x:c>
      <x:c r="Q29" s="7" t="str"/>
    </x:row>
    <x:row r="30">
      <x:c r="A30" s="6" t="str">
        <x:v>PRTX-0029</x:v>
      </x:c>
      <x:c r="B30" s="6" t="str">
        <x:v>SVC000029</x:v>
      </x:c>
      <x:c r="C30" s="6" t="str">
        <x:v>SIDX-0029</x:v>
      </x:c>
      <x:c r="D30" s="6" t="str">
        <x:f>IFERROR(XLOOKUP(C30,'Review Sequence'!C2:C1586,'Review Sequence'!J2:J1586),"Dependency not found")</x:f>
        <x:v>Not Started</x:v>
      </x:c>
      <x:c r="E30" s="6" t="str"/>
      <x:c r="F30" s="6" t="str"/>
      <x:c r="G30" s="6" t="str"/>
      <x:c r="H30" s="6" t="str">
        <x:v>Unknown</x:v>
      </x:c>
      <x:c r="I30" s="6" t="str"/>
      <x:c r="J30" s="6" t="str">
        <x:v>Unresolved</x:v>
      </x:c>
      <x:c r="K30" s="7" t="str">
        <x:v>Nocturnix_Master_Services_Catalog_v1.xlsx | 01 - Master Services | row 69</x:v>
      </x:c>
      <x:c r="L30" s="6" t="str"/>
      <x:c r="M30" s="6" t="str"/>
      <x:c r="N30" s="6" t="str">
        <x:v>Pending</x:v>
      </x:c>
      <x:c r="O30" s="7" t="str">
        <x:f>IF(OR(D30="Reviewer Complete",D30="Awaiting Second-Level Approval"),"","Service identity dependency unresolved")</x:f>
        <x:v>Service identity dependency unresolved</x:v>
      </x:c>
      <x:c r="P30" s="6" t="str">
        <x:v>Yes</x:v>
      </x:c>
      <x:c r="Q30" s="7" t="str"/>
    </x:row>
    <x:row r="31">
      <x:c r="A31" s="6" t="str">
        <x:v>PRTX-0030</x:v>
      </x:c>
      <x:c r="B31" s="6" t="str">
        <x:v>SVC000030</x:v>
      </x:c>
      <x:c r="C31" s="6" t="str">
        <x:v>SIDX-0030</x:v>
      </x:c>
      <x:c r="D31" s="6" t="str">
        <x:f>IFERROR(XLOOKUP(C31,'Review Sequence'!C2:C1586,'Review Sequence'!J2:J1586),"Dependency not found")</x:f>
        <x:v>Not Started</x:v>
      </x:c>
      <x:c r="E31" s="6" t="str"/>
      <x:c r="F31" s="6" t="str"/>
      <x:c r="G31" s="6" t="str"/>
      <x:c r="H31" s="6" t="str">
        <x:v>Unknown</x:v>
      </x:c>
      <x:c r="I31" s="6" t="str"/>
      <x:c r="J31" s="6" t="str">
        <x:v>Unresolved</x:v>
      </x:c>
      <x:c r="K31" s="7" t="str">
        <x:v>Nocturnix_Master_Services_Catalog_v1.xlsx | 01 - Master Services | row 70</x:v>
      </x:c>
      <x:c r="L31" s="6" t="str"/>
      <x:c r="M31" s="6" t="str"/>
      <x:c r="N31" s="6" t="str">
        <x:v>Pending</x:v>
      </x:c>
      <x:c r="O31" s="7" t="str">
        <x:f>IF(OR(D31="Reviewer Complete",D31="Awaiting Second-Level Approval"),"","Service identity dependency unresolved")</x:f>
        <x:v>Service identity dependency unresolved</x:v>
      </x:c>
      <x:c r="P31" s="6" t="str">
        <x:v>Yes</x:v>
      </x:c>
      <x:c r="Q31" s="7" t="str"/>
    </x:row>
    <x:row r="32">
      <x:c r="A32" s="6" t="str">
        <x:v>PRTX-0031</x:v>
      </x:c>
      <x:c r="B32" s="6" t="str">
        <x:v>SVC000031</x:v>
      </x:c>
      <x:c r="C32" s="6" t="str">
        <x:v>SIDX-0031</x:v>
      </x:c>
      <x:c r="D32" s="6" t="str">
        <x:f>IFERROR(XLOOKUP(C32,'Review Sequence'!C2:C1586,'Review Sequence'!J2:J1586),"Dependency not found")</x:f>
        <x:v>Not Started</x:v>
      </x:c>
      <x:c r="E32" s="6" t="str"/>
      <x:c r="F32" s="6" t="str"/>
      <x:c r="G32" s="6" t="str"/>
      <x:c r="H32" s="6" t="str">
        <x:v>Unknown</x:v>
      </x:c>
      <x:c r="I32" s="6" t="str"/>
      <x:c r="J32" s="6" t="str">
        <x:v>Unresolved</x:v>
      </x:c>
      <x:c r="K32" s="7" t="str">
        <x:v>Nocturnix_Master_Services_Catalog_v1.xlsx | 01 - Master Services | row 71</x:v>
      </x:c>
      <x:c r="L32" s="6" t="str"/>
      <x:c r="M32" s="6" t="str"/>
      <x:c r="N32" s="6" t="str">
        <x:v>Pending</x:v>
      </x:c>
      <x:c r="O32" s="7" t="str">
        <x:f>IF(OR(D32="Reviewer Complete",D32="Awaiting Second-Level Approval"),"","Service identity dependency unresolved")</x:f>
        <x:v>Service identity dependency unresolved</x:v>
      </x:c>
      <x:c r="P32" s="6" t="str">
        <x:v>Yes</x:v>
      </x:c>
      <x:c r="Q32" s="7" t="str"/>
    </x:row>
    <x:row r="33">
      <x:c r="A33" s="6" t="str">
        <x:v>PRTX-0032</x:v>
      </x:c>
      <x:c r="B33" s="6" t="str">
        <x:v>SVC000032</x:v>
      </x:c>
      <x:c r="C33" s="6" t="str">
        <x:v>SIDX-0032</x:v>
      </x:c>
      <x:c r="D33" s="6" t="str">
        <x:f>IFERROR(XLOOKUP(C33,'Review Sequence'!C2:C1586,'Review Sequence'!J2:J1586),"Dependency not found")</x:f>
        <x:v>Not Started</x:v>
      </x:c>
      <x:c r="E33" s="6" t="str"/>
      <x:c r="F33" s="6" t="str"/>
      <x:c r="G33" s="6" t="str"/>
      <x:c r="H33" s="6" t="str">
        <x:v>Unknown</x:v>
      </x:c>
      <x:c r="I33" s="6" t="str"/>
      <x:c r="J33" s="6" t="str">
        <x:v>Unresolved</x:v>
      </x:c>
      <x:c r="K33" s="7" t="str">
        <x:v>Nocturnix_Master_Services_Catalog_v1.xlsx | 01 - Master Services | row 72</x:v>
      </x:c>
      <x:c r="L33" s="6" t="str"/>
      <x:c r="M33" s="6" t="str"/>
      <x:c r="N33" s="6" t="str">
        <x:v>Pending</x:v>
      </x:c>
      <x:c r="O33" s="7" t="str">
        <x:f>IF(OR(D33="Reviewer Complete",D33="Awaiting Second-Level Approval"),"","Service identity dependency unresolved")</x:f>
        <x:v>Service identity dependency unresolved</x:v>
      </x:c>
      <x:c r="P33" s="6" t="str">
        <x:v>Yes</x:v>
      </x:c>
      <x:c r="Q33" s="7" t="str"/>
    </x:row>
    <x:row r="34">
      <x:c r="A34" s="6" t="str">
        <x:v>PRTX-0033</x:v>
      </x:c>
      <x:c r="B34" s="6" t="str">
        <x:v>SVC000033</x:v>
      </x:c>
      <x:c r="C34" s="6" t="str">
        <x:v>SIDX-0033</x:v>
      </x:c>
      <x:c r="D34" s="6" t="str">
        <x:f>IFERROR(XLOOKUP(C34,'Review Sequence'!C2:C1586,'Review Sequence'!J2:J1586),"Dependency not found")</x:f>
        <x:v>Not Started</x:v>
      </x:c>
      <x:c r="E34" s="6" t="str"/>
      <x:c r="F34" s="6" t="str"/>
      <x:c r="G34" s="6" t="str"/>
      <x:c r="H34" s="6" t="str">
        <x:v>Unknown</x:v>
      </x:c>
      <x:c r="I34" s="6" t="str"/>
      <x:c r="J34" s="6" t="str">
        <x:v>Unresolved</x:v>
      </x:c>
      <x:c r="K34" s="7" t="str">
        <x:v>Nocturnix_Master_Services_Catalog_v1.xlsx | 01 - Master Services | row 73</x:v>
      </x:c>
      <x:c r="L34" s="6" t="str"/>
      <x:c r="M34" s="6" t="str"/>
      <x:c r="N34" s="6" t="str">
        <x:v>Pending</x:v>
      </x:c>
      <x:c r="O34" s="7" t="str">
        <x:f>IF(OR(D34="Reviewer Complete",D34="Awaiting Second-Level Approval"),"","Service identity dependency unresolved")</x:f>
        <x:v>Service identity dependency unresolved</x:v>
      </x:c>
      <x:c r="P34" s="6" t="str">
        <x:v>Yes</x:v>
      </x:c>
      <x:c r="Q34" s="7" t="str"/>
    </x:row>
    <x:row r="35">
      <x:c r="A35" s="6" t="str">
        <x:v>PRTX-0034</x:v>
      </x:c>
      <x:c r="B35" s="6" t="str">
        <x:v>SVC000034</x:v>
      </x:c>
      <x:c r="C35" s="6" t="str">
        <x:v>SIDX-0034</x:v>
      </x:c>
      <x:c r="D35" s="6" t="str">
        <x:f>IFERROR(XLOOKUP(C35,'Review Sequence'!C2:C1586,'Review Sequence'!J2:J1586),"Dependency not found")</x:f>
        <x:v>Not Started</x:v>
      </x:c>
      <x:c r="E35" s="6" t="str"/>
      <x:c r="F35" s="6" t="str"/>
      <x:c r="G35" s="6" t="str"/>
      <x:c r="H35" s="6" t="str">
        <x:v>Unknown</x:v>
      </x:c>
      <x:c r="I35" s="6" t="str"/>
      <x:c r="J35" s="6" t="str">
        <x:v>Unresolved</x:v>
      </x:c>
      <x:c r="K35" s="7" t="str">
        <x:v>Nocturnix_Master_Services_Catalog_v1.xlsx | 01 - Master Services | row 74</x:v>
      </x:c>
      <x:c r="L35" s="6" t="str"/>
      <x:c r="M35" s="6" t="str"/>
      <x:c r="N35" s="6" t="str">
        <x:v>Pending</x:v>
      </x:c>
      <x:c r="O35" s="7" t="str">
        <x:f>IF(OR(D35="Reviewer Complete",D35="Awaiting Second-Level Approval"),"","Service identity dependency unresolved")</x:f>
        <x:v>Service identity dependency unresolved</x:v>
      </x:c>
      <x:c r="P35" s="6" t="str">
        <x:v>Yes</x:v>
      </x:c>
      <x:c r="Q35" s="7" t="str"/>
    </x:row>
    <x:row r="36">
      <x:c r="A36" s="6" t="str">
        <x:v>PRTX-0035</x:v>
      </x:c>
      <x:c r="B36" s="6" t="str">
        <x:v>SVC000035</x:v>
      </x:c>
      <x:c r="C36" s="6" t="str">
        <x:v>SIDX-0035</x:v>
      </x:c>
      <x:c r="D36" s="6" t="str">
        <x:f>IFERROR(XLOOKUP(C36,'Review Sequence'!C2:C1586,'Review Sequence'!J2:J1586),"Dependency not found")</x:f>
        <x:v>Not Started</x:v>
      </x:c>
      <x:c r="E36" s="6" t="str"/>
      <x:c r="F36" s="6" t="str"/>
      <x:c r="G36" s="6" t="str"/>
      <x:c r="H36" s="6" t="str">
        <x:v>Unknown</x:v>
      </x:c>
      <x:c r="I36" s="6" t="str"/>
      <x:c r="J36" s="6" t="str">
        <x:v>Unresolved</x:v>
      </x:c>
      <x:c r="K36" s="7" t="str">
        <x:v>Nocturnix_Master_Services_Catalog_v1.xlsx | 01 - Master Services | row 75</x:v>
      </x:c>
      <x:c r="L36" s="6" t="str"/>
      <x:c r="M36" s="6" t="str"/>
      <x:c r="N36" s="6" t="str">
        <x:v>Pending</x:v>
      </x:c>
      <x:c r="O36" s="7" t="str">
        <x:f>IF(OR(D36="Reviewer Complete",D36="Awaiting Second-Level Approval"),"","Service identity dependency unresolved")</x:f>
        <x:v>Service identity dependency unresolved</x:v>
      </x:c>
      <x:c r="P36" s="6" t="str">
        <x:v>Yes</x:v>
      </x:c>
      <x:c r="Q36" s="7" t="str"/>
    </x:row>
    <x:row r="37">
      <x:c r="A37" s="6" t="str">
        <x:v>PRTX-0036</x:v>
      </x:c>
      <x:c r="B37" s="6" t="str">
        <x:v>SVC000036</x:v>
      </x:c>
      <x:c r="C37" s="6" t="str">
        <x:v>SIDX-0036</x:v>
      </x:c>
      <x:c r="D37" s="6" t="str">
        <x:f>IFERROR(XLOOKUP(C37,'Review Sequence'!C2:C1586,'Review Sequence'!J2:J1586),"Dependency not found")</x:f>
        <x:v>Not Started</x:v>
      </x:c>
      <x:c r="E37" s="6" t="str"/>
      <x:c r="F37" s="6" t="str"/>
      <x:c r="G37" s="6" t="str"/>
      <x:c r="H37" s="6" t="str">
        <x:v>Unknown</x:v>
      </x:c>
      <x:c r="I37" s="6" t="str"/>
      <x:c r="J37" s="6" t="str">
        <x:v>Unresolved</x:v>
      </x:c>
      <x:c r="K37" s="7" t="str">
        <x:v>Nocturnix_Master_Services_Catalog_v1.xlsx | 01 - Master Services | row 76</x:v>
      </x:c>
      <x:c r="L37" s="6" t="str"/>
      <x:c r="M37" s="6" t="str"/>
      <x:c r="N37" s="6" t="str">
        <x:v>Pending</x:v>
      </x:c>
      <x:c r="O37" s="7" t="str">
        <x:f>IF(OR(D37="Reviewer Complete",D37="Awaiting Second-Level Approval"),"","Service identity dependency unresolved")</x:f>
        <x:v>Service identity dependency unresolved</x:v>
      </x:c>
      <x:c r="P37" s="6" t="str">
        <x:v>Yes</x:v>
      </x:c>
      <x:c r="Q37" s="7" t="str"/>
    </x:row>
    <x:row r="38">
      <x:c r="A38" s="6" t="str">
        <x:v>PRTX-0037</x:v>
      </x:c>
      <x:c r="B38" s="6" t="str">
        <x:v>SVC000037</x:v>
      </x:c>
      <x:c r="C38" s="6" t="str">
        <x:v>SIDX-0037</x:v>
      </x:c>
      <x:c r="D38" s="6" t="str">
        <x:f>IFERROR(XLOOKUP(C38,'Review Sequence'!C2:C1586,'Review Sequence'!J2:J1586),"Dependency not found")</x:f>
        <x:v>Not Started</x:v>
      </x:c>
      <x:c r="E38" s="6" t="str"/>
      <x:c r="F38" s="6" t="str"/>
      <x:c r="G38" s="6" t="str"/>
      <x:c r="H38" s="6" t="str">
        <x:v>Unknown</x:v>
      </x:c>
      <x:c r="I38" s="6" t="str"/>
      <x:c r="J38" s="6" t="str">
        <x:v>Unresolved</x:v>
      </x:c>
      <x:c r="K38" s="7" t="str">
        <x:v>Nocturnix_Master_Services_Catalog_v1.xlsx | 01 - Master Services | row 77</x:v>
      </x:c>
      <x:c r="L38" s="6" t="str"/>
      <x:c r="M38" s="6" t="str"/>
      <x:c r="N38" s="6" t="str">
        <x:v>Pending</x:v>
      </x:c>
      <x:c r="O38" s="7" t="str">
        <x:f>IF(OR(D38="Reviewer Complete",D38="Awaiting Second-Level Approval"),"","Service identity dependency unresolved")</x:f>
        <x:v>Service identity dependency unresolved</x:v>
      </x:c>
      <x:c r="P38" s="6" t="str">
        <x:v>Yes</x:v>
      </x:c>
      <x:c r="Q38" s="7" t="str"/>
    </x:row>
    <x:row r="39">
      <x:c r="A39" s="6" t="str">
        <x:v>PRTX-0038</x:v>
      </x:c>
      <x:c r="B39" s="6" t="str">
        <x:v>SVC000038</x:v>
      </x:c>
      <x:c r="C39" s="6" t="str">
        <x:v>SIDX-0038</x:v>
      </x:c>
      <x:c r="D39" s="6" t="str">
        <x:f>IFERROR(XLOOKUP(C39,'Review Sequence'!C2:C1586,'Review Sequence'!J2:J1586),"Dependency not found")</x:f>
        <x:v>Not Started</x:v>
      </x:c>
      <x:c r="E39" s="6" t="str"/>
      <x:c r="F39" s="6" t="str"/>
      <x:c r="G39" s="6" t="str"/>
      <x:c r="H39" s="6" t="str">
        <x:v>Unknown</x:v>
      </x:c>
      <x:c r="I39" s="6" t="str"/>
      <x:c r="J39" s="6" t="str">
        <x:v>Unresolved</x:v>
      </x:c>
      <x:c r="K39" s="7" t="str">
        <x:v>Nocturnix_Master_Services_Catalog_v1.xlsx | 01 - Master Services | row 78</x:v>
      </x:c>
      <x:c r="L39" s="6" t="str"/>
      <x:c r="M39" s="6" t="str"/>
      <x:c r="N39" s="6" t="str">
        <x:v>Pending</x:v>
      </x:c>
      <x:c r="O39" s="7" t="str">
        <x:f>IF(OR(D39="Reviewer Complete",D39="Awaiting Second-Level Approval"),"","Service identity dependency unresolved")</x:f>
        <x:v>Service identity dependency unresolved</x:v>
      </x:c>
      <x:c r="P39" s="6" t="str">
        <x:v>Yes</x:v>
      </x:c>
      <x:c r="Q39" s="7" t="str"/>
    </x:row>
    <x:row r="40">
      <x:c r="A40" s="6" t="str">
        <x:v>PRTX-0039</x:v>
      </x:c>
      <x:c r="B40" s="6" t="str">
        <x:v>SVC000039</x:v>
      </x:c>
      <x:c r="C40" s="6" t="str">
        <x:v>SIDX-0039</x:v>
      </x:c>
      <x:c r="D40" s="6" t="str">
        <x:f>IFERROR(XLOOKUP(C40,'Review Sequence'!C2:C1586,'Review Sequence'!J2:J1586),"Dependency not found")</x:f>
        <x:v>Not Started</x:v>
      </x:c>
      <x:c r="E40" s="6" t="str"/>
      <x:c r="F40" s="6" t="str"/>
      <x:c r="G40" s="6" t="str"/>
      <x:c r="H40" s="6" t="str">
        <x:v>Unknown</x:v>
      </x:c>
      <x:c r="I40" s="6" t="str"/>
      <x:c r="J40" s="6" t="str">
        <x:v>Unresolved</x:v>
      </x:c>
      <x:c r="K40" s="7" t="str">
        <x:v>Nocturnix_Master_Services_Catalog_v1.xlsx | 01 - Master Services | row 79</x:v>
      </x:c>
      <x:c r="L40" s="6" t="str"/>
      <x:c r="M40" s="6" t="str"/>
      <x:c r="N40" s="6" t="str">
        <x:v>Pending</x:v>
      </x:c>
      <x:c r="O40" s="7" t="str">
        <x:f>IF(OR(D40="Reviewer Complete",D40="Awaiting Second-Level Approval"),"","Service identity dependency unresolved")</x:f>
        <x:v>Service identity dependency unresolved</x:v>
      </x:c>
      <x:c r="P40" s="6" t="str">
        <x:v>Yes</x:v>
      </x:c>
      <x:c r="Q40" s="7" t="str"/>
    </x:row>
    <x:row r="41">
      <x:c r="A41" s="6" t="str">
        <x:v>PRTX-0040</x:v>
      </x:c>
      <x:c r="B41" s="6" t="str">
        <x:v>SVC000040</x:v>
      </x:c>
      <x:c r="C41" s="6" t="str">
        <x:v>SIDX-0040</x:v>
      </x:c>
      <x:c r="D41" s="6" t="str">
        <x:f>IFERROR(XLOOKUP(C41,'Review Sequence'!C2:C1586,'Review Sequence'!J2:J1586),"Dependency not found")</x:f>
        <x:v>Not Started</x:v>
      </x:c>
      <x:c r="E41" s="6" t="str"/>
      <x:c r="F41" s="6" t="str"/>
      <x:c r="G41" s="6" t="str"/>
      <x:c r="H41" s="6" t="str">
        <x:v>Unknown</x:v>
      </x:c>
      <x:c r="I41" s="6" t="str"/>
      <x:c r="J41" s="6" t="str">
        <x:v>Unresolved</x:v>
      </x:c>
      <x:c r="K41" s="7" t="str">
        <x:v>Nocturnix_Master_Services_Catalog_v1.xlsx | 01 - Master Services | row 80</x:v>
      </x:c>
      <x:c r="L41" s="6" t="str"/>
      <x:c r="M41" s="6" t="str"/>
      <x:c r="N41" s="6" t="str">
        <x:v>Pending</x:v>
      </x:c>
      <x:c r="O41" s="7" t="str">
        <x:f>IF(OR(D41="Reviewer Complete",D41="Awaiting Second-Level Approval"),"","Service identity dependency unresolved")</x:f>
        <x:v>Service identity dependency unresolved</x:v>
      </x:c>
      <x:c r="P41" s="6" t="str">
        <x:v>Yes</x:v>
      </x:c>
      <x:c r="Q41" s="7" t="str"/>
    </x:row>
    <x:row r="42">
      <x:c r="A42" s="6" t="str">
        <x:v>PRTX-0041</x:v>
      </x:c>
      <x:c r="B42" s="6" t="str">
        <x:v>SVC000041</x:v>
      </x:c>
      <x:c r="C42" s="6" t="str">
        <x:v>SIDX-0041</x:v>
      </x:c>
      <x:c r="D42" s="6" t="str">
        <x:f>IFERROR(XLOOKUP(C42,'Review Sequence'!C2:C1586,'Review Sequence'!J2:J1586),"Dependency not found")</x:f>
        <x:v>Not Started</x:v>
      </x:c>
      <x:c r="E42" s="6" t="str"/>
      <x:c r="F42" s="6" t="str"/>
      <x:c r="G42" s="6" t="str"/>
      <x:c r="H42" s="6" t="str">
        <x:v>Unknown</x:v>
      </x:c>
      <x:c r="I42" s="6" t="str"/>
      <x:c r="J42" s="6" t="str">
        <x:v>Unresolved</x:v>
      </x:c>
      <x:c r="K42" s="7" t="str">
        <x:v>Nocturnix_Master_Services_Catalog_v1.xlsx | 01 - Master Services | row 81</x:v>
      </x:c>
      <x:c r="L42" s="6" t="str"/>
      <x:c r="M42" s="6" t="str"/>
      <x:c r="N42" s="6" t="str">
        <x:v>Pending</x:v>
      </x:c>
      <x:c r="O42" s="7" t="str">
        <x:f>IF(OR(D42="Reviewer Complete",D42="Awaiting Second-Level Approval"),"","Service identity dependency unresolved")</x:f>
        <x:v>Service identity dependency unresolved</x:v>
      </x:c>
      <x:c r="P42" s="6" t="str">
        <x:v>Yes</x:v>
      </x:c>
      <x:c r="Q42" s="7" t="str"/>
    </x:row>
    <x:row r="43">
      <x:c r="A43" s="6" t="str">
        <x:v>PRTX-0042</x:v>
      </x:c>
      <x:c r="B43" s="6" t="str">
        <x:v>SVC000042</x:v>
      </x:c>
      <x:c r="C43" s="6" t="str">
        <x:v>SIDX-0042</x:v>
      </x:c>
      <x:c r="D43" s="6" t="str">
        <x:f>IFERROR(XLOOKUP(C43,'Review Sequence'!C2:C1586,'Review Sequence'!J2:J1586),"Dependency not found")</x:f>
        <x:v>Not Started</x:v>
      </x:c>
      <x:c r="E43" s="6" t="str"/>
      <x:c r="F43" s="6" t="str"/>
      <x:c r="G43" s="6" t="str"/>
      <x:c r="H43" s="6" t="str">
        <x:v>Unknown</x:v>
      </x:c>
      <x:c r="I43" s="6" t="str"/>
      <x:c r="J43" s="6" t="str">
        <x:v>Unresolved</x:v>
      </x:c>
      <x:c r="K43" s="7" t="str">
        <x:v>Nocturnix_Master_Services_Catalog_v1.xlsx | 01 - Master Services | row 82</x:v>
      </x:c>
      <x:c r="L43" s="6" t="str"/>
      <x:c r="M43" s="6" t="str"/>
      <x:c r="N43" s="6" t="str">
        <x:v>Pending</x:v>
      </x:c>
      <x:c r="O43" s="7" t="str">
        <x:f>IF(OR(D43="Reviewer Complete",D43="Awaiting Second-Level Approval"),"","Service identity dependency unresolved")</x:f>
        <x:v>Service identity dependency unresolved</x:v>
      </x:c>
      <x:c r="P43" s="6" t="str">
        <x:v>Yes</x:v>
      </x:c>
      <x:c r="Q43" s="7" t="str"/>
    </x:row>
    <x:row r="44">
      <x:c r="A44" s="6" t="str">
        <x:v>PRTX-0043</x:v>
      </x:c>
      <x:c r="B44" s="6" t="str">
        <x:v>SVC000043</x:v>
      </x:c>
      <x:c r="C44" s="6" t="str">
        <x:v>SIDX-0043</x:v>
      </x:c>
      <x:c r="D44" s="6" t="str">
        <x:f>IFERROR(XLOOKUP(C44,'Review Sequence'!C2:C1586,'Review Sequence'!J2:J1586),"Dependency not found")</x:f>
        <x:v>Not Started</x:v>
      </x:c>
      <x:c r="E44" s="6" t="str"/>
      <x:c r="F44" s="6" t="str"/>
      <x:c r="G44" s="6" t="str"/>
      <x:c r="H44" s="6" t="str">
        <x:v>Unknown</x:v>
      </x:c>
      <x:c r="I44" s="6" t="str"/>
      <x:c r="J44" s="6" t="str">
        <x:v>Unresolved</x:v>
      </x:c>
      <x:c r="K44" s="7" t="str">
        <x:v>Nocturnix_Master_Services_Catalog_v1.xlsx | 01 - Master Services | row 83</x:v>
      </x:c>
      <x:c r="L44" s="6" t="str"/>
      <x:c r="M44" s="6" t="str"/>
      <x:c r="N44" s="6" t="str">
        <x:v>Pending</x:v>
      </x:c>
      <x:c r="O44" s="7" t="str">
        <x:f>IF(OR(D44="Reviewer Complete",D44="Awaiting Second-Level Approval"),"","Service identity dependency unresolved")</x:f>
        <x:v>Service identity dependency unresolved</x:v>
      </x:c>
      <x:c r="P44" s="6" t="str">
        <x:v>Yes</x:v>
      </x:c>
      <x:c r="Q44" s="7" t="str"/>
    </x:row>
    <x:row r="45">
      <x:c r="A45" s="6" t="str">
        <x:v>PRTX-0044</x:v>
      </x:c>
      <x:c r="B45" s="6" t="str">
        <x:v>SVC000044</x:v>
      </x:c>
      <x:c r="C45" s="6" t="str">
        <x:v>SIDX-0044</x:v>
      </x:c>
      <x:c r="D45" s="6" t="str">
        <x:f>IFERROR(XLOOKUP(C45,'Review Sequence'!C2:C1586,'Review Sequence'!J2:J1586),"Dependency not found")</x:f>
        <x:v>Not Started</x:v>
      </x:c>
      <x:c r="E45" s="6" t="str"/>
      <x:c r="F45" s="6" t="str"/>
      <x:c r="G45" s="6" t="str"/>
      <x:c r="H45" s="6" t="str">
        <x:v>Unknown</x:v>
      </x:c>
      <x:c r="I45" s="6" t="str"/>
      <x:c r="J45" s="6" t="str">
        <x:v>Unresolved</x:v>
      </x:c>
      <x:c r="K45" s="7" t="str">
        <x:v>Nocturnix_Master_Services_Catalog_v1.xlsx | 01 - Master Services | row 84</x:v>
      </x:c>
      <x:c r="L45" s="6" t="str"/>
      <x:c r="M45" s="6" t="str"/>
      <x:c r="N45" s="6" t="str">
        <x:v>Pending</x:v>
      </x:c>
      <x:c r="O45" s="7" t="str">
        <x:f>IF(OR(D45="Reviewer Complete",D45="Awaiting Second-Level Approval"),"","Service identity dependency unresolved")</x:f>
        <x:v>Service identity dependency unresolved</x:v>
      </x:c>
      <x:c r="P45" s="6" t="str">
        <x:v>Yes</x:v>
      </x:c>
      <x:c r="Q45" s="7" t="str"/>
    </x:row>
    <x:row r="46">
      <x:c r="A46" s="6" t="str">
        <x:v>PRTX-0045</x:v>
      </x:c>
      <x:c r="B46" s="6" t="str">
        <x:v>SVC000045</x:v>
      </x:c>
      <x:c r="C46" s="6" t="str">
        <x:v>SIDX-0045</x:v>
      </x:c>
      <x:c r="D46" s="6" t="str">
        <x:f>IFERROR(XLOOKUP(C46,'Review Sequence'!C2:C1586,'Review Sequence'!J2:J1586),"Dependency not found")</x:f>
        <x:v>Not Started</x:v>
      </x:c>
      <x:c r="E46" s="6" t="str"/>
      <x:c r="F46" s="6" t="str"/>
      <x:c r="G46" s="6" t="str"/>
      <x:c r="H46" s="6" t="str">
        <x:v>Unknown</x:v>
      </x:c>
      <x:c r="I46" s="6" t="str"/>
      <x:c r="J46" s="6" t="str">
        <x:v>Unresolved</x:v>
      </x:c>
      <x:c r="K46" s="7" t="str">
        <x:v>Nocturnix_Master_Services_Catalog_v1.xlsx | 01 - Master Services | row 85</x:v>
      </x:c>
      <x:c r="L46" s="6" t="str"/>
      <x:c r="M46" s="6" t="str"/>
      <x:c r="N46" s="6" t="str">
        <x:v>Pending</x:v>
      </x:c>
      <x:c r="O46" s="7" t="str">
        <x:f>IF(OR(D46="Reviewer Complete",D46="Awaiting Second-Level Approval"),"","Service identity dependency unresolved")</x:f>
        <x:v>Service identity dependency unresolved</x:v>
      </x:c>
      <x:c r="P46" s="6" t="str">
        <x:v>Yes</x:v>
      </x:c>
      <x:c r="Q46" s="7" t="str"/>
    </x:row>
    <x:row r="47">
      <x:c r="A47" s="6" t="str">
        <x:v>PRTX-0046</x:v>
      </x:c>
      <x:c r="B47" s="6" t="str">
        <x:v>SVC000046</x:v>
      </x:c>
      <x:c r="C47" s="6" t="str">
        <x:v>SIDX-0046</x:v>
      </x:c>
      <x:c r="D47" s="6" t="str">
        <x:f>IFERROR(XLOOKUP(C47,'Review Sequence'!C2:C1586,'Review Sequence'!J2:J1586),"Dependency not found")</x:f>
        <x:v>Not Started</x:v>
      </x:c>
      <x:c r="E47" s="6" t="str"/>
      <x:c r="F47" s="6" t="str"/>
      <x:c r="G47" s="6" t="str"/>
      <x:c r="H47" s="6" t="str">
        <x:v>Unknown</x:v>
      </x:c>
      <x:c r="I47" s="6" t="str"/>
      <x:c r="J47" s="6" t="str">
        <x:v>Unresolved</x:v>
      </x:c>
      <x:c r="K47" s="7" t="str">
        <x:v>Nocturnix_Master_Services_Catalog_v1.xlsx | 01 - Master Services | row 86</x:v>
      </x:c>
      <x:c r="L47" s="6" t="str"/>
      <x:c r="M47" s="6" t="str"/>
      <x:c r="N47" s="6" t="str">
        <x:v>Pending</x:v>
      </x:c>
      <x:c r="O47" s="7" t="str">
        <x:f>IF(OR(D47="Reviewer Complete",D47="Awaiting Second-Level Approval"),"","Service identity dependency unresolved")</x:f>
        <x:v>Service identity dependency unresolved</x:v>
      </x:c>
      <x:c r="P47" s="6" t="str">
        <x:v>Yes</x:v>
      </x:c>
      <x:c r="Q47" s="7" t="str"/>
    </x:row>
    <x:row r="48">
      <x:c r="A48" s="6" t="str">
        <x:v>PRTX-0047</x:v>
      </x:c>
      <x:c r="B48" s="6" t="str">
        <x:v>SVC000047</x:v>
      </x:c>
      <x:c r="C48" s="6" t="str">
        <x:v>SIDX-0047</x:v>
      </x:c>
      <x:c r="D48" s="6" t="str">
        <x:f>IFERROR(XLOOKUP(C48,'Review Sequence'!C2:C1586,'Review Sequence'!J2:J1586),"Dependency not found")</x:f>
        <x:v>Not Started</x:v>
      </x:c>
      <x:c r="E48" s="6" t="str"/>
      <x:c r="F48" s="6" t="str"/>
      <x:c r="G48" s="6" t="str"/>
      <x:c r="H48" s="6" t="str">
        <x:v>Unknown</x:v>
      </x:c>
      <x:c r="I48" s="6" t="str"/>
      <x:c r="J48" s="6" t="str">
        <x:v>Unresolved</x:v>
      </x:c>
      <x:c r="K48" s="7" t="str">
        <x:v>Nocturnix_Master_Services_Catalog_v1.xlsx | 01 - Master Services | row 87</x:v>
      </x:c>
      <x:c r="L48" s="6" t="str"/>
      <x:c r="M48" s="6" t="str"/>
      <x:c r="N48" s="6" t="str">
        <x:v>Pending</x:v>
      </x:c>
      <x:c r="O48" s="7" t="str">
        <x:f>IF(OR(D48="Reviewer Complete",D48="Awaiting Second-Level Approval"),"","Service identity dependency unresolved")</x:f>
        <x:v>Service identity dependency unresolved</x:v>
      </x:c>
      <x:c r="P48" s="6" t="str">
        <x:v>Yes</x:v>
      </x:c>
      <x:c r="Q48" s="7" t="str"/>
    </x:row>
    <x:row r="49">
      <x:c r="A49" s="6" t="str">
        <x:v>PRTX-0048</x:v>
      </x:c>
      <x:c r="B49" s="6" t="str">
        <x:v>SVC000048</x:v>
      </x:c>
      <x:c r="C49" s="6" t="str">
        <x:v>SIDX-0048</x:v>
      </x:c>
      <x:c r="D49" s="6" t="str">
        <x:f>IFERROR(XLOOKUP(C49,'Review Sequence'!C2:C1586,'Review Sequence'!J2:J1586),"Dependency not found")</x:f>
        <x:v>Not Started</x:v>
      </x:c>
      <x:c r="E49" s="6" t="str"/>
      <x:c r="F49" s="6" t="str"/>
      <x:c r="G49" s="6" t="str"/>
      <x:c r="H49" s="6" t="str">
        <x:v>Unknown</x:v>
      </x:c>
      <x:c r="I49" s="6" t="str"/>
      <x:c r="J49" s="6" t="str">
        <x:v>Unresolved</x:v>
      </x:c>
      <x:c r="K49" s="7" t="str">
        <x:v>Nocturnix_Master_Services_Catalog_v1.xlsx | 01 - Master Services | row 88</x:v>
      </x:c>
      <x:c r="L49" s="6" t="str"/>
      <x:c r="M49" s="6" t="str"/>
      <x:c r="N49" s="6" t="str">
        <x:v>Pending</x:v>
      </x:c>
      <x:c r="O49" s="7" t="str">
        <x:f>IF(OR(D49="Reviewer Complete",D49="Awaiting Second-Level Approval"),"","Service identity dependency unresolved")</x:f>
        <x:v>Service identity dependency unresolved</x:v>
      </x:c>
      <x:c r="P49" s="6" t="str">
        <x:v>Yes</x:v>
      </x:c>
      <x:c r="Q49" s="7" t="str"/>
    </x:row>
    <x:row r="50">
      <x:c r="A50" s="6" t="str">
        <x:v>PRTX-0049</x:v>
      </x:c>
      <x:c r="B50" s="6" t="str">
        <x:v>SVC000049</x:v>
      </x:c>
      <x:c r="C50" s="6" t="str">
        <x:v>SIDX-0049</x:v>
      </x:c>
      <x:c r="D50" s="6" t="str">
        <x:f>IFERROR(XLOOKUP(C50,'Review Sequence'!C2:C1586,'Review Sequence'!J2:J1586),"Dependency not found")</x:f>
        <x:v>Not Started</x:v>
      </x:c>
      <x:c r="E50" s="6" t="str"/>
      <x:c r="F50" s="6" t="str"/>
      <x:c r="G50" s="6" t="str"/>
      <x:c r="H50" s="6" t="str">
        <x:v>Unknown</x:v>
      </x:c>
      <x:c r="I50" s="6" t="str"/>
      <x:c r="J50" s="6" t="str">
        <x:v>Unresolved</x:v>
      </x:c>
      <x:c r="K50" s="7" t="str">
        <x:v>Nocturnix_Master_Services_Catalog_v1.xlsx | 01 - Master Services | row 89</x:v>
      </x:c>
      <x:c r="L50" s="6" t="str"/>
      <x:c r="M50" s="6" t="str"/>
      <x:c r="N50" s="6" t="str">
        <x:v>Pending</x:v>
      </x:c>
      <x:c r="O50" s="7" t="str">
        <x:f>IF(OR(D50="Reviewer Complete",D50="Awaiting Second-Level Approval"),"","Service identity dependency unresolved")</x:f>
        <x:v>Service identity dependency unresolved</x:v>
      </x:c>
      <x:c r="P50" s="6" t="str">
        <x:v>Yes</x:v>
      </x:c>
      <x:c r="Q50" s="7" t="str"/>
    </x:row>
    <x:row r="51">
      <x:c r="A51" s="6" t="str">
        <x:v>PRTX-0050</x:v>
      </x:c>
      <x:c r="B51" s="6" t="str">
        <x:v>SVC000050</x:v>
      </x:c>
      <x:c r="C51" s="6" t="str">
        <x:v>SIDX-0050</x:v>
      </x:c>
      <x:c r="D51" s="6" t="str">
        <x:f>IFERROR(XLOOKUP(C51,'Review Sequence'!C2:C1586,'Review Sequence'!J2:J1586),"Dependency not found")</x:f>
        <x:v>Not Started</x:v>
      </x:c>
      <x:c r="E51" s="6" t="str"/>
      <x:c r="F51" s="6" t="str"/>
      <x:c r="G51" s="6" t="str"/>
      <x:c r="H51" s="6" t="str">
        <x:v>Unknown</x:v>
      </x:c>
      <x:c r="I51" s="6" t="str"/>
      <x:c r="J51" s="6" t="str">
        <x:v>Unresolved</x:v>
      </x:c>
      <x:c r="K51" s="7" t="str">
        <x:v>Nocturnix_Master_Services_Catalog_v1.xlsx | 01 - Master Services | row 90</x:v>
      </x:c>
      <x:c r="L51" s="6" t="str"/>
      <x:c r="M51" s="6" t="str"/>
      <x:c r="N51" s="6" t="str">
        <x:v>Pending</x:v>
      </x:c>
      <x:c r="O51" s="7" t="str">
        <x:f>IF(OR(D51="Reviewer Complete",D51="Awaiting Second-Level Approval"),"","Service identity dependency unresolved")</x:f>
        <x:v>Service identity dependency unresolved</x:v>
      </x:c>
      <x:c r="P51" s="6" t="str">
        <x:v>Yes</x:v>
      </x:c>
      <x:c r="Q51" s="7" t="str"/>
    </x:row>
    <x:row r="52">
      <x:c r="A52" s="6" t="str">
        <x:v>PRTX-0051</x:v>
      </x:c>
      <x:c r="B52" s="6" t="str">
        <x:v>SVC000051</x:v>
      </x:c>
      <x:c r="C52" s="6" t="str">
        <x:v>SIDX-0051</x:v>
      </x:c>
      <x:c r="D52" s="6" t="str">
        <x:f>IFERROR(XLOOKUP(C52,'Review Sequence'!C2:C1586,'Review Sequence'!J2:J1586),"Dependency not found")</x:f>
        <x:v>Not Started</x:v>
      </x:c>
      <x:c r="E52" s="6" t="str"/>
      <x:c r="F52" s="6" t="str"/>
      <x:c r="G52" s="6" t="str"/>
      <x:c r="H52" s="6" t="str">
        <x:v>Unknown</x:v>
      </x:c>
      <x:c r="I52" s="6" t="str"/>
      <x:c r="J52" s="6" t="str">
        <x:v>Unresolved</x:v>
      </x:c>
      <x:c r="K52" s="7" t="str">
        <x:v>Nocturnix_Master_Services_Catalog_v1.xlsx | 01 - Master Services | row 91</x:v>
      </x:c>
      <x:c r="L52" s="6" t="str"/>
      <x:c r="M52" s="6" t="str"/>
      <x:c r="N52" s="6" t="str">
        <x:v>Pending</x:v>
      </x:c>
      <x:c r="O52" s="7" t="str">
        <x:f>IF(OR(D52="Reviewer Complete",D52="Awaiting Second-Level Approval"),"","Service identity dependency unresolved")</x:f>
        <x:v>Service identity dependency unresolved</x:v>
      </x:c>
      <x:c r="P52" s="6" t="str">
        <x:v>Yes</x:v>
      </x:c>
      <x:c r="Q52" s="7" t="str"/>
    </x:row>
    <x:row r="53">
      <x:c r="A53" s="6" t="str">
        <x:v>PRTX-0052</x:v>
      </x:c>
      <x:c r="B53" s="6" t="str">
        <x:v>SVC000052</x:v>
      </x:c>
      <x:c r="C53" s="6" t="str">
        <x:v>SIDX-0052</x:v>
      </x:c>
      <x:c r="D53" s="6" t="str">
        <x:f>IFERROR(XLOOKUP(C53,'Review Sequence'!C2:C1586,'Review Sequence'!J2:J1586),"Dependency not found")</x:f>
        <x:v>Not Started</x:v>
      </x:c>
      <x:c r="E53" s="6" t="str"/>
      <x:c r="F53" s="6" t="str"/>
      <x:c r="G53" s="6" t="str"/>
      <x:c r="H53" s="6" t="str">
        <x:v>Unknown</x:v>
      </x:c>
      <x:c r="I53" s="6" t="str"/>
      <x:c r="J53" s="6" t="str">
        <x:v>Unresolved</x:v>
      </x:c>
      <x:c r="K53" s="7" t="str">
        <x:v>Nocturnix_Master_Services_Catalog_v1.xlsx | 01 - Master Services | row 92</x:v>
      </x:c>
      <x:c r="L53" s="6" t="str"/>
      <x:c r="M53" s="6" t="str"/>
      <x:c r="N53" s="6" t="str">
        <x:v>Pending</x:v>
      </x:c>
      <x:c r="O53" s="7" t="str">
        <x:f>IF(OR(D53="Reviewer Complete",D53="Awaiting Second-Level Approval"),"","Service identity dependency unresolved")</x:f>
        <x:v>Service identity dependency unresolved</x:v>
      </x:c>
      <x:c r="P53" s="6" t="str">
        <x:v>Yes</x:v>
      </x:c>
      <x:c r="Q53" s="7" t="str"/>
    </x:row>
    <x:row r="54">
      <x:c r="A54" s="6" t="str">
        <x:v>PRTX-0053</x:v>
      </x:c>
      <x:c r="B54" s="6" t="str">
        <x:v>SVC000053</x:v>
      </x:c>
      <x:c r="C54" s="6" t="str">
        <x:v>SIDX-0053</x:v>
      </x:c>
      <x:c r="D54" s="6" t="str">
        <x:f>IFERROR(XLOOKUP(C54,'Review Sequence'!C2:C1586,'Review Sequence'!J2:J1586),"Dependency not found")</x:f>
        <x:v>Not Started</x:v>
      </x:c>
      <x:c r="E54" s="6" t="str"/>
      <x:c r="F54" s="6" t="str"/>
      <x:c r="G54" s="6" t="str"/>
      <x:c r="H54" s="6" t="str">
        <x:v>Unknown</x:v>
      </x:c>
      <x:c r="I54" s="6" t="str"/>
      <x:c r="J54" s="6" t="str">
        <x:v>Unresolved</x:v>
      </x:c>
      <x:c r="K54" s="7" t="str">
        <x:v>Nocturnix_Master_Services_Catalog_v1.xlsx | 01 - Master Services | row 93</x:v>
      </x:c>
      <x:c r="L54" s="6" t="str"/>
      <x:c r="M54" s="6" t="str"/>
      <x:c r="N54" s="6" t="str">
        <x:v>Pending</x:v>
      </x:c>
      <x:c r="O54" s="7" t="str">
        <x:f>IF(OR(D54="Reviewer Complete",D54="Awaiting Second-Level Approval"),"","Service identity dependency unresolved")</x:f>
        <x:v>Service identity dependency unresolved</x:v>
      </x:c>
      <x:c r="P54" s="6" t="str">
        <x:v>Yes</x:v>
      </x:c>
      <x:c r="Q54" s="7" t="str"/>
    </x:row>
    <x:row r="55">
      <x:c r="A55" s="6" t="str">
        <x:v>PRTX-0054</x:v>
      </x:c>
      <x:c r="B55" s="6" t="str">
        <x:v>SVC000054</x:v>
      </x:c>
      <x:c r="C55" s="6" t="str">
        <x:v>SIDX-0054</x:v>
      </x:c>
      <x:c r="D55" s="6" t="str">
        <x:f>IFERROR(XLOOKUP(C55,'Review Sequence'!C2:C1586,'Review Sequence'!J2:J1586),"Dependency not found")</x:f>
        <x:v>Not Started</x:v>
      </x:c>
      <x:c r="E55" s="6" t="str"/>
      <x:c r="F55" s="6" t="str"/>
      <x:c r="G55" s="6" t="str"/>
      <x:c r="H55" s="6" t="str">
        <x:v>Unknown</x:v>
      </x:c>
      <x:c r="I55" s="6" t="str"/>
      <x:c r="J55" s="6" t="str">
        <x:v>Unresolved</x:v>
      </x:c>
      <x:c r="K55" s="7" t="str">
        <x:v>Nocturnix_Master_Services_Catalog_v1.xlsx | 01 - Master Services | row 94</x:v>
      </x:c>
      <x:c r="L55" s="6" t="str"/>
      <x:c r="M55" s="6" t="str"/>
      <x:c r="N55" s="6" t="str">
        <x:v>Pending</x:v>
      </x:c>
      <x:c r="O55" s="7" t="str">
        <x:f>IF(OR(D55="Reviewer Complete",D55="Awaiting Second-Level Approval"),"","Service identity dependency unresolved")</x:f>
        <x:v>Service identity dependency unresolved</x:v>
      </x:c>
      <x:c r="P55" s="6" t="str">
        <x:v>Yes</x:v>
      </x:c>
      <x:c r="Q55" s="7" t="str"/>
    </x:row>
    <x:row r="56">
      <x:c r="A56" s="6" t="str">
        <x:v>PRTX-0055</x:v>
      </x:c>
      <x:c r="B56" s="6" t="str">
        <x:v>SVC000055</x:v>
      </x:c>
      <x:c r="C56" s="6" t="str">
        <x:v>SIDX-0055</x:v>
      </x:c>
      <x:c r="D56" s="6" t="str">
        <x:f>IFERROR(XLOOKUP(C56,'Review Sequence'!C2:C1586,'Review Sequence'!J2:J1586),"Dependency not found")</x:f>
        <x:v>Not Started</x:v>
      </x:c>
      <x:c r="E56" s="6" t="str"/>
      <x:c r="F56" s="6" t="str"/>
      <x:c r="G56" s="6" t="str"/>
      <x:c r="H56" s="6" t="str">
        <x:v>Unknown</x:v>
      </x:c>
      <x:c r="I56" s="6" t="str"/>
      <x:c r="J56" s="6" t="str">
        <x:v>Unresolved</x:v>
      </x:c>
      <x:c r="K56" s="7" t="str">
        <x:v>Nocturnix_Master_Services_Catalog_v1.xlsx | 01 - Master Services | row 95</x:v>
      </x:c>
      <x:c r="L56" s="6" t="str"/>
      <x:c r="M56" s="6" t="str"/>
      <x:c r="N56" s="6" t="str">
        <x:v>Pending</x:v>
      </x:c>
      <x:c r="O56" s="7" t="str">
        <x:f>IF(OR(D56="Reviewer Complete",D56="Awaiting Second-Level Approval"),"","Service identity dependency unresolved")</x:f>
        <x:v>Service identity dependency unresolved</x:v>
      </x:c>
      <x:c r="P56" s="6" t="str">
        <x:v>Yes</x:v>
      </x:c>
      <x:c r="Q56" s="7" t="str"/>
    </x:row>
    <x:row r="57">
      <x:c r="A57" s="6" t="str">
        <x:v>PRTX-0056</x:v>
      </x:c>
      <x:c r="B57" s="6" t="str">
        <x:v>SVC000056</x:v>
      </x:c>
      <x:c r="C57" s="6" t="str">
        <x:v>SIDX-0056</x:v>
      </x:c>
      <x:c r="D57" s="6" t="str">
        <x:f>IFERROR(XLOOKUP(C57,'Review Sequence'!C2:C1586,'Review Sequence'!J2:J1586),"Dependency not found")</x:f>
        <x:v>Not Started</x:v>
      </x:c>
      <x:c r="E57" s="6" t="str"/>
      <x:c r="F57" s="6" t="str"/>
      <x:c r="G57" s="6" t="str"/>
      <x:c r="H57" s="6" t="str">
        <x:v>Unknown</x:v>
      </x:c>
      <x:c r="I57" s="6" t="str"/>
      <x:c r="J57" s="6" t="str">
        <x:v>Unresolved</x:v>
      </x:c>
      <x:c r="K57" s="7" t="str">
        <x:v>Nocturnix_Master_Services_Catalog_v1.xlsx | 01 - Master Services | row 96</x:v>
      </x:c>
      <x:c r="L57" s="6" t="str"/>
      <x:c r="M57" s="6" t="str"/>
      <x:c r="N57" s="6" t="str">
        <x:v>Pending</x:v>
      </x:c>
      <x:c r="O57" s="7" t="str">
        <x:f>IF(OR(D57="Reviewer Complete",D57="Awaiting Second-Level Approval"),"","Service identity dependency unresolved")</x:f>
        <x:v>Service identity dependency unresolved</x:v>
      </x:c>
      <x:c r="P57" s="6" t="str">
        <x:v>Yes</x:v>
      </x:c>
      <x:c r="Q57" s="7" t="str"/>
    </x:row>
    <x:row r="58">
      <x:c r="A58" s="6" t="str">
        <x:v>PRTX-0057</x:v>
      </x:c>
      <x:c r="B58" s="6" t="str">
        <x:v>SVC000057</x:v>
      </x:c>
      <x:c r="C58" s="6" t="str">
        <x:v>SIDX-0057</x:v>
      </x:c>
      <x:c r="D58" s="6" t="str">
        <x:f>IFERROR(XLOOKUP(C58,'Review Sequence'!C2:C1586,'Review Sequence'!J2:J1586),"Dependency not found")</x:f>
        <x:v>Not Started</x:v>
      </x:c>
      <x:c r="E58" s="6" t="str"/>
      <x:c r="F58" s="6" t="str"/>
      <x:c r="G58" s="6" t="str"/>
      <x:c r="H58" s="6" t="str">
        <x:v>Unknown</x:v>
      </x:c>
      <x:c r="I58" s="6" t="str"/>
      <x:c r="J58" s="6" t="str">
        <x:v>Unresolved</x:v>
      </x:c>
      <x:c r="K58" s="7" t="str">
        <x:v>Nocturnix_Master_Services_Catalog_v1.xlsx | 01 - Master Services | row 97</x:v>
      </x:c>
      <x:c r="L58" s="6" t="str"/>
      <x:c r="M58" s="6" t="str"/>
      <x:c r="N58" s="6" t="str">
        <x:v>Pending</x:v>
      </x:c>
      <x:c r="O58" s="7" t="str">
        <x:f>IF(OR(D58="Reviewer Complete",D58="Awaiting Second-Level Approval"),"","Service identity dependency unresolved")</x:f>
        <x:v>Service identity dependency unresolved</x:v>
      </x:c>
      <x:c r="P58" s="6" t="str">
        <x:v>Yes</x:v>
      </x:c>
      <x:c r="Q58" s="7" t="str"/>
    </x:row>
    <x:row r="59">
      <x:c r="A59" s="6" t="str">
        <x:v>PRTX-0058</x:v>
      </x:c>
      <x:c r="B59" s="6" t="str">
        <x:v>SVC000058</x:v>
      </x:c>
      <x:c r="C59" s="6" t="str">
        <x:v>SIDX-0058</x:v>
      </x:c>
      <x:c r="D59" s="6" t="str">
        <x:f>IFERROR(XLOOKUP(C59,'Review Sequence'!C2:C1586,'Review Sequence'!J2:J1586),"Dependency not found")</x:f>
        <x:v>Not Started</x:v>
      </x:c>
      <x:c r="E59" s="6" t="str"/>
      <x:c r="F59" s="6" t="str"/>
      <x:c r="G59" s="6" t="str"/>
      <x:c r="H59" s="6" t="str">
        <x:v>Unknown</x:v>
      </x:c>
      <x:c r="I59" s="6" t="str"/>
      <x:c r="J59" s="6" t="str">
        <x:v>Unresolved</x:v>
      </x:c>
      <x:c r="K59" s="7" t="str">
        <x:v>Nocturnix_Master_Services_Catalog_v1.xlsx | 01 - Master Services | row 98</x:v>
      </x:c>
      <x:c r="L59" s="6" t="str"/>
      <x:c r="M59" s="6" t="str"/>
      <x:c r="N59" s="6" t="str">
        <x:v>Pending</x:v>
      </x:c>
      <x:c r="O59" s="7" t="str">
        <x:f>IF(OR(D59="Reviewer Complete",D59="Awaiting Second-Level Approval"),"","Service identity dependency unresolved")</x:f>
        <x:v>Service identity dependency unresolved</x:v>
      </x:c>
      <x:c r="P59" s="6" t="str">
        <x:v>Yes</x:v>
      </x:c>
      <x:c r="Q59" s="7" t="str"/>
    </x:row>
    <x:row r="60">
      <x:c r="A60" s="6" t="str">
        <x:v>PRTX-0059</x:v>
      </x:c>
      <x:c r="B60" s="6" t="str">
        <x:v>SVC000059</x:v>
      </x:c>
      <x:c r="C60" s="6" t="str">
        <x:v>SIDX-0059</x:v>
      </x:c>
      <x:c r="D60" s="6" t="str">
        <x:f>IFERROR(XLOOKUP(C60,'Review Sequence'!C2:C1586,'Review Sequence'!J2:J1586),"Dependency not found")</x:f>
        <x:v>Not Started</x:v>
      </x:c>
      <x:c r="E60" s="6" t="str"/>
      <x:c r="F60" s="6" t="str"/>
      <x:c r="G60" s="6" t="str"/>
      <x:c r="H60" s="6" t="str">
        <x:v>Unknown</x:v>
      </x:c>
      <x:c r="I60" s="6" t="str"/>
      <x:c r="J60" s="6" t="str">
        <x:v>Unresolved</x:v>
      </x:c>
      <x:c r="K60" s="7" t="str">
        <x:v>Nocturnix_Master_Services_Catalog_v1.xlsx | 01 - Master Services | row 99</x:v>
      </x:c>
      <x:c r="L60" s="6" t="str"/>
      <x:c r="M60" s="6" t="str"/>
      <x:c r="N60" s="6" t="str">
        <x:v>Pending</x:v>
      </x:c>
      <x:c r="O60" s="7" t="str">
        <x:f>IF(OR(D60="Reviewer Complete",D60="Awaiting Second-Level Approval"),"","Service identity dependency unresolved")</x:f>
        <x:v>Service identity dependency unresolved</x:v>
      </x:c>
      <x:c r="P60" s="6" t="str">
        <x:v>Yes</x:v>
      </x:c>
      <x:c r="Q60" s="7" t="str"/>
    </x:row>
    <x:row r="61">
      <x:c r="A61" s="6" t="str">
        <x:v>PRTX-0060</x:v>
      </x:c>
      <x:c r="B61" s="6" t="str">
        <x:v>SVC000060</x:v>
      </x:c>
      <x:c r="C61" s="6" t="str">
        <x:v>SIDX-0060</x:v>
      </x:c>
      <x:c r="D61" s="6" t="str">
        <x:f>IFERROR(XLOOKUP(C61,'Review Sequence'!C2:C1586,'Review Sequence'!J2:J1586),"Dependency not found")</x:f>
        <x:v>Not Started</x:v>
      </x:c>
      <x:c r="E61" s="6" t="str"/>
      <x:c r="F61" s="6" t="str"/>
      <x:c r="G61" s="6" t="str"/>
      <x:c r="H61" s="6" t="str">
        <x:v>Unknown</x:v>
      </x:c>
      <x:c r="I61" s="6" t="str"/>
      <x:c r="J61" s="6" t="str">
        <x:v>Unresolved</x:v>
      </x:c>
      <x:c r="K61" s="7" t="str">
        <x:v>Nocturnix_Master_Services_Catalog_v1.xlsx | 01 - Master Services | row 100</x:v>
      </x:c>
      <x:c r="L61" s="6" t="str"/>
      <x:c r="M61" s="6" t="str"/>
      <x:c r="N61" s="6" t="str">
        <x:v>Pending</x:v>
      </x:c>
      <x:c r="O61" s="7" t="str">
        <x:f>IF(OR(D61="Reviewer Complete",D61="Awaiting Second-Level Approval"),"","Service identity dependency unresolved")</x:f>
        <x:v>Service identity dependency unresolved</x:v>
      </x:c>
      <x:c r="P61" s="6" t="str">
        <x:v>Yes</x:v>
      </x:c>
      <x:c r="Q61" s="7" t="str"/>
    </x:row>
    <x:row r="62">
      <x:c r="A62" s="6" t="str">
        <x:v>PRTX-0061</x:v>
      </x:c>
      <x:c r="B62" s="6" t="str">
        <x:v>SVC000061</x:v>
      </x:c>
      <x:c r="C62" s="6" t="str">
        <x:v>SIDX-0061</x:v>
      </x:c>
      <x:c r="D62" s="6" t="str">
        <x:f>IFERROR(XLOOKUP(C62,'Review Sequence'!C2:C1586,'Review Sequence'!J2:J1586),"Dependency not found")</x:f>
        <x:v>Not Started</x:v>
      </x:c>
      <x:c r="E62" s="6" t="str"/>
      <x:c r="F62" s="6" t="str"/>
      <x:c r="G62" s="6" t="str"/>
      <x:c r="H62" s="6" t="str">
        <x:v>Unknown</x:v>
      </x:c>
      <x:c r="I62" s="6" t="str"/>
      <x:c r="J62" s="6" t="str">
        <x:v>Unresolved</x:v>
      </x:c>
      <x:c r="K62" s="7" t="str">
        <x:v>Nocturnix_Master_Services_Catalog_v1.xlsx | 01 - Master Services | row 101</x:v>
      </x:c>
      <x:c r="L62" s="6" t="str"/>
      <x:c r="M62" s="6" t="str"/>
      <x:c r="N62" s="6" t="str">
        <x:v>Pending</x:v>
      </x:c>
      <x:c r="O62" s="7" t="str">
        <x:f>IF(OR(D62="Reviewer Complete",D62="Awaiting Second-Level Approval"),"","Service identity dependency unresolved")</x:f>
        <x:v>Service identity dependency unresolved</x:v>
      </x:c>
      <x:c r="P62" s="6" t="str">
        <x:v>Yes</x:v>
      </x:c>
      <x:c r="Q62" s="7" t="str"/>
    </x:row>
    <x:row r="63">
      <x:c r="A63" s="6" t="str">
        <x:v>PRTX-0062</x:v>
      </x:c>
      <x:c r="B63" s="6" t="str">
        <x:v>SVC000062</x:v>
      </x:c>
      <x:c r="C63" s="6" t="str">
        <x:v>SIDX-0062</x:v>
      </x:c>
      <x:c r="D63" s="6" t="str">
        <x:f>IFERROR(XLOOKUP(C63,'Review Sequence'!C2:C1586,'Review Sequence'!J2:J1586),"Dependency not found")</x:f>
        <x:v>Not Started</x:v>
      </x:c>
      <x:c r="E63" s="6" t="str"/>
      <x:c r="F63" s="6" t="str"/>
      <x:c r="G63" s="6" t="str"/>
      <x:c r="H63" s="6" t="str">
        <x:v>Unknown</x:v>
      </x:c>
      <x:c r="I63" s="6" t="str"/>
      <x:c r="J63" s="6" t="str">
        <x:v>Unresolved</x:v>
      </x:c>
      <x:c r="K63" s="7" t="str">
        <x:v>Nocturnix_Master_Services_Catalog_v1.xlsx | 01 - Master Services | row 102</x:v>
      </x:c>
      <x:c r="L63" s="6" t="str"/>
      <x:c r="M63" s="6" t="str"/>
      <x:c r="N63" s="6" t="str">
        <x:v>Pending</x:v>
      </x:c>
      <x:c r="O63" s="7" t="str">
        <x:f>IF(OR(D63="Reviewer Complete",D63="Awaiting Second-Level Approval"),"","Service identity dependency unresolved")</x:f>
        <x:v>Service identity dependency unresolved</x:v>
      </x:c>
      <x:c r="P63" s="6" t="str">
        <x:v>Yes</x:v>
      </x:c>
      <x:c r="Q63" s="7" t="str"/>
    </x:row>
    <x:row r="64">
      <x:c r="A64" s="6" t="str">
        <x:v>PRTX-0063</x:v>
      </x:c>
      <x:c r="B64" s="6" t="str">
        <x:v>SVC000063</x:v>
      </x:c>
      <x:c r="C64" s="6" t="str">
        <x:v>SIDX-0063</x:v>
      </x:c>
      <x:c r="D64" s="6" t="str">
        <x:f>IFERROR(XLOOKUP(C64,'Review Sequence'!C2:C1586,'Review Sequence'!J2:J1586),"Dependency not found")</x:f>
        <x:v>Not Started</x:v>
      </x:c>
      <x:c r="E64" s="6" t="str"/>
      <x:c r="F64" s="6" t="str"/>
      <x:c r="G64" s="6" t="str"/>
      <x:c r="H64" s="6" t="str">
        <x:v>Unknown</x:v>
      </x:c>
      <x:c r="I64" s="6" t="str"/>
      <x:c r="J64" s="6" t="str">
        <x:v>Unresolved</x:v>
      </x:c>
      <x:c r="K64" s="7" t="str">
        <x:v>Nocturnix_Master_Services_Catalog_v1.xlsx | 01 - Master Services | row 103</x:v>
      </x:c>
      <x:c r="L64" s="6" t="str"/>
      <x:c r="M64" s="6" t="str"/>
      <x:c r="N64" s="6" t="str">
        <x:v>Pending</x:v>
      </x:c>
      <x:c r="O64" s="7" t="str">
        <x:f>IF(OR(D64="Reviewer Complete",D64="Awaiting Second-Level Approval"),"","Service identity dependency unresolved")</x:f>
        <x:v>Service identity dependency unresolved</x:v>
      </x:c>
      <x:c r="P64" s="6" t="str">
        <x:v>Yes</x:v>
      </x:c>
      <x:c r="Q64" s="7" t="str"/>
    </x:row>
    <x:row r="65">
      <x:c r="A65" s="6" t="str">
        <x:v>PRTX-0064</x:v>
      </x:c>
      <x:c r="B65" s="6" t="str">
        <x:v>SVC000064</x:v>
      </x:c>
      <x:c r="C65" s="6" t="str">
        <x:v>SIDX-0064</x:v>
      </x:c>
      <x:c r="D65" s="6" t="str">
        <x:f>IFERROR(XLOOKUP(C65,'Review Sequence'!C2:C1586,'Review Sequence'!J2:J1586),"Dependency not found")</x:f>
        <x:v>Not Started</x:v>
      </x:c>
      <x:c r="E65" s="6" t="str"/>
      <x:c r="F65" s="6" t="str"/>
      <x:c r="G65" s="6" t="str"/>
      <x:c r="H65" s="6" t="str">
        <x:v>Unknown</x:v>
      </x:c>
      <x:c r="I65" s="6" t="str"/>
      <x:c r="J65" s="6" t="str">
        <x:v>Unresolved</x:v>
      </x:c>
      <x:c r="K65" s="7" t="str">
        <x:v>Nocturnix_Master_Services_Catalog_v1.xlsx | 01 - Master Services | row 104</x:v>
      </x:c>
      <x:c r="L65" s="6" t="str"/>
      <x:c r="M65" s="6" t="str"/>
      <x:c r="N65" s="6" t="str">
        <x:v>Pending</x:v>
      </x:c>
      <x:c r="O65" s="7" t="str">
        <x:f>IF(OR(D65="Reviewer Complete",D65="Awaiting Second-Level Approval"),"","Service identity dependency unresolved")</x:f>
        <x:v>Service identity dependency unresolved</x:v>
      </x:c>
      <x:c r="P65" s="6" t="str">
        <x:v>Yes</x:v>
      </x:c>
      <x:c r="Q65" s="7" t="str"/>
    </x:row>
    <x:row r="66">
      <x:c r="A66" s="6" t="str">
        <x:v>PRTX-0065</x:v>
      </x:c>
      <x:c r="B66" s="6" t="str">
        <x:v>SVC000065</x:v>
      </x:c>
      <x:c r="C66" s="6" t="str">
        <x:v>SIDX-0065</x:v>
      </x:c>
      <x:c r="D66" s="6" t="str">
        <x:f>IFERROR(XLOOKUP(C66,'Review Sequence'!C2:C1586,'Review Sequence'!J2:J1586),"Dependency not found")</x:f>
        <x:v>Not Started</x:v>
      </x:c>
      <x:c r="E66" s="6" t="str"/>
      <x:c r="F66" s="6" t="str"/>
      <x:c r="G66" s="6" t="str"/>
      <x:c r="H66" s="6" t="str">
        <x:v>Unknown</x:v>
      </x:c>
      <x:c r="I66" s="6" t="str"/>
      <x:c r="J66" s="6" t="str">
        <x:v>Unresolved</x:v>
      </x:c>
      <x:c r="K66" s="7" t="str">
        <x:v>Nocturnix_Master_Services_Catalog_v1.xlsx | 01 - Master Services | row 105</x:v>
      </x:c>
      <x:c r="L66" s="6" t="str"/>
      <x:c r="M66" s="6" t="str"/>
      <x:c r="N66" s="6" t="str">
        <x:v>Pending</x:v>
      </x:c>
      <x:c r="O66" s="7" t="str">
        <x:f>IF(OR(D66="Reviewer Complete",D66="Awaiting Second-Level Approval"),"","Service identity dependency unresolved")</x:f>
        <x:v>Service identity dependency unresolved</x:v>
      </x:c>
      <x:c r="P66" s="6" t="str">
        <x:v>Yes</x:v>
      </x:c>
      <x:c r="Q66" s="7" t="str"/>
    </x:row>
    <x:row r="67">
      <x:c r="A67" s="6" t="str">
        <x:v>PRTX-0066</x:v>
      </x:c>
      <x:c r="B67" s="6" t="str">
        <x:v>SVC000066</x:v>
      </x:c>
      <x:c r="C67" s="6" t="str">
        <x:v>SIDX-0066</x:v>
      </x:c>
      <x:c r="D67" s="6" t="str">
        <x:f>IFERROR(XLOOKUP(C67,'Review Sequence'!C2:C1586,'Review Sequence'!J2:J1586),"Dependency not found")</x:f>
        <x:v>Not Started</x:v>
      </x:c>
      <x:c r="E67" s="6" t="str"/>
      <x:c r="F67" s="6" t="str"/>
      <x:c r="G67" s="6" t="str"/>
      <x:c r="H67" s="6" t="str">
        <x:v>Unknown</x:v>
      </x:c>
      <x:c r="I67" s="6" t="str"/>
      <x:c r="J67" s="6" t="str">
        <x:v>Unresolved</x:v>
      </x:c>
      <x:c r="K67" s="7" t="str">
        <x:v>Nocturnix_Master_Services_Catalog_v1.xlsx | 01 - Master Services | row 106</x:v>
      </x:c>
      <x:c r="L67" s="6" t="str"/>
      <x:c r="M67" s="6" t="str"/>
      <x:c r="N67" s="6" t="str">
        <x:v>Pending</x:v>
      </x:c>
      <x:c r="O67" s="7" t="str">
        <x:f>IF(OR(D67="Reviewer Complete",D67="Awaiting Second-Level Approval"),"","Service identity dependency unresolved")</x:f>
        <x:v>Service identity dependency unresolved</x:v>
      </x:c>
      <x:c r="P67" s="6" t="str">
        <x:v>Yes</x:v>
      </x:c>
      <x:c r="Q67" s="7" t="str"/>
    </x:row>
    <x:row r="68">
      <x:c r="A68" s="6" t="str">
        <x:v>PRTX-0067</x:v>
      </x:c>
      <x:c r="B68" s="6" t="str">
        <x:v>SVC000067</x:v>
      </x:c>
      <x:c r="C68" s="6" t="str">
        <x:v>SIDX-0067</x:v>
      </x:c>
      <x:c r="D68" s="6" t="str">
        <x:f>IFERROR(XLOOKUP(C68,'Review Sequence'!C2:C1586,'Review Sequence'!J2:J1586),"Dependency not found")</x:f>
        <x:v>Not Started</x:v>
      </x:c>
      <x:c r="E68" s="6" t="str"/>
      <x:c r="F68" s="6" t="str"/>
      <x:c r="G68" s="6" t="str"/>
      <x:c r="H68" s="6" t="str">
        <x:v>Unknown</x:v>
      </x:c>
      <x:c r="I68" s="6" t="str"/>
      <x:c r="J68" s="6" t="str">
        <x:v>Unresolved</x:v>
      </x:c>
      <x:c r="K68" s="7" t="str">
        <x:v>Nocturnix_Master_Services_Catalog_v1.xlsx | 01 - Master Services | row 107</x:v>
      </x:c>
      <x:c r="L68" s="6" t="str"/>
      <x:c r="M68" s="6" t="str"/>
      <x:c r="N68" s="6" t="str">
        <x:v>Pending</x:v>
      </x:c>
      <x:c r="O68" s="7" t="str">
        <x:f>IF(OR(D68="Reviewer Complete",D68="Awaiting Second-Level Approval"),"","Service identity dependency unresolved")</x:f>
        <x:v>Service identity dependency unresolved</x:v>
      </x:c>
      <x:c r="P68" s="6" t="str">
        <x:v>Yes</x:v>
      </x:c>
      <x:c r="Q68" s="7" t="str"/>
    </x:row>
    <x:row r="69">
      <x:c r="A69" s="6" t="str">
        <x:v>PRTX-0068</x:v>
      </x:c>
      <x:c r="B69" s="6" t="str">
        <x:v>SVC000068</x:v>
      </x:c>
      <x:c r="C69" s="6" t="str">
        <x:v>SIDX-0068</x:v>
      </x:c>
      <x:c r="D69" s="6" t="str">
        <x:f>IFERROR(XLOOKUP(C69,'Review Sequence'!C2:C1586,'Review Sequence'!J2:J1586),"Dependency not found")</x:f>
        <x:v>Not Started</x:v>
      </x:c>
      <x:c r="E69" s="6" t="str"/>
      <x:c r="F69" s="6" t="str"/>
      <x:c r="G69" s="6" t="str"/>
      <x:c r="H69" s="6" t="str">
        <x:v>Unknown</x:v>
      </x:c>
      <x:c r="I69" s="6" t="str"/>
      <x:c r="J69" s="6" t="str">
        <x:v>Unresolved</x:v>
      </x:c>
      <x:c r="K69" s="7" t="str">
        <x:v>Nocturnix_Master_Services_Catalog_v1.xlsx | 01 - Master Services | row 108</x:v>
      </x:c>
      <x:c r="L69" s="6" t="str"/>
      <x:c r="M69" s="6" t="str"/>
      <x:c r="N69" s="6" t="str">
        <x:v>Pending</x:v>
      </x:c>
      <x:c r="O69" s="7" t="str">
        <x:f>IF(OR(D69="Reviewer Complete",D69="Awaiting Second-Level Approval"),"","Service identity dependency unresolved")</x:f>
        <x:v>Service identity dependency unresolved</x:v>
      </x:c>
      <x:c r="P69" s="6" t="str">
        <x:v>Yes</x:v>
      </x:c>
      <x:c r="Q69" s="7" t="str"/>
    </x:row>
    <x:row r="70">
      <x:c r="A70" s="6" t="str">
        <x:v>PRTX-0069</x:v>
      </x:c>
      <x:c r="B70" s="6" t="str">
        <x:v>SVC000069</x:v>
      </x:c>
      <x:c r="C70" s="6" t="str">
        <x:v>SIDX-0069</x:v>
      </x:c>
      <x:c r="D70" s="6" t="str">
        <x:f>IFERROR(XLOOKUP(C70,'Review Sequence'!C2:C1586,'Review Sequence'!J2:J1586),"Dependency not found")</x:f>
        <x:v>Not Started</x:v>
      </x:c>
      <x:c r="E70" s="6" t="str"/>
      <x:c r="F70" s="6" t="str"/>
      <x:c r="G70" s="6" t="str"/>
      <x:c r="H70" s="6" t="str">
        <x:v>Unknown</x:v>
      </x:c>
      <x:c r="I70" s="6" t="str"/>
      <x:c r="J70" s="6" t="str">
        <x:v>Unresolved</x:v>
      </x:c>
      <x:c r="K70" s="7" t="str">
        <x:v>Nocturnix_Master_Services_Catalog_v1.xlsx | 01 - Master Services | row 109</x:v>
      </x:c>
      <x:c r="L70" s="6" t="str"/>
      <x:c r="M70" s="6" t="str"/>
      <x:c r="N70" s="6" t="str">
        <x:v>Pending</x:v>
      </x:c>
      <x:c r="O70" s="7" t="str">
        <x:f>IF(OR(D70="Reviewer Complete",D70="Awaiting Second-Level Approval"),"","Service identity dependency unresolved")</x:f>
        <x:v>Service identity dependency unresolved</x:v>
      </x:c>
      <x:c r="P70" s="6" t="str">
        <x:v>Yes</x:v>
      </x:c>
      <x:c r="Q70" s="7" t="str"/>
    </x:row>
    <x:row r="71">
      <x:c r="A71" s="6" t="str">
        <x:v>PRTX-0070</x:v>
      </x:c>
      <x:c r="B71" s="6" t="str">
        <x:v>SVC000070</x:v>
      </x:c>
      <x:c r="C71" s="6" t="str">
        <x:v>SIDX-0070</x:v>
      </x:c>
      <x:c r="D71" s="6" t="str">
        <x:f>IFERROR(XLOOKUP(C71,'Review Sequence'!C2:C1586,'Review Sequence'!J2:J1586),"Dependency not found")</x:f>
        <x:v>Not Started</x:v>
      </x:c>
      <x:c r="E71" s="6" t="str"/>
      <x:c r="F71" s="6" t="str"/>
      <x:c r="G71" s="6" t="str"/>
      <x:c r="H71" s="6" t="str">
        <x:v>Unknown</x:v>
      </x:c>
      <x:c r="I71" s="6" t="str"/>
      <x:c r="J71" s="6" t="str">
        <x:v>Unresolved</x:v>
      </x:c>
      <x:c r="K71" s="7" t="str">
        <x:v>Nocturnix_Master_Services_Catalog_v1.xlsx | 01 - Master Services | row 110</x:v>
      </x:c>
      <x:c r="L71" s="6" t="str"/>
      <x:c r="M71" s="6" t="str"/>
      <x:c r="N71" s="6" t="str">
        <x:v>Pending</x:v>
      </x:c>
      <x:c r="O71" s="7" t="str">
        <x:f>IF(OR(D71="Reviewer Complete",D71="Awaiting Second-Level Approval"),"","Service identity dependency unresolved")</x:f>
        <x:v>Service identity dependency unresolved</x:v>
      </x:c>
      <x:c r="P71" s="6" t="str">
        <x:v>Yes</x:v>
      </x:c>
      <x:c r="Q71" s="7" t="str"/>
    </x:row>
    <x:row r="72">
      <x:c r="A72" s="6" t="str">
        <x:v>PRTX-0071</x:v>
      </x:c>
      <x:c r="B72" s="6" t="str">
        <x:v>SVC000071</x:v>
      </x:c>
      <x:c r="C72" s="6" t="str">
        <x:v>SIDX-0071</x:v>
      </x:c>
      <x:c r="D72" s="6" t="str">
        <x:f>IFERROR(XLOOKUP(C72,'Review Sequence'!C2:C1586,'Review Sequence'!J2:J1586),"Dependency not found")</x:f>
        <x:v>Not Started</x:v>
      </x:c>
      <x:c r="E72" s="6" t="str"/>
      <x:c r="F72" s="6" t="str"/>
      <x:c r="G72" s="6" t="str"/>
      <x:c r="H72" s="6" t="str">
        <x:v>Unknown</x:v>
      </x:c>
      <x:c r="I72" s="6" t="str"/>
      <x:c r="J72" s="6" t="str">
        <x:v>Unresolved</x:v>
      </x:c>
      <x:c r="K72" s="7" t="str">
        <x:v>Nocturnix_Master_Services_Catalog_v1.xlsx | 01 - Master Services | row 111</x:v>
      </x:c>
      <x:c r="L72" s="6" t="str"/>
      <x:c r="M72" s="6" t="str"/>
      <x:c r="N72" s="6" t="str">
        <x:v>Pending</x:v>
      </x:c>
      <x:c r="O72" s="7" t="str">
        <x:f>IF(OR(D72="Reviewer Complete",D72="Awaiting Second-Level Approval"),"","Service identity dependency unresolved")</x:f>
        <x:v>Service identity dependency unresolved</x:v>
      </x:c>
      <x:c r="P72" s="6" t="str">
        <x:v>Yes</x:v>
      </x:c>
      <x:c r="Q72" s="7" t="str"/>
    </x:row>
    <x:row r="73">
      <x:c r="A73" s="6" t="str">
        <x:v>PRTX-0072</x:v>
      </x:c>
      <x:c r="B73" s="6" t="str">
        <x:v>SVC000072</x:v>
      </x:c>
      <x:c r="C73" s="6" t="str">
        <x:v>SIDX-0072</x:v>
      </x:c>
      <x:c r="D73" s="6" t="str">
        <x:f>IFERROR(XLOOKUP(C73,'Review Sequence'!C2:C1586,'Review Sequence'!J2:J1586),"Dependency not found")</x:f>
        <x:v>Not Started</x:v>
      </x:c>
      <x:c r="E73" s="6" t="str"/>
      <x:c r="F73" s="6" t="str"/>
      <x:c r="G73" s="6" t="str"/>
      <x:c r="H73" s="6" t="str">
        <x:v>Unknown</x:v>
      </x:c>
      <x:c r="I73" s="6" t="str"/>
      <x:c r="J73" s="6" t="str">
        <x:v>Unresolved</x:v>
      </x:c>
      <x:c r="K73" s="7" t="str">
        <x:v>Nocturnix_Master_Services_Catalog_v1.xlsx | 01 - Master Services | row 112</x:v>
      </x:c>
      <x:c r="L73" s="6" t="str"/>
      <x:c r="M73" s="6" t="str"/>
      <x:c r="N73" s="6" t="str">
        <x:v>Pending</x:v>
      </x:c>
      <x:c r="O73" s="7" t="str">
        <x:f>IF(OR(D73="Reviewer Complete",D73="Awaiting Second-Level Approval"),"","Service identity dependency unresolved")</x:f>
        <x:v>Service identity dependency unresolved</x:v>
      </x:c>
      <x:c r="P73" s="6" t="str">
        <x:v>Yes</x:v>
      </x:c>
      <x:c r="Q73" s="7" t="str"/>
    </x:row>
    <x:row r="74">
      <x:c r="A74" s="6" t="str">
        <x:v>PRTX-0073</x:v>
      </x:c>
      <x:c r="B74" s="6" t="str">
        <x:v>SVC000073</x:v>
      </x:c>
      <x:c r="C74" s="6" t="str">
        <x:v>SIDX-0073</x:v>
      </x:c>
      <x:c r="D74" s="6" t="str">
        <x:f>IFERROR(XLOOKUP(C74,'Review Sequence'!C2:C1586,'Review Sequence'!J2:J1586),"Dependency not found")</x:f>
        <x:v>Not Started</x:v>
      </x:c>
      <x:c r="E74" s="6" t="str"/>
      <x:c r="F74" s="6" t="str"/>
      <x:c r="G74" s="6" t="str"/>
      <x:c r="H74" s="6" t="str">
        <x:v>Unknown</x:v>
      </x:c>
      <x:c r="I74" s="6" t="str"/>
      <x:c r="J74" s="6" t="str">
        <x:v>Unresolved</x:v>
      </x:c>
      <x:c r="K74" s="7" t="str">
        <x:v>Nocturnix_Master_Services_Catalog_v1.xlsx | 01 - Master Services | row 113</x:v>
      </x:c>
      <x:c r="L74" s="6" t="str"/>
      <x:c r="M74" s="6" t="str"/>
      <x:c r="N74" s="6" t="str">
        <x:v>Pending</x:v>
      </x:c>
      <x:c r="O74" s="7" t="str">
        <x:f>IF(OR(D74="Reviewer Complete",D74="Awaiting Second-Level Approval"),"","Service identity dependency unresolved")</x:f>
        <x:v>Service identity dependency unresolved</x:v>
      </x:c>
      <x:c r="P74" s="6" t="str">
        <x:v>Yes</x:v>
      </x:c>
      <x:c r="Q74" s="7" t="str"/>
    </x:row>
    <x:row r="75">
      <x:c r="A75" s="6" t="str">
        <x:v>PRTX-0074</x:v>
      </x:c>
      <x:c r="B75" s="6" t="str">
        <x:v>SVC000074</x:v>
      </x:c>
      <x:c r="C75" s="6" t="str">
        <x:v>SIDX-0074</x:v>
      </x:c>
      <x:c r="D75" s="6" t="str">
        <x:f>IFERROR(XLOOKUP(C75,'Review Sequence'!C2:C1586,'Review Sequence'!J2:J1586),"Dependency not found")</x:f>
        <x:v>Not Started</x:v>
      </x:c>
      <x:c r="E75" s="6" t="str"/>
      <x:c r="F75" s="6" t="str"/>
      <x:c r="G75" s="6" t="str"/>
      <x:c r="H75" s="6" t="str">
        <x:v>Unknown</x:v>
      </x:c>
      <x:c r="I75" s="6" t="str"/>
      <x:c r="J75" s="6" t="str">
        <x:v>Unresolved</x:v>
      </x:c>
      <x:c r="K75" s="7" t="str">
        <x:v>Nocturnix_Master_Services_Catalog_v1.xlsx | 01 - Master Services | row 114</x:v>
      </x:c>
      <x:c r="L75" s="6" t="str"/>
      <x:c r="M75" s="6" t="str"/>
      <x:c r="N75" s="6" t="str">
        <x:v>Pending</x:v>
      </x:c>
      <x:c r="O75" s="7" t="str">
        <x:f>IF(OR(D75="Reviewer Complete",D75="Awaiting Second-Level Approval"),"","Service identity dependency unresolved")</x:f>
        <x:v>Service identity dependency unresolved</x:v>
      </x:c>
      <x:c r="P75" s="6" t="str">
        <x:v>Yes</x:v>
      </x:c>
      <x:c r="Q75" s="7" t="str"/>
    </x:row>
    <x:row r="76">
      <x:c r="A76" s="6" t="str">
        <x:v>PRTX-0075</x:v>
      </x:c>
      <x:c r="B76" s="6" t="str">
        <x:v>SVC000075</x:v>
      </x:c>
      <x:c r="C76" s="6" t="str">
        <x:v>SIDX-0075</x:v>
      </x:c>
      <x:c r="D76" s="6" t="str">
        <x:f>IFERROR(XLOOKUP(C76,'Review Sequence'!C2:C1586,'Review Sequence'!J2:J1586),"Dependency not found")</x:f>
        <x:v>Not Started</x:v>
      </x:c>
      <x:c r="E76" s="6" t="str"/>
      <x:c r="F76" s="6" t="str"/>
      <x:c r="G76" s="6" t="str"/>
      <x:c r="H76" s="6" t="str">
        <x:v>Unknown</x:v>
      </x:c>
      <x:c r="I76" s="6" t="str"/>
      <x:c r="J76" s="6" t="str">
        <x:v>Unresolved</x:v>
      </x:c>
      <x:c r="K76" s="7" t="str">
        <x:v>Nocturnix_Master_Services_Catalog_v1.xlsx | 01 - Master Services | row 115</x:v>
      </x:c>
      <x:c r="L76" s="6" t="str"/>
      <x:c r="M76" s="6" t="str"/>
      <x:c r="N76" s="6" t="str">
        <x:v>Pending</x:v>
      </x:c>
      <x:c r="O76" s="7" t="str">
        <x:f>IF(OR(D76="Reviewer Complete",D76="Awaiting Second-Level Approval"),"","Service identity dependency unresolved")</x:f>
        <x:v>Service identity dependency unresolved</x:v>
      </x:c>
      <x:c r="P76" s="6" t="str">
        <x:v>Yes</x:v>
      </x:c>
      <x:c r="Q76" s="7" t="str"/>
    </x:row>
    <x:row r="77">
      <x:c r="A77" s="6" t="str">
        <x:v>PRTX-0076</x:v>
      </x:c>
      <x:c r="B77" s="6" t="str">
        <x:v>SVC000076</x:v>
      </x:c>
      <x:c r="C77" s="6" t="str">
        <x:v>SIDX-0076</x:v>
      </x:c>
      <x:c r="D77" s="6" t="str">
        <x:f>IFERROR(XLOOKUP(C77,'Review Sequence'!C2:C1586,'Review Sequence'!J2:J1586),"Dependency not found")</x:f>
        <x:v>Not Started</x:v>
      </x:c>
      <x:c r="E77" s="6" t="str"/>
      <x:c r="F77" s="6" t="str"/>
      <x:c r="G77" s="6" t="str"/>
      <x:c r="H77" s="6" t="str">
        <x:v>Unknown</x:v>
      </x:c>
      <x:c r="I77" s="6" t="str"/>
      <x:c r="J77" s="6" t="str">
        <x:v>Unresolved</x:v>
      </x:c>
      <x:c r="K77" s="7" t="str">
        <x:v>Nocturnix_Master_Services_Catalog_v1.xlsx | 01 - Master Services | row 116</x:v>
      </x:c>
      <x:c r="L77" s="6" t="str"/>
      <x:c r="M77" s="6" t="str"/>
      <x:c r="N77" s="6" t="str">
        <x:v>Pending</x:v>
      </x:c>
      <x:c r="O77" s="7" t="str">
        <x:f>IF(OR(D77="Reviewer Complete",D77="Awaiting Second-Level Approval"),"","Service identity dependency unresolved")</x:f>
        <x:v>Service identity dependency unresolved</x:v>
      </x:c>
      <x:c r="P77" s="6" t="str">
        <x:v>Yes</x:v>
      </x:c>
      <x:c r="Q77" s="7" t="str"/>
    </x:row>
    <x:row r="78">
      <x:c r="A78" s="6" t="str">
        <x:v>PRTX-0077</x:v>
      </x:c>
      <x:c r="B78" s="6" t="str">
        <x:v>SVC000077</x:v>
      </x:c>
      <x:c r="C78" s="6" t="str">
        <x:v>SIDX-0077</x:v>
      </x:c>
      <x:c r="D78" s="6" t="str">
        <x:f>IFERROR(XLOOKUP(C78,'Review Sequence'!C2:C1586,'Review Sequence'!J2:J1586),"Dependency not found")</x:f>
        <x:v>Not Started</x:v>
      </x:c>
      <x:c r="E78" s="6" t="str"/>
      <x:c r="F78" s="6" t="str"/>
      <x:c r="G78" s="6" t="str"/>
      <x:c r="H78" s="6" t="str">
        <x:v>Unknown</x:v>
      </x:c>
      <x:c r="I78" s="6" t="str"/>
      <x:c r="J78" s="6" t="str">
        <x:v>Unresolved</x:v>
      </x:c>
      <x:c r="K78" s="7" t="str">
        <x:v>Nocturnix_Master_Services_Catalog_v1.xlsx | 01 - Master Services | row 117</x:v>
      </x:c>
      <x:c r="L78" s="6" t="str"/>
      <x:c r="M78" s="6" t="str"/>
      <x:c r="N78" s="6" t="str">
        <x:v>Pending</x:v>
      </x:c>
      <x:c r="O78" s="7" t="str">
        <x:f>IF(OR(D78="Reviewer Complete",D78="Awaiting Second-Level Approval"),"","Service identity dependency unresolved")</x:f>
        <x:v>Service identity dependency unresolved</x:v>
      </x:c>
      <x:c r="P78" s="6" t="str">
        <x:v>Yes</x:v>
      </x:c>
      <x:c r="Q78" s="7" t="str"/>
    </x:row>
    <x:row r="79">
      <x:c r="A79" s="6" t="str">
        <x:v>PRTX-0078</x:v>
      </x:c>
      <x:c r="B79" s="6" t="str">
        <x:v>SVC000078</x:v>
      </x:c>
      <x:c r="C79" s="6" t="str">
        <x:v>SIDX-0078</x:v>
      </x:c>
      <x:c r="D79" s="6" t="str">
        <x:f>IFERROR(XLOOKUP(C79,'Review Sequence'!C2:C1586,'Review Sequence'!J2:J1586),"Dependency not found")</x:f>
        <x:v>Not Started</x:v>
      </x:c>
      <x:c r="E79" s="6" t="str"/>
      <x:c r="F79" s="6" t="str"/>
      <x:c r="G79" s="6" t="str"/>
      <x:c r="H79" s="6" t="str">
        <x:v>Unknown</x:v>
      </x:c>
      <x:c r="I79" s="6" t="str"/>
      <x:c r="J79" s="6" t="str">
        <x:v>Unresolved</x:v>
      </x:c>
      <x:c r="K79" s="7" t="str">
        <x:v>Nocturnix_Master_Services_Catalog_v1.xlsx | 01 - Master Services | row 118</x:v>
      </x:c>
      <x:c r="L79" s="6" t="str"/>
      <x:c r="M79" s="6" t="str"/>
      <x:c r="N79" s="6" t="str">
        <x:v>Pending</x:v>
      </x:c>
      <x:c r="O79" s="7" t="str">
        <x:f>IF(OR(D79="Reviewer Complete",D79="Awaiting Second-Level Approval"),"","Service identity dependency unresolved")</x:f>
        <x:v>Service identity dependency unresolved</x:v>
      </x:c>
      <x:c r="P79" s="6" t="str">
        <x:v>Yes</x:v>
      </x:c>
      <x:c r="Q79" s="7" t="str"/>
    </x:row>
    <x:row r="80">
      <x:c r="A80" s="6" t="str">
        <x:v>PRTX-0079</x:v>
      </x:c>
      <x:c r="B80" s="6" t="str">
        <x:v>SVC000079</x:v>
      </x:c>
      <x:c r="C80" s="6" t="str">
        <x:v>SIDX-0079</x:v>
      </x:c>
      <x:c r="D80" s="6" t="str">
        <x:f>IFERROR(XLOOKUP(C80,'Review Sequence'!C2:C1586,'Review Sequence'!J2:J1586),"Dependency not found")</x:f>
        <x:v>Not Started</x:v>
      </x:c>
      <x:c r="E80" s="6" t="str"/>
      <x:c r="F80" s="6" t="str"/>
      <x:c r="G80" s="6" t="str"/>
      <x:c r="H80" s="6" t="str">
        <x:v>Unknown</x:v>
      </x:c>
      <x:c r="I80" s="6" t="str"/>
      <x:c r="J80" s="6" t="str">
        <x:v>Unresolved</x:v>
      </x:c>
      <x:c r="K80" s="7" t="str">
        <x:v>Nocturnix_Master_Services_Catalog_v1.xlsx | 01 - Master Services | row 119</x:v>
      </x:c>
      <x:c r="L80" s="6" t="str"/>
      <x:c r="M80" s="6" t="str"/>
      <x:c r="N80" s="6" t="str">
        <x:v>Pending</x:v>
      </x:c>
      <x:c r="O80" s="7" t="str">
        <x:f>IF(OR(D80="Reviewer Complete",D80="Awaiting Second-Level Approval"),"","Service identity dependency unresolved")</x:f>
        <x:v>Service identity dependency unresolved</x:v>
      </x:c>
      <x:c r="P80" s="6" t="str">
        <x:v>Yes</x:v>
      </x:c>
      <x:c r="Q80" s="7" t="str"/>
    </x:row>
    <x:row r="81">
      <x:c r="A81" s="6" t="str">
        <x:v>PRTX-0080</x:v>
      </x:c>
      <x:c r="B81" s="6" t="str">
        <x:v>SVC000080</x:v>
      </x:c>
      <x:c r="C81" s="6" t="str">
        <x:v>SIDX-0080</x:v>
      </x:c>
      <x:c r="D81" s="6" t="str">
        <x:f>IFERROR(XLOOKUP(C81,'Review Sequence'!C2:C1586,'Review Sequence'!J2:J1586),"Dependency not found")</x:f>
        <x:v>Not Started</x:v>
      </x:c>
      <x:c r="E81" s="6" t="str"/>
      <x:c r="F81" s="6" t="str"/>
      <x:c r="G81" s="6" t="str"/>
      <x:c r="H81" s="6" t="str">
        <x:v>Unknown</x:v>
      </x:c>
      <x:c r="I81" s="6" t="str"/>
      <x:c r="J81" s="6" t="str">
        <x:v>Unresolved</x:v>
      </x:c>
      <x:c r="K81" s="7" t="str">
        <x:v>Nocturnix_Master_Services_Catalog_v1.xlsx | 01 - Master Services | row 120</x:v>
      </x:c>
      <x:c r="L81" s="6" t="str"/>
      <x:c r="M81" s="6" t="str"/>
      <x:c r="N81" s="6" t="str">
        <x:v>Pending</x:v>
      </x:c>
      <x:c r="O81" s="7" t="str">
        <x:f>IF(OR(D81="Reviewer Complete",D81="Awaiting Second-Level Approval"),"","Service identity dependency unresolved")</x:f>
        <x:v>Service identity dependency unresolved</x:v>
      </x:c>
      <x:c r="P81" s="6" t="str">
        <x:v>Yes</x:v>
      </x:c>
      <x:c r="Q81" s="7" t="str"/>
    </x:row>
    <x:row r="82">
      <x:c r="A82" s="6" t="str">
        <x:v>PRTX-0081</x:v>
      </x:c>
      <x:c r="B82" s="6" t="str">
        <x:v>SVC000081</x:v>
      </x:c>
      <x:c r="C82" s="6" t="str">
        <x:v>SIDX-0081</x:v>
      </x:c>
      <x:c r="D82" s="6" t="str">
        <x:f>IFERROR(XLOOKUP(C82,'Review Sequence'!C2:C1586,'Review Sequence'!J2:J1586),"Dependency not found")</x:f>
        <x:v>Not Started</x:v>
      </x:c>
      <x:c r="E82" s="6" t="str"/>
      <x:c r="F82" s="6" t="str"/>
      <x:c r="G82" s="6" t="str"/>
      <x:c r="H82" s="6" t="str">
        <x:v>Unknown</x:v>
      </x:c>
      <x:c r="I82" s="6" t="str"/>
      <x:c r="J82" s="6" t="str">
        <x:v>Unresolved</x:v>
      </x:c>
      <x:c r="K82" s="7" t="str">
        <x:v>Nocturnix_Master_Services_Catalog_v1.xlsx | 01 - Master Services | row 121</x:v>
      </x:c>
      <x:c r="L82" s="6" t="str"/>
      <x:c r="M82" s="6" t="str"/>
      <x:c r="N82" s="6" t="str">
        <x:v>Pending</x:v>
      </x:c>
      <x:c r="O82" s="7" t="str">
        <x:f>IF(OR(D82="Reviewer Complete",D82="Awaiting Second-Level Approval"),"","Service identity dependency unresolved")</x:f>
        <x:v>Service identity dependency unresolved</x:v>
      </x:c>
      <x:c r="P82" s="6" t="str">
        <x:v>Yes</x:v>
      </x:c>
      <x:c r="Q82" s="7" t="str"/>
    </x:row>
    <x:row r="83">
      <x:c r="A83" s="6" t="str">
        <x:v>PRTX-0082</x:v>
      </x:c>
      <x:c r="B83" s="6" t="str">
        <x:v>SVC000082</x:v>
      </x:c>
      <x:c r="C83" s="6" t="str">
        <x:v>SIDX-0082</x:v>
      </x:c>
      <x:c r="D83" s="6" t="str">
        <x:f>IFERROR(XLOOKUP(C83,'Review Sequence'!C2:C1586,'Review Sequence'!J2:J1586),"Dependency not found")</x:f>
        <x:v>Not Started</x:v>
      </x:c>
      <x:c r="E83" s="6" t="str"/>
      <x:c r="F83" s="6" t="str"/>
      <x:c r="G83" s="6" t="str"/>
      <x:c r="H83" s="6" t="str">
        <x:v>Unknown</x:v>
      </x:c>
      <x:c r="I83" s="6" t="str"/>
      <x:c r="J83" s="6" t="str">
        <x:v>Unresolved</x:v>
      </x:c>
      <x:c r="K83" s="7" t="str">
        <x:v>Nocturnix_Master_Services_Catalog_v1.xlsx | 01 - Master Services | row 122</x:v>
      </x:c>
      <x:c r="L83" s="6" t="str"/>
      <x:c r="M83" s="6" t="str"/>
      <x:c r="N83" s="6" t="str">
        <x:v>Pending</x:v>
      </x:c>
      <x:c r="O83" s="7" t="str">
        <x:f>IF(OR(D83="Reviewer Complete",D83="Awaiting Second-Level Approval"),"","Service identity dependency unresolved")</x:f>
        <x:v>Service identity dependency unresolved</x:v>
      </x:c>
      <x:c r="P83" s="6" t="str">
        <x:v>Yes</x:v>
      </x:c>
      <x:c r="Q83" s="7" t="str"/>
    </x:row>
    <x:row r="84">
      <x:c r="A84" s="6" t="str">
        <x:v>PRTX-0083</x:v>
      </x:c>
      <x:c r="B84" s="6" t="str">
        <x:v>SVC000083</x:v>
      </x:c>
      <x:c r="C84" s="6" t="str">
        <x:v>SIDX-0083</x:v>
      </x:c>
      <x:c r="D84" s="6" t="str">
        <x:f>IFERROR(XLOOKUP(C84,'Review Sequence'!C2:C1586,'Review Sequence'!J2:J1586),"Dependency not found")</x:f>
        <x:v>Not Started</x:v>
      </x:c>
      <x:c r="E84" s="6" t="str"/>
      <x:c r="F84" s="6" t="str"/>
      <x:c r="G84" s="6" t="str"/>
      <x:c r="H84" s="6" t="str">
        <x:v>Unknown</x:v>
      </x:c>
      <x:c r="I84" s="6" t="str"/>
      <x:c r="J84" s="6" t="str">
        <x:v>Unresolved</x:v>
      </x:c>
      <x:c r="K84" s="7" t="str">
        <x:v>Nocturnix_Master_Services_Catalog_v1.xlsx | 01 - Master Services | row 123</x:v>
      </x:c>
      <x:c r="L84" s="6" t="str"/>
      <x:c r="M84" s="6" t="str"/>
      <x:c r="N84" s="6" t="str">
        <x:v>Pending</x:v>
      </x:c>
      <x:c r="O84" s="7" t="str">
        <x:f>IF(OR(D84="Reviewer Complete",D84="Awaiting Second-Level Approval"),"","Service identity dependency unresolved")</x:f>
        <x:v>Service identity dependency unresolved</x:v>
      </x:c>
      <x:c r="P84" s="6" t="str">
        <x:v>Yes</x:v>
      </x:c>
      <x:c r="Q84" s="7" t="str"/>
    </x:row>
    <x:row r="85">
      <x:c r="A85" s="6" t="str">
        <x:v>PRTX-0084</x:v>
      </x:c>
      <x:c r="B85" s="6" t="str">
        <x:v>SVC000084</x:v>
      </x:c>
      <x:c r="C85" s="6" t="str">
        <x:v>SIDX-0084</x:v>
      </x:c>
      <x:c r="D85" s="6" t="str">
        <x:f>IFERROR(XLOOKUP(C85,'Review Sequence'!C2:C1586,'Review Sequence'!J2:J1586),"Dependency not found")</x:f>
        <x:v>Not Started</x:v>
      </x:c>
      <x:c r="E85" s="6" t="str"/>
      <x:c r="F85" s="6" t="str"/>
      <x:c r="G85" s="6" t="str"/>
      <x:c r="H85" s="6" t="str">
        <x:v>Unknown</x:v>
      </x:c>
      <x:c r="I85" s="6" t="str"/>
      <x:c r="J85" s="6" t="str">
        <x:v>Unresolved</x:v>
      </x:c>
      <x:c r="K85" s="7" t="str">
        <x:v>Nocturnix_Master_Services_Catalog_v1.xlsx | 01 - Master Services | row 124</x:v>
      </x:c>
      <x:c r="L85" s="6" t="str"/>
      <x:c r="M85" s="6" t="str"/>
      <x:c r="N85" s="6" t="str">
        <x:v>Pending</x:v>
      </x:c>
      <x:c r="O85" s="7" t="str">
        <x:f>IF(OR(D85="Reviewer Complete",D85="Awaiting Second-Level Approval"),"","Service identity dependency unresolved")</x:f>
        <x:v>Service identity dependency unresolved</x:v>
      </x:c>
      <x:c r="P85" s="6" t="str">
        <x:v>Yes</x:v>
      </x:c>
      <x:c r="Q85" s="7" t="str"/>
    </x:row>
    <x:row r="86">
      <x:c r="A86" s="6" t="str">
        <x:v>PRTX-0085</x:v>
      </x:c>
      <x:c r="B86" s="6" t="str">
        <x:v>SVC000085</x:v>
      </x:c>
      <x:c r="C86" s="6" t="str">
        <x:v>SIDX-0085</x:v>
      </x:c>
      <x:c r="D86" s="6" t="str">
        <x:f>IFERROR(XLOOKUP(C86,'Review Sequence'!C2:C1586,'Review Sequence'!J2:J1586),"Dependency not found")</x:f>
        <x:v>Not Started</x:v>
      </x:c>
      <x:c r="E86" s="6" t="str"/>
      <x:c r="F86" s="6" t="str"/>
      <x:c r="G86" s="6" t="str"/>
      <x:c r="H86" s="6" t="str">
        <x:v>Unknown</x:v>
      </x:c>
      <x:c r="I86" s="6" t="str"/>
      <x:c r="J86" s="6" t="str">
        <x:v>Unresolved</x:v>
      </x:c>
      <x:c r="K86" s="7" t="str">
        <x:v>Nocturnix_Master_Services_Catalog_v1.xlsx | 01 - Master Services | row 125</x:v>
      </x:c>
      <x:c r="L86" s="6" t="str"/>
      <x:c r="M86" s="6" t="str"/>
      <x:c r="N86" s="6" t="str">
        <x:v>Pending</x:v>
      </x:c>
      <x:c r="O86" s="7" t="str">
        <x:f>IF(OR(D86="Reviewer Complete",D86="Awaiting Second-Level Approval"),"","Service identity dependency unresolved")</x:f>
        <x:v>Service identity dependency unresolved</x:v>
      </x:c>
      <x:c r="P86" s="6" t="str">
        <x:v>Yes</x:v>
      </x:c>
      <x:c r="Q86" s="7" t="str"/>
    </x:row>
    <x:row r="87">
      <x:c r="A87" s="6" t="str">
        <x:v>PRTX-0086</x:v>
      </x:c>
      <x:c r="B87" s="6" t="str">
        <x:v>SVC000086</x:v>
      </x:c>
      <x:c r="C87" s="6" t="str">
        <x:v>SIDX-0086</x:v>
      </x:c>
      <x:c r="D87" s="6" t="str">
        <x:f>IFERROR(XLOOKUP(C87,'Review Sequence'!C2:C1586,'Review Sequence'!J2:J1586),"Dependency not found")</x:f>
        <x:v>Not Started</x:v>
      </x:c>
      <x:c r="E87" s="6" t="str"/>
      <x:c r="F87" s="6" t="str"/>
      <x:c r="G87" s="6" t="str"/>
      <x:c r="H87" s="6" t="str">
        <x:v>Unknown</x:v>
      </x:c>
      <x:c r="I87" s="6" t="str"/>
      <x:c r="J87" s="6" t="str">
        <x:v>Unresolved</x:v>
      </x:c>
      <x:c r="K87" s="7" t="str">
        <x:v>Nocturnix_Master_Services_Catalog_v1.xlsx | 01 - Master Services | row 126</x:v>
      </x:c>
      <x:c r="L87" s="6" t="str"/>
      <x:c r="M87" s="6" t="str"/>
      <x:c r="N87" s="6" t="str">
        <x:v>Pending</x:v>
      </x:c>
      <x:c r="O87" s="7" t="str">
        <x:f>IF(OR(D87="Reviewer Complete",D87="Awaiting Second-Level Approval"),"","Service identity dependency unresolved")</x:f>
        <x:v>Service identity dependency unresolved</x:v>
      </x:c>
      <x:c r="P87" s="6" t="str">
        <x:v>Yes</x:v>
      </x:c>
      <x:c r="Q87" s="7" t="str"/>
    </x:row>
    <x:row r="88">
      <x:c r="A88" s="6" t="str">
        <x:v>PRTX-0087</x:v>
      </x:c>
      <x:c r="B88" s="6" t="str">
        <x:v>SVC000087</x:v>
      </x:c>
      <x:c r="C88" s="6" t="str">
        <x:v>SIDX-0087</x:v>
      </x:c>
      <x:c r="D88" s="6" t="str">
        <x:f>IFERROR(XLOOKUP(C88,'Review Sequence'!C2:C1586,'Review Sequence'!J2:J1586),"Dependency not found")</x:f>
        <x:v>Not Started</x:v>
      </x:c>
      <x:c r="E88" s="6" t="str"/>
      <x:c r="F88" s="6" t="str"/>
      <x:c r="G88" s="6" t="str"/>
      <x:c r="H88" s="6" t="str">
        <x:v>Unknown</x:v>
      </x:c>
      <x:c r="I88" s="6" t="str"/>
      <x:c r="J88" s="6" t="str">
        <x:v>Unresolved</x:v>
      </x:c>
      <x:c r="K88" s="7" t="str">
        <x:v>Nocturnix_Master_Services_Catalog_v1.xlsx | 01 - Master Services | row 127</x:v>
      </x:c>
      <x:c r="L88" s="6" t="str"/>
      <x:c r="M88" s="6" t="str"/>
      <x:c r="N88" s="6" t="str">
        <x:v>Pending</x:v>
      </x:c>
      <x:c r="O88" s="7" t="str">
        <x:f>IF(OR(D88="Reviewer Complete",D88="Awaiting Second-Level Approval"),"","Service identity dependency unresolved")</x:f>
        <x:v>Service identity dependency unresolved</x:v>
      </x:c>
      <x:c r="P88" s="6" t="str">
        <x:v>Yes</x:v>
      </x:c>
      <x:c r="Q88" s="7" t="str"/>
    </x:row>
    <x:row r="89">
      <x:c r="A89" s="6" t="str">
        <x:v>PRTX-0088</x:v>
      </x:c>
      <x:c r="B89" s="6" t="str">
        <x:v>SVC000088</x:v>
      </x:c>
      <x:c r="C89" s="6" t="str">
        <x:v>SIDX-0088</x:v>
      </x:c>
      <x:c r="D89" s="6" t="str">
        <x:f>IFERROR(XLOOKUP(C89,'Review Sequence'!C2:C1586,'Review Sequence'!J2:J1586),"Dependency not found")</x:f>
        <x:v>Not Started</x:v>
      </x:c>
      <x:c r="E89" s="6" t="str"/>
      <x:c r="F89" s="6" t="str"/>
      <x:c r="G89" s="6" t="str"/>
      <x:c r="H89" s="6" t="str">
        <x:v>Unknown</x:v>
      </x:c>
      <x:c r="I89" s="6" t="str"/>
      <x:c r="J89" s="6" t="str">
        <x:v>Unresolved</x:v>
      </x:c>
      <x:c r="K89" s="7" t="str">
        <x:v>Nocturnix_Master_Services_Catalog_v1.xlsx | 01 - Master Services | row 128</x:v>
      </x:c>
      <x:c r="L89" s="6" t="str"/>
      <x:c r="M89" s="6" t="str"/>
      <x:c r="N89" s="6" t="str">
        <x:v>Pending</x:v>
      </x:c>
      <x:c r="O89" s="7" t="str">
        <x:f>IF(OR(D89="Reviewer Complete",D89="Awaiting Second-Level Approval"),"","Service identity dependency unresolved")</x:f>
        <x:v>Service identity dependency unresolved</x:v>
      </x:c>
      <x:c r="P89" s="6" t="str">
        <x:v>Yes</x:v>
      </x:c>
      <x:c r="Q89" s="7" t="str"/>
    </x:row>
    <x:row r="90">
      <x:c r="A90" s="6" t="str">
        <x:v>PRTX-0089</x:v>
      </x:c>
      <x:c r="B90" s="6" t="str">
        <x:v>SVC000089</x:v>
      </x:c>
      <x:c r="C90" s="6" t="str">
        <x:v>SIDX-0089</x:v>
      </x:c>
      <x:c r="D90" s="6" t="str">
        <x:f>IFERROR(XLOOKUP(C90,'Review Sequence'!C2:C1586,'Review Sequence'!J2:J1586),"Dependency not found")</x:f>
        <x:v>Not Started</x:v>
      </x:c>
      <x:c r="E90" s="6" t="str"/>
      <x:c r="F90" s="6" t="str"/>
      <x:c r="G90" s="6" t="str"/>
      <x:c r="H90" s="6" t="str">
        <x:v>Unknown</x:v>
      </x:c>
      <x:c r="I90" s="6" t="str"/>
      <x:c r="J90" s="6" t="str">
        <x:v>Unresolved</x:v>
      </x:c>
      <x:c r="K90" s="7" t="str">
        <x:v>Nocturnix_Master_Services_Catalog_v1.xlsx | 01 - Master Services | row 129</x:v>
      </x:c>
      <x:c r="L90" s="6" t="str"/>
      <x:c r="M90" s="6" t="str"/>
      <x:c r="N90" s="6" t="str">
        <x:v>Pending</x:v>
      </x:c>
      <x:c r="O90" s="7" t="str">
        <x:f>IF(OR(D90="Reviewer Complete",D90="Awaiting Second-Level Approval"),"","Service identity dependency unresolved")</x:f>
        <x:v>Service identity dependency unresolved</x:v>
      </x:c>
      <x:c r="P90" s="6" t="str">
        <x:v>Yes</x:v>
      </x:c>
      <x:c r="Q90" s="7" t="str"/>
    </x:row>
    <x:row r="91">
      <x:c r="A91" s="6" t="str">
        <x:v>PRTX-0090</x:v>
      </x:c>
      <x:c r="B91" s="6" t="str">
        <x:v>SVC000090</x:v>
      </x:c>
      <x:c r="C91" s="6" t="str">
        <x:v>SIDX-0090</x:v>
      </x:c>
      <x:c r="D91" s="6" t="str">
        <x:f>IFERROR(XLOOKUP(C91,'Review Sequence'!C2:C1586,'Review Sequence'!J2:J1586),"Dependency not found")</x:f>
        <x:v>Not Started</x:v>
      </x:c>
      <x:c r="E91" s="6" t="str"/>
      <x:c r="F91" s="6" t="str"/>
      <x:c r="G91" s="6" t="str"/>
      <x:c r="H91" s="6" t="str">
        <x:v>Unknown</x:v>
      </x:c>
      <x:c r="I91" s="6" t="str"/>
      <x:c r="J91" s="6" t="str">
        <x:v>Unresolved</x:v>
      </x:c>
      <x:c r="K91" s="7" t="str">
        <x:v>Nocturnix_Master_Services_Catalog_v1.xlsx | 01 - Master Services | row 130</x:v>
      </x:c>
      <x:c r="L91" s="6" t="str"/>
      <x:c r="M91" s="6" t="str"/>
      <x:c r="N91" s="6" t="str">
        <x:v>Pending</x:v>
      </x:c>
      <x:c r="O91" s="7" t="str">
        <x:f>IF(OR(D91="Reviewer Complete",D91="Awaiting Second-Level Approval"),"","Service identity dependency unresolved")</x:f>
        <x:v>Service identity dependency unresolved</x:v>
      </x:c>
      <x:c r="P91" s="6" t="str">
        <x:v>Yes</x:v>
      </x:c>
      <x:c r="Q91" s="7" t="str"/>
    </x:row>
    <x:row r="92">
      <x:c r="A92" s="6" t="str">
        <x:v>PRTX-0091</x:v>
      </x:c>
      <x:c r="B92" s="6" t="str">
        <x:v>SVC000091</x:v>
      </x:c>
      <x:c r="C92" s="6" t="str">
        <x:v>SIDX-0091</x:v>
      </x:c>
      <x:c r="D92" s="6" t="str">
        <x:f>IFERROR(XLOOKUP(C92,'Review Sequence'!C2:C1586,'Review Sequence'!J2:J1586),"Dependency not found")</x:f>
        <x:v>Not Started</x:v>
      </x:c>
      <x:c r="E92" s="6" t="str"/>
      <x:c r="F92" s="6" t="str"/>
      <x:c r="G92" s="6" t="str"/>
      <x:c r="H92" s="6" t="str">
        <x:v>Unknown</x:v>
      </x:c>
      <x:c r="I92" s="6" t="str"/>
      <x:c r="J92" s="6" t="str">
        <x:v>Unresolved</x:v>
      </x:c>
      <x:c r="K92" s="7" t="str">
        <x:v>Nocturnix_Master_Services_Catalog_v1.xlsx | 01 - Master Services | row 131</x:v>
      </x:c>
      <x:c r="L92" s="6" t="str"/>
      <x:c r="M92" s="6" t="str"/>
      <x:c r="N92" s="6" t="str">
        <x:v>Pending</x:v>
      </x:c>
      <x:c r="O92" s="7" t="str">
        <x:f>IF(OR(D92="Reviewer Complete",D92="Awaiting Second-Level Approval"),"","Service identity dependency unresolved")</x:f>
        <x:v>Service identity dependency unresolved</x:v>
      </x:c>
      <x:c r="P92" s="6" t="str">
        <x:v>Yes</x:v>
      </x:c>
      <x:c r="Q92" s="7" t="str"/>
    </x:row>
    <x:row r="93">
      <x:c r="A93" s="6" t="str">
        <x:v>PRTX-0092</x:v>
      </x:c>
      <x:c r="B93" s="6" t="str">
        <x:v>SVC000092</x:v>
      </x:c>
      <x:c r="C93" s="6" t="str">
        <x:v>SIDX-0092</x:v>
      </x:c>
      <x:c r="D93" s="6" t="str">
        <x:f>IFERROR(XLOOKUP(C93,'Review Sequence'!C2:C1586,'Review Sequence'!J2:J1586),"Dependency not found")</x:f>
        <x:v>Not Started</x:v>
      </x:c>
      <x:c r="E93" s="6" t="str"/>
      <x:c r="F93" s="6" t="str"/>
      <x:c r="G93" s="6" t="str"/>
      <x:c r="H93" s="6" t="str">
        <x:v>Unknown</x:v>
      </x:c>
      <x:c r="I93" s="6" t="str"/>
      <x:c r="J93" s="6" t="str">
        <x:v>Unresolved</x:v>
      </x:c>
      <x:c r="K93" s="7" t="str">
        <x:v>Nocturnix_Master_Services_Catalog_v1.xlsx | 01 - Master Services | row 132</x:v>
      </x:c>
      <x:c r="L93" s="6" t="str"/>
      <x:c r="M93" s="6" t="str"/>
      <x:c r="N93" s="6" t="str">
        <x:v>Pending</x:v>
      </x:c>
      <x:c r="O93" s="7" t="str">
        <x:f>IF(OR(D93="Reviewer Complete",D93="Awaiting Second-Level Approval"),"","Service identity dependency unresolved")</x:f>
        <x:v>Service identity dependency unresolved</x:v>
      </x:c>
      <x:c r="P93" s="6" t="str">
        <x:v>Yes</x:v>
      </x:c>
      <x:c r="Q93" s="7" t="str"/>
    </x:row>
    <x:row r="94">
      <x:c r="A94" s="6" t="str">
        <x:v>PRTX-0093</x:v>
      </x:c>
      <x:c r="B94" s="6" t="str">
        <x:v>SVC000093</x:v>
      </x:c>
      <x:c r="C94" s="6" t="str">
        <x:v>SIDX-0093</x:v>
      </x:c>
      <x:c r="D94" s="6" t="str">
        <x:f>IFERROR(XLOOKUP(C94,'Review Sequence'!C2:C1586,'Review Sequence'!J2:J1586),"Dependency not found")</x:f>
        <x:v>Not Started</x:v>
      </x:c>
      <x:c r="E94" s="6" t="str"/>
      <x:c r="F94" s="6" t="str"/>
      <x:c r="G94" s="6" t="str"/>
      <x:c r="H94" s="6" t="str">
        <x:v>Unknown</x:v>
      </x:c>
      <x:c r="I94" s="6" t="str"/>
      <x:c r="J94" s="6" t="str">
        <x:v>Unresolved</x:v>
      </x:c>
      <x:c r="K94" s="7" t="str">
        <x:v>Nocturnix_Master_Services_Catalog_v1.xlsx | 01 - Master Services | row 133</x:v>
      </x:c>
      <x:c r="L94" s="6" t="str"/>
      <x:c r="M94" s="6" t="str"/>
      <x:c r="N94" s="6" t="str">
        <x:v>Pending</x:v>
      </x:c>
      <x:c r="O94" s="7" t="str">
        <x:f>IF(OR(D94="Reviewer Complete",D94="Awaiting Second-Level Approval"),"","Service identity dependency unresolved")</x:f>
        <x:v>Service identity dependency unresolved</x:v>
      </x:c>
      <x:c r="P94" s="6" t="str">
        <x:v>Yes</x:v>
      </x:c>
      <x:c r="Q94" s="7" t="str"/>
    </x:row>
    <x:row r="95">
      <x:c r="A95" s="6" t="str">
        <x:v>PRTX-0094</x:v>
      </x:c>
      <x:c r="B95" s="6" t="str">
        <x:v>SVC000094</x:v>
      </x:c>
      <x:c r="C95" s="6" t="str">
        <x:v>SIDX-0094</x:v>
      </x:c>
      <x:c r="D95" s="6" t="str">
        <x:f>IFERROR(XLOOKUP(C95,'Review Sequence'!C2:C1586,'Review Sequence'!J2:J1586),"Dependency not found")</x:f>
        <x:v>Not Started</x:v>
      </x:c>
      <x:c r="E95" s="6" t="str"/>
      <x:c r="F95" s="6" t="str"/>
      <x:c r="G95" s="6" t="str"/>
      <x:c r="H95" s="6" t="str">
        <x:v>Unknown</x:v>
      </x:c>
      <x:c r="I95" s="6" t="str"/>
      <x:c r="J95" s="6" t="str">
        <x:v>Unresolved</x:v>
      </x:c>
      <x:c r="K95" s="7" t="str">
        <x:v>Nocturnix_Master_Services_Catalog_v1.xlsx | 01 - Master Services | row 134</x:v>
      </x:c>
      <x:c r="L95" s="6" t="str"/>
      <x:c r="M95" s="6" t="str"/>
      <x:c r="N95" s="6" t="str">
        <x:v>Pending</x:v>
      </x:c>
      <x:c r="O95" s="7" t="str">
        <x:f>IF(OR(D95="Reviewer Complete",D95="Awaiting Second-Level Approval"),"","Service identity dependency unresolved")</x:f>
        <x:v>Service identity dependency unresolved</x:v>
      </x:c>
      <x:c r="P95" s="6" t="str">
        <x:v>Yes</x:v>
      </x:c>
      <x:c r="Q95" s="7" t="str"/>
    </x:row>
    <x:row r="96">
      <x:c r="A96" s="6" t="str">
        <x:v>PRTX-0095</x:v>
      </x:c>
      <x:c r="B96" s="6" t="str">
        <x:v>SVC000095</x:v>
      </x:c>
      <x:c r="C96" s="6" t="str">
        <x:v>SIDX-0095</x:v>
      </x:c>
      <x:c r="D96" s="6" t="str">
        <x:f>IFERROR(XLOOKUP(C96,'Review Sequence'!C2:C1586,'Review Sequence'!J2:J1586),"Dependency not found")</x:f>
        <x:v>Not Started</x:v>
      </x:c>
      <x:c r="E96" s="6" t="str"/>
      <x:c r="F96" s="6" t="str"/>
      <x:c r="G96" s="6" t="str"/>
      <x:c r="H96" s="6" t="str">
        <x:v>Unknown</x:v>
      </x:c>
      <x:c r="I96" s="6" t="str"/>
      <x:c r="J96" s="6" t="str">
        <x:v>Unresolved</x:v>
      </x:c>
      <x:c r="K96" s="7" t="str">
        <x:v>Nocturnix_Master_Services_Catalog_v1.xlsx | 01 - Master Services | row 135</x:v>
      </x:c>
      <x:c r="L96" s="6" t="str"/>
      <x:c r="M96" s="6" t="str"/>
      <x:c r="N96" s="6" t="str">
        <x:v>Pending</x:v>
      </x:c>
      <x:c r="O96" s="7" t="str">
        <x:f>IF(OR(D96="Reviewer Complete",D96="Awaiting Second-Level Approval"),"","Service identity dependency unresolved")</x:f>
        <x:v>Service identity dependency unresolved</x:v>
      </x:c>
      <x:c r="P96" s="6" t="str">
        <x:v>Yes</x:v>
      </x:c>
      <x:c r="Q96" s="7" t="str"/>
    </x:row>
    <x:row r="97">
      <x:c r="A97" s="6" t="str">
        <x:v>PRTX-0096</x:v>
      </x:c>
      <x:c r="B97" s="6" t="str">
        <x:v>SVC000096</x:v>
      </x:c>
      <x:c r="C97" s="6" t="str">
        <x:v>SIDX-0096</x:v>
      </x:c>
      <x:c r="D97" s="6" t="str">
        <x:f>IFERROR(XLOOKUP(C97,'Review Sequence'!C2:C1586,'Review Sequence'!J2:J1586),"Dependency not found")</x:f>
        <x:v>Not Started</x:v>
      </x:c>
      <x:c r="E97" s="6" t="str"/>
      <x:c r="F97" s="6" t="str"/>
      <x:c r="G97" s="6" t="str"/>
      <x:c r="H97" s="6" t="str">
        <x:v>Unknown</x:v>
      </x:c>
      <x:c r="I97" s="6" t="str"/>
      <x:c r="J97" s="6" t="str">
        <x:v>Unresolved</x:v>
      </x:c>
      <x:c r="K97" s="7" t="str">
        <x:v>Nocturnix_Master_Services_Catalog_v1.xlsx | 01 - Master Services | row 136</x:v>
      </x:c>
      <x:c r="L97" s="6" t="str"/>
      <x:c r="M97" s="6" t="str"/>
      <x:c r="N97" s="6" t="str">
        <x:v>Pending</x:v>
      </x:c>
      <x:c r="O97" s="7" t="str">
        <x:f>IF(OR(D97="Reviewer Complete",D97="Awaiting Second-Level Approval"),"","Service identity dependency unresolved")</x:f>
        <x:v>Service identity dependency unresolved</x:v>
      </x:c>
      <x:c r="P97" s="6" t="str">
        <x:v>Yes</x:v>
      </x:c>
      <x:c r="Q97" s="7" t="str"/>
    </x:row>
    <x:row r="98">
      <x:c r="A98" s="6" t="str">
        <x:v>PRTX-0097</x:v>
      </x:c>
      <x:c r="B98" s="6" t="str">
        <x:v>SVC000097</x:v>
      </x:c>
      <x:c r="C98" s="6" t="str">
        <x:v>SIDX-0097</x:v>
      </x:c>
      <x:c r="D98" s="6" t="str">
        <x:f>IFERROR(XLOOKUP(C98,'Review Sequence'!C2:C1586,'Review Sequence'!J2:J1586),"Dependency not found")</x:f>
        <x:v>Not Started</x:v>
      </x:c>
      <x:c r="E98" s="6" t="str"/>
      <x:c r="F98" s="6" t="str"/>
      <x:c r="G98" s="6" t="str"/>
      <x:c r="H98" s="6" t="str">
        <x:v>Unknown</x:v>
      </x:c>
      <x:c r="I98" s="6" t="str"/>
      <x:c r="J98" s="6" t="str">
        <x:v>Unresolved</x:v>
      </x:c>
      <x:c r="K98" s="7" t="str">
        <x:v>Nocturnix_Master_Services_Catalog_v1.xlsx | 01 - Master Services | row 137</x:v>
      </x:c>
      <x:c r="L98" s="6" t="str"/>
      <x:c r="M98" s="6" t="str"/>
      <x:c r="N98" s="6" t="str">
        <x:v>Pending</x:v>
      </x:c>
      <x:c r="O98" s="7" t="str">
        <x:f>IF(OR(D98="Reviewer Complete",D98="Awaiting Second-Level Approval"),"","Service identity dependency unresolved")</x:f>
        <x:v>Service identity dependency unresolved</x:v>
      </x:c>
      <x:c r="P98" s="6" t="str">
        <x:v>Yes</x:v>
      </x:c>
      <x:c r="Q98" s="7" t="str"/>
    </x:row>
    <x:row r="99">
      <x:c r="A99" s="6" t="str">
        <x:v>PRTX-0098</x:v>
      </x:c>
      <x:c r="B99" s="6" t="str">
        <x:v>SVC000098</x:v>
      </x:c>
      <x:c r="C99" s="6" t="str">
        <x:v>SIDX-0098</x:v>
      </x:c>
      <x:c r="D99" s="6" t="str">
        <x:f>IFERROR(XLOOKUP(C99,'Review Sequence'!C2:C1586,'Review Sequence'!J2:J1586),"Dependency not found")</x:f>
        <x:v>Not Started</x:v>
      </x:c>
      <x:c r="E99" s="6" t="str"/>
      <x:c r="F99" s="6" t="str"/>
      <x:c r="G99" s="6" t="str"/>
      <x:c r="H99" s="6" t="str">
        <x:v>Unknown</x:v>
      </x:c>
      <x:c r="I99" s="6" t="str"/>
      <x:c r="J99" s="6" t="str">
        <x:v>Unresolved</x:v>
      </x:c>
      <x:c r="K99" s="7" t="str">
        <x:v>Nocturnix_Master_Services_Catalog_v1.xlsx | 01 - Master Services | row 138</x:v>
      </x:c>
      <x:c r="L99" s="6" t="str"/>
      <x:c r="M99" s="6" t="str"/>
      <x:c r="N99" s="6" t="str">
        <x:v>Pending</x:v>
      </x:c>
      <x:c r="O99" s="7" t="str">
        <x:f>IF(OR(D99="Reviewer Complete",D99="Awaiting Second-Level Approval"),"","Service identity dependency unresolved")</x:f>
        <x:v>Service identity dependency unresolved</x:v>
      </x:c>
      <x:c r="P99" s="6" t="str">
        <x:v>Yes</x:v>
      </x:c>
      <x:c r="Q99" s="7" t="str"/>
    </x:row>
    <x:row r="100">
      <x:c r="A100" s="6" t="str">
        <x:v>PRTX-0099</x:v>
      </x:c>
      <x:c r="B100" s="6" t="str">
        <x:v>SVC000099</x:v>
      </x:c>
      <x:c r="C100" s="6" t="str">
        <x:v>SIDX-0099</x:v>
      </x:c>
      <x:c r="D100" s="6" t="str">
        <x:f>IFERROR(XLOOKUP(C100,'Review Sequence'!C2:C1586,'Review Sequence'!J2:J1586),"Dependency not found")</x:f>
        <x:v>Not Started</x:v>
      </x:c>
      <x:c r="E100" s="6" t="str"/>
      <x:c r="F100" s="6" t="str"/>
      <x:c r="G100" s="6" t="str"/>
      <x:c r="H100" s="6" t="str">
        <x:v>Unknown</x:v>
      </x:c>
      <x:c r="I100" s="6" t="str"/>
      <x:c r="J100" s="6" t="str">
        <x:v>Unresolved</x:v>
      </x:c>
      <x:c r="K100" s="7" t="str">
        <x:v>Nocturnix_Master_Services_Catalog_v1.xlsx | 01 - Master Services | row 139</x:v>
      </x:c>
      <x:c r="L100" s="6" t="str"/>
      <x:c r="M100" s="6" t="str"/>
      <x:c r="N100" s="6" t="str">
        <x:v>Pending</x:v>
      </x:c>
      <x:c r="O100" s="7" t="str">
        <x:f>IF(OR(D100="Reviewer Complete",D100="Awaiting Second-Level Approval"),"","Service identity dependency unresolved")</x:f>
        <x:v>Service identity dependency unresolved</x:v>
      </x:c>
      <x:c r="P100" s="6" t="str">
        <x:v>Yes</x:v>
      </x:c>
      <x:c r="Q100" s="7" t="str"/>
    </x:row>
    <x:row r="101">
      <x:c r="A101" s="6" t="str">
        <x:v>PRTX-0100</x:v>
      </x:c>
      <x:c r="B101" s="6" t="str">
        <x:v>SVC000100</x:v>
      </x:c>
      <x:c r="C101" s="6" t="str">
        <x:v>SIDX-0100</x:v>
      </x:c>
      <x:c r="D101" s="6" t="str">
        <x:f>IFERROR(XLOOKUP(C101,'Review Sequence'!C2:C1586,'Review Sequence'!J2:J1586),"Dependency not found")</x:f>
        <x:v>Not Started</x:v>
      </x:c>
      <x:c r="E101" s="6" t="str"/>
      <x:c r="F101" s="6" t="str"/>
      <x:c r="G101" s="6" t="str"/>
      <x:c r="H101" s="6" t="str">
        <x:v>Unknown</x:v>
      </x:c>
      <x:c r="I101" s="6" t="str"/>
      <x:c r="J101" s="6" t="str">
        <x:v>Unresolved</x:v>
      </x:c>
      <x:c r="K101" s="7" t="str">
        <x:v>Nocturnix_Master_Services_Catalog_v1.xlsx | 01 - Master Services | row 140</x:v>
      </x:c>
      <x:c r="L101" s="6" t="str"/>
      <x:c r="M101" s="6" t="str"/>
      <x:c r="N101" s="6" t="str">
        <x:v>Pending</x:v>
      </x:c>
      <x:c r="O101" s="7" t="str">
        <x:f>IF(OR(D101="Reviewer Complete",D101="Awaiting Second-Level Approval"),"","Service identity dependency unresolved")</x:f>
        <x:v>Service identity dependency unresolved</x:v>
      </x:c>
      <x:c r="P101" s="6" t="str">
        <x:v>Yes</x:v>
      </x:c>
      <x:c r="Q101" s="7" t="str"/>
    </x:row>
    <x:row r="102">
      <x:c r="A102" s="6" t="str">
        <x:v>PRTX-0101</x:v>
      </x:c>
      <x:c r="B102" s="6" t="str">
        <x:v>SVC000101</x:v>
      </x:c>
      <x:c r="C102" s="6" t="str">
        <x:v>SIDX-0101</x:v>
      </x:c>
      <x:c r="D102" s="6" t="str">
        <x:f>IFERROR(XLOOKUP(C102,'Review Sequence'!C2:C1586,'Review Sequence'!J2:J1586),"Dependency not found")</x:f>
        <x:v>Not Started</x:v>
      </x:c>
      <x:c r="E102" s="6" t="str"/>
      <x:c r="F102" s="6" t="str"/>
      <x:c r="G102" s="6" t="str"/>
      <x:c r="H102" s="6" t="str">
        <x:v>Unknown</x:v>
      </x:c>
      <x:c r="I102" s="6" t="str"/>
      <x:c r="J102" s="6" t="str">
        <x:v>Unresolved</x:v>
      </x:c>
      <x:c r="K102" s="7" t="str">
        <x:v>Nocturnix_Master_Services_Catalog_v1.xlsx | 01 - Master Services | row 141</x:v>
      </x:c>
      <x:c r="L102" s="6" t="str"/>
      <x:c r="M102" s="6" t="str"/>
      <x:c r="N102" s="6" t="str">
        <x:v>Pending</x:v>
      </x:c>
      <x:c r="O102" s="7" t="str">
        <x:f>IF(OR(D102="Reviewer Complete",D102="Awaiting Second-Level Approval"),"","Service identity dependency unresolved")</x:f>
        <x:v>Service identity dependency unresolved</x:v>
      </x:c>
      <x:c r="P102" s="6" t="str">
        <x:v>Yes</x:v>
      </x:c>
      <x:c r="Q102" s="7" t="str"/>
    </x:row>
    <x:row r="103">
      <x:c r="A103" s="6" t="str">
        <x:v>PRTX-0102</x:v>
      </x:c>
      <x:c r="B103" s="6" t="str">
        <x:v>SVC000102</x:v>
      </x:c>
      <x:c r="C103" s="6" t="str">
        <x:v>SIDX-0102</x:v>
      </x:c>
      <x:c r="D103" s="6" t="str">
        <x:f>IFERROR(XLOOKUP(C103,'Review Sequence'!C2:C1586,'Review Sequence'!J2:J1586),"Dependency not found")</x:f>
        <x:v>Not Started</x:v>
      </x:c>
      <x:c r="E103" s="6" t="str"/>
      <x:c r="F103" s="6" t="str"/>
      <x:c r="G103" s="6" t="str"/>
      <x:c r="H103" s="6" t="str">
        <x:v>Unknown</x:v>
      </x:c>
      <x:c r="I103" s="6" t="str"/>
      <x:c r="J103" s="6" t="str">
        <x:v>Unresolved</x:v>
      </x:c>
      <x:c r="K103" s="7" t="str">
        <x:v>Nocturnix_Master_Services_Catalog_v1.xlsx | 01 - Master Services | row 142</x:v>
      </x:c>
      <x:c r="L103" s="6" t="str"/>
      <x:c r="M103" s="6" t="str"/>
      <x:c r="N103" s="6" t="str">
        <x:v>Pending</x:v>
      </x:c>
      <x:c r="O103" s="7" t="str">
        <x:f>IF(OR(D103="Reviewer Complete",D103="Awaiting Second-Level Approval"),"","Service identity dependency unresolved")</x:f>
        <x:v>Service identity dependency unresolved</x:v>
      </x:c>
      <x:c r="P103" s="6" t="str">
        <x:v>Yes</x:v>
      </x:c>
      <x:c r="Q103" s="7" t="str"/>
    </x:row>
    <x:row r="104">
      <x:c r="A104" s="6" t="str">
        <x:v>PRTX-0103</x:v>
      </x:c>
      <x:c r="B104" s="6" t="str">
        <x:v>SVC000103</x:v>
      </x:c>
      <x:c r="C104" s="6" t="str">
        <x:v>SIDX-0103</x:v>
      </x:c>
      <x:c r="D104" s="6" t="str">
        <x:f>IFERROR(XLOOKUP(C104,'Review Sequence'!C2:C1586,'Review Sequence'!J2:J1586),"Dependency not found")</x:f>
        <x:v>Not Started</x:v>
      </x:c>
      <x:c r="E104" s="6" t="str"/>
      <x:c r="F104" s="6" t="str"/>
      <x:c r="G104" s="6" t="str"/>
      <x:c r="H104" s="6" t="str">
        <x:v>Unknown</x:v>
      </x:c>
      <x:c r="I104" s="6" t="str"/>
      <x:c r="J104" s="6" t="str">
        <x:v>Unresolved</x:v>
      </x:c>
      <x:c r="K104" s="7" t="str">
        <x:v>Nocturnix_Master_Services_Catalog_v1.xlsx | 01 - Master Services | row 143</x:v>
      </x:c>
      <x:c r="L104" s="6" t="str"/>
      <x:c r="M104" s="6" t="str"/>
      <x:c r="N104" s="6" t="str">
        <x:v>Pending</x:v>
      </x:c>
      <x:c r="O104" s="7" t="str">
        <x:f>IF(OR(D104="Reviewer Complete",D104="Awaiting Second-Level Approval"),"","Service identity dependency unresolved")</x:f>
        <x:v>Service identity dependency unresolved</x:v>
      </x:c>
      <x:c r="P104" s="6" t="str">
        <x:v>Yes</x:v>
      </x:c>
      <x:c r="Q104" s="7" t="str"/>
    </x:row>
    <x:row r="105">
      <x:c r="A105" s="6" t="str">
        <x:v>PRTX-0104</x:v>
      </x:c>
      <x:c r="B105" s="6" t="str">
        <x:v>SVC000104</x:v>
      </x:c>
      <x:c r="C105" s="6" t="str">
        <x:v>SIDX-0104</x:v>
      </x:c>
      <x:c r="D105" s="6" t="str">
        <x:f>IFERROR(XLOOKUP(C105,'Review Sequence'!C2:C1586,'Review Sequence'!J2:J1586),"Dependency not found")</x:f>
        <x:v>Not Started</x:v>
      </x:c>
      <x:c r="E105" s="6" t="str"/>
      <x:c r="F105" s="6" t="str"/>
      <x:c r="G105" s="6" t="str"/>
      <x:c r="H105" s="6" t="str">
        <x:v>Unknown</x:v>
      </x:c>
      <x:c r="I105" s="6" t="str"/>
      <x:c r="J105" s="6" t="str">
        <x:v>Unresolved</x:v>
      </x:c>
      <x:c r="K105" s="7" t="str">
        <x:v>Nocturnix_Master_Services_Catalog_v1.xlsx | 01 - Master Services | row 144</x:v>
      </x:c>
      <x:c r="L105" s="6" t="str"/>
      <x:c r="M105" s="6" t="str"/>
      <x:c r="N105" s="6" t="str">
        <x:v>Pending</x:v>
      </x:c>
      <x:c r="O105" s="7" t="str">
        <x:f>IF(OR(D105="Reviewer Complete",D105="Awaiting Second-Level Approval"),"","Service identity dependency unresolved")</x:f>
        <x:v>Service identity dependency unresolved</x:v>
      </x:c>
      <x:c r="P105" s="6" t="str">
        <x:v>Yes</x:v>
      </x:c>
      <x:c r="Q105" s="7" t="str"/>
    </x:row>
    <x:row r="106">
      <x:c r="A106" s="6" t="str">
        <x:v>PRTX-0105</x:v>
      </x:c>
      <x:c r="B106" s="6" t="str">
        <x:v>SVC000105</x:v>
      </x:c>
      <x:c r="C106" s="6" t="str">
        <x:v>SIDX-0105</x:v>
      </x:c>
      <x:c r="D106" s="6" t="str">
        <x:f>IFERROR(XLOOKUP(C106,'Review Sequence'!C2:C1586,'Review Sequence'!J2:J1586),"Dependency not found")</x:f>
        <x:v>Not Started</x:v>
      </x:c>
      <x:c r="E106" s="6" t="str"/>
      <x:c r="F106" s="6" t="str"/>
      <x:c r="G106" s="6" t="str"/>
      <x:c r="H106" s="6" t="str">
        <x:v>Unknown</x:v>
      </x:c>
      <x:c r="I106" s="6" t="str"/>
      <x:c r="J106" s="6" t="str">
        <x:v>Unresolved</x:v>
      </x:c>
      <x:c r="K106" s="7" t="str">
        <x:v>Nocturnix_Master_Services_Catalog_v1.xlsx | 01 - Master Services | row 145</x:v>
      </x:c>
      <x:c r="L106" s="6" t="str"/>
      <x:c r="M106" s="6" t="str"/>
      <x:c r="N106" s="6" t="str">
        <x:v>Pending</x:v>
      </x:c>
      <x:c r="O106" s="7" t="str">
        <x:f>IF(OR(D106="Reviewer Complete",D106="Awaiting Second-Level Approval"),"","Service identity dependency unresolved")</x:f>
        <x:v>Service identity dependency unresolved</x:v>
      </x:c>
      <x:c r="P106" s="6" t="str">
        <x:v>Yes</x:v>
      </x:c>
      <x:c r="Q106" s="7" t="str"/>
    </x:row>
    <x:row r="107">
      <x:c r="A107" s="6" t="str">
        <x:v>PRTX-0106</x:v>
      </x:c>
      <x:c r="B107" s="6" t="str">
        <x:v>SVC000106</x:v>
      </x:c>
      <x:c r="C107" s="6" t="str">
        <x:v>SIDX-0106</x:v>
      </x:c>
      <x:c r="D107" s="6" t="str">
        <x:f>IFERROR(XLOOKUP(C107,'Review Sequence'!C2:C1586,'Review Sequence'!J2:J1586),"Dependency not found")</x:f>
        <x:v>Not Started</x:v>
      </x:c>
      <x:c r="E107" s="6" t="str"/>
      <x:c r="F107" s="6" t="str"/>
      <x:c r="G107" s="6" t="str"/>
      <x:c r="H107" s="6" t="str">
        <x:v>Unknown</x:v>
      </x:c>
      <x:c r="I107" s="6" t="str"/>
      <x:c r="J107" s="6" t="str">
        <x:v>Unresolved</x:v>
      </x:c>
      <x:c r="K107" s="7" t="str">
        <x:v>Nocturnix_Master_Services_Catalog_v1.xlsx | 01 - Master Services | row 146</x:v>
      </x:c>
      <x:c r="L107" s="6" t="str"/>
      <x:c r="M107" s="6" t="str"/>
      <x:c r="N107" s="6" t="str">
        <x:v>Pending</x:v>
      </x:c>
      <x:c r="O107" s="7" t="str">
        <x:f>IF(OR(D107="Reviewer Complete",D107="Awaiting Second-Level Approval"),"","Service identity dependency unresolved")</x:f>
        <x:v>Service identity dependency unresolved</x:v>
      </x:c>
      <x:c r="P107" s="6" t="str">
        <x:v>Yes</x:v>
      </x:c>
      <x:c r="Q107" s="7" t="str"/>
    </x:row>
    <x:row r="108">
      <x:c r="A108" s="6" t="str">
        <x:v>PRTX-0107</x:v>
      </x:c>
      <x:c r="B108" s="6" t="str">
        <x:v>SVC000107</x:v>
      </x:c>
      <x:c r="C108" s="6" t="str">
        <x:v>SIDX-0107</x:v>
      </x:c>
      <x:c r="D108" s="6" t="str">
        <x:f>IFERROR(XLOOKUP(C108,'Review Sequence'!C2:C1586,'Review Sequence'!J2:J1586),"Dependency not found")</x:f>
        <x:v>Not Started</x:v>
      </x:c>
      <x:c r="E108" s="6" t="str"/>
      <x:c r="F108" s="6" t="str"/>
      <x:c r="G108" s="6" t="str"/>
      <x:c r="H108" s="6" t="str">
        <x:v>Unknown</x:v>
      </x:c>
      <x:c r="I108" s="6" t="str"/>
      <x:c r="J108" s="6" t="str">
        <x:v>Unresolved</x:v>
      </x:c>
      <x:c r="K108" s="7" t="str">
        <x:v>Nocturnix_Master_Services_Catalog_v1.xlsx | 01 - Master Services | row 147</x:v>
      </x:c>
      <x:c r="L108" s="6" t="str"/>
      <x:c r="M108" s="6" t="str"/>
      <x:c r="N108" s="6" t="str">
        <x:v>Pending</x:v>
      </x:c>
      <x:c r="O108" s="7" t="str">
        <x:f>IF(OR(D108="Reviewer Complete",D108="Awaiting Second-Level Approval"),"","Service identity dependency unresolved")</x:f>
        <x:v>Service identity dependency unresolved</x:v>
      </x:c>
      <x:c r="P108" s="6" t="str">
        <x:v>Yes</x:v>
      </x:c>
      <x:c r="Q108" s="7" t="str"/>
    </x:row>
    <x:row r="109">
      <x:c r="A109" s="6" t="str">
        <x:v>PRTX-0108</x:v>
      </x:c>
      <x:c r="B109" s="6" t="str">
        <x:v>SVC000108</x:v>
      </x:c>
      <x:c r="C109" s="6" t="str">
        <x:v>SIDX-0108</x:v>
      </x:c>
      <x:c r="D109" s="6" t="str">
        <x:f>IFERROR(XLOOKUP(C109,'Review Sequence'!C2:C1586,'Review Sequence'!J2:J1586),"Dependency not found")</x:f>
        <x:v>Not Started</x:v>
      </x:c>
      <x:c r="E109" s="6" t="str"/>
      <x:c r="F109" s="6" t="str"/>
      <x:c r="G109" s="6" t="str"/>
      <x:c r="H109" s="6" t="str">
        <x:v>Unknown</x:v>
      </x:c>
      <x:c r="I109" s="6" t="str"/>
      <x:c r="J109" s="6" t="str">
        <x:v>Unresolved</x:v>
      </x:c>
      <x:c r="K109" s="7" t="str">
        <x:v>Nocturnix_Master_Services_Catalog_v1.xlsx | 01 - Master Services | row 148</x:v>
      </x:c>
      <x:c r="L109" s="6" t="str"/>
      <x:c r="M109" s="6" t="str"/>
      <x:c r="N109" s="6" t="str">
        <x:v>Pending</x:v>
      </x:c>
      <x:c r="O109" s="7" t="str">
        <x:f>IF(OR(D109="Reviewer Complete",D109="Awaiting Second-Level Approval"),"","Service identity dependency unresolved")</x:f>
        <x:v>Service identity dependency unresolved</x:v>
      </x:c>
      <x:c r="P109" s="6" t="str">
        <x:v>Yes</x:v>
      </x:c>
      <x:c r="Q109" s="7" t="str"/>
    </x:row>
    <x:row r="110">
      <x:c r="A110" s="6" t="str">
        <x:v>PRTX-0109</x:v>
      </x:c>
      <x:c r="B110" s="6" t="str">
        <x:v>SVC000109</x:v>
      </x:c>
      <x:c r="C110" s="6" t="str">
        <x:v>SIDX-0109</x:v>
      </x:c>
      <x:c r="D110" s="6" t="str">
        <x:f>IFERROR(XLOOKUP(C110,'Review Sequence'!C2:C1586,'Review Sequence'!J2:J1586),"Dependency not found")</x:f>
        <x:v>Not Started</x:v>
      </x:c>
      <x:c r="E110" s="6" t="str"/>
      <x:c r="F110" s="6" t="str"/>
      <x:c r="G110" s="6" t="str"/>
      <x:c r="H110" s="6" t="str">
        <x:v>Unknown</x:v>
      </x:c>
      <x:c r="I110" s="6" t="str"/>
      <x:c r="J110" s="6" t="str">
        <x:v>Unresolved</x:v>
      </x:c>
      <x:c r="K110" s="7" t="str">
        <x:v>Nocturnix_Master_Services_Catalog_v1.xlsx | 01 - Master Services | row 149</x:v>
      </x:c>
      <x:c r="L110" s="6" t="str"/>
      <x:c r="M110" s="6" t="str"/>
      <x:c r="N110" s="6" t="str">
        <x:v>Pending</x:v>
      </x:c>
      <x:c r="O110" s="7" t="str">
        <x:f>IF(OR(D110="Reviewer Complete",D110="Awaiting Second-Level Approval"),"","Service identity dependency unresolved")</x:f>
        <x:v>Service identity dependency unresolved</x:v>
      </x:c>
      <x:c r="P110" s="6" t="str">
        <x:v>Yes</x:v>
      </x:c>
      <x:c r="Q110" s="7" t="str"/>
    </x:row>
    <x:row r="111">
      <x:c r="A111" s="6" t="str">
        <x:v>PRTX-0110</x:v>
      </x:c>
      <x:c r="B111" s="6" t="str">
        <x:v>SVC000110</x:v>
      </x:c>
      <x:c r="C111" s="6" t="str">
        <x:v>SIDX-0110</x:v>
      </x:c>
      <x:c r="D111" s="6" t="str">
        <x:f>IFERROR(XLOOKUP(C111,'Review Sequence'!C2:C1586,'Review Sequence'!J2:J1586),"Dependency not found")</x:f>
        <x:v>Not Started</x:v>
      </x:c>
      <x:c r="E111" s="6" t="str"/>
      <x:c r="F111" s="6" t="str"/>
      <x:c r="G111" s="6" t="str"/>
      <x:c r="H111" s="6" t="str">
        <x:v>Unknown</x:v>
      </x:c>
      <x:c r="I111" s="6" t="str"/>
      <x:c r="J111" s="6" t="str">
        <x:v>Unresolved</x:v>
      </x:c>
      <x:c r="K111" s="7" t="str">
        <x:v>Nocturnix_Master_Services_Catalog_v1.xlsx | 01 - Master Services | row 150</x:v>
      </x:c>
      <x:c r="L111" s="6" t="str"/>
      <x:c r="M111" s="6" t="str"/>
      <x:c r="N111" s="6" t="str">
        <x:v>Pending</x:v>
      </x:c>
      <x:c r="O111" s="7" t="str">
        <x:f>IF(OR(D111="Reviewer Complete",D111="Awaiting Second-Level Approval"),"","Service identity dependency unresolved")</x:f>
        <x:v>Service identity dependency unresolved</x:v>
      </x:c>
      <x:c r="P111" s="6" t="str">
        <x:v>Yes</x:v>
      </x:c>
      <x:c r="Q111" s="7" t="str"/>
    </x:row>
    <x:row r="112">
      <x:c r="A112" s="6" t="str">
        <x:v>PRTX-0111</x:v>
      </x:c>
      <x:c r="B112" s="6" t="str">
        <x:v>SVC000111</x:v>
      </x:c>
      <x:c r="C112" s="6" t="str">
        <x:v>SIDX-0111</x:v>
      </x:c>
      <x:c r="D112" s="6" t="str">
        <x:f>IFERROR(XLOOKUP(C112,'Review Sequence'!C2:C1586,'Review Sequence'!J2:J1586),"Dependency not found")</x:f>
        <x:v>Not Started</x:v>
      </x:c>
      <x:c r="E112" s="6" t="str"/>
      <x:c r="F112" s="6" t="str"/>
      <x:c r="G112" s="6" t="str"/>
      <x:c r="H112" s="6" t="str">
        <x:v>Unknown</x:v>
      </x:c>
      <x:c r="I112" s="6" t="str"/>
      <x:c r="J112" s="6" t="str">
        <x:v>Unresolved</x:v>
      </x:c>
      <x:c r="K112" s="7" t="str">
        <x:v>Nocturnix_Master_Services_Catalog_v1.xlsx | 01 - Master Services | row 151</x:v>
      </x:c>
      <x:c r="L112" s="6" t="str"/>
      <x:c r="M112" s="6" t="str"/>
      <x:c r="N112" s="6" t="str">
        <x:v>Pending</x:v>
      </x:c>
      <x:c r="O112" s="7" t="str">
        <x:f>IF(OR(D112="Reviewer Complete",D112="Awaiting Second-Level Approval"),"","Service identity dependency unresolved")</x:f>
        <x:v>Service identity dependency unresolved</x:v>
      </x:c>
      <x:c r="P112" s="6" t="str">
        <x:v>Yes</x:v>
      </x:c>
      <x:c r="Q112" s="7" t="str"/>
    </x:row>
    <x:row r="113">
      <x:c r="A113" s="6" t="str">
        <x:v>PRTX-0112</x:v>
      </x:c>
      <x:c r="B113" s="6" t="str">
        <x:v>SVC000112</x:v>
      </x:c>
      <x:c r="C113" s="6" t="str">
        <x:v>SIDX-0112</x:v>
      </x:c>
      <x:c r="D113" s="6" t="str">
        <x:f>IFERROR(XLOOKUP(C113,'Review Sequence'!C2:C1586,'Review Sequence'!J2:J1586),"Dependency not found")</x:f>
        <x:v>Not Started</x:v>
      </x:c>
      <x:c r="E113" s="6" t="str"/>
      <x:c r="F113" s="6" t="str"/>
      <x:c r="G113" s="6" t="str"/>
      <x:c r="H113" s="6" t="str">
        <x:v>Unknown</x:v>
      </x:c>
      <x:c r="I113" s="6" t="str"/>
      <x:c r="J113" s="6" t="str">
        <x:v>Unresolved</x:v>
      </x:c>
      <x:c r="K113" s="7" t="str">
        <x:v>Nocturnix_Master_Services_Catalog_v1.xlsx | 01 - Master Services | row 152</x:v>
      </x:c>
      <x:c r="L113" s="6" t="str"/>
      <x:c r="M113" s="6" t="str"/>
      <x:c r="N113" s="6" t="str">
        <x:v>Pending</x:v>
      </x:c>
      <x:c r="O113" s="7" t="str">
        <x:f>IF(OR(D113="Reviewer Complete",D113="Awaiting Second-Level Approval"),"","Service identity dependency unresolved")</x:f>
        <x:v>Service identity dependency unresolved</x:v>
      </x:c>
      <x:c r="P113" s="6" t="str">
        <x:v>Yes</x:v>
      </x:c>
      <x:c r="Q113" s="7" t="str"/>
    </x:row>
    <x:row r="114">
      <x:c r="A114" s="6" t="str">
        <x:v>PRTX-0113</x:v>
      </x:c>
      <x:c r="B114" s="6" t="str">
        <x:v>SVC000113</x:v>
      </x:c>
      <x:c r="C114" s="6" t="str">
        <x:v>SIDX-0113</x:v>
      </x:c>
      <x:c r="D114" s="6" t="str">
        <x:f>IFERROR(XLOOKUP(C114,'Review Sequence'!C2:C1586,'Review Sequence'!J2:J1586),"Dependency not found")</x:f>
        <x:v>Not Started</x:v>
      </x:c>
      <x:c r="E114" s="6" t="str"/>
      <x:c r="F114" s="6" t="str"/>
      <x:c r="G114" s="6" t="str"/>
      <x:c r="H114" s="6" t="str">
        <x:v>Unknown</x:v>
      </x:c>
      <x:c r="I114" s="6" t="str"/>
      <x:c r="J114" s="6" t="str">
        <x:v>Unresolved</x:v>
      </x:c>
      <x:c r="K114" s="7" t="str">
        <x:v>Nocturnix_Master_Services_Catalog_v1.xlsx | 01 - Master Services | row 153</x:v>
      </x:c>
      <x:c r="L114" s="6" t="str"/>
      <x:c r="M114" s="6" t="str"/>
      <x:c r="N114" s="6" t="str">
        <x:v>Pending</x:v>
      </x:c>
      <x:c r="O114" s="7" t="str">
        <x:f>IF(OR(D114="Reviewer Complete",D114="Awaiting Second-Level Approval"),"","Service identity dependency unresolved")</x:f>
        <x:v>Service identity dependency unresolved</x:v>
      </x:c>
      <x:c r="P114" s="6" t="str">
        <x:v>Yes</x:v>
      </x:c>
      <x:c r="Q114" s="7" t="str"/>
    </x:row>
    <x:row r="115">
      <x:c r="A115" s="6" t="str">
        <x:v>PRTX-0114</x:v>
      </x:c>
      <x:c r="B115" s="6" t="str">
        <x:v>SVC000114</x:v>
      </x:c>
      <x:c r="C115" s="6" t="str">
        <x:v>SIDX-0114</x:v>
      </x:c>
      <x:c r="D115" s="6" t="str">
        <x:f>IFERROR(XLOOKUP(C115,'Review Sequence'!C2:C1586,'Review Sequence'!J2:J1586),"Dependency not found")</x:f>
        <x:v>Not Started</x:v>
      </x:c>
      <x:c r="E115" s="6" t="str"/>
      <x:c r="F115" s="6" t="str"/>
      <x:c r="G115" s="6" t="str"/>
      <x:c r="H115" s="6" t="str">
        <x:v>Unknown</x:v>
      </x:c>
      <x:c r="I115" s="6" t="str"/>
      <x:c r="J115" s="6" t="str">
        <x:v>Unresolved</x:v>
      </x:c>
      <x:c r="K115" s="7" t="str">
        <x:v>Nocturnix_Master_Services_Catalog_v1.xlsx | 01 - Master Services | row 154</x:v>
      </x:c>
      <x:c r="L115" s="6" t="str"/>
      <x:c r="M115" s="6" t="str"/>
      <x:c r="N115" s="6" t="str">
        <x:v>Pending</x:v>
      </x:c>
      <x:c r="O115" s="7" t="str">
        <x:f>IF(OR(D115="Reviewer Complete",D115="Awaiting Second-Level Approval"),"","Service identity dependency unresolved")</x:f>
        <x:v>Service identity dependency unresolved</x:v>
      </x:c>
      <x:c r="P115" s="6" t="str">
        <x:v>Yes</x:v>
      </x:c>
      <x:c r="Q115" s="7" t="str"/>
    </x:row>
    <x:row r="116">
      <x:c r="A116" s="6" t="str">
        <x:v>PRTX-0115</x:v>
      </x:c>
      <x:c r="B116" s="6" t="str">
        <x:v>SVC000115</x:v>
      </x:c>
      <x:c r="C116" s="6" t="str">
        <x:v>SIDX-0115</x:v>
      </x:c>
      <x:c r="D116" s="6" t="str">
        <x:f>IFERROR(XLOOKUP(C116,'Review Sequence'!C2:C1586,'Review Sequence'!J2:J1586),"Dependency not found")</x:f>
        <x:v>Not Started</x:v>
      </x:c>
      <x:c r="E116" s="6" t="str"/>
      <x:c r="F116" s="6" t="str"/>
      <x:c r="G116" s="6" t="str"/>
      <x:c r="H116" s="6" t="str">
        <x:v>Unknown</x:v>
      </x:c>
      <x:c r="I116" s="6" t="str"/>
      <x:c r="J116" s="6" t="str">
        <x:v>Unresolved</x:v>
      </x:c>
      <x:c r="K116" s="7" t="str">
        <x:v>Nocturnix_Master_Services_Catalog_v1.xlsx | 01 - Master Services | row 155</x:v>
      </x:c>
      <x:c r="L116" s="6" t="str"/>
      <x:c r="M116" s="6" t="str"/>
      <x:c r="N116" s="6" t="str">
        <x:v>Pending</x:v>
      </x:c>
      <x:c r="O116" s="7" t="str">
        <x:f>IF(OR(D116="Reviewer Complete",D116="Awaiting Second-Level Approval"),"","Service identity dependency unresolved")</x:f>
        <x:v>Service identity dependency unresolved</x:v>
      </x:c>
      <x:c r="P116" s="6" t="str">
        <x:v>Yes</x:v>
      </x:c>
      <x:c r="Q116" s="7" t="str"/>
    </x:row>
    <x:row r="117">
      <x:c r="A117" s="6" t="str">
        <x:v>PRTX-0116</x:v>
      </x:c>
      <x:c r="B117" s="6" t="str">
        <x:v>SVC000116</x:v>
      </x:c>
      <x:c r="C117" s="6" t="str">
        <x:v>SIDX-0116</x:v>
      </x:c>
      <x:c r="D117" s="6" t="str">
        <x:f>IFERROR(XLOOKUP(C117,'Review Sequence'!C2:C1586,'Review Sequence'!J2:J1586),"Dependency not found")</x:f>
        <x:v>Not Started</x:v>
      </x:c>
      <x:c r="E117" s="6" t="str"/>
      <x:c r="F117" s="6" t="str"/>
      <x:c r="G117" s="6" t="str"/>
      <x:c r="H117" s="6" t="str">
        <x:v>Unknown</x:v>
      </x:c>
      <x:c r="I117" s="6" t="str"/>
      <x:c r="J117" s="6" t="str">
        <x:v>Unresolved</x:v>
      </x:c>
      <x:c r="K117" s="7" t="str">
        <x:v>Nocturnix_Master_Services_Catalog_v1.xlsx | 01 - Master Services | row 156</x:v>
      </x:c>
      <x:c r="L117" s="6" t="str"/>
      <x:c r="M117" s="6" t="str"/>
      <x:c r="N117" s="6" t="str">
        <x:v>Pending</x:v>
      </x:c>
      <x:c r="O117" s="7" t="str">
        <x:f>IF(OR(D117="Reviewer Complete",D117="Awaiting Second-Level Approval"),"","Service identity dependency unresolved")</x:f>
        <x:v>Service identity dependency unresolved</x:v>
      </x:c>
      <x:c r="P117" s="6" t="str">
        <x:v>Yes</x:v>
      </x:c>
      <x:c r="Q117" s="7" t="str"/>
    </x:row>
    <x:row r="118">
      <x:c r="A118" s="6" t="str">
        <x:v>PRTX-0117</x:v>
      </x:c>
      <x:c r="B118" s="6" t="str">
        <x:v>SVC000117</x:v>
      </x:c>
      <x:c r="C118" s="6" t="str">
        <x:v>SIDX-0117</x:v>
      </x:c>
      <x:c r="D118" s="6" t="str">
        <x:f>IFERROR(XLOOKUP(C118,'Review Sequence'!C2:C1586,'Review Sequence'!J2:J1586),"Dependency not found")</x:f>
        <x:v>Not Started</x:v>
      </x:c>
      <x:c r="E118" s="6" t="str"/>
      <x:c r="F118" s="6" t="str"/>
      <x:c r="G118" s="6" t="str"/>
      <x:c r="H118" s="6" t="str">
        <x:v>Unknown</x:v>
      </x:c>
      <x:c r="I118" s="6" t="str"/>
      <x:c r="J118" s="6" t="str">
        <x:v>Unresolved</x:v>
      </x:c>
      <x:c r="K118" s="7" t="str">
        <x:v>Nocturnix_Master_Services_Catalog_v1.xlsx | 01 - Master Services | row 157</x:v>
      </x:c>
      <x:c r="L118" s="6" t="str"/>
      <x:c r="M118" s="6" t="str"/>
      <x:c r="N118" s="6" t="str">
        <x:v>Pending</x:v>
      </x:c>
      <x:c r="O118" s="7" t="str">
        <x:f>IF(OR(D118="Reviewer Complete",D118="Awaiting Second-Level Approval"),"","Service identity dependency unresolved")</x:f>
        <x:v>Service identity dependency unresolved</x:v>
      </x:c>
      <x:c r="P118" s="6" t="str">
        <x:v>Yes</x:v>
      </x:c>
      <x:c r="Q118" s="7" t="str"/>
    </x:row>
    <x:row r="119">
      <x:c r="A119" s="6" t="str">
        <x:v>PRTX-0118</x:v>
      </x:c>
      <x:c r="B119" s="6" t="str">
        <x:v>SVC000118</x:v>
      </x:c>
      <x:c r="C119" s="6" t="str">
        <x:v>SIDX-0118</x:v>
      </x:c>
      <x:c r="D119" s="6" t="str">
        <x:f>IFERROR(XLOOKUP(C119,'Review Sequence'!C2:C1586,'Review Sequence'!J2:J1586),"Dependency not found")</x:f>
        <x:v>Not Started</x:v>
      </x:c>
      <x:c r="E119" s="6" t="str"/>
      <x:c r="F119" s="6" t="str"/>
      <x:c r="G119" s="6" t="str"/>
      <x:c r="H119" s="6" t="str">
        <x:v>Unknown</x:v>
      </x:c>
      <x:c r="I119" s="6" t="str"/>
      <x:c r="J119" s="6" t="str">
        <x:v>Unresolved</x:v>
      </x:c>
      <x:c r="K119" s="7" t="str">
        <x:v>Nocturnix_Master_Services_Catalog_v1.xlsx | 01 - Master Services | row 158</x:v>
      </x:c>
      <x:c r="L119" s="6" t="str"/>
      <x:c r="M119" s="6" t="str"/>
      <x:c r="N119" s="6" t="str">
        <x:v>Pending</x:v>
      </x:c>
      <x:c r="O119" s="7" t="str">
        <x:f>IF(OR(D119="Reviewer Complete",D119="Awaiting Second-Level Approval"),"","Service identity dependency unresolved")</x:f>
        <x:v>Service identity dependency unresolved</x:v>
      </x:c>
      <x:c r="P119" s="6" t="str">
        <x:v>Yes</x:v>
      </x:c>
      <x:c r="Q119" s="7" t="str"/>
    </x:row>
    <x:row r="120">
      <x:c r="A120" s="6" t="str">
        <x:v>PRTX-0119</x:v>
      </x:c>
      <x:c r="B120" s="6" t="str">
        <x:v>SVC000119</x:v>
      </x:c>
      <x:c r="C120" s="6" t="str">
        <x:v>SIDX-0119</x:v>
      </x:c>
      <x:c r="D120" s="6" t="str">
        <x:f>IFERROR(XLOOKUP(C120,'Review Sequence'!C2:C1586,'Review Sequence'!J2:J1586),"Dependency not found")</x:f>
        <x:v>Not Started</x:v>
      </x:c>
      <x:c r="E120" s="6" t="str"/>
      <x:c r="F120" s="6" t="str"/>
      <x:c r="G120" s="6" t="str"/>
      <x:c r="H120" s="6" t="str">
        <x:v>Unknown</x:v>
      </x:c>
      <x:c r="I120" s="6" t="str"/>
      <x:c r="J120" s="6" t="str">
        <x:v>Unresolved</x:v>
      </x:c>
      <x:c r="K120" s="7" t="str">
        <x:v>Nocturnix_Master_Services_Catalog_v1.xlsx | 01 - Master Services | row 159</x:v>
      </x:c>
      <x:c r="L120" s="6" t="str"/>
      <x:c r="M120" s="6" t="str"/>
      <x:c r="N120" s="6" t="str">
        <x:v>Pending</x:v>
      </x:c>
      <x:c r="O120" s="7" t="str">
        <x:f>IF(OR(D120="Reviewer Complete",D120="Awaiting Second-Level Approval"),"","Service identity dependency unresolved")</x:f>
        <x:v>Service identity dependency unresolved</x:v>
      </x:c>
      <x:c r="P120" s="6" t="str">
        <x:v>Yes</x:v>
      </x:c>
      <x:c r="Q120" s="7" t="str"/>
    </x:row>
    <x:row r="121">
      <x:c r="A121" s="6" t="str">
        <x:v>PRTX-0120</x:v>
      </x:c>
      <x:c r="B121" s="6" t="str">
        <x:v>SVC000120</x:v>
      </x:c>
      <x:c r="C121" s="6" t="str">
        <x:v>SIDX-0120</x:v>
      </x:c>
      <x:c r="D121" s="6" t="str">
        <x:f>IFERROR(XLOOKUP(C121,'Review Sequence'!C2:C1586,'Review Sequence'!J2:J1586),"Dependency not found")</x:f>
        <x:v>Not Started</x:v>
      </x:c>
      <x:c r="E121" s="6" t="str"/>
      <x:c r="F121" s="6" t="str"/>
      <x:c r="G121" s="6" t="str"/>
      <x:c r="H121" s="6" t="str">
        <x:v>Unknown</x:v>
      </x:c>
      <x:c r="I121" s="6" t="str"/>
      <x:c r="J121" s="6" t="str">
        <x:v>Unresolved</x:v>
      </x:c>
      <x:c r="K121" s="7" t="str">
        <x:v>Nocturnix_Master_Services_Catalog_v1.xlsx | 01 - Master Services | row 160</x:v>
      </x:c>
      <x:c r="L121" s="6" t="str"/>
      <x:c r="M121" s="6" t="str"/>
      <x:c r="N121" s="6" t="str">
        <x:v>Pending</x:v>
      </x:c>
      <x:c r="O121" s="7" t="str">
        <x:f>IF(OR(D121="Reviewer Complete",D121="Awaiting Second-Level Approval"),"","Service identity dependency unresolved")</x:f>
        <x:v>Service identity dependency unresolved</x:v>
      </x:c>
      <x:c r="P121" s="6" t="str">
        <x:v>Yes</x:v>
      </x:c>
      <x:c r="Q121" s="7" t="str"/>
    </x:row>
    <x:row r="122">
      <x:c r="A122" s="6" t="str">
        <x:v>PRTX-0121</x:v>
      </x:c>
      <x:c r="B122" s="6" t="str">
        <x:v>SVC000121</x:v>
      </x:c>
      <x:c r="C122" s="6" t="str">
        <x:v>SIDX-0121</x:v>
      </x:c>
      <x:c r="D122" s="6" t="str">
        <x:f>IFERROR(XLOOKUP(C122,'Review Sequence'!C2:C1586,'Review Sequence'!J2:J1586),"Dependency not found")</x:f>
        <x:v>Not Started</x:v>
      </x:c>
      <x:c r="E122" s="6" t="str"/>
      <x:c r="F122" s="6" t="str"/>
      <x:c r="G122" s="6" t="str"/>
      <x:c r="H122" s="6" t="str">
        <x:v>Unknown</x:v>
      </x:c>
      <x:c r="I122" s="6" t="str"/>
      <x:c r="J122" s="6" t="str">
        <x:v>Unresolved</x:v>
      </x:c>
      <x:c r="K122" s="7" t="str">
        <x:v>Nocturnix_Master_Services_Catalog_v1.xlsx | 01 - Master Services | row 161</x:v>
      </x:c>
      <x:c r="L122" s="6" t="str"/>
      <x:c r="M122" s="6" t="str"/>
      <x:c r="N122" s="6" t="str">
        <x:v>Pending</x:v>
      </x:c>
      <x:c r="O122" s="7" t="str">
        <x:f>IF(OR(D122="Reviewer Complete",D122="Awaiting Second-Level Approval"),"","Service identity dependency unresolved")</x:f>
        <x:v>Service identity dependency unresolved</x:v>
      </x:c>
      <x:c r="P122" s="6" t="str">
        <x:v>Yes</x:v>
      </x:c>
      <x:c r="Q122" s="7" t="str"/>
    </x:row>
    <x:row r="123">
      <x:c r="A123" s="6" t="str">
        <x:v>PRTX-0122</x:v>
      </x:c>
      <x:c r="B123" s="6" t="str">
        <x:v>SVC000122</x:v>
      </x:c>
      <x:c r="C123" s="6" t="str">
        <x:v>SIDX-0122</x:v>
      </x:c>
      <x:c r="D123" s="6" t="str">
        <x:f>IFERROR(XLOOKUP(C123,'Review Sequence'!C2:C1586,'Review Sequence'!J2:J1586),"Dependency not found")</x:f>
        <x:v>Not Started</x:v>
      </x:c>
      <x:c r="E123" s="6" t="str"/>
      <x:c r="F123" s="6" t="str"/>
      <x:c r="G123" s="6" t="str"/>
      <x:c r="H123" s="6" t="str">
        <x:v>Unknown</x:v>
      </x:c>
      <x:c r="I123" s="6" t="str"/>
      <x:c r="J123" s="6" t="str">
        <x:v>Unresolved</x:v>
      </x:c>
      <x:c r="K123" s="7" t="str">
        <x:v>Nocturnix_Master_Services_Catalog_v1.xlsx | 01 - Master Services | row 162</x:v>
      </x:c>
      <x:c r="L123" s="6" t="str"/>
      <x:c r="M123" s="6" t="str"/>
      <x:c r="N123" s="6" t="str">
        <x:v>Pending</x:v>
      </x:c>
      <x:c r="O123" s="7" t="str">
        <x:f>IF(OR(D123="Reviewer Complete",D123="Awaiting Second-Level Approval"),"","Service identity dependency unresolved")</x:f>
        <x:v>Service identity dependency unresolved</x:v>
      </x:c>
      <x:c r="P123" s="6" t="str">
        <x:v>Yes</x:v>
      </x:c>
      <x:c r="Q123" s="7" t="str"/>
    </x:row>
    <x:row r="124">
      <x:c r="A124" s="6" t="str">
        <x:v>PRTX-0123</x:v>
      </x:c>
      <x:c r="B124" s="6" t="str">
        <x:v>SVC000123</x:v>
      </x:c>
      <x:c r="C124" s="6" t="str">
        <x:v>SIDX-0123</x:v>
      </x:c>
      <x:c r="D124" s="6" t="str">
        <x:f>IFERROR(XLOOKUP(C124,'Review Sequence'!C2:C1586,'Review Sequence'!J2:J1586),"Dependency not found")</x:f>
        <x:v>Not Started</x:v>
      </x:c>
      <x:c r="E124" s="6" t="str"/>
      <x:c r="F124" s="6" t="str"/>
      <x:c r="G124" s="6" t="str"/>
      <x:c r="H124" s="6" t="str">
        <x:v>Unknown</x:v>
      </x:c>
      <x:c r="I124" s="6" t="str"/>
      <x:c r="J124" s="6" t="str">
        <x:v>Unresolved</x:v>
      </x:c>
      <x:c r="K124" s="7" t="str">
        <x:v>Nocturnix_Master_Services_Catalog_v1.xlsx | 01 - Master Services | row 163</x:v>
      </x:c>
      <x:c r="L124" s="6" t="str"/>
      <x:c r="M124" s="6" t="str"/>
      <x:c r="N124" s="6" t="str">
        <x:v>Pending</x:v>
      </x:c>
      <x:c r="O124" s="7" t="str">
        <x:f>IF(OR(D124="Reviewer Complete",D124="Awaiting Second-Level Approval"),"","Service identity dependency unresolved")</x:f>
        <x:v>Service identity dependency unresolved</x:v>
      </x:c>
      <x:c r="P124" s="6" t="str">
        <x:v>Yes</x:v>
      </x:c>
      <x:c r="Q124" s="7" t="str"/>
    </x:row>
    <x:row r="125">
      <x:c r="A125" s="6" t="str">
        <x:v>PRTX-0124</x:v>
      </x:c>
      <x:c r="B125" s="6" t="str">
        <x:v>SVC000124</x:v>
      </x:c>
      <x:c r="C125" s="6" t="str">
        <x:v>SIDX-0124</x:v>
      </x:c>
      <x:c r="D125" s="6" t="str">
        <x:f>IFERROR(XLOOKUP(C125,'Review Sequence'!C2:C1586,'Review Sequence'!J2:J1586),"Dependency not found")</x:f>
        <x:v>Not Started</x:v>
      </x:c>
      <x:c r="E125" s="6" t="str"/>
      <x:c r="F125" s="6" t="str"/>
      <x:c r="G125" s="6" t="str"/>
      <x:c r="H125" s="6" t="str">
        <x:v>Unknown</x:v>
      </x:c>
      <x:c r="I125" s="6" t="str"/>
      <x:c r="J125" s="6" t="str">
        <x:v>Unresolved</x:v>
      </x:c>
      <x:c r="K125" s="7" t="str">
        <x:v>Nocturnix_Master_Services_Catalog_v1.xlsx | 01 - Master Services | row 164</x:v>
      </x:c>
      <x:c r="L125" s="6" t="str"/>
      <x:c r="M125" s="6" t="str"/>
      <x:c r="N125" s="6" t="str">
        <x:v>Pending</x:v>
      </x:c>
      <x:c r="O125" s="7" t="str">
        <x:f>IF(OR(D125="Reviewer Complete",D125="Awaiting Second-Level Approval"),"","Service identity dependency unresolved")</x:f>
        <x:v>Service identity dependency unresolved</x:v>
      </x:c>
      <x:c r="P125" s="6" t="str">
        <x:v>Yes</x:v>
      </x:c>
      <x:c r="Q125" s="7" t="str"/>
    </x:row>
    <x:row r="126">
      <x:c r="A126" s="6" t="str">
        <x:v>PRTX-0125</x:v>
      </x:c>
      <x:c r="B126" s="6" t="str">
        <x:v>SVC000125</x:v>
      </x:c>
      <x:c r="C126" s="6" t="str">
        <x:v>SIDX-0125</x:v>
      </x:c>
      <x:c r="D126" s="6" t="str">
        <x:f>IFERROR(XLOOKUP(C126,'Review Sequence'!C2:C1586,'Review Sequence'!J2:J1586),"Dependency not found")</x:f>
        <x:v>Not Started</x:v>
      </x:c>
      <x:c r="E126" s="6" t="str"/>
      <x:c r="F126" s="6" t="str"/>
      <x:c r="G126" s="6" t="str"/>
      <x:c r="H126" s="6" t="str">
        <x:v>Unknown</x:v>
      </x:c>
      <x:c r="I126" s="6" t="str"/>
      <x:c r="J126" s="6" t="str">
        <x:v>Unresolved</x:v>
      </x:c>
      <x:c r="K126" s="7" t="str">
        <x:v>Nocturnix_Master_Services_Catalog_v1.xlsx | 01 - Master Services | row 165</x:v>
      </x:c>
      <x:c r="L126" s="6" t="str"/>
      <x:c r="M126" s="6" t="str"/>
      <x:c r="N126" s="6" t="str">
        <x:v>Pending</x:v>
      </x:c>
      <x:c r="O126" s="7" t="str">
        <x:f>IF(OR(D126="Reviewer Complete",D126="Awaiting Second-Level Approval"),"","Service identity dependency unresolved")</x:f>
        <x:v>Service identity dependency unresolved</x:v>
      </x:c>
      <x:c r="P126" s="6" t="str">
        <x:v>Yes</x:v>
      </x:c>
      <x:c r="Q126" s="7" t="str"/>
    </x:row>
    <x:row r="127">
      <x:c r="A127" s="6" t="str">
        <x:v>PRTX-0126</x:v>
      </x:c>
      <x:c r="B127" s="6" t="str">
        <x:v>SVC000126</x:v>
      </x:c>
      <x:c r="C127" s="6" t="str">
        <x:v>SIDX-0126</x:v>
      </x:c>
      <x:c r="D127" s="6" t="str">
        <x:f>IFERROR(XLOOKUP(C127,'Review Sequence'!C2:C1586,'Review Sequence'!J2:J1586),"Dependency not found")</x:f>
        <x:v>Not Started</x:v>
      </x:c>
      <x:c r="E127" s="6" t="str"/>
      <x:c r="F127" s="6" t="str"/>
      <x:c r="G127" s="6" t="str"/>
      <x:c r="H127" s="6" t="str">
        <x:v>Unknown</x:v>
      </x:c>
      <x:c r="I127" s="6" t="str"/>
      <x:c r="J127" s="6" t="str">
        <x:v>Unresolved</x:v>
      </x:c>
      <x:c r="K127" s="7" t="str">
        <x:v>Nocturnix_Master_Services_Catalog_v1.xlsx | 01 - Master Services | row 166</x:v>
      </x:c>
      <x:c r="L127" s="6" t="str"/>
      <x:c r="M127" s="6" t="str"/>
      <x:c r="N127" s="6" t="str">
        <x:v>Pending</x:v>
      </x:c>
      <x:c r="O127" s="7" t="str">
        <x:f>IF(OR(D127="Reviewer Complete",D127="Awaiting Second-Level Approval"),"","Service identity dependency unresolved")</x:f>
        <x:v>Service identity dependency unresolved</x:v>
      </x:c>
      <x:c r="P127" s="6" t="str">
        <x:v>Yes</x:v>
      </x:c>
      <x:c r="Q127" s="7" t="str"/>
    </x:row>
    <x:row r="128">
      <x:c r="A128" s="6" t="str">
        <x:v>PRTX-0127</x:v>
      </x:c>
      <x:c r="B128" s="6" t="str">
        <x:v>SVC000127</x:v>
      </x:c>
      <x:c r="C128" s="6" t="str">
        <x:v>SIDX-0127</x:v>
      </x:c>
      <x:c r="D128" s="6" t="str">
        <x:f>IFERROR(XLOOKUP(C128,'Review Sequence'!C2:C1586,'Review Sequence'!J2:J1586),"Dependency not found")</x:f>
        <x:v>Not Started</x:v>
      </x:c>
      <x:c r="E128" s="6" t="str"/>
      <x:c r="F128" s="6" t="str"/>
      <x:c r="G128" s="6" t="str"/>
      <x:c r="H128" s="6" t="str">
        <x:v>Unknown</x:v>
      </x:c>
      <x:c r="I128" s="6" t="str"/>
      <x:c r="J128" s="6" t="str">
        <x:v>Unresolved</x:v>
      </x:c>
      <x:c r="K128" s="7" t="str">
        <x:v>Nocturnix_Master_Services_Catalog_v1.xlsx | 01 - Master Services | row 167</x:v>
      </x:c>
      <x:c r="L128" s="6" t="str"/>
      <x:c r="M128" s="6" t="str"/>
      <x:c r="N128" s="6" t="str">
        <x:v>Pending</x:v>
      </x:c>
      <x:c r="O128" s="7" t="str">
        <x:f>IF(OR(D128="Reviewer Complete",D128="Awaiting Second-Level Approval"),"","Service identity dependency unresolved")</x:f>
        <x:v>Service identity dependency unresolved</x:v>
      </x:c>
      <x:c r="P128" s="6" t="str">
        <x:v>Yes</x:v>
      </x:c>
      <x:c r="Q128" s="7" t="str"/>
    </x:row>
    <x:row r="129">
      <x:c r="A129" s="6" t="str">
        <x:v>PRTX-0128</x:v>
      </x:c>
      <x:c r="B129" s="6" t="str">
        <x:v>SVC000128</x:v>
      </x:c>
      <x:c r="C129" s="6" t="str">
        <x:v>SIDX-0128</x:v>
      </x:c>
      <x:c r="D129" s="6" t="str">
        <x:f>IFERROR(XLOOKUP(C129,'Review Sequence'!C2:C1586,'Review Sequence'!J2:J1586),"Dependency not found")</x:f>
        <x:v>Not Started</x:v>
      </x:c>
      <x:c r="E129" s="6" t="str"/>
      <x:c r="F129" s="6" t="str"/>
      <x:c r="G129" s="6" t="str"/>
      <x:c r="H129" s="6" t="str">
        <x:v>Unknown</x:v>
      </x:c>
      <x:c r="I129" s="6" t="str"/>
      <x:c r="J129" s="6" t="str">
        <x:v>Unresolved</x:v>
      </x:c>
      <x:c r="K129" s="7" t="str">
        <x:v>Nocturnix_Master_Services_Catalog_v1.xlsx | 01 - Master Services | row 168</x:v>
      </x:c>
      <x:c r="L129" s="6" t="str"/>
      <x:c r="M129" s="6" t="str"/>
      <x:c r="N129" s="6" t="str">
        <x:v>Pending</x:v>
      </x:c>
      <x:c r="O129" s="7" t="str">
        <x:f>IF(OR(D129="Reviewer Complete",D129="Awaiting Second-Level Approval"),"","Service identity dependency unresolved")</x:f>
        <x:v>Service identity dependency unresolved</x:v>
      </x:c>
      <x:c r="P129" s="6" t="str">
        <x:v>Yes</x:v>
      </x:c>
      <x:c r="Q129" s="7" t="str"/>
    </x:row>
    <x:row r="130">
      <x:c r="A130" s="6" t="str">
        <x:v>PRTX-0129</x:v>
      </x:c>
      <x:c r="B130" s="6" t="str">
        <x:v>SVC000129</x:v>
      </x:c>
      <x:c r="C130" s="6" t="str">
        <x:v>SIDX-0129</x:v>
      </x:c>
      <x:c r="D130" s="6" t="str">
        <x:f>IFERROR(XLOOKUP(C130,'Review Sequence'!C2:C1586,'Review Sequence'!J2:J1586),"Dependency not found")</x:f>
        <x:v>Not Started</x:v>
      </x:c>
      <x:c r="E130" s="6" t="str"/>
      <x:c r="F130" s="6" t="str"/>
      <x:c r="G130" s="6" t="str"/>
      <x:c r="H130" s="6" t="str">
        <x:v>Unknown</x:v>
      </x:c>
      <x:c r="I130" s="6" t="str"/>
      <x:c r="J130" s="6" t="str">
        <x:v>Unresolved</x:v>
      </x:c>
      <x:c r="K130" s="7" t="str">
        <x:v>Nocturnix_Master_Services_Catalog_v1.xlsx | 01 - Master Services | row 169</x:v>
      </x:c>
      <x:c r="L130" s="6" t="str"/>
      <x:c r="M130" s="6" t="str"/>
      <x:c r="N130" s="6" t="str">
        <x:v>Pending</x:v>
      </x:c>
      <x:c r="O130" s="7" t="str">
        <x:f>IF(OR(D130="Reviewer Complete",D130="Awaiting Second-Level Approval"),"","Service identity dependency unresolved")</x:f>
        <x:v>Service identity dependency unresolved</x:v>
      </x:c>
      <x:c r="P130" s="6" t="str">
        <x:v>Yes</x:v>
      </x:c>
      <x:c r="Q130" s="7" t="str"/>
    </x:row>
    <x:row r="131">
      <x:c r="A131" s="6" t="str">
        <x:v>PRTX-0130</x:v>
      </x:c>
      <x:c r="B131" s="6" t="str">
        <x:v>SVC000130</x:v>
      </x:c>
      <x:c r="C131" s="6" t="str">
        <x:v>SIDX-0130</x:v>
      </x:c>
      <x:c r="D131" s="6" t="str">
        <x:f>IFERROR(XLOOKUP(C131,'Review Sequence'!C2:C1586,'Review Sequence'!J2:J1586),"Dependency not found")</x:f>
        <x:v>Not Started</x:v>
      </x:c>
      <x:c r="E131" s="6" t="str"/>
      <x:c r="F131" s="6" t="str"/>
      <x:c r="G131" s="6" t="str"/>
      <x:c r="H131" s="6" t="str">
        <x:v>Unknown</x:v>
      </x:c>
      <x:c r="I131" s="6" t="str"/>
      <x:c r="J131" s="6" t="str">
        <x:v>Unresolved</x:v>
      </x:c>
      <x:c r="K131" s="7" t="str">
        <x:v>Nocturnix_Master_Services_Catalog_v1.xlsx | 01 - Master Services | row 170</x:v>
      </x:c>
      <x:c r="L131" s="6" t="str"/>
      <x:c r="M131" s="6" t="str"/>
      <x:c r="N131" s="6" t="str">
        <x:v>Pending</x:v>
      </x:c>
      <x:c r="O131" s="7" t="str">
        <x:f>IF(OR(D131="Reviewer Complete",D131="Awaiting Second-Level Approval"),"","Service identity dependency unresolved")</x:f>
        <x:v>Service identity dependency unresolved</x:v>
      </x:c>
      <x:c r="P131" s="6" t="str">
        <x:v>Yes</x:v>
      </x:c>
      <x:c r="Q131" s="7" t="str"/>
    </x:row>
    <x:row r="132">
      <x:c r="A132" s="6" t="str">
        <x:v>PRTX-0131</x:v>
      </x:c>
      <x:c r="B132" s="6" t="str">
        <x:v>SVC000131</x:v>
      </x:c>
      <x:c r="C132" s="6" t="str">
        <x:v>SIDX-0131</x:v>
      </x:c>
      <x:c r="D132" s="6" t="str">
        <x:f>IFERROR(XLOOKUP(C132,'Review Sequence'!C2:C1586,'Review Sequence'!J2:J1586),"Dependency not found")</x:f>
        <x:v>Not Started</x:v>
      </x:c>
      <x:c r="E132" s="6" t="str"/>
      <x:c r="F132" s="6" t="str"/>
      <x:c r="G132" s="6" t="str"/>
      <x:c r="H132" s="6" t="str">
        <x:v>Unknown</x:v>
      </x:c>
      <x:c r="I132" s="6" t="str"/>
      <x:c r="J132" s="6" t="str">
        <x:v>Unresolved</x:v>
      </x:c>
      <x:c r="K132" s="7" t="str">
        <x:v>Nocturnix_Master_Services_Catalog_v1.xlsx | 01 - Master Services | row 171</x:v>
      </x:c>
      <x:c r="L132" s="6" t="str"/>
      <x:c r="M132" s="6" t="str"/>
      <x:c r="N132" s="6" t="str">
        <x:v>Pending</x:v>
      </x:c>
      <x:c r="O132" s="7" t="str">
        <x:f>IF(OR(D132="Reviewer Complete",D132="Awaiting Second-Level Approval"),"","Service identity dependency unresolved")</x:f>
        <x:v>Service identity dependency unresolved</x:v>
      </x:c>
      <x:c r="P132" s="6" t="str">
        <x:v>Yes</x:v>
      </x:c>
      <x:c r="Q132" s="7" t="str"/>
    </x:row>
    <x:row r="133">
      <x:c r="A133" s="6" t="str">
        <x:v>PRTX-0132</x:v>
      </x:c>
      <x:c r="B133" s="6" t="str">
        <x:v>SVC000132</x:v>
      </x:c>
      <x:c r="C133" s="6" t="str">
        <x:v>SIDX-0132</x:v>
      </x:c>
      <x:c r="D133" s="6" t="str">
        <x:f>IFERROR(XLOOKUP(C133,'Review Sequence'!C2:C1586,'Review Sequence'!J2:J1586),"Dependency not found")</x:f>
        <x:v>Not Started</x:v>
      </x:c>
      <x:c r="E133" s="6" t="str"/>
      <x:c r="F133" s="6" t="str"/>
      <x:c r="G133" s="6" t="str"/>
      <x:c r="H133" s="6" t="str">
        <x:v>Unknown</x:v>
      </x:c>
      <x:c r="I133" s="6" t="str"/>
      <x:c r="J133" s="6" t="str">
        <x:v>Unresolved</x:v>
      </x:c>
      <x:c r="K133" s="7" t="str">
        <x:v>Nocturnix_Master_Services_Catalog_v1.xlsx | 01 - Master Services | row 172</x:v>
      </x:c>
      <x:c r="L133" s="6" t="str"/>
      <x:c r="M133" s="6" t="str"/>
      <x:c r="N133" s="6" t="str">
        <x:v>Pending</x:v>
      </x:c>
      <x:c r="O133" s="7" t="str">
        <x:f>IF(OR(D133="Reviewer Complete",D133="Awaiting Second-Level Approval"),"","Service identity dependency unresolved")</x:f>
        <x:v>Service identity dependency unresolved</x:v>
      </x:c>
      <x:c r="P133" s="6" t="str">
        <x:v>Yes</x:v>
      </x:c>
      <x:c r="Q133" s="7" t="str"/>
    </x:row>
    <x:row r="134">
      <x:c r="A134" s="6" t="str">
        <x:v>PRTX-0133</x:v>
      </x:c>
      <x:c r="B134" s="6" t="str">
        <x:v>SVC000133</x:v>
      </x:c>
      <x:c r="C134" s="6" t="str">
        <x:v>SIDX-0133</x:v>
      </x:c>
      <x:c r="D134" s="6" t="str">
        <x:f>IFERROR(XLOOKUP(C134,'Review Sequence'!C2:C1586,'Review Sequence'!J2:J1586),"Dependency not found")</x:f>
        <x:v>Not Started</x:v>
      </x:c>
      <x:c r="E134" s="6" t="str"/>
      <x:c r="F134" s="6" t="str"/>
      <x:c r="G134" s="6" t="str"/>
      <x:c r="H134" s="6" t="str">
        <x:v>Unknown</x:v>
      </x:c>
      <x:c r="I134" s="6" t="str"/>
      <x:c r="J134" s="6" t="str">
        <x:v>Unresolved</x:v>
      </x:c>
      <x:c r="K134" s="7" t="str">
        <x:v>Nocturnix_Master_Services_Catalog_v1.xlsx | 01 - Master Services | row 173</x:v>
      </x:c>
      <x:c r="L134" s="6" t="str"/>
      <x:c r="M134" s="6" t="str"/>
      <x:c r="N134" s="6" t="str">
        <x:v>Pending</x:v>
      </x:c>
      <x:c r="O134" s="7" t="str">
        <x:f>IF(OR(D134="Reviewer Complete",D134="Awaiting Second-Level Approval"),"","Service identity dependency unresolved")</x:f>
        <x:v>Service identity dependency unresolved</x:v>
      </x:c>
      <x:c r="P134" s="6" t="str">
        <x:v>Yes</x:v>
      </x:c>
      <x:c r="Q134" s="7" t="str"/>
    </x:row>
    <x:row r="135">
      <x:c r="A135" s="6" t="str">
        <x:v>PRTX-0134</x:v>
      </x:c>
      <x:c r="B135" s="6" t="str">
        <x:v>SVC000134</x:v>
      </x:c>
      <x:c r="C135" s="6" t="str">
        <x:v>SIDX-0134</x:v>
      </x:c>
      <x:c r="D135" s="6" t="str">
        <x:f>IFERROR(XLOOKUP(C135,'Review Sequence'!C2:C1586,'Review Sequence'!J2:J1586),"Dependency not found")</x:f>
        <x:v>Not Started</x:v>
      </x:c>
      <x:c r="E135" s="6" t="str"/>
      <x:c r="F135" s="6" t="str"/>
      <x:c r="G135" s="6" t="str"/>
      <x:c r="H135" s="6" t="str">
        <x:v>Unknown</x:v>
      </x:c>
      <x:c r="I135" s="6" t="str"/>
      <x:c r="J135" s="6" t="str">
        <x:v>Unresolved</x:v>
      </x:c>
      <x:c r="K135" s="7" t="str">
        <x:v>Nocturnix_Master_Services_Catalog_v1.xlsx | 01 - Master Services | row 174</x:v>
      </x:c>
      <x:c r="L135" s="6" t="str"/>
      <x:c r="M135" s="6" t="str"/>
      <x:c r="N135" s="6" t="str">
        <x:v>Pending</x:v>
      </x:c>
      <x:c r="O135" s="7" t="str">
        <x:f>IF(OR(D135="Reviewer Complete",D135="Awaiting Second-Level Approval"),"","Service identity dependency unresolved")</x:f>
        <x:v>Service identity dependency unresolved</x:v>
      </x:c>
      <x:c r="P135" s="6" t="str">
        <x:v>Yes</x:v>
      </x:c>
      <x:c r="Q135" s="7" t="str"/>
    </x:row>
    <x:row r="136">
      <x:c r="A136" s="6" t="str">
        <x:v>PRTX-0135</x:v>
      </x:c>
      <x:c r="B136" s="6" t="str">
        <x:v>SVC000135</x:v>
      </x:c>
      <x:c r="C136" s="6" t="str">
        <x:v>SIDX-0135</x:v>
      </x:c>
      <x:c r="D136" s="6" t="str">
        <x:f>IFERROR(XLOOKUP(C136,'Review Sequence'!C2:C1586,'Review Sequence'!J2:J1586),"Dependency not found")</x:f>
        <x:v>Not Started</x:v>
      </x:c>
      <x:c r="E136" s="6" t="str"/>
      <x:c r="F136" s="6" t="str"/>
      <x:c r="G136" s="6" t="str"/>
      <x:c r="H136" s="6" t="str">
        <x:v>Unknown</x:v>
      </x:c>
      <x:c r="I136" s="6" t="str"/>
      <x:c r="J136" s="6" t="str">
        <x:v>Unresolved</x:v>
      </x:c>
      <x:c r="K136" s="7" t="str">
        <x:v>Nocturnix_Master_Services_Catalog_v1.xlsx | 01 - Master Services | row 175</x:v>
      </x:c>
      <x:c r="L136" s="6" t="str"/>
      <x:c r="M136" s="6" t="str"/>
      <x:c r="N136" s="6" t="str">
        <x:v>Pending</x:v>
      </x:c>
      <x:c r="O136" s="7" t="str">
        <x:f>IF(OR(D136="Reviewer Complete",D136="Awaiting Second-Level Approval"),"","Service identity dependency unresolved")</x:f>
        <x:v>Service identity dependency unresolved</x:v>
      </x:c>
      <x:c r="P136" s="6" t="str">
        <x:v>Yes</x:v>
      </x:c>
      <x:c r="Q136" s="7" t="str"/>
    </x:row>
    <x:row r="137">
      <x:c r="A137" s="6" t="str">
        <x:v>PRTX-0136</x:v>
      </x:c>
      <x:c r="B137" s="6" t="str">
        <x:v>SVC000136</x:v>
      </x:c>
      <x:c r="C137" s="6" t="str">
        <x:v>SIDX-0136</x:v>
      </x:c>
      <x:c r="D137" s="6" t="str">
        <x:f>IFERROR(XLOOKUP(C137,'Review Sequence'!C2:C1586,'Review Sequence'!J2:J1586),"Dependency not found")</x:f>
        <x:v>Not Started</x:v>
      </x:c>
      <x:c r="E137" s="6" t="str"/>
      <x:c r="F137" s="6" t="str"/>
      <x:c r="G137" s="6" t="str"/>
      <x:c r="H137" s="6" t="str">
        <x:v>Unknown</x:v>
      </x:c>
      <x:c r="I137" s="6" t="str"/>
      <x:c r="J137" s="6" t="str">
        <x:v>Unresolved</x:v>
      </x:c>
      <x:c r="K137" s="7" t="str">
        <x:v>Nocturnix_Master_Services_Catalog_v1.xlsx | 01 - Master Services | row 176</x:v>
      </x:c>
      <x:c r="L137" s="6" t="str"/>
      <x:c r="M137" s="6" t="str"/>
      <x:c r="N137" s="6" t="str">
        <x:v>Pending</x:v>
      </x:c>
      <x:c r="O137" s="7" t="str">
        <x:f>IF(OR(D137="Reviewer Complete",D137="Awaiting Second-Level Approval"),"","Service identity dependency unresolved")</x:f>
        <x:v>Service identity dependency unresolved</x:v>
      </x:c>
      <x:c r="P137" s="6" t="str">
        <x:v>Yes</x:v>
      </x:c>
      <x:c r="Q137" s="7" t="str"/>
    </x:row>
    <x:row r="138">
      <x:c r="A138" s="6" t="str">
        <x:v>PRTX-0137</x:v>
      </x:c>
      <x:c r="B138" s="6" t="str">
        <x:v>SVC000137</x:v>
      </x:c>
      <x:c r="C138" s="6" t="str">
        <x:v>SIDX-0137</x:v>
      </x:c>
      <x:c r="D138" s="6" t="str">
        <x:f>IFERROR(XLOOKUP(C138,'Review Sequence'!C2:C1586,'Review Sequence'!J2:J1586),"Dependency not found")</x:f>
        <x:v>Not Started</x:v>
      </x:c>
      <x:c r="E138" s="6" t="str"/>
      <x:c r="F138" s="6" t="str"/>
      <x:c r="G138" s="6" t="str"/>
      <x:c r="H138" s="6" t="str">
        <x:v>Unknown</x:v>
      </x:c>
      <x:c r="I138" s="6" t="str"/>
      <x:c r="J138" s="6" t="str">
        <x:v>Unresolved</x:v>
      </x:c>
      <x:c r="K138" s="7" t="str">
        <x:v>Nocturnix_Master_Services_Catalog_v1.xlsx | 01 - Master Services | row 177</x:v>
      </x:c>
      <x:c r="L138" s="6" t="str"/>
      <x:c r="M138" s="6" t="str"/>
      <x:c r="N138" s="6" t="str">
        <x:v>Pending</x:v>
      </x:c>
      <x:c r="O138" s="7" t="str">
        <x:f>IF(OR(D138="Reviewer Complete",D138="Awaiting Second-Level Approval"),"","Service identity dependency unresolved")</x:f>
        <x:v>Service identity dependency unresolved</x:v>
      </x:c>
      <x:c r="P138" s="6" t="str">
        <x:v>Yes</x:v>
      </x:c>
      <x:c r="Q138" s="7" t="str"/>
    </x:row>
    <x:row r="139">
      <x:c r="A139" s="6" t="str">
        <x:v>PRTX-0138</x:v>
      </x:c>
      <x:c r="B139" s="6" t="str">
        <x:v>SVC000138</x:v>
      </x:c>
      <x:c r="C139" s="6" t="str">
        <x:v>SIDX-0138</x:v>
      </x:c>
      <x:c r="D139" s="6" t="str">
        <x:f>IFERROR(XLOOKUP(C139,'Review Sequence'!C2:C1586,'Review Sequence'!J2:J1586),"Dependency not found")</x:f>
        <x:v>Not Started</x:v>
      </x:c>
      <x:c r="E139" s="6" t="str"/>
      <x:c r="F139" s="6" t="str"/>
      <x:c r="G139" s="6" t="str"/>
      <x:c r="H139" s="6" t="str">
        <x:v>Unknown</x:v>
      </x:c>
      <x:c r="I139" s="6" t="str"/>
      <x:c r="J139" s="6" t="str">
        <x:v>Unresolved</x:v>
      </x:c>
      <x:c r="K139" s="7" t="str">
        <x:v>Nocturnix_Master_Services_Catalog_v1.xlsx | 01 - Master Services | row 178</x:v>
      </x:c>
      <x:c r="L139" s="6" t="str"/>
      <x:c r="M139" s="6" t="str"/>
      <x:c r="N139" s="6" t="str">
        <x:v>Pending</x:v>
      </x:c>
      <x:c r="O139" s="7" t="str">
        <x:f>IF(OR(D139="Reviewer Complete",D139="Awaiting Second-Level Approval"),"","Service identity dependency unresolved")</x:f>
        <x:v>Service identity dependency unresolved</x:v>
      </x:c>
      <x:c r="P139" s="6" t="str">
        <x:v>Yes</x:v>
      </x:c>
      <x:c r="Q139" s="7" t="str"/>
    </x:row>
    <x:row r="140">
      <x:c r="A140" s="6" t="str">
        <x:v>PRTX-0139</x:v>
      </x:c>
      <x:c r="B140" s="6" t="str">
        <x:v>SVC000139</x:v>
      </x:c>
      <x:c r="C140" s="6" t="str">
        <x:v>SIDX-0139</x:v>
      </x:c>
      <x:c r="D140" s="6" t="str">
        <x:f>IFERROR(XLOOKUP(C140,'Review Sequence'!C2:C1586,'Review Sequence'!J2:J1586),"Dependency not found")</x:f>
        <x:v>Not Started</x:v>
      </x:c>
      <x:c r="E140" s="6" t="str"/>
      <x:c r="F140" s="6" t="str"/>
      <x:c r="G140" s="6" t="str"/>
      <x:c r="H140" s="6" t="str">
        <x:v>Unknown</x:v>
      </x:c>
      <x:c r="I140" s="6" t="str"/>
      <x:c r="J140" s="6" t="str">
        <x:v>Unresolved</x:v>
      </x:c>
      <x:c r="K140" s="7" t="str">
        <x:v>Nocturnix_Master_Services_Catalog_v1.xlsx | 01 - Master Services | row 179</x:v>
      </x:c>
      <x:c r="L140" s="6" t="str"/>
      <x:c r="M140" s="6" t="str"/>
      <x:c r="N140" s="6" t="str">
        <x:v>Pending</x:v>
      </x:c>
      <x:c r="O140" s="7" t="str">
        <x:f>IF(OR(D140="Reviewer Complete",D140="Awaiting Second-Level Approval"),"","Service identity dependency unresolved")</x:f>
        <x:v>Service identity dependency unresolved</x:v>
      </x:c>
      <x:c r="P140" s="6" t="str">
        <x:v>Yes</x:v>
      </x:c>
      <x:c r="Q140" s="7" t="str"/>
    </x:row>
    <x:row r="141">
      <x:c r="A141" s="6" t="str">
        <x:v>PRTX-0140</x:v>
      </x:c>
      <x:c r="B141" s="6" t="str">
        <x:v>SVC000140</x:v>
      </x:c>
      <x:c r="C141" s="6" t="str">
        <x:v>SIDX-0140</x:v>
      </x:c>
      <x:c r="D141" s="6" t="str">
        <x:f>IFERROR(XLOOKUP(C141,'Review Sequence'!C2:C1586,'Review Sequence'!J2:J1586),"Dependency not found")</x:f>
        <x:v>Not Started</x:v>
      </x:c>
      <x:c r="E141" s="6" t="str"/>
      <x:c r="F141" s="6" t="str"/>
      <x:c r="G141" s="6" t="str"/>
      <x:c r="H141" s="6" t="str">
        <x:v>Unknown</x:v>
      </x:c>
      <x:c r="I141" s="6" t="str"/>
      <x:c r="J141" s="6" t="str">
        <x:v>Unresolved</x:v>
      </x:c>
      <x:c r="K141" s="7" t="str">
        <x:v>Nocturnix_Master_Services_Catalog_v1.xlsx | 01 - Master Services | row 180</x:v>
      </x:c>
      <x:c r="L141" s="6" t="str"/>
      <x:c r="M141" s="6" t="str"/>
      <x:c r="N141" s="6" t="str">
        <x:v>Pending</x:v>
      </x:c>
      <x:c r="O141" s="7" t="str">
        <x:f>IF(OR(D141="Reviewer Complete",D141="Awaiting Second-Level Approval"),"","Service identity dependency unresolved")</x:f>
        <x:v>Service identity dependency unresolved</x:v>
      </x:c>
      <x:c r="P141" s="6" t="str">
        <x:v>Yes</x:v>
      </x:c>
      <x:c r="Q141" s="7" t="str"/>
    </x:row>
    <x:row r="142">
      <x:c r="A142" s="6" t="str">
        <x:v>PRTX-0141</x:v>
      </x:c>
      <x:c r="B142" s="6" t="str">
        <x:v>SVC000141</x:v>
      </x:c>
      <x:c r="C142" s="6" t="str">
        <x:v>SIDX-0141</x:v>
      </x:c>
      <x:c r="D142" s="6" t="str">
        <x:f>IFERROR(XLOOKUP(C142,'Review Sequence'!C2:C1586,'Review Sequence'!J2:J1586),"Dependency not found")</x:f>
        <x:v>Not Started</x:v>
      </x:c>
      <x:c r="E142" s="6" t="str"/>
      <x:c r="F142" s="6" t="str"/>
      <x:c r="G142" s="6" t="str"/>
      <x:c r="H142" s="6" t="str">
        <x:v>Unknown</x:v>
      </x:c>
      <x:c r="I142" s="6" t="str"/>
      <x:c r="J142" s="6" t="str">
        <x:v>Unresolved</x:v>
      </x:c>
      <x:c r="K142" s="7" t="str">
        <x:v>Nocturnix_Master_Services_Catalog_v1.xlsx | 01 - Master Services | row 181</x:v>
      </x:c>
      <x:c r="L142" s="6" t="str"/>
      <x:c r="M142" s="6" t="str"/>
      <x:c r="N142" s="6" t="str">
        <x:v>Pending</x:v>
      </x:c>
      <x:c r="O142" s="7" t="str">
        <x:f>IF(OR(D142="Reviewer Complete",D142="Awaiting Second-Level Approval"),"","Service identity dependency unresolved")</x:f>
        <x:v>Service identity dependency unresolved</x:v>
      </x:c>
      <x:c r="P142" s="6" t="str">
        <x:v>Yes</x:v>
      </x:c>
      <x:c r="Q142" s="7" t="str"/>
    </x:row>
    <x:row r="143">
      <x:c r="A143" s="6" t="str">
        <x:v>PRTX-0142</x:v>
      </x:c>
      <x:c r="B143" s="6" t="str">
        <x:v>SVC000142</x:v>
      </x:c>
      <x:c r="C143" s="6" t="str">
        <x:v>SIDX-0142</x:v>
      </x:c>
      <x:c r="D143" s="6" t="str">
        <x:f>IFERROR(XLOOKUP(C143,'Review Sequence'!C2:C1586,'Review Sequence'!J2:J1586),"Dependency not found")</x:f>
        <x:v>Not Started</x:v>
      </x:c>
      <x:c r="E143" s="6" t="str"/>
      <x:c r="F143" s="6" t="str"/>
      <x:c r="G143" s="6" t="str"/>
      <x:c r="H143" s="6" t="str">
        <x:v>Unknown</x:v>
      </x:c>
      <x:c r="I143" s="6" t="str"/>
      <x:c r="J143" s="6" t="str">
        <x:v>Unresolved</x:v>
      </x:c>
      <x:c r="K143" s="7" t="str">
        <x:v>Nocturnix_Master_Services_Catalog_v1.xlsx | 01 - Master Services | row 182</x:v>
      </x:c>
      <x:c r="L143" s="6" t="str"/>
      <x:c r="M143" s="6" t="str"/>
      <x:c r="N143" s="6" t="str">
        <x:v>Pending</x:v>
      </x:c>
      <x:c r="O143" s="7" t="str">
        <x:f>IF(OR(D143="Reviewer Complete",D143="Awaiting Second-Level Approval"),"","Service identity dependency unresolved")</x:f>
        <x:v>Service identity dependency unresolved</x:v>
      </x:c>
      <x:c r="P143" s="6" t="str">
        <x:v>Yes</x:v>
      </x:c>
      <x:c r="Q143" s="7" t="str"/>
    </x:row>
    <x:row r="144">
      <x:c r="A144" s="6" t="str">
        <x:v>PRTX-0143</x:v>
      </x:c>
      <x:c r="B144" s="6" t="str">
        <x:v>SVC000143</x:v>
      </x:c>
      <x:c r="C144" s="6" t="str">
        <x:v>SIDX-0143</x:v>
      </x:c>
      <x:c r="D144" s="6" t="str">
        <x:f>IFERROR(XLOOKUP(C144,'Review Sequence'!C2:C1586,'Review Sequence'!J2:J1586),"Dependency not found")</x:f>
        <x:v>Not Started</x:v>
      </x:c>
      <x:c r="E144" s="6" t="str"/>
      <x:c r="F144" s="6" t="str"/>
      <x:c r="G144" s="6" t="str"/>
      <x:c r="H144" s="6" t="str">
        <x:v>Unknown</x:v>
      </x:c>
      <x:c r="I144" s="6" t="str"/>
      <x:c r="J144" s="6" t="str">
        <x:v>Unresolved</x:v>
      </x:c>
      <x:c r="K144" s="7" t="str">
        <x:v>Nocturnix_Master_Services_Catalog_v1.xlsx | 01 - Master Services | row 183</x:v>
      </x:c>
      <x:c r="L144" s="6" t="str"/>
      <x:c r="M144" s="6" t="str"/>
      <x:c r="N144" s="6" t="str">
        <x:v>Pending</x:v>
      </x:c>
      <x:c r="O144" s="7" t="str">
        <x:f>IF(OR(D144="Reviewer Complete",D144="Awaiting Second-Level Approval"),"","Service identity dependency unresolved")</x:f>
        <x:v>Service identity dependency unresolved</x:v>
      </x:c>
      <x:c r="P144" s="6" t="str">
        <x:v>Yes</x:v>
      </x:c>
      <x:c r="Q144" s="7" t="str"/>
    </x:row>
    <x:row r="145">
      <x:c r="A145" s="6" t="str">
        <x:v>PRTX-0144</x:v>
      </x:c>
      <x:c r="B145" s="6" t="str">
        <x:v>SVC000144</x:v>
      </x:c>
      <x:c r="C145" s="6" t="str">
        <x:v>SIDX-0144</x:v>
      </x:c>
      <x:c r="D145" s="6" t="str">
        <x:f>IFERROR(XLOOKUP(C145,'Review Sequence'!C2:C1586,'Review Sequence'!J2:J1586),"Dependency not found")</x:f>
        <x:v>Not Started</x:v>
      </x:c>
      <x:c r="E145" s="6" t="str"/>
      <x:c r="F145" s="6" t="str"/>
      <x:c r="G145" s="6" t="str"/>
      <x:c r="H145" s="6" t="str">
        <x:v>Unknown</x:v>
      </x:c>
      <x:c r="I145" s="6" t="str"/>
      <x:c r="J145" s="6" t="str">
        <x:v>Unresolved</x:v>
      </x:c>
      <x:c r="K145" s="7" t="str">
        <x:v>Nocturnix_Master_Services_Catalog_v1.xlsx | 01 - Master Services | row 184</x:v>
      </x:c>
      <x:c r="L145" s="6" t="str"/>
      <x:c r="M145" s="6" t="str"/>
      <x:c r="N145" s="6" t="str">
        <x:v>Pending</x:v>
      </x:c>
      <x:c r="O145" s="7" t="str">
        <x:f>IF(OR(D145="Reviewer Complete",D145="Awaiting Second-Level Approval"),"","Service identity dependency unresolved")</x:f>
        <x:v>Service identity dependency unresolved</x:v>
      </x:c>
      <x:c r="P145" s="6" t="str">
        <x:v>Yes</x:v>
      </x:c>
      <x:c r="Q145" s="7" t="str"/>
    </x:row>
    <x:row r="146">
      <x:c r="A146" s="6" t="str">
        <x:v>PRTX-0145</x:v>
      </x:c>
      <x:c r="B146" s="6" t="str">
        <x:v>SVC000145</x:v>
      </x:c>
      <x:c r="C146" s="6" t="str">
        <x:v>SIDX-0145</x:v>
      </x:c>
      <x:c r="D146" s="6" t="str">
        <x:f>IFERROR(XLOOKUP(C146,'Review Sequence'!C2:C1586,'Review Sequence'!J2:J1586),"Dependency not found")</x:f>
        <x:v>Not Started</x:v>
      </x:c>
      <x:c r="E146" s="6" t="str"/>
      <x:c r="F146" s="6" t="str"/>
      <x:c r="G146" s="6" t="str"/>
      <x:c r="H146" s="6" t="str">
        <x:v>Unknown</x:v>
      </x:c>
      <x:c r="I146" s="6" t="str"/>
      <x:c r="J146" s="6" t="str">
        <x:v>Unresolved</x:v>
      </x:c>
      <x:c r="K146" s="7" t="str">
        <x:v>Nocturnix_Master_Services_Catalog_v1.xlsx | 01 - Master Services | row 185</x:v>
      </x:c>
      <x:c r="L146" s="6" t="str"/>
      <x:c r="M146" s="6" t="str"/>
      <x:c r="N146" s="6" t="str">
        <x:v>Pending</x:v>
      </x:c>
      <x:c r="O146" s="7" t="str">
        <x:f>IF(OR(D146="Reviewer Complete",D146="Awaiting Second-Level Approval"),"","Service identity dependency unresolved")</x:f>
        <x:v>Service identity dependency unresolved</x:v>
      </x:c>
      <x:c r="P146" s="6" t="str">
        <x:v>Yes</x:v>
      </x:c>
      <x:c r="Q146" s="7" t="str"/>
    </x:row>
    <x:row r="147">
      <x:c r="A147" s="6" t="str">
        <x:v>PRTX-0146</x:v>
      </x:c>
      <x:c r="B147" s="6" t="str">
        <x:v>SVC000146</x:v>
      </x:c>
      <x:c r="C147" s="6" t="str">
        <x:v>SIDX-0146</x:v>
      </x:c>
      <x:c r="D147" s="6" t="str">
        <x:f>IFERROR(XLOOKUP(C147,'Review Sequence'!C2:C1586,'Review Sequence'!J2:J1586),"Dependency not found")</x:f>
        <x:v>Not Started</x:v>
      </x:c>
      <x:c r="E147" s="6" t="str"/>
      <x:c r="F147" s="6" t="str"/>
      <x:c r="G147" s="6" t="str"/>
      <x:c r="H147" s="6" t="str">
        <x:v>Unknown</x:v>
      </x:c>
      <x:c r="I147" s="6" t="str"/>
      <x:c r="J147" s="6" t="str">
        <x:v>Unresolved</x:v>
      </x:c>
      <x:c r="K147" s="7" t="str">
        <x:v>Nocturnix_Master_Services_Catalog_v1.xlsx | 01 - Master Services | row 186</x:v>
      </x:c>
      <x:c r="L147" s="6" t="str"/>
      <x:c r="M147" s="6" t="str"/>
      <x:c r="N147" s="6" t="str">
        <x:v>Pending</x:v>
      </x:c>
      <x:c r="O147" s="7" t="str">
        <x:f>IF(OR(D147="Reviewer Complete",D147="Awaiting Second-Level Approval"),"","Service identity dependency unresolved")</x:f>
        <x:v>Service identity dependency unresolved</x:v>
      </x:c>
      <x:c r="P147" s="6" t="str">
        <x:v>Yes</x:v>
      </x:c>
      <x:c r="Q147" s="7" t="str"/>
    </x:row>
    <x:row r="148">
      <x:c r="A148" s="6" t="str">
        <x:v>PRTX-0147</x:v>
      </x:c>
      <x:c r="B148" s="6" t="str">
        <x:v>SVC000147</x:v>
      </x:c>
      <x:c r="C148" s="6" t="str">
        <x:v>SIDX-0147</x:v>
      </x:c>
      <x:c r="D148" s="6" t="str">
        <x:f>IFERROR(XLOOKUP(C148,'Review Sequence'!C2:C1586,'Review Sequence'!J2:J1586),"Dependency not found")</x:f>
        <x:v>Not Started</x:v>
      </x:c>
      <x:c r="E148" s="6" t="str"/>
      <x:c r="F148" s="6" t="str"/>
      <x:c r="G148" s="6" t="str"/>
      <x:c r="H148" s="6" t="str">
        <x:v>Unknown</x:v>
      </x:c>
      <x:c r="I148" s="6" t="str"/>
      <x:c r="J148" s="6" t="str">
        <x:v>Unresolved</x:v>
      </x:c>
      <x:c r="K148" s="7" t="str">
        <x:v>Nocturnix_Master_Services_Catalog_v1.xlsx | 01 - Master Services | row 187</x:v>
      </x:c>
      <x:c r="L148" s="6" t="str"/>
      <x:c r="M148" s="6" t="str"/>
      <x:c r="N148" s="6" t="str">
        <x:v>Pending</x:v>
      </x:c>
      <x:c r="O148" s="7" t="str">
        <x:f>IF(OR(D148="Reviewer Complete",D148="Awaiting Second-Level Approval"),"","Service identity dependency unresolved")</x:f>
        <x:v>Service identity dependency unresolved</x:v>
      </x:c>
      <x:c r="P148" s="6" t="str">
        <x:v>Yes</x:v>
      </x:c>
      <x:c r="Q148" s="7" t="str"/>
    </x:row>
    <x:row r="149">
      <x:c r="A149" s="6" t="str">
        <x:v>PRTX-0148</x:v>
      </x:c>
      <x:c r="B149" s="6" t="str">
        <x:v>SVC000148</x:v>
      </x:c>
      <x:c r="C149" s="6" t="str">
        <x:v>SIDX-0148</x:v>
      </x:c>
      <x:c r="D149" s="6" t="str">
        <x:f>IFERROR(XLOOKUP(C149,'Review Sequence'!C2:C1586,'Review Sequence'!J2:J1586),"Dependency not found")</x:f>
        <x:v>Not Started</x:v>
      </x:c>
      <x:c r="E149" s="6" t="str"/>
      <x:c r="F149" s="6" t="str"/>
      <x:c r="G149" s="6" t="str"/>
      <x:c r="H149" s="6" t="str">
        <x:v>Unknown</x:v>
      </x:c>
      <x:c r="I149" s="6" t="str"/>
      <x:c r="J149" s="6" t="str">
        <x:v>Unresolved</x:v>
      </x:c>
      <x:c r="K149" s="7" t="str">
        <x:v>Nocturnix_Master_Services_Catalog_v1.xlsx | 01 - Master Services | row 188</x:v>
      </x:c>
      <x:c r="L149" s="6" t="str"/>
      <x:c r="M149" s="6" t="str"/>
      <x:c r="N149" s="6" t="str">
        <x:v>Pending</x:v>
      </x:c>
      <x:c r="O149" s="7" t="str">
        <x:f>IF(OR(D149="Reviewer Complete",D149="Awaiting Second-Level Approval"),"","Service identity dependency unresolved")</x:f>
        <x:v>Service identity dependency unresolved</x:v>
      </x:c>
      <x:c r="P149" s="6" t="str">
        <x:v>Yes</x:v>
      </x:c>
      <x:c r="Q149" s="7" t="str"/>
    </x:row>
    <x:row r="150">
      <x:c r="A150" s="6" t="str">
        <x:v>PRTX-0149</x:v>
      </x:c>
      <x:c r="B150" s="6" t="str">
        <x:v>SVC000149</x:v>
      </x:c>
      <x:c r="C150" s="6" t="str">
        <x:v>SIDX-0149</x:v>
      </x:c>
      <x:c r="D150" s="6" t="str">
        <x:f>IFERROR(XLOOKUP(C150,'Review Sequence'!C2:C1586,'Review Sequence'!J2:J1586),"Dependency not found")</x:f>
        <x:v>Not Started</x:v>
      </x:c>
      <x:c r="E150" s="6" t="str"/>
      <x:c r="F150" s="6" t="str"/>
      <x:c r="G150" s="6" t="str"/>
      <x:c r="H150" s="6" t="str">
        <x:v>Unknown</x:v>
      </x:c>
      <x:c r="I150" s="6" t="str"/>
      <x:c r="J150" s="6" t="str">
        <x:v>Unresolved</x:v>
      </x:c>
      <x:c r="K150" s="7" t="str">
        <x:v>Nocturnix_Master_Services_Catalog_v1.xlsx | 01 - Master Services | row 189</x:v>
      </x:c>
      <x:c r="L150" s="6" t="str"/>
      <x:c r="M150" s="6" t="str"/>
      <x:c r="N150" s="6" t="str">
        <x:v>Pending</x:v>
      </x:c>
      <x:c r="O150" s="7" t="str">
        <x:f>IF(OR(D150="Reviewer Complete",D150="Awaiting Second-Level Approval"),"","Service identity dependency unresolved")</x:f>
        <x:v>Service identity dependency unresolved</x:v>
      </x:c>
      <x:c r="P150" s="6" t="str">
        <x:v>Yes</x:v>
      </x:c>
      <x:c r="Q150" s="7" t="str"/>
    </x:row>
    <x:row r="151">
      <x:c r="A151" s="6" t="str">
        <x:v>PRTX-0150</x:v>
      </x:c>
      <x:c r="B151" s="6" t="str">
        <x:v>SVC000150</x:v>
      </x:c>
      <x:c r="C151" s="6" t="str">
        <x:v>SIDX-0150</x:v>
      </x:c>
      <x:c r="D151" s="6" t="str">
        <x:f>IFERROR(XLOOKUP(C151,'Review Sequence'!C2:C1586,'Review Sequence'!J2:J1586),"Dependency not found")</x:f>
        <x:v>Not Started</x:v>
      </x:c>
      <x:c r="E151" s="6" t="str"/>
      <x:c r="F151" s="6" t="str"/>
      <x:c r="G151" s="6" t="str"/>
      <x:c r="H151" s="6" t="str">
        <x:v>Unknown</x:v>
      </x:c>
      <x:c r="I151" s="6" t="str"/>
      <x:c r="J151" s="6" t="str">
        <x:v>Unresolved</x:v>
      </x:c>
      <x:c r="K151" s="7" t="str">
        <x:v>Nocturnix_Master_Services_Catalog_v1.xlsx | 01 - Master Services | row 190</x:v>
      </x:c>
      <x:c r="L151" s="6" t="str"/>
      <x:c r="M151" s="6" t="str"/>
      <x:c r="N151" s="6" t="str">
        <x:v>Pending</x:v>
      </x:c>
      <x:c r="O151" s="7" t="str">
        <x:f>IF(OR(D151="Reviewer Complete",D151="Awaiting Second-Level Approval"),"","Service identity dependency unresolved")</x:f>
        <x:v>Service identity dependency unresolved</x:v>
      </x:c>
      <x:c r="P151" s="6" t="str">
        <x:v>Yes</x:v>
      </x:c>
      <x:c r="Q151" s="7" t="str"/>
    </x:row>
    <x:row r="152">
      <x:c r="A152" s="6" t="str">
        <x:v>PRTX-0151</x:v>
      </x:c>
      <x:c r="B152" s="6" t="str">
        <x:v>SVC000151</x:v>
      </x:c>
      <x:c r="C152" s="6" t="str">
        <x:v>SIDX-0151</x:v>
      </x:c>
      <x:c r="D152" s="6" t="str">
        <x:f>IFERROR(XLOOKUP(C152,'Review Sequence'!C2:C1586,'Review Sequence'!J2:J1586),"Dependency not found")</x:f>
        <x:v>Not Started</x:v>
      </x:c>
      <x:c r="E152" s="6" t="str"/>
      <x:c r="F152" s="6" t="str"/>
      <x:c r="G152" s="6" t="str"/>
      <x:c r="H152" s="6" t="str">
        <x:v>Unknown</x:v>
      </x:c>
      <x:c r="I152" s="6" t="str"/>
      <x:c r="J152" s="6" t="str">
        <x:v>Unresolved</x:v>
      </x:c>
      <x:c r="K152" s="7" t="str">
        <x:v>Nocturnix_Master_Services_Catalog_v1.xlsx | 01 - Master Services | row 191</x:v>
      </x:c>
      <x:c r="L152" s="6" t="str"/>
      <x:c r="M152" s="6" t="str"/>
      <x:c r="N152" s="6" t="str">
        <x:v>Pending</x:v>
      </x:c>
      <x:c r="O152" s="7" t="str">
        <x:f>IF(OR(D152="Reviewer Complete",D152="Awaiting Second-Level Approval"),"","Service identity dependency unresolved")</x:f>
        <x:v>Service identity dependency unresolved</x:v>
      </x:c>
      <x:c r="P152" s="6" t="str">
        <x:v>Yes</x:v>
      </x:c>
      <x:c r="Q152" s="7" t="str"/>
    </x:row>
    <x:row r="153">
      <x:c r="A153" s="6" t="str">
        <x:v>PRTX-0152</x:v>
      </x:c>
      <x:c r="B153" s="6" t="str">
        <x:v>SVC000152</x:v>
      </x:c>
      <x:c r="C153" s="6" t="str">
        <x:v>SIDX-0152</x:v>
      </x:c>
      <x:c r="D153" s="6" t="str">
        <x:f>IFERROR(XLOOKUP(C153,'Review Sequence'!C2:C1586,'Review Sequence'!J2:J1586),"Dependency not found")</x:f>
        <x:v>Not Started</x:v>
      </x:c>
      <x:c r="E153" s="6" t="str"/>
      <x:c r="F153" s="6" t="str"/>
      <x:c r="G153" s="6" t="str"/>
      <x:c r="H153" s="6" t="str">
        <x:v>Unknown</x:v>
      </x:c>
      <x:c r="I153" s="6" t="str"/>
      <x:c r="J153" s="6" t="str">
        <x:v>Unresolved</x:v>
      </x:c>
      <x:c r="K153" s="7" t="str">
        <x:v>Nocturnix_Master_Services_Catalog_v1.xlsx | 01 - Master Services | row 192</x:v>
      </x:c>
      <x:c r="L153" s="6" t="str"/>
      <x:c r="M153" s="6" t="str"/>
      <x:c r="N153" s="6" t="str">
        <x:v>Pending</x:v>
      </x:c>
      <x:c r="O153" s="7" t="str">
        <x:f>IF(OR(D153="Reviewer Complete",D153="Awaiting Second-Level Approval"),"","Service identity dependency unresolved")</x:f>
        <x:v>Service identity dependency unresolved</x:v>
      </x:c>
      <x:c r="P153" s="6" t="str">
        <x:v>Yes</x:v>
      </x:c>
      <x:c r="Q153" s="7" t="str"/>
    </x:row>
    <x:row r="154">
      <x:c r="A154" s="6" t="str">
        <x:v>PRTX-0153</x:v>
      </x:c>
      <x:c r="B154" s="6" t="str">
        <x:v>SVC000153</x:v>
      </x:c>
      <x:c r="C154" s="6" t="str">
        <x:v>SIDX-0153</x:v>
      </x:c>
      <x:c r="D154" s="6" t="str">
        <x:f>IFERROR(XLOOKUP(C154,'Review Sequence'!C2:C1586,'Review Sequence'!J2:J1586),"Dependency not found")</x:f>
        <x:v>Not Started</x:v>
      </x:c>
      <x:c r="E154" s="6" t="str"/>
      <x:c r="F154" s="6" t="str"/>
      <x:c r="G154" s="6" t="str"/>
      <x:c r="H154" s="6" t="str">
        <x:v>Unknown</x:v>
      </x:c>
      <x:c r="I154" s="6" t="str"/>
      <x:c r="J154" s="6" t="str">
        <x:v>Unresolved</x:v>
      </x:c>
      <x:c r="K154" s="7" t="str">
        <x:v>Nocturnix_Master_Services_Catalog_v1.xlsx | 01 - Master Services | row 193</x:v>
      </x:c>
      <x:c r="L154" s="6" t="str"/>
      <x:c r="M154" s="6" t="str"/>
      <x:c r="N154" s="6" t="str">
        <x:v>Pending</x:v>
      </x:c>
      <x:c r="O154" s="7" t="str">
        <x:f>IF(OR(D154="Reviewer Complete",D154="Awaiting Second-Level Approval"),"","Service identity dependency unresolved")</x:f>
        <x:v>Service identity dependency unresolved</x:v>
      </x:c>
      <x:c r="P154" s="6" t="str">
        <x:v>Yes</x:v>
      </x:c>
      <x:c r="Q154" s="7" t="str"/>
    </x:row>
    <x:row r="155">
      <x:c r="A155" s="6" t="str">
        <x:v>PRTX-0154</x:v>
      </x:c>
      <x:c r="B155" s="6" t="str">
        <x:v>SVC000154</x:v>
      </x:c>
      <x:c r="C155" s="6" t="str">
        <x:v>SIDX-0154</x:v>
      </x:c>
      <x:c r="D155" s="6" t="str">
        <x:f>IFERROR(XLOOKUP(C155,'Review Sequence'!C2:C1586,'Review Sequence'!J2:J1586),"Dependency not found")</x:f>
        <x:v>Not Started</x:v>
      </x:c>
      <x:c r="E155" s="6" t="str"/>
      <x:c r="F155" s="6" t="str"/>
      <x:c r="G155" s="6" t="str"/>
      <x:c r="H155" s="6" t="str">
        <x:v>Unknown</x:v>
      </x:c>
      <x:c r="I155" s="6" t="str"/>
      <x:c r="J155" s="6" t="str">
        <x:v>Unresolved</x:v>
      </x:c>
      <x:c r="K155" s="7" t="str">
        <x:v>Nocturnix_Master_Services_Catalog_v1.xlsx | 01 - Master Services | row 194</x:v>
      </x:c>
      <x:c r="L155" s="6" t="str"/>
      <x:c r="M155" s="6" t="str"/>
      <x:c r="N155" s="6" t="str">
        <x:v>Pending</x:v>
      </x:c>
      <x:c r="O155" s="7" t="str">
        <x:f>IF(OR(D155="Reviewer Complete",D155="Awaiting Second-Level Approval"),"","Service identity dependency unresolved")</x:f>
        <x:v>Service identity dependency unresolved</x:v>
      </x:c>
      <x:c r="P155" s="6" t="str">
        <x:v>Yes</x:v>
      </x:c>
      <x:c r="Q155" s="7" t="str"/>
    </x:row>
    <x:row r="156">
      <x:c r="A156" s="6" t="str">
        <x:v>PRTX-0155</x:v>
      </x:c>
      <x:c r="B156" s="6" t="str">
        <x:v>SVC000155</x:v>
      </x:c>
      <x:c r="C156" s="6" t="str">
        <x:v>SIDX-0155</x:v>
      </x:c>
      <x:c r="D156" s="6" t="str">
        <x:f>IFERROR(XLOOKUP(C156,'Review Sequence'!C2:C1586,'Review Sequence'!J2:J1586),"Dependency not found")</x:f>
        <x:v>Not Started</x:v>
      </x:c>
      <x:c r="E156" s="6" t="str"/>
      <x:c r="F156" s="6" t="str"/>
      <x:c r="G156" s="6" t="str"/>
      <x:c r="H156" s="6" t="str">
        <x:v>Unknown</x:v>
      </x:c>
      <x:c r="I156" s="6" t="str"/>
      <x:c r="J156" s="6" t="str">
        <x:v>Unresolved</x:v>
      </x:c>
      <x:c r="K156" s="7" t="str">
        <x:v>Nocturnix_Master_Services_Catalog_v1.xlsx | 01 - Master Services | row 195</x:v>
      </x:c>
      <x:c r="L156" s="6" t="str"/>
      <x:c r="M156" s="6" t="str"/>
      <x:c r="N156" s="6" t="str">
        <x:v>Pending</x:v>
      </x:c>
      <x:c r="O156" s="7" t="str">
        <x:f>IF(OR(D156="Reviewer Complete",D156="Awaiting Second-Level Approval"),"","Service identity dependency unresolved")</x:f>
        <x:v>Service identity dependency unresolved</x:v>
      </x:c>
      <x:c r="P156" s="6" t="str">
        <x:v>Yes</x:v>
      </x:c>
      <x:c r="Q156" s="7" t="str"/>
    </x:row>
    <x:row r="157">
      <x:c r="A157" s="6" t="str">
        <x:v>PRTX-0156</x:v>
      </x:c>
      <x:c r="B157" s="6" t="str">
        <x:v>SVC000156</x:v>
      </x:c>
      <x:c r="C157" s="6" t="str">
        <x:v>SIDX-0156</x:v>
      </x:c>
      <x:c r="D157" s="6" t="str">
        <x:f>IFERROR(XLOOKUP(C157,'Review Sequence'!C2:C1586,'Review Sequence'!J2:J1586),"Dependency not found")</x:f>
        <x:v>Not Started</x:v>
      </x:c>
      <x:c r="E157" s="6" t="str"/>
      <x:c r="F157" s="6" t="str"/>
      <x:c r="G157" s="6" t="str"/>
      <x:c r="H157" s="6" t="str">
        <x:v>Unknown</x:v>
      </x:c>
      <x:c r="I157" s="6" t="str"/>
      <x:c r="J157" s="6" t="str">
        <x:v>Unresolved</x:v>
      </x:c>
      <x:c r="K157" s="7" t="str">
        <x:v>Nocturnix_Master_Services_Catalog_v1.xlsx | 01 - Master Services | row 196</x:v>
      </x:c>
      <x:c r="L157" s="6" t="str"/>
      <x:c r="M157" s="6" t="str"/>
      <x:c r="N157" s="6" t="str">
        <x:v>Pending</x:v>
      </x:c>
      <x:c r="O157" s="7" t="str">
        <x:f>IF(OR(D157="Reviewer Complete",D157="Awaiting Second-Level Approval"),"","Service identity dependency unresolved")</x:f>
        <x:v>Service identity dependency unresolved</x:v>
      </x:c>
      <x:c r="P157" s="6" t="str">
        <x:v>Yes</x:v>
      </x:c>
      <x:c r="Q157" s="7" t="str"/>
    </x:row>
    <x:row r="158">
      <x:c r="A158" s="6" t="str">
        <x:v>PRTX-0157</x:v>
      </x:c>
      <x:c r="B158" s="6" t="str">
        <x:v>SVC000157</x:v>
      </x:c>
      <x:c r="C158" s="6" t="str">
        <x:v>SIDX-0157</x:v>
      </x:c>
      <x:c r="D158" s="6" t="str">
        <x:f>IFERROR(XLOOKUP(C158,'Review Sequence'!C2:C1586,'Review Sequence'!J2:J1586),"Dependency not found")</x:f>
        <x:v>Not Started</x:v>
      </x:c>
      <x:c r="E158" s="6" t="str"/>
      <x:c r="F158" s="6" t="str"/>
      <x:c r="G158" s="6" t="str"/>
      <x:c r="H158" s="6" t="str">
        <x:v>Unknown</x:v>
      </x:c>
      <x:c r="I158" s="6" t="str"/>
      <x:c r="J158" s="6" t="str">
        <x:v>Unresolved</x:v>
      </x:c>
      <x:c r="K158" s="7" t="str">
        <x:v>Nocturnix_Master_Services_Catalog_v1.xlsx | 01 - Master Services | row 197</x:v>
      </x:c>
      <x:c r="L158" s="6" t="str"/>
      <x:c r="M158" s="6" t="str"/>
      <x:c r="N158" s="6" t="str">
        <x:v>Pending</x:v>
      </x:c>
      <x:c r="O158" s="7" t="str">
        <x:f>IF(OR(D158="Reviewer Complete",D158="Awaiting Second-Level Approval"),"","Service identity dependency unresolved")</x:f>
        <x:v>Service identity dependency unresolved</x:v>
      </x:c>
      <x:c r="P158" s="6" t="str">
        <x:v>Yes</x:v>
      </x:c>
      <x:c r="Q158" s="7" t="str"/>
    </x:row>
    <x:row r="159">
      <x:c r="A159" s="6" t="str">
        <x:v>PRTX-0158</x:v>
      </x:c>
      <x:c r="B159" s="6" t="str">
        <x:v>SVC000158</x:v>
      </x:c>
      <x:c r="C159" s="6" t="str">
        <x:v>SIDX-0158</x:v>
      </x:c>
      <x:c r="D159" s="6" t="str">
        <x:f>IFERROR(XLOOKUP(C159,'Review Sequence'!C2:C1586,'Review Sequence'!J2:J1586),"Dependency not found")</x:f>
        <x:v>Not Started</x:v>
      </x:c>
      <x:c r="E159" s="6" t="str"/>
      <x:c r="F159" s="6" t="str"/>
      <x:c r="G159" s="6" t="str"/>
      <x:c r="H159" s="6" t="str">
        <x:v>Unknown</x:v>
      </x:c>
      <x:c r="I159" s="6" t="str"/>
      <x:c r="J159" s="6" t="str">
        <x:v>Unresolved</x:v>
      </x:c>
      <x:c r="K159" s="7" t="str">
        <x:v>Nocturnix_Master_Services_Catalog_v1.xlsx | 01 - Master Services | row 198</x:v>
      </x:c>
      <x:c r="L159" s="6" t="str"/>
      <x:c r="M159" s="6" t="str"/>
      <x:c r="N159" s="6" t="str">
        <x:v>Pending</x:v>
      </x:c>
      <x:c r="O159" s="7" t="str">
        <x:f>IF(OR(D159="Reviewer Complete",D159="Awaiting Second-Level Approval"),"","Service identity dependency unresolved")</x:f>
        <x:v>Service identity dependency unresolved</x:v>
      </x:c>
      <x:c r="P159" s="6" t="str">
        <x:v>Yes</x:v>
      </x:c>
      <x:c r="Q159" s="7" t="str"/>
    </x:row>
    <x:row r="160">
      <x:c r="A160" s="6" t="str">
        <x:v>PRTX-0159</x:v>
      </x:c>
      <x:c r="B160" s="6" t="str">
        <x:v>SVC000159</x:v>
      </x:c>
      <x:c r="C160" s="6" t="str">
        <x:v>SIDX-0159</x:v>
      </x:c>
      <x:c r="D160" s="6" t="str">
        <x:f>IFERROR(XLOOKUP(C160,'Review Sequence'!C2:C1586,'Review Sequence'!J2:J1586),"Dependency not found")</x:f>
        <x:v>Not Started</x:v>
      </x:c>
      <x:c r="E160" s="6" t="str"/>
      <x:c r="F160" s="6" t="str"/>
      <x:c r="G160" s="6" t="str"/>
      <x:c r="H160" s="6" t="str">
        <x:v>Unknown</x:v>
      </x:c>
      <x:c r="I160" s="6" t="str"/>
      <x:c r="J160" s="6" t="str">
        <x:v>Unresolved</x:v>
      </x:c>
      <x:c r="K160" s="7" t="str">
        <x:v>Nocturnix_Master_Services_Catalog_v1.xlsx | 01 - Master Services | row 199</x:v>
      </x:c>
      <x:c r="L160" s="6" t="str"/>
      <x:c r="M160" s="6" t="str"/>
      <x:c r="N160" s="6" t="str">
        <x:v>Pending</x:v>
      </x:c>
      <x:c r="O160" s="7" t="str">
        <x:f>IF(OR(D160="Reviewer Complete",D160="Awaiting Second-Level Approval"),"","Service identity dependency unresolved")</x:f>
        <x:v>Service identity dependency unresolved</x:v>
      </x:c>
      <x:c r="P160" s="6" t="str">
        <x:v>Yes</x:v>
      </x:c>
      <x:c r="Q160" s="7" t="str"/>
    </x:row>
    <x:row r="161">
      <x:c r="A161" s="6" t="str">
        <x:v>PRTX-0160</x:v>
      </x:c>
      <x:c r="B161" s="6" t="str">
        <x:v>SVC000160</x:v>
      </x:c>
      <x:c r="C161" s="6" t="str">
        <x:v>SIDX-0160</x:v>
      </x:c>
      <x:c r="D161" s="6" t="str">
        <x:f>IFERROR(XLOOKUP(C161,'Review Sequence'!C2:C1586,'Review Sequence'!J2:J1586),"Dependency not found")</x:f>
        <x:v>Not Started</x:v>
      </x:c>
      <x:c r="E161" s="6" t="str"/>
      <x:c r="F161" s="6" t="str"/>
      <x:c r="G161" s="6" t="str"/>
      <x:c r="H161" s="6" t="str">
        <x:v>Unknown</x:v>
      </x:c>
      <x:c r="I161" s="6" t="str"/>
      <x:c r="J161" s="6" t="str">
        <x:v>Unresolved</x:v>
      </x:c>
      <x:c r="K161" s="7" t="str">
        <x:v>Nocturnix_Master_Services_Catalog_v1.xlsx | 01 - Master Services | row 200</x:v>
      </x:c>
      <x:c r="L161" s="6" t="str"/>
      <x:c r="M161" s="6" t="str"/>
      <x:c r="N161" s="6" t="str">
        <x:v>Pending</x:v>
      </x:c>
      <x:c r="O161" s="7" t="str">
        <x:f>IF(OR(D161="Reviewer Complete",D161="Awaiting Second-Level Approval"),"","Service identity dependency unresolved")</x:f>
        <x:v>Service identity dependency unresolved</x:v>
      </x:c>
      <x:c r="P161" s="6" t="str">
        <x:v>Yes</x:v>
      </x:c>
      <x:c r="Q161" s="7" t="str"/>
    </x:row>
    <x:row r="162">
      <x:c r="A162" s="6" t="str">
        <x:v>PRTX-0161</x:v>
      </x:c>
      <x:c r="B162" s="6" t="str">
        <x:v>SVC000161</x:v>
      </x:c>
      <x:c r="C162" s="6" t="str">
        <x:v>SIDX-0161</x:v>
      </x:c>
      <x:c r="D162" s="6" t="str">
        <x:f>IFERROR(XLOOKUP(C162,'Review Sequence'!C2:C1586,'Review Sequence'!J2:J1586),"Dependency not found")</x:f>
        <x:v>Not Started</x:v>
      </x:c>
      <x:c r="E162" s="6" t="str"/>
      <x:c r="F162" s="6" t="str"/>
      <x:c r="G162" s="6" t="str"/>
      <x:c r="H162" s="6" t="str">
        <x:v>Unknown</x:v>
      </x:c>
      <x:c r="I162" s="6" t="str"/>
      <x:c r="J162" s="6" t="str">
        <x:v>Unresolved</x:v>
      </x:c>
      <x:c r="K162" s="7" t="str">
        <x:v>Nocturnix_Master_Services_Catalog_v1.xlsx | 01 - Master Services | row 201</x:v>
      </x:c>
      <x:c r="L162" s="6" t="str"/>
      <x:c r="M162" s="6" t="str"/>
      <x:c r="N162" s="6" t="str">
        <x:v>Pending</x:v>
      </x:c>
      <x:c r="O162" s="7" t="str">
        <x:f>IF(OR(D162="Reviewer Complete",D162="Awaiting Second-Level Approval"),"","Service identity dependency unresolved")</x:f>
        <x:v>Service identity dependency unresolved</x:v>
      </x:c>
      <x:c r="P162" s="6" t="str">
        <x:v>Yes</x:v>
      </x:c>
      <x:c r="Q162" s="7" t="str"/>
    </x:row>
    <x:row r="163">
      <x:c r="A163" s="6" t="str">
        <x:v>PRTX-0162</x:v>
      </x:c>
      <x:c r="B163" s="6" t="str">
        <x:v>SVC000162</x:v>
      </x:c>
      <x:c r="C163" s="6" t="str">
        <x:v>SIDX-0162</x:v>
      </x:c>
      <x:c r="D163" s="6" t="str">
        <x:f>IFERROR(XLOOKUP(C163,'Review Sequence'!C2:C1586,'Review Sequence'!J2:J1586),"Dependency not found")</x:f>
        <x:v>Not Started</x:v>
      </x:c>
      <x:c r="E163" s="6" t="str"/>
      <x:c r="F163" s="6" t="str"/>
      <x:c r="G163" s="6" t="str"/>
      <x:c r="H163" s="6" t="str">
        <x:v>Unknown</x:v>
      </x:c>
      <x:c r="I163" s="6" t="str"/>
      <x:c r="J163" s="6" t="str">
        <x:v>Unresolved</x:v>
      </x:c>
      <x:c r="K163" s="7" t="str">
        <x:v>Nocturnix_Master_Services_Catalog_v1.xlsx | 01 - Master Services | row 202</x:v>
      </x:c>
      <x:c r="L163" s="6" t="str"/>
      <x:c r="M163" s="6" t="str"/>
      <x:c r="N163" s="6" t="str">
        <x:v>Pending</x:v>
      </x:c>
      <x:c r="O163" s="7" t="str">
        <x:f>IF(OR(D163="Reviewer Complete",D163="Awaiting Second-Level Approval"),"","Service identity dependency unresolved")</x:f>
        <x:v>Service identity dependency unresolved</x:v>
      </x:c>
      <x:c r="P163" s="6" t="str">
        <x:v>Yes</x:v>
      </x:c>
      <x:c r="Q163" s="7" t="str"/>
    </x:row>
    <x:row r="164">
      <x:c r="A164" s="6" t="str">
        <x:v>PRTX-0163</x:v>
      </x:c>
      <x:c r="B164" s="6" t="str">
        <x:v>SVC000163</x:v>
      </x:c>
      <x:c r="C164" s="6" t="str">
        <x:v>SIDX-0163</x:v>
      </x:c>
      <x:c r="D164" s="6" t="str">
        <x:f>IFERROR(XLOOKUP(C164,'Review Sequence'!C2:C1586,'Review Sequence'!J2:J1586),"Dependency not found")</x:f>
        <x:v>Not Started</x:v>
      </x:c>
      <x:c r="E164" s="6" t="str"/>
      <x:c r="F164" s="6" t="str"/>
      <x:c r="G164" s="6" t="str"/>
      <x:c r="H164" s="6" t="str">
        <x:v>Unknown</x:v>
      </x:c>
      <x:c r="I164" s="6" t="str"/>
      <x:c r="J164" s="6" t="str">
        <x:v>Unresolved</x:v>
      </x:c>
      <x:c r="K164" s="7" t="str">
        <x:v>Nocturnix_Master_Services_Catalog_v1.xlsx | 01 - Master Services | row 203</x:v>
      </x:c>
      <x:c r="L164" s="6" t="str"/>
      <x:c r="M164" s="6" t="str"/>
      <x:c r="N164" s="6" t="str">
        <x:v>Pending</x:v>
      </x:c>
      <x:c r="O164" s="7" t="str">
        <x:f>IF(OR(D164="Reviewer Complete",D164="Awaiting Second-Level Approval"),"","Service identity dependency unresolved")</x:f>
        <x:v>Service identity dependency unresolved</x:v>
      </x:c>
      <x:c r="P164" s="6" t="str">
        <x:v>Yes</x:v>
      </x:c>
      <x:c r="Q164" s="7" t="str"/>
    </x:row>
    <x:row r="165">
      <x:c r="A165" s="6" t="str">
        <x:v>PRTX-0164</x:v>
      </x:c>
      <x:c r="B165" s="6" t="str">
        <x:v>SVC000164</x:v>
      </x:c>
      <x:c r="C165" s="6" t="str">
        <x:v>SIDX-0164</x:v>
      </x:c>
      <x:c r="D165" s="6" t="str">
        <x:f>IFERROR(XLOOKUP(C165,'Review Sequence'!C2:C1586,'Review Sequence'!J2:J1586),"Dependency not found")</x:f>
        <x:v>Not Started</x:v>
      </x:c>
      <x:c r="E165" s="6" t="str"/>
      <x:c r="F165" s="6" t="str"/>
      <x:c r="G165" s="6" t="str"/>
      <x:c r="H165" s="6" t="str">
        <x:v>Unknown</x:v>
      </x:c>
      <x:c r="I165" s="6" t="str"/>
      <x:c r="J165" s="6" t="str">
        <x:v>Unresolved</x:v>
      </x:c>
      <x:c r="K165" s="7" t="str">
        <x:v>Nocturnix_Master_Services_Catalog_v1.xlsx | 01 - Master Services | row 204</x:v>
      </x:c>
      <x:c r="L165" s="6" t="str"/>
      <x:c r="M165" s="6" t="str"/>
      <x:c r="N165" s="6" t="str">
        <x:v>Pending</x:v>
      </x:c>
      <x:c r="O165" s="7" t="str">
        <x:f>IF(OR(D165="Reviewer Complete",D165="Awaiting Second-Level Approval"),"","Service identity dependency unresolved")</x:f>
        <x:v>Service identity dependency unresolved</x:v>
      </x:c>
      <x:c r="P165" s="6" t="str">
        <x:v>Yes</x:v>
      </x:c>
      <x:c r="Q165" s="7" t="str"/>
    </x:row>
    <x:row r="166">
      <x:c r="A166" s="6" t="str">
        <x:v>PRTX-0165</x:v>
      </x:c>
      <x:c r="B166" s="6" t="str">
        <x:v>SVC000165</x:v>
      </x:c>
      <x:c r="C166" s="6" t="str">
        <x:v>SIDX-0165</x:v>
      </x:c>
      <x:c r="D166" s="6" t="str">
        <x:f>IFERROR(XLOOKUP(C166,'Review Sequence'!C2:C1586,'Review Sequence'!J2:J1586),"Dependency not found")</x:f>
        <x:v>Not Started</x:v>
      </x:c>
      <x:c r="E166" s="6" t="str"/>
      <x:c r="F166" s="6" t="str"/>
      <x:c r="G166" s="6" t="str"/>
      <x:c r="H166" s="6" t="str">
        <x:v>Unknown</x:v>
      </x:c>
      <x:c r="I166" s="6" t="str"/>
      <x:c r="J166" s="6" t="str">
        <x:v>Unresolved</x:v>
      </x:c>
      <x:c r="K166" s="7" t="str">
        <x:v>Nocturnix_Master_Services_Catalog_v1.xlsx | 01 - Master Services | row 205</x:v>
      </x:c>
      <x:c r="L166" s="6" t="str"/>
      <x:c r="M166" s="6" t="str"/>
      <x:c r="N166" s="6" t="str">
        <x:v>Pending</x:v>
      </x:c>
      <x:c r="O166" s="7" t="str">
        <x:f>IF(OR(D166="Reviewer Complete",D166="Awaiting Second-Level Approval"),"","Service identity dependency unresolved")</x:f>
        <x:v>Service identity dependency unresolved</x:v>
      </x:c>
      <x:c r="P166" s="6" t="str">
        <x:v>Yes</x:v>
      </x:c>
      <x:c r="Q166" s="7" t="str"/>
    </x:row>
    <x:row r="167">
      <x:c r="A167" s="6" t="str">
        <x:v>PRTX-0166</x:v>
      </x:c>
      <x:c r="B167" s="6" t="str">
        <x:v>SVC000166</x:v>
      </x:c>
      <x:c r="C167" s="6" t="str">
        <x:v>SIDX-0166</x:v>
      </x:c>
      <x:c r="D167" s="6" t="str">
        <x:f>IFERROR(XLOOKUP(C167,'Review Sequence'!C2:C1586,'Review Sequence'!J2:J1586),"Dependency not found")</x:f>
        <x:v>Not Started</x:v>
      </x:c>
      <x:c r="E167" s="6" t="str"/>
      <x:c r="F167" s="6" t="str"/>
      <x:c r="G167" s="6" t="str"/>
      <x:c r="H167" s="6" t="str">
        <x:v>Unknown</x:v>
      </x:c>
      <x:c r="I167" s="6" t="str"/>
      <x:c r="J167" s="6" t="str">
        <x:v>Unresolved</x:v>
      </x:c>
      <x:c r="K167" s="7" t="str">
        <x:v>Nocturnix_Master_Services_Catalog_v1.xlsx | 01 - Master Services | row 206</x:v>
      </x:c>
      <x:c r="L167" s="6" t="str"/>
      <x:c r="M167" s="6" t="str"/>
      <x:c r="N167" s="6" t="str">
        <x:v>Pending</x:v>
      </x:c>
      <x:c r="O167" s="7" t="str">
        <x:f>IF(OR(D167="Reviewer Complete",D167="Awaiting Second-Level Approval"),"","Service identity dependency unresolved")</x:f>
        <x:v>Service identity dependency unresolved</x:v>
      </x:c>
      <x:c r="P167" s="6" t="str">
        <x:v>Yes</x:v>
      </x:c>
      <x:c r="Q167" s="7" t="str"/>
    </x:row>
    <x:row r="168">
      <x:c r="A168" s="6" t="str">
        <x:v>PRTX-0167</x:v>
      </x:c>
      <x:c r="B168" s="6" t="str">
        <x:v>SVC000167</x:v>
      </x:c>
      <x:c r="C168" s="6" t="str">
        <x:v>SIDX-0167</x:v>
      </x:c>
      <x:c r="D168" s="6" t="str">
        <x:f>IFERROR(XLOOKUP(C168,'Review Sequence'!C2:C1586,'Review Sequence'!J2:J1586),"Dependency not found")</x:f>
        <x:v>Not Started</x:v>
      </x:c>
      <x:c r="E168" s="6" t="str"/>
      <x:c r="F168" s="6" t="str"/>
      <x:c r="G168" s="6" t="str"/>
      <x:c r="H168" s="6" t="str">
        <x:v>Unknown</x:v>
      </x:c>
      <x:c r="I168" s="6" t="str"/>
      <x:c r="J168" s="6" t="str">
        <x:v>Unresolved</x:v>
      </x:c>
      <x:c r="K168" s="7" t="str">
        <x:v>Nocturnix_Master_Services_Catalog_v1.xlsx | 01 - Master Services | row 207</x:v>
      </x:c>
      <x:c r="L168" s="6" t="str"/>
      <x:c r="M168" s="6" t="str"/>
      <x:c r="N168" s="6" t="str">
        <x:v>Pending</x:v>
      </x:c>
      <x:c r="O168" s="7" t="str">
        <x:f>IF(OR(D168="Reviewer Complete",D168="Awaiting Second-Level Approval"),"","Service identity dependency unresolved")</x:f>
        <x:v>Service identity dependency unresolved</x:v>
      </x:c>
      <x:c r="P168" s="6" t="str">
        <x:v>Yes</x:v>
      </x:c>
      <x:c r="Q168" s="7" t="str"/>
    </x:row>
    <x:row r="169">
      <x:c r="A169" s="6" t="str">
        <x:v>PRTX-0168</x:v>
      </x:c>
      <x:c r="B169" s="6" t="str">
        <x:v>SVC000168</x:v>
      </x:c>
      <x:c r="C169" s="6" t="str">
        <x:v>SIDX-0168</x:v>
      </x:c>
      <x:c r="D169" s="6" t="str">
        <x:f>IFERROR(XLOOKUP(C169,'Review Sequence'!C2:C1586,'Review Sequence'!J2:J1586),"Dependency not found")</x:f>
        <x:v>Not Started</x:v>
      </x:c>
      <x:c r="E169" s="6" t="str"/>
      <x:c r="F169" s="6" t="str"/>
      <x:c r="G169" s="6" t="str"/>
      <x:c r="H169" s="6" t="str">
        <x:v>Unknown</x:v>
      </x:c>
      <x:c r="I169" s="6" t="str"/>
      <x:c r="J169" s="6" t="str">
        <x:v>Unresolved</x:v>
      </x:c>
      <x:c r="K169" s="7" t="str">
        <x:v>Nocturnix_Master_Services_Catalog_v1.xlsx | 01 - Master Services | row 208</x:v>
      </x:c>
      <x:c r="L169" s="6" t="str"/>
      <x:c r="M169" s="6" t="str"/>
      <x:c r="N169" s="6" t="str">
        <x:v>Pending</x:v>
      </x:c>
      <x:c r="O169" s="7" t="str">
        <x:f>IF(OR(D169="Reviewer Complete",D169="Awaiting Second-Level Approval"),"","Service identity dependency unresolved")</x:f>
        <x:v>Service identity dependency unresolved</x:v>
      </x:c>
      <x:c r="P169" s="6" t="str">
        <x:v>Yes</x:v>
      </x:c>
      <x:c r="Q169" s="7" t="str"/>
    </x:row>
    <x:row r="170">
      <x:c r="A170" s="6" t="str">
        <x:v>PRTX-0169</x:v>
      </x:c>
      <x:c r="B170" s="6" t="str">
        <x:v>SVC000169</x:v>
      </x:c>
      <x:c r="C170" s="6" t="str">
        <x:v>SIDX-0169</x:v>
      </x:c>
      <x:c r="D170" s="6" t="str">
        <x:f>IFERROR(XLOOKUP(C170,'Review Sequence'!C2:C1586,'Review Sequence'!J2:J1586),"Dependency not found")</x:f>
        <x:v>Not Started</x:v>
      </x:c>
      <x:c r="E170" s="6" t="str"/>
      <x:c r="F170" s="6" t="str"/>
      <x:c r="G170" s="6" t="str"/>
      <x:c r="H170" s="6" t="str">
        <x:v>Unknown</x:v>
      </x:c>
      <x:c r="I170" s="6" t="str"/>
      <x:c r="J170" s="6" t="str">
        <x:v>Unresolved</x:v>
      </x:c>
      <x:c r="K170" s="7" t="str">
        <x:v>Nocturnix_Master_Services_Catalog_v1.xlsx | 01 - Master Services | row 209</x:v>
      </x:c>
      <x:c r="L170" s="6" t="str"/>
      <x:c r="M170" s="6" t="str"/>
      <x:c r="N170" s="6" t="str">
        <x:v>Pending</x:v>
      </x:c>
      <x:c r="O170" s="7" t="str">
        <x:f>IF(OR(D170="Reviewer Complete",D170="Awaiting Second-Level Approval"),"","Service identity dependency unresolved")</x:f>
        <x:v>Service identity dependency unresolved</x:v>
      </x:c>
      <x:c r="P170" s="6" t="str">
        <x:v>Yes</x:v>
      </x:c>
      <x:c r="Q170" s="7" t="str"/>
    </x:row>
    <x:row r="171">
      <x:c r="A171" s="6" t="str">
        <x:v>PRTX-0170</x:v>
      </x:c>
      <x:c r="B171" s="6" t="str">
        <x:v>SVC000170</x:v>
      </x:c>
      <x:c r="C171" s="6" t="str">
        <x:v>SIDX-0170</x:v>
      </x:c>
      <x:c r="D171" s="6" t="str">
        <x:f>IFERROR(XLOOKUP(C171,'Review Sequence'!C2:C1586,'Review Sequence'!J2:J1586),"Dependency not found")</x:f>
        <x:v>Not Started</x:v>
      </x:c>
      <x:c r="E171" s="6" t="str"/>
      <x:c r="F171" s="6" t="str"/>
      <x:c r="G171" s="6" t="str"/>
      <x:c r="H171" s="6" t="str">
        <x:v>Unknown</x:v>
      </x:c>
      <x:c r="I171" s="6" t="str"/>
      <x:c r="J171" s="6" t="str">
        <x:v>Unresolved</x:v>
      </x:c>
      <x:c r="K171" s="7" t="str">
        <x:v>Nocturnix_Master_Services_Catalog_v1.xlsx | 01 - Master Services | row 210</x:v>
      </x:c>
      <x:c r="L171" s="6" t="str"/>
      <x:c r="M171" s="6" t="str"/>
      <x:c r="N171" s="6" t="str">
        <x:v>Pending</x:v>
      </x:c>
      <x:c r="O171" s="7" t="str">
        <x:f>IF(OR(D171="Reviewer Complete",D171="Awaiting Second-Level Approval"),"","Service identity dependency unresolved")</x:f>
        <x:v>Service identity dependency unresolved</x:v>
      </x:c>
      <x:c r="P171" s="6" t="str">
        <x:v>Yes</x:v>
      </x:c>
      <x:c r="Q171" s="7" t="str"/>
    </x:row>
    <x:row r="172">
      <x:c r="A172" s="6" t="str">
        <x:v>PRTX-0171</x:v>
      </x:c>
      <x:c r="B172" s="6" t="str">
        <x:v>SVC000171</x:v>
      </x:c>
      <x:c r="C172" s="6" t="str">
        <x:v>SIDX-0171</x:v>
      </x:c>
      <x:c r="D172" s="6" t="str">
        <x:f>IFERROR(XLOOKUP(C172,'Review Sequence'!C2:C1586,'Review Sequence'!J2:J1586),"Dependency not found")</x:f>
        <x:v>Not Started</x:v>
      </x:c>
      <x:c r="E172" s="6" t="str"/>
      <x:c r="F172" s="6" t="str"/>
      <x:c r="G172" s="6" t="str"/>
      <x:c r="H172" s="6" t="str">
        <x:v>Unknown</x:v>
      </x:c>
      <x:c r="I172" s="6" t="str"/>
      <x:c r="J172" s="6" t="str">
        <x:v>Unresolved</x:v>
      </x:c>
      <x:c r="K172" s="7" t="str">
        <x:v>Nocturnix_Master_Services_Catalog_v1.xlsx | 01 - Master Services | row 211</x:v>
      </x:c>
      <x:c r="L172" s="6" t="str"/>
      <x:c r="M172" s="6" t="str"/>
      <x:c r="N172" s="6" t="str">
        <x:v>Pending</x:v>
      </x:c>
      <x:c r="O172" s="7" t="str">
        <x:f>IF(OR(D172="Reviewer Complete",D172="Awaiting Second-Level Approval"),"","Service identity dependency unresolved")</x:f>
        <x:v>Service identity dependency unresolved</x:v>
      </x:c>
      <x:c r="P172" s="6" t="str">
        <x:v>Yes</x:v>
      </x:c>
      <x:c r="Q172" s="7" t="str"/>
    </x:row>
    <x:row r="173">
      <x:c r="A173" s="6" t="str">
        <x:v>PRTX-0172</x:v>
      </x:c>
      <x:c r="B173" s="6" t="str">
        <x:v>SVC000172</x:v>
      </x:c>
      <x:c r="C173" s="6" t="str">
        <x:v>SIDX-0172</x:v>
      </x:c>
      <x:c r="D173" s="6" t="str">
        <x:f>IFERROR(XLOOKUP(C173,'Review Sequence'!C2:C1586,'Review Sequence'!J2:J1586),"Dependency not found")</x:f>
        <x:v>Not Started</x:v>
      </x:c>
      <x:c r="E173" s="6" t="str"/>
      <x:c r="F173" s="6" t="str"/>
      <x:c r="G173" s="6" t="str"/>
      <x:c r="H173" s="6" t="str">
        <x:v>Unknown</x:v>
      </x:c>
      <x:c r="I173" s="6" t="str"/>
      <x:c r="J173" s="6" t="str">
        <x:v>Unresolved</x:v>
      </x:c>
      <x:c r="K173" s="7" t="str">
        <x:v>Nocturnix_Master_Services_Catalog_v1.xlsx | 01 - Master Services | row 212</x:v>
      </x:c>
      <x:c r="L173" s="6" t="str"/>
      <x:c r="M173" s="6" t="str"/>
      <x:c r="N173" s="6" t="str">
        <x:v>Pending</x:v>
      </x:c>
      <x:c r="O173" s="7" t="str">
        <x:f>IF(OR(D173="Reviewer Complete",D173="Awaiting Second-Level Approval"),"","Service identity dependency unresolved")</x:f>
        <x:v>Service identity dependency unresolved</x:v>
      </x:c>
      <x:c r="P173" s="6" t="str">
        <x:v>Yes</x:v>
      </x:c>
      <x:c r="Q173" s="7" t="str"/>
    </x:row>
    <x:row r="174">
      <x:c r="A174" s="6" t="str">
        <x:v>PRTX-0173</x:v>
      </x:c>
      <x:c r="B174" s="6" t="str">
        <x:v>SVC000173</x:v>
      </x:c>
      <x:c r="C174" s="6" t="str">
        <x:v>SIDX-0173</x:v>
      </x:c>
      <x:c r="D174" s="6" t="str">
        <x:f>IFERROR(XLOOKUP(C174,'Review Sequence'!C2:C1586,'Review Sequence'!J2:J1586),"Dependency not found")</x:f>
        <x:v>Not Started</x:v>
      </x:c>
      <x:c r="E174" s="6" t="str"/>
      <x:c r="F174" s="6" t="str"/>
      <x:c r="G174" s="6" t="str"/>
      <x:c r="H174" s="6" t="str">
        <x:v>Unknown</x:v>
      </x:c>
      <x:c r="I174" s="6" t="str"/>
      <x:c r="J174" s="6" t="str">
        <x:v>Unresolved</x:v>
      </x:c>
      <x:c r="K174" s="7" t="str">
        <x:v>Nocturnix_Master_Services_Catalog_v1.xlsx | 01 - Master Services | row 213</x:v>
      </x:c>
      <x:c r="L174" s="6" t="str"/>
      <x:c r="M174" s="6" t="str"/>
      <x:c r="N174" s="6" t="str">
        <x:v>Pending</x:v>
      </x:c>
      <x:c r="O174" s="7" t="str">
        <x:f>IF(OR(D174="Reviewer Complete",D174="Awaiting Second-Level Approval"),"","Service identity dependency unresolved")</x:f>
        <x:v>Service identity dependency unresolved</x:v>
      </x:c>
      <x:c r="P174" s="6" t="str">
        <x:v>Yes</x:v>
      </x:c>
      <x:c r="Q174" s="7" t="str"/>
    </x:row>
    <x:row r="175">
      <x:c r="A175" s="6" t="str">
        <x:v>PRTX-0174</x:v>
      </x:c>
      <x:c r="B175" s="6" t="str">
        <x:v>SVC000174</x:v>
      </x:c>
      <x:c r="C175" s="6" t="str">
        <x:v>SIDX-0174</x:v>
      </x:c>
      <x:c r="D175" s="6" t="str">
        <x:f>IFERROR(XLOOKUP(C175,'Review Sequence'!C2:C1586,'Review Sequence'!J2:J1586),"Dependency not found")</x:f>
        <x:v>Not Started</x:v>
      </x:c>
      <x:c r="E175" s="6" t="str"/>
      <x:c r="F175" s="6" t="str"/>
      <x:c r="G175" s="6" t="str"/>
      <x:c r="H175" s="6" t="str">
        <x:v>Unknown</x:v>
      </x:c>
      <x:c r="I175" s="6" t="str"/>
      <x:c r="J175" s="6" t="str">
        <x:v>Unresolved</x:v>
      </x:c>
      <x:c r="K175" s="7" t="str">
        <x:v>Nocturnix_Master_Services_Catalog_v1.xlsx | 01 - Master Services | row 214</x:v>
      </x:c>
      <x:c r="L175" s="6" t="str"/>
      <x:c r="M175" s="6" t="str"/>
      <x:c r="N175" s="6" t="str">
        <x:v>Pending</x:v>
      </x:c>
      <x:c r="O175" s="7" t="str">
        <x:f>IF(OR(D175="Reviewer Complete",D175="Awaiting Second-Level Approval"),"","Service identity dependency unresolved")</x:f>
        <x:v>Service identity dependency unresolved</x:v>
      </x:c>
      <x:c r="P175" s="6" t="str">
        <x:v>Yes</x:v>
      </x:c>
      <x:c r="Q175" s="7" t="str"/>
    </x:row>
    <x:row r="176">
      <x:c r="A176" s="6" t="str">
        <x:v>PRTX-0175</x:v>
      </x:c>
      <x:c r="B176" s="6" t="str">
        <x:v>SVC000175</x:v>
      </x:c>
      <x:c r="C176" s="6" t="str">
        <x:v>SIDX-0175</x:v>
      </x:c>
      <x:c r="D176" s="6" t="str">
        <x:f>IFERROR(XLOOKUP(C176,'Review Sequence'!C2:C1586,'Review Sequence'!J2:J1586),"Dependency not found")</x:f>
        <x:v>Not Started</x:v>
      </x:c>
      <x:c r="E176" s="6" t="str"/>
      <x:c r="F176" s="6" t="str"/>
      <x:c r="G176" s="6" t="str"/>
      <x:c r="H176" s="6" t="str">
        <x:v>Unknown</x:v>
      </x:c>
      <x:c r="I176" s="6" t="str"/>
      <x:c r="J176" s="6" t="str">
        <x:v>Unresolved</x:v>
      </x:c>
      <x:c r="K176" s="7" t="str">
        <x:v>Nocturnix_Master_Services_Catalog_v1.xlsx | 01 - Master Services | row 215</x:v>
      </x:c>
      <x:c r="L176" s="6" t="str"/>
      <x:c r="M176" s="6" t="str"/>
      <x:c r="N176" s="6" t="str">
        <x:v>Pending</x:v>
      </x:c>
      <x:c r="O176" s="7" t="str">
        <x:f>IF(OR(D176="Reviewer Complete",D176="Awaiting Second-Level Approval"),"","Service identity dependency unresolved")</x:f>
        <x:v>Service identity dependency unresolved</x:v>
      </x:c>
      <x:c r="P176" s="6" t="str">
        <x:v>Yes</x:v>
      </x:c>
      <x:c r="Q176" s="7" t="str"/>
    </x:row>
    <x:row r="177">
      <x:c r="A177" s="6" t="str">
        <x:v>PRTX-0176</x:v>
      </x:c>
      <x:c r="B177" s="6" t="str">
        <x:v>SVC000176</x:v>
      </x:c>
      <x:c r="C177" s="6" t="str">
        <x:v>SIDX-0176</x:v>
      </x:c>
      <x:c r="D177" s="6" t="str">
        <x:f>IFERROR(XLOOKUP(C177,'Review Sequence'!C2:C1586,'Review Sequence'!J2:J1586),"Dependency not found")</x:f>
        <x:v>Not Started</x:v>
      </x:c>
      <x:c r="E177" s="6" t="str"/>
      <x:c r="F177" s="6" t="str"/>
      <x:c r="G177" s="6" t="str"/>
      <x:c r="H177" s="6" t="str">
        <x:v>Unknown</x:v>
      </x:c>
      <x:c r="I177" s="6" t="str"/>
      <x:c r="J177" s="6" t="str">
        <x:v>Unresolved</x:v>
      </x:c>
      <x:c r="K177" s="7" t="str">
        <x:v>Nocturnix_Master_Services_Catalog_v1.xlsx | 01 - Master Services | row 216</x:v>
      </x:c>
      <x:c r="L177" s="6" t="str"/>
      <x:c r="M177" s="6" t="str"/>
      <x:c r="N177" s="6" t="str">
        <x:v>Pending</x:v>
      </x:c>
      <x:c r="O177" s="7" t="str">
        <x:f>IF(OR(D177="Reviewer Complete",D177="Awaiting Second-Level Approval"),"","Service identity dependency unresolved")</x:f>
        <x:v>Service identity dependency unresolved</x:v>
      </x:c>
      <x:c r="P177" s="6" t="str">
        <x:v>Yes</x:v>
      </x:c>
      <x:c r="Q177" s="7" t="str"/>
    </x:row>
    <x:row r="178">
      <x:c r="A178" s="6" t="str">
        <x:v>PRTX-0177</x:v>
      </x:c>
      <x:c r="B178" s="6" t="str">
        <x:v>SVC000177</x:v>
      </x:c>
      <x:c r="C178" s="6" t="str">
        <x:v>SIDX-0177</x:v>
      </x:c>
      <x:c r="D178" s="6" t="str">
        <x:f>IFERROR(XLOOKUP(C178,'Review Sequence'!C2:C1586,'Review Sequence'!J2:J1586),"Dependency not found")</x:f>
        <x:v>Not Started</x:v>
      </x:c>
      <x:c r="E178" s="6" t="str"/>
      <x:c r="F178" s="6" t="str"/>
      <x:c r="G178" s="6" t="str"/>
      <x:c r="H178" s="6" t="str">
        <x:v>Unknown</x:v>
      </x:c>
      <x:c r="I178" s="6" t="str"/>
      <x:c r="J178" s="6" t="str">
        <x:v>Unresolved</x:v>
      </x:c>
      <x:c r="K178" s="7" t="str">
        <x:v>Nocturnix_Master_Services_Catalog_v1.xlsx | 01 - Master Services | row 217</x:v>
      </x:c>
      <x:c r="L178" s="6" t="str"/>
      <x:c r="M178" s="6" t="str"/>
      <x:c r="N178" s="6" t="str">
        <x:v>Pending</x:v>
      </x:c>
      <x:c r="O178" s="7" t="str">
        <x:f>IF(OR(D178="Reviewer Complete",D178="Awaiting Second-Level Approval"),"","Service identity dependency unresolved")</x:f>
        <x:v>Service identity dependency unresolved</x:v>
      </x:c>
      <x:c r="P178" s="6" t="str">
        <x:v>Yes</x:v>
      </x:c>
      <x:c r="Q178" s="7" t="str"/>
    </x:row>
    <x:row r="179">
      <x:c r="A179" s="6" t="str">
        <x:v>PRTX-0178</x:v>
      </x:c>
      <x:c r="B179" s="6" t="str">
        <x:v>SVC000178</x:v>
      </x:c>
      <x:c r="C179" s="6" t="str">
        <x:v>SIDX-0178</x:v>
      </x:c>
      <x:c r="D179" s="6" t="str">
        <x:f>IFERROR(XLOOKUP(C179,'Review Sequence'!C2:C1586,'Review Sequence'!J2:J1586),"Dependency not found")</x:f>
        <x:v>Not Started</x:v>
      </x:c>
      <x:c r="E179" s="6" t="str"/>
      <x:c r="F179" s="6" t="str"/>
      <x:c r="G179" s="6" t="str"/>
      <x:c r="H179" s="6" t="str">
        <x:v>Unknown</x:v>
      </x:c>
      <x:c r="I179" s="6" t="str"/>
      <x:c r="J179" s="6" t="str">
        <x:v>Unresolved</x:v>
      </x:c>
      <x:c r="K179" s="7" t="str">
        <x:v>Nocturnix_Master_Services_Catalog_v1.xlsx | 01 - Master Services | row 218</x:v>
      </x:c>
      <x:c r="L179" s="6" t="str"/>
      <x:c r="M179" s="6" t="str"/>
      <x:c r="N179" s="6" t="str">
        <x:v>Pending</x:v>
      </x:c>
      <x:c r="O179" s="7" t="str">
        <x:f>IF(OR(D179="Reviewer Complete",D179="Awaiting Second-Level Approval"),"","Service identity dependency unresolved")</x:f>
        <x:v>Service identity dependency unresolved</x:v>
      </x:c>
      <x:c r="P179" s="6" t="str">
        <x:v>Yes</x:v>
      </x:c>
      <x:c r="Q179" s="7" t="str"/>
    </x:row>
    <x:row r="180">
      <x:c r="A180" s="6" t="str">
        <x:v>PRTX-0179</x:v>
      </x:c>
      <x:c r="B180" s="6" t="str">
        <x:v>SVC000179</x:v>
      </x:c>
      <x:c r="C180" s="6" t="str">
        <x:v>SIDX-0179</x:v>
      </x:c>
      <x:c r="D180" s="6" t="str">
        <x:f>IFERROR(XLOOKUP(C180,'Review Sequence'!C2:C1586,'Review Sequence'!J2:J1586),"Dependency not found")</x:f>
        <x:v>Not Started</x:v>
      </x:c>
      <x:c r="E180" s="6" t="str"/>
      <x:c r="F180" s="6" t="str"/>
      <x:c r="G180" s="6" t="str"/>
      <x:c r="H180" s="6" t="str">
        <x:v>Unknown</x:v>
      </x:c>
      <x:c r="I180" s="6" t="str"/>
      <x:c r="J180" s="6" t="str">
        <x:v>Unresolved</x:v>
      </x:c>
      <x:c r="K180" s="7" t="str">
        <x:v>Nocturnix_Master_Services_Catalog_v1.xlsx | 01 - Master Services | row 219</x:v>
      </x:c>
      <x:c r="L180" s="6" t="str"/>
      <x:c r="M180" s="6" t="str"/>
      <x:c r="N180" s="6" t="str">
        <x:v>Pending</x:v>
      </x:c>
      <x:c r="O180" s="7" t="str">
        <x:f>IF(OR(D180="Reviewer Complete",D180="Awaiting Second-Level Approval"),"","Service identity dependency unresolved")</x:f>
        <x:v>Service identity dependency unresolved</x:v>
      </x:c>
      <x:c r="P180" s="6" t="str">
        <x:v>Yes</x:v>
      </x:c>
      <x:c r="Q180" s="7" t="str"/>
    </x:row>
    <x:row r="181">
      <x:c r="A181" s="6" t="str">
        <x:v>PRTX-0180</x:v>
      </x:c>
      <x:c r="B181" s="6" t="str">
        <x:v>SVC000180</x:v>
      </x:c>
      <x:c r="C181" s="6" t="str">
        <x:v>SIDX-0180</x:v>
      </x:c>
      <x:c r="D181" s="6" t="str">
        <x:f>IFERROR(XLOOKUP(C181,'Review Sequence'!C2:C1586,'Review Sequence'!J2:J1586),"Dependency not found")</x:f>
        <x:v>Not Started</x:v>
      </x:c>
      <x:c r="E181" s="6" t="str"/>
      <x:c r="F181" s="6" t="str"/>
      <x:c r="G181" s="6" t="str"/>
      <x:c r="H181" s="6" t="str">
        <x:v>Unknown</x:v>
      </x:c>
      <x:c r="I181" s="6" t="str"/>
      <x:c r="J181" s="6" t="str">
        <x:v>Unresolved</x:v>
      </x:c>
      <x:c r="K181" s="7" t="str">
        <x:v>Nocturnix_Master_Services_Catalog_v1.xlsx | 01 - Master Services | row 220</x:v>
      </x:c>
      <x:c r="L181" s="6" t="str"/>
      <x:c r="M181" s="6" t="str"/>
      <x:c r="N181" s="6" t="str">
        <x:v>Pending</x:v>
      </x:c>
      <x:c r="O181" s="7" t="str">
        <x:f>IF(OR(D181="Reviewer Complete",D181="Awaiting Second-Level Approval"),"","Service identity dependency unresolved")</x:f>
        <x:v>Service identity dependency unresolved</x:v>
      </x:c>
      <x:c r="P181" s="6" t="str">
        <x:v>Yes</x:v>
      </x:c>
      <x:c r="Q181" s="7" t="str"/>
    </x:row>
    <x:row r="182">
      <x:c r="A182" s="6" t="str">
        <x:v>PRTX-0181</x:v>
      </x:c>
      <x:c r="B182" s="6" t="str">
        <x:v>SVC000181</x:v>
      </x:c>
      <x:c r="C182" s="6" t="str">
        <x:v>SIDX-0181</x:v>
      </x:c>
      <x:c r="D182" s="6" t="str">
        <x:f>IFERROR(XLOOKUP(C182,'Review Sequence'!C2:C1586,'Review Sequence'!J2:J1586),"Dependency not found")</x:f>
        <x:v>Not Started</x:v>
      </x:c>
      <x:c r="E182" s="6" t="str"/>
      <x:c r="F182" s="6" t="str"/>
      <x:c r="G182" s="6" t="str"/>
      <x:c r="H182" s="6" t="str">
        <x:v>Unknown</x:v>
      </x:c>
      <x:c r="I182" s="6" t="str"/>
      <x:c r="J182" s="6" t="str">
        <x:v>Unresolved</x:v>
      </x:c>
      <x:c r="K182" s="7" t="str">
        <x:v>Nocturnix_Master_Services_Catalog_v1.xlsx | 01 - Master Services | row 221</x:v>
      </x:c>
      <x:c r="L182" s="6" t="str"/>
      <x:c r="M182" s="6" t="str"/>
      <x:c r="N182" s="6" t="str">
        <x:v>Pending</x:v>
      </x:c>
      <x:c r="O182" s="7" t="str">
        <x:f>IF(OR(D182="Reviewer Complete",D182="Awaiting Second-Level Approval"),"","Service identity dependency unresolved")</x:f>
        <x:v>Service identity dependency unresolved</x:v>
      </x:c>
      <x:c r="P182" s="6" t="str">
        <x:v>Yes</x:v>
      </x:c>
      <x:c r="Q182" s="7" t="str"/>
    </x:row>
    <x:row r="183">
      <x:c r="A183" s="6" t="str">
        <x:v>PRTX-0182</x:v>
      </x:c>
      <x:c r="B183" s="6" t="str">
        <x:v>SVC000182</x:v>
      </x:c>
      <x:c r="C183" s="6" t="str">
        <x:v>SIDX-0182</x:v>
      </x:c>
      <x:c r="D183" s="6" t="str">
        <x:f>IFERROR(XLOOKUP(C183,'Review Sequence'!C2:C1586,'Review Sequence'!J2:J1586),"Dependency not found")</x:f>
        <x:v>Not Started</x:v>
      </x:c>
      <x:c r="E183" s="6" t="str"/>
      <x:c r="F183" s="6" t="str"/>
      <x:c r="G183" s="6" t="str"/>
      <x:c r="H183" s="6" t="str">
        <x:v>Unknown</x:v>
      </x:c>
      <x:c r="I183" s="6" t="str"/>
      <x:c r="J183" s="6" t="str">
        <x:v>Unresolved</x:v>
      </x:c>
      <x:c r="K183" s="7" t="str">
        <x:v>Nocturnix_Master_Services_Catalog_v1.xlsx | 01 - Master Services | row 222</x:v>
      </x:c>
      <x:c r="L183" s="6" t="str"/>
      <x:c r="M183" s="6" t="str"/>
      <x:c r="N183" s="6" t="str">
        <x:v>Pending</x:v>
      </x:c>
      <x:c r="O183" s="7" t="str">
        <x:f>IF(OR(D183="Reviewer Complete",D183="Awaiting Second-Level Approval"),"","Service identity dependency unresolved")</x:f>
        <x:v>Service identity dependency unresolved</x:v>
      </x:c>
      <x:c r="P183" s="6" t="str">
        <x:v>Yes</x:v>
      </x:c>
      <x:c r="Q183" s="7" t="str"/>
    </x:row>
    <x:row r="184">
      <x:c r="A184" s="6" t="str">
        <x:v>PRTX-0183</x:v>
      </x:c>
      <x:c r="B184" s="6" t="str">
        <x:v>SVC000183</x:v>
      </x:c>
      <x:c r="C184" s="6" t="str">
        <x:v>SIDX-0183</x:v>
      </x:c>
      <x:c r="D184" s="6" t="str">
        <x:f>IFERROR(XLOOKUP(C184,'Review Sequence'!C2:C1586,'Review Sequence'!J2:J1586),"Dependency not found")</x:f>
        <x:v>Not Started</x:v>
      </x:c>
      <x:c r="E184" s="6" t="str"/>
      <x:c r="F184" s="6" t="str"/>
      <x:c r="G184" s="6" t="str"/>
      <x:c r="H184" s="6" t="str">
        <x:v>Unknown</x:v>
      </x:c>
      <x:c r="I184" s="6" t="str"/>
      <x:c r="J184" s="6" t="str">
        <x:v>Unresolved</x:v>
      </x:c>
      <x:c r="K184" s="7" t="str">
        <x:v>Nocturnix_Master_Services_Catalog_v1.xlsx | 01 - Master Services | row 223</x:v>
      </x:c>
      <x:c r="L184" s="6" t="str"/>
      <x:c r="M184" s="6" t="str"/>
      <x:c r="N184" s="6" t="str">
        <x:v>Pending</x:v>
      </x:c>
      <x:c r="O184" s="7" t="str">
        <x:f>IF(OR(D184="Reviewer Complete",D184="Awaiting Second-Level Approval"),"","Service identity dependency unresolved")</x:f>
        <x:v>Service identity dependency unresolved</x:v>
      </x:c>
      <x:c r="P184" s="6" t="str">
        <x:v>Yes</x:v>
      </x:c>
      <x:c r="Q184" s="7" t="str"/>
    </x:row>
    <x:row r="185">
      <x:c r="A185" s="6" t="str">
        <x:v>PRTX-0184</x:v>
      </x:c>
      <x:c r="B185" s="6" t="str">
        <x:v>SVC000184</x:v>
      </x:c>
      <x:c r="C185" s="6" t="str">
        <x:v>SIDX-0184</x:v>
      </x:c>
      <x:c r="D185" s="6" t="str">
        <x:f>IFERROR(XLOOKUP(C185,'Review Sequence'!C2:C1586,'Review Sequence'!J2:J1586),"Dependency not found")</x:f>
        <x:v>Not Started</x:v>
      </x:c>
      <x:c r="E185" s="6" t="str"/>
      <x:c r="F185" s="6" t="str"/>
      <x:c r="G185" s="6" t="str"/>
      <x:c r="H185" s="6" t="str">
        <x:v>Unknown</x:v>
      </x:c>
      <x:c r="I185" s="6" t="str"/>
      <x:c r="J185" s="6" t="str">
        <x:v>Unresolved</x:v>
      </x:c>
      <x:c r="K185" s="7" t="str">
        <x:v>Nocturnix_Master_Services_Catalog_v1.xlsx | 01 - Master Services | row 224</x:v>
      </x:c>
      <x:c r="L185" s="6" t="str"/>
      <x:c r="M185" s="6" t="str"/>
      <x:c r="N185" s="6" t="str">
        <x:v>Pending</x:v>
      </x:c>
      <x:c r="O185" s="7" t="str">
        <x:f>IF(OR(D185="Reviewer Complete",D185="Awaiting Second-Level Approval"),"","Service identity dependency unresolved")</x:f>
        <x:v>Service identity dependency unresolved</x:v>
      </x:c>
      <x:c r="P185" s="6" t="str">
        <x:v>Yes</x:v>
      </x:c>
      <x:c r="Q185" s="7" t="str"/>
    </x:row>
    <x:row r="186">
      <x:c r="A186" s="6" t="str">
        <x:v>PRTX-0185</x:v>
      </x:c>
      <x:c r="B186" s="6" t="str">
        <x:v>SVC000185</x:v>
      </x:c>
      <x:c r="C186" s="6" t="str">
        <x:v>SIDX-0185</x:v>
      </x:c>
      <x:c r="D186" s="6" t="str">
        <x:f>IFERROR(XLOOKUP(C186,'Review Sequence'!C2:C1586,'Review Sequence'!J2:J1586),"Dependency not found")</x:f>
        <x:v>Not Started</x:v>
      </x:c>
      <x:c r="E186" s="6" t="str"/>
      <x:c r="F186" s="6" t="str"/>
      <x:c r="G186" s="6" t="str"/>
      <x:c r="H186" s="6" t="str">
        <x:v>Unknown</x:v>
      </x:c>
      <x:c r="I186" s="6" t="str"/>
      <x:c r="J186" s="6" t="str">
        <x:v>Unresolved</x:v>
      </x:c>
      <x:c r="K186" s="7" t="str">
        <x:v>Nocturnix_Master_Services_Catalog_v1.xlsx | 01 - Master Services | row 225</x:v>
      </x:c>
      <x:c r="L186" s="6" t="str"/>
      <x:c r="M186" s="6" t="str"/>
      <x:c r="N186" s="6" t="str">
        <x:v>Pending</x:v>
      </x:c>
      <x:c r="O186" s="7" t="str">
        <x:f>IF(OR(D186="Reviewer Complete",D186="Awaiting Second-Level Approval"),"","Service identity dependency unresolved")</x:f>
        <x:v>Service identity dependency unresolved</x:v>
      </x:c>
      <x:c r="P186" s="6" t="str">
        <x:v>Yes</x:v>
      </x:c>
      <x:c r="Q186" s="7" t="str"/>
    </x:row>
    <x:row r="187">
      <x:c r="A187" s="6" t="str">
        <x:v>PRTX-0186</x:v>
      </x:c>
      <x:c r="B187" s="6" t="str">
        <x:v>SVC000186</x:v>
      </x:c>
      <x:c r="C187" s="6" t="str">
        <x:v>SIDX-0186</x:v>
      </x:c>
      <x:c r="D187" s="6" t="str">
        <x:f>IFERROR(XLOOKUP(C187,'Review Sequence'!C2:C1586,'Review Sequence'!J2:J1586),"Dependency not found")</x:f>
        <x:v>Not Started</x:v>
      </x:c>
      <x:c r="E187" s="6" t="str"/>
      <x:c r="F187" s="6" t="str"/>
      <x:c r="G187" s="6" t="str"/>
      <x:c r="H187" s="6" t="str">
        <x:v>Unknown</x:v>
      </x:c>
      <x:c r="I187" s="6" t="str"/>
      <x:c r="J187" s="6" t="str">
        <x:v>Unresolved</x:v>
      </x:c>
      <x:c r="K187" s="7" t="str">
        <x:v>Nocturnix_Master_Services_Catalog_v1.xlsx | 01 - Master Services | row 226</x:v>
      </x:c>
      <x:c r="L187" s="6" t="str"/>
      <x:c r="M187" s="6" t="str"/>
      <x:c r="N187" s="6" t="str">
        <x:v>Pending</x:v>
      </x:c>
      <x:c r="O187" s="7" t="str">
        <x:f>IF(OR(D187="Reviewer Complete",D187="Awaiting Second-Level Approval"),"","Service identity dependency unresolved")</x:f>
        <x:v>Service identity dependency unresolved</x:v>
      </x:c>
      <x:c r="P187" s="6" t="str">
        <x:v>Yes</x:v>
      </x:c>
      <x:c r="Q187" s="7" t="str"/>
    </x:row>
    <x:row r="188">
      <x:c r="A188" s="6" t="str">
        <x:v>PRTX-0187</x:v>
      </x:c>
      <x:c r="B188" s="6" t="str">
        <x:v>SVC000187</x:v>
      </x:c>
      <x:c r="C188" s="6" t="str">
        <x:v>SIDX-0187</x:v>
      </x:c>
      <x:c r="D188" s="6" t="str">
        <x:f>IFERROR(XLOOKUP(C188,'Review Sequence'!C2:C1586,'Review Sequence'!J2:J1586),"Dependency not found")</x:f>
        <x:v>Not Started</x:v>
      </x:c>
      <x:c r="E188" s="6" t="str"/>
      <x:c r="F188" s="6" t="str"/>
      <x:c r="G188" s="6" t="str"/>
      <x:c r="H188" s="6" t="str">
        <x:v>Unknown</x:v>
      </x:c>
      <x:c r="I188" s="6" t="str"/>
      <x:c r="J188" s="6" t="str">
        <x:v>Unresolved</x:v>
      </x:c>
      <x:c r="K188" s="7" t="str">
        <x:v>Nocturnix_Master_Services_Catalog_v1.xlsx | 01 - Master Services | row 227</x:v>
      </x:c>
      <x:c r="L188" s="6" t="str"/>
      <x:c r="M188" s="6" t="str"/>
      <x:c r="N188" s="6" t="str">
        <x:v>Pending</x:v>
      </x:c>
      <x:c r="O188" s="7" t="str">
        <x:f>IF(OR(D188="Reviewer Complete",D188="Awaiting Second-Level Approval"),"","Service identity dependency unresolved")</x:f>
        <x:v>Service identity dependency unresolved</x:v>
      </x:c>
      <x:c r="P188" s="6" t="str">
        <x:v>Yes</x:v>
      </x:c>
      <x:c r="Q188" s="7" t="str"/>
    </x:row>
    <x:row r="189">
      <x:c r="A189" s="6" t="str">
        <x:v>PRTX-0188</x:v>
      </x:c>
      <x:c r="B189" s="6" t="str">
        <x:v>SVC000188</x:v>
      </x:c>
      <x:c r="C189" s="6" t="str">
        <x:v>SIDX-0188</x:v>
      </x:c>
      <x:c r="D189" s="6" t="str">
        <x:f>IFERROR(XLOOKUP(C189,'Review Sequence'!C2:C1586,'Review Sequence'!J2:J1586),"Dependency not found")</x:f>
        <x:v>Not Started</x:v>
      </x:c>
      <x:c r="E189" s="6" t="str"/>
      <x:c r="F189" s="6" t="str"/>
      <x:c r="G189" s="6" t="str"/>
      <x:c r="H189" s="6" t="str">
        <x:v>Unknown</x:v>
      </x:c>
      <x:c r="I189" s="6" t="str"/>
      <x:c r="J189" s="6" t="str">
        <x:v>Unresolved</x:v>
      </x:c>
      <x:c r="K189" s="7" t="str">
        <x:v>Nocturnix_Master_Services_Catalog_v1.xlsx | 01 - Master Services | row 228</x:v>
      </x:c>
      <x:c r="L189" s="6" t="str"/>
      <x:c r="M189" s="6" t="str"/>
      <x:c r="N189" s="6" t="str">
        <x:v>Pending</x:v>
      </x:c>
      <x:c r="O189" s="7" t="str">
        <x:f>IF(OR(D189="Reviewer Complete",D189="Awaiting Second-Level Approval"),"","Service identity dependency unresolved")</x:f>
        <x:v>Service identity dependency unresolved</x:v>
      </x:c>
      <x:c r="P189" s="6" t="str">
        <x:v>Yes</x:v>
      </x:c>
      <x:c r="Q189" s="7" t="str"/>
    </x:row>
    <x:row r="190">
      <x:c r="A190" s="6" t="str">
        <x:v>PRTX-0189</x:v>
      </x:c>
      <x:c r="B190" s="6" t="str">
        <x:v>SVC000189</x:v>
      </x:c>
      <x:c r="C190" s="6" t="str">
        <x:v>SIDX-0189</x:v>
      </x:c>
      <x:c r="D190" s="6" t="str">
        <x:f>IFERROR(XLOOKUP(C190,'Review Sequence'!C2:C1586,'Review Sequence'!J2:J1586),"Dependency not found")</x:f>
        <x:v>Not Started</x:v>
      </x:c>
      <x:c r="E190" s="6" t="str"/>
      <x:c r="F190" s="6" t="str"/>
      <x:c r="G190" s="6" t="str"/>
      <x:c r="H190" s="6" t="str">
        <x:v>Unknown</x:v>
      </x:c>
      <x:c r="I190" s="6" t="str"/>
      <x:c r="J190" s="6" t="str">
        <x:v>Unresolved</x:v>
      </x:c>
      <x:c r="K190" s="7" t="str">
        <x:v>Nocturnix_Master_Services_Catalog_v1.xlsx | 01 - Master Services | row 229</x:v>
      </x:c>
      <x:c r="L190" s="6" t="str"/>
      <x:c r="M190" s="6" t="str"/>
      <x:c r="N190" s="6" t="str">
        <x:v>Pending</x:v>
      </x:c>
      <x:c r="O190" s="7" t="str">
        <x:f>IF(OR(D190="Reviewer Complete",D190="Awaiting Second-Level Approval"),"","Service identity dependency unresolved")</x:f>
        <x:v>Service identity dependency unresolved</x:v>
      </x:c>
      <x:c r="P190" s="6" t="str">
        <x:v>Yes</x:v>
      </x:c>
      <x:c r="Q190" s="7" t="str"/>
    </x:row>
    <x:row r="191">
      <x:c r="A191" s="6" t="str">
        <x:v>PRTX-0190</x:v>
      </x:c>
      <x:c r="B191" s="6" t="str">
        <x:v>SVC000190</x:v>
      </x:c>
      <x:c r="C191" s="6" t="str">
        <x:v>SIDX-0190</x:v>
      </x:c>
      <x:c r="D191" s="6" t="str">
        <x:f>IFERROR(XLOOKUP(C191,'Review Sequence'!C2:C1586,'Review Sequence'!J2:J1586),"Dependency not found")</x:f>
        <x:v>Not Started</x:v>
      </x:c>
      <x:c r="E191" s="6" t="str"/>
      <x:c r="F191" s="6" t="str"/>
      <x:c r="G191" s="6" t="str"/>
      <x:c r="H191" s="6" t="str">
        <x:v>Unknown</x:v>
      </x:c>
      <x:c r="I191" s="6" t="str"/>
      <x:c r="J191" s="6" t="str">
        <x:v>Unresolved</x:v>
      </x:c>
      <x:c r="K191" s="7" t="str">
        <x:v>Nocturnix_Master_Services_Catalog_v1.xlsx | 01 - Master Services | row 230</x:v>
      </x:c>
      <x:c r="L191" s="6" t="str"/>
      <x:c r="M191" s="6" t="str"/>
      <x:c r="N191" s="6" t="str">
        <x:v>Pending</x:v>
      </x:c>
      <x:c r="O191" s="7" t="str">
        <x:f>IF(OR(D191="Reviewer Complete",D191="Awaiting Second-Level Approval"),"","Service identity dependency unresolved")</x:f>
        <x:v>Service identity dependency unresolved</x:v>
      </x:c>
      <x:c r="P191" s="6" t="str">
        <x:v>Yes</x:v>
      </x:c>
      <x:c r="Q191" s="7" t="str"/>
    </x:row>
    <x:row r="192">
      <x:c r="A192" s="6" t="str">
        <x:v>PRTX-0191</x:v>
      </x:c>
      <x:c r="B192" s="6" t="str">
        <x:v>SVC000191</x:v>
      </x:c>
      <x:c r="C192" s="6" t="str">
        <x:v>SIDX-0191</x:v>
      </x:c>
      <x:c r="D192" s="6" t="str">
        <x:f>IFERROR(XLOOKUP(C192,'Review Sequence'!C2:C1586,'Review Sequence'!J2:J1586),"Dependency not found")</x:f>
        <x:v>Not Started</x:v>
      </x:c>
      <x:c r="E192" s="6" t="str"/>
      <x:c r="F192" s="6" t="str"/>
      <x:c r="G192" s="6" t="str"/>
      <x:c r="H192" s="6" t="str">
        <x:v>Unknown</x:v>
      </x:c>
      <x:c r="I192" s="6" t="str"/>
      <x:c r="J192" s="6" t="str">
        <x:v>Unresolved</x:v>
      </x:c>
      <x:c r="K192" s="7" t="str">
        <x:v>Nocturnix_Master_Services_Catalog_v1.xlsx | 01 - Master Services | row 231</x:v>
      </x:c>
      <x:c r="L192" s="6" t="str"/>
      <x:c r="M192" s="6" t="str"/>
      <x:c r="N192" s="6" t="str">
        <x:v>Pending</x:v>
      </x:c>
      <x:c r="O192" s="7" t="str">
        <x:f>IF(OR(D192="Reviewer Complete",D192="Awaiting Second-Level Approval"),"","Service identity dependency unresolved")</x:f>
        <x:v>Service identity dependency unresolved</x:v>
      </x:c>
      <x:c r="P192" s="6" t="str">
        <x:v>Yes</x:v>
      </x:c>
      <x:c r="Q192" s="7" t="str"/>
    </x:row>
    <x:row r="193">
      <x:c r="A193" s="6" t="str">
        <x:v>PRTX-0192</x:v>
      </x:c>
      <x:c r="B193" s="6" t="str">
        <x:v>SVC000192</x:v>
      </x:c>
      <x:c r="C193" s="6" t="str">
        <x:v>SIDX-0192</x:v>
      </x:c>
      <x:c r="D193" s="6" t="str">
        <x:f>IFERROR(XLOOKUP(C193,'Review Sequence'!C2:C1586,'Review Sequence'!J2:J1586),"Dependency not found")</x:f>
        <x:v>Not Started</x:v>
      </x:c>
      <x:c r="E193" s="6" t="str"/>
      <x:c r="F193" s="6" t="str"/>
      <x:c r="G193" s="6" t="str"/>
      <x:c r="H193" s="6" t="str">
        <x:v>Unknown</x:v>
      </x:c>
      <x:c r="I193" s="6" t="str"/>
      <x:c r="J193" s="6" t="str">
        <x:v>Unresolved</x:v>
      </x:c>
      <x:c r="K193" s="7" t="str">
        <x:v>Nocturnix_Master_Services_Catalog_v1.xlsx | 01 - Master Services | row 232</x:v>
      </x:c>
      <x:c r="L193" s="6" t="str"/>
      <x:c r="M193" s="6" t="str"/>
      <x:c r="N193" s="6" t="str">
        <x:v>Pending</x:v>
      </x:c>
      <x:c r="O193" s="7" t="str">
        <x:f>IF(OR(D193="Reviewer Complete",D193="Awaiting Second-Level Approval"),"","Service identity dependency unresolved")</x:f>
        <x:v>Service identity dependency unresolved</x:v>
      </x:c>
      <x:c r="P193" s="6" t="str">
        <x:v>Yes</x:v>
      </x:c>
      <x:c r="Q193" s="7" t="str"/>
    </x:row>
    <x:row r="194">
      <x:c r="A194" s="6" t="str">
        <x:v>PRTX-0193</x:v>
      </x:c>
      <x:c r="B194" s="6" t="str">
        <x:v>SVC000193</x:v>
      </x:c>
      <x:c r="C194" s="6" t="str">
        <x:v>SIDX-0193</x:v>
      </x:c>
      <x:c r="D194" s="6" t="str">
        <x:f>IFERROR(XLOOKUP(C194,'Review Sequence'!C2:C1586,'Review Sequence'!J2:J1586),"Dependency not found")</x:f>
        <x:v>Not Started</x:v>
      </x:c>
      <x:c r="E194" s="6" t="str"/>
      <x:c r="F194" s="6" t="str"/>
      <x:c r="G194" s="6" t="str"/>
      <x:c r="H194" s="6" t="str">
        <x:v>Unknown</x:v>
      </x:c>
      <x:c r="I194" s="6" t="str"/>
      <x:c r="J194" s="6" t="str">
        <x:v>Unresolved</x:v>
      </x:c>
      <x:c r="K194" s="7" t="str">
        <x:v>Nocturnix_Master_Services_Catalog_v1.xlsx | 01 - Master Services | row 233</x:v>
      </x:c>
      <x:c r="L194" s="6" t="str"/>
      <x:c r="M194" s="6" t="str"/>
      <x:c r="N194" s="6" t="str">
        <x:v>Pending</x:v>
      </x:c>
      <x:c r="O194" s="7" t="str">
        <x:f>IF(OR(D194="Reviewer Complete",D194="Awaiting Second-Level Approval"),"","Service identity dependency unresolved")</x:f>
        <x:v>Service identity dependency unresolved</x:v>
      </x:c>
      <x:c r="P194" s="6" t="str">
        <x:v>Yes</x:v>
      </x:c>
      <x:c r="Q194" s="7" t="str"/>
    </x:row>
    <x:row r="195">
      <x:c r="A195" s="6" t="str">
        <x:v>PRTX-0194</x:v>
      </x:c>
      <x:c r="B195" s="6" t="str">
        <x:v>SVC000194</x:v>
      </x:c>
      <x:c r="C195" s="6" t="str">
        <x:v>SIDX-0194</x:v>
      </x:c>
      <x:c r="D195" s="6" t="str">
        <x:f>IFERROR(XLOOKUP(C195,'Review Sequence'!C2:C1586,'Review Sequence'!J2:J1586),"Dependency not found")</x:f>
        <x:v>Not Started</x:v>
      </x:c>
      <x:c r="E195" s="6" t="str"/>
      <x:c r="F195" s="6" t="str"/>
      <x:c r="G195" s="6" t="str"/>
      <x:c r="H195" s="6" t="str">
        <x:v>Unknown</x:v>
      </x:c>
      <x:c r="I195" s="6" t="str"/>
      <x:c r="J195" s="6" t="str">
        <x:v>Unresolved</x:v>
      </x:c>
      <x:c r="K195" s="7" t="str">
        <x:v>Nocturnix_Master_Services_Catalog_v1.xlsx | 01 - Master Services | row 234</x:v>
      </x:c>
      <x:c r="L195" s="6" t="str"/>
      <x:c r="M195" s="6" t="str"/>
      <x:c r="N195" s="6" t="str">
        <x:v>Pending</x:v>
      </x:c>
      <x:c r="O195" s="7" t="str">
        <x:f>IF(OR(D195="Reviewer Complete",D195="Awaiting Second-Level Approval"),"","Service identity dependency unresolved")</x:f>
        <x:v>Service identity dependency unresolved</x:v>
      </x:c>
      <x:c r="P195" s="6" t="str">
        <x:v>Yes</x:v>
      </x:c>
      <x:c r="Q195" s="7" t="str"/>
    </x:row>
    <x:row r="196">
      <x:c r="A196" s="6" t="str">
        <x:v>PRTX-0195</x:v>
      </x:c>
      <x:c r="B196" s="6" t="str">
        <x:v>SVC000195</x:v>
      </x:c>
      <x:c r="C196" s="6" t="str">
        <x:v>SIDX-0195</x:v>
      </x:c>
      <x:c r="D196" s="6" t="str">
        <x:f>IFERROR(XLOOKUP(C196,'Review Sequence'!C2:C1586,'Review Sequence'!J2:J1586),"Dependency not found")</x:f>
        <x:v>Not Started</x:v>
      </x:c>
      <x:c r="E196" s="6" t="str"/>
      <x:c r="F196" s="6" t="str"/>
      <x:c r="G196" s="6" t="str"/>
      <x:c r="H196" s="6" t="str">
        <x:v>Unknown</x:v>
      </x:c>
      <x:c r="I196" s="6" t="str"/>
      <x:c r="J196" s="6" t="str">
        <x:v>Unresolved</x:v>
      </x:c>
      <x:c r="K196" s="7" t="str">
        <x:v>Nocturnix_Master_Services_Catalog_v1.xlsx | 01 - Master Services | row 235</x:v>
      </x:c>
      <x:c r="L196" s="6" t="str"/>
      <x:c r="M196" s="6" t="str"/>
      <x:c r="N196" s="6" t="str">
        <x:v>Pending</x:v>
      </x:c>
      <x:c r="O196" s="7" t="str">
        <x:f>IF(OR(D196="Reviewer Complete",D196="Awaiting Second-Level Approval"),"","Service identity dependency unresolved")</x:f>
        <x:v>Service identity dependency unresolved</x:v>
      </x:c>
      <x:c r="P196" s="6" t="str">
        <x:v>Yes</x:v>
      </x:c>
      <x:c r="Q196" s="7" t="str"/>
    </x:row>
    <x:row r="197">
      <x:c r="A197" s="6" t="str">
        <x:v>PRTX-0196</x:v>
      </x:c>
      <x:c r="B197" s="6" t="str">
        <x:v>SVC000196</x:v>
      </x:c>
      <x:c r="C197" s="6" t="str">
        <x:v>SIDX-0196</x:v>
      </x:c>
      <x:c r="D197" s="6" t="str">
        <x:f>IFERROR(XLOOKUP(C197,'Review Sequence'!C2:C1586,'Review Sequence'!J2:J1586),"Dependency not found")</x:f>
        <x:v>Not Started</x:v>
      </x:c>
      <x:c r="E197" s="6" t="str"/>
      <x:c r="F197" s="6" t="str"/>
      <x:c r="G197" s="6" t="str"/>
      <x:c r="H197" s="6" t="str">
        <x:v>Unknown</x:v>
      </x:c>
      <x:c r="I197" s="6" t="str"/>
      <x:c r="J197" s="6" t="str">
        <x:v>Unresolved</x:v>
      </x:c>
      <x:c r="K197" s="7" t="str">
        <x:v>Nocturnix_Master_Services_Catalog_v1.xlsx | 01 - Master Services | row 236</x:v>
      </x:c>
      <x:c r="L197" s="6" t="str"/>
      <x:c r="M197" s="6" t="str"/>
      <x:c r="N197" s="6" t="str">
        <x:v>Pending</x:v>
      </x:c>
      <x:c r="O197" s="7" t="str">
        <x:f>IF(OR(D197="Reviewer Complete",D197="Awaiting Second-Level Approval"),"","Service identity dependency unresolved")</x:f>
        <x:v>Service identity dependency unresolved</x:v>
      </x:c>
      <x:c r="P197" s="6" t="str">
        <x:v>Yes</x:v>
      </x:c>
      <x:c r="Q197" s="7" t="str"/>
    </x:row>
    <x:row r="198">
      <x:c r="A198" s="6" t="str">
        <x:v>PRTX-0197</x:v>
      </x:c>
      <x:c r="B198" s="6" t="str">
        <x:v>SVC000197</x:v>
      </x:c>
      <x:c r="C198" s="6" t="str">
        <x:v>SIDX-0197</x:v>
      </x:c>
      <x:c r="D198" s="6" t="str">
        <x:f>IFERROR(XLOOKUP(C198,'Review Sequence'!C2:C1586,'Review Sequence'!J2:J1586),"Dependency not found")</x:f>
        <x:v>Not Started</x:v>
      </x:c>
      <x:c r="E198" s="6" t="str"/>
      <x:c r="F198" s="6" t="str"/>
      <x:c r="G198" s="6" t="str"/>
      <x:c r="H198" s="6" t="str">
        <x:v>Unknown</x:v>
      </x:c>
      <x:c r="I198" s="6" t="str"/>
      <x:c r="J198" s="6" t="str">
        <x:v>Unresolved</x:v>
      </x:c>
      <x:c r="K198" s="7" t="str">
        <x:v>Nocturnix_Master_Services_Catalog_v1.xlsx | 01 - Master Services | row 237</x:v>
      </x:c>
      <x:c r="L198" s="6" t="str"/>
      <x:c r="M198" s="6" t="str"/>
      <x:c r="N198" s="6" t="str">
        <x:v>Pending</x:v>
      </x:c>
      <x:c r="O198" s="7" t="str">
        <x:f>IF(OR(D198="Reviewer Complete",D198="Awaiting Second-Level Approval"),"","Service identity dependency unresolved")</x:f>
        <x:v>Service identity dependency unresolved</x:v>
      </x:c>
      <x:c r="P198" s="6" t="str">
        <x:v>Yes</x:v>
      </x:c>
      <x:c r="Q198" s="7" t="str"/>
    </x:row>
    <x:row r="199">
      <x:c r="A199" s="6" t="str">
        <x:v>PRTX-0198</x:v>
      </x:c>
      <x:c r="B199" s="6" t="str">
        <x:v>SVC000198</x:v>
      </x:c>
      <x:c r="C199" s="6" t="str">
        <x:v>SIDX-0198</x:v>
      </x:c>
      <x:c r="D199" s="6" t="str">
        <x:f>IFERROR(XLOOKUP(C199,'Review Sequence'!C2:C1586,'Review Sequence'!J2:J1586),"Dependency not found")</x:f>
        <x:v>Not Started</x:v>
      </x:c>
      <x:c r="E199" s="6" t="str"/>
      <x:c r="F199" s="6" t="str"/>
      <x:c r="G199" s="6" t="str"/>
      <x:c r="H199" s="6" t="str">
        <x:v>Unknown</x:v>
      </x:c>
      <x:c r="I199" s="6" t="str"/>
      <x:c r="J199" s="6" t="str">
        <x:v>Unresolved</x:v>
      </x:c>
      <x:c r="K199" s="7" t="str">
        <x:v>Nocturnix_Master_Services_Catalog_v1.xlsx | 01 - Master Services | row 238</x:v>
      </x:c>
      <x:c r="L199" s="6" t="str"/>
      <x:c r="M199" s="6" t="str"/>
      <x:c r="N199" s="6" t="str">
        <x:v>Pending</x:v>
      </x:c>
      <x:c r="O199" s="7" t="str">
        <x:f>IF(OR(D199="Reviewer Complete",D199="Awaiting Second-Level Approval"),"","Service identity dependency unresolved")</x:f>
        <x:v>Service identity dependency unresolved</x:v>
      </x:c>
      <x:c r="P199" s="6" t="str">
        <x:v>Yes</x:v>
      </x:c>
      <x:c r="Q199" s="7" t="str"/>
    </x:row>
    <x:row r="200">
      <x:c r="A200" s="6" t="str">
        <x:v>PRTX-0199</x:v>
      </x:c>
      <x:c r="B200" s="6" t="str">
        <x:v>SVC000199</x:v>
      </x:c>
      <x:c r="C200" s="6" t="str">
        <x:v>SIDX-0199</x:v>
      </x:c>
      <x:c r="D200" s="6" t="str">
        <x:f>IFERROR(XLOOKUP(C200,'Review Sequence'!C2:C1586,'Review Sequence'!J2:J1586),"Dependency not found")</x:f>
        <x:v>Not Started</x:v>
      </x:c>
      <x:c r="E200" s="6" t="str"/>
      <x:c r="F200" s="6" t="str"/>
      <x:c r="G200" s="6" t="str"/>
      <x:c r="H200" s="6" t="str">
        <x:v>Unknown</x:v>
      </x:c>
      <x:c r="I200" s="6" t="str"/>
      <x:c r="J200" s="6" t="str">
        <x:v>Unresolved</x:v>
      </x:c>
      <x:c r="K200" s="7" t="str">
        <x:v>Nocturnix_Master_Services_Catalog_v1.xlsx | 01 - Master Services | row 239</x:v>
      </x:c>
      <x:c r="L200" s="6" t="str"/>
      <x:c r="M200" s="6" t="str"/>
      <x:c r="N200" s="6" t="str">
        <x:v>Pending</x:v>
      </x:c>
      <x:c r="O200" s="7" t="str">
        <x:f>IF(OR(D200="Reviewer Complete",D200="Awaiting Second-Level Approval"),"","Service identity dependency unresolved")</x:f>
        <x:v>Service identity dependency unresolved</x:v>
      </x:c>
      <x:c r="P200" s="6" t="str">
        <x:v>Yes</x:v>
      </x:c>
      <x:c r="Q200" s="7" t="str"/>
    </x:row>
    <x:row r="201">
      <x:c r="A201" s="6" t="str">
        <x:v>PRTX-0200</x:v>
      </x:c>
      <x:c r="B201" s="6" t="str">
        <x:v>SVC000200</x:v>
      </x:c>
      <x:c r="C201" s="6" t="str">
        <x:v>SIDX-0200</x:v>
      </x:c>
      <x:c r="D201" s="6" t="str">
        <x:f>IFERROR(XLOOKUP(C201,'Review Sequence'!C2:C1586,'Review Sequence'!J2:J1586),"Dependency not found")</x:f>
        <x:v>Not Started</x:v>
      </x:c>
      <x:c r="E201" s="6" t="str"/>
      <x:c r="F201" s="6" t="str"/>
      <x:c r="G201" s="6" t="str"/>
      <x:c r="H201" s="6" t="str">
        <x:v>Unknown</x:v>
      </x:c>
      <x:c r="I201" s="6" t="str"/>
      <x:c r="J201" s="6" t="str">
        <x:v>Unresolved</x:v>
      </x:c>
      <x:c r="K201" s="7" t="str">
        <x:v>Nocturnix_Master_Services_Catalog_v1.xlsx | 01 - Master Services | row 240</x:v>
      </x:c>
      <x:c r="L201" s="6" t="str"/>
      <x:c r="M201" s="6" t="str"/>
      <x:c r="N201" s="6" t="str">
        <x:v>Pending</x:v>
      </x:c>
      <x:c r="O201" s="7" t="str">
        <x:f>IF(OR(D201="Reviewer Complete",D201="Awaiting Second-Level Approval"),"","Service identity dependency unresolved")</x:f>
        <x:v>Service identity dependency unresolved</x:v>
      </x:c>
      <x:c r="P201" s="6" t="str">
        <x:v>Yes</x:v>
      </x:c>
      <x:c r="Q201" s="7" t="str"/>
    </x:row>
    <x:row r="202">
      <x:c r="A202" s="6" t="str">
        <x:v>PRTX-0201</x:v>
      </x:c>
      <x:c r="B202" s="6" t="str">
        <x:v>SVC000201</x:v>
      </x:c>
      <x:c r="C202" s="6" t="str">
        <x:v>SIDX-0201</x:v>
      </x:c>
      <x:c r="D202" s="6" t="str">
        <x:f>IFERROR(XLOOKUP(C202,'Review Sequence'!C2:C1586,'Review Sequence'!J2:J1586),"Dependency not found")</x:f>
        <x:v>Not Started</x:v>
      </x:c>
      <x:c r="E202" s="6" t="str"/>
      <x:c r="F202" s="6" t="str"/>
      <x:c r="G202" s="6" t="str"/>
      <x:c r="H202" s="6" t="str">
        <x:v>Unknown</x:v>
      </x:c>
      <x:c r="I202" s="6" t="str"/>
      <x:c r="J202" s="6" t="str">
        <x:v>Unresolved</x:v>
      </x:c>
      <x:c r="K202" s="7" t="str">
        <x:v>Nocturnix_Master_Services_Catalog_v1.xlsx | 01 - Master Services | row 241</x:v>
      </x:c>
      <x:c r="L202" s="6" t="str"/>
      <x:c r="M202" s="6" t="str"/>
      <x:c r="N202" s="6" t="str">
        <x:v>Pending</x:v>
      </x:c>
      <x:c r="O202" s="7" t="str">
        <x:f>IF(OR(D202="Reviewer Complete",D202="Awaiting Second-Level Approval"),"","Service identity dependency unresolved")</x:f>
        <x:v>Service identity dependency unresolved</x:v>
      </x:c>
      <x:c r="P202" s="6" t="str">
        <x:v>Yes</x:v>
      </x:c>
      <x:c r="Q202" s="7" t="str"/>
    </x:row>
    <x:row r="203">
      <x:c r="A203" s="6" t="str">
        <x:v>PRTX-0202</x:v>
      </x:c>
      <x:c r="B203" s="6" t="str">
        <x:v>SVC000202</x:v>
      </x:c>
      <x:c r="C203" s="6" t="str">
        <x:v>SIDX-0202</x:v>
      </x:c>
      <x:c r="D203" s="6" t="str">
        <x:f>IFERROR(XLOOKUP(C203,'Review Sequence'!C2:C1586,'Review Sequence'!J2:J1586),"Dependency not found")</x:f>
        <x:v>Not Started</x:v>
      </x:c>
      <x:c r="E203" s="6" t="str"/>
      <x:c r="F203" s="6" t="str"/>
      <x:c r="G203" s="6" t="str"/>
      <x:c r="H203" s="6" t="str">
        <x:v>Unknown</x:v>
      </x:c>
      <x:c r="I203" s="6" t="str"/>
      <x:c r="J203" s="6" t="str">
        <x:v>Unresolved</x:v>
      </x:c>
      <x:c r="K203" s="7" t="str">
        <x:v>Nocturnix_Master_Services_Catalog_v1.xlsx | 01 - Master Services | row 242</x:v>
      </x:c>
      <x:c r="L203" s="6" t="str"/>
      <x:c r="M203" s="6" t="str"/>
      <x:c r="N203" s="6" t="str">
        <x:v>Pending</x:v>
      </x:c>
      <x:c r="O203" s="7" t="str">
        <x:f>IF(OR(D203="Reviewer Complete",D203="Awaiting Second-Level Approval"),"","Service identity dependency unresolved")</x:f>
        <x:v>Service identity dependency unresolved</x:v>
      </x:c>
      <x:c r="P203" s="6" t="str">
        <x:v>Yes</x:v>
      </x:c>
      <x:c r="Q203" s="7" t="str"/>
    </x:row>
    <x:row r="204">
      <x:c r="A204" s="6" t="str">
        <x:v>PRTX-0203</x:v>
      </x:c>
      <x:c r="B204" s="6" t="str">
        <x:v>SVC000203</x:v>
      </x:c>
      <x:c r="C204" s="6" t="str">
        <x:v>SIDX-0203</x:v>
      </x:c>
      <x:c r="D204" s="6" t="str">
        <x:f>IFERROR(XLOOKUP(C204,'Review Sequence'!C2:C1586,'Review Sequence'!J2:J1586),"Dependency not found")</x:f>
        <x:v>Not Started</x:v>
      </x:c>
      <x:c r="E204" s="6" t="str"/>
      <x:c r="F204" s="6" t="str"/>
      <x:c r="G204" s="6" t="str"/>
      <x:c r="H204" s="6" t="str">
        <x:v>Unknown</x:v>
      </x:c>
      <x:c r="I204" s="6" t="str"/>
      <x:c r="J204" s="6" t="str">
        <x:v>Unresolved</x:v>
      </x:c>
      <x:c r="K204" s="7" t="str">
        <x:v>Nocturnix_Master_Services_Catalog_v1.xlsx | 01 - Master Services | row 243</x:v>
      </x:c>
      <x:c r="L204" s="6" t="str"/>
      <x:c r="M204" s="6" t="str"/>
      <x:c r="N204" s="6" t="str">
        <x:v>Pending</x:v>
      </x:c>
      <x:c r="O204" s="7" t="str">
        <x:f>IF(OR(D204="Reviewer Complete",D204="Awaiting Second-Level Approval"),"","Service identity dependency unresolved")</x:f>
        <x:v>Service identity dependency unresolved</x:v>
      </x:c>
      <x:c r="P204" s="6" t="str">
        <x:v>Yes</x:v>
      </x:c>
      <x:c r="Q204" s="7" t="str"/>
    </x:row>
    <x:row r="205">
      <x:c r="A205" s="6" t="str">
        <x:v>PRTX-0204</x:v>
      </x:c>
      <x:c r="B205" s="6" t="str">
        <x:v>SVC000204</x:v>
      </x:c>
      <x:c r="C205" s="6" t="str">
        <x:v>SIDX-0204</x:v>
      </x:c>
      <x:c r="D205" s="6" t="str">
        <x:f>IFERROR(XLOOKUP(C205,'Review Sequence'!C2:C1586,'Review Sequence'!J2:J1586),"Dependency not found")</x:f>
        <x:v>Not Started</x:v>
      </x:c>
      <x:c r="E205" s="6" t="str"/>
      <x:c r="F205" s="6" t="str"/>
      <x:c r="G205" s="6" t="str"/>
      <x:c r="H205" s="6" t="str">
        <x:v>Unknown</x:v>
      </x:c>
      <x:c r="I205" s="6" t="str"/>
      <x:c r="J205" s="6" t="str">
        <x:v>Unresolved</x:v>
      </x:c>
      <x:c r="K205" s="7" t="str">
        <x:v>Nocturnix_Master_Services_Catalog_v1.xlsx | 01 - Master Services | row 244</x:v>
      </x:c>
      <x:c r="L205" s="6" t="str"/>
      <x:c r="M205" s="6" t="str"/>
      <x:c r="N205" s="6" t="str">
        <x:v>Pending</x:v>
      </x:c>
      <x:c r="O205" s="7" t="str">
        <x:f>IF(OR(D205="Reviewer Complete",D205="Awaiting Second-Level Approval"),"","Service identity dependency unresolved")</x:f>
        <x:v>Service identity dependency unresolved</x:v>
      </x:c>
      <x:c r="P205" s="6" t="str">
        <x:v>Yes</x:v>
      </x:c>
      <x:c r="Q205" s="7" t="str"/>
    </x:row>
    <x:row r="206">
      <x:c r="A206" s="6" t="str">
        <x:v>PRTX-0205</x:v>
      </x:c>
      <x:c r="B206" s="6" t="str">
        <x:v>SVC000205</x:v>
      </x:c>
      <x:c r="C206" s="6" t="str">
        <x:v>SIDX-0205</x:v>
      </x:c>
      <x:c r="D206" s="6" t="str">
        <x:f>IFERROR(XLOOKUP(C206,'Review Sequence'!C2:C1586,'Review Sequence'!J2:J1586),"Dependency not found")</x:f>
        <x:v>Not Started</x:v>
      </x:c>
      <x:c r="E206" s="6" t="str"/>
      <x:c r="F206" s="6" t="str"/>
      <x:c r="G206" s="6" t="str"/>
      <x:c r="H206" s="6" t="str">
        <x:v>Unknown</x:v>
      </x:c>
      <x:c r="I206" s="6" t="str"/>
      <x:c r="J206" s="6" t="str">
        <x:v>Unresolved</x:v>
      </x:c>
      <x:c r="K206" s="7" t="str">
        <x:v>Nocturnix_Master_Services_Catalog_v1.xlsx | 01 - Master Services | row 245</x:v>
      </x:c>
      <x:c r="L206" s="6" t="str"/>
      <x:c r="M206" s="6" t="str"/>
      <x:c r="N206" s="6" t="str">
        <x:v>Pending</x:v>
      </x:c>
      <x:c r="O206" s="7" t="str">
        <x:f>IF(OR(D206="Reviewer Complete",D206="Awaiting Second-Level Approval"),"","Service identity dependency unresolved")</x:f>
        <x:v>Service identity dependency unresolved</x:v>
      </x:c>
      <x:c r="P206" s="6" t="str">
        <x:v>Yes</x:v>
      </x:c>
      <x:c r="Q206" s="7" t="str"/>
    </x:row>
    <x:row r="207">
      <x:c r="A207" s="6" t="str">
        <x:v>PRTX-0206</x:v>
      </x:c>
      <x:c r="B207" s="6" t="str">
        <x:v>SVC000206</x:v>
      </x:c>
      <x:c r="C207" s="6" t="str">
        <x:v>SIDX-0206</x:v>
      </x:c>
      <x:c r="D207" s="6" t="str">
        <x:f>IFERROR(XLOOKUP(C207,'Review Sequence'!C2:C1586,'Review Sequence'!J2:J1586),"Dependency not found")</x:f>
        <x:v>Not Started</x:v>
      </x:c>
      <x:c r="E207" s="6" t="str"/>
      <x:c r="F207" s="6" t="str"/>
      <x:c r="G207" s="6" t="str"/>
      <x:c r="H207" s="6" t="str">
        <x:v>Unknown</x:v>
      </x:c>
      <x:c r="I207" s="6" t="str"/>
      <x:c r="J207" s="6" t="str">
        <x:v>Unresolved</x:v>
      </x:c>
      <x:c r="K207" s="7" t="str">
        <x:v>Nocturnix_Master_Services_Catalog_v1.xlsx | 01 - Master Services | row 246</x:v>
      </x:c>
      <x:c r="L207" s="6" t="str"/>
      <x:c r="M207" s="6" t="str"/>
      <x:c r="N207" s="6" t="str">
        <x:v>Pending</x:v>
      </x:c>
      <x:c r="O207" s="7" t="str">
        <x:f>IF(OR(D207="Reviewer Complete",D207="Awaiting Second-Level Approval"),"","Service identity dependency unresolved")</x:f>
        <x:v>Service identity dependency unresolved</x:v>
      </x:c>
      <x:c r="P207" s="6" t="str">
        <x:v>Yes</x:v>
      </x:c>
      <x:c r="Q207" s="7" t="str"/>
    </x:row>
    <x:row r="208">
      <x:c r="A208" s="6" t="str">
        <x:v>PRTX-0207</x:v>
      </x:c>
      <x:c r="B208" s="6" t="str">
        <x:v>SVC000207</x:v>
      </x:c>
      <x:c r="C208" s="6" t="str">
        <x:v>SIDX-0207</x:v>
      </x:c>
      <x:c r="D208" s="6" t="str">
        <x:f>IFERROR(XLOOKUP(C208,'Review Sequence'!C2:C1586,'Review Sequence'!J2:J1586),"Dependency not found")</x:f>
        <x:v>Not Started</x:v>
      </x:c>
      <x:c r="E208" s="6" t="str"/>
      <x:c r="F208" s="6" t="str"/>
      <x:c r="G208" s="6" t="str"/>
      <x:c r="H208" s="6" t="str">
        <x:v>Unknown</x:v>
      </x:c>
      <x:c r="I208" s="6" t="str"/>
      <x:c r="J208" s="6" t="str">
        <x:v>Unresolved</x:v>
      </x:c>
      <x:c r="K208" s="7" t="str">
        <x:v>Nocturnix_Master_Services_Catalog_v1.xlsx | 01 - Master Services | row 247</x:v>
      </x:c>
      <x:c r="L208" s="6" t="str"/>
      <x:c r="M208" s="6" t="str"/>
      <x:c r="N208" s="6" t="str">
        <x:v>Pending</x:v>
      </x:c>
      <x:c r="O208" s="7" t="str">
        <x:f>IF(OR(D208="Reviewer Complete",D208="Awaiting Second-Level Approval"),"","Service identity dependency unresolved")</x:f>
        <x:v>Service identity dependency unresolved</x:v>
      </x:c>
      <x:c r="P208" s="6" t="str">
        <x:v>Yes</x:v>
      </x:c>
      <x:c r="Q208" s="7" t="str"/>
    </x:row>
    <x:row r="209">
      <x:c r="A209" s="6" t="str">
        <x:v>PRTX-0208</x:v>
      </x:c>
      <x:c r="B209" s="6" t="str">
        <x:v>SVC000208</x:v>
      </x:c>
      <x:c r="C209" s="6" t="str">
        <x:v>SIDX-0208</x:v>
      </x:c>
      <x:c r="D209" s="6" t="str">
        <x:f>IFERROR(XLOOKUP(C209,'Review Sequence'!C2:C1586,'Review Sequence'!J2:J1586),"Dependency not found")</x:f>
        <x:v>Not Started</x:v>
      </x:c>
      <x:c r="E209" s="6" t="str"/>
      <x:c r="F209" s="6" t="str"/>
      <x:c r="G209" s="6" t="str"/>
      <x:c r="H209" s="6" t="str">
        <x:v>Unknown</x:v>
      </x:c>
      <x:c r="I209" s="6" t="str"/>
      <x:c r="J209" s="6" t="str">
        <x:v>Unresolved</x:v>
      </x:c>
      <x:c r="K209" s="7" t="str">
        <x:v>Nocturnix_Master_Services_Catalog_v1.xlsx | 01 - Master Services | row 248</x:v>
      </x:c>
      <x:c r="L209" s="6" t="str"/>
      <x:c r="M209" s="6" t="str"/>
      <x:c r="N209" s="6" t="str">
        <x:v>Pending</x:v>
      </x:c>
      <x:c r="O209" s="7" t="str">
        <x:f>IF(OR(D209="Reviewer Complete",D209="Awaiting Second-Level Approval"),"","Service identity dependency unresolved")</x:f>
        <x:v>Service identity dependency unresolved</x:v>
      </x:c>
      <x:c r="P209" s="6" t="str">
        <x:v>Yes</x:v>
      </x:c>
      <x:c r="Q209" s="7" t="str"/>
    </x:row>
    <x:row r="210">
      <x:c r="A210" s="6" t="str">
        <x:v>PRTX-0209</x:v>
      </x:c>
      <x:c r="B210" s="6" t="str">
        <x:v>SVC000209</x:v>
      </x:c>
      <x:c r="C210" s="6" t="str">
        <x:v>SIDX-0209</x:v>
      </x:c>
      <x:c r="D210" s="6" t="str">
        <x:f>IFERROR(XLOOKUP(C210,'Review Sequence'!C2:C1586,'Review Sequence'!J2:J1586),"Dependency not found")</x:f>
        <x:v>Not Started</x:v>
      </x:c>
      <x:c r="E210" s="6" t="str"/>
      <x:c r="F210" s="6" t="str"/>
      <x:c r="G210" s="6" t="str"/>
      <x:c r="H210" s="6" t="str">
        <x:v>Unknown</x:v>
      </x:c>
      <x:c r="I210" s="6" t="str"/>
      <x:c r="J210" s="6" t="str">
        <x:v>Unresolved</x:v>
      </x:c>
      <x:c r="K210" s="7" t="str">
        <x:v>Nocturnix_Master_Services_Catalog_v1.xlsx | 01 - Master Services | row 249</x:v>
      </x:c>
      <x:c r="L210" s="6" t="str"/>
      <x:c r="M210" s="6" t="str"/>
      <x:c r="N210" s="6" t="str">
        <x:v>Pending</x:v>
      </x:c>
      <x:c r="O210" s="7" t="str">
        <x:f>IF(OR(D210="Reviewer Complete",D210="Awaiting Second-Level Approval"),"","Service identity dependency unresolved")</x:f>
        <x:v>Service identity dependency unresolved</x:v>
      </x:c>
      <x:c r="P210" s="6" t="str">
        <x:v>Yes</x:v>
      </x:c>
      <x:c r="Q210" s="7" t="str"/>
    </x:row>
    <x:row r="211">
      <x:c r="A211" s="6" t="str">
        <x:v>PRTX-0210</x:v>
      </x:c>
      <x:c r="B211" s="6" t="str">
        <x:v>SVC000210</x:v>
      </x:c>
      <x:c r="C211" s="6" t="str">
        <x:v>SIDX-0210</x:v>
      </x:c>
      <x:c r="D211" s="6" t="str">
        <x:f>IFERROR(XLOOKUP(C211,'Review Sequence'!C2:C1586,'Review Sequence'!J2:J1586),"Dependency not found")</x:f>
        <x:v>Not Started</x:v>
      </x:c>
      <x:c r="E211" s="6" t="str"/>
      <x:c r="F211" s="6" t="str"/>
      <x:c r="G211" s="6" t="str"/>
      <x:c r="H211" s="6" t="str">
        <x:v>Unknown</x:v>
      </x:c>
      <x:c r="I211" s="6" t="str"/>
      <x:c r="J211" s="6" t="str">
        <x:v>Unresolved</x:v>
      </x:c>
      <x:c r="K211" s="7" t="str">
        <x:v>Nocturnix_Master_Services_Catalog_v1.xlsx | 01 - Master Services | row 250</x:v>
      </x:c>
      <x:c r="L211" s="6" t="str"/>
      <x:c r="M211" s="6" t="str"/>
      <x:c r="N211" s="6" t="str">
        <x:v>Pending</x:v>
      </x:c>
      <x:c r="O211" s="7" t="str">
        <x:f>IF(OR(D211="Reviewer Complete",D211="Awaiting Second-Level Approval"),"","Service identity dependency unresolved")</x:f>
        <x:v>Service identity dependency unresolved</x:v>
      </x:c>
      <x:c r="P211" s="6" t="str">
        <x:v>Yes</x:v>
      </x:c>
      <x:c r="Q211" s="7" t="str"/>
    </x:row>
    <x:row r="212">
      <x:c r="A212" s="6" t="str">
        <x:v>PRTX-0211</x:v>
      </x:c>
      <x:c r="B212" s="6" t="str">
        <x:v>SVC000211</x:v>
      </x:c>
      <x:c r="C212" s="6" t="str">
        <x:v>SIDX-0211</x:v>
      </x:c>
      <x:c r="D212" s="6" t="str">
        <x:f>IFERROR(XLOOKUP(C212,'Review Sequence'!C2:C1586,'Review Sequence'!J2:J1586),"Dependency not found")</x:f>
        <x:v>Not Started</x:v>
      </x:c>
      <x:c r="E212" s="6" t="str"/>
      <x:c r="F212" s="6" t="str"/>
      <x:c r="G212" s="6" t="str"/>
      <x:c r="H212" s="6" t="str">
        <x:v>Unknown</x:v>
      </x:c>
      <x:c r="I212" s="6" t="str"/>
      <x:c r="J212" s="6" t="str">
        <x:v>Unresolved</x:v>
      </x:c>
      <x:c r="K212" s="7" t="str">
        <x:v>Nocturnix_Master_Services_Catalog_v1.xlsx | 01 - Master Services | row 251</x:v>
      </x:c>
      <x:c r="L212" s="6" t="str"/>
      <x:c r="M212" s="6" t="str"/>
      <x:c r="N212" s="6" t="str">
        <x:v>Pending</x:v>
      </x:c>
      <x:c r="O212" s="7" t="str">
        <x:f>IF(OR(D212="Reviewer Complete",D212="Awaiting Second-Level Approval"),"","Service identity dependency unresolved")</x:f>
        <x:v>Service identity dependency unresolved</x:v>
      </x:c>
      <x:c r="P212" s="6" t="str">
        <x:v>Yes</x:v>
      </x:c>
      <x:c r="Q212" s="7" t="str"/>
    </x:row>
    <x:row r="213">
      <x:c r="A213" s="6" t="str">
        <x:v>PRTX-0212</x:v>
      </x:c>
      <x:c r="B213" s="6" t="str">
        <x:v>SVC000212</x:v>
      </x:c>
      <x:c r="C213" s="6" t="str">
        <x:v>SIDX-0212</x:v>
      </x:c>
      <x:c r="D213" s="6" t="str">
        <x:f>IFERROR(XLOOKUP(C213,'Review Sequence'!C2:C1586,'Review Sequence'!J2:J1586),"Dependency not found")</x:f>
        <x:v>Not Started</x:v>
      </x:c>
      <x:c r="E213" s="6" t="str"/>
      <x:c r="F213" s="6" t="str"/>
      <x:c r="G213" s="6" t="str"/>
      <x:c r="H213" s="6" t="str">
        <x:v>Unknown</x:v>
      </x:c>
      <x:c r="I213" s="6" t="str"/>
      <x:c r="J213" s="6" t="str">
        <x:v>Unresolved</x:v>
      </x:c>
      <x:c r="K213" s="7" t="str">
        <x:v>Nocturnix_Master_Services_Catalog_v1.xlsx | 01 - Master Services | row 252</x:v>
      </x:c>
      <x:c r="L213" s="6" t="str"/>
      <x:c r="M213" s="6" t="str"/>
      <x:c r="N213" s="6" t="str">
        <x:v>Pending</x:v>
      </x:c>
      <x:c r="O213" s="7" t="str">
        <x:f>IF(OR(D213="Reviewer Complete",D213="Awaiting Second-Level Approval"),"","Service identity dependency unresolved")</x:f>
        <x:v>Service identity dependency unresolved</x:v>
      </x:c>
      <x:c r="P213" s="6" t="str">
        <x:v>Yes</x:v>
      </x:c>
      <x:c r="Q213" s="7" t="str"/>
    </x:row>
    <x:row r="214">
      <x:c r="A214" s="6" t="str">
        <x:v>PRTX-0213</x:v>
      </x:c>
      <x:c r="B214" s="6" t="str">
        <x:v>SVC000213</x:v>
      </x:c>
      <x:c r="C214" s="6" t="str">
        <x:v>SIDX-0213</x:v>
      </x:c>
      <x:c r="D214" s="6" t="str">
        <x:f>IFERROR(XLOOKUP(C214,'Review Sequence'!C2:C1586,'Review Sequence'!J2:J1586),"Dependency not found")</x:f>
        <x:v>Not Started</x:v>
      </x:c>
      <x:c r="E214" s="6" t="str"/>
      <x:c r="F214" s="6" t="str"/>
      <x:c r="G214" s="6" t="str"/>
      <x:c r="H214" s="6" t="str">
        <x:v>Unknown</x:v>
      </x:c>
      <x:c r="I214" s="6" t="str"/>
      <x:c r="J214" s="6" t="str">
        <x:v>Unresolved</x:v>
      </x:c>
      <x:c r="K214" s="7" t="str">
        <x:v>Nocturnix_Master_Services_Catalog_v1.xlsx | 01 - Master Services | row 253</x:v>
      </x:c>
      <x:c r="L214" s="6" t="str"/>
      <x:c r="M214" s="6" t="str"/>
      <x:c r="N214" s="6" t="str">
        <x:v>Pending</x:v>
      </x:c>
      <x:c r="O214" s="7" t="str">
        <x:f>IF(OR(D214="Reviewer Complete",D214="Awaiting Second-Level Approval"),"","Service identity dependency unresolved")</x:f>
        <x:v>Service identity dependency unresolved</x:v>
      </x:c>
      <x:c r="P214" s="6" t="str">
        <x:v>Yes</x:v>
      </x:c>
      <x:c r="Q214" s="7" t="str"/>
    </x:row>
    <x:row r="215">
      <x:c r="A215" s="6" t="str">
        <x:v>PRTX-0214</x:v>
      </x:c>
      <x:c r="B215" s="6" t="str">
        <x:v>SVC000214</x:v>
      </x:c>
      <x:c r="C215" s="6" t="str">
        <x:v>SIDX-0214</x:v>
      </x:c>
      <x:c r="D215" s="6" t="str">
        <x:f>IFERROR(XLOOKUP(C215,'Review Sequence'!C2:C1586,'Review Sequence'!J2:J1586),"Dependency not found")</x:f>
        <x:v>Not Started</x:v>
      </x:c>
      <x:c r="E215" s="6" t="str"/>
      <x:c r="F215" s="6" t="str"/>
      <x:c r="G215" s="6" t="str"/>
      <x:c r="H215" s="6" t="str">
        <x:v>Unknown</x:v>
      </x:c>
      <x:c r="I215" s="6" t="str"/>
      <x:c r="J215" s="6" t="str">
        <x:v>Unresolved</x:v>
      </x:c>
      <x:c r="K215" s="7" t="str">
        <x:v>Nocturnix_Master_Services_Catalog_v1.xlsx | 01 - Master Services | row 254</x:v>
      </x:c>
      <x:c r="L215" s="6" t="str"/>
      <x:c r="M215" s="6" t="str"/>
      <x:c r="N215" s="6" t="str">
        <x:v>Pending</x:v>
      </x:c>
      <x:c r="O215" s="7" t="str">
        <x:f>IF(OR(D215="Reviewer Complete",D215="Awaiting Second-Level Approval"),"","Service identity dependency unresolved")</x:f>
        <x:v>Service identity dependency unresolved</x:v>
      </x:c>
      <x:c r="P215" s="6" t="str">
        <x:v>Yes</x:v>
      </x:c>
      <x:c r="Q215" s="7" t="str"/>
    </x:row>
    <x:row r="216">
      <x:c r="A216" s="6" t="str">
        <x:v>PRTX-0215</x:v>
      </x:c>
      <x:c r="B216" s="6" t="str">
        <x:v>SVC000215</x:v>
      </x:c>
      <x:c r="C216" s="6" t="str">
        <x:v>SIDX-0215</x:v>
      </x:c>
      <x:c r="D216" s="6" t="str">
        <x:f>IFERROR(XLOOKUP(C216,'Review Sequence'!C2:C1586,'Review Sequence'!J2:J1586),"Dependency not found")</x:f>
        <x:v>Not Started</x:v>
      </x:c>
      <x:c r="E216" s="6" t="str"/>
      <x:c r="F216" s="6" t="str"/>
      <x:c r="G216" s="6" t="str"/>
      <x:c r="H216" s="6" t="str">
        <x:v>Unknown</x:v>
      </x:c>
      <x:c r="I216" s="6" t="str"/>
      <x:c r="J216" s="6" t="str">
        <x:v>Unresolved</x:v>
      </x:c>
      <x:c r="K216" s="7" t="str">
        <x:v>Nocturnix_Master_Services_Catalog_v1.xlsx | 01 - Master Services | row 255</x:v>
      </x:c>
      <x:c r="L216" s="6" t="str"/>
      <x:c r="M216" s="6" t="str"/>
      <x:c r="N216" s="6" t="str">
        <x:v>Pending</x:v>
      </x:c>
      <x:c r="O216" s="7" t="str">
        <x:f>IF(OR(D216="Reviewer Complete",D216="Awaiting Second-Level Approval"),"","Service identity dependency unresolved")</x:f>
        <x:v>Service identity dependency unresolved</x:v>
      </x:c>
      <x:c r="P216" s="6" t="str">
        <x:v>Yes</x:v>
      </x:c>
      <x:c r="Q216" s="7" t="str"/>
    </x:row>
    <x:row r="217">
      <x:c r="A217" s="6" t="str">
        <x:v>PRTX-0216</x:v>
      </x:c>
      <x:c r="B217" s="6" t="str">
        <x:v>SVC000216</x:v>
      </x:c>
      <x:c r="C217" s="6" t="str">
        <x:v>SIDX-0216</x:v>
      </x:c>
      <x:c r="D217" s="6" t="str">
        <x:f>IFERROR(XLOOKUP(C217,'Review Sequence'!C2:C1586,'Review Sequence'!J2:J1586),"Dependency not found")</x:f>
        <x:v>Not Started</x:v>
      </x:c>
      <x:c r="E217" s="6" t="str"/>
      <x:c r="F217" s="6" t="str"/>
      <x:c r="G217" s="6" t="str"/>
      <x:c r="H217" s="6" t="str">
        <x:v>Unknown</x:v>
      </x:c>
      <x:c r="I217" s="6" t="str"/>
      <x:c r="J217" s="6" t="str">
        <x:v>Unresolved</x:v>
      </x:c>
      <x:c r="K217" s="7" t="str">
        <x:v>Nocturnix_Master_Services_Catalog_v1.xlsx | 01 - Master Services | row 256</x:v>
      </x:c>
      <x:c r="L217" s="6" t="str"/>
      <x:c r="M217" s="6" t="str"/>
      <x:c r="N217" s="6" t="str">
        <x:v>Pending</x:v>
      </x:c>
      <x:c r="O217" s="7" t="str">
        <x:f>IF(OR(D217="Reviewer Complete",D217="Awaiting Second-Level Approval"),"","Service identity dependency unresolved")</x:f>
        <x:v>Service identity dependency unresolved</x:v>
      </x:c>
      <x:c r="P217" s="6" t="str">
        <x:v>Yes</x:v>
      </x:c>
      <x:c r="Q217" s="7" t="str"/>
    </x:row>
    <x:row r="218">
      <x:c r="A218" s="6" t="str">
        <x:v>PRTX-0217</x:v>
      </x:c>
      <x:c r="B218" s="6" t="str">
        <x:v>SVC000217</x:v>
      </x:c>
      <x:c r="C218" s="6" t="str">
        <x:v>SIDX-0217</x:v>
      </x:c>
      <x:c r="D218" s="6" t="str">
        <x:f>IFERROR(XLOOKUP(C218,'Review Sequence'!C2:C1586,'Review Sequence'!J2:J1586),"Dependency not found")</x:f>
        <x:v>Not Started</x:v>
      </x:c>
      <x:c r="E218" s="6" t="str"/>
      <x:c r="F218" s="6" t="str"/>
      <x:c r="G218" s="6" t="str"/>
      <x:c r="H218" s="6" t="str">
        <x:v>Unknown</x:v>
      </x:c>
      <x:c r="I218" s="6" t="str"/>
      <x:c r="J218" s="6" t="str">
        <x:v>Unresolved</x:v>
      </x:c>
      <x:c r="K218" s="7" t="str">
        <x:v>Nocturnix_Master_Services_Catalog_v1.xlsx | 01 - Master Services | row 257</x:v>
      </x:c>
      <x:c r="L218" s="6" t="str"/>
      <x:c r="M218" s="6" t="str"/>
      <x:c r="N218" s="6" t="str">
        <x:v>Pending</x:v>
      </x:c>
      <x:c r="O218" s="7" t="str">
        <x:f>IF(OR(D218="Reviewer Complete",D218="Awaiting Second-Level Approval"),"","Service identity dependency unresolved")</x:f>
        <x:v>Service identity dependency unresolved</x:v>
      </x:c>
      <x:c r="P218" s="6" t="str">
        <x:v>Yes</x:v>
      </x:c>
      <x:c r="Q218" s="7" t="str"/>
    </x:row>
    <x:row r="219">
      <x:c r="A219" s="6" t="str">
        <x:v>PRTX-0218</x:v>
      </x:c>
      <x:c r="B219" s="6" t="str">
        <x:v>SVC000218</x:v>
      </x:c>
      <x:c r="C219" s="6" t="str">
        <x:v>SIDX-0218</x:v>
      </x:c>
      <x:c r="D219" s="6" t="str">
        <x:f>IFERROR(XLOOKUP(C219,'Review Sequence'!C2:C1586,'Review Sequence'!J2:J1586),"Dependency not found")</x:f>
        <x:v>Not Started</x:v>
      </x:c>
      <x:c r="E219" s="6" t="str"/>
      <x:c r="F219" s="6" t="str"/>
      <x:c r="G219" s="6" t="str"/>
      <x:c r="H219" s="6" t="str">
        <x:v>Unknown</x:v>
      </x:c>
      <x:c r="I219" s="6" t="str"/>
      <x:c r="J219" s="6" t="str">
        <x:v>Unresolved</x:v>
      </x:c>
      <x:c r="K219" s="7" t="str">
        <x:v>Nocturnix_Master_Services_Catalog_v1.xlsx | 01 - Master Services | row 258</x:v>
      </x:c>
      <x:c r="L219" s="6" t="str"/>
      <x:c r="M219" s="6" t="str"/>
      <x:c r="N219" s="6" t="str">
        <x:v>Pending</x:v>
      </x:c>
      <x:c r="O219" s="7" t="str">
        <x:f>IF(OR(D219="Reviewer Complete",D219="Awaiting Second-Level Approval"),"","Service identity dependency unresolved")</x:f>
        <x:v>Service identity dependency unresolved</x:v>
      </x:c>
      <x:c r="P219" s="6" t="str">
        <x:v>Yes</x:v>
      </x:c>
      <x:c r="Q219" s="7" t="str"/>
    </x:row>
    <x:row r="220">
      <x:c r="A220" s="6" t="str">
        <x:v>PRTX-0219</x:v>
      </x:c>
      <x:c r="B220" s="6" t="str">
        <x:v>SVC000219</x:v>
      </x:c>
      <x:c r="C220" s="6" t="str">
        <x:v>SIDX-0219</x:v>
      </x:c>
      <x:c r="D220" s="6" t="str">
        <x:f>IFERROR(XLOOKUP(C220,'Review Sequence'!C2:C1586,'Review Sequence'!J2:J1586),"Dependency not found")</x:f>
        <x:v>Not Started</x:v>
      </x:c>
      <x:c r="E220" s="6" t="str"/>
      <x:c r="F220" s="6" t="str"/>
      <x:c r="G220" s="6" t="str"/>
      <x:c r="H220" s="6" t="str">
        <x:v>Unknown</x:v>
      </x:c>
      <x:c r="I220" s="6" t="str"/>
      <x:c r="J220" s="6" t="str">
        <x:v>Unresolved</x:v>
      </x:c>
      <x:c r="K220" s="7" t="str">
        <x:v>Nocturnix_Master_Services_Catalog_v1.xlsx | 01 - Master Services | row 259</x:v>
      </x:c>
      <x:c r="L220" s="6" t="str"/>
      <x:c r="M220" s="6" t="str"/>
      <x:c r="N220" s="6" t="str">
        <x:v>Pending</x:v>
      </x:c>
      <x:c r="O220" s="7" t="str">
        <x:f>IF(OR(D220="Reviewer Complete",D220="Awaiting Second-Level Approval"),"","Service identity dependency unresolved")</x:f>
        <x:v>Service identity dependency unresolved</x:v>
      </x:c>
      <x:c r="P220" s="6" t="str">
        <x:v>Yes</x:v>
      </x:c>
      <x:c r="Q220" s="7" t="str"/>
    </x:row>
    <x:row r="221">
      <x:c r="A221" s="6" t="str">
        <x:v>PRTX-0220</x:v>
      </x:c>
      <x:c r="B221" s="6" t="str">
        <x:v>SVC000220</x:v>
      </x:c>
      <x:c r="C221" s="6" t="str">
        <x:v>SIDX-0220</x:v>
      </x:c>
      <x:c r="D221" s="6" t="str">
        <x:f>IFERROR(XLOOKUP(C221,'Review Sequence'!C2:C1586,'Review Sequence'!J2:J1586),"Dependency not found")</x:f>
        <x:v>Not Started</x:v>
      </x:c>
      <x:c r="E221" s="6" t="str"/>
      <x:c r="F221" s="6" t="str"/>
      <x:c r="G221" s="6" t="str"/>
      <x:c r="H221" s="6" t="str">
        <x:v>Unknown</x:v>
      </x:c>
      <x:c r="I221" s="6" t="str"/>
      <x:c r="J221" s="6" t="str">
        <x:v>Unresolved</x:v>
      </x:c>
      <x:c r="K221" s="7" t="str">
        <x:v>Nocturnix_Master_Services_Catalog_v1.xlsx | 01 - Master Services | row 260</x:v>
      </x:c>
      <x:c r="L221" s="6" t="str"/>
      <x:c r="M221" s="6" t="str"/>
      <x:c r="N221" s="6" t="str">
        <x:v>Pending</x:v>
      </x:c>
      <x:c r="O221" s="7" t="str">
        <x:f>IF(OR(D221="Reviewer Complete",D221="Awaiting Second-Level Approval"),"","Service identity dependency unresolved")</x:f>
        <x:v>Service identity dependency unresolved</x:v>
      </x:c>
      <x:c r="P221" s="6" t="str">
        <x:v>Yes</x:v>
      </x:c>
      <x:c r="Q221" s="7" t="str"/>
    </x:row>
    <x:row r="222">
      <x:c r="A222" s="6" t="str">
        <x:v>PRTX-0221</x:v>
      </x:c>
      <x:c r="B222" s="6" t="str">
        <x:v>SVC000221</x:v>
      </x:c>
      <x:c r="C222" s="6" t="str">
        <x:v>SIDX-0221</x:v>
      </x:c>
      <x:c r="D222" s="6" t="str">
        <x:f>IFERROR(XLOOKUP(C222,'Review Sequence'!C2:C1586,'Review Sequence'!J2:J1586),"Dependency not found")</x:f>
        <x:v>Not Started</x:v>
      </x:c>
      <x:c r="E222" s="6" t="str"/>
      <x:c r="F222" s="6" t="str"/>
      <x:c r="G222" s="6" t="str"/>
      <x:c r="H222" s="6" t="str">
        <x:v>Unknown</x:v>
      </x:c>
      <x:c r="I222" s="6" t="str"/>
      <x:c r="J222" s="6" t="str">
        <x:v>Unresolved</x:v>
      </x:c>
      <x:c r="K222" s="7" t="str">
        <x:v>Nocturnix_Master_Services_Catalog_v1.xlsx | 01 - Master Services | row 261</x:v>
      </x:c>
      <x:c r="L222" s="6" t="str"/>
      <x:c r="M222" s="6" t="str"/>
      <x:c r="N222" s="6" t="str">
        <x:v>Pending</x:v>
      </x:c>
      <x:c r="O222" s="7" t="str">
        <x:f>IF(OR(D222="Reviewer Complete",D222="Awaiting Second-Level Approval"),"","Service identity dependency unresolved")</x:f>
        <x:v>Service identity dependency unresolved</x:v>
      </x:c>
      <x:c r="P222" s="6" t="str">
        <x:v>Yes</x:v>
      </x:c>
      <x:c r="Q222" s="7" t="str"/>
    </x:row>
    <x:row r="223">
      <x:c r="A223" s="6" t="str">
        <x:v>PRTX-0222</x:v>
      </x:c>
      <x:c r="B223" s="6" t="str">
        <x:v>SVC000222</x:v>
      </x:c>
      <x:c r="C223" s="6" t="str">
        <x:v>SIDX-0222</x:v>
      </x:c>
      <x:c r="D223" s="6" t="str">
        <x:f>IFERROR(XLOOKUP(C223,'Review Sequence'!C2:C1586,'Review Sequence'!J2:J1586),"Dependency not found")</x:f>
        <x:v>Not Started</x:v>
      </x:c>
      <x:c r="E223" s="6" t="str"/>
      <x:c r="F223" s="6" t="str"/>
      <x:c r="G223" s="6" t="str"/>
      <x:c r="H223" s="6" t="str">
        <x:v>Unknown</x:v>
      </x:c>
      <x:c r="I223" s="6" t="str"/>
      <x:c r="J223" s="6" t="str">
        <x:v>Unresolved</x:v>
      </x:c>
      <x:c r="K223" s="7" t="str">
        <x:v>Nocturnix_Master_Services_Catalog_v1.xlsx | 01 - Master Services | row 262</x:v>
      </x:c>
      <x:c r="L223" s="6" t="str"/>
      <x:c r="M223" s="6" t="str"/>
      <x:c r="N223" s="6" t="str">
        <x:v>Pending</x:v>
      </x:c>
      <x:c r="O223" s="7" t="str">
        <x:f>IF(OR(D223="Reviewer Complete",D223="Awaiting Second-Level Approval"),"","Service identity dependency unresolved")</x:f>
        <x:v>Service identity dependency unresolved</x:v>
      </x:c>
      <x:c r="P223" s="6" t="str">
        <x:v>Yes</x:v>
      </x:c>
      <x:c r="Q223" s="7" t="str"/>
    </x:row>
    <x:row r="224">
      <x:c r="A224" s="6" t="str">
        <x:v>PRTX-0223</x:v>
      </x:c>
      <x:c r="B224" s="6" t="str">
        <x:v>SVC000223</x:v>
      </x:c>
      <x:c r="C224" s="6" t="str">
        <x:v>SIDX-0223</x:v>
      </x:c>
      <x:c r="D224" s="6" t="str">
        <x:f>IFERROR(XLOOKUP(C224,'Review Sequence'!C2:C1586,'Review Sequence'!J2:J1586),"Dependency not found")</x:f>
        <x:v>Not Started</x:v>
      </x:c>
      <x:c r="E224" s="6" t="str"/>
      <x:c r="F224" s="6" t="str"/>
      <x:c r="G224" s="6" t="str"/>
      <x:c r="H224" s="6" t="str">
        <x:v>Unknown</x:v>
      </x:c>
      <x:c r="I224" s="6" t="str"/>
      <x:c r="J224" s="6" t="str">
        <x:v>Unresolved</x:v>
      </x:c>
      <x:c r="K224" s="7" t="str">
        <x:v>Nocturnix_Master_Services_Catalog_v1.xlsx | 01 - Master Services | row 263</x:v>
      </x:c>
      <x:c r="L224" s="6" t="str"/>
      <x:c r="M224" s="6" t="str"/>
      <x:c r="N224" s="6" t="str">
        <x:v>Pending</x:v>
      </x:c>
      <x:c r="O224" s="7" t="str">
        <x:f>IF(OR(D224="Reviewer Complete",D224="Awaiting Second-Level Approval"),"","Service identity dependency unresolved")</x:f>
        <x:v>Service identity dependency unresolved</x:v>
      </x:c>
      <x:c r="P224" s="6" t="str">
        <x:v>Yes</x:v>
      </x:c>
      <x:c r="Q224" s="7" t="str"/>
    </x:row>
    <x:row r="225">
      <x:c r="A225" s="6" t="str">
        <x:v>PRTX-0224</x:v>
      </x:c>
      <x:c r="B225" s="6" t="str">
        <x:v>SVC000224</x:v>
      </x:c>
      <x:c r="C225" s="6" t="str">
        <x:v>SIDX-0224</x:v>
      </x:c>
      <x:c r="D225" s="6" t="str">
        <x:f>IFERROR(XLOOKUP(C225,'Review Sequence'!C2:C1586,'Review Sequence'!J2:J1586),"Dependency not found")</x:f>
        <x:v>Not Started</x:v>
      </x:c>
      <x:c r="E225" s="6" t="str"/>
      <x:c r="F225" s="6" t="str"/>
      <x:c r="G225" s="6" t="str"/>
      <x:c r="H225" s="6" t="str">
        <x:v>Unknown</x:v>
      </x:c>
      <x:c r="I225" s="6" t="str"/>
      <x:c r="J225" s="6" t="str">
        <x:v>Unresolved</x:v>
      </x:c>
      <x:c r="K225" s="7" t="str">
        <x:v>Nocturnix_Master_Services_Catalog_v1.xlsx | 01 - Master Services | row 264</x:v>
      </x:c>
      <x:c r="L225" s="6" t="str"/>
      <x:c r="M225" s="6" t="str"/>
      <x:c r="N225" s="6" t="str">
        <x:v>Pending</x:v>
      </x:c>
      <x:c r="O225" s="7" t="str">
        <x:f>IF(OR(D225="Reviewer Complete",D225="Awaiting Second-Level Approval"),"","Service identity dependency unresolved")</x:f>
        <x:v>Service identity dependency unresolved</x:v>
      </x:c>
      <x:c r="P225" s="6" t="str">
        <x:v>Yes</x:v>
      </x:c>
      <x:c r="Q225" s="7" t="str"/>
    </x:row>
    <x:row r="226">
      <x:c r="A226" s="6" t="str">
        <x:v>PRTX-0225</x:v>
      </x:c>
      <x:c r="B226" s="6" t="str">
        <x:v>SVC000225</x:v>
      </x:c>
      <x:c r="C226" s="6" t="str">
        <x:v>SIDX-0225</x:v>
      </x:c>
      <x:c r="D226" s="6" t="str">
        <x:f>IFERROR(XLOOKUP(C226,'Review Sequence'!C2:C1586,'Review Sequence'!J2:J1586),"Dependency not found")</x:f>
        <x:v>Not Started</x:v>
      </x:c>
      <x:c r="E226" s="6" t="str"/>
      <x:c r="F226" s="6" t="str"/>
      <x:c r="G226" s="6" t="str"/>
      <x:c r="H226" s="6" t="str">
        <x:v>Unknown</x:v>
      </x:c>
      <x:c r="I226" s="6" t="str"/>
      <x:c r="J226" s="6" t="str">
        <x:v>Unresolved</x:v>
      </x:c>
      <x:c r="K226" s="7" t="str">
        <x:v>Nocturnix_Master_Services_Catalog_v1.xlsx | 01 - Master Services | row 265</x:v>
      </x:c>
      <x:c r="L226" s="6" t="str"/>
      <x:c r="M226" s="6" t="str"/>
      <x:c r="N226" s="6" t="str">
        <x:v>Pending</x:v>
      </x:c>
      <x:c r="O226" s="7" t="str">
        <x:f>IF(OR(D226="Reviewer Complete",D226="Awaiting Second-Level Approval"),"","Service identity dependency unresolved")</x:f>
        <x:v>Service identity dependency unresolved</x:v>
      </x:c>
      <x:c r="P226" s="6" t="str">
        <x:v>Yes</x:v>
      </x:c>
      <x:c r="Q226" s="7" t="str"/>
    </x:row>
    <x:row r="227">
      <x:c r="A227" s="6" t="str">
        <x:v>PRTX-0226</x:v>
      </x:c>
      <x:c r="B227" s="6" t="str">
        <x:v>SVC000226</x:v>
      </x:c>
      <x:c r="C227" s="6" t="str">
        <x:v>SIDX-0226</x:v>
      </x:c>
      <x:c r="D227" s="6" t="str">
        <x:f>IFERROR(XLOOKUP(C227,'Review Sequence'!C2:C1586,'Review Sequence'!J2:J1586),"Dependency not found")</x:f>
        <x:v>Not Started</x:v>
      </x:c>
      <x:c r="E227" s="6" t="str"/>
      <x:c r="F227" s="6" t="str"/>
      <x:c r="G227" s="6" t="str"/>
      <x:c r="H227" s="6" t="str">
        <x:v>Unknown</x:v>
      </x:c>
      <x:c r="I227" s="6" t="str"/>
      <x:c r="J227" s="6" t="str">
        <x:v>Unresolved</x:v>
      </x:c>
      <x:c r="K227" s="7" t="str">
        <x:v>Nocturnix_Master_Services_Catalog_v1.xlsx | 01 - Master Services | row 266</x:v>
      </x:c>
      <x:c r="L227" s="6" t="str"/>
      <x:c r="M227" s="6" t="str"/>
      <x:c r="N227" s="6" t="str">
        <x:v>Pending</x:v>
      </x:c>
      <x:c r="O227" s="7" t="str">
        <x:f>IF(OR(D227="Reviewer Complete",D227="Awaiting Second-Level Approval"),"","Service identity dependency unresolved")</x:f>
        <x:v>Service identity dependency unresolved</x:v>
      </x:c>
      <x:c r="P227" s="6" t="str">
        <x:v>Yes</x:v>
      </x:c>
      <x:c r="Q227" s="7" t="str"/>
    </x:row>
    <x:row r="228">
      <x:c r="A228" s="6" t="str">
        <x:v>PRTX-0227</x:v>
      </x:c>
      <x:c r="B228" s="6" t="str">
        <x:v>SVC000227</x:v>
      </x:c>
      <x:c r="C228" s="6" t="str">
        <x:v>SIDX-0227</x:v>
      </x:c>
      <x:c r="D228" s="6" t="str">
        <x:f>IFERROR(XLOOKUP(C228,'Review Sequence'!C2:C1586,'Review Sequence'!J2:J1586),"Dependency not found")</x:f>
        <x:v>Not Started</x:v>
      </x:c>
      <x:c r="E228" s="6" t="str"/>
      <x:c r="F228" s="6" t="str"/>
      <x:c r="G228" s="6" t="str"/>
      <x:c r="H228" s="6" t="str">
        <x:v>Unknown</x:v>
      </x:c>
      <x:c r="I228" s="6" t="str"/>
      <x:c r="J228" s="6" t="str">
        <x:v>Unresolved</x:v>
      </x:c>
      <x:c r="K228" s="7" t="str">
        <x:v>Nocturnix_Master_Services_Catalog_v1.xlsx | 01 - Master Services | row 267</x:v>
      </x:c>
      <x:c r="L228" s="6" t="str"/>
      <x:c r="M228" s="6" t="str"/>
      <x:c r="N228" s="6" t="str">
        <x:v>Pending</x:v>
      </x:c>
      <x:c r="O228" s="7" t="str">
        <x:f>IF(OR(D228="Reviewer Complete",D228="Awaiting Second-Level Approval"),"","Service identity dependency unresolved")</x:f>
        <x:v>Service identity dependency unresolved</x:v>
      </x:c>
      <x:c r="P228" s="6" t="str">
        <x:v>Yes</x:v>
      </x:c>
      <x:c r="Q228" s="7" t="str"/>
    </x:row>
    <x:row r="229">
      <x:c r="A229" s="6" t="str">
        <x:v>PRTX-0228</x:v>
      </x:c>
      <x:c r="B229" s="6" t="str">
        <x:v>SVC000228</x:v>
      </x:c>
      <x:c r="C229" s="6" t="str">
        <x:v>SIDX-0228</x:v>
      </x:c>
      <x:c r="D229" s="6" t="str">
        <x:f>IFERROR(XLOOKUP(C229,'Review Sequence'!C2:C1586,'Review Sequence'!J2:J1586),"Dependency not found")</x:f>
        <x:v>Not Started</x:v>
      </x:c>
      <x:c r="E229" s="6" t="str"/>
      <x:c r="F229" s="6" t="str"/>
      <x:c r="G229" s="6" t="str"/>
      <x:c r="H229" s="6" t="str">
        <x:v>Unknown</x:v>
      </x:c>
      <x:c r="I229" s="6" t="str"/>
      <x:c r="J229" s="6" t="str">
        <x:v>Unresolved</x:v>
      </x:c>
      <x:c r="K229" s="7" t="str">
        <x:v>Nocturnix_Master_Services_Catalog_v1.xlsx | 01 - Master Services | row 268</x:v>
      </x:c>
      <x:c r="L229" s="6" t="str"/>
      <x:c r="M229" s="6" t="str"/>
      <x:c r="N229" s="6" t="str">
        <x:v>Pending</x:v>
      </x:c>
      <x:c r="O229" s="7" t="str">
        <x:f>IF(OR(D229="Reviewer Complete",D229="Awaiting Second-Level Approval"),"","Service identity dependency unresolved")</x:f>
        <x:v>Service identity dependency unresolved</x:v>
      </x:c>
      <x:c r="P229" s="6" t="str">
        <x:v>Yes</x:v>
      </x:c>
      <x:c r="Q229" s="7" t="str"/>
    </x:row>
    <x:row r="230">
      <x:c r="A230" s="6" t="str">
        <x:v>PRTX-0229</x:v>
      </x:c>
      <x:c r="B230" s="6" t="str">
        <x:v>SVC000229</x:v>
      </x:c>
      <x:c r="C230" s="6" t="str">
        <x:v>SIDX-0229</x:v>
      </x:c>
      <x:c r="D230" s="6" t="str">
        <x:f>IFERROR(XLOOKUP(C230,'Review Sequence'!C2:C1586,'Review Sequence'!J2:J1586),"Dependency not found")</x:f>
        <x:v>Not Started</x:v>
      </x:c>
      <x:c r="E230" s="6" t="str"/>
      <x:c r="F230" s="6" t="str"/>
      <x:c r="G230" s="6" t="str"/>
      <x:c r="H230" s="6" t="str">
        <x:v>Unknown</x:v>
      </x:c>
      <x:c r="I230" s="6" t="str"/>
      <x:c r="J230" s="6" t="str">
        <x:v>Unresolved</x:v>
      </x:c>
      <x:c r="K230" s="7" t="str">
        <x:v>Nocturnix_Master_Services_Catalog_v1.xlsx | 01 - Master Services | row 269</x:v>
      </x:c>
      <x:c r="L230" s="6" t="str"/>
      <x:c r="M230" s="6" t="str"/>
      <x:c r="N230" s="6" t="str">
        <x:v>Pending</x:v>
      </x:c>
      <x:c r="O230" s="7" t="str">
        <x:f>IF(OR(D230="Reviewer Complete",D230="Awaiting Second-Level Approval"),"","Service identity dependency unresolved")</x:f>
        <x:v>Service identity dependency unresolved</x:v>
      </x:c>
      <x:c r="P230" s="6" t="str">
        <x:v>Yes</x:v>
      </x:c>
      <x:c r="Q230" s="7" t="str"/>
    </x:row>
    <x:row r="231">
      <x:c r="A231" s="6" t="str">
        <x:v>PRTX-0230</x:v>
      </x:c>
      <x:c r="B231" s="6" t="str">
        <x:v>SVC000230</x:v>
      </x:c>
      <x:c r="C231" s="6" t="str">
        <x:v>SIDX-0230</x:v>
      </x:c>
      <x:c r="D231" s="6" t="str">
        <x:f>IFERROR(XLOOKUP(C231,'Review Sequence'!C2:C1586,'Review Sequence'!J2:J1586),"Dependency not found")</x:f>
        <x:v>Not Started</x:v>
      </x:c>
      <x:c r="E231" s="6" t="str"/>
      <x:c r="F231" s="6" t="str"/>
      <x:c r="G231" s="6" t="str"/>
      <x:c r="H231" s="6" t="str">
        <x:v>Unknown</x:v>
      </x:c>
      <x:c r="I231" s="6" t="str"/>
      <x:c r="J231" s="6" t="str">
        <x:v>Unresolved</x:v>
      </x:c>
      <x:c r="K231" s="7" t="str">
        <x:v>Nocturnix_Master_Services_Catalog_v1.xlsx | 01 - Master Services | row 270</x:v>
      </x:c>
      <x:c r="L231" s="6" t="str"/>
      <x:c r="M231" s="6" t="str"/>
      <x:c r="N231" s="6" t="str">
        <x:v>Pending</x:v>
      </x:c>
      <x:c r="O231" s="7" t="str">
        <x:f>IF(OR(D231="Reviewer Complete",D231="Awaiting Second-Level Approval"),"","Service identity dependency unresolved")</x:f>
        <x:v>Service identity dependency unresolved</x:v>
      </x:c>
      <x:c r="P231" s="6" t="str">
        <x:v>Yes</x:v>
      </x:c>
      <x:c r="Q231" s="7" t="str"/>
    </x:row>
    <x:row r="232">
      <x:c r="A232" s="6" t="str">
        <x:v>PRTX-0231</x:v>
      </x:c>
      <x:c r="B232" s="6" t="str">
        <x:v>SVC000231</x:v>
      </x:c>
      <x:c r="C232" s="6" t="str">
        <x:v>SIDX-0231</x:v>
      </x:c>
      <x:c r="D232" s="6" t="str">
        <x:f>IFERROR(XLOOKUP(C232,'Review Sequence'!C2:C1586,'Review Sequence'!J2:J1586),"Dependency not found")</x:f>
        <x:v>Not Started</x:v>
      </x:c>
      <x:c r="E232" s="6" t="str"/>
      <x:c r="F232" s="6" t="str"/>
      <x:c r="G232" s="6" t="str"/>
      <x:c r="H232" s="6" t="str">
        <x:v>Unknown</x:v>
      </x:c>
      <x:c r="I232" s="6" t="str"/>
      <x:c r="J232" s="6" t="str">
        <x:v>Unresolved</x:v>
      </x:c>
      <x:c r="K232" s="7" t="str">
        <x:v>Nocturnix_Master_Services_Catalog_v1.xlsx | 01 - Master Services | row 271</x:v>
      </x:c>
      <x:c r="L232" s="6" t="str"/>
      <x:c r="M232" s="6" t="str"/>
      <x:c r="N232" s="6" t="str">
        <x:v>Pending</x:v>
      </x:c>
      <x:c r="O232" s="7" t="str">
        <x:f>IF(OR(D232="Reviewer Complete",D232="Awaiting Second-Level Approval"),"","Service identity dependency unresolved")</x:f>
        <x:v>Service identity dependency unresolved</x:v>
      </x:c>
      <x:c r="P232" s="6" t="str">
        <x:v>Yes</x:v>
      </x:c>
      <x:c r="Q232" s="7" t="str"/>
    </x:row>
    <x:row r="233">
      <x:c r="A233" s="6" t="str">
        <x:v>PRTX-0232</x:v>
      </x:c>
      <x:c r="B233" s="6" t="str">
        <x:v>SVC000232</x:v>
      </x:c>
      <x:c r="C233" s="6" t="str">
        <x:v>SIDX-0232</x:v>
      </x:c>
      <x:c r="D233" s="6" t="str">
        <x:f>IFERROR(XLOOKUP(C233,'Review Sequence'!C2:C1586,'Review Sequence'!J2:J1586),"Dependency not found")</x:f>
        <x:v>Not Started</x:v>
      </x:c>
      <x:c r="E233" s="6" t="str"/>
      <x:c r="F233" s="6" t="str"/>
      <x:c r="G233" s="6" t="str"/>
      <x:c r="H233" s="6" t="str">
        <x:v>Unknown</x:v>
      </x:c>
      <x:c r="I233" s="6" t="str"/>
      <x:c r="J233" s="6" t="str">
        <x:v>Unresolved</x:v>
      </x:c>
      <x:c r="K233" s="7" t="str">
        <x:v>Nocturnix_Master_Services_Catalog_v1.xlsx | 01 - Master Services | row 272</x:v>
      </x:c>
      <x:c r="L233" s="6" t="str"/>
      <x:c r="M233" s="6" t="str"/>
      <x:c r="N233" s="6" t="str">
        <x:v>Pending</x:v>
      </x:c>
      <x:c r="O233" s="7" t="str">
        <x:f>IF(OR(D233="Reviewer Complete",D233="Awaiting Second-Level Approval"),"","Service identity dependency unresolved")</x:f>
        <x:v>Service identity dependency unresolved</x:v>
      </x:c>
      <x:c r="P233" s="6" t="str">
        <x:v>Yes</x:v>
      </x:c>
      <x:c r="Q233" s="7" t="str"/>
    </x:row>
    <x:row r="234">
      <x:c r="A234" s="6" t="str">
        <x:v>PRTX-0233</x:v>
      </x:c>
      <x:c r="B234" s="6" t="str">
        <x:v>SVC000233</x:v>
      </x:c>
      <x:c r="C234" s="6" t="str">
        <x:v>SIDX-0233</x:v>
      </x:c>
      <x:c r="D234" s="6" t="str">
        <x:f>IFERROR(XLOOKUP(C234,'Review Sequence'!C2:C1586,'Review Sequence'!J2:J1586),"Dependency not found")</x:f>
        <x:v>Not Started</x:v>
      </x:c>
      <x:c r="E234" s="6" t="str"/>
      <x:c r="F234" s="6" t="str"/>
      <x:c r="G234" s="6" t="str"/>
      <x:c r="H234" s="6" t="str">
        <x:v>Unknown</x:v>
      </x:c>
      <x:c r="I234" s="6" t="str"/>
      <x:c r="J234" s="6" t="str">
        <x:v>Unresolved</x:v>
      </x:c>
      <x:c r="K234" s="7" t="str">
        <x:v>Nocturnix_Master_Services_Catalog_v1.xlsx | 01 - Master Services | row 273</x:v>
      </x:c>
      <x:c r="L234" s="6" t="str"/>
      <x:c r="M234" s="6" t="str"/>
      <x:c r="N234" s="6" t="str">
        <x:v>Pending</x:v>
      </x:c>
      <x:c r="O234" s="7" t="str">
        <x:f>IF(OR(D234="Reviewer Complete",D234="Awaiting Second-Level Approval"),"","Service identity dependency unresolved")</x:f>
        <x:v>Service identity dependency unresolved</x:v>
      </x:c>
      <x:c r="P234" s="6" t="str">
        <x:v>Yes</x:v>
      </x:c>
      <x:c r="Q234" s="7" t="str"/>
    </x:row>
    <x:row r="235">
      <x:c r="A235" s="6" t="str">
        <x:v>PRTX-0234</x:v>
      </x:c>
      <x:c r="B235" s="6" t="str">
        <x:v>SVC000234</x:v>
      </x:c>
      <x:c r="C235" s="6" t="str">
        <x:v>SIDX-0234</x:v>
      </x:c>
      <x:c r="D235" s="6" t="str">
        <x:f>IFERROR(XLOOKUP(C235,'Review Sequence'!C2:C1586,'Review Sequence'!J2:J1586),"Dependency not found")</x:f>
        <x:v>Not Started</x:v>
      </x:c>
      <x:c r="E235" s="6" t="str"/>
      <x:c r="F235" s="6" t="str"/>
      <x:c r="G235" s="6" t="str"/>
      <x:c r="H235" s="6" t="str">
        <x:v>Unknown</x:v>
      </x:c>
      <x:c r="I235" s="6" t="str"/>
      <x:c r="J235" s="6" t="str">
        <x:v>Unresolved</x:v>
      </x:c>
      <x:c r="K235" s="7" t="str">
        <x:v>Nocturnix_Master_Services_Catalog_v1.xlsx | 01 - Master Services | row 274</x:v>
      </x:c>
      <x:c r="L235" s="6" t="str"/>
      <x:c r="M235" s="6" t="str"/>
      <x:c r="N235" s="6" t="str">
        <x:v>Pending</x:v>
      </x:c>
      <x:c r="O235" s="7" t="str">
        <x:f>IF(OR(D235="Reviewer Complete",D235="Awaiting Second-Level Approval"),"","Service identity dependency unresolved")</x:f>
        <x:v>Service identity dependency unresolved</x:v>
      </x:c>
      <x:c r="P235" s="6" t="str">
        <x:v>Yes</x:v>
      </x:c>
      <x:c r="Q235" s="7" t="str"/>
    </x:row>
    <x:row r="236">
      <x:c r="A236" s="6" t="str">
        <x:v>PRTX-0235</x:v>
      </x:c>
      <x:c r="B236" s="6" t="str">
        <x:v>SVC000235</x:v>
      </x:c>
      <x:c r="C236" s="6" t="str">
        <x:v>SIDX-0235</x:v>
      </x:c>
      <x:c r="D236" s="6" t="str">
        <x:f>IFERROR(XLOOKUP(C236,'Review Sequence'!C2:C1586,'Review Sequence'!J2:J1586),"Dependency not found")</x:f>
        <x:v>Not Started</x:v>
      </x:c>
      <x:c r="E236" s="6" t="str"/>
      <x:c r="F236" s="6" t="str"/>
      <x:c r="G236" s="6" t="str"/>
      <x:c r="H236" s="6" t="str">
        <x:v>Unknown</x:v>
      </x:c>
      <x:c r="I236" s="6" t="str"/>
      <x:c r="J236" s="6" t="str">
        <x:v>Unresolved</x:v>
      </x:c>
      <x:c r="K236" s="7" t="str">
        <x:v>Nocturnix_Master_Services_Catalog_v1.xlsx | 01 - Master Services | row 275</x:v>
      </x:c>
      <x:c r="L236" s="6" t="str"/>
      <x:c r="M236" s="6" t="str"/>
      <x:c r="N236" s="6" t="str">
        <x:v>Pending</x:v>
      </x:c>
      <x:c r="O236" s="7" t="str">
        <x:f>IF(OR(D236="Reviewer Complete",D236="Awaiting Second-Level Approval"),"","Service identity dependency unresolved")</x:f>
        <x:v>Service identity dependency unresolved</x:v>
      </x:c>
      <x:c r="P236" s="6" t="str">
        <x:v>Yes</x:v>
      </x:c>
      <x:c r="Q236" s="7" t="str"/>
    </x:row>
    <x:row r="237">
      <x:c r="A237" s="6" t="str">
        <x:v>PRTX-0236</x:v>
      </x:c>
      <x:c r="B237" s="6" t="str">
        <x:v>SVC000236</x:v>
      </x:c>
      <x:c r="C237" s="6" t="str">
        <x:v>SIDX-0236</x:v>
      </x:c>
      <x:c r="D237" s="6" t="str">
        <x:f>IFERROR(XLOOKUP(C237,'Review Sequence'!C2:C1586,'Review Sequence'!J2:J1586),"Dependency not found")</x:f>
        <x:v>Not Started</x:v>
      </x:c>
      <x:c r="E237" s="6" t="str"/>
      <x:c r="F237" s="6" t="str"/>
      <x:c r="G237" s="6" t="str"/>
      <x:c r="H237" s="6" t="str">
        <x:v>Unknown</x:v>
      </x:c>
      <x:c r="I237" s="6" t="str"/>
      <x:c r="J237" s="6" t="str">
        <x:v>Unresolved</x:v>
      </x:c>
      <x:c r="K237" s="7" t="str">
        <x:v>Nocturnix_Master_Services_Catalog_v1.xlsx | 01 - Master Services | row 276</x:v>
      </x:c>
      <x:c r="L237" s="6" t="str"/>
      <x:c r="M237" s="6" t="str"/>
      <x:c r="N237" s="6" t="str">
        <x:v>Pending</x:v>
      </x:c>
      <x:c r="O237" s="7" t="str">
        <x:f>IF(OR(D237="Reviewer Complete",D237="Awaiting Second-Level Approval"),"","Service identity dependency unresolved")</x:f>
        <x:v>Service identity dependency unresolved</x:v>
      </x:c>
      <x:c r="P237" s="6" t="str">
        <x:v>Yes</x:v>
      </x:c>
      <x:c r="Q237" s="7" t="str"/>
    </x:row>
    <x:row r="238">
      <x:c r="A238" s="6" t="str">
        <x:v>PRTX-0237</x:v>
      </x:c>
      <x:c r="B238" s="6" t="str">
        <x:v>SVC000237</x:v>
      </x:c>
      <x:c r="C238" s="6" t="str">
        <x:v>SIDX-0237</x:v>
      </x:c>
      <x:c r="D238" s="6" t="str">
        <x:f>IFERROR(XLOOKUP(C238,'Review Sequence'!C2:C1586,'Review Sequence'!J2:J1586),"Dependency not found")</x:f>
        <x:v>Not Started</x:v>
      </x:c>
      <x:c r="E238" s="6" t="str"/>
      <x:c r="F238" s="6" t="str"/>
      <x:c r="G238" s="6" t="str"/>
      <x:c r="H238" s="6" t="str">
        <x:v>Unknown</x:v>
      </x:c>
      <x:c r="I238" s="6" t="str"/>
      <x:c r="J238" s="6" t="str">
        <x:v>Unresolved</x:v>
      </x:c>
      <x:c r="K238" s="7" t="str">
        <x:v>Nocturnix_Master_Services_Catalog_v1.xlsx | 01 - Master Services | row 277</x:v>
      </x:c>
      <x:c r="L238" s="6" t="str"/>
      <x:c r="M238" s="6" t="str"/>
      <x:c r="N238" s="6" t="str">
        <x:v>Pending</x:v>
      </x:c>
      <x:c r="O238" s="7" t="str">
        <x:f>IF(OR(D238="Reviewer Complete",D238="Awaiting Second-Level Approval"),"","Service identity dependency unresolved")</x:f>
        <x:v>Service identity dependency unresolved</x:v>
      </x:c>
      <x:c r="P238" s="6" t="str">
        <x:v>Yes</x:v>
      </x:c>
      <x:c r="Q238" s="7" t="str"/>
    </x:row>
    <x:row r="239">
      <x:c r="A239" s="6" t="str">
        <x:v>PRTX-0238</x:v>
      </x:c>
      <x:c r="B239" s="6" t="str">
        <x:v>SVC000238</x:v>
      </x:c>
      <x:c r="C239" s="6" t="str">
        <x:v>SIDX-0238</x:v>
      </x:c>
      <x:c r="D239" s="6" t="str">
        <x:f>IFERROR(XLOOKUP(C239,'Review Sequence'!C2:C1586,'Review Sequence'!J2:J1586),"Dependency not found")</x:f>
        <x:v>Not Started</x:v>
      </x:c>
      <x:c r="E239" s="6" t="str"/>
      <x:c r="F239" s="6" t="str"/>
      <x:c r="G239" s="6" t="str"/>
      <x:c r="H239" s="6" t="str">
        <x:v>Unknown</x:v>
      </x:c>
      <x:c r="I239" s="6" t="str"/>
      <x:c r="J239" s="6" t="str">
        <x:v>Unresolved</x:v>
      </x:c>
      <x:c r="K239" s="7" t="str">
        <x:v>Nocturnix_Master_Services_Catalog_v1.xlsx | 01 - Master Services | row 278</x:v>
      </x:c>
      <x:c r="L239" s="6" t="str"/>
      <x:c r="M239" s="6" t="str"/>
      <x:c r="N239" s="6" t="str">
        <x:v>Pending</x:v>
      </x:c>
      <x:c r="O239" s="7" t="str">
        <x:f>IF(OR(D239="Reviewer Complete",D239="Awaiting Second-Level Approval"),"","Service identity dependency unresolved")</x:f>
        <x:v>Service identity dependency unresolved</x:v>
      </x:c>
      <x:c r="P239" s="6" t="str">
        <x:v>Yes</x:v>
      </x:c>
      <x:c r="Q239" s="7" t="str"/>
    </x:row>
    <x:row r="240">
      <x:c r="A240" s="6" t="str">
        <x:v>PRTX-0239</x:v>
      </x:c>
      <x:c r="B240" s="6" t="str">
        <x:v>SVC000239</x:v>
      </x:c>
      <x:c r="C240" s="6" t="str">
        <x:v>SIDX-0239</x:v>
      </x:c>
      <x:c r="D240" s="6" t="str">
        <x:f>IFERROR(XLOOKUP(C240,'Review Sequence'!C2:C1586,'Review Sequence'!J2:J1586),"Dependency not found")</x:f>
        <x:v>Not Started</x:v>
      </x:c>
      <x:c r="E240" s="6" t="str"/>
      <x:c r="F240" s="6" t="str"/>
      <x:c r="G240" s="6" t="str"/>
      <x:c r="H240" s="6" t="str">
        <x:v>Unknown</x:v>
      </x:c>
      <x:c r="I240" s="6" t="str"/>
      <x:c r="J240" s="6" t="str">
        <x:v>Unresolved</x:v>
      </x:c>
      <x:c r="K240" s="7" t="str">
        <x:v>Nocturnix_Master_Services_Catalog_v1.xlsx | 01 - Master Services | row 279</x:v>
      </x:c>
      <x:c r="L240" s="6" t="str"/>
      <x:c r="M240" s="6" t="str"/>
      <x:c r="N240" s="6" t="str">
        <x:v>Pending</x:v>
      </x:c>
      <x:c r="O240" s="7" t="str">
        <x:f>IF(OR(D240="Reviewer Complete",D240="Awaiting Second-Level Approval"),"","Service identity dependency unresolved")</x:f>
        <x:v>Service identity dependency unresolved</x:v>
      </x:c>
      <x:c r="P240" s="6" t="str">
        <x:v>Yes</x:v>
      </x:c>
      <x:c r="Q240" s="7" t="str"/>
    </x:row>
    <x:row r="241">
      <x:c r="A241" s="6" t="str">
        <x:v>PRTX-0240</x:v>
      </x:c>
      <x:c r="B241" s="6" t="str">
        <x:v>SVC000240</x:v>
      </x:c>
      <x:c r="C241" s="6" t="str">
        <x:v>SIDX-0240</x:v>
      </x:c>
      <x:c r="D241" s="6" t="str">
        <x:f>IFERROR(XLOOKUP(C241,'Review Sequence'!C2:C1586,'Review Sequence'!J2:J1586),"Dependency not found")</x:f>
        <x:v>Not Started</x:v>
      </x:c>
      <x:c r="E241" s="6" t="str"/>
      <x:c r="F241" s="6" t="str"/>
      <x:c r="G241" s="6" t="str"/>
      <x:c r="H241" s="6" t="str">
        <x:v>Unknown</x:v>
      </x:c>
      <x:c r="I241" s="6" t="str"/>
      <x:c r="J241" s="6" t="str">
        <x:v>Unresolved</x:v>
      </x:c>
      <x:c r="K241" s="7" t="str">
        <x:v>Nocturnix_Master_Services_Catalog_v1.xlsx | 01 - Master Services | row 280</x:v>
      </x:c>
      <x:c r="L241" s="6" t="str"/>
      <x:c r="M241" s="6" t="str"/>
      <x:c r="N241" s="6" t="str">
        <x:v>Pending</x:v>
      </x:c>
      <x:c r="O241" s="7" t="str">
        <x:f>IF(OR(D241="Reviewer Complete",D241="Awaiting Second-Level Approval"),"","Service identity dependency unresolved")</x:f>
        <x:v>Service identity dependency unresolved</x:v>
      </x:c>
      <x:c r="P241" s="6" t="str">
        <x:v>Yes</x:v>
      </x:c>
      <x:c r="Q241" s="7" t="str"/>
    </x:row>
    <x:row r="242">
      <x:c r="A242" s="6" t="str">
        <x:v>PRTX-0241</x:v>
      </x:c>
      <x:c r="B242" s="6" t="str">
        <x:v>SVC000241</x:v>
      </x:c>
      <x:c r="C242" s="6" t="str">
        <x:v>SIDX-0241</x:v>
      </x:c>
      <x:c r="D242" s="6" t="str">
        <x:f>IFERROR(XLOOKUP(C242,'Review Sequence'!C2:C1586,'Review Sequence'!J2:J1586),"Dependency not found")</x:f>
        <x:v>Not Started</x:v>
      </x:c>
      <x:c r="E242" s="6" t="str"/>
      <x:c r="F242" s="6" t="str"/>
      <x:c r="G242" s="6" t="str"/>
      <x:c r="H242" s="6" t="str">
        <x:v>Unknown</x:v>
      </x:c>
      <x:c r="I242" s="6" t="str"/>
      <x:c r="J242" s="6" t="str">
        <x:v>Unresolved</x:v>
      </x:c>
      <x:c r="K242" s="7" t="str">
        <x:v>Nocturnix_Master_Services_Catalog_v1.xlsx | 01 - Master Services | row 281</x:v>
      </x:c>
      <x:c r="L242" s="6" t="str"/>
      <x:c r="M242" s="6" t="str"/>
      <x:c r="N242" s="6" t="str">
        <x:v>Pending</x:v>
      </x:c>
      <x:c r="O242" s="7" t="str">
        <x:f>IF(OR(D242="Reviewer Complete",D242="Awaiting Second-Level Approval"),"","Service identity dependency unresolved")</x:f>
        <x:v>Service identity dependency unresolved</x:v>
      </x:c>
      <x:c r="P242" s="6" t="str">
        <x:v>Yes</x:v>
      </x:c>
      <x:c r="Q242" s="7" t="str"/>
    </x:row>
    <x:row r="243">
      <x:c r="A243" s="6" t="str">
        <x:v>PRTX-0242</x:v>
      </x:c>
      <x:c r="B243" s="6" t="str">
        <x:v>SVC000242</x:v>
      </x:c>
      <x:c r="C243" s="6" t="str">
        <x:v>SIDX-0242</x:v>
      </x:c>
      <x:c r="D243" s="6" t="str">
        <x:f>IFERROR(XLOOKUP(C243,'Review Sequence'!C2:C1586,'Review Sequence'!J2:J1586),"Dependency not found")</x:f>
        <x:v>Not Started</x:v>
      </x:c>
      <x:c r="E243" s="6" t="str"/>
      <x:c r="F243" s="6" t="str"/>
      <x:c r="G243" s="6" t="str"/>
      <x:c r="H243" s="6" t="str">
        <x:v>Unknown</x:v>
      </x:c>
      <x:c r="I243" s="6" t="str"/>
      <x:c r="J243" s="6" t="str">
        <x:v>Unresolved</x:v>
      </x:c>
      <x:c r="K243" s="7" t="str">
        <x:v>Nocturnix_Master_Services_Catalog_v1.xlsx | 01 - Master Services | row 282</x:v>
      </x:c>
      <x:c r="L243" s="6" t="str"/>
      <x:c r="M243" s="6" t="str"/>
      <x:c r="N243" s="6" t="str">
        <x:v>Pending</x:v>
      </x:c>
      <x:c r="O243" s="7" t="str">
        <x:f>IF(OR(D243="Reviewer Complete",D243="Awaiting Second-Level Approval"),"","Service identity dependency unresolved")</x:f>
        <x:v>Service identity dependency unresolved</x:v>
      </x:c>
      <x:c r="P243" s="6" t="str">
        <x:v>Yes</x:v>
      </x:c>
      <x:c r="Q243" s="7" t="str"/>
    </x:row>
    <x:row r="244">
      <x:c r="A244" s="6" t="str">
        <x:v>PRTX-0243</x:v>
      </x:c>
      <x:c r="B244" s="6" t="str">
        <x:v>SVC000243</x:v>
      </x:c>
      <x:c r="C244" s="6" t="str">
        <x:v>SIDX-0243</x:v>
      </x:c>
      <x:c r="D244" s="6" t="str">
        <x:f>IFERROR(XLOOKUP(C244,'Review Sequence'!C2:C1586,'Review Sequence'!J2:J1586),"Dependency not found")</x:f>
        <x:v>Not Started</x:v>
      </x:c>
      <x:c r="E244" s="6" t="str"/>
      <x:c r="F244" s="6" t="str"/>
      <x:c r="G244" s="6" t="str"/>
      <x:c r="H244" s="6" t="str">
        <x:v>Unknown</x:v>
      </x:c>
      <x:c r="I244" s="6" t="str"/>
      <x:c r="J244" s="6" t="str">
        <x:v>Unresolved</x:v>
      </x:c>
      <x:c r="K244" s="7" t="str">
        <x:v>Nocturnix_Master_Services_Catalog_v1.xlsx | 01 - Master Services | row 283</x:v>
      </x:c>
      <x:c r="L244" s="6" t="str"/>
      <x:c r="M244" s="6" t="str"/>
      <x:c r="N244" s="6" t="str">
        <x:v>Pending</x:v>
      </x:c>
      <x:c r="O244" s="7" t="str">
        <x:f>IF(OR(D244="Reviewer Complete",D244="Awaiting Second-Level Approval"),"","Service identity dependency unresolved")</x:f>
        <x:v>Service identity dependency unresolved</x:v>
      </x:c>
      <x:c r="P244" s="6" t="str">
        <x:v>Yes</x:v>
      </x:c>
      <x:c r="Q244" s="7" t="str"/>
    </x:row>
    <x:row r="245">
      <x:c r="A245" s="6" t="str">
        <x:v>PRTX-0244</x:v>
      </x:c>
      <x:c r="B245" s="6" t="str">
        <x:v>SVC000244</x:v>
      </x:c>
      <x:c r="C245" s="6" t="str">
        <x:v>SIDX-0244</x:v>
      </x:c>
      <x:c r="D245" s="6" t="str">
        <x:f>IFERROR(XLOOKUP(C245,'Review Sequence'!C2:C1586,'Review Sequence'!J2:J1586),"Dependency not found")</x:f>
        <x:v>Not Started</x:v>
      </x:c>
      <x:c r="E245" s="6" t="str"/>
      <x:c r="F245" s="6" t="str"/>
      <x:c r="G245" s="6" t="str"/>
      <x:c r="H245" s="6" t="str">
        <x:v>Unknown</x:v>
      </x:c>
      <x:c r="I245" s="6" t="str"/>
      <x:c r="J245" s="6" t="str">
        <x:v>Unresolved</x:v>
      </x:c>
      <x:c r="K245" s="7" t="str">
        <x:v>Nocturnix_Master_Services_Catalog_v1.xlsx | 01 - Master Services | row 284</x:v>
      </x:c>
      <x:c r="L245" s="6" t="str"/>
      <x:c r="M245" s="6" t="str"/>
      <x:c r="N245" s="6" t="str">
        <x:v>Pending</x:v>
      </x:c>
      <x:c r="O245" s="7" t="str">
        <x:f>IF(OR(D245="Reviewer Complete",D245="Awaiting Second-Level Approval"),"","Service identity dependency unresolved")</x:f>
        <x:v>Service identity dependency unresolved</x:v>
      </x:c>
      <x:c r="P245" s="6" t="str">
        <x:v>Yes</x:v>
      </x:c>
      <x:c r="Q245" s="7" t="str"/>
    </x:row>
    <x:row r="246">
      <x:c r="A246" s="6" t="str">
        <x:v>PRTX-0245</x:v>
      </x:c>
      <x:c r="B246" s="6" t="str">
        <x:v>SVC000245</x:v>
      </x:c>
      <x:c r="C246" s="6" t="str">
        <x:v>SIDX-0245</x:v>
      </x:c>
      <x:c r="D246" s="6" t="str">
        <x:f>IFERROR(XLOOKUP(C246,'Review Sequence'!C2:C1586,'Review Sequence'!J2:J1586),"Dependency not found")</x:f>
        <x:v>Not Started</x:v>
      </x:c>
      <x:c r="E246" s="6" t="str"/>
      <x:c r="F246" s="6" t="str"/>
      <x:c r="G246" s="6" t="str"/>
      <x:c r="H246" s="6" t="str">
        <x:v>Unknown</x:v>
      </x:c>
      <x:c r="I246" s="6" t="str"/>
      <x:c r="J246" s="6" t="str">
        <x:v>Unresolved</x:v>
      </x:c>
      <x:c r="K246" s="7" t="str">
        <x:v>Nocturnix_Master_Services_Catalog_v1.xlsx | 01 - Master Services | row 285</x:v>
      </x:c>
      <x:c r="L246" s="6" t="str"/>
      <x:c r="M246" s="6" t="str"/>
      <x:c r="N246" s="6" t="str">
        <x:v>Pending</x:v>
      </x:c>
      <x:c r="O246" s="7" t="str">
        <x:f>IF(OR(D246="Reviewer Complete",D246="Awaiting Second-Level Approval"),"","Service identity dependency unresolved")</x:f>
        <x:v>Service identity dependency unresolved</x:v>
      </x:c>
      <x:c r="P246" s="6" t="str">
        <x:v>Yes</x:v>
      </x:c>
      <x:c r="Q246" s="7" t="str"/>
    </x:row>
    <x:row r="247">
      <x:c r="A247" s="6" t="str">
        <x:v>PRTX-0246</x:v>
      </x:c>
      <x:c r="B247" s="6" t="str">
        <x:v>SVC000246</x:v>
      </x:c>
      <x:c r="C247" s="6" t="str">
        <x:v>SIDX-0246</x:v>
      </x:c>
      <x:c r="D247" s="6" t="str">
        <x:f>IFERROR(XLOOKUP(C247,'Review Sequence'!C2:C1586,'Review Sequence'!J2:J1586),"Dependency not found")</x:f>
        <x:v>Not Started</x:v>
      </x:c>
      <x:c r="E247" s="6" t="str"/>
      <x:c r="F247" s="6" t="str"/>
      <x:c r="G247" s="6" t="str"/>
      <x:c r="H247" s="6" t="str">
        <x:v>Unknown</x:v>
      </x:c>
      <x:c r="I247" s="6" t="str"/>
      <x:c r="J247" s="6" t="str">
        <x:v>Unresolved</x:v>
      </x:c>
      <x:c r="K247" s="7" t="str">
        <x:v>Nocturnix_Master_Services_Catalog_v1.xlsx | 01 - Master Services | row 286</x:v>
      </x:c>
      <x:c r="L247" s="6" t="str"/>
      <x:c r="M247" s="6" t="str"/>
      <x:c r="N247" s="6" t="str">
        <x:v>Pending</x:v>
      </x:c>
      <x:c r="O247" s="7" t="str">
        <x:f>IF(OR(D247="Reviewer Complete",D247="Awaiting Second-Level Approval"),"","Service identity dependency unresolved")</x:f>
        <x:v>Service identity dependency unresolved</x:v>
      </x:c>
      <x:c r="P247" s="6" t="str">
        <x:v>Yes</x:v>
      </x:c>
      <x:c r="Q247" s="7" t="str"/>
    </x:row>
    <x:row r="248">
      <x:c r="A248" s="6" t="str">
        <x:v>PRTX-0247</x:v>
      </x:c>
      <x:c r="B248" s="6" t="str">
        <x:v>SVC000247</x:v>
      </x:c>
      <x:c r="C248" s="6" t="str">
        <x:v>SIDX-0247</x:v>
      </x:c>
      <x:c r="D248" s="6" t="str">
        <x:f>IFERROR(XLOOKUP(C248,'Review Sequence'!C2:C1586,'Review Sequence'!J2:J1586),"Dependency not found")</x:f>
        <x:v>Not Started</x:v>
      </x:c>
      <x:c r="E248" s="6" t="str"/>
      <x:c r="F248" s="6" t="str"/>
      <x:c r="G248" s="6" t="str"/>
      <x:c r="H248" s="6" t="str">
        <x:v>Unknown</x:v>
      </x:c>
      <x:c r="I248" s="6" t="str"/>
      <x:c r="J248" s="6" t="str">
        <x:v>Unresolved</x:v>
      </x:c>
      <x:c r="K248" s="7" t="str">
        <x:v>Nocturnix_Master_Services_Catalog_v1.xlsx | 01 - Master Services | row 287</x:v>
      </x:c>
      <x:c r="L248" s="6" t="str"/>
      <x:c r="M248" s="6" t="str"/>
      <x:c r="N248" s="6" t="str">
        <x:v>Pending</x:v>
      </x:c>
      <x:c r="O248" s="7" t="str">
        <x:f>IF(OR(D248="Reviewer Complete",D248="Awaiting Second-Level Approval"),"","Service identity dependency unresolved")</x:f>
        <x:v>Service identity dependency unresolved</x:v>
      </x:c>
      <x:c r="P248" s="6" t="str">
        <x:v>Yes</x:v>
      </x:c>
      <x:c r="Q248" s="7" t="str"/>
    </x:row>
    <x:row r="249">
      <x:c r="A249" s="6" t="str">
        <x:v>PRTX-0248</x:v>
      </x:c>
      <x:c r="B249" s="6" t="str">
        <x:v>SVC000248</x:v>
      </x:c>
      <x:c r="C249" s="6" t="str">
        <x:v>SIDX-0248</x:v>
      </x:c>
      <x:c r="D249" s="6" t="str">
        <x:f>IFERROR(XLOOKUP(C249,'Review Sequence'!C2:C1586,'Review Sequence'!J2:J1586),"Dependency not found")</x:f>
        <x:v>Not Started</x:v>
      </x:c>
      <x:c r="E249" s="6" t="str"/>
      <x:c r="F249" s="6" t="str"/>
      <x:c r="G249" s="6" t="str"/>
      <x:c r="H249" s="6" t="str">
        <x:v>Unknown</x:v>
      </x:c>
      <x:c r="I249" s="6" t="str"/>
      <x:c r="J249" s="6" t="str">
        <x:v>Unresolved</x:v>
      </x:c>
      <x:c r="K249" s="7" t="str">
        <x:v>Nocturnix_Master_Services_Catalog_v1.xlsx | 01 - Master Services | row 288</x:v>
      </x:c>
      <x:c r="L249" s="6" t="str"/>
      <x:c r="M249" s="6" t="str"/>
      <x:c r="N249" s="6" t="str">
        <x:v>Pending</x:v>
      </x:c>
      <x:c r="O249" s="7" t="str">
        <x:f>IF(OR(D249="Reviewer Complete",D249="Awaiting Second-Level Approval"),"","Service identity dependency unresolved")</x:f>
        <x:v>Service identity dependency unresolved</x:v>
      </x:c>
      <x:c r="P249" s="6" t="str">
        <x:v>Yes</x:v>
      </x:c>
      <x:c r="Q249" s="7" t="str"/>
    </x:row>
    <x:row r="250">
      <x:c r="A250" s="6" t="str">
        <x:v>PRTX-0249</x:v>
      </x:c>
      <x:c r="B250" s="6" t="str">
        <x:v>SVC000249</x:v>
      </x:c>
      <x:c r="C250" s="6" t="str">
        <x:v>SIDX-0249</x:v>
      </x:c>
      <x:c r="D250" s="6" t="str">
        <x:f>IFERROR(XLOOKUP(C250,'Review Sequence'!C2:C1586,'Review Sequence'!J2:J1586),"Dependency not found")</x:f>
        <x:v>Not Started</x:v>
      </x:c>
      <x:c r="E250" s="6" t="str"/>
      <x:c r="F250" s="6" t="str"/>
      <x:c r="G250" s="6" t="str"/>
      <x:c r="H250" s="6" t="str">
        <x:v>Unknown</x:v>
      </x:c>
      <x:c r="I250" s="6" t="str"/>
      <x:c r="J250" s="6" t="str">
        <x:v>Unresolved</x:v>
      </x:c>
      <x:c r="K250" s="7" t="str">
        <x:v>Nocturnix_Master_Services_Catalog_v1.xlsx | 01 - Master Services | row 289</x:v>
      </x:c>
      <x:c r="L250" s="6" t="str"/>
      <x:c r="M250" s="6" t="str"/>
      <x:c r="N250" s="6" t="str">
        <x:v>Pending</x:v>
      </x:c>
      <x:c r="O250" s="7" t="str">
        <x:f>IF(OR(D250="Reviewer Complete",D250="Awaiting Second-Level Approval"),"","Service identity dependency unresolved")</x:f>
        <x:v>Service identity dependency unresolved</x:v>
      </x:c>
      <x:c r="P250" s="6" t="str">
        <x:v>Yes</x:v>
      </x:c>
      <x:c r="Q250" s="7" t="str"/>
    </x:row>
    <x:row r="251">
      <x:c r="A251" s="6" t="str">
        <x:v>PRTX-0250</x:v>
      </x:c>
      <x:c r="B251" s="6" t="str">
        <x:v>SVC000250</x:v>
      </x:c>
      <x:c r="C251" s="6" t="str">
        <x:v>SIDX-0250</x:v>
      </x:c>
      <x:c r="D251" s="6" t="str">
        <x:f>IFERROR(XLOOKUP(C251,'Review Sequence'!C2:C1586,'Review Sequence'!J2:J1586),"Dependency not found")</x:f>
        <x:v>Not Started</x:v>
      </x:c>
      <x:c r="E251" s="6" t="str"/>
      <x:c r="F251" s="6" t="str"/>
      <x:c r="G251" s="6" t="str"/>
      <x:c r="H251" s="6" t="str">
        <x:v>Unknown</x:v>
      </x:c>
      <x:c r="I251" s="6" t="str"/>
      <x:c r="J251" s="6" t="str">
        <x:v>Unresolved</x:v>
      </x:c>
      <x:c r="K251" s="7" t="str">
        <x:v>Nocturnix_Master_Services_Catalog_v1.xlsx | 01 - Master Services | row 290</x:v>
      </x:c>
      <x:c r="L251" s="6" t="str"/>
      <x:c r="M251" s="6" t="str"/>
      <x:c r="N251" s="6" t="str">
        <x:v>Pending</x:v>
      </x:c>
      <x:c r="O251" s="7" t="str">
        <x:f>IF(OR(D251="Reviewer Complete",D251="Awaiting Second-Level Approval"),"","Service identity dependency unresolved")</x:f>
        <x:v>Service identity dependency unresolved</x:v>
      </x:c>
      <x:c r="P251" s="6" t="str">
        <x:v>Yes</x:v>
      </x:c>
      <x:c r="Q251" s="7" t="str"/>
    </x:row>
    <x:row r="252">
      <x:c r="A252" s="6" t="str">
        <x:v>PRTX-0251</x:v>
      </x:c>
      <x:c r="B252" s="6" t="str">
        <x:v>SVC000251</x:v>
      </x:c>
      <x:c r="C252" s="6" t="str">
        <x:v>SIDX-0251</x:v>
      </x:c>
      <x:c r="D252" s="6" t="str">
        <x:f>IFERROR(XLOOKUP(C252,'Review Sequence'!C2:C1586,'Review Sequence'!J2:J1586),"Dependency not found")</x:f>
        <x:v>Not Started</x:v>
      </x:c>
      <x:c r="E252" s="6" t="str"/>
      <x:c r="F252" s="6" t="str"/>
      <x:c r="G252" s="6" t="str"/>
      <x:c r="H252" s="6" t="str">
        <x:v>Unknown</x:v>
      </x:c>
      <x:c r="I252" s="6" t="str"/>
      <x:c r="J252" s="6" t="str">
        <x:v>Unresolved</x:v>
      </x:c>
      <x:c r="K252" s="7" t="str">
        <x:v>Nocturnix_Master_Services_Catalog_v1.xlsx | 01 - Master Services | row 291</x:v>
      </x:c>
      <x:c r="L252" s="6" t="str"/>
      <x:c r="M252" s="6" t="str"/>
      <x:c r="N252" s="6" t="str">
        <x:v>Pending</x:v>
      </x:c>
      <x:c r="O252" s="7" t="str">
        <x:f>IF(OR(D252="Reviewer Complete",D252="Awaiting Second-Level Approval"),"","Service identity dependency unresolved")</x:f>
        <x:v>Service identity dependency unresolved</x:v>
      </x:c>
      <x:c r="P252" s="6" t="str">
        <x:v>Yes</x:v>
      </x:c>
      <x:c r="Q252" s="7" t="str"/>
    </x:row>
    <x:row r="253">
      <x:c r="A253" s="6" t="str">
        <x:v>PRTX-0252</x:v>
      </x:c>
      <x:c r="B253" s="6" t="str">
        <x:v>SVC000252</x:v>
      </x:c>
      <x:c r="C253" s="6" t="str">
        <x:v>SIDX-0252</x:v>
      </x:c>
      <x:c r="D253" s="6" t="str">
        <x:f>IFERROR(XLOOKUP(C253,'Review Sequence'!C2:C1586,'Review Sequence'!J2:J1586),"Dependency not found")</x:f>
        <x:v>Not Started</x:v>
      </x:c>
      <x:c r="E253" s="6" t="str"/>
      <x:c r="F253" s="6" t="str"/>
      <x:c r="G253" s="6" t="str"/>
      <x:c r="H253" s="6" t="str">
        <x:v>Unknown</x:v>
      </x:c>
      <x:c r="I253" s="6" t="str"/>
      <x:c r="J253" s="6" t="str">
        <x:v>Unresolved</x:v>
      </x:c>
      <x:c r="K253" s="7" t="str">
        <x:v>Nocturnix_Master_Services_Catalog_v1.xlsx | 01 - Master Services | row 292</x:v>
      </x:c>
      <x:c r="L253" s="6" t="str"/>
      <x:c r="M253" s="6" t="str"/>
      <x:c r="N253" s="6" t="str">
        <x:v>Pending</x:v>
      </x:c>
      <x:c r="O253" s="7" t="str">
        <x:f>IF(OR(D253="Reviewer Complete",D253="Awaiting Second-Level Approval"),"","Service identity dependency unresolved")</x:f>
        <x:v>Service identity dependency unresolved</x:v>
      </x:c>
      <x:c r="P253" s="6" t="str">
        <x:v>Yes</x:v>
      </x:c>
      <x:c r="Q253" s="7" t="str"/>
    </x:row>
    <x:row r="254">
      <x:c r="A254" s="6" t="str">
        <x:v>PRTX-0253</x:v>
      </x:c>
      <x:c r="B254" s="6" t="str">
        <x:v>SVC000253</x:v>
      </x:c>
      <x:c r="C254" s="6" t="str">
        <x:v>SIDX-0253</x:v>
      </x:c>
      <x:c r="D254" s="6" t="str">
        <x:f>IFERROR(XLOOKUP(C254,'Review Sequence'!C2:C1586,'Review Sequence'!J2:J1586),"Dependency not found")</x:f>
        <x:v>Not Started</x:v>
      </x:c>
      <x:c r="E254" s="6" t="str"/>
      <x:c r="F254" s="6" t="str"/>
      <x:c r="G254" s="6" t="str"/>
      <x:c r="H254" s="6" t="str">
        <x:v>Unknown</x:v>
      </x:c>
      <x:c r="I254" s="6" t="str"/>
      <x:c r="J254" s="6" t="str">
        <x:v>Unresolved</x:v>
      </x:c>
      <x:c r="K254" s="7" t="str">
        <x:v>Nocturnix_Master_Services_Catalog_v1.xlsx | 01 - Master Services | row 293</x:v>
      </x:c>
      <x:c r="L254" s="6" t="str"/>
      <x:c r="M254" s="6" t="str"/>
      <x:c r="N254" s="6" t="str">
        <x:v>Pending</x:v>
      </x:c>
      <x:c r="O254" s="7" t="str">
        <x:f>IF(OR(D254="Reviewer Complete",D254="Awaiting Second-Level Approval"),"","Service identity dependency unresolved")</x:f>
        <x:v>Service identity dependency unresolved</x:v>
      </x:c>
      <x:c r="P254" s="6" t="str">
        <x:v>Yes</x:v>
      </x:c>
      <x:c r="Q254" s="7" t="str"/>
    </x:row>
    <x:row r="255">
      <x:c r="A255" s="6" t="str">
        <x:v>PRTX-0254</x:v>
      </x:c>
      <x:c r="B255" s="6" t="str">
        <x:v>SVC000254</x:v>
      </x:c>
      <x:c r="C255" s="6" t="str">
        <x:v>SIDX-0254</x:v>
      </x:c>
      <x:c r="D255" s="6" t="str">
        <x:f>IFERROR(XLOOKUP(C255,'Review Sequence'!C2:C1586,'Review Sequence'!J2:J1586),"Dependency not found")</x:f>
        <x:v>Not Started</x:v>
      </x:c>
      <x:c r="E255" s="6" t="str"/>
      <x:c r="F255" s="6" t="str"/>
      <x:c r="G255" s="6" t="str"/>
      <x:c r="H255" s="6" t="str">
        <x:v>Unknown</x:v>
      </x:c>
      <x:c r="I255" s="6" t="str"/>
      <x:c r="J255" s="6" t="str">
        <x:v>Unresolved</x:v>
      </x:c>
      <x:c r="K255" s="7" t="str">
        <x:v>Nocturnix_Master_Services_Catalog_v1.xlsx | 01 - Master Services | row 294</x:v>
      </x:c>
      <x:c r="L255" s="6" t="str"/>
      <x:c r="M255" s="6" t="str"/>
      <x:c r="N255" s="6" t="str">
        <x:v>Pending</x:v>
      </x:c>
      <x:c r="O255" s="7" t="str">
        <x:f>IF(OR(D255="Reviewer Complete",D255="Awaiting Second-Level Approval"),"","Service identity dependency unresolved")</x:f>
        <x:v>Service identity dependency unresolved</x:v>
      </x:c>
      <x:c r="P255" s="6" t="str">
        <x:v>Yes</x:v>
      </x:c>
      <x:c r="Q255" s="7" t="str"/>
    </x:row>
    <x:row r="256">
      <x:c r="A256" s="6" t="str">
        <x:v>PRTX-0255</x:v>
      </x:c>
      <x:c r="B256" s="6" t="str">
        <x:v>SVC000255</x:v>
      </x:c>
      <x:c r="C256" s="6" t="str">
        <x:v>SIDX-0255</x:v>
      </x:c>
      <x:c r="D256" s="6" t="str">
        <x:f>IFERROR(XLOOKUP(C256,'Review Sequence'!C2:C1586,'Review Sequence'!J2:J1586),"Dependency not found")</x:f>
        <x:v>Not Started</x:v>
      </x:c>
      <x:c r="E256" s="6" t="str"/>
      <x:c r="F256" s="6" t="str"/>
      <x:c r="G256" s="6" t="str"/>
      <x:c r="H256" s="6" t="str">
        <x:v>Unknown</x:v>
      </x:c>
      <x:c r="I256" s="6" t="str"/>
      <x:c r="J256" s="6" t="str">
        <x:v>Unresolved</x:v>
      </x:c>
      <x:c r="K256" s="7" t="str">
        <x:v>Nocturnix_Master_Services_Catalog_v1.xlsx | 01 - Master Services | row 295</x:v>
      </x:c>
      <x:c r="L256" s="6" t="str"/>
      <x:c r="M256" s="6" t="str"/>
      <x:c r="N256" s="6" t="str">
        <x:v>Pending</x:v>
      </x:c>
      <x:c r="O256" s="7" t="str">
        <x:f>IF(OR(D256="Reviewer Complete",D256="Awaiting Second-Level Approval"),"","Service identity dependency unresolved")</x:f>
        <x:v>Service identity dependency unresolved</x:v>
      </x:c>
      <x:c r="P256" s="6" t="str">
        <x:v>Yes</x:v>
      </x:c>
      <x:c r="Q256" s="7" t="str"/>
    </x:row>
    <x:row r="257">
      <x:c r="A257" s="6" t="str">
        <x:v>PRTX-0256</x:v>
      </x:c>
      <x:c r="B257" s="6" t="str">
        <x:v>SVC000256</x:v>
      </x:c>
      <x:c r="C257" s="6" t="str">
        <x:v>SIDX-0256</x:v>
      </x:c>
      <x:c r="D257" s="6" t="str">
        <x:f>IFERROR(XLOOKUP(C257,'Review Sequence'!C2:C1586,'Review Sequence'!J2:J1586),"Dependency not found")</x:f>
        <x:v>Not Started</x:v>
      </x:c>
      <x:c r="E257" s="6" t="str"/>
      <x:c r="F257" s="6" t="str"/>
      <x:c r="G257" s="6" t="str"/>
      <x:c r="H257" s="6" t="str">
        <x:v>Unknown</x:v>
      </x:c>
      <x:c r="I257" s="6" t="str"/>
      <x:c r="J257" s="6" t="str">
        <x:v>Unresolved</x:v>
      </x:c>
      <x:c r="K257" s="7" t="str">
        <x:v>Nocturnix_Master_Services_Catalog_v1.xlsx | 01 - Master Services | row 296</x:v>
      </x:c>
      <x:c r="L257" s="6" t="str"/>
      <x:c r="M257" s="6" t="str"/>
      <x:c r="N257" s="6" t="str">
        <x:v>Pending</x:v>
      </x:c>
      <x:c r="O257" s="7" t="str">
        <x:f>IF(OR(D257="Reviewer Complete",D257="Awaiting Second-Level Approval"),"","Service identity dependency unresolved")</x:f>
        <x:v>Service identity dependency unresolved</x:v>
      </x:c>
      <x:c r="P257" s="6" t="str">
        <x:v>Yes</x:v>
      </x:c>
      <x:c r="Q257" s="7" t="str"/>
    </x:row>
    <x:row r="258">
      <x:c r="A258" s="6" t="str">
        <x:v>PRTX-0257</x:v>
      </x:c>
      <x:c r="B258" s="6" t="str">
        <x:v>SVC000257</x:v>
      </x:c>
      <x:c r="C258" s="6" t="str">
        <x:v>SIDX-0257</x:v>
      </x:c>
      <x:c r="D258" s="6" t="str">
        <x:f>IFERROR(XLOOKUP(C258,'Review Sequence'!C2:C1586,'Review Sequence'!J2:J1586),"Dependency not found")</x:f>
        <x:v>Not Started</x:v>
      </x:c>
      <x:c r="E258" s="6" t="str"/>
      <x:c r="F258" s="6" t="str"/>
      <x:c r="G258" s="6" t="str"/>
      <x:c r="H258" s="6" t="str">
        <x:v>Unknown</x:v>
      </x:c>
      <x:c r="I258" s="6" t="str"/>
      <x:c r="J258" s="6" t="str">
        <x:v>Unresolved</x:v>
      </x:c>
      <x:c r="K258" s="7" t="str">
        <x:v>Nocturnix_Master_Services_Catalog_v1.xlsx | 01 - Master Services | row 297</x:v>
      </x:c>
      <x:c r="L258" s="6" t="str"/>
      <x:c r="M258" s="6" t="str"/>
      <x:c r="N258" s="6" t="str">
        <x:v>Pending</x:v>
      </x:c>
      <x:c r="O258" s="7" t="str">
        <x:f>IF(OR(D258="Reviewer Complete",D258="Awaiting Second-Level Approval"),"","Service identity dependency unresolved")</x:f>
        <x:v>Service identity dependency unresolved</x:v>
      </x:c>
      <x:c r="P258" s="6" t="str">
        <x:v>Yes</x:v>
      </x:c>
      <x:c r="Q258" s="7" t="str"/>
    </x:row>
    <x:row r="259">
      <x:c r="A259" s="6" t="str">
        <x:v>PRTX-0258</x:v>
      </x:c>
      <x:c r="B259" s="6" t="str">
        <x:v>SVC000258</x:v>
      </x:c>
      <x:c r="C259" s="6" t="str">
        <x:v>SIDX-0258</x:v>
      </x:c>
      <x:c r="D259" s="6" t="str">
        <x:f>IFERROR(XLOOKUP(C259,'Review Sequence'!C2:C1586,'Review Sequence'!J2:J1586),"Dependency not found")</x:f>
        <x:v>Not Started</x:v>
      </x:c>
      <x:c r="E259" s="6" t="str"/>
      <x:c r="F259" s="6" t="str"/>
      <x:c r="G259" s="6" t="str"/>
      <x:c r="H259" s="6" t="str">
        <x:v>Unknown</x:v>
      </x:c>
      <x:c r="I259" s="6" t="str"/>
      <x:c r="J259" s="6" t="str">
        <x:v>Unresolved</x:v>
      </x:c>
      <x:c r="K259" s="7" t="str">
        <x:v>Nocturnix_Master_Services_Catalog_v1.xlsx | 01 - Master Services | row 298</x:v>
      </x:c>
      <x:c r="L259" s="6" t="str"/>
      <x:c r="M259" s="6" t="str"/>
      <x:c r="N259" s="6" t="str">
        <x:v>Pending</x:v>
      </x:c>
      <x:c r="O259" s="7" t="str">
        <x:f>IF(OR(D259="Reviewer Complete",D259="Awaiting Second-Level Approval"),"","Service identity dependency unresolved")</x:f>
        <x:v>Service identity dependency unresolved</x:v>
      </x:c>
      <x:c r="P259" s="6" t="str">
        <x:v>Yes</x:v>
      </x:c>
      <x:c r="Q259" s="7" t="str"/>
    </x:row>
    <x:row r="260">
      <x:c r="A260" s="6" t="str">
        <x:v>PRTX-0259</x:v>
      </x:c>
      <x:c r="B260" s="6" t="str">
        <x:v>SVC000259</x:v>
      </x:c>
      <x:c r="C260" s="6" t="str">
        <x:v>SIDX-0259</x:v>
      </x:c>
      <x:c r="D260" s="6" t="str">
        <x:f>IFERROR(XLOOKUP(C260,'Review Sequence'!C2:C1586,'Review Sequence'!J2:J1586),"Dependency not found")</x:f>
        <x:v>Not Started</x:v>
      </x:c>
      <x:c r="E260" s="6" t="str"/>
      <x:c r="F260" s="6" t="str"/>
      <x:c r="G260" s="6" t="str"/>
      <x:c r="H260" s="6" t="str">
        <x:v>Unknown</x:v>
      </x:c>
      <x:c r="I260" s="6" t="str"/>
      <x:c r="J260" s="6" t="str">
        <x:v>Unresolved</x:v>
      </x:c>
      <x:c r="K260" s="7" t="str">
        <x:v>Nocturnix_Master_Services_Catalog_v1.xlsx | 01 - Master Services | row 299</x:v>
      </x:c>
      <x:c r="L260" s="6" t="str"/>
      <x:c r="M260" s="6" t="str"/>
      <x:c r="N260" s="6" t="str">
        <x:v>Pending</x:v>
      </x:c>
      <x:c r="O260" s="7" t="str">
        <x:f>IF(OR(D260="Reviewer Complete",D260="Awaiting Second-Level Approval"),"","Service identity dependency unresolved")</x:f>
        <x:v>Service identity dependency unresolved</x:v>
      </x:c>
      <x:c r="P260" s="6" t="str">
        <x:v>Yes</x:v>
      </x:c>
      <x:c r="Q260" s="7" t="str"/>
    </x:row>
    <x:row r="261">
      <x:c r="A261" s="6" t="str">
        <x:v>PRTX-0260</x:v>
      </x:c>
      <x:c r="B261" s="6" t="str">
        <x:v>SVC000260</x:v>
      </x:c>
      <x:c r="C261" s="6" t="str">
        <x:v>SIDX-0260</x:v>
      </x:c>
      <x:c r="D261" s="6" t="str">
        <x:f>IFERROR(XLOOKUP(C261,'Review Sequence'!C2:C1586,'Review Sequence'!J2:J1586),"Dependency not found")</x:f>
        <x:v>Not Started</x:v>
      </x:c>
      <x:c r="E261" s="6" t="str"/>
      <x:c r="F261" s="6" t="str"/>
      <x:c r="G261" s="6" t="str"/>
      <x:c r="H261" s="6" t="str">
        <x:v>Unknown</x:v>
      </x:c>
      <x:c r="I261" s="6" t="str"/>
      <x:c r="J261" s="6" t="str">
        <x:v>Unresolved</x:v>
      </x:c>
      <x:c r="K261" s="7" t="str">
        <x:v>Nocturnix_Master_Services_Catalog_v1.xlsx | 01 - Master Services | row 300</x:v>
      </x:c>
      <x:c r="L261" s="6" t="str"/>
      <x:c r="M261" s="6" t="str"/>
      <x:c r="N261" s="6" t="str">
        <x:v>Pending</x:v>
      </x:c>
      <x:c r="O261" s="7" t="str">
        <x:f>IF(OR(D261="Reviewer Complete",D261="Awaiting Second-Level Approval"),"","Service identity dependency unresolved")</x:f>
        <x:v>Service identity dependency unresolved</x:v>
      </x:c>
      <x:c r="P261" s="6" t="str">
        <x:v>Yes</x:v>
      </x:c>
      <x:c r="Q261" s="7" t="str"/>
    </x:row>
    <x:row r="262">
      <x:c r="A262" s="6" t="str">
        <x:v>PRTX-0261</x:v>
      </x:c>
      <x:c r="B262" s="6" t="str">
        <x:v>SVC000261</x:v>
      </x:c>
      <x:c r="C262" s="6" t="str">
        <x:v>SIDX-0261</x:v>
      </x:c>
      <x:c r="D262" s="6" t="str">
        <x:f>IFERROR(XLOOKUP(C262,'Review Sequence'!C2:C1586,'Review Sequence'!J2:J1586),"Dependency not found")</x:f>
        <x:v>Not Started</x:v>
      </x:c>
      <x:c r="E262" s="6" t="str"/>
      <x:c r="F262" s="6" t="str"/>
      <x:c r="G262" s="6" t="str"/>
      <x:c r="H262" s="6" t="str">
        <x:v>Unknown</x:v>
      </x:c>
      <x:c r="I262" s="6" t="str"/>
      <x:c r="J262" s="6" t="str">
        <x:v>Unresolved</x:v>
      </x:c>
      <x:c r="K262" s="7" t="str">
        <x:v>Nocturnix_Master_Services_Catalog_v1.xlsx | 01 - Master Services | row 301</x:v>
      </x:c>
      <x:c r="L262" s="6" t="str"/>
      <x:c r="M262" s="6" t="str"/>
      <x:c r="N262" s="6" t="str">
        <x:v>Pending</x:v>
      </x:c>
      <x:c r="O262" s="7" t="str">
        <x:f>IF(OR(D262="Reviewer Complete",D262="Awaiting Second-Level Approval"),"","Service identity dependency unresolved")</x:f>
        <x:v>Service identity dependency unresolved</x:v>
      </x:c>
      <x:c r="P262" s="6" t="str">
        <x:v>Yes</x:v>
      </x:c>
      <x:c r="Q262" s="7" t="str"/>
    </x:row>
    <x:row r="263">
      <x:c r="A263" s="6" t="str">
        <x:v>PRTX-0262</x:v>
      </x:c>
      <x:c r="B263" s="6" t="str">
        <x:v>SVC000262</x:v>
      </x:c>
      <x:c r="C263" s="6" t="str">
        <x:v>SIDX-0262</x:v>
      </x:c>
      <x:c r="D263" s="6" t="str">
        <x:f>IFERROR(XLOOKUP(C263,'Review Sequence'!C2:C1586,'Review Sequence'!J2:J1586),"Dependency not found")</x:f>
        <x:v>Not Started</x:v>
      </x:c>
      <x:c r="E263" s="6" t="str"/>
      <x:c r="F263" s="6" t="str"/>
      <x:c r="G263" s="6" t="str"/>
      <x:c r="H263" s="6" t="str">
        <x:v>Unknown</x:v>
      </x:c>
      <x:c r="I263" s="6" t="str"/>
      <x:c r="J263" s="6" t="str">
        <x:v>Unresolved</x:v>
      </x:c>
      <x:c r="K263" s="7" t="str">
        <x:v>Nocturnix_Master_Services_Catalog_v1.xlsx | 01 - Master Services | row 302</x:v>
      </x:c>
      <x:c r="L263" s="6" t="str"/>
      <x:c r="M263" s="6" t="str"/>
      <x:c r="N263" s="6" t="str">
        <x:v>Pending</x:v>
      </x:c>
      <x:c r="O263" s="7" t="str">
        <x:f>IF(OR(D263="Reviewer Complete",D263="Awaiting Second-Level Approval"),"","Service identity dependency unresolved")</x:f>
        <x:v>Service identity dependency unresolved</x:v>
      </x:c>
      <x:c r="P263" s="6" t="str">
        <x:v>Yes</x:v>
      </x:c>
      <x:c r="Q263" s="7" t="str"/>
    </x:row>
    <x:row r="264">
      <x:c r="A264" s="6" t="str">
        <x:v>PRTX-0263</x:v>
      </x:c>
      <x:c r="B264" s="6" t="str">
        <x:v>SVC000263</x:v>
      </x:c>
      <x:c r="C264" s="6" t="str">
        <x:v>SIDX-0263</x:v>
      </x:c>
      <x:c r="D264" s="6" t="str">
        <x:f>IFERROR(XLOOKUP(C264,'Review Sequence'!C2:C1586,'Review Sequence'!J2:J1586),"Dependency not found")</x:f>
        <x:v>Not Started</x:v>
      </x:c>
      <x:c r="E264" s="6" t="str"/>
      <x:c r="F264" s="6" t="str"/>
      <x:c r="G264" s="6" t="str"/>
      <x:c r="H264" s="6" t="str">
        <x:v>Unknown</x:v>
      </x:c>
      <x:c r="I264" s="6" t="str"/>
      <x:c r="J264" s="6" t="str">
        <x:v>Unresolved</x:v>
      </x:c>
      <x:c r="K264" s="7" t="str">
        <x:v>Nocturnix_Master_Services_Catalog_v1.xlsx | 01 - Master Services | row 303</x:v>
      </x:c>
      <x:c r="L264" s="6" t="str"/>
      <x:c r="M264" s="6" t="str"/>
      <x:c r="N264" s="6" t="str">
        <x:v>Pending</x:v>
      </x:c>
      <x:c r="O264" s="7" t="str">
        <x:f>IF(OR(D264="Reviewer Complete",D264="Awaiting Second-Level Approval"),"","Service identity dependency unresolved")</x:f>
        <x:v>Service identity dependency unresolved</x:v>
      </x:c>
      <x:c r="P264" s="6" t="str">
        <x:v>Yes</x:v>
      </x:c>
      <x:c r="Q264" s="7" t="str"/>
    </x:row>
    <x:row r="265">
      <x:c r="A265" s="6" t="str">
        <x:v>PRTX-0264</x:v>
      </x:c>
      <x:c r="B265" s="6" t="str">
        <x:v>SVC000264</x:v>
      </x:c>
      <x:c r="C265" s="6" t="str">
        <x:v>SIDX-0264</x:v>
      </x:c>
      <x:c r="D265" s="6" t="str">
        <x:f>IFERROR(XLOOKUP(C265,'Review Sequence'!C2:C1586,'Review Sequence'!J2:J1586),"Dependency not found")</x:f>
        <x:v>Not Started</x:v>
      </x:c>
      <x:c r="E265" s="6" t="str"/>
      <x:c r="F265" s="6" t="str"/>
      <x:c r="G265" s="6" t="str"/>
      <x:c r="H265" s="6" t="str">
        <x:v>Unknown</x:v>
      </x:c>
      <x:c r="I265" s="6" t="str"/>
      <x:c r="J265" s="6" t="str">
        <x:v>Unresolved</x:v>
      </x:c>
      <x:c r="K265" s="7" t="str">
        <x:v>Nocturnix_Master_Services_Catalog_v1.xlsx | 01 - Master Services | row 304</x:v>
      </x:c>
      <x:c r="L265" s="6" t="str"/>
      <x:c r="M265" s="6" t="str"/>
      <x:c r="N265" s="6" t="str">
        <x:v>Pending</x:v>
      </x:c>
      <x:c r="O265" s="7" t="str">
        <x:f>IF(OR(D265="Reviewer Complete",D265="Awaiting Second-Level Approval"),"","Service identity dependency unresolved")</x:f>
        <x:v>Service identity dependency unresolved</x:v>
      </x:c>
      <x:c r="P265" s="6" t="str">
        <x:v>Yes</x:v>
      </x:c>
      <x:c r="Q265" s="7" t="str"/>
    </x:row>
    <x:row r="266">
      <x:c r="A266" s="6" t="str">
        <x:v>PRTX-0265</x:v>
      </x:c>
      <x:c r="B266" s="6" t="str">
        <x:v>SVC000265</x:v>
      </x:c>
      <x:c r="C266" s="6" t="str">
        <x:v>SIDX-0265</x:v>
      </x:c>
      <x:c r="D266" s="6" t="str">
        <x:f>IFERROR(XLOOKUP(C266,'Review Sequence'!C2:C1586,'Review Sequence'!J2:J1586),"Dependency not found")</x:f>
        <x:v>Not Started</x:v>
      </x:c>
      <x:c r="E266" s="6" t="str"/>
      <x:c r="F266" s="6" t="str"/>
      <x:c r="G266" s="6" t="str"/>
      <x:c r="H266" s="6" t="str">
        <x:v>Unknown</x:v>
      </x:c>
      <x:c r="I266" s="6" t="str"/>
      <x:c r="J266" s="6" t="str">
        <x:v>Unresolved</x:v>
      </x:c>
      <x:c r="K266" s="7" t="str">
        <x:v>Nocturnix_Master_Services_Catalog_v1.xlsx | 01 - Master Services | row 305</x:v>
      </x:c>
      <x:c r="L266" s="6" t="str"/>
      <x:c r="M266" s="6" t="str"/>
      <x:c r="N266" s="6" t="str">
        <x:v>Pending</x:v>
      </x:c>
      <x:c r="O266" s="7" t="str">
        <x:f>IF(OR(D266="Reviewer Complete",D266="Awaiting Second-Level Approval"),"","Service identity dependency unresolved")</x:f>
        <x:v>Service identity dependency unresolved</x:v>
      </x:c>
      <x:c r="P266" s="6" t="str">
        <x:v>Yes</x:v>
      </x:c>
      <x:c r="Q266" s="7" t="str"/>
    </x:row>
    <x:row r="267">
      <x:c r="A267" s="6" t="str">
        <x:v>PRTX-0266</x:v>
      </x:c>
      <x:c r="B267" s="6" t="str">
        <x:v>SVC000266</x:v>
      </x:c>
      <x:c r="C267" s="6" t="str">
        <x:v>SIDX-0266</x:v>
      </x:c>
      <x:c r="D267" s="6" t="str">
        <x:f>IFERROR(XLOOKUP(C267,'Review Sequence'!C2:C1586,'Review Sequence'!J2:J1586),"Dependency not found")</x:f>
        <x:v>Not Started</x:v>
      </x:c>
      <x:c r="E267" s="6" t="str"/>
      <x:c r="F267" s="6" t="str"/>
      <x:c r="G267" s="6" t="str"/>
      <x:c r="H267" s="6" t="str">
        <x:v>Unknown</x:v>
      </x:c>
      <x:c r="I267" s="6" t="str"/>
      <x:c r="J267" s="6" t="str">
        <x:v>Unresolved</x:v>
      </x:c>
      <x:c r="K267" s="7" t="str">
        <x:v>Nocturnix_Master_Services_Catalog_v1.xlsx | 01 - Master Services | row 306</x:v>
      </x:c>
      <x:c r="L267" s="6" t="str"/>
      <x:c r="M267" s="6" t="str"/>
      <x:c r="N267" s="6" t="str">
        <x:v>Pending</x:v>
      </x:c>
      <x:c r="O267" s="7" t="str">
        <x:f>IF(OR(D267="Reviewer Complete",D267="Awaiting Second-Level Approval"),"","Service identity dependency unresolved")</x:f>
        <x:v>Service identity dependency unresolved</x:v>
      </x:c>
      <x:c r="P267" s="6" t="str">
        <x:v>Yes</x:v>
      </x:c>
      <x:c r="Q267" s="7" t="str"/>
    </x:row>
    <x:row r="268">
      <x:c r="A268" s="6" t="str">
        <x:v>PRTX-0267</x:v>
      </x:c>
      <x:c r="B268" s="6" t="str">
        <x:v>SVC000267</x:v>
      </x:c>
      <x:c r="C268" s="6" t="str">
        <x:v>SIDX-0267</x:v>
      </x:c>
      <x:c r="D268" s="6" t="str">
        <x:f>IFERROR(XLOOKUP(C268,'Review Sequence'!C2:C1586,'Review Sequence'!J2:J1586),"Dependency not found")</x:f>
        <x:v>Not Started</x:v>
      </x:c>
      <x:c r="E268" s="6" t="str"/>
      <x:c r="F268" s="6" t="str"/>
      <x:c r="G268" s="6" t="str"/>
      <x:c r="H268" s="6" t="str">
        <x:v>Unknown</x:v>
      </x:c>
      <x:c r="I268" s="6" t="str"/>
      <x:c r="J268" s="6" t="str">
        <x:v>Unresolved</x:v>
      </x:c>
      <x:c r="K268" s="7" t="str">
        <x:v>Nocturnix_Master_Services_Catalog_v1.xlsx | 01 - Master Services | row 307</x:v>
      </x:c>
      <x:c r="L268" s="6" t="str"/>
      <x:c r="M268" s="6" t="str"/>
      <x:c r="N268" s="6" t="str">
        <x:v>Pending</x:v>
      </x:c>
      <x:c r="O268" s="7" t="str">
        <x:f>IF(OR(D268="Reviewer Complete",D268="Awaiting Second-Level Approval"),"","Service identity dependency unresolved")</x:f>
        <x:v>Service identity dependency unresolved</x:v>
      </x:c>
      <x:c r="P268" s="6" t="str">
        <x:v>Yes</x:v>
      </x:c>
      <x:c r="Q268" s="7" t="str"/>
    </x:row>
    <x:row r="269">
      <x:c r="A269" s="6" t="str">
        <x:v>PRTX-0268</x:v>
      </x:c>
      <x:c r="B269" s="6" t="str">
        <x:v>SVC000268</x:v>
      </x:c>
      <x:c r="C269" s="6" t="str">
        <x:v>SIDX-0268</x:v>
      </x:c>
      <x:c r="D269" s="6" t="str">
        <x:f>IFERROR(XLOOKUP(C269,'Review Sequence'!C2:C1586,'Review Sequence'!J2:J1586),"Dependency not found")</x:f>
        <x:v>Not Started</x:v>
      </x:c>
      <x:c r="E269" s="6" t="str"/>
      <x:c r="F269" s="6" t="str"/>
      <x:c r="G269" s="6" t="str"/>
      <x:c r="H269" s="6" t="str">
        <x:v>Unknown</x:v>
      </x:c>
      <x:c r="I269" s="6" t="str"/>
      <x:c r="J269" s="6" t="str">
        <x:v>Unresolved</x:v>
      </x:c>
      <x:c r="K269" s="7" t="str">
        <x:v>Nocturnix_Master_Services_Catalog_v1.xlsx | 01 - Master Services | row 308</x:v>
      </x:c>
      <x:c r="L269" s="6" t="str"/>
      <x:c r="M269" s="6" t="str"/>
      <x:c r="N269" s="6" t="str">
        <x:v>Pending</x:v>
      </x:c>
      <x:c r="O269" s="7" t="str">
        <x:f>IF(OR(D269="Reviewer Complete",D269="Awaiting Second-Level Approval"),"","Service identity dependency unresolved")</x:f>
        <x:v>Service identity dependency unresolved</x:v>
      </x:c>
      <x:c r="P269" s="6" t="str">
        <x:v>Yes</x:v>
      </x:c>
      <x:c r="Q269" s="7" t="str"/>
    </x:row>
    <x:row r="270">
      <x:c r="A270" s="6" t="str">
        <x:v>PRTX-0269</x:v>
      </x:c>
      <x:c r="B270" s="6" t="str">
        <x:v>SVC000269</x:v>
      </x:c>
      <x:c r="C270" s="6" t="str">
        <x:v>SIDX-0269</x:v>
      </x:c>
      <x:c r="D270" s="6" t="str">
        <x:f>IFERROR(XLOOKUP(C270,'Review Sequence'!C2:C1586,'Review Sequence'!J2:J1586),"Dependency not found")</x:f>
        <x:v>Not Started</x:v>
      </x:c>
      <x:c r="E270" s="6" t="str"/>
      <x:c r="F270" s="6" t="str"/>
      <x:c r="G270" s="6" t="str"/>
      <x:c r="H270" s="6" t="str">
        <x:v>Unknown</x:v>
      </x:c>
      <x:c r="I270" s="6" t="str"/>
      <x:c r="J270" s="6" t="str">
        <x:v>Unresolved</x:v>
      </x:c>
      <x:c r="K270" s="7" t="str">
        <x:v>Nocturnix_Master_Services_Catalog_v1.xlsx | 01 - Master Services | row 309</x:v>
      </x:c>
      <x:c r="L270" s="6" t="str"/>
      <x:c r="M270" s="6" t="str"/>
      <x:c r="N270" s="6" t="str">
        <x:v>Pending</x:v>
      </x:c>
      <x:c r="O270" s="7" t="str">
        <x:f>IF(OR(D270="Reviewer Complete",D270="Awaiting Second-Level Approval"),"","Service identity dependency unresolved")</x:f>
        <x:v>Service identity dependency unresolved</x:v>
      </x:c>
      <x:c r="P270" s="6" t="str">
        <x:v>Yes</x:v>
      </x:c>
      <x:c r="Q270" s="7" t="str"/>
    </x:row>
    <x:row r="271">
      <x:c r="A271" s="6" t="str">
        <x:v>PRTX-0270</x:v>
      </x:c>
      <x:c r="B271" s="6" t="str">
        <x:v>SVC000270</x:v>
      </x:c>
      <x:c r="C271" s="6" t="str">
        <x:v>SIDX-0270</x:v>
      </x:c>
      <x:c r="D271" s="6" t="str">
        <x:f>IFERROR(XLOOKUP(C271,'Review Sequence'!C2:C1586,'Review Sequence'!J2:J1586),"Dependency not found")</x:f>
        <x:v>Not Started</x:v>
      </x:c>
      <x:c r="E271" s="6" t="str"/>
      <x:c r="F271" s="6" t="str"/>
      <x:c r="G271" s="6" t="str"/>
      <x:c r="H271" s="6" t="str">
        <x:v>Unknown</x:v>
      </x:c>
      <x:c r="I271" s="6" t="str"/>
      <x:c r="J271" s="6" t="str">
        <x:v>Unresolved</x:v>
      </x:c>
      <x:c r="K271" s="7" t="str">
        <x:v>Nocturnix_Master_Services_Catalog_v1.xlsx | 01 - Master Services | row 310</x:v>
      </x:c>
      <x:c r="L271" s="6" t="str"/>
      <x:c r="M271" s="6" t="str"/>
      <x:c r="N271" s="6" t="str">
        <x:v>Pending</x:v>
      </x:c>
      <x:c r="O271" s="7" t="str">
        <x:f>IF(OR(D271="Reviewer Complete",D271="Awaiting Second-Level Approval"),"","Service identity dependency unresolved")</x:f>
        <x:v>Service identity dependency unresolved</x:v>
      </x:c>
      <x:c r="P271" s="6" t="str">
        <x:v>Yes</x:v>
      </x:c>
      <x:c r="Q271" s="7" t="str"/>
    </x:row>
    <x:row r="272">
      <x:c r="A272" s="6" t="str">
        <x:v>PRTX-0271</x:v>
      </x:c>
      <x:c r="B272" s="6" t="str">
        <x:v>SVC000271</x:v>
      </x:c>
      <x:c r="C272" s="6" t="str">
        <x:v>SIDX-0271</x:v>
      </x:c>
      <x:c r="D272" s="6" t="str">
        <x:f>IFERROR(XLOOKUP(C272,'Review Sequence'!C2:C1586,'Review Sequence'!J2:J1586),"Dependency not found")</x:f>
        <x:v>Not Started</x:v>
      </x:c>
      <x:c r="E272" s="6" t="str"/>
      <x:c r="F272" s="6" t="str"/>
      <x:c r="G272" s="6" t="str"/>
      <x:c r="H272" s="6" t="str">
        <x:v>Unknown</x:v>
      </x:c>
      <x:c r="I272" s="6" t="str"/>
      <x:c r="J272" s="6" t="str">
        <x:v>Unresolved</x:v>
      </x:c>
      <x:c r="K272" s="7" t="str">
        <x:v>Nocturnix_Master_Services_Catalog_v1.xlsx | 01 - Master Services | row 311</x:v>
      </x:c>
      <x:c r="L272" s="6" t="str"/>
      <x:c r="M272" s="6" t="str"/>
      <x:c r="N272" s="6" t="str">
        <x:v>Pending</x:v>
      </x:c>
      <x:c r="O272" s="7" t="str">
        <x:f>IF(OR(D272="Reviewer Complete",D272="Awaiting Second-Level Approval"),"","Service identity dependency unresolved")</x:f>
        <x:v>Service identity dependency unresolved</x:v>
      </x:c>
      <x:c r="P272" s="6" t="str">
        <x:v>Yes</x:v>
      </x:c>
      <x:c r="Q272" s="7" t="str"/>
    </x:row>
    <x:row r="273">
      <x:c r="A273" s="6" t="str">
        <x:v>PRTX-0272</x:v>
      </x:c>
      <x:c r="B273" s="6" t="str">
        <x:v>SVC000272</x:v>
      </x:c>
      <x:c r="C273" s="6" t="str">
        <x:v>SIDX-0272</x:v>
      </x:c>
      <x:c r="D273" s="6" t="str">
        <x:f>IFERROR(XLOOKUP(C273,'Review Sequence'!C2:C1586,'Review Sequence'!J2:J1586),"Dependency not found")</x:f>
        <x:v>Not Started</x:v>
      </x:c>
      <x:c r="E273" s="6" t="str"/>
      <x:c r="F273" s="6" t="str"/>
      <x:c r="G273" s="6" t="str"/>
      <x:c r="H273" s="6" t="str">
        <x:v>Unknown</x:v>
      </x:c>
      <x:c r="I273" s="6" t="str"/>
      <x:c r="J273" s="6" t="str">
        <x:v>Unresolved</x:v>
      </x:c>
      <x:c r="K273" s="7" t="str">
        <x:v>Nocturnix_Master_Services_Catalog_v1.xlsx | 01 - Master Services | row 312</x:v>
      </x:c>
      <x:c r="L273" s="6" t="str"/>
      <x:c r="M273" s="6" t="str"/>
      <x:c r="N273" s="6" t="str">
        <x:v>Pending</x:v>
      </x:c>
      <x:c r="O273" s="7" t="str">
        <x:f>IF(OR(D273="Reviewer Complete",D273="Awaiting Second-Level Approval"),"","Service identity dependency unresolved")</x:f>
        <x:v>Service identity dependency unresolved</x:v>
      </x:c>
      <x:c r="P273" s="6" t="str">
        <x:v>Yes</x:v>
      </x:c>
      <x:c r="Q273" s="7" t="str"/>
    </x:row>
    <x:row r="274">
      <x:c r="A274" s="6" t="str">
        <x:v>PRTX-0273</x:v>
      </x:c>
      <x:c r="B274" s="6" t="str">
        <x:v>SVC000273</x:v>
      </x:c>
      <x:c r="C274" s="6" t="str">
        <x:v>SIDX-0273</x:v>
      </x:c>
      <x:c r="D274" s="6" t="str">
        <x:f>IFERROR(XLOOKUP(C274,'Review Sequence'!C2:C1586,'Review Sequence'!J2:J1586),"Dependency not found")</x:f>
        <x:v>Not Started</x:v>
      </x:c>
      <x:c r="E274" s="6" t="str"/>
      <x:c r="F274" s="6" t="str"/>
      <x:c r="G274" s="6" t="str"/>
      <x:c r="H274" s="6" t="str">
        <x:v>Unknown</x:v>
      </x:c>
      <x:c r="I274" s="6" t="str"/>
      <x:c r="J274" s="6" t="str">
        <x:v>Unresolved</x:v>
      </x:c>
      <x:c r="K274" s="7" t="str">
        <x:v>Nocturnix_Master_Services_Catalog_v1.xlsx | 01 - Master Services | row 313</x:v>
      </x:c>
      <x:c r="L274" s="6" t="str"/>
      <x:c r="M274" s="6" t="str"/>
      <x:c r="N274" s="6" t="str">
        <x:v>Pending</x:v>
      </x:c>
      <x:c r="O274" s="7" t="str">
        <x:f>IF(OR(D274="Reviewer Complete",D274="Awaiting Second-Level Approval"),"","Service identity dependency unresolved")</x:f>
        <x:v>Service identity dependency unresolved</x:v>
      </x:c>
      <x:c r="P274" s="6" t="str">
        <x:v>Yes</x:v>
      </x:c>
      <x:c r="Q274" s="7" t="str"/>
    </x:row>
    <x:row r="275">
      <x:c r="A275" s="6" t="str">
        <x:v>PRTX-0274</x:v>
      </x:c>
      <x:c r="B275" s="6" t="str">
        <x:v>SVC000274</x:v>
      </x:c>
      <x:c r="C275" s="6" t="str">
        <x:v>SIDX-0274</x:v>
      </x:c>
      <x:c r="D275" s="6" t="str">
        <x:f>IFERROR(XLOOKUP(C275,'Review Sequence'!C2:C1586,'Review Sequence'!J2:J1586),"Dependency not found")</x:f>
        <x:v>Not Started</x:v>
      </x:c>
      <x:c r="E275" s="6" t="str"/>
      <x:c r="F275" s="6" t="str"/>
      <x:c r="G275" s="6" t="str"/>
      <x:c r="H275" s="6" t="str">
        <x:v>Unknown</x:v>
      </x:c>
      <x:c r="I275" s="6" t="str"/>
      <x:c r="J275" s="6" t="str">
        <x:v>Unresolved</x:v>
      </x:c>
      <x:c r="K275" s="7" t="str">
        <x:v>Nocturnix_Master_Services_Catalog_v1.xlsx | 01 - Master Services | row 314</x:v>
      </x:c>
      <x:c r="L275" s="6" t="str"/>
      <x:c r="M275" s="6" t="str"/>
      <x:c r="N275" s="6" t="str">
        <x:v>Pending</x:v>
      </x:c>
      <x:c r="O275" s="7" t="str">
        <x:f>IF(OR(D275="Reviewer Complete",D275="Awaiting Second-Level Approval"),"","Service identity dependency unresolved")</x:f>
        <x:v>Service identity dependency unresolved</x:v>
      </x:c>
      <x:c r="P275" s="6" t="str">
        <x:v>Yes</x:v>
      </x:c>
      <x:c r="Q275" s="7" t="str"/>
    </x:row>
    <x:row r="276">
      <x:c r="A276" s="6" t="str">
        <x:v>PRTX-0275</x:v>
      </x:c>
      <x:c r="B276" s="6" t="str">
        <x:v>SVC000275</x:v>
      </x:c>
      <x:c r="C276" s="6" t="str">
        <x:v>SIDX-0275</x:v>
      </x:c>
      <x:c r="D276" s="6" t="str">
        <x:f>IFERROR(XLOOKUP(C276,'Review Sequence'!C2:C1586,'Review Sequence'!J2:J1586),"Dependency not found")</x:f>
        <x:v>Not Started</x:v>
      </x:c>
      <x:c r="E276" s="6" t="str"/>
      <x:c r="F276" s="6" t="str"/>
      <x:c r="G276" s="6" t="str"/>
      <x:c r="H276" s="6" t="str">
        <x:v>Unknown</x:v>
      </x:c>
      <x:c r="I276" s="6" t="str"/>
      <x:c r="J276" s="6" t="str">
        <x:v>Unresolved</x:v>
      </x:c>
      <x:c r="K276" s="7" t="str">
        <x:v>Nocturnix_Master_Services_Catalog_v1.xlsx | 01 - Master Services | row 315</x:v>
      </x:c>
      <x:c r="L276" s="6" t="str"/>
      <x:c r="M276" s="6" t="str"/>
      <x:c r="N276" s="6" t="str">
        <x:v>Pending</x:v>
      </x:c>
      <x:c r="O276" s="7" t="str">
        <x:f>IF(OR(D276="Reviewer Complete",D276="Awaiting Second-Level Approval"),"","Service identity dependency unresolved")</x:f>
        <x:v>Service identity dependency unresolved</x:v>
      </x:c>
      <x:c r="P276" s="6" t="str">
        <x:v>Yes</x:v>
      </x:c>
      <x:c r="Q276" s="7" t="str"/>
    </x:row>
    <x:row r="277">
      <x:c r="A277" s="6" t="str">
        <x:v>PRTX-0276</x:v>
      </x:c>
      <x:c r="B277" s="6" t="str">
        <x:v>SVC000276</x:v>
      </x:c>
      <x:c r="C277" s="6" t="str">
        <x:v>SIDX-0276</x:v>
      </x:c>
      <x:c r="D277" s="6" t="str">
        <x:f>IFERROR(XLOOKUP(C277,'Review Sequence'!C2:C1586,'Review Sequence'!J2:J1586),"Dependency not found")</x:f>
        <x:v>Not Started</x:v>
      </x:c>
      <x:c r="E277" s="6" t="str"/>
      <x:c r="F277" s="6" t="str"/>
      <x:c r="G277" s="6" t="str"/>
      <x:c r="H277" s="6" t="str">
        <x:v>Unknown</x:v>
      </x:c>
      <x:c r="I277" s="6" t="str"/>
      <x:c r="J277" s="6" t="str">
        <x:v>Unresolved</x:v>
      </x:c>
      <x:c r="K277" s="7" t="str">
        <x:v>Nocturnix_Master_Services_Catalog_v1.xlsx | 01 - Master Services | row 316</x:v>
      </x:c>
      <x:c r="L277" s="6" t="str"/>
      <x:c r="M277" s="6" t="str"/>
      <x:c r="N277" s="6" t="str">
        <x:v>Pending</x:v>
      </x:c>
      <x:c r="O277" s="7" t="str">
        <x:f>IF(OR(D277="Reviewer Complete",D277="Awaiting Second-Level Approval"),"","Service identity dependency unresolved")</x:f>
        <x:v>Service identity dependency unresolved</x:v>
      </x:c>
      <x:c r="P277" s="6" t="str">
        <x:v>Yes</x:v>
      </x:c>
      <x:c r="Q277" s="7" t="str"/>
    </x:row>
    <x:row r="278">
      <x:c r="A278" s="6" t="str">
        <x:v>PRTX-0277</x:v>
      </x:c>
      <x:c r="B278" s="6" t="str">
        <x:v>SVC000277</x:v>
      </x:c>
      <x:c r="C278" s="6" t="str">
        <x:v>SIDX-0277</x:v>
      </x:c>
      <x:c r="D278" s="6" t="str">
        <x:f>IFERROR(XLOOKUP(C278,'Review Sequence'!C2:C1586,'Review Sequence'!J2:J1586),"Dependency not found")</x:f>
        <x:v>Not Started</x:v>
      </x:c>
      <x:c r="E278" s="6" t="str"/>
      <x:c r="F278" s="6" t="str"/>
      <x:c r="G278" s="6" t="str"/>
      <x:c r="H278" s="6" t="str">
        <x:v>Unknown</x:v>
      </x:c>
      <x:c r="I278" s="6" t="str"/>
      <x:c r="J278" s="6" t="str">
        <x:v>Unresolved</x:v>
      </x:c>
      <x:c r="K278" s="7" t="str">
        <x:v>Nocturnix_Master_Services_Catalog_v1.xlsx | 01 - Master Services | row 317</x:v>
      </x:c>
      <x:c r="L278" s="6" t="str"/>
      <x:c r="M278" s="6" t="str"/>
      <x:c r="N278" s="6" t="str">
        <x:v>Pending</x:v>
      </x:c>
      <x:c r="O278" s="7" t="str">
        <x:f>IF(OR(D278="Reviewer Complete",D278="Awaiting Second-Level Approval"),"","Service identity dependency unresolved")</x:f>
        <x:v>Service identity dependency unresolved</x:v>
      </x:c>
      <x:c r="P278" s="6" t="str">
        <x:v>Yes</x:v>
      </x:c>
      <x:c r="Q278" s="7" t="str"/>
    </x:row>
    <x:row r="279">
      <x:c r="A279" s="6" t="str">
        <x:v>PRTX-0278</x:v>
      </x:c>
      <x:c r="B279" s="6" t="str">
        <x:v>SVC000278</x:v>
      </x:c>
      <x:c r="C279" s="6" t="str">
        <x:v>SIDX-0278</x:v>
      </x:c>
      <x:c r="D279" s="6" t="str">
        <x:f>IFERROR(XLOOKUP(C279,'Review Sequence'!C2:C1586,'Review Sequence'!J2:J1586),"Dependency not found")</x:f>
        <x:v>Not Started</x:v>
      </x:c>
      <x:c r="E279" s="6" t="str"/>
      <x:c r="F279" s="6" t="str"/>
      <x:c r="G279" s="6" t="str"/>
      <x:c r="H279" s="6" t="str">
        <x:v>Unknown</x:v>
      </x:c>
      <x:c r="I279" s="6" t="str"/>
      <x:c r="J279" s="6" t="str">
        <x:v>Unresolved</x:v>
      </x:c>
      <x:c r="K279" s="7" t="str">
        <x:v>Nocturnix_Master_Services_Catalog_v1.xlsx | 01 - Master Services | row 318</x:v>
      </x:c>
      <x:c r="L279" s="6" t="str"/>
      <x:c r="M279" s="6" t="str"/>
      <x:c r="N279" s="6" t="str">
        <x:v>Pending</x:v>
      </x:c>
      <x:c r="O279" s="7" t="str">
        <x:f>IF(OR(D279="Reviewer Complete",D279="Awaiting Second-Level Approval"),"","Service identity dependency unresolved")</x:f>
        <x:v>Service identity dependency unresolved</x:v>
      </x:c>
      <x:c r="P279" s="6" t="str">
        <x:v>Yes</x:v>
      </x:c>
      <x:c r="Q279" s="7" t="str"/>
    </x:row>
    <x:row r="280">
      <x:c r="A280" s="6" t="str">
        <x:v>PRTX-0279</x:v>
      </x:c>
      <x:c r="B280" s="6" t="str">
        <x:v>SVC000279</x:v>
      </x:c>
      <x:c r="C280" s="6" t="str">
        <x:v>SIDX-0279</x:v>
      </x:c>
      <x:c r="D280" s="6" t="str">
        <x:f>IFERROR(XLOOKUP(C280,'Review Sequence'!C2:C1586,'Review Sequence'!J2:J1586),"Dependency not found")</x:f>
        <x:v>Not Started</x:v>
      </x:c>
      <x:c r="E280" s="6" t="str"/>
      <x:c r="F280" s="6" t="str"/>
      <x:c r="G280" s="6" t="str"/>
      <x:c r="H280" s="6" t="str">
        <x:v>Unknown</x:v>
      </x:c>
      <x:c r="I280" s="6" t="str"/>
      <x:c r="J280" s="6" t="str">
        <x:v>Unresolved</x:v>
      </x:c>
      <x:c r="K280" s="7" t="str">
        <x:v>Nocturnix_Master_Services_Catalog_v1.xlsx | 01 - Master Services | row 319</x:v>
      </x:c>
      <x:c r="L280" s="6" t="str"/>
      <x:c r="M280" s="6" t="str"/>
      <x:c r="N280" s="6" t="str">
        <x:v>Pending</x:v>
      </x:c>
      <x:c r="O280" s="7" t="str">
        <x:f>IF(OR(D280="Reviewer Complete",D280="Awaiting Second-Level Approval"),"","Service identity dependency unresolved")</x:f>
        <x:v>Service identity dependency unresolved</x:v>
      </x:c>
      <x:c r="P280" s="6" t="str">
        <x:v>Yes</x:v>
      </x:c>
      <x:c r="Q280" s="7" t="str"/>
    </x:row>
    <x:row r="281">
      <x:c r="A281" s="6" t="str">
        <x:v>PRTX-0280</x:v>
      </x:c>
      <x:c r="B281" s="6" t="str">
        <x:v>SVC000280</x:v>
      </x:c>
      <x:c r="C281" s="6" t="str">
        <x:v>SIDX-0280</x:v>
      </x:c>
      <x:c r="D281" s="6" t="str">
        <x:f>IFERROR(XLOOKUP(C281,'Review Sequence'!C2:C1586,'Review Sequence'!J2:J1586),"Dependency not found")</x:f>
        <x:v>Not Started</x:v>
      </x:c>
      <x:c r="E281" s="6" t="str"/>
      <x:c r="F281" s="6" t="str"/>
      <x:c r="G281" s="6" t="str"/>
      <x:c r="H281" s="6" t="str">
        <x:v>Unknown</x:v>
      </x:c>
      <x:c r="I281" s="6" t="str"/>
      <x:c r="J281" s="6" t="str">
        <x:v>Unresolved</x:v>
      </x:c>
      <x:c r="K281" s="7" t="str">
        <x:v>Nocturnix_Master_Services_Catalog_v1.xlsx | 01 - Master Services | row 320</x:v>
      </x:c>
      <x:c r="L281" s="6" t="str"/>
      <x:c r="M281" s="6" t="str"/>
      <x:c r="N281" s="6" t="str">
        <x:v>Pending</x:v>
      </x:c>
      <x:c r="O281" s="7" t="str">
        <x:f>IF(OR(D281="Reviewer Complete",D281="Awaiting Second-Level Approval"),"","Service identity dependency unresolved")</x:f>
        <x:v>Service identity dependency unresolved</x:v>
      </x:c>
      <x:c r="P281" s="6" t="str">
        <x:v>Yes</x:v>
      </x:c>
      <x:c r="Q281" s="7" t="str"/>
    </x:row>
    <x:row r="282">
      <x:c r="A282" s="6" t="str">
        <x:v>PRTX-0281</x:v>
      </x:c>
      <x:c r="B282" s="6" t="str">
        <x:v>SVC000281</x:v>
      </x:c>
      <x:c r="C282" s="6" t="str">
        <x:v>SIDX-0281</x:v>
      </x:c>
      <x:c r="D282" s="6" t="str">
        <x:f>IFERROR(XLOOKUP(C282,'Review Sequence'!C2:C1586,'Review Sequence'!J2:J1586),"Dependency not found")</x:f>
        <x:v>Not Started</x:v>
      </x:c>
      <x:c r="E282" s="6" t="str"/>
      <x:c r="F282" s="6" t="str"/>
      <x:c r="G282" s="6" t="str"/>
      <x:c r="H282" s="6" t="str">
        <x:v>Unknown</x:v>
      </x:c>
      <x:c r="I282" s="6" t="str"/>
      <x:c r="J282" s="6" t="str">
        <x:v>Unresolved</x:v>
      </x:c>
      <x:c r="K282" s="7" t="str">
        <x:v>Nocturnix_Master_Services_Catalog_v1.xlsx | 01 - Master Services | row 321</x:v>
      </x:c>
      <x:c r="L282" s="6" t="str"/>
      <x:c r="M282" s="6" t="str"/>
      <x:c r="N282" s="6" t="str">
        <x:v>Pending</x:v>
      </x:c>
      <x:c r="O282" s="7" t="str">
        <x:f>IF(OR(D282="Reviewer Complete",D282="Awaiting Second-Level Approval"),"","Service identity dependency unresolved")</x:f>
        <x:v>Service identity dependency unresolved</x:v>
      </x:c>
      <x:c r="P282" s="6" t="str">
        <x:v>Yes</x:v>
      </x:c>
      <x:c r="Q282" s="7" t="str"/>
    </x:row>
    <x:row r="283">
      <x:c r="A283" s="6" t="str">
        <x:v>PRTX-0282</x:v>
      </x:c>
      <x:c r="B283" s="6" t="str">
        <x:v>SVC000282</x:v>
      </x:c>
      <x:c r="C283" s="6" t="str">
        <x:v>SIDX-0282</x:v>
      </x:c>
      <x:c r="D283" s="6" t="str">
        <x:f>IFERROR(XLOOKUP(C283,'Review Sequence'!C2:C1586,'Review Sequence'!J2:J1586),"Dependency not found")</x:f>
        <x:v>Not Started</x:v>
      </x:c>
      <x:c r="E283" s="6" t="str"/>
      <x:c r="F283" s="6" t="str"/>
      <x:c r="G283" s="6" t="str"/>
      <x:c r="H283" s="6" t="str">
        <x:v>Unknown</x:v>
      </x:c>
      <x:c r="I283" s="6" t="str"/>
      <x:c r="J283" s="6" t="str">
        <x:v>Unresolved</x:v>
      </x:c>
      <x:c r="K283" s="7" t="str">
        <x:v>Nocturnix_Master_Services_Catalog_v1.xlsx | 01 - Master Services | row 322</x:v>
      </x:c>
      <x:c r="L283" s="6" t="str"/>
      <x:c r="M283" s="6" t="str"/>
      <x:c r="N283" s="6" t="str">
        <x:v>Pending</x:v>
      </x:c>
      <x:c r="O283" s="7" t="str">
        <x:f>IF(OR(D283="Reviewer Complete",D283="Awaiting Second-Level Approval"),"","Service identity dependency unresolved")</x:f>
        <x:v>Service identity dependency unresolved</x:v>
      </x:c>
      <x:c r="P283" s="6" t="str">
        <x:v>Yes</x:v>
      </x:c>
      <x:c r="Q283" s="7" t="str"/>
    </x:row>
    <x:row r="284">
      <x:c r="A284" s="6" t="str">
        <x:v>PRTX-0283</x:v>
      </x:c>
      <x:c r="B284" s="6" t="str">
        <x:v>SVC000283</x:v>
      </x:c>
      <x:c r="C284" s="6" t="str">
        <x:v>SIDX-0283</x:v>
      </x:c>
      <x:c r="D284" s="6" t="str">
        <x:f>IFERROR(XLOOKUP(C284,'Review Sequence'!C2:C1586,'Review Sequence'!J2:J1586),"Dependency not found")</x:f>
        <x:v>Not Started</x:v>
      </x:c>
      <x:c r="E284" s="6" t="str"/>
      <x:c r="F284" s="6" t="str"/>
      <x:c r="G284" s="6" t="str"/>
      <x:c r="H284" s="6" t="str">
        <x:v>Unknown</x:v>
      </x:c>
      <x:c r="I284" s="6" t="str"/>
      <x:c r="J284" s="6" t="str">
        <x:v>Unresolved</x:v>
      </x:c>
      <x:c r="K284" s="7" t="str">
        <x:v>Nocturnix_Master_Services_Catalog_v1.xlsx | 01 - Master Services | row 323</x:v>
      </x:c>
      <x:c r="L284" s="6" t="str"/>
      <x:c r="M284" s="6" t="str"/>
      <x:c r="N284" s="6" t="str">
        <x:v>Pending</x:v>
      </x:c>
      <x:c r="O284" s="7" t="str">
        <x:f>IF(OR(D284="Reviewer Complete",D284="Awaiting Second-Level Approval"),"","Service identity dependency unresolved")</x:f>
        <x:v>Service identity dependency unresolved</x:v>
      </x:c>
      <x:c r="P284" s="6" t="str">
        <x:v>Yes</x:v>
      </x:c>
      <x:c r="Q284" s="7" t="str"/>
    </x:row>
    <x:row r="285">
      <x:c r="A285" s="6" t="str">
        <x:v>PRTX-0284</x:v>
      </x:c>
      <x:c r="B285" s="6" t="str">
        <x:v>SVC000284</x:v>
      </x:c>
      <x:c r="C285" s="6" t="str">
        <x:v>SIDX-0284</x:v>
      </x:c>
      <x:c r="D285" s="6" t="str">
        <x:f>IFERROR(XLOOKUP(C285,'Review Sequence'!C2:C1586,'Review Sequence'!J2:J1586),"Dependency not found")</x:f>
        <x:v>Not Started</x:v>
      </x:c>
      <x:c r="E285" s="6" t="str"/>
      <x:c r="F285" s="6" t="str"/>
      <x:c r="G285" s="6" t="str"/>
      <x:c r="H285" s="6" t="str">
        <x:v>Unknown</x:v>
      </x:c>
      <x:c r="I285" s="6" t="str"/>
      <x:c r="J285" s="6" t="str">
        <x:v>Unresolved</x:v>
      </x:c>
      <x:c r="K285" s="7" t="str">
        <x:v>Nocturnix_Master_Services_Catalog_v1.xlsx | 01 - Master Services | row 324</x:v>
      </x:c>
      <x:c r="L285" s="6" t="str"/>
      <x:c r="M285" s="6" t="str"/>
      <x:c r="N285" s="6" t="str">
        <x:v>Pending</x:v>
      </x:c>
      <x:c r="O285" s="7" t="str">
        <x:f>IF(OR(D285="Reviewer Complete",D285="Awaiting Second-Level Approval"),"","Service identity dependency unresolved")</x:f>
        <x:v>Service identity dependency unresolved</x:v>
      </x:c>
      <x:c r="P285" s="6" t="str">
        <x:v>Yes</x:v>
      </x:c>
      <x:c r="Q285" s="7" t="str"/>
    </x:row>
    <x:row r="286">
      <x:c r="A286" s="6" t="str">
        <x:v>PRTX-0285</x:v>
      </x:c>
      <x:c r="B286" s="6" t="str">
        <x:v>SVC000285</x:v>
      </x:c>
      <x:c r="C286" s="6" t="str">
        <x:v>SIDX-0285</x:v>
      </x:c>
      <x:c r="D286" s="6" t="str">
        <x:f>IFERROR(XLOOKUP(C286,'Review Sequence'!C2:C1586,'Review Sequence'!J2:J1586),"Dependency not found")</x:f>
        <x:v>Not Started</x:v>
      </x:c>
      <x:c r="E286" s="6" t="str"/>
      <x:c r="F286" s="6" t="str"/>
      <x:c r="G286" s="6" t="str"/>
      <x:c r="H286" s="6" t="str">
        <x:v>Unknown</x:v>
      </x:c>
      <x:c r="I286" s="6" t="str"/>
      <x:c r="J286" s="6" t="str">
        <x:v>Unresolved</x:v>
      </x:c>
      <x:c r="K286" s="7" t="str">
        <x:v>Nocturnix_Master_Services_Catalog_v1.xlsx | 01 - Master Services | row 325</x:v>
      </x:c>
      <x:c r="L286" s="6" t="str"/>
      <x:c r="M286" s="6" t="str"/>
      <x:c r="N286" s="6" t="str">
        <x:v>Pending</x:v>
      </x:c>
      <x:c r="O286" s="7" t="str">
        <x:f>IF(OR(D286="Reviewer Complete",D286="Awaiting Second-Level Approval"),"","Service identity dependency unresolved")</x:f>
        <x:v>Service identity dependency unresolved</x:v>
      </x:c>
      <x:c r="P286" s="6" t="str">
        <x:v>Yes</x:v>
      </x:c>
      <x:c r="Q286" s="7" t="str"/>
    </x:row>
    <x:row r="287">
      <x:c r="A287" s="6" t="str">
        <x:v>PRTX-0286</x:v>
      </x:c>
      <x:c r="B287" s="6" t="str">
        <x:v>SVC000286</x:v>
      </x:c>
      <x:c r="C287" s="6" t="str">
        <x:v>SIDX-0286</x:v>
      </x:c>
      <x:c r="D287" s="6" t="str">
        <x:f>IFERROR(XLOOKUP(C287,'Review Sequence'!C2:C1586,'Review Sequence'!J2:J1586),"Dependency not found")</x:f>
        <x:v>Not Started</x:v>
      </x:c>
      <x:c r="E287" s="6" t="str"/>
      <x:c r="F287" s="6" t="str"/>
      <x:c r="G287" s="6" t="str"/>
      <x:c r="H287" s="6" t="str">
        <x:v>Unknown</x:v>
      </x:c>
      <x:c r="I287" s="6" t="str"/>
      <x:c r="J287" s="6" t="str">
        <x:v>Unresolved</x:v>
      </x:c>
      <x:c r="K287" s="7" t="str">
        <x:v>Nocturnix_Master_Services_Catalog_v1.xlsx | 01 - Master Services | row 326</x:v>
      </x:c>
      <x:c r="L287" s="6" t="str"/>
      <x:c r="M287" s="6" t="str"/>
      <x:c r="N287" s="6" t="str">
        <x:v>Pending</x:v>
      </x:c>
      <x:c r="O287" s="7" t="str">
        <x:f>IF(OR(D287="Reviewer Complete",D287="Awaiting Second-Level Approval"),"","Service identity dependency unresolved")</x:f>
        <x:v>Service identity dependency unresolved</x:v>
      </x:c>
      <x:c r="P287" s="6" t="str">
        <x:v>Yes</x:v>
      </x:c>
      <x:c r="Q287" s="7" t="str"/>
    </x:row>
    <x:row r="288">
      <x:c r="A288" s="6" t="str">
        <x:v>PRTX-0287</x:v>
      </x:c>
      <x:c r="B288" s="6" t="str">
        <x:v>SVC000287</x:v>
      </x:c>
      <x:c r="C288" s="6" t="str">
        <x:v>SIDX-0287</x:v>
      </x:c>
      <x:c r="D288" s="6" t="str">
        <x:f>IFERROR(XLOOKUP(C288,'Review Sequence'!C2:C1586,'Review Sequence'!J2:J1586),"Dependency not found")</x:f>
        <x:v>Not Started</x:v>
      </x:c>
      <x:c r="E288" s="6" t="str"/>
      <x:c r="F288" s="6" t="str"/>
      <x:c r="G288" s="6" t="str"/>
      <x:c r="H288" s="6" t="str">
        <x:v>Unknown</x:v>
      </x:c>
      <x:c r="I288" s="6" t="str"/>
      <x:c r="J288" s="6" t="str">
        <x:v>Unresolved</x:v>
      </x:c>
      <x:c r="K288" s="7" t="str">
        <x:v>Nocturnix_Master_Services_Catalog_v1.xlsx | 01 - Master Services | row 327</x:v>
      </x:c>
      <x:c r="L288" s="6" t="str"/>
      <x:c r="M288" s="6" t="str"/>
      <x:c r="N288" s="6" t="str">
        <x:v>Pending</x:v>
      </x:c>
      <x:c r="O288" s="7" t="str">
        <x:f>IF(OR(D288="Reviewer Complete",D288="Awaiting Second-Level Approval"),"","Service identity dependency unresolved")</x:f>
        <x:v>Service identity dependency unresolved</x:v>
      </x:c>
      <x:c r="P288" s="6" t="str">
        <x:v>Yes</x:v>
      </x:c>
      <x:c r="Q288" s="7" t="str"/>
    </x:row>
    <x:row r="289">
      <x:c r="A289" s="6" t="str">
        <x:v>PRTX-0288</x:v>
      </x:c>
      <x:c r="B289" s="6" t="str">
        <x:v>SVC000288</x:v>
      </x:c>
      <x:c r="C289" s="6" t="str">
        <x:v>SIDX-0288</x:v>
      </x:c>
      <x:c r="D289" s="6" t="str">
        <x:f>IFERROR(XLOOKUP(C289,'Review Sequence'!C2:C1586,'Review Sequence'!J2:J1586),"Dependency not found")</x:f>
        <x:v>Not Started</x:v>
      </x:c>
      <x:c r="E289" s="6" t="str"/>
      <x:c r="F289" s="6" t="str"/>
      <x:c r="G289" s="6" t="str"/>
      <x:c r="H289" s="6" t="str">
        <x:v>Unknown</x:v>
      </x:c>
      <x:c r="I289" s="6" t="str"/>
      <x:c r="J289" s="6" t="str">
        <x:v>Unresolved</x:v>
      </x:c>
      <x:c r="K289" s="7" t="str">
        <x:v>Nocturnix_Master_Services_Catalog_v1.xlsx | 01 - Master Services | row 328</x:v>
      </x:c>
      <x:c r="L289" s="6" t="str"/>
      <x:c r="M289" s="6" t="str"/>
      <x:c r="N289" s="6" t="str">
        <x:v>Pending</x:v>
      </x:c>
      <x:c r="O289" s="7" t="str">
        <x:f>IF(OR(D289="Reviewer Complete",D289="Awaiting Second-Level Approval"),"","Service identity dependency unresolved")</x:f>
        <x:v>Service identity dependency unresolved</x:v>
      </x:c>
      <x:c r="P289" s="6" t="str">
        <x:v>Yes</x:v>
      </x:c>
      <x:c r="Q289" s="7" t="str"/>
    </x:row>
    <x:row r="290">
      <x:c r="A290" s="6" t="str">
        <x:v>PRTX-0289</x:v>
      </x:c>
      <x:c r="B290" s="6" t="str">
        <x:v>SVC000289</x:v>
      </x:c>
      <x:c r="C290" s="6" t="str">
        <x:v>SIDX-0289</x:v>
      </x:c>
      <x:c r="D290" s="6" t="str">
        <x:f>IFERROR(XLOOKUP(C290,'Review Sequence'!C2:C1586,'Review Sequence'!J2:J1586),"Dependency not found")</x:f>
        <x:v>Not Started</x:v>
      </x:c>
      <x:c r="E290" s="6" t="str"/>
      <x:c r="F290" s="6" t="str"/>
      <x:c r="G290" s="6" t="str"/>
      <x:c r="H290" s="6" t="str">
        <x:v>Unknown</x:v>
      </x:c>
      <x:c r="I290" s="6" t="str"/>
      <x:c r="J290" s="6" t="str">
        <x:v>Unresolved</x:v>
      </x:c>
      <x:c r="K290" s="7" t="str">
        <x:v>Nocturnix_Master_Services_Catalog_v1.xlsx | 01 - Master Services | row 329</x:v>
      </x:c>
      <x:c r="L290" s="6" t="str"/>
      <x:c r="M290" s="6" t="str"/>
      <x:c r="N290" s="6" t="str">
        <x:v>Pending</x:v>
      </x:c>
      <x:c r="O290" s="7" t="str">
        <x:f>IF(OR(D290="Reviewer Complete",D290="Awaiting Second-Level Approval"),"","Service identity dependency unresolved")</x:f>
        <x:v>Service identity dependency unresolved</x:v>
      </x:c>
      <x:c r="P290" s="6" t="str">
        <x:v>Yes</x:v>
      </x:c>
      <x:c r="Q290" s="7" t="str"/>
    </x:row>
    <x:row r="291">
      <x:c r="A291" s="6" t="str">
        <x:v>PRTX-0290</x:v>
      </x:c>
      <x:c r="B291" s="6" t="str">
        <x:v>SVC000290</x:v>
      </x:c>
      <x:c r="C291" s="6" t="str">
        <x:v>SIDX-0290</x:v>
      </x:c>
      <x:c r="D291" s="6" t="str">
        <x:f>IFERROR(XLOOKUP(C291,'Review Sequence'!C2:C1586,'Review Sequence'!J2:J1586),"Dependency not found")</x:f>
        <x:v>Not Started</x:v>
      </x:c>
      <x:c r="E291" s="6" t="str"/>
      <x:c r="F291" s="6" t="str"/>
      <x:c r="G291" s="6" t="str"/>
      <x:c r="H291" s="6" t="str">
        <x:v>Unknown</x:v>
      </x:c>
      <x:c r="I291" s="6" t="str"/>
      <x:c r="J291" s="6" t="str">
        <x:v>Unresolved</x:v>
      </x:c>
      <x:c r="K291" s="7" t="str">
        <x:v>Nocturnix_Master_Services_Catalog_v1.xlsx | 01 - Master Services | row 330</x:v>
      </x:c>
      <x:c r="L291" s="6" t="str"/>
      <x:c r="M291" s="6" t="str"/>
      <x:c r="N291" s="6" t="str">
        <x:v>Pending</x:v>
      </x:c>
      <x:c r="O291" s="7" t="str">
        <x:f>IF(OR(D291="Reviewer Complete",D291="Awaiting Second-Level Approval"),"","Service identity dependency unresolved")</x:f>
        <x:v>Service identity dependency unresolved</x:v>
      </x:c>
      <x:c r="P291" s="6" t="str">
        <x:v>Yes</x:v>
      </x:c>
      <x:c r="Q291" s="7" t="str"/>
    </x:row>
    <x:row r="292">
      <x:c r="A292" s="6" t="str">
        <x:v>PRTX-0291</x:v>
      </x:c>
      <x:c r="B292" s="6" t="str">
        <x:v>SVC000291</x:v>
      </x:c>
      <x:c r="C292" s="6" t="str">
        <x:v>SIDX-0291</x:v>
      </x:c>
      <x:c r="D292" s="6" t="str">
        <x:f>IFERROR(XLOOKUP(C292,'Review Sequence'!C2:C1586,'Review Sequence'!J2:J1586),"Dependency not found")</x:f>
        <x:v>Not Started</x:v>
      </x:c>
      <x:c r="E292" s="6" t="str"/>
      <x:c r="F292" s="6" t="str"/>
      <x:c r="G292" s="6" t="str"/>
      <x:c r="H292" s="6" t="str">
        <x:v>Unknown</x:v>
      </x:c>
      <x:c r="I292" s="6" t="str"/>
      <x:c r="J292" s="6" t="str">
        <x:v>Unresolved</x:v>
      </x:c>
      <x:c r="K292" s="7" t="str">
        <x:v>Nocturnix_Master_Services_Catalog_v1.xlsx | 01 - Master Services | row 331</x:v>
      </x:c>
      <x:c r="L292" s="6" t="str"/>
      <x:c r="M292" s="6" t="str"/>
      <x:c r="N292" s="6" t="str">
        <x:v>Pending</x:v>
      </x:c>
      <x:c r="O292" s="7" t="str">
        <x:f>IF(OR(D292="Reviewer Complete",D292="Awaiting Second-Level Approval"),"","Service identity dependency unresolved")</x:f>
        <x:v>Service identity dependency unresolved</x:v>
      </x:c>
      <x:c r="P292" s="6" t="str">
        <x:v>Yes</x:v>
      </x:c>
      <x:c r="Q292" s="7" t="str"/>
    </x:row>
    <x:row r="293">
      <x:c r="A293" s="6" t="str">
        <x:v>PRTX-0292</x:v>
      </x:c>
      <x:c r="B293" s="6" t="str">
        <x:v>SVC000292</x:v>
      </x:c>
      <x:c r="C293" s="6" t="str">
        <x:v>SIDX-0292</x:v>
      </x:c>
      <x:c r="D293" s="6" t="str">
        <x:f>IFERROR(XLOOKUP(C293,'Review Sequence'!C2:C1586,'Review Sequence'!J2:J1586),"Dependency not found")</x:f>
        <x:v>Not Started</x:v>
      </x:c>
      <x:c r="E293" s="6" t="str"/>
      <x:c r="F293" s="6" t="str"/>
      <x:c r="G293" s="6" t="str"/>
      <x:c r="H293" s="6" t="str">
        <x:v>Unknown</x:v>
      </x:c>
      <x:c r="I293" s="6" t="str"/>
      <x:c r="J293" s="6" t="str">
        <x:v>Unresolved</x:v>
      </x:c>
      <x:c r="K293" s="7" t="str">
        <x:v>Nocturnix_Master_Services_Catalog_v1.xlsx | 01 - Master Services | row 332</x:v>
      </x:c>
      <x:c r="L293" s="6" t="str"/>
      <x:c r="M293" s="6" t="str"/>
      <x:c r="N293" s="6" t="str">
        <x:v>Pending</x:v>
      </x:c>
      <x:c r="O293" s="7" t="str">
        <x:f>IF(OR(D293="Reviewer Complete",D293="Awaiting Second-Level Approval"),"","Service identity dependency unresolved")</x:f>
        <x:v>Service identity dependency unresolved</x:v>
      </x:c>
      <x:c r="P293" s="6" t="str">
        <x:v>Yes</x:v>
      </x:c>
      <x:c r="Q293" s="7" t="str"/>
    </x:row>
    <x:row r="294">
      <x:c r="A294" s="6" t="str">
        <x:v>PRTX-0293</x:v>
      </x:c>
      <x:c r="B294" s="6" t="str">
        <x:v>SVC000293</x:v>
      </x:c>
      <x:c r="C294" s="6" t="str">
        <x:v>SIDX-0293</x:v>
      </x:c>
      <x:c r="D294" s="6" t="str">
        <x:f>IFERROR(XLOOKUP(C294,'Review Sequence'!C2:C1586,'Review Sequence'!J2:J1586),"Dependency not found")</x:f>
        <x:v>Not Started</x:v>
      </x:c>
      <x:c r="E294" s="6" t="str"/>
      <x:c r="F294" s="6" t="str"/>
      <x:c r="G294" s="6" t="str"/>
      <x:c r="H294" s="6" t="str">
        <x:v>Unknown</x:v>
      </x:c>
      <x:c r="I294" s="6" t="str"/>
      <x:c r="J294" s="6" t="str">
        <x:v>Unresolved</x:v>
      </x:c>
      <x:c r="K294" s="7" t="str">
        <x:v>Nocturnix_Master_Services_Catalog_v1.xlsx | 01 - Master Services | row 333</x:v>
      </x:c>
      <x:c r="L294" s="6" t="str"/>
      <x:c r="M294" s="6" t="str"/>
      <x:c r="N294" s="6" t="str">
        <x:v>Pending</x:v>
      </x:c>
      <x:c r="O294" s="7" t="str">
        <x:f>IF(OR(D294="Reviewer Complete",D294="Awaiting Second-Level Approval"),"","Service identity dependency unresolved")</x:f>
        <x:v>Service identity dependency unresolved</x:v>
      </x:c>
      <x:c r="P294" s="6" t="str">
        <x:v>Yes</x:v>
      </x:c>
      <x:c r="Q294" s="7" t="str"/>
    </x:row>
    <x:row r="295">
      <x:c r="A295" s="6" t="str">
        <x:v>PRTX-0294</x:v>
      </x:c>
      <x:c r="B295" s="6" t="str">
        <x:v>SVC000294</x:v>
      </x:c>
      <x:c r="C295" s="6" t="str">
        <x:v>SIDX-0294</x:v>
      </x:c>
      <x:c r="D295" s="6" t="str">
        <x:f>IFERROR(XLOOKUP(C295,'Review Sequence'!C2:C1586,'Review Sequence'!J2:J1586),"Dependency not found")</x:f>
        <x:v>Not Started</x:v>
      </x:c>
      <x:c r="E295" s="6" t="str"/>
      <x:c r="F295" s="6" t="str"/>
      <x:c r="G295" s="6" t="str"/>
      <x:c r="H295" s="6" t="str">
        <x:v>Unknown</x:v>
      </x:c>
      <x:c r="I295" s="6" t="str"/>
      <x:c r="J295" s="6" t="str">
        <x:v>Unresolved</x:v>
      </x:c>
      <x:c r="K295" s="7" t="str">
        <x:v>Nocturnix_Master_Services_Catalog_v1.xlsx | 01 - Master Services | row 334</x:v>
      </x:c>
      <x:c r="L295" s="6" t="str"/>
      <x:c r="M295" s="6" t="str"/>
      <x:c r="N295" s="6" t="str">
        <x:v>Pending</x:v>
      </x:c>
      <x:c r="O295" s="7" t="str">
        <x:f>IF(OR(D295="Reviewer Complete",D295="Awaiting Second-Level Approval"),"","Service identity dependency unresolved")</x:f>
        <x:v>Service identity dependency unresolved</x:v>
      </x:c>
      <x:c r="P295" s="6" t="str">
        <x:v>Yes</x:v>
      </x:c>
      <x:c r="Q295" s="7" t="str"/>
    </x:row>
    <x:row r="296">
      <x:c r="A296" s="6" t="str">
        <x:v>PRTX-0295</x:v>
      </x:c>
      <x:c r="B296" s="6" t="str">
        <x:v>SVC000295</x:v>
      </x:c>
      <x:c r="C296" s="6" t="str">
        <x:v>SIDX-0295</x:v>
      </x:c>
      <x:c r="D296" s="6" t="str">
        <x:f>IFERROR(XLOOKUP(C296,'Review Sequence'!C2:C1586,'Review Sequence'!J2:J1586),"Dependency not found")</x:f>
        <x:v>Not Started</x:v>
      </x:c>
      <x:c r="E296" s="6" t="str"/>
      <x:c r="F296" s="6" t="str"/>
      <x:c r="G296" s="6" t="str"/>
      <x:c r="H296" s="6" t="str">
        <x:v>Unknown</x:v>
      </x:c>
      <x:c r="I296" s="6" t="str"/>
      <x:c r="J296" s="6" t="str">
        <x:v>Unresolved</x:v>
      </x:c>
      <x:c r="K296" s="7" t="str">
        <x:v>Nocturnix_Master_Services_Catalog_v1.xlsx | 01 - Master Services | row 335</x:v>
      </x:c>
      <x:c r="L296" s="6" t="str"/>
      <x:c r="M296" s="6" t="str"/>
      <x:c r="N296" s="6" t="str">
        <x:v>Pending</x:v>
      </x:c>
      <x:c r="O296" s="7" t="str">
        <x:f>IF(OR(D296="Reviewer Complete",D296="Awaiting Second-Level Approval"),"","Service identity dependency unresolved")</x:f>
        <x:v>Service identity dependency unresolved</x:v>
      </x:c>
      <x:c r="P296" s="6" t="str">
        <x:v>Yes</x:v>
      </x:c>
      <x:c r="Q296" s="7" t="str"/>
    </x:row>
    <x:row r="297">
      <x:c r="A297" s="6" t="str">
        <x:v>PRTX-0296</x:v>
      </x:c>
      <x:c r="B297" s="6" t="str">
        <x:v>SVC000296</x:v>
      </x:c>
      <x:c r="C297" s="6" t="str">
        <x:v>SIDX-0296</x:v>
      </x:c>
      <x:c r="D297" s="6" t="str">
        <x:f>IFERROR(XLOOKUP(C297,'Review Sequence'!C2:C1586,'Review Sequence'!J2:J1586),"Dependency not found")</x:f>
        <x:v>Not Started</x:v>
      </x:c>
      <x:c r="E297" s="6" t="str"/>
      <x:c r="F297" s="6" t="str"/>
      <x:c r="G297" s="6" t="str"/>
      <x:c r="H297" s="6" t="str">
        <x:v>Unknown</x:v>
      </x:c>
      <x:c r="I297" s="6" t="str"/>
      <x:c r="J297" s="6" t="str">
        <x:v>Unresolved</x:v>
      </x:c>
      <x:c r="K297" s="7" t="str">
        <x:v>Nocturnix_Master_Services_Catalog_v1.xlsx | 01 - Master Services | row 336</x:v>
      </x:c>
      <x:c r="L297" s="6" t="str"/>
      <x:c r="M297" s="6" t="str"/>
      <x:c r="N297" s="6" t="str">
        <x:v>Pending</x:v>
      </x:c>
      <x:c r="O297" s="7" t="str">
        <x:f>IF(OR(D297="Reviewer Complete",D297="Awaiting Second-Level Approval"),"","Service identity dependency unresolved")</x:f>
        <x:v>Service identity dependency unresolved</x:v>
      </x:c>
      <x:c r="P297" s="6" t="str">
        <x:v>Yes</x:v>
      </x:c>
      <x:c r="Q297" s="7" t="str"/>
    </x:row>
    <x:row r="298">
      <x:c r="A298" s="6" t="str">
        <x:v>PRTX-0297</x:v>
      </x:c>
      <x:c r="B298" s="6" t="str">
        <x:v>SVC000297</x:v>
      </x:c>
      <x:c r="C298" s="6" t="str">
        <x:v>SIDX-0297</x:v>
      </x:c>
      <x:c r="D298" s="6" t="str">
        <x:f>IFERROR(XLOOKUP(C298,'Review Sequence'!C2:C1586,'Review Sequence'!J2:J1586),"Dependency not found")</x:f>
        <x:v>Not Started</x:v>
      </x:c>
      <x:c r="E298" s="6" t="str"/>
      <x:c r="F298" s="6" t="str"/>
      <x:c r="G298" s="6" t="str"/>
      <x:c r="H298" s="6" t="str">
        <x:v>Unknown</x:v>
      </x:c>
      <x:c r="I298" s="6" t="str"/>
      <x:c r="J298" s="6" t="str">
        <x:v>Unresolved</x:v>
      </x:c>
      <x:c r="K298" s="7" t="str">
        <x:v>Nocturnix_Master_Services_Catalog_v1.xlsx | 01 - Master Services | row 337</x:v>
      </x:c>
      <x:c r="L298" s="6" t="str"/>
      <x:c r="M298" s="6" t="str"/>
      <x:c r="N298" s="6" t="str">
        <x:v>Pending</x:v>
      </x:c>
      <x:c r="O298" s="7" t="str">
        <x:f>IF(OR(D298="Reviewer Complete",D298="Awaiting Second-Level Approval"),"","Service identity dependency unresolved")</x:f>
        <x:v>Service identity dependency unresolved</x:v>
      </x:c>
      <x:c r="P298" s="6" t="str">
        <x:v>Yes</x:v>
      </x:c>
      <x:c r="Q298" s="7" t="str"/>
    </x:row>
    <x:row r="299">
      <x:c r="A299" s="6" t="str">
        <x:v>PRTX-0298</x:v>
      </x:c>
      <x:c r="B299" s="6" t="str">
        <x:v>SVC000298</x:v>
      </x:c>
      <x:c r="C299" s="6" t="str">
        <x:v>SIDX-0298</x:v>
      </x:c>
      <x:c r="D299" s="6" t="str">
        <x:f>IFERROR(XLOOKUP(C299,'Review Sequence'!C2:C1586,'Review Sequence'!J2:J1586),"Dependency not found")</x:f>
        <x:v>Not Started</x:v>
      </x:c>
      <x:c r="E299" s="6" t="str"/>
      <x:c r="F299" s="6" t="str"/>
      <x:c r="G299" s="6" t="str"/>
      <x:c r="H299" s="6" t="str">
        <x:v>Unknown</x:v>
      </x:c>
      <x:c r="I299" s="6" t="str"/>
      <x:c r="J299" s="6" t="str">
        <x:v>Unresolved</x:v>
      </x:c>
      <x:c r="K299" s="7" t="str">
        <x:v>Nocturnix_Master_Services_Catalog_v1.xlsx | 01 - Master Services | row 338</x:v>
      </x:c>
      <x:c r="L299" s="6" t="str"/>
      <x:c r="M299" s="6" t="str"/>
      <x:c r="N299" s="6" t="str">
        <x:v>Pending</x:v>
      </x:c>
      <x:c r="O299" s="7" t="str">
        <x:f>IF(OR(D299="Reviewer Complete",D299="Awaiting Second-Level Approval"),"","Service identity dependency unresolved")</x:f>
        <x:v>Service identity dependency unresolved</x:v>
      </x:c>
      <x:c r="P299" s="6" t="str">
        <x:v>Yes</x:v>
      </x:c>
      <x:c r="Q299" s="7" t="str"/>
    </x:row>
    <x:row r="300">
      <x:c r="A300" s="6" t="str">
        <x:v>PRTX-0299</x:v>
      </x:c>
      <x:c r="B300" s="6" t="str">
        <x:v>SVC000299</x:v>
      </x:c>
      <x:c r="C300" s="6" t="str">
        <x:v>SIDX-0299</x:v>
      </x:c>
      <x:c r="D300" s="6" t="str">
        <x:f>IFERROR(XLOOKUP(C300,'Review Sequence'!C2:C1586,'Review Sequence'!J2:J1586),"Dependency not found")</x:f>
        <x:v>Not Started</x:v>
      </x:c>
      <x:c r="E300" s="6" t="str"/>
      <x:c r="F300" s="6" t="str"/>
      <x:c r="G300" s="6" t="str"/>
      <x:c r="H300" s="6" t="str">
        <x:v>Unknown</x:v>
      </x:c>
      <x:c r="I300" s="6" t="str"/>
      <x:c r="J300" s="6" t="str">
        <x:v>Unresolved</x:v>
      </x:c>
      <x:c r="K300" s="7" t="str">
        <x:v>Nocturnix_Master_Services_Catalog_v1.xlsx | 01 - Master Services | row 339</x:v>
      </x:c>
      <x:c r="L300" s="6" t="str"/>
      <x:c r="M300" s="6" t="str"/>
      <x:c r="N300" s="6" t="str">
        <x:v>Pending</x:v>
      </x:c>
      <x:c r="O300" s="7" t="str">
        <x:f>IF(OR(D300="Reviewer Complete",D300="Awaiting Second-Level Approval"),"","Service identity dependency unresolved")</x:f>
        <x:v>Service identity dependency unresolved</x:v>
      </x:c>
      <x:c r="P300" s="6" t="str">
        <x:v>Yes</x:v>
      </x:c>
      <x:c r="Q300" s="7" t="str"/>
    </x:row>
    <x:row r="301">
      <x:c r="A301" s="6" t="str">
        <x:v>PRTX-0300</x:v>
      </x:c>
      <x:c r="B301" s="6" t="str">
        <x:v>SVC000300</x:v>
      </x:c>
      <x:c r="C301" s="6" t="str">
        <x:v>SIDX-0300</x:v>
      </x:c>
      <x:c r="D301" s="6" t="str">
        <x:f>IFERROR(XLOOKUP(C301,'Review Sequence'!C2:C1586,'Review Sequence'!J2:J1586),"Dependency not found")</x:f>
        <x:v>Not Started</x:v>
      </x:c>
      <x:c r="E301" s="6" t="str"/>
      <x:c r="F301" s="6" t="str"/>
      <x:c r="G301" s="6" t="str"/>
      <x:c r="H301" s="6" t="str">
        <x:v>Unknown</x:v>
      </x:c>
      <x:c r="I301" s="6" t="str"/>
      <x:c r="J301" s="6" t="str">
        <x:v>Unresolved</x:v>
      </x:c>
      <x:c r="K301" s="7" t="str">
        <x:v>Nocturnix_Master_Services_Catalog_v1.xlsx | 01 - Master Services | row 340</x:v>
      </x:c>
      <x:c r="L301" s="6" t="str"/>
      <x:c r="M301" s="6" t="str"/>
      <x:c r="N301" s="6" t="str">
        <x:v>Pending</x:v>
      </x:c>
      <x:c r="O301" s="7" t="str">
        <x:f>IF(OR(D301="Reviewer Complete",D301="Awaiting Second-Level Approval"),"","Service identity dependency unresolved")</x:f>
        <x:v>Service identity dependency unresolved</x:v>
      </x:c>
      <x:c r="P301" s="6" t="str">
        <x:v>Yes</x:v>
      </x:c>
      <x:c r="Q301" s="7" t="str"/>
    </x:row>
    <x:row r="302">
      <x:c r="A302" s="6" t="str">
        <x:v>PRTX-0301</x:v>
      </x:c>
      <x:c r="B302" s="6" t="str">
        <x:v>SVC000301</x:v>
      </x:c>
      <x:c r="C302" s="6" t="str">
        <x:v>SIDX-0301</x:v>
      </x:c>
      <x:c r="D302" s="6" t="str">
        <x:f>IFERROR(XLOOKUP(C302,'Review Sequence'!C2:C1586,'Review Sequence'!J2:J1586),"Dependency not found")</x:f>
        <x:v>Not Started</x:v>
      </x:c>
      <x:c r="E302" s="6" t="str"/>
      <x:c r="F302" s="6" t="str"/>
      <x:c r="G302" s="6" t="str"/>
      <x:c r="H302" s="6" t="str">
        <x:v>Unknown</x:v>
      </x:c>
      <x:c r="I302" s="6" t="str"/>
      <x:c r="J302" s="6" t="str">
        <x:v>Unresolved</x:v>
      </x:c>
      <x:c r="K302" s="7" t="str">
        <x:v>Nocturnix_Master_Services_Catalog_v1.xlsx | 01 - Master Services | row 341</x:v>
      </x:c>
      <x:c r="L302" s="6" t="str"/>
      <x:c r="M302" s="6" t="str"/>
      <x:c r="N302" s="6" t="str">
        <x:v>Pending</x:v>
      </x:c>
      <x:c r="O302" s="7" t="str">
        <x:f>IF(OR(D302="Reviewer Complete",D302="Awaiting Second-Level Approval"),"","Service identity dependency unresolved")</x:f>
        <x:v>Service identity dependency unresolved</x:v>
      </x:c>
      <x:c r="P302" s="6" t="str">
        <x:v>Yes</x:v>
      </x:c>
      <x:c r="Q302" s="7" t="str"/>
    </x:row>
    <x:row r="303">
      <x:c r="A303" s="6" t="str">
        <x:v>PRTX-0302</x:v>
      </x:c>
      <x:c r="B303" s="6" t="str">
        <x:v>SVC000302</x:v>
      </x:c>
      <x:c r="C303" s="6" t="str">
        <x:v>SIDX-0302</x:v>
      </x:c>
      <x:c r="D303" s="6" t="str">
        <x:f>IFERROR(XLOOKUP(C303,'Review Sequence'!C2:C1586,'Review Sequence'!J2:J1586),"Dependency not found")</x:f>
        <x:v>Not Started</x:v>
      </x:c>
      <x:c r="E303" s="6" t="str"/>
      <x:c r="F303" s="6" t="str"/>
      <x:c r="G303" s="6" t="str"/>
      <x:c r="H303" s="6" t="str">
        <x:v>Unknown</x:v>
      </x:c>
      <x:c r="I303" s="6" t="str"/>
      <x:c r="J303" s="6" t="str">
        <x:v>Unresolved</x:v>
      </x:c>
      <x:c r="K303" s="7" t="str">
        <x:v>Nocturnix_Master_Services_Catalog_v1.xlsx | 01 - Master Services | row 342</x:v>
      </x:c>
      <x:c r="L303" s="6" t="str"/>
      <x:c r="M303" s="6" t="str"/>
      <x:c r="N303" s="6" t="str">
        <x:v>Pending</x:v>
      </x:c>
      <x:c r="O303" s="7" t="str">
        <x:f>IF(OR(D303="Reviewer Complete",D303="Awaiting Second-Level Approval"),"","Service identity dependency unresolved")</x:f>
        <x:v>Service identity dependency unresolved</x:v>
      </x:c>
      <x:c r="P303" s="6" t="str">
        <x:v>Yes</x:v>
      </x:c>
      <x:c r="Q303" s="7" t="str"/>
    </x:row>
    <x:row r="304">
      <x:c r="A304" s="6" t="str">
        <x:v>PRTX-0303</x:v>
      </x:c>
      <x:c r="B304" s="6" t="str">
        <x:v>SVC000303</x:v>
      </x:c>
      <x:c r="C304" s="6" t="str">
        <x:v>SIDX-0303</x:v>
      </x:c>
      <x:c r="D304" s="6" t="str">
        <x:f>IFERROR(XLOOKUP(C304,'Review Sequence'!C2:C1586,'Review Sequence'!J2:J1586),"Dependency not found")</x:f>
        <x:v>Not Started</x:v>
      </x:c>
      <x:c r="E304" s="6" t="str"/>
      <x:c r="F304" s="6" t="str"/>
      <x:c r="G304" s="6" t="str"/>
      <x:c r="H304" s="6" t="str">
        <x:v>Unknown</x:v>
      </x:c>
      <x:c r="I304" s="6" t="str"/>
      <x:c r="J304" s="6" t="str">
        <x:v>Unresolved</x:v>
      </x:c>
      <x:c r="K304" s="7" t="str">
        <x:v>Nocturnix_Master_Services_Catalog_v1.xlsx | 01 - Master Services | row 343</x:v>
      </x:c>
      <x:c r="L304" s="6" t="str"/>
      <x:c r="M304" s="6" t="str"/>
      <x:c r="N304" s="6" t="str">
        <x:v>Pending</x:v>
      </x:c>
      <x:c r="O304" s="7" t="str">
        <x:f>IF(OR(D304="Reviewer Complete",D304="Awaiting Second-Level Approval"),"","Service identity dependency unresolved")</x:f>
        <x:v>Service identity dependency unresolved</x:v>
      </x:c>
      <x:c r="P304" s="6" t="str">
        <x:v>Yes</x:v>
      </x:c>
      <x:c r="Q304" s="7" t="str"/>
    </x:row>
    <x:row r="305">
      <x:c r="A305" s="6" t="str">
        <x:v>PRTX-0304</x:v>
      </x:c>
      <x:c r="B305" s="6" t="str">
        <x:v>SVC000304</x:v>
      </x:c>
      <x:c r="C305" s="6" t="str">
        <x:v>SIDX-0304</x:v>
      </x:c>
      <x:c r="D305" s="6" t="str">
        <x:f>IFERROR(XLOOKUP(C305,'Review Sequence'!C2:C1586,'Review Sequence'!J2:J1586),"Dependency not found")</x:f>
        <x:v>Not Started</x:v>
      </x:c>
      <x:c r="E305" s="6" t="str"/>
      <x:c r="F305" s="6" t="str"/>
      <x:c r="G305" s="6" t="str"/>
      <x:c r="H305" s="6" t="str">
        <x:v>Unknown</x:v>
      </x:c>
      <x:c r="I305" s="6" t="str"/>
      <x:c r="J305" s="6" t="str">
        <x:v>Unresolved</x:v>
      </x:c>
      <x:c r="K305" s="7" t="str">
        <x:v>Nocturnix_Master_Services_Catalog_v1.xlsx | 01 - Master Services | row 344</x:v>
      </x:c>
      <x:c r="L305" s="6" t="str"/>
      <x:c r="M305" s="6" t="str"/>
      <x:c r="N305" s="6" t="str">
        <x:v>Pending</x:v>
      </x:c>
      <x:c r="O305" s="7" t="str">
        <x:f>IF(OR(D305="Reviewer Complete",D305="Awaiting Second-Level Approval"),"","Service identity dependency unresolved")</x:f>
        <x:v>Service identity dependency unresolved</x:v>
      </x:c>
      <x:c r="P305" s="6" t="str">
        <x:v>Yes</x:v>
      </x:c>
      <x:c r="Q305" s="7" t="str"/>
    </x:row>
    <x:row r="306">
      <x:c r="A306" s="6" t="str">
        <x:v>PRTX-0305</x:v>
      </x:c>
      <x:c r="B306" s="6" t="str">
        <x:v>SVC000305</x:v>
      </x:c>
      <x:c r="C306" s="6" t="str">
        <x:v>SIDX-0305</x:v>
      </x:c>
      <x:c r="D306" s="6" t="str">
        <x:f>IFERROR(XLOOKUP(C306,'Review Sequence'!C2:C1586,'Review Sequence'!J2:J1586),"Dependency not found")</x:f>
        <x:v>Not Started</x:v>
      </x:c>
      <x:c r="E306" s="6" t="str"/>
      <x:c r="F306" s="6" t="str"/>
      <x:c r="G306" s="6" t="str"/>
      <x:c r="H306" s="6" t="str">
        <x:v>Unknown</x:v>
      </x:c>
      <x:c r="I306" s="6" t="str"/>
      <x:c r="J306" s="6" t="str">
        <x:v>Unresolved</x:v>
      </x:c>
      <x:c r="K306" s="7" t="str">
        <x:v>Nocturnix_Master_Services_Catalog_v1.xlsx | 01 - Master Services | row 345</x:v>
      </x:c>
      <x:c r="L306" s="6" t="str"/>
      <x:c r="M306" s="6" t="str"/>
      <x:c r="N306" s="6" t="str">
        <x:v>Pending</x:v>
      </x:c>
      <x:c r="O306" s="7" t="str">
        <x:f>IF(OR(D306="Reviewer Complete",D306="Awaiting Second-Level Approval"),"","Service identity dependency unresolved")</x:f>
        <x:v>Service identity dependency unresolved</x:v>
      </x:c>
      <x:c r="P306" s="6" t="str">
        <x:v>Yes</x:v>
      </x:c>
      <x:c r="Q306" s="7" t="str"/>
    </x:row>
    <x:row r="307">
      <x:c r="A307" s="6" t="str">
        <x:v>PRTX-0306</x:v>
      </x:c>
      <x:c r="B307" s="6" t="str">
        <x:v>SVC000306</x:v>
      </x:c>
      <x:c r="C307" s="6" t="str">
        <x:v>SIDX-0306</x:v>
      </x:c>
      <x:c r="D307" s="6" t="str">
        <x:f>IFERROR(XLOOKUP(C307,'Review Sequence'!C2:C1586,'Review Sequence'!J2:J1586),"Dependency not found")</x:f>
        <x:v>Not Started</x:v>
      </x:c>
      <x:c r="E307" s="6" t="str"/>
      <x:c r="F307" s="6" t="str"/>
      <x:c r="G307" s="6" t="str"/>
      <x:c r="H307" s="6" t="str">
        <x:v>Unknown</x:v>
      </x:c>
      <x:c r="I307" s="6" t="str"/>
      <x:c r="J307" s="6" t="str">
        <x:v>Unresolved</x:v>
      </x:c>
      <x:c r="K307" s="7" t="str">
        <x:v>Nocturnix_Master_Services_Catalog_v1.xlsx | 01 - Master Services | row 346</x:v>
      </x:c>
      <x:c r="L307" s="6" t="str"/>
      <x:c r="M307" s="6" t="str"/>
      <x:c r="N307" s="6" t="str">
        <x:v>Pending</x:v>
      </x:c>
      <x:c r="O307" s="7" t="str">
        <x:f>IF(OR(D307="Reviewer Complete",D307="Awaiting Second-Level Approval"),"","Service identity dependency unresolved")</x:f>
        <x:v>Service identity dependency unresolved</x:v>
      </x:c>
      <x:c r="P307" s="6" t="str">
        <x:v>Yes</x:v>
      </x:c>
      <x:c r="Q307" s="7" t="str"/>
    </x:row>
    <x:row r="308">
      <x:c r="A308" s="6" t="str">
        <x:v>PRTX-0307</x:v>
      </x:c>
      <x:c r="B308" s="6" t="str">
        <x:v>SVC000307</x:v>
      </x:c>
      <x:c r="C308" s="6" t="str">
        <x:v>SIDX-0307</x:v>
      </x:c>
      <x:c r="D308" s="6" t="str">
        <x:f>IFERROR(XLOOKUP(C308,'Review Sequence'!C2:C1586,'Review Sequence'!J2:J1586),"Dependency not found")</x:f>
        <x:v>Not Started</x:v>
      </x:c>
      <x:c r="E308" s="6" t="str"/>
      <x:c r="F308" s="6" t="str"/>
      <x:c r="G308" s="6" t="str"/>
      <x:c r="H308" s="6" t="str">
        <x:v>Unknown</x:v>
      </x:c>
      <x:c r="I308" s="6" t="str"/>
      <x:c r="J308" s="6" t="str">
        <x:v>Unresolved</x:v>
      </x:c>
      <x:c r="K308" s="7" t="str">
        <x:v>Nocturnix_Master_Services_Catalog_v1.xlsx | 01 - Master Services | row 347</x:v>
      </x:c>
      <x:c r="L308" s="6" t="str"/>
      <x:c r="M308" s="6" t="str"/>
      <x:c r="N308" s="6" t="str">
        <x:v>Pending</x:v>
      </x:c>
      <x:c r="O308" s="7" t="str">
        <x:f>IF(OR(D308="Reviewer Complete",D308="Awaiting Second-Level Approval"),"","Service identity dependency unresolved")</x:f>
        <x:v>Service identity dependency unresolved</x:v>
      </x:c>
      <x:c r="P308" s="6" t="str">
        <x:v>Yes</x:v>
      </x:c>
      <x:c r="Q308" s="7" t="str"/>
    </x:row>
    <x:row r="309">
      <x:c r="A309" s="6" t="str">
        <x:v>PRTX-0308</x:v>
      </x:c>
      <x:c r="B309" s="6" t="str">
        <x:v>SVC000308</x:v>
      </x:c>
      <x:c r="C309" s="6" t="str">
        <x:v>SIDX-0308</x:v>
      </x:c>
      <x:c r="D309" s="6" t="str">
        <x:f>IFERROR(XLOOKUP(C309,'Review Sequence'!C2:C1586,'Review Sequence'!J2:J1586),"Dependency not found")</x:f>
        <x:v>Not Started</x:v>
      </x:c>
      <x:c r="E309" s="6" t="str"/>
      <x:c r="F309" s="6" t="str"/>
      <x:c r="G309" s="6" t="str"/>
      <x:c r="H309" s="6" t="str">
        <x:v>Unknown</x:v>
      </x:c>
      <x:c r="I309" s="6" t="str"/>
      <x:c r="J309" s="6" t="str">
        <x:v>Unresolved</x:v>
      </x:c>
      <x:c r="K309" s="7" t="str">
        <x:v>Nocturnix_Master_Services_Catalog_v1.xlsx | 01 - Master Services | row 348</x:v>
      </x:c>
      <x:c r="L309" s="6" t="str"/>
      <x:c r="M309" s="6" t="str"/>
      <x:c r="N309" s="6" t="str">
        <x:v>Pending</x:v>
      </x:c>
      <x:c r="O309" s="7" t="str">
        <x:f>IF(OR(D309="Reviewer Complete",D309="Awaiting Second-Level Approval"),"","Service identity dependency unresolved")</x:f>
        <x:v>Service identity dependency unresolved</x:v>
      </x:c>
      <x:c r="P309" s="6" t="str">
        <x:v>Yes</x:v>
      </x:c>
      <x:c r="Q309" s="7" t="str"/>
    </x:row>
    <x:row r="310">
      <x:c r="A310" s="6" t="str">
        <x:v>PRTX-0309</x:v>
      </x:c>
      <x:c r="B310" s="6" t="str">
        <x:v>SVC000309</x:v>
      </x:c>
      <x:c r="C310" s="6" t="str">
        <x:v>SIDX-0309</x:v>
      </x:c>
      <x:c r="D310" s="6" t="str">
        <x:f>IFERROR(XLOOKUP(C310,'Review Sequence'!C2:C1586,'Review Sequence'!J2:J1586),"Dependency not found")</x:f>
        <x:v>Not Started</x:v>
      </x:c>
      <x:c r="E310" s="6" t="str"/>
      <x:c r="F310" s="6" t="str"/>
      <x:c r="G310" s="6" t="str"/>
      <x:c r="H310" s="6" t="str">
        <x:v>Unknown</x:v>
      </x:c>
      <x:c r="I310" s="6" t="str"/>
      <x:c r="J310" s="6" t="str">
        <x:v>Unresolved</x:v>
      </x:c>
      <x:c r="K310" s="7" t="str">
        <x:v>Nocturnix_Master_Services_Catalog_v1.xlsx | 01 - Master Services | row 349</x:v>
      </x:c>
      <x:c r="L310" s="6" t="str"/>
      <x:c r="M310" s="6" t="str"/>
      <x:c r="N310" s="6" t="str">
        <x:v>Pending</x:v>
      </x:c>
      <x:c r="O310" s="7" t="str">
        <x:f>IF(OR(D310="Reviewer Complete",D310="Awaiting Second-Level Approval"),"","Service identity dependency unresolved")</x:f>
        <x:v>Service identity dependency unresolved</x:v>
      </x:c>
      <x:c r="P310" s="6" t="str">
        <x:v>Yes</x:v>
      </x:c>
      <x:c r="Q310" s="7" t="str"/>
    </x:row>
    <x:row r="311">
      <x:c r="A311" s="6" t="str">
        <x:v>PRTX-0310</x:v>
      </x:c>
      <x:c r="B311" s="6" t="str">
        <x:v>SVC000310</x:v>
      </x:c>
      <x:c r="C311" s="6" t="str">
        <x:v>SIDX-0310</x:v>
      </x:c>
      <x:c r="D311" s="6" t="str">
        <x:f>IFERROR(XLOOKUP(C311,'Review Sequence'!C2:C1586,'Review Sequence'!J2:J1586),"Dependency not found")</x:f>
        <x:v>Not Started</x:v>
      </x:c>
      <x:c r="E311" s="6" t="str"/>
      <x:c r="F311" s="6" t="str"/>
      <x:c r="G311" s="6" t="str"/>
      <x:c r="H311" s="6" t="str">
        <x:v>Unknown</x:v>
      </x:c>
      <x:c r="I311" s="6" t="str"/>
      <x:c r="J311" s="6" t="str">
        <x:v>Unresolved</x:v>
      </x:c>
      <x:c r="K311" s="7" t="str">
        <x:v>Nocturnix_Master_Services_Catalog_v1.xlsx | 01 - Master Services | row 350</x:v>
      </x:c>
      <x:c r="L311" s="6" t="str"/>
      <x:c r="M311" s="6" t="str"/>
      <x:c r="N311" s="6" t="str">
        <x:v>Pending</x:v>
      </x:c>
      <x:c r="O311" s="7" t="str">
        <x:f>IF(OR(D311="Reviewer Complete",D311="Awaiting Second-Level Approval"),"","Service identity dependency unresolved")</x:f>
        <x:v>Service identity dependency unresolved</x:v>
      </x:c>
      <x:c r="P311" s="6" t="str">
        <x:v>Yes</x:v>
      </x:c>
      <x:c r="Q311" s="7" t="str"/>
    </x:row>
    <x:row r="312">
      <x:c r="A312" s="6" t="str">
        <x:v>PRTX-0311</x:v>
      </x:c>
      <x:c r="B312" s="6" t="str">
        <x:v>SVC000311</x:v>
      </x:c>
      <x:c r="C312" s="6" t="str">
        <x:v>SIDX-0311</x:v>
      </x:c>
      <x:c r="D312" s="6" t="str">
        <x:f>IFERROR(XLOOKUP(C312,'Review Sequence'!C2:C1586,'Review Sequence'!J2:J1586),"Dependency not found")</x:f>
        <x:v>Not Started</x:v>
      </x:c>
      <x:c r="E312" s="6" t="str"/>
      <x:c r="F312" s="6" t="str"/>
      <x:c r="G312" s="6" t="str"/>
      <x:c r="H312" s="6" t="str">
        <x:v>Unknown</x:v>
      </x:c>
      <x:c r="I312" s="6" t="str"/>
      <x:c r="J312" s="6" t="str">
        <x:v>Unresolved</x:v>
      </x:c>
      <x:c r="K312" s="7" t="str">
        <x:v>Nocturnix_Master_Services_Catalog_v1.xlsx | 01 - Master Services | row 351</x:v>
      </x:c>
      <x:c r="L312" s="6" t="str"/>
      <x:c r="M312" s="6" t="str"/>
      <x:c r="N312" s="6" t="str">
        <x:v>Pending</x:v>
      </x:c>
      <x:c r="O312" s="7" t="str">
        <x:f>IF(OR(D312="Reviewer Complete",D312="Awaiting Second-Level Approval"),"","Service identity dependency unresolved")</x:f>
        <x:v>Service identity dependency unresolved</x:v>
      </x:c>
      <x:c r="P312" s="6" t="str">
        <x:v>Yes</x:v>
      </x:c>
      <x:c r="Q312" s="7" t="str"/>
    </x:row>
    <x:row r="313">
      <x:c r="A313" s="6" t="str">
        <x:v>PRTX-0312</x:v>
      </x:c>
      <x:c r="B313" s="6" t="str">
        <x:v>SVC000312</x:v>
      </x:c>
      <x:c r="C313" s="6" t="str">
        <x:v>SIDX-0312</x:v>
      </x:c>
      <x:c r="D313" s="6" t="str">
        <x:f>IFERROR(XLOOKUP(C313,'Review Sequence'!C2:C1586,'Review Sequence'!J2:J1586),"Dependency not found")</x:f>
        <x:v>Not Started</x:v>
      </x:c>
      <x:c r="E313" s="6" t="str"/>
      <x:c r="F313" s="6" t="str"/>
      <x:c r="G313" s="6" t="str"/>
      <x:c r="H313" s="6" t="str">
        <x:v>Unknown</x:v>
      </x:c>
      <x:c r="I313" s="6" t="str"/>
      <x:c r="J313" s="6" t="str">
        <x:v>Unresolved</x:v>
      </x:c>
      <x:c r="K313" s="7" t="str">
        <x:v>Nocturnix_Master_Services_Catalog_v1.xlsx | 01 - Master Services | row 352</x:v>
      </x:c>
      <x:c r="L313" s="6" t="str"/>
      <x:c r="M313" s="6" t="str"/>
      <x:c r="N313" s="6" t="str">
        <x:v>Pending</x:v>
      </x:c>
      <x:c r="O313" s="7" t="str">
        <x:f>IF(OR(D313="Reviewer Complete",D313="Awaiting Second-Level Approval"),"","Service identity dependency unresolved")</x:f>
        <x:v>Service identity dependency unresolved</x:v>
      </x:c>
      <x:c r="P313" s="6" t="str">
        <x:v>Yes</x:v>
      </x:c>
      <x:c r="Q313" s="7" t="str"/>
    </x:row>
    <x:row r="314">
      <x:c r="A314" s="6" t="str">
        <x:v>PRTX-0313</x:v>
      </x:c>
      <x:c r="B314" s="6" t="str">
        <x:v>SVC000313</x:v>
      </x:c>
      <x:c r="C314" s="6" t="str">
        <x:v>SIDX-0313</x:v>
      </x:c>
      <x:c r="D314" s="6" t="str">
        <x:f>IFERROR(XLOOKUP(C314,'Review Sequence'!C2:C1586,'Review Sequence'!J2:J1586),"Dependency not found")</x:f>
        <x:v>Not Started</x:v>
      </x:c>
      <x:c r="E314" s="6" t="str"/>
      <x:c r="F314" s="6" t="str"/>
      <x:c r="G314" s="6" t="str"/>
      <x:c r="H314" s="6" t="str">
        <x:v>Unknown</x:v>
      </x:c>
      <x:c r="I314" s="6" t="str"/>
      <x:c r="J314" s="6" t="str">
        <x:v>Unresolved</x:v>
      </x:c>
      <x:c r="K314" s="7" t="str">
        <x:v>Nocturnix_Master_Services_Catalog_v1.xlsx | 01 - Master Services | row 353</x:v>
      </x:c>
      <x:c r="L314" s="6" t="str"/>
      <x:c r="M314" s="6" t="str"/>
      <x:c r="N314" s="6" t="str">
        <x:v>Pending</x:v>
      </x:c>
      <x:c r="O314" s="7" t="str">
        <x:f>IF(OR(D314="Reviewer Complete",D314="Awaiting Second-Level Approval"),"","Service identity dependency unresolved")</x:f>
        <x:v>Service identity dependency unresolved</x:v>
      </x:c>
      <x:c r="P314" s="6" t="str">
        <x:v>Yes</x:v>
      </x:c>
      <x:c r="Q314" s="7" t="str"/>
    </x:row>
    <x:row r="315">
      <x:c r="A315" s="6" t="str">
        <x:v>PRTX-0314</x:v>
      </x:c>
      <x:c r="B315" s="6" t="str">
        <x:v>SVC000314</x:v>
      </x:c>
      <x:c r="C315" s="6" t="str">
        <x:v>SIDX-0314</x:v>
      </x:c>
      <x:c r="D315" s="6" t="str">
        <x:f>IFERROR(XLOOKUP(C315,'Review Sequence'!C2:C1586,'Review Sequence'!J2:J1586),"Dependency not found")</x:f>
        <x:v>Not Started</x:v>
      </x:c>
      <x:c r="E315" s="6" t="str"/>
      <x:c r="F315" s="6" t="str"/>
      <x:c r="G315" s="6" t="str"/>
      <x:c r="H315" s="6" t="str">
        <x:v>Unknown</x:v>
      </x:c>
      <x:c r="I315" s="6" t="str"/>
      <x:c r="J315" s="6" t="str">
        <x:v>Unresolved</x:v>
      </x:c>
      <x:c r="K315" s="7" t="str">
        <x:v>Nocturnix_Master_Services_Catalog_v1.xlsx | 01 - Master Services | row 354</x:v>
      </x:c>
      <x:c r="L315" s="6" t="str"/>
      <x:c r="M315" s="6" t="str"/>
      <x:c r="N315" s="6" t="str">
        <x:v>Pending</x:v>
      </x:c>
      <x:c r="O315" s="7" t="str">
        <x:f>IF(OR(D315="Reviewer Complete",D315="Awaiting Second-Level Approval"),"","Service identity dependency unresolved")</x:f>
        <x:v>Service identity dependency unresolved</x:v>
      </x:c>
      <x:c r="P315" s="6" t="str">
        <x:v>Yes</x:v>
      </x:c>
      <x:c r="Q315" s="7" t="str"/>
    </x:row>
  </x:sheetData>
  <x:dataValidations count="6">
    <x:dataValidation type="list" sqref="H2:H315">
      <x:formula1>"Required,Optional,Conditional,Consumable,Tool,Unknown,Not Applicable"</x:formula1>
    </x:dataValidation>
    <x:dataValidation type="list" sqref="J2:J315">
      <x:formula1>"Confirm Current Identity,Propose Identity Change,Keep Separate,Suspected Duplicate,Reject Source Record,Escalate,Unresolved"</x:formula1>
    </x:dataValidation>
    <x:dataValidation type="list" sqref="N2:N315">
      <x:formula1>"Pending,Approved,Rejected,Escalated,Not Approved"</x:formula1>
    </x:dataValidation>
    <x:dataValidation type="list" sqref="P2:P315">
      <x:formula1>"Yes,No"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  <x:dataValidation type="list" sqref="F2:F315">
      <x:formula1>"PRT000001,PRT000002,PRT000003,PRT000004,PRT000005,PRT000006,PRT000007,PRT000008,PRT000009,PRT000010,PRT000011,PRT000012,PRT000013,PRT000014,PRT000015,PRT000016,PRT000017,PRT000018,PRT000019,PRT000020,PRT000021,PRT000022,PRT000023,PRT000024,PRT000025,PRT000026,PRT000027,PRT000028,PRT000029,PRT000030,PRT000031,PRT000032,PRT000033,PRT000034,PRT000035,PRT000036,PRT000037,PRT000038,PRT000039,PRT000040,PRT000041,PRT000042,PRT000043,PRT000044,PRT000045,PRT000046,PRT000047,PRT000048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4bfd34d6db45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10.75" hidden="0" customWidth="1"/>
    <x:col min="3" max="3" width="24.8799991607666" hidden="0" customWidth="1"/>
    <x:col min="4" max="4" width="17.8799991607666" hidden="0" customWidth="1"/>
    <x:col min="5" max="5" width="17.1299991607666" hidden="0" customWidth="1"/>
    <x:col min="6" max="6" width="19.8799991607666" hidden="0" customWidth="1"/>
    <x:col min="7" max="7" width="17.25" hidden="0" customWidth="1"/>
    <x:col min="8" max="8" width="18.3799991607666" hidden="0" customWidth="1"/>
    <x:col min="9" max="9" width="23.1299991607666" hidden="0" customWidth="1"/>
    <x:col min="10" max="10" width="17.25" hidden="0" customWidth="1"/>
    <x:col min="11" max="11" width="18.25" hidden="0" customWidth="1"/>
    <x:col min="12" max="12" width="17" hidden="0" customWidth="1"/>
    <x:col min="13" max="13" width="54.630001068115234" hidden="0" customWidth="1"/>
    <x:col min="14" max="14" width="14.880000114440918" hidden="0" customWidth="1"/>
    <x:col min="15" max="15" width="12.380000114440918" hidden="0" customWidth="1"/>
    <x:col min="16" max="16" width="25.75" hidden="0" customWidth="1"/>
    <x:col min="17" max="17" width="14" hidden="0" customWidth="1"/>
    <x:col min="18" max="18" width="18.25" hidden="0" customWidth="1"/>
    <x:col min="19" max="19" width="7.630000114440918" hidden="0" customWidth="1"/>
  </x:cols>
  <x:sheetData>
    <x:row r="1">
      <x:c r="A1" s="5" t="str">
        <x:v>Execution Item ID</x:v>
      </x:c>
      <x:c r="B1" s="5" t="str">
        <x:v>Service ID</x:v>
      </x:c>
      <x:c r="C1" s="5" t="str">
        <x:v>Service Identity Dependency</x:v>
      </x:c>
      <x:c r="D1" s="5" t="str">
        <x:v>Dependency Status</x:v>
      </x:c>
      <x:c r="E1" s="5" t="str">
        <x:v>Observed Labor ID</x:v>
      </x:c>
      <x:c r="F1" s="5" t="str">
        <x:v>Observed Labor Name</x:v>
      </x:c>
      <x:c r="G1" s="5" t="str">
        <x:v>Observed Duration</x:v>
      </x:c>
      <x:c r="H1" s="5" t="str">
        <x:v>Observed Skill Level</x:v>
      </x:c>
      <x:c r="I1" s="5" t="str">
        <x:v>Proposed Labor Reference</x:v>
      </x:c>
      <x:c r="J1" s="5" t="str">
        <x:v>Proposed Duration</x:v>
      </x:c>
      <x:c r="K1" s="5" t="str">
        <x:v>Proposed Skill Level</x:v>
      </x:c>
      <x:c r="L1" s="5" t="str">
        <x:v>Reviewer Decision</x:v>
      </x:c>
      <x:c r="M1" s="5" t="str">
        <x:v>Evidence Reference</x:v>
      </x:c>
      <x:c r="N1" s="5" t="str">
        <x:v>Reviewer Name</x:v>
      </x:c>
      <x:c r="O1" s="5" t="str">
        <x:v>Review Date</x:v>
      </x:c>
      <x:c r="P1" s="5" t="str">
        <x:v>Second-Level Approval Status</x:v>
      </x:c>
      <x:c r="Q1" s="5" t="str">
        <x:v>Blocking Issue</x:v>
      </x:c>
      <x:c r="R1" s="5" t="str">
        <x:v>Escalation Required</x:v>
      </x:c>
      <x:c r="S1" s="5" t="str">
        <x:v>Notes</x:v>
      </x:c>
    </x:row>
    <x:row r="2">
      <x:c r="A2" s="6" t="str">
        <x:v>LABX-0001</x:v>
      </x:c>
      <x:c r="B2" s="6" t="str">
        <x:v>SVC000001</x:v>
      </x:c>
      <x:c r="C2" s="6" t="str">
        <x:v>SIDX-0001</x:v>
      </x:c>
      <x:c r="D2" s="6" t="str">
        <x:f>IFERROR(XLOOKUP(C2,'Review Sequence'!C2:C1586,'Review Sequence'!J2:J1586),"Dependency not found")</x:f>
        <x:v>Not Started</x:v>
      </x:c>
      <x:c r="E2" s="6" t="str"/>
      <x:c r="F2" s="6" t="str"/>
      <x:c r="G2" s="6" t="str"/>
      <x:c r="H2" s="6" t="str"/>
      <x:c r="I2" s="6" t="str"/>
      <x:c r="J2" s="6" t="str"/>
      <x:c r="K2" s="6" t="str"/>
      <x:c r="L2" s="6" t="str">
        <x:v>Unresolved</x:v>
      </x:c>
      <x:c r="M2" s="7" t="str">
        <x:v>Nocturnix_Master_Services_Catalog_v1.xlsx | 01 - Master Services | row 41</x:v>
      </x:c>
      <x:c r="N2" s="6" t="str"/>
      <x:c r="O2" s="6" t="str"/>
      <x:c r="P2" s="6" t="str">
        <x:v>Pending</x:v>
      </x:c>
      <x:c r="Q2" s="7" t="str">
        <x:f>IF(OR(D2="Reviewer Complete",D2="Awaiting Second-Level Approval"),"","Service identity dependency unresolved")</x:f>
        <x:v>Service identity dependency unresolved</x:v>
      </x:c>
      <x:c r="R2" s="6" t="str">
        <x:v>Yes</x:v>
      </x:c>
      <x:c r="S2" s="7" t="str"/>
    </x:row>
    <x:row r="3">
      <x:c r="A3" s="6" t="str">
        <x:v>LABX-0002</x:v>
      </x:c>
      <x:c r="B3" s="6" t="str">
        <x:v>SVC000002</x:v>
      </x:c>
      <x:c r="C3" s="6" t="str">
        <x:v>SIDX-0002</x:v>
      </x:c>
      <x:c r="D3" s="6" t="str">
        <x:f>IFERROR(XLOOKUP(C3,'Review Sequence'!C2:C1586,'Review Sequence'!J2:J1586),"Dependency not found")</x:f>
        <x:v>Not Started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>
        <x:v>Unresolved</x:v>
      </x:c>
      <x:c r="M3" s="7" t="str">
        <x:v>Nocturnix_Master_Services_Catalog_v1.xlsx | 01 - Master Services | row 42</x:v>
      </x:c>
      <x:c r="N3" s="6" t="str"/>
      <x:c r="O3" s="6" t="str"/>
      <x:c r="P3" s="6" t="str">
        <x:v>Pending</x:v>
      </x:c>
      <x:c r="Q3" s="7" t="str">
        <x:f>IF(OR(D3="Reviewer Complete",D3="Awaiting Second-Level Approval"),"","Service identity dependency unresolved")</x:f>
        <x:v>Service identity dependency unresolved</x:v>
      </x:c>
      <x:c r="R3" s="6" t="str">
        <x:v>Yes</x:v>
      </x:c>
      <x:c r="S3" s="7" t="str"/>
    </x:row>
    <x:row r="4">
      <x:c r="A4" s="6" t="str">
        <x:v>LABX-0003</x:v>
      </x:c>
      <x:c r="B4" s="6" t="str">
        <x:v>SVC000003</x:v>
      </x:c>
      <x:c r="C4" s="6" t="str">
        <x:v>SIDX-0003</x:v>
      </x:c>
      <x:c r="D4" s="6" t="str">
        <x:f>IFERROR(XLOOKUP(C4,'Review Sequence'!C2:C1586,'Review Sequence'!J2:J1586),"Dependency not found")</x:f>
        <x:v>Not Started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>
        <x:v>Unresolved</x:v>
      </x:c>
      <x:c r="M4" s="7" t="str">
        <x:v>Nocturnix_Master_Services_Catalog_v1.xlsx | 01 - Master Services | row 43</x:v>
      </x:c>
      <x:c r="N4" s="6" t="str"/>
      <x:c r="O4" s="6" t="str"/>
      <x:c r="P4" s="6" t="str">
        <x:v>Pending</x:v>
      </x:c>
      <x:c r="Q4" s="7" t="str">
        <x:f>IF(OR(D4="Reviewer Complete",D4="Awaiting Second-Level Approval"),"","Service identity dependency unresolved")</x:f>
        <x:v>Service identity dependency unresolved</x:v>
      </x:c>
      <x:c r="R4" s="6" t="str">
        <x:v>Yes</x:v>
      </x:c>
      <x:c r="S4" s="7" t="str"/>
    </x:row>
    <x:row r="5">
      <x:c r="A5" s="6" t="str">
        <x:v>LABX-0004</x:v>
      </x:c>
      <x:c r="B5" s="6" t="str">
        <x:v>SVC000004</x:v>
      </x:c>
      <x:c r="C5" s="6" t="str">
        <x:v>SIDX-0004</x:v>
      </x:c>
      <x:c r="D5" s="6" t="str">
        <x:f>IFERROR(XLOOKUP(C5,'Review Sequence'!C2:C1586,'Review Sequence'!J2:J1586),"Dependency not found")</x:f>
        <x:v>Not Started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>
        <x:v>Unresolved</x:v>
      </x:c>
      <x:c r="M5" s="7" t="str">
        <x:v>Nocturnix_Master_Services_Catalog_v1.xlsx | 01 - Master Services | row 44</x:v>
      </x:c>
      <x:c r="N5" s="6" t="str"/>
      <x:c r="O5" s="6" t="str"/>
      <x:c r="P5" s="6" t="str">
        <x:v>Pending</x:v>
      </x:c>
      <x:c r="Q5" s="7" t="str">
        <x:f>IF(OR(D5="Reviewer Complete",D5="Awaiting Second-Level Approval"),"","Service identity dependency unresolved")</x:f>
        <x:v>Service identity dependency unresolved</x:v>
      </x:c>
      <x:c r="R5" s="6" t="str">
        <x:v>Yes</x:v>
      </x:c>
      <x:c r="S5" s="7" t="str"/>
    </x:row>
    <x:row r="6">
      <x:c r="A6" s="6" t="str">
        <x:v>LABX-0005</x:v>
      </x:c>
      <x:c r="B6" s="6" t="str">
        <x:v>SVC000005</x:v>
      </x:c>
      <x:c r="C6" s="6" t="str">
        <x:v>SIDX-0005</x:v>
      </x:c>
      <x:c r="D6" s="6" t="str">
        <x:f>IFERROR(XLOOKUP(C6,'Review Sequence'!C2:C1586,'Review Sequence'!J2:J1586),"Dependency not found")</x:f>
        <x:v>Not Started</x:v>
      </x:c>
      <x:c r="E6" s="6" t="str"/>
      <x:c r="F6" s="6" t="str"/>
      <x:c r="G6" s="6" t="str"/>
      <x:c r="H6" s="6" t="str"/>
      <x:c r="I6" s="6" t="str"/>
      <x:c r="J6" s="6" t="str"/>
      <x:c r="K6" s="6" t="str"/>
      <x:c r="L6" s="6" t="str">
        <x:v>Unresolved</x:v>
      </x:c>
      <x:c r="M6" s="7" t="str">
        <x:v>Nocturnix_Master_Services_Catalog_v1.xlsx | 01 - Master Services | row 45</x:v>
      </x:c>
      <x:c r="N6" s="6" t="str"/>
      <x:c r="O6" s="6" t="str"/>
      <x:c r="P6" s="6" t="str">
        <x:v>Pending</x:v>
      </x:c>
      <x:c r="Q6" s="7" t="str">
        <x:f>IF(OR(D6="Reviewer Complete",D6="Awaiting Second-Level Approval"),"","Service identity dependency unresolved")</x:f>
        <x:v>Service identity dependency unresolved</x:v>
      </x:c>
      <x:c r="R6" s="6" t="str">
        <x:v>Yes</x:v>
      </x:c>
      <x:c r="S6" s="7" t="str"/>
    </x:row>
    <x:row r="7">
      <x:c r="A7" s="6" t="str">
        <x:v>LABX-0006</x:v>
      </x:c>
      <x:c r="B7" s="6" t="str">
        <x:v>SVC000006</x:v>
      </x:c>
      <x:c r="C7" s="6" t="str">
        <x:v>SIDX-0006</x:v>
      </x:c>
      <x:c r="D7" s="6" t="str">
        <x:f>IFERROR(XLOOKUP(C7,'Review Sequence'!C2:C1586,'Review Sequence'!J2:J1586),"Dependency not found")</x:f>
        <x:v>Not Started</x:v>
      </x:c>
      <x:c r="E7" s="6" t="str"/>
      <x:c r="F7" s="6" t="str"/>
      <x:c r="G7" s="6" t="str"/>
      <x:c r="H7" s="6" t="str"/>
      <x:c r="I7" s="6" t="str"/>
      <x:c r="J7" s="6" t="str"/>
      <x:c r="K7" s="6" t="str"/>
      <x:c r="L7" s="6" t="str">
        <x:v>Unresolved</x:v>
      </x:c>
      <x:c r="M7" s="7" t="str">
        <x:v>Nocturnix_Master_Services_Catalog_v1.xlsx | 01 - Master Services | row 46</x:v>
      </x:c>
      <x:c r="N7" s="6" t="str"/>
      <x:c r="O7" s="6" t="str"/>
      <x:c r="P7" s="6" t="str">
        <x:v>Pending</x:v>
      </x:c>
      <x:c r="Q7" s="7" t="str">
        <x:f>IF(OR(D7="Reviewer Complete",D7="Awaiting Second-Level Approval"),"","Service identity dependency unresolved")</x:f>
        <x:v>Service identity dependency unresolved</x:v>
      </x:c>
      <x:c r="R7" s="6" t="str">
        <x:v>Yes</x:v>
      </x:c>
      <x:c r="S7" s="7" t="str"/>
    </x:row>
    <x:row r="8">
      <x:c r="A8" s="6" t="str">
        <x:v>LABX-0007</x:v>
      </x:c>
      <x:c r="B8" s="6" t="str">
        <x:v>SVC000007</x:v>
      </x:c>
      <x:c r="C8" s="6" t="str">
        <x:v>SIDX-0007</x:v>
      </x:c>
      <x:c r="D8" s="6" t="str">
        <x:f>IFERROR(XLOOKUP(C8,'Review Sequence'!C2:C1586,'Review Sequence'!J2:J1586),"Dependency not found")</x:f>
        <x:v>Not Started</x:v>
      </x:c>
      <x:c r="E8" s="6" t="str"/>
      <x:c r="F8" s="6" t="str"/>
      <x:c r="G8" s="6" t="str"/>
      <x:c r="H8" s="6" t="str"/>
      <x:c r="I8" s="6" t="str"/>
      <x:c r="J8" s="6" t="str"/>
      <x:c r="K8" s="6" t="str"/>
      <x:c r="L8" s="6" t="str">
        <x:v>Unresolved</x:v>
      </x:c>
      <x:c r="M8" s="7" t="str">
        <x:v>Nocturnix_Master_Services_Catalog_v1.xlsx | 01 - Master Services | row 47</x:v>
      </x:c>
      <x:c r="N8" s="6" t="str"/>
      <x:c r="O8" s="6" t="str"/>
      <x:c r="P8" s="6" t="str">
        <x:v>Pending</x:v>
      </x:c>
      <x:c r="Q8" s="7" t="str">
        <x:f>IF(OR(D8="Reviewer Complete",D8="Awaiting Second-Level Approval"),"","Service identity dependency unresolved")</x:f>
        <x:v>Service identity dependency unresolved</x:v>
      </x:c>
      <x:c r="R8" s="6" t="str">
        <x:v>Yes</x:v>
      </x:c>
      <x:c r="S8" s="7" t="str"/>
    </x:row>
    <x:row r="9">
      <x:c r="A9" s="6" t="str">
        <x:v>LABX-0008</x:v>
      </x:c>
      <x:c r="B9" s="6" t="str">
        <x:v>SVC000008</x:v>
      </x:c>
      <x:c r="C9" s="6" t="str">
        <x:v>SIDX-0008</x:v>
      </x:c>
      <x:c r="D9" s="6" t="str">
        <x:f>IFERROR(XLOOKUP(C9,'Review Sequence'!C2:C1586,'Review Sequence'!J2:J1586),"Dependency not found")</x:f>
        <x:v>Not Started</x:v>
      </x:c>
      <x:c r="E9" s="6" t="str"/>
      <x:c r="F9" s="6" t="str"/>
      <x:c r="G9" s="6" t="str"/>
      <x:c r="H9" s="6" t="str"/>
      <x:c r="I9" s="6" t="str"/>
      <x:c r="J9" s="6" t="str"/>
      <x:c r="K9" s="6" t="str"/>
      <x:c r="L9" s="6" t="str">
        <x:v>Unresolved</x:v>
      </x:c>
      <x:c r="M9" s="7" t="str">
        <x:v>Nocturnix_Master_Services_Catalog_v1.xlsx | 01 - Master Services | row 48</x:v>
      </x:c>
      <x:c r="N9" s="6" t="str"/>
      <x:c r="O9" s="6" t="str"/>
      <x:c r="P9" s="6" t="str">
        <x:v>Pending</x:v>
      </x:c>
      <x:c r="Q9" s="7" t="str">
        <x:f>IF(OR(D9="Reviewer Complete",D9="Awaiting Second-Level Approval"),"","Service identity dependency unresolved")</x:f>
        <x:v>Service identity dependency unresolved</x:v>
      </x:c>
      <x:c r="R9" s="6" t="str">
        <x:v>Yes</x:v>
      </x:c>
      <x:c r="S9" s="7" t="str"/>
    </x:row>
    <x:row r="10">
      <x:c r="A10" s="6" t="str">
        <x:v>LABX-0009</x:v>
      </x:c>
      <x:c r="B10" s="6" t="str">
        <x:v>SVC000009</x:v>
      </x:c>
      <x:c r="C10" s="6" t="str">
        <x:v>SIDX-0009</x:v>
      </x:c>
      <x:c r="D10" s="6" t="str">
        <x:f>IFERROR(XLOOKUP(C10,'Review Sequence'!C2:C1586,'Review Sequence'!J2:J1586),"Dependency not found")</x:f>
        <x:v>Not Started</x:v>
      </x:c>
      <x:c r="E10" s="6" t="str"/>
      <x:c r="F10" s="6" t="str"/>
      <x:c r="G10" s="6" t="str"/>
      <x:c r="H10" s="6" t="str"/>
      <x:c r="I10" s="6" t="str"/>
      <x:c r="J10" s="6" t="str"/>
      <x:c r="K10" s="6" t="str"/>
      <x:c r="L10" s="6" t="str">
        <x:v>Unresolved</x:v>
      </x:c>
      <x:c r="M10" s="7" t="str">
        <x:v>Nocturnix_Master_Services_Catalog_v1.xlsx | 01 - Master Services | row 49</x:v>
      </x:c>
      <x:c r="N10" s="6" t="str"/>
      <x:c r="O10" s="6" t="str"/>
      <x:c r="P10" s="6" t="str">
        <x:v>Pending</x:v>
      </x:c>
      <x:c r="Q10" s="7" t="str">
        <x:f>IF(OR(D10="Reviewer Complete",D10="Awaiting Second-Level Approval"),"","Service identity dependency unresolved")</x:f>
        <x:v>Service identity dependency unresolved</x:v>
      </x:c>
      <x:c r="R10" s="6" t="str">
        <x:v>Yes</x:v>
      </x:c>
      <x:c r="S10" s="7" t="str"/>
    </x:row>
    <x:row r="11">
      <x:c r="A11" s="6" t="str">
        <x:v>LABX-0010</x:v>
      </x:c>
      <x:c r="B11" s="6" t="str">
        <x:v>SVC000010</x:v>
      </x:c>
      <x:c r="C11" s="6" t="str">
        <x:v>SIDX-0010</x:v>
      </x:c>
      <x:c r="D11" s="6" t="str">
        <x:f>IFERROR(XLOOKUP(C11,'Review Sequence'!C2:C1586,'Review Sequence'!J2:J1586),"Dependency not found")</x:f>
        <x:v>Not Started</x:v>
      </x:c>
      <x:c r="E11" s="6" t="str"/>
      <x:c r="F11" s="6" t="str"/>
      <x:c r="G11" s="6" t="str"/>
      <x:c r="H11" s="6" t="str"/>
      <x:c r="I11" s="6" t="str"/>
      <x:c r="J11" s="6" t="str"/>
      <x:c r="K11" s="6" t="str"/>
      <x:c r="L11" s="6" t="str">
        <x:v>Unresolved</x:v>
      </x:c>
      <x:c r="M11" s="7" t="str">
        <x:v>Nocturnix_Master_Services_Catalog_v1.xlsx | 01 - Master Services | row 50</x:v>
      </x:c>
      <x:c r="N11" s="6" t="str"/>
      <x:c r="O11" s="6" t="str"/>
      <x:c r="P11" s="6" t="str">
        <x:v>Pending</x:v>
      </x:c>
      <x:c r="Q11" s="7" t="str">
        <x:f>IF(OR(D11="Reviewer Complete",D11="Awaiting Second-Level Approval"),"","Service identity dependency unresolved")</x:f>
        <x:v>Service identity dependency unresolved</x:v>
      </x:c>
      <x:c r="R11" s="6" t="str">
        <x:v>Yes</x:v>
      </x:c>
      <x:c r="S11" s="7" t="str"/>
    </x:row>
    <x:row r="12">
      <x:c r="A12" s="6" t="str">
        <x:v>LABX-0011</x:v>
      </x:c>
      <x:c r="B12" s="6" t="str">
        <x:v>SVC000011</x:v>
      </x:c>
      <x:c r="C12" s="6" t="str">
        <x:v>SIDX-0011</x:v>
      </x:c>
      <x:c r="D12" s="6" t="str">
        <x:f>IFERROR(XLOOKUP(C12,'Review Sequence'!C2:C1586,'Review Sequence'!J2:J1586),"Dependency not found")</x:f>
        <x:v>Not Started</x:v>
      </x:c>
      <x:c r="E12" s="6" t="str"/>
      <x:c r="F12" s="6" t="str"/>
      <x:c r="G12" s="6" t="str"/>
      <x:c r="H12" s="6" t="str"/>
      <x:c r="I12" s="6" t="str"/>
      <x:c r="J12" s="6" t="str"/>
      <x:c r="K12" s="6" t="str"/>
      <x:c r="L12" s="6" t="str">
        <x:v>Unresolved</x:v>
      </x:c>
      <x:c r="M12" s="7" t="str">
        <x:v>Nocturnix_Master_Services_Catalog_v1.xlsx | 01 - Master Services | row 51</x:v>
      </x:c>
      <x:c r="N12" s="6" t="str"/>
      <x:c r="O12" s="6" t="str"/>
      <x:c r="P12" s="6" t="str">
        <x:v>Pending</x:v>
      </x:c>
      <x:c r="Q12" s="7" t="str">
        <x:f>IF(OR(D12="Reviewer Complete",D12="Awaiting Second-Level Approval"),"","Service identity dependency unresolved")</x:f>
        <x:v>Service identity dependency unresolved</x:v>
      </x:c>
      <x:c r="R12" s="6" t="str">
        <x:v>Yes</x:v>
      </x:c>
      <x:c r="S12" s="7" t="str"/>
    </x:row>
    <x:row r="13">
      <x:c r="A13" s="6" t="str">
        <x:v>LABX-0012</x:v>
      </x:c>
      <x:c r="B13" s="6" t="str">
        <x:v>SVC000012</x:v>
      </x:c>
      <x:c r="C13" s="6" t="str">
        <x:v>SIDX-0012</x:v>
      </x:c>
      <x:c r="D13" s="6" t="str">
        <x:f>IFERROR(XLOOKUP(C13,'Review Sequence'!C2:C1586,'Review Sequence'!J2:J1586),"Dependency not found")</x:f>
        <x:v>Not Started</x:v>
      </x:c>
      <x:c r="E13" s="6" t="str"/>
      <x:c r="F13" s="6" t="str"/>
      <x:c r="G13" s="6" t="str"/>
      <x:c r="H13" s="6" t="str"/>
      <x:c r="I13" s="6" t="str"/>
      <x:c r="J13" s="6" t="str"/>
      <x:c r="K13" s="6" t="str"/>
      <x:c r="L13" s="6" t="str">
        <x:v>Unresolved</x:v>
      </x:c>
      <x:c r="M13" s="7" t="str">
        <x:v>Nocturnix_Master_Services_Catalog_v1.xlsx | 01 - Master Services | row 52</x:v>
      </x:c>
      <x:c r="N13" s="6" t="str"/>
      <x:c r="O13" s="6" t="str"/>
      <x:c r="P13" s="6" t="str">
        <x:v>Pending</x:v>
      </x:c>
      <x:c r="Q13" s="7" t="str">
        <x:f>IF(OR(D13="Reviewer Complete",D13="Awaiting Second-Level Approval"),"","Service identity dependency unresolved")</x:f>
        <x:v>Service identity dependency unresolved</x:v>
      </x:c>
      <x:c r="R13" s="6" t="str">
        <x:v>Yes</x:v>
      </x:c>
      <x:c r="S13" s="7" t="str"/>
    </x:row>
    <x:row r="14">
      <x:c r="A14" s="6" t="str">
        <x:v>LABX-0013</x:v>
      </x:c>
      <x:c r="B14" s="6" t="str">
        <x:v>SVC000013</x:v>
      </x:c>
      <x:c r="C14" s="6" t="str">
        <x:v>SIDX-0013</x:v>
      </x:c>
      <x:c r="D14" s="6" t="str">
        <x:f>IFERROR(XLOOKUP(C14,'Review Sequence'!C2:C1586,'Review Sequence'!J2:J1586),"Dependency not found")</x:f>
        <x:v>Not Started</x:v>
      </x:c>
      <x:c r="E14" s="6" t="str"/>
      <x:c r="F14" s="6" t="str"/>
      <x:c r="G14" s="6" t="str"/>
      <x:c r="H14" s="6" t="str"/>
      <x:c r="I14" s="6" t="str"/>
      <x:c r="J14" s="6" t="str"/>
      <x:c r="K14" s="6" t="str"/>
      <x:c r="L14" s="6" t="str">
        <x:v>Unresolved</x:v>
      </x:c>
      <x:c r="M14" s="7" t="str">
        <x:v>Nocturnix_Master_Services_Catalog_v1.xlsx | 01 - Master Services | row 53</x:v>
      </x:c>
      <x:c r="N14" s="6" t="str"/>
      <x:c r="O14" s="6" t="str"/>
      <x:c r="P14" s="6" t="str">
        <x:v>Pending</x:v>
      </x:c>
      <x:c r="Q14" s="7" t="str">
        <x:f>IF(OR(D14="Reviewer Complete",D14="Awaiting Second-Level Approval"),"","Service identity dependency unresolved")</x:f>
        <x:v>Service identity dependency unresolved</x:v>
      </x:c>
      <x:c r="R14" s="6" t="str">
        <x:v>Yes</x:v>
      </x:c>
      <x:c r="S14" s="7" t="str"/>
    </x:row>
    <x:row r="15">
      <x:c r="A15" s="6" t="str">
        <x:v>LABX-0014</x:v>
      </x:c>
      <x:c r="B15" s="6" t="str">
        <x:v>SVC000014</x:v>
      </x:c>
      <x:c r="C15" s="6" t="str">
        <x:v>SIDX-0014</x:v>
      </x:c>
      <x:c r="D15" s="6" t="str">
        <x:f>IFERROR(XLOOKUP(C15,'Review Sequence'!C2:C1586,'Review Sequence'!J2:J1586),"Dependency not found")</x:f>
        <x:v>Not Started</x:v>
      </x:c>
      <x:c r="E15" s="6" t="str"/>
      <x:c r="F15" s="6" t="str"/>
      <x:c r="G15" s="6" t="str"/>
      <x:c r="H15" s="6" t="str"/>
      <x:c r="I15" s="6" t="str"/>
      <x:c r="J15" s="6" t="str"/>
      <x:c r="K15" s="6" t="str"/>
      <x:c r="L15" s="6" t="str">
        <x:v>Unresolved</x:v>
      </x:c>
      <x:c r="M15" s="7" t="str">
        <x:v>Nocturnix_Master_Services_Catalog_v1.xlsx | 01 - Master Services | row 54</x:v>
      </x:c>
      <x:c r="N15" s="6" t="str"/>
      <x:c r="O15" s="6" t="str"/>
      <x:c r="P15" s="6" t="str">
        <x:v>Pending</x:v>
      </x:c>
      <x:c r="Q15" s="7" t="str">
        <x:f>IF(OR(D15="Reviewer Complete",D15="Awaiting Second-Level Approval"),"","Service identity dependency unresolved")</x:f>
        <x:v>Service identity dependency unresolved</x:v>
      </x:c>
      <x:c r="R15" s="6" t="str">
        <x:v>Yes</x:v>
      </x:c>
      <x:c r="S15" s="7" t="str"/>
    </x:row>
    <x:row r="16">
      <x:c r="A16" s="6" t="str">
        <x:v>LABX-0015</x:v>
      </x:c>
      <x:c r="B16" s="6" t="str">
        <x:v>SVC000015</x:v>
      </x:c>
      <x:c r="C16" s="6" t="str">
        <x:v>SIDX-0015</x:v>
      </x:c>
      <x:c r="D16" s="6" t="str">
        <x:f>IFERROR(XLOOKUP(C16,'Review Sequence'!C2:C1586,'Review Sequence'!J2:J1586),"Dependency not found")</x:f>
        <x:v>Not Started</x:v>
      </x:c>
      <x:c r="E16" s="6" t="str"/>
      <x:c r="F16" s="6" t="str"/>
      <x:c r="G16" s="6" t="str"/>
      <x:c r="H16" s="6" t="str"/>
      <x:c r="I16" s="6" t="str"/>
      <x:c r="J16" s="6" t="str"/>
      <x:c r="K16" s="6" t="str"/>
      <x:c r="L16" s="6" t="str">
        <x:v>Unresolved</x:v>
      </x:c>
      <x:c r="M16" s="7" t="str">
        <x:v>Nocturnix_Master_Services_Catalog_v1.xlsx | 01 - Master Services | row 55</x:v>
      </x:c>
      <x:c r="N16" s="6" t="str"/>
      <x:c r="O16" s="6" t="str"/>
      <x:c r="P16" s="6" t="str">
        <x:v>Pending</x:v>
      </x:c>
      <x:c r="Q16" s="7" t="str">
        <x:f>IF(OR(D16="Reviewer Complete",D16="Awaiting Second-Level Approval"),"","Service identity dependency unresolved")</x:f>
        <x:v>Service identity dependency unresolved</x:v>
      </x:c>
      <x:c r="R16" s="6" t="str">
        <x:v>Yes</x:v>
      </x:c>
      <x:c r="S16" s="7" t="str"/>
    </x:row>
    <x:row r="17">
      <x:c r="A17" s="6" t="str">
        <x:v>LABX-0016</x:v>
      </x:c>
      <x:c r="B17" s="6" t="str">
        <x:v>SVC000016</x:v>
      </x:c>
      <x:c r="C17" s="6" t="str">
        <x:v>SIDX-0016</x:v>
      </x:c>
      <x:c r="D17" s="6" t="str">
        <x:f>IFERROR(XLOOKUP(C17,'Review Sequence'!C2:C1586,'Review Sequence'!J2:J1586),"Dependency not found")</x:f>
        <x:v>Not Started</x:v>
      </x:c>
      <x:c r="E17" s="6" t="str"/>
      <x:c r="F17" s="6" t="str"/>
      <x:c r="G17" s="6" t="str"/>
      <x:c r="H17" s="6" t="str"/>
      <x:c r="I17" s="6" t="str"/>
      <x:c r="J17" s="6" t="str"/>
      <x:c r="K17" s="6" t="str"/>
      <x:c r="L17" s="6" t="str">
        <x:v>Unresolved</x:v>
      </x:c>
      <x:c r="M17" s="7" t="str">
        <x:v>Nocturnix_Master_Services_Catalog_v1.xlsx | 01 - Master Services | row 56</x:v>
      </x:c>
      <x:c r="N17" s="6" t="str"/>
      <x:c r="O17" s="6" t="str"/>
      <x:c r="P17" s="6" t="str">
        <x:v>Pending</x:v>
      </x:c>
      <x:c r="Q17" s="7" t="str">
        <x:f>IF(OR(D17="Reviewer Complete",D17="Awaiting Second-Level Approval"),"","Service identity dependency unresolved")</x:f>
        <x:v>Service identity dependency unresolved</x:v>
      </x:c>
      <x:c r="R17" s="6" t="str">
        <x:v>Yes</x:v>
      </x:c>
      <x:c r="S17" s="7" t="str"/>
    </x:row>
    <x:row r="18">
      <x:c r="A18" s="6" t="str">
        <x:v>LABX-0017</x:v>
      </x:c>
      <x:c r="B18" s="6" t="str">
        <x:v>SVC000017</x:v>
      </x:c>
      <x:c r="C18" s="6" t="str">
        <x:v>SIDX-0017</x:v>
      </x:c>
      <x:c r="D18" s="6" t="str">
        <x:f>IFERROR(XLOOKUP(C18,'Review Sequence'!C2:C1586,'Review Sequence'!J2:J1586),"Dependency not found")</x:f>
        <x:v>Not Started</x:v>
      </x:c>
      <x:c r="E18" s="6" t="str"/>
      <x:c r="F18" s="6" t="str"/>
      <x:c r="G18" s="6" t="str"/>
      <x:c r="H18" s="6" t="str"/>
      <x:c r="I18" s="6" t="str"/>
      <x:c r="J18" s="6" t="str"/>
      <x:c r="K18" s="6" t="str"/>
      <x:c r="L18" s="6" t="str">
        <x:v>Unresolved</x:v>
      </x:c>
      <x:c r="M18" s="7" t="str">
        <x:v>Nocturnix_Master_Services_Catalog_v1.xlsx | 01 - Master Services | row 57</x:v>
      </x:c>
      <x:c r="N18" s="6" t="str"/>
      <x:c r="O18" s="6" t="str"/>
      <x:c r="P18" s="6" t="str">
        <x:v>Pending</x:v>
      </x:c>
      <x:c r="Q18" s="7" t="str">
        <x:f>IF(OR(D18="Reviewer Complete",D18="Awaiting Second-Level Approval"),"","Service identity dependency unresolved")</x:f>
        <x:v>Service identity dependency unresolved</x:v>
      </x:c>
      <x:c r="R18" s="6" t="str">
        <x:v>Yes</x:v>
      </x:c>
      <x:c r="S18" s="7" t="str"/>
    </x:row>
    <x:row r="19">
      <x:c r="A19" s="6" t="str">
        <x:v>LABX-0018</x:v>
      </x:c>
      <x:c r="B19" s="6" t="str">
        <x:v>SVC000018</x:v>
      </x:c>
      <x:c r="C19" s="6" t="str">
        <x:v>SIDX-0018</x:v>
      </x:c>
      <x:c r="D19" s="6" t="str">
        <x:f>IFERROR(XLOOKUP(C19,'Review Sequence'!C2:C1586,'Review Sequence'!J2:J1586),"Dependency not found")</x:f>
        <x:v>Not Started</x:v>
      </x:c>
      <x:c r="E19" s="6" t="str"/>
      <x:c r="F19" s="6" t="str"/>
      <x:c r="G19" s="6" t="str"/>
      <x:c r="H19" s="6" t="str"/>
      <x:c r="I19" s="6" t="str"/>
      <x:c r="J19" s="6" t="str"/>
      <x:c r="K19" s="6" t="str"/>
      <x:c r="L19" s="6" t="str">
        <x:v>Unresolved</x:v>
      </x:c>
      <x:c r="M19" s="7" t="str">
        <x:v>Nocturnix_Master_Services_Catalog_v1.xlsx | 01 - Master Services | row 58</x:v>
      </x:c>
      <x:c r="N19" s="6" t="str"/>
      <x:c r="O19" s="6" t="str"/>
      <x:c r="P19" s="6" t="str">
        <x:v>Pending</x:v>
      </x:c>
      <x:c r="Q19" s="7" t="str">
        <x:f>IF(OR(D19="Reviewer Complete",D19="Awaiting Second-Level Approval"),"","Service identity dependency unresolved")</x:f>
        <x:v>Service identity dependency unresolved</x:v>
      </x:c>
      <x:c r="R19" s="6" t="str">
        <x:v>Yes</x:v>
      </x:c>
      <x:c r="S19" s="7" t="str"/>
    </x:row>
    <x:row r="20">
      <x:c r="A20" s="6" t="str">
        <x:v>LABX-0019</x:v>
      </x:c>
      <x:c r="B20" s="6" t="str">
        <x:v>SVC000019</x:v>
      </x:c>
      <x:c r="C20" s="6" t="str">
        <x:v>SIDX-0019</x:v>
      </x:c>
      <x:c r="D20" s="6" t="str">
        <x:f>IFERROR(XLOOKUP(C20,'Review Sequence'!C2:C1586,'Review Sequence'!J2:J1586),"Dependency not found")</x:f>
        <x:v>Not Started</x:v>
      </x:c>
      <x:c r="E20" s="6" t="str"/>
      <x:c r="F20" s="6" t="str"/>
      <x:c r="G20" s="6" t="str"/>
      <x:c r="H20" s="6" t="str"/>
      <x:c r="I20" s="6" t="str"/>
      <x:c r="J20" s="6" t="str"/>
      <x:c r="K20" s="6" t="str"/>
      <x:c r="L20" s="6" t="str">
        <x:v>Unresolved</x:v>
      </x:c>
      <x:c r="M20" s="7" t="str">
        <x:v>Nocturnix_Master_Services_Catalog_v1.xlsx | 01 - Master Services | row 59</x:v>
      </x:c>
      <x:c r="N20" s="6" t="str"/>
      <x:c r="O20" s="6" t="str"/>
      <x:c r="P20" s="6" t="str">
        <x:v>Pending</x:v>
      </x:c>
      <x:c r="Q20" s="7" t="str">
        <x:f>IF(OR(D20="Reviewer Complete",D20="Awaiting Second-Level Approval"),"","Service identity dependency unresolved")</x:f>
        <x:v>Service identity dependency unresolved</x:v>
      </x:c>
      <x:c r="R20" s="6" t="str">
        <x:v>Yes</x:v>
      </x:c>
      <x:c r="S20" s="7" t="str"/>
    </x:row>
    <x:row r="21">
      <x:c r="A21" s="6" t="str">
        <x:v>LABX-0020</x:v>
      </x:c>
      <x:c r="B21" s="6" t="str">
        <x:v>SVC000020</x:v>
      </x:c>
      <x:c r="C21" s="6" t="str">
        <x:v>SIDX-0020</x:v>
      </x:c>
      <x:c r="D21" s="6" t="str">
        <x:f>IFERROR(XLOOKUP(C21,'Review Sequence'!C2:C1586,'Review Sequence'!J2:J1586),"Dependency not found")</x:f>
        <x:v>Not Started</x:v>
      </x:c>
      <x:c r="E21" s="6" t="str"/>
      <x:c r="F21" s="6" t="str"/>
      <x:c r="G21" s="6" t="str"/>
      <x:c r="H21" s="6" t="str"/>
      <x:c r="I21" s="6" t="str"/>
      <x:c r="J21" s="6" t="str"/>
      <x:c r="K21" s="6" t="str"/>
      <x:c r="L21" s="6" t="str">
        <x:v>Unresolved</x:v>
      </x:c>
      <x:c r="M21" s="7" t="str">
        <x:v>Nocturnix_Master_Services_Catalog_v1.xlsx | 01 - Master Services | row 60</x:v>
      </x:c>
      <x:c r="N21" s="6" t="str"/>
      <x:c r="O21" s="6" t="str"/>
      <x:c r="P21" s="6" t="str">
        <x:v>Pending</x:v>
      </x:c>
      <x:c r="Q21" s="7" t="str">
        <x:f>IF(OR(D21="Reviewer Complete",D21="Awaiting Second-Level Approval"),"","Service identity dependency unresolved")</x:f>
        <x:v>Service identity dependency unresolved</x:v>
      </x:c>
      <x:c r="R21" s="6" t="str">
        <x:v>Yes</x:v>
      </x:c>
      <x:c r="S21" s="7" t="str"/>
    </x:row>
    <x:row r="22">
      <x:c r="A22" s="6" t="str">
        <x:v>LABX-0021</x:v>
      </x:c>
      <x:c r="B22" s="6" t="str">
        <x:v>SVC000021</x:v>
      </x:c>
      <x:c r="C22" s="6" t="str">
        <x:v>SIDX-0021</x:v>
      </x:c>
      <x:c r="D22" s="6" t="str">
        <x:f>IFERROR(XLOOKUP(C22,'Review Sequence'!C2:C1586,'Review Sequence'!J2:J1586),"Dependency not found")</x:f>
        <x:v>Not Started</x:v>
      </x:c>
      <x:c r="E22" s="6" t="str"/>
      <x:c r="F22" s="6" t="str"/>
      <x:c r="G22" s="6" t="str"/>
      <x:c r="H22" s="6" t="str"/>
      <x:c r="I22" s="6" t="str"/>
      <x:c r="J22" s="6" t="str"/>
      <x:c r="K22" s="6" t="str"/>
      <x:c r="L22" s="6" t="str">
        <x:v>Unresolved</x:v>
      </x:c>
      <x:c r="M22" s="7" t="str">
        <x:v>Nocturnix_Master_Services_Catalog_v1.xlsx | 01 - Master Services | row 61</x:v>
      </x:c>
      <x:c r="N22" s="6" t="str"/>
      <x:c r="O22" s="6" t="str"/>
      <x:c r="P22" s="6" t="str">
        <x:v>Pending</x:v>
      </x:c>
      <x:c r="Q22" s="7" t="str">
        <x:f>IF(OR(D22="Reviewer Complete",D22="Awaiting Second-Level Approval"),"","Service identity dependency unresolved")</x:f>
        <x:v>Service identity dependency unresolved</x:v>
      </x:c>
      <x:c r="R22" s="6" t="str">
        <x:v>Yes</x:v>
      </x:c>
      <x:c r="S22" s="7" t="str"/>
    </x:row>
    <x:row r="23">
      <x:c r="A23" s="6" t="str">
        <x:v>LABX-0022</x:v>
      </x:c>
      <x:c r="B23" s="6" t="str">
        <x:v>SVC000022</x:v>
      </x:c>
      <x:c r="C23" s="6" t="str">
        <x:v>SIDX-0022</x:v>
      </x:c>
      <x:c r="D23" s="6" t="str">
        <x:f>IFERROR(XLOOKUP(C23,'Review Sequence'!C2:C1586,'Review Sequence'!J2:J1586),"Dependency not found")</x:f>
        <x:v>Not Started</x:v>
      </x:c>
      <x:c r="E23" s="6" t="str"/>
      <x:c r="F23" s="6" t="str"/>
      <x:c r="G23" s="6" t="str"/>
      <x:c r="H23" s="6" t="str"/>
      <x:c r="I23" s="6" t="str"/>
      <x:c r="J23" s="6" t="str"/>
      <x:c r="K23" s="6" t="str"/>
      <x:c r="L23" s="6" t="str">
        <x:v>Unresolved</x:v>
      </x:c>
      <x:c r="M23" s="7" t="str">
        <x:v>Nocturnix_Master_Services_Catalog_v1.xlsx | 01 - Master Services | row 62</x:v>
      </x:c>
      <x:c r="N23" s="6" t="str"/>
      <x:c r="O23" s="6" t="str"/>
      <x:c r="P23" s="6" t="str">
        <x:v>Pending</x:v>
      </x:c>
      <x:c r="Q23" s="7" t="str">
        <x:f>IF(OR(D23="Reviewer Complete",D23="Awaiting Second-Level Approval"),"","Service identity dependency unresolved")</x:f>
        <x:v>Service identity dependency unresolved</x:v>
      </x:c>
      <x:c r="R23" s="6" t="str">
        <x:v>Yes</x:v>
      </x:c>
      <x:c r="S23" s="7" t="str"/>
    </x:row>
    <x:row r="24">
      <x:c r="A24" s="6" t="str">
        <x:v>LABX-0023</x:v>
      </x:c>
      <x:c r="B24" s="6" t="str">
        <x:v>SVC000023</x:v>
      </x:c>
      <x:c r="C24" s="6" t="str">
        <x:v>SIDX-0023</x:v>
      </x:c>
      <x:c r="D24" s="6" t="str">
        <x:f>IFERROR(XLOOKUP(C24,'Review Sequence'!C2:C1586,'Review Sequence'!J2:J1586),"Dependency not found")</x:f>
        <x:v>Not Started</x:v>
      </x:c>
      <x:c r="E24" s="6" t="str"/>
      <x:c r="F24" s="6" t="str"/>
      <x:c r="G24" s="6" t="str"/>
      <x:c r="H24" s="6" t="str"/>
      <x:c r="I24" s="6" t="str"/>
      <x:c r="J24" s="6" t="str"/>
      <x:c r="K24" s="6" t="str"/>
      <x:c r="L24" s="6" t="str">
        <x:v>Unresolved</x:v>
      </x:c>
      <x:c r="M24" s="7" t="str">
        <x:v>Nocturnix_Master_Services_Catalog_v1.xlsx | 01 - Master Services | row 63</x:v>
      </x:c>
      <x:c r="N24" s="6" t="str"/>
      <x:c r="O24" s="6" t="str"/>
      <x:c r="P24" s="6" t="str">
        <x:v>Pending</x:v>
      </x:c>
      <x:c r="Q24" s="7" t="str">
        <x:f>IF(OR(D24="Reviewer Complete",D24="Awaiting Second-Level Approval"),"","Service identity dependency unresolved")</x:f>
        <x:v>Service identity dependency unresolved</x:v>
      </x:c>
      <x:c r="R24" s="6" t="str">
        <x:v>Yes</x:v>
      </x:c>
      <x:c r="S24" s="7" t="str"/>
    </x:row>
    <x:row r="25">
      <x:c r="A25" s="6" t="str">
        <x:v>LABX-0024</x:v>
      </x:c>
      <x:c r="B25" s="6" t="str">
        <x:v>SVC000024</x:v>
      </x:c>
      <x:c r="C25" s="6" t="str">
        <x:v>SIDX-0024</x:v>
      </x:c>
      <x:c r="D25" s="6" t="str">
        <x:f>IFERROR(XLOOKUP(C25,'Review Sequence'!C2:C1586,'Review Sequence'!J2:J1586),"Dependency not found")</x:f>
        <x:v>Not Started</x:v>
      </x:c>
      <x:c r="E25" s="6" t="str"/>
      <x:c r="F25" s="6" t="str"/>
      <x:c r="G25" s="6" t="str"/>
      <x:c r="H25" s="6" t="str"/>
      <x:c r="I25" s="6" t="str"/>
      <x:c r="J25" s="6" t="str"/>
      <x:c r="K25" s="6" t="str"/>
      <x:c r="L25" s="6" t="str">
        <x:v>Unresolved</x:v>
      </x:c>
      <x:c r="M25" s="7" t="str">
        <x:v>Nocturnix_Master_Services_Catalog_v1.xlsx | 01 - Master Services | row 64</x:v>
      </x:c>
      <x:c r="N25" s="6" t="str"/>
      <x:c r="O25" s="6" t="str"/>
      <x:c r="P25" s="6" t="str">
        <x:v>Pending</x:v>
      </x:c>
      <x:c r="Q25" s="7" t="str">
        <x:f>IF(OR(D25="Reviewer Complete",D25="Awaiting Second-Level Approval"),"","Service identity dependency unresolved")</x:f>
        <x:v>Service identity dependency unresolved</x:v>
      </x:c>
      <x:c r="R25" s="6" t="str">
        <x:v>Yes</x:v>
      </x:c>
      <x:c r="S25" s="7" t="str"/>
    </x:row>
    <x:row r="26">
      <x:c r="A26" s="6" t="str">
        <x:v>LABX-0025</x:v>
      </x:c>
      <x:c r="B26" s="6" t="str">
        <x:v>SVC000025</x:v>
      </x:c>
      <x:c r="C26" s="6" t="str">
        <x:v>SIDX-0025</x:v>
      </x:c>
      <x:c r="D26" s="6" t="str">
        <x:f>IFERROR(XLOOKUP(C26,'Review Sequence'!C2:C1586,'Review Sequence'!J2:J1586),"Dependency not found")</x:f>
        <x:v>Not Started</x:v>
      </x:c>
      <x:c r="E26" s="6" t="str"/>
      <x:c r="F26" s="6" t="str"/>
      <x:c r="G26" s="6" t="str"/>
      <x:c r="H26" s="6" t="str"/>
      <x:c r="I26" s="6" t="str"/>
      <x:c r="J26" s="6" t="str"/>
      <x:c r="K26" s="6" t="str"/>
      <x:c r="L26" s="6" t="str">
        <x:v>Unresolved</x:v>
      </x:c>
      <x:c r="M26" s="7" t="str">
        <x:v>Nocturnix_Master_Services_Catalog_v1.xlsx | 01 - Master Services | row 65</x:v>
      </x:c>
      <x:c r="N26" s="6" t="str"/>
      <x:c r="O26" s="6" t="str"/>
      <x:c r="P26" s="6" t="str">
        <x:v>Pending</x:v>
      </x:c>
      <x:c r="Q26" s="7" t="str">
        <x:f>IF(OR(D26="Reviewer Complete",D26="Awaiting Second-Level Approval"),"","Service identity dependency unresolved")</x:f>
        <x:v>Service identity dependency unresolved</x:v>
      </x:c>
      <x:c r="R26" s="6" t="str">
        <x:v>Yes</x:v>
      </x:c>
      <x:c r="S26" s="7" t="str"/>
    </x:row>
    <x:row r="27">
      <x:c r="A27" s="6" t="str">
        <x:v>LABX-0026</x:v>
      </x:c>
      <x:c r="B27" s="6" t="str">
        <x:v>SVC000026</x:v>
      </x:c>
      <x:c r="C27" s="6" t="str">
        <x:v>SIDX-0026</x:v>
      </x:c>
      <x:c r="D27" s="6" t="str">
        <x:f>IFERROR(XLOOKUP(C27,'Review Sequence'!C2:C1586,'Review Sequence'!J2:J1586),"Dependency not found")</x:f>
        <x:v>Not Started</x:v>
      </x:c>
      <x:c r="E27" s="6" t="str"/>
      <x:c r="F27" s="6" t="str"/>
      <x:c r="G27" s="6" t="str"/>
      <x:c r="H27" s="6" t="str"/>
      <x:c r="I27" s="6" t="str"/>
      <x:c r="J27" s="6" t="str"/>
      <x:c r="K27" s="6" t="str"/>
      <x:c r="L27" s="6" t="str">
        <x:v>Unresolved</x:v>
      </x:c>
      <x:c r="M27" s="7" t="str">
        <x:v>Nocturnix_Master_Services_Catalog_v1.xlsx | 01 - Master Services | row 66</x:v>
      </x:c>
      <x:c r="N27" s="6" t="str"/>
      <x:c r="O27" s="6" t="str"/>
      <x:c r="P27" s="6" t="str">
        <x:v>Pending</x:v>
      </x:c>
      <x:c r="Q27" s="7" t="str">
        <x:f>IF(OR(D27="Reviewer Complete",D27="Awaiting Second-Level Approval"),"","Service identity dependency unresolved")</x:f>
        <x:v>Service identity dependency unresolved</x:v>
      </x:c>
      <x:c r="R27" s="6" t="str">
        <x:v>Yes</x:v>
      </x:c>
      <x:c r="S27" s="7" t="str"/>
    </x:row>
    <x:row r="28">
      <x:c r="A28" s="6" t="str">
        <x:v>LABX-0027</x:v>
      </x:c>
      <x:c r="B28" s="6" t="str">
        <x:v>SVC000027</x:v>
      </x:c>
      <x:c r="C28" s="6" t="str">
        <x:v>SIDX-0027</x:v>
      </x:c>
      <x:c r="D28" s="6" t="str">
        <x:f>IFERROR(XLOOKUP(C28,'Review Sequence'!C2:C1586,'Review Sequence'!J2:J1586),"Dependency not found")</x:f>
        <x:v>Not Started</x:v>
      </x:c>
      <x:c r="E28" s="6" t="str"/>
      <x:c r="F28" s="6" t="str"/>
      <x:c r="G28" s="6" t="str"/>
      <x:c r="H28" s="6" t="str"/>
      <x:c r="I28" s="6" t="str"/>
      <x:c r="J28" s="6" t="str"/>
      <x:c r="K28" s="6" t="str"/>
      <x:c r="L28" s="6" t="str">
        <x:v>Unresolved</x:v>
      </x:c>
      <x:c r="M28" s="7" t="str">
        <x:v>Nocturnix_Master_Services_Catalog_v1.xlsx | 01 - Master Services | row 67</x:v>
      </x:c>
      <x:c r="N28" s="6" t="str"/>
      <x:c r="O28" s="6" t="str"/>
      <x:c r="P28" s="6" t="str">
        <x:v>Pending</x:v>
      </x:c>
      <x:c r="Q28" s="7" t="str">
        <x:f>IF(OR(D28="Reviewer Complete",D28="Awaiting Second-Level Approval"),"","Service identity dependency unresolved")</x:f>
        <x:v>Service identity dependency unresolved</x:v>
      </x:c>
      <x:c r="R28" s="6" t="str">
        <x:v>Yes</x:v>
      </x:c>
      <x:c r="S28" s="7" t="str"/>
    </x:row>
    <x:row r="29">
      <x:c r="A29" s="6" t="str">
        <x:v>LABX-0028</x:v>
      </x:c>
      <x:c r="B29" s="6" t="str">
        <x:v>SVC000028</x:v>
      </x:c>
      <x:c r="C29" s="6" t="str">
        <x:v>SIDX-0028</x:v>
      </x:c>
      <x:c r="D29" s="6" t="str">
        <x:f>IFERROR(XLOOKUP(C29,'Review Sequence'!C2:C1586,'Review Sequence'!J2:J1586),"Dependency not found")</x:f>
        <x:v>Not Started</x:v>
      </x:c>
      <x:c r="E29" s="6" t="str"/>
      <x:c r="F29" s="6" t="str"/>
      <x:c r="G29" s="6" t="str"/>
      <x:c r="H29" s="6" t="str"/>
      <x:c r="I29" s="6" t="str"/>
      <x:c r="J29" s="6" t="str"/>
      <x:c r="K29" s="6" t="str"/>
      <x:c r="L29" s="6" t="str">
        <x:v>Unresolved</x:v>
      </x:c>
      <x:c r="M29" s="7" t="str">
        <x:v>Nocturnix_Master_Services_Catalog_v1.xlsx | 01 - Master Services | row 68</x:v>
      </x:c>
      <x:c r="N29" s="6" t="str"/>
      <x:c r="O29" s="6" t="str"/>
      <x:c r="P29" s="6" t="str">
        <x:v>Pending</x:v>
      </x:c>
      <x:c r="Q29" s="7" t="str">
        <x:f>IF(OR(D29="Reviewer Complete",D29="Awaiting Second-Level Approval"),"","Service identity dependency unresolved")</x:f>
        <x:v>Service identity dependency unresolved</x:v>
      </x:c>
      <x:c r="R29" s="6" t="str">
        <x:v>Yes</x:v>
      </x:c>
      <x:c r="S29" s="7" t="str"/>
    </x:row>
    <x:row r="30">
      <x:c r="A30" s="6" t="str">
        <x:v>LABX-0029</x:v>
      </x:c>
      <x:c r="B30" s="6" t="str">
        <x:v>SVC000029</x:v>
      </x:c>
      <x:c r="C30" s="6" t="str">
        <x:v>SIDX-0029</x:v>
      </x:c>
      <x:c r="D30" s="6" t="str">
        <x:f>IFERROR(XLOOKUP(C30,'Review Sequence'!C2:C1586,'Review Sequence'!J2:J1586),"Dependency not found")</x:f>
        <x:v>Not Started</x:v>
      </x:c>
      <x:c r="E30" s="6" t="str"/>
      <x:c r="F30" s="6" t="str"/>
      <x:c r="G30" s="6" t="str"/>
      <x:c r="H30" s="6" t="str"/>
      <x:c r="I30" s="6" t="str"/>
      <x:c r="J30" s="6" t="str"/>
      <x:c r="K30" s="6" t="str"/>
      <x:c r="L30" s="6" t="str">
        <x:v>Unresolved</x:v>
      </x:c>
      <x:c r="M30" s="7" t="str">
        <x:v>Nocturnix_Master_Services_Catalog_v1.xlsx | 01 - Master Services | row 69</x:v>
      </x:c>
      <x:c r="N30" s="6" t="str"/>
      <x:c r="O30" s="6" t="str"/>
      <x:c r="P30" s="6" t="str">
        <x:v>Pending</x:v>
      </x:c>
      <x:c r="Q30" s="7" t="str">
        <x:f>IF(OR(D30="Reviewer Complete",D30="Awaiting Second-Level Approval"),"","Service identity dependency unresolved")</x:f>
        <x:v>Service identity dependency unresolved</x:v>
      </x:c>
      <x:c r="R30" s="6" t="str">
        <x:v>Yes</x:v>
      </x:c>
      <x:c r="S30" s="7" t="str"/>
    </x:row>
    <x:row r="31">
      <x:c r="A31" s="6" t="str">
        <x:v>LABX-0030</x:v>
      </x:c>
      <x:c r="B31" s="6" t="str">
        <x:v>SVC000030</x:v>
      </x:c>
      <x:c r="C31" s="6" t="str">
        <x:v>SIDX-0030</x:v>
      </x:c>
      <x:c r="D31" s="6" t="str">
        <x:f>IFERROR(XLOOKUP(C31,'Review Sequence'!C2:C1586,'Review Sequence'!J2:J1586),"Dependency not found")</x:f>
        <x:v>Not Started</x:v>
      </x:c>
      <x:c r="E31" s="6" t="str"/>
      <x:c r="F31" s="6" t="str"/>
      <x:c r="G31" s="6" t="str"/>
      <x:c r="H31" s="6" t="str"/>
      <x:c r="I31" s="6" t="str"/>
      <x:c r="J31" s="6" t="str"/>
      <x:c r="K31" s="6" t="str"/>
      <x:c r="L31" s="6" t="str">
        <x:v>Unresolved</x:v>
      </x:c>
      <x:c r="M31" s="7" t="str">
        <x:v>Nocturnix_Master_Services_Catalog_v1.xlsx | 01 - Master Services | row 70</x:v>
      </x:c>
      <x:c r="N31" s="6" t="str"/>
      <x:c r="O31" s="6" t="str"/>
      <x:c r="P31" s="6" t="str">
        <x:v>Pending</x:v>
      </x:c>
      <x:c r="Q31" s="7" t="str">
        <x:f>IF(OR(D31="Reviewer Complete",D31="Awaiting Second-Level Approval"),"","Service identity dependency unresolved")</x:f>
        <x:v>Service identity dependency unresolved</x:v>
      </x:c>
      <x:c r="R31" s="6" t="str">
        <x:v>Yes</x:v>
      </x:c>
      <x:c r="S31" s="7" t="str"/>
    </x:row>
    <x:row r="32">
      <x:c r="A32" s="6" t="str">
        <x:v>LABX-0031</x:v>
      </x:c>
      <x:c r="B32" s="6" t="str">
        <x:v>SVC000031</x:v>
      </x:c>
      <x:c r="C32" s="6" t="str">
        <x:v>SIDX-0031</x:v>
      </x:c>
      <x:c r="D32" s="6" t="str">
        <x:f>IFERROR(XLOOKUP(C32,'Review Sequence'!C2:C1586,'Review Sequence'!J2:J1586),"Dependency not found")</x:f>
        <x:v>Not Started</x:v>
      </x:c>
      <x:c r="E32" s="6" t="str"/>
      <x:c r="F32" s="6" t="str"/>
      <x:c r="G32" s="6" t="str"/>
      <x:c r="H32" s="6" t="str"/>
      <x:c r="I32" s="6" t="str"/>
      <x:c r="J32" s="6" t="str"/>
      <x:c r="K32" s="6" t="str"/>
      <x:c r="L32" s="6" t="str">
        <x:v>Unresolved</x:v>
      </x:c>
      <x:c r="M32" s="7" t="str">
        <x:v>Nocturnix_Master_Services_Catalog_v1.xlsx | 01 - Master Services | row 71</x:v>
      </x:c>
      <x:c r="N32" s="6" t="str"/>
      <x:c r="O32" s="6" t="str"/>
      <x:c r="P32" s="6" t="str">
        <x:v>Pending</x:v>
      </x:c>
      <x:c r="Q32" s="7" t="str">
        <x:f>IF(OR(D32="Reviewer Complete",D32="Awaiting Second-Level Approval"),"","Service identity dependency unresolved")</x:f>
        <x:v>Service identity dependency unresolved</x:v>
      </x:c>
      <x:c r="R32" s="6" t="str">
        <x:v>Yes</x:v>
      </x:c>
      <x:c r="S32" s="7" t="str"/>
    </x:row>
    <x:row r="33">
      <x:c r="A33" s="6" t="str">
        <x:v>LABX-0032</x:v>
      </x:c>
      <x:c r="B33" s="6" t="str">
        <x:v>SVC000032</x:v>
      </x:c>
      <x:c r="C33" s="6" t="str">
        <x:v>SIDX-0032</x:v>
      </x:c>
      <x:c r="D33" s="6" t="str">
        <x:f>IFERROR(XLOOKUP(C33,'Review Sequence'!C2:C1586,'Review Sequence'!J2:J1586),"Dependency not found")</x:f>
        <x:v>Not Started</x:v>
      </x:c>
      <x:c r="E33" s="6" t="str"/>
      <x:c r="F33" s="6" t="str"/>
      <x:c r="G33" s="6" t="str"/>
      <x:c r="H33" s="6" t="str"/>
      <x:c r="I33" s="6" t="str"/>
      <x:c r="J33" s="6" t="str"/>
      <x:c r="K33" s="6" t="str"/>
      <x:c r="L33" s="6" t="str">
        <x:v>Unresolved</x:v>
      </x:c>
      <x:c r="M33" s="7" t="str">
        <x:v>Nocturnix_Master_Services_Catalog_v1.xlsx | 01 - Master Services | row 72</x:v>
      </x:c>
      <x:c r="N33" s="6" t="str"/>
      <x:c r="O33" s="6" t="str"/>
      <x:c r="P33" s="6" t="str">
        <x:v>Pending</x:v>
      </x:c>
      <x:c r="Q33" s="7" t="str">
        <x:f>IF(OR(D33="Reviewer Complete",D33="Awaiting Second-Level Approval"),"","Service identity dependency unresolved")</x:f>
        <x:v>Service identity dependency unresolved</x:v>
      </x:c>
      <x:c r="R33" s="6" t="str">
        <x:v>Yes</x:v>
      </x:c>
      <x:c r="S33" s="7" t="str"/>
    </x:row>
    <x:row r="34">
      <x:c r="A34" s="6" t="str">
        <x:v>LABX-0033</x:v>
      </x:c>
      <x:c r="B34" s="6" t="str">
        <x:v>SVC000033</x:v>
      </x:c>
      <x:c r="C34" s="6" t="str">
        <x:v>SIDX-0033</x:v>
      </x:c>
      <x:c r="D34" s="6" t="str">
        <x:f>IFERROR(XLOOKUP(C34,'Review Sequence'!C2:C1586,'Review Sequence'!J2:J1586),"Dependency not found")</x:f>
        <x:v>Not Started</x:v>
      </x:c>
      <x:c r="E34" s="6" t="str"/>
      <x:c r="F34" s="6" t="str"/>
      <x:c r="G34" s="6" t="str"/>
      <x:c r="H34" s="6" t="str"/>
      <x:c r="I34" s="6" t="str"/>
      <x:c r="J34" s="6" t="str"/>
      <x:c r="K34" s="6" t="str"/>
      <x:c r="L34" s="6" t="str">
        <x:v>Unresolved</x:v>
      </x:c>
      <x:c r="M34" s="7" t="str">
        <x:v>Nocturnix_Master_Services_Catalog_v1.xlsx | 01 - Master Services | row 73</x:v>
      </x:c>
      <x:c r="N34" s="6" t="str"/>
      <x:c r="O34" s="6" t="str"/>
      <x:c r="P34" s="6" t="str">
        <x:v>Pending</x:v>
      </x:c>
      <x:c r="Q34" s="7" t="str">
        <x:f>IF(OR(D34="Reviewer Complete",D34="Awaiting Second-Level Approval"),"","Service identity dependency unresolved")</x:f>
        <x:v>Service identity dependency unresolved</x:v>
      </x:c>
      <x:c r="R34" s="6" t="str">
        <x:v>Yes</x:v>
      </x:c>
      <x:c r="S34" s="7" t="str"/>
    </x:row>
    <x:row r="35">
      <x:c r="A35" s="6" t="str">
        <x:v>LABX-0034</x:v>
      </x:c>
      <x:c r="B35" s="6" t="str">
        <x:v>SVC000034</x:v>
      </x:c>
      <x:c r="C35" s="6" t="str">
        <x:v>SIDX-0034</x:v>
      </x:c>
      <x:c r="D35" s="6" t="str">
        <x:f>IFERROR(XLOOKUP(C35,'Review Sequence'!C2:C1586,'Review Sequence'!J2:J1586),"Dependency not found")</x:f>
        <x:v>Not Started</x:v>
      </x:c>
      <x:c r="E35" s="6" t="str"/>
      <x:c r="F35" s="6" t="str"/>
      <x:c r="G35" s="6" t="str"/>
      <x:c r="H35" s="6" t="str"/>
      <x:c r="I35" s="6" t="str"/>
      <x:c r="J35" s="6" t="str"/>
      <x:c r="K35" s="6" t="str"/>
      <x:c r="L35" s="6" t="str">
        <x:v>Unresolved</x:v>
      </x:c>
      <x:c r="M35" s="7" t="str">
        <x:v>Nocturnix_Master_Services_Catalog_v1.xlsx | 01 - Master Services | row 74</x:v>
      </x:c>
      <x:c r="N35" s="6" t="str"/>
      <x:c r="O35" s="6" t="str"/>
      <x:c r="P35" s="6" t="str">
        <x:v>Pending</x:v>
      </x:c>
      <x:c r="Q35" s="7" t="str">
        <x:f>IF(OR(D35="Reviewer Complete",D35="Awaiting Second-Level Approval"),"","Service identity dependency unresolved")</x:f>
        <x:v>Service identity dependency unresolved</x:v>
      </x:c>
      <x:c r="R35" s="6" t="str">
        <x:v>Yes</x:v>
      </x:c>
      <x:c r="S35" s="7" t="str"/>
    </x:row>
    <x:row r="36">
      <x:c r="A36" s="6" t="str">
        <x:v>LABX-0035</x:v>
      </x:c>
      <x:c r="B36" s="6" t="str">
        <x:v>SVC000035</x:v>
      </x:c>
      <x:c r="C36" s="6" t="str">
        <x:v>SIDX-0035</x:v>
      </x:c>
      <x:c r="D36" s="6" t="str">
        <x:f>IFERROR(XLOOKUP(C36,'Review Sequence'!C2:C1586,'Review Sequence'!J2:J1586),"Dependency not found")</x:f>
        <x:v>Not Started</x:v>
      </x:c>
      <x:c r="E36" s="6" t="str"/>
      <x:c r="F36" s="6" t="str"/>
      <x:c r="G36" s="6" t="str"/>
      <x:c r="H36" s="6" t="str"/>
      <x:c r="I36" s="6" t="str"/>
      <x:c r="J36" s="6" t="str"/>
      <x:c r="K36" s="6" t="str"/>
      <x:c r="L36" s="6" t="str">
        <x:v>Unresolved</x:v>
      </x:c>
      <x:c r="M36" s="7" t="str">
        <x:v>Nocturnix_Master_Services_Catalog_v1.xlsx | 01 - Master Services | row 75</x:v>
      </x:c>
      <x:c r="N36" s="6" t="str"/>
      <x:c r="O36" s="6" t="str"/>
      <x:c r="P36" s="6" t="str">
        <x:v>Pending</x:v>
      </x:c>
      <x:c r="Q36" s="7" t="str">
        <x:f>IF(OR(D36="Reviewer Complete",D36="Awaiting Second-Level Approval"),"","Service identity dependency unresolved")</x:f>
        <x:v>Service identity dependency unresolved</x:v>
      </x:c>
      <x:c r="R36" s="6" t="str">
        <x:v>Yes</x:v>
      </x:c>
      <x:c r="S36" s="7" t="str"/>
    </x:row>
    <x:row r="37">
      <x:c r="A37" s="6" t="str">
        <x:v>LABX-0036</x:v>
      </x:c>
      <x:c r="B37" s="6" t="str">
        <x:v>SVC000036</x:v>
      </x:c>
      <x:c r="C37" s="6" t="str">
        <x:v>SIDX-0036</x:v>
      </x:c>
      <x:c r="D37" s="6" t="str">
        <x:f>IFERROR(XLOOKUP(C37,'Review Sequence'!C2:C1586,'Review Sequence'!J2:J1586),"Dependency not found")</x:f>
        <x:v>Not Started</x:v>
      </x:c>
      <x:c r="E37" s="6" t="str"/>
      <x:c r="F37" s="6" t="str"/>
      <x:c r="G37" s="6" t="str"/>
      <x:c r="H37" s="6" t="str"/>
      <x:c r="I37" s="6" t="str"/>
      <x:c r="J37" s="6" t="str"/>
      <x:c r="K37" s="6" t="str"/>
      <x:c r="L37" s="6" t="str">
        <x:v>Unresolved</x:v>
      </x:c>
      <x:c r="M37" s="7" t="str">
        <x:v>Nocturnix_Master_Services_Catalog_v1.xlsx | 01 - Master Services | row 76</x:v>
      </x:c>
      <x:c r="N37" s="6" t="str"/>
      <x:c r="O37" s="6" t="str"/>
      <x:c r="P37" s="6" t="str">
        <x:v>Pending</x:v>
      </x:c>
      <x:c r="Q37" s="7" t="str">
        <x:f>IF(OR(D37="Reviewer Complete",D37="Awaiting Second-Level Approval"),"","Service identity dependency unresolved")</x:f>
        <x:v>Service identity dependency unresolved</x:v>
      </x:c>
      <x:c r="R37" s="6" t="str">
        <x:v>Yes</x:v>
      </x:c>
      <x:c r="S37" s="7" t="str"/>
    </x:row>
    <x:row r="38">
      <x:c r="A38" s="6" t="str">
        <x:v>LABX-0037</x:v>
      </x:c>
      <x:c r="B38" s="6" t="str">
        <x:v>SVC000037</x:v>
      </x:c>
      <x:c r="C38" s="6" t="str">
        <x:v>SIDX-0037</x:v>
      </x:c>
      <x:c r="D38" s="6" t="str">
        <x:f>IFERROR(XLOOKUP(C38,'Review Sequence'!C2:C1586,'Review Sequence'!J2:J1586),"Dependency not found")</x:f>
        <x:v>Not Started</x:v>
      </x:c>
      <x:c r="E38" s="6" t="str"/>
      <x:c r="F38" s="6" t="str"/>
      <x:c r="G38" s="6" t="str"/>
      <x:c r="H38" s="6" t="str"/>
      <x:c r="I38" s="6" t="str"/>
      <x:c r="J38" s="6" t="str"/>
      <x:c r="K38" s="6" t="str"/>
      <x:c r="L38" s="6" t="str">
        <x:v>Unresolved</x:v>
      </x:c>
      <x:c r="M38" s="7" t="str">
        <x:v>Nocturnix_Master_Services_Catalog_v1.xlsx | 01 - Master Services | row 77</x:v>
      </x:c>
      <x:c r="N38" s="6" t="str"/>
      <x:c r="O38" s="6" t="str"/>
      <x:c r="P38" s="6" t="str">
        <x:v>Pending</x:v>
      </x:c>
      <x:c r="Q38" s="7" t="str">
        <x:f>IF(OR(D38="Reviewer Complete",D38="Awaiting Second-Level Approval"),"","Service identity dependency unresolved")</x:f>
        <x:v>Service identity dependency unresolved</x:v>
      </x:c>
      <x:c r="R38" s="6" t="str">
        <x:v>Yes</x:v>
      </x:c>
      <x:c r="S38" s="7" t="str"/>
    </x:row>
    <x:row r="39">
      <x:c r="A39" s="6" t="str">
        <x:v>LABX-0038</x:v>
      </x:c>
      <x:c r="B39" s="6" t="str">
        <x:v>SVC000038</x:v>
      </x:c>
      <x:c r="C39" s="6" t="str">
        <x:v>SIDX-0038</x:v>
      </x:c>
      <x:c r="D39" s="6" t="str">
        <x:f>IFERROR(XLOOKUP(C39,'Review Sequence'!C2:C1586,'Review Sequence'!J2:J1586),"Dependency not found")</x:f>
        <x:v>Not Started</x:v>
      </x:c>
      <x:c r="E39" s="6" t="str"/>
      <x:c r="F39" s="6" t="str"/>
      <x:c r="G39" s="6" t="str"/>
      <x:c r="H39" s="6" t="str"/>
      <x:c r="I39" s="6" t="str"/>
      <x:c r="J39" s="6" t="str"/>
      <x:c r="K39" s="6" t="str"/>
      <x:c r="L39" s="6" t="str">
        <x:v>Unresolved</x:v>
      </x:c>
      <x:c r="M39" s="7" t="str">
        <x:v>Nocturnix_Master_Services_Catalog_v1.xlsx | 01 - Master Services | row 78</x:v>
      </x:c>
      <x:c r="N39" s="6" t="str"/>
      <x:c r="O39" s="6" t="str"/>
      <x:c r="P39" s="6" t="str">
        <x:v>Pending</x:v>
      </x:c>
      <x:c r="Q39" s="7" t="str">
        <x:f>IF(OR(D39="Reviewer Complete",D39="Awaiting Second-Level Approval"),"","Service identity dependency unresolved")</x:f>
        <x:v>Service identity dependency unresolved</x:v>
      </x:c>
      <x:c r="R39" s="6" t="str">
        <x:v>Yes</x:v>
      </x:c>
      <x:c r="S39" s="7" t="str"/>
    </x:row>
    <x:row r="40">
      <x:c r="A40" s="6" t="str">
        <x:v>LABX-0039</x:v>
      </x:c>
      <x:c r="B40" s="6" t="str">
        <x:v>SVC000039</x:v>
      </x:c>
      <x:c r="C40" s="6" t="str">
        <x:v>SIDX-0039</x:v>
      </x:c>
      <x:c r="D40" s="6" t="str">
        <x:f>IFERROR(XLOOKUP(C40,'Review Sequence'!C2:C1586,'Review Sequence'!J2:J1586),"Dependency not found")</x:f>
        <x:v>Not Started</x:v>
      </x:c>
      <x:c r="E40" s="6" t="str"/>
      <x:c r="F40" s="6" t="str"/>
      <x:c r="G40" s="6" t="str"/>
      <x:c r="H40" s="6" t="str"/>
      <x:c r="I40" s="6" t="str"/>
      <x:c r="J40" s="6" t="str"/>
      <x:c r="K40" s="6" t="str"/>
      <x:c r="L40" s="6" t="str">
        <x:v>Unresolved</x:v>
      </x:c>
      <x:c r="M40" s="7" t="str">
        <x:v>Nocturnix_Master_Services_Catalog_v1.xlsx | 01 - Master Services | row 79</x:v>
      </x:c>
      <x:c r="N40" s="6" t="str"/>
      <x:c r="O40" s="6" t="str"/>
      <x:c r="P40" s="6" t="str">
        <x:v>Pending</x:v>
      </x:c>
      <x:c r="Q40" s="7" t="str">
        <x:f>IF(OR(D40="Reviewer Complete",D40="Awaiting Second-Level Approval"),"","Service identity dependency unresolved")</x:f>
        <x:v>Service identity dependency unresolved</x:v>
      </x:c>
      <x:c r="R40" s="6" t="str">
        <x:v>Yes</x:v>
      </x:c>
      <x:c r="S40" s="7" t="str"/>
    </x:row>
    <x:row r="41">
      <x:c r="A41" s="6" t="str">
        <x:v>LABX-0040</x:v>
      </x:c>
      <x:c r="B41" s="6" t="str">
        <x:v>SVC000040</x:v>
      </x:c>
      <x:c r="C41" s="6" t="str">
        <x:v>SIDX-0040</x:v>
      </x:c>
      <x:c r="D41" s="6" t="str">
        <x:f>IFERROR(XLOOKUP(C41,'Review Sequence'!C2:C1586,'Review Sequence'!J2:J1586),"Dependency not found")</x:f>
        <x:v>Not Started</x:v>
      </x:c>
      <x:c r="E41" s="6" t="str"/>
      <x:c r="F41" s="6" t="str"/>
      <x:c r="G41" s="6" t="str"/>
      <x:c r="H41" s="6" t="str"/>
      <x:c r="I41" s="6" t="str"/>
      <x:c r="J41" s="6" t="str"/>
      <x:c r="K41" s="6" t="str"/>
      <x:c r="L41" s="6" t="str">
        <x:v>Unresolved</x:v>
      </x:c>
      <x:c r="M41" s="7" t="str">
        <x:v>Nocturnix_Master_Services_Catalog_v1.xlsx | 01 - Master Services | row 80</x:v>
      </x:c>
      <x:c r="N41" s="6" t="str"/>
      <x:c r="O41" s="6" t="str"/>
      <x:c r="P41" s="6" t="str">
        <x:v>Pending</x:v>
      </x:c>
      <x:c r="Q41" s="7" t="str">
        <x:f>IF(OR(D41="Reviewer Complete",D41="Awaiting Second-Level Approval"),"","Service identity dependency unresolved")</x:f>
        <x:v>Service identity dependency unresolved</x:v>
      </x:c>
      <x:c r="R41" s="6" t="str">
        <x:v>Yes</x:v>
      </x:c>
      <x:c r="S41" s="7" t="str"/>
    </x:row>
    <x:row r="42">
      <x:c r="A42" s="6" t="str">
        <x:v>LABX-0041</x:v>
      </x:c>
      <x:c r="B42" s="6" t="str">
        <x:v>SVC000041</x:v>
      </x:c>
      <x:c r="C42" s="6" t="str">
        <x:v>SIDX-0041</x:v>
      </x:c>
      <x:c r="D42" s="6" t="str">
        <x:f>IFERROR(XLOOKUP(C42,'Review Sequence'!C2:C1586,'Review Sequence'!J2:J1586),"Dependency not found")</x:f>
        <x:v>Not Started</x:v>
      </x:c>
      <x:c r="E42" s="6" t="str"/>
      <x:c r="F42" s="6" t="str"/>
      <x:c r="G42" s="6" t="str"/>
      <x:c r="H42" s="6" t="str"/>
      <x:c r="I42" s="6" t="str"/>
      <x:c r="J42" s="6" t="str"/>
      <x:c r="K42" s="6" t="str"/>
      <x:c r="L42" s="6" t="str">
        <x:v>Unresolved</x:v>
      </x:c>
      <x:c r="M42" s="7" t="str">
        <x:v>Nocturnix_Master_Services_Catalog_v1.xlsx | 01 - Master Services | row 81</x:v>
      </x:c>
      <x:c r="N42" s="6" t="str"/>
      <x:c r="O42" s="6" t="str"/>
      <x:c r="P42" s="6" t="str">
        <x:v>Pending</x:v>
      </x:c>
      <x:c r="Q42" s="7" t="str">
        <x:f>IF(OR(D42="Reviewer Complete",D42="Awaiting Second-Level Approval"),"","Service identity dependency unresolved")</x:f>
        <x:v>Service identity dependency unresolved</x:v>
      </x:c>
      <x:c r="R42" s="6" t="str">
        <x:v>Yes</x:v>
      </x:c>
      <x:c r="S42" s="7" t="str"/>
    </x:row>
    <x:row r="43">
      <x:c r="A43" s="6" t="str">
        <x:v>LABX-0042</x:v>
      </x:c>
      <x:c r="B43" s="6" t="str">
        <x:v>SVC000042</x:v>
      </x:c>
      <x:c r="C43" s="6" t="str">
        <x:v>SIDX-0042</x:v>
      </x:c>
      <x:c r="D43" s="6" t="str">
        <x:f>IFERROR(XLOOKUP(C43,'Review Sequence'!C2:C1586,'Review Sequence'!J2:J1586),"Dependency not found")</x:f>
        <x:v>Not Started</x:v>
      </x:c>
      <x:c r="E43" s="6" t="str"/>
      <x:c r="F43" s="6" t="str"/>
      <x:c r="G43" s="6" t="str"/>
      <x:c r="H43" s="6" t="str"/>
      <x:c r="I43" s="6" t="str"/>
      <x:c r="J43" s="6" t="str"/>
      <x:c r="K43" s="6" t="str"/>
      <x:c r="L43" s="6" t="str">
        <x:v>Unresolved</x:v>
      </x:c>
      <x:c r="M43" s="7" t="str">
        <x:v>Nocturnix_Master_Services_Catalog_v1.xlsx | 01 - Master Services | row 82</x:v>
      </x:c>
      <x:c r="N43" s="6" t="str"/>
      <x:c r="O43" s="6" t="str"/>
      <x:c r="P43" s="6" t="str">
        <x:v>Pending</x:v>
      </x:c>
      <x:c r="Q43" s="7" t="str">
        <x:f>IF(OR(D43="Reviewer Complete",D43="Awaiting Second-Level Approval"),"","Service identity dependency unresolved")</x:f>
        <x:v>Service identity dependency unresolved</x:v>
      </x:c>
      <x:c r="R43" s="6" t="str">
        <x:v>Yes</x:v>
      </x:c>
      <x:c r="S43" s="7" t="str"/>
    </x:row>
    <x:row r="44">
      <x:c r="A44" s="6" t="str">
        <x:v>LABX-0043</x:v>
      </x:c>
      <x:c r="B44" s="6" t="str">
        <x:v>SVC000043</x:v>
      </x:c>
      <x:c r="C44" s="6" t="str">
        <x:v>SIDX-0043</x:v>
      </x:c>
      <x:c r="D44" s="6" t="str">
        <x:f>IFERROR(XLOOKUP(C44,'Review Sequence'!C2:C1586,'Review Sequence'!J2:J1586),"Dependency not found")</x:f>
        <x:v>Not Started</x:v>
      </x:c>
      <x:c r="E44" s="6" t="str"/>
      <x:c r="F44" s="6" t="str"/>
      <x:c r="G44" s="6" t="str"/>
      <x:c r="H44" s="6" t="str"/>
      <x:c r="I44" s="6" t="str"/>
      <x:c r="J44" s="6" t="str"/>
      <x:c r="K44" s="6" t="str"/>
      <x:c r="L44" s="6" t="str">
        <x:v>Unresolved</x:v>
      </x:c>
      <x:c r="M44" s="7" t="str">
        <x:v>Nocturnix_Master_Services_Catalog_v1.xlsx | 01 - Master Services | row 83</x:v>
      </x:c>
      <x:c r="N44" s="6" t="str"/>
      <x:c r="O44" s="6" t="str"/>
      <x:c r="P44" s="6" t="str">
        <x:v>Pending</x:v>
      </x:c>
      <x:c r="Q44" s="7" t="str">
        <x:f>IF(OR(D44="Reviewer Complete",D44="Awaiting Second-Level Approval"),"","Service identity dependency unresolved")</x:f>
        <x:v>Service identity dependency unresolved</x:v>
      </x:c>
      <x:c r="R44" s="6" t="str">
        <x:v>Yes</x:v>
      </x:c>
      <x:c r="S44" s="7" t="str"/>
    </x:row>
    <x:row r="45">
      <x:c r="A45" s="6" t="str">
        <x:v>LABX-0044</x:v>
      </x:c>
      <x:c r="B45" s="6" t="str">
        <x:v>SVC000044</x:v>
      </x:c>
      <x:c r="C45" s="6" t="str">
        <x:v>SIDX-0044</x:v>
      </x:c>
      <x:c r="D45" s="6" t="str">
        <x:f>IFERROR(XLOOKUP(C45,'Review Sequence'!C2:C1586,'Review Sequence'!J2:J1586),"Dependency not found")</x:f>
        <x:v>Not Started</x:v>
      </x:c>
      <x:c r="E45" s="6" t="str"/>
      <x:c r="F45" s="6" t="str"/>
      <x:c r="G45" s="6" t="str"/>
      <x:c r="H45" s="6" t="str"/>
      <x:c r="I45" s="6" t="str"/>
      <x:c r="J45" s="6" t="str"/>
      <x:c r="K45" s="6" t="str"/>
      <x:c r="L45" s="6" t="str">
        <x:v>Unresolved</x:v>
      </x:c>
      <x:c r="M45" s="7" t="str">
        <x:v>Nocturnix_Master_Services_Catalog_v1.xlsx | 01 - Master Services | row 84</x:v>
      </x:c>
      <x:c r="N45" s="6" t="str"/>
      <x:c r="O45" s="6" t="str"/>
      <x:c r="P45" s="6" t="str">
        <x:v>Pending</x:v>
      </x:c>
      <x:c r="Q45" s="7" t="str">
        <x:f>IF(OR(D45="Reviewer Complete",D45="Awaiting Second-Level Approval"),"","Service identity dependency unresolved")</x:f>
        <x:v>Service identity dependency unresolved</x:v>
      </x:c>
      <x:c r="R45" s="6" t="str">
        <x:v>Yes</x:v>
      </x:c>
      <x:c r="S45" s="7" t="str"/>
    </x:row>
    <x:row r="46">
      <x:c r="A46" s="6" t="str">
        <x:v>LABX-0045</x:v>
      </x:c>
      <x:c r="B46" s="6" t="str">
        <x:v>SVC000045</x:v>
      </x:c>
      <x:c r="C46" s="6" t="str">
        <x:v>SIDX-0045</x:v>
      </x:c>
      <x:c r="D46" s="6" t="str">
        <x:f>IFERROR(XLOOKUP(C46,'Review Sequence'!C2:C1586,'Review Sequence'!J2:J1586),"Dependency not found")</x:f>
        <x:v>Not Started</x:v>
      </x:c>
      <x:c r="E46" s="6" t="str"/>
      <x:c r="F46" s="6" t="str"/>
      <x:c r="G46" s="6" t="str"/>
      <x:c r="H46" s="6" t="str"/>
      <x:c r="I46" s="6" t="str"/>
      <x:c r="J46" s="6" t="str"/>
      <x:c r="K46" s="6" t="str"/>
      <x:c r="L46" s="6" t="str">
        <x:v>Unresolved</x:v>
      </x:c>
      <x:c r="M46" s="7" t="str">
        <x:v>Nocturnix_Master_Services_Catalog_v1.xlsx | 01 - Master Services | row 85</x:v>
      </x:c>
      <x:c r="N46" s="6" t="str"/>
      <x:c r="O46" s="6" t="str"/>
      <x:c r="P46" s="6" t="str">
        <x:v>Pending</x:v>
      </x:c>
      <x:c r="Q46" s="7" t="str">
        <x:f>IF(OR(D46="Reviewer Complete",D46="Awaiting Second-Level Approval"),"","Service identity dependency unresolved")</x:f>
        <x:v>Service identity dependency unresolved</x:v>
      </x:c>
      <x:c r="R46" s="6" t="str">
        <x:v>Yes</x:v>
      </x:c>
      <x:c r="S46" s="7" t="str"/>
    </x:row>
    <x:row r="47">
      <x:c r="A47" s="6" t="str">
        <x:v>LABX-0046</x:v>
      </x:c>
      <x:c r="B47" s="6" t="str">
        <x:v>SVC000046</x:v>
      </x:c>
      <x:c r="C47" s="6" t="str">
        <x:v>SIDX-0046</x:v>
      </x:c>
      <x:c r="D47" s="6" t="str">
        <x:f>IFERROR(XLOOKUP(C47,'Review Sequence'!C2:C1586,'Review Sequence'!J2:J1586),"Dependency not found")</x:f>
        <x:v>Not Started</x:v>
      </x:c>
      <x:c r="E47" s="6" t="str"/>
      <x:c r="F47" s="6" t="str"/>
      <x:c r="G47" s="6" t="str"/>
      <x:c r="H47" s="6" t="str"/>
      <x:c r="I47" s="6" t="str"/>
      <x:c r="J47" s="6" t="str"/>
      <x:c r="K47" s="6" t="str"/>
      <x:c r="L47" s="6" t="str">
        <x:v>Unresolved</x:v>
      </x:c>
      <x:c r="M47" s="7" t="str">
        <x:v>Nocturnix_Master_Services_Catalog_v1.xlsx | 01 - Master Services | row 86</x:v>
      </x:c>
      <x:c r="N47" s="6" t="str"/>
      <x:c r="O47" s="6" t="str"/>
      <x:c r="P47" s="6" t="str">
        <x:v>Pending</x:v>
      </x:c>
      <x:c r="Q47" s="7" t="str">
        <x:f>IF(OR(D47="Reviewer Complete",D47="Awaiting Second-Level Approval"),"","Service identity dependency unresolved")</x:f>
        <x:v>Service identity dependency unresolved</x:v>
      </x:c>
      <x:c r="R47" s="6" t="str">
        <x:v>Yes</x:v>
      </x:c>
      <x:c r="S47" s="7" t="str"/>
    </x:row>
    <x:row r="48">
      <x:c r="A48" s="6" t="str">
        <x:v>LABX-0047</x:v>
      </x:c>
      <x:c r="B48" s="6" t="str">
        <x:v>SVC000047</x:v>
      </x:c>
      <x:c r="C48" s="6" t="str">
        <x:v>SIDX-0047</x:v>
      </x:c>
      <x:c r="D48" s="6" t="str">
        <x:f>IFERROR(XLOOKUP(C48,'Review Sequence'!C2:C1586,'Review Sequence'!J2:J1586),"Dependency not found")</x:f>
        <x:v>Not Started</x:v>
      </x:c>
      <x:c r="E48" s="6" t="str"/>
      <x:c r="F48" s="6" t="str"/>
      <x:c r="G48" s="6" t="str"/>
      <x:c r="H48" s="6" t="str"/>
      <x:c r="I48" s="6" t="str"/>
      <x:c r="J48" s="6" t="str"/>
      <x:c r="K48" s="6" t="str"/>
      <x:c r="L48" s="6" t="str">
        <x:v>Unresolved</x:v>
      </x:c>
      <x:c r="M48" s="7" t="str">
        <x:v>Nocturnix_Master_Services_Catalog_v1.xlsx | 01 - Master Services | row 87</x:v>
      </x:c>
      <x:c r="N48" s="6" t="str"/>
      <x:c r="O48" s="6" t="str"/>
      <x:c r="P48" s="6" t="str">
        <x:v>Pending</x:v>
      </x:c>
      <x:c r="Q48" s="7" t="str">
        <x:f>IF(OR(D48="Reviewer Complete",D48="Awaiting Second-Level Approval"),"","Service identity dependency unresolved")</x:f>
        <x:v>Service identity dependency unresolved</x:v>
      </x:c>
      <x:c r="R48" s="6" t="str">
        <x:v>Yes</x:v>
      </x:c>
      <x:c r="S48" s="7" t="str"/>
    </x:row>
    <x:row r="49">
      <x:c r="A49" s="6" t="str">
        <x:v>LABX-0048</x:v>
      </x:c>
      <x:c r="B49" s="6" t="str">
        <x:v>SVC000048</x:v>
      </x:c>
      <x:c r="C49" s="6" t="str">
        <x:v>SIDX-0048</x:v>
      </x:c>
      <x:c r="D49" s="6" t="str">
        <x:f>IFERROR(XLOOKUP(C49,'Review Sequence'!C2:C1586,'Review Sequence'!J2:J1586),"Dependency not found")</x:f>
        <x:v>Not Started</x:v>
      </x:c>
      <x:c r="E49" s="6" t="str"/>
      <x:c r="F49" s="6" t="str"/>
      <x:c r="G49" s="6" t="str"/>
      <x:c r="H49" s="6" t="str"/>
      <x:c r="I49" s="6" t="str"/>
      <x:c r="J49" s="6" t="str"/>
      <x:c r="K49" s="6" t="str"/>
      <x:c r="L49" s="6" t="str">
        <x:v>Unresolved</x:v>
      </x:c>
      <x:c r="M49" s="7" t="str">
        <x:v>Nocturnix_Master_Services_Catalog_v1.xlsx | 01 - Master Services | row 88</x:v>
      </x:c>
      <x:c r="N49" s="6" t="str"/>
      <x:c r="O49" s="6" t="str"/>
      <x:c r="P49" s="6" t="str">
        <x:v>Pending</x:v>
      </x:c>
      <x:c r="Q49" s="7" t="str">
        <x:f>IF(OR(D49="Reviewer Complete",D49="Awaiting Second-Level Approval"),"","Service identity dependency unresolved")</x:f>
        <x:v>Service identity dependency unresolved</x:v>
      </x:c>
      <x:c r="R49" s="6" t="str">
        <x:v>Yes</x:v>
      </x:c>
      <x:c r="S49" s="7" t="str"/>
    </x:row>
    <x:row r="50">
      <x:c r="A50" s="6" t="str">
        <x:v>LABX-0049</x:v>
      </x:c>
      <x:c r="B50" s="6" t="str">
        <x:v>SVC000049</x:v>
      </x:c>
      <x:c r="C50" s="6" t="str">
        <x:v>SIDX-0049</x:v>
      </x:c>
      <x:c r="D50" s="6" t="str">
        <x:f>IFERROR(XLOOKUP(C50,'Review Sequence'!C2:C1586,'Review Sequence'!J2:J1586),"Dependency not found")</x:f>
        <x:v>Not Started</x:v>
      </x:c>
      <x:c r="E50" s="6" t="str"/>
      <x:c r="F50" s="6" t="str"/>
      <x:c r="G50" s="6" t="str"/>
      <x:c r="H50" s="6" t="str"/>
      <x:c r="I50" s="6" t="str"/>
      <x:c r="J50" s="6" t="str"/>
      <x:c r="K50" s="6" t="str"/>
      <x:c r="L50" s="6" t="str">
        <x:v>Unresolved</x:v>
      </x:c>
      <x:c r="M50" s="7" t="str">
        <x:v>Nocturnix_Master_Services_Catalog_v1.xlsx | 01 - Master Services | row 89</x:v>
      </x:c>
      <x:c r="N50" s="6" t="str"/>
      <x:c r="O50" s="6" t="str"/>
      <x:c r="P50" s="6" t="str">
        <x:v>Pending</x:v>
      </x:c>
      <x:c r="Q50" s="7" t="str">
        <x:f>IF(OR(D50="Reviewer Complete",D50="Awaiting Second-Level Approval"),"","Service identity dependency unresolved")</x:f>
        <x:v>Service identity dependency unresolved</x:v>
      </x:c>
      <x:c r="R50" s="6" t="str">
        <x:v>Yes</x:v>
      </x:c>
      <x:c r="S50" s="7" t="str"/>
    </x:row>
    <x:row r="51">
      <x:c r="A51" s="6" t="str">
        <x:v>LABX-0050</x:v>
      </x:c>
      <x:c r="B51" s="6" t="str">
        <x:v>SVC000050</x:v>
      </x:c>
      <x:c r="C51" s="6" t="str">
        <x:v>SIDX-0050</x:v>
      </x:c>
      <x:c r="D51" s="6" t="str">
        <x:f>IFERROR(XLOOKUP(C51,'Review Sequence'!C2:C1586,'Review Sequence'!J2:J1586),"Dependency not found")</x:f>
        <x:v>Not Started</x:v>
      </x:c>
      <x:c r="E51" s="6" t="str"/>
      <x:c r="F51" s="6" t="str"/>
      <x:c r="G51" s="6" t="str"/>
      <x:c r="H51" s="6" t="str"/>
      <x:c r="I51" s="6" t="str"/>
      <x:c r="J51" s="6" t="str"/>
      <x:c r="K51" s="6" t="str"/>
      <x:c r="L51" s="6" t="str">
        <x:v>Unresolved</x:v>
      </x:c>
      <x:c r="M51" s="7" t="str">
        <x:v>Nocturnix_Master_Services_Catalog_v1.xlsx | 01 - Master Services | row 90</x:v>
      </x:c>
      <x:c r="N51" s="6" t="str"/>
      <x:c r="O51" s="6" t="str"/>
      <x:c r="P51" s="6" t="str">
        <x:v>Pending</x:v>
      </x:c>
      <x:c r="Q51" s="7" t="str">
        <x:f>IF(OR(D51="Reviewer Complete",D51="Awaiting Second-Level Approval"),"","Service identity dependency unresolved")</x:f>
        <x:v>Service identity dependency unresolved</x:v>
      </x:c>
      <x:c r="R51" s="6" t="str">
        <x:v>Yes</x:v>
      </x:c>
      <x:c r="S51" s="7" t="str"/>
    </x:row>
    <x:row r="52">
      <x:c r="A52" s="6" t="str">
        <x:v>LABX-0051</x:v>
      </x:c>
      <x:c r="B52" s="6" t="str">
        <x:v>SVC000051</x:v>
      </x:c>
      <x:c r="C52" s="6" t="str">
        <x:v>SIDX-0051</x:v>
      </x:c>
      <x:c r="D52" s="6" t="str">
        <x:f>IFERROR(XLOOKUP(C52,'Review Sequence'!C2:C1586,'Review Sequence'!J2:J1586),"Dependency not found")</x:f>
        <x:v>Not Started</x:v>
      </x:c>
      <x:c r="E52" s="6" t="str"/>
      <x:c r="F52" s="6" t="str"/>
      <x:c r="G52" s="6" t="str"/>
      <x:c r="H52" s="6" t="str"/>
      <x:c r="I52" s="6" t="str"/>
      <x:c r="J52" s="6" t="str"/>
      <x:c r="K52" s="6" t="str"/>
      <x:c r="L52" s="6" t="str">
        <x:v>Unresolved</x:v>
      </x:c>
      <x:c r="M52" s="7" t="str">
        <x:v>Nocturnix_Master_Services_Catalog_v1.xlsx | 01 - Master Services | row 91</x:v>
      </x:c>
      <x:c r="N52" s="6" t="str"/>
      <x:c r="O52" s="6" t="str"/>
      <x:c r="P52" s="6" t="str">
        <x:v>Pending</x:v>
      </x:c>
      <x:c r="Q52" s="7" t="str">
        <x:f>IF(OR(D52="Reviewer Complete",D52="Awaiting Second-Level Approval"),"","Service identity dependency unresolved")</x:f>
        <x:v>Service identity dependency unresolved</x:v>
      </x:c>
      <x:c r="R52" s="6" t="str">
        <x:v>Yes</x:v>
      </x:c>
      <x:c r="S52" s="7" t="str"/>
    </x:row>
    <x:row r="53">
      <x:c r="A53" s="6" t="str">
        <x:v>LABX-0052</x:v>
      </x:c>
      <x:c r="B53" s="6" t="str">
        <x:v>SVC000052</x:v>
      </x:c>
      <x:c r="C53" s="6" t="str">
        <x:v>SIDX-0052</x:v>
      </x:c>
      <x:c r="D53" s="6" t="str">
        <x:f>IFERROR(XLOOKUP(C53,'Review Sequence'!C2:C1586,'Review Sequence'!J2:J1586),"Dependency not found")</x:f>
        <x:v>Not Started</x:v>
      </x:c>
      <x:c r="E53" s="6" t="str"/>
      <x:c r="F53" s="6" t="str"/>
      <x:c r="G53" s="6" t="str"/>
      <x:c r="H53" s="6" t="str"/>
      <x:c r="I53" s="6" t="str"/>
      <x:c r="J53" s="6" t="str"/>
      <x:c r="K53" s="6" t="str"/>
      <x:c r="L53" s="6" t="str">
        <x:v>Unresolved</x:v>
      </x:c>
      <x:c r="M53" s="7" t="str">
        <x:v>Nocturnix_Master_Services_Catalog_v1.xlsx | 01 - Master Services | row 92</x:v>
      </x:c>
      <x:c r="N53" s="6" t="str"/>
      <x:c r="O53" s="6" t="str"/>
      <x:c r="P53" s="6" t="str">
        <x:v>Pending</x:v>
      </x:c>
      <x:c r="Q53" s="7" t="str">
        <x:f>IF(OR(D53="Reviewer Complete",D53="Awaiting Second-Level Approval"),"","Service identity dependency unresolved")</x:f>
        <x:v>Service identity dependency unresolved</x:v>
      </x:c>
      <x:c r="R53" s="6" t="str">
        <x:v>Yes</x:v>
      </x:c>
      <x:c r="S53" s="7" t="str"/>
    </x:row>
    <x:row r="54">
      <x:c r="A54" s="6" t="str">
        <x:v>LABX-0053</x:v>
      </x:c>
      <x:c r="B54" s="6" t="str">
        <x:v>SVC000053</x:v>
      </x:c>
      <x:c r="C54" s="6" t="str">
        <x:v>SIDX-0053</x:v>
      </x:c>
      <x:c r="D54" s="6" t="str">
        <x:f>IFERROR(XLOOKUP(C54,'Review Sequence'!C2:C1586,'Review Sequence'!J2:J1586),"Dependency not found")</x:f>
        <x:v>Not Started</x:v>
      </x:c>
      <x:c r="E54" s="6" t="str"/>
      <x:c r="F54" s="6" t="str"/>
      <x:c r="G54" s="6" t="str"/>
      <x:c r="H54" s="6" t="str"/>
      <x:c r="I54" s="6" t="str"/>
      <x:c r="J54" s="6" t="str"/>
      <x:c r="K54" s="6" t="str"/>
      <x:c r="L54" s="6" t="str">
        <x:v>Unresolved</x:v>
      </x:c>
      <x:c r="M54" s="7" t="str">
        <x:v>Nocturnix_Master_Services_Catalog_v1.xlsx | 01 - Master Services | row 93</x:v>
      </x:c>
      <x:c r="N54" s="6" t="str"/>
      <x:c r="O54" s="6" t="str"/>
      <x:c r="P54" s="6" t="str">
        <x:v>Pending</x:v>
      </x:c>
      <x:c r="Q54" s="7" t="str">
        <x:f>IF(OR(D54="Reviewer Complete",D54="Awaiting Second-Level Approval"),"","Service identity dependency unresolved")</x:f>
        <x:v>Service identity dependency unresolved</x:v>
      </x:c>
      <x:c r="R54" s="6" t="str">
        <x:v>Yes</x:v>
      </x:c>
      <x:c r="S54" s="7" t="str"/>
    </x:row>
    <x:row r="55">
      <x:c r="A55" s="6" t="str">
        <x:v>LABX-0054</x:v>
      </x:c>
      <x:c r="B55" s="6" t="str">
        <x:v>SVC000054</x:v>
      </x:c>
      <x:c r="C55" s="6" t="str">
        <x:v>SIDX-0054</x:v>
      </x:c>
      <x:c r="D55" s="6" t="str">
        <x:f>IFERROR(XLOOKUP(C55,'Review Sequence'!C2:C1586,'Review Sequence'!J2:J1586),"Dependency not found")</x:f>
        <x:v>Not Started</x:v>
      </x:c>
      <x:c r="E55" s="6" t="str"/>
      <x:c r="F55" s="6" t="str"/>
      <x:c r="G55" s="6" t="str"/>
      <x:c r="H55" s="6" t="str"/>
      <x:c r="I55" s="6" t="str"/>
      <x:c r="J55" s="6" t="str"/>
      <x:c r="K55" s="6" t="str"/>
      <x:c r="L55" s="6" t="str">
        <x:v>Unresolved</x:v>
      </x:c>
      <x:c r="M55" s="7" t="str">
        <x:v>Nocturnix_Master_Services_Catalog_v1.xlsx | 01 - Master Services | row 94</x:v>
      </x:c>
      <x:c r="N55" s="6" t="str"/>
      <x:c r="O55" s="6" t="str"/>
      <x:c r="P55" s="6" t="str">
        <x:v>Pending</x:v>
      </x:c>
      <x:c r="Q55" s="7" t="str">
        <x:f>IF(OR(D55="Reviewer Complete",D55="Awaiting Second-Level Approval"),"","Service identity dependency unresolved")</x:f>
        <x:v>Service identity dependency unresolved</x:v>
      </x:c>
      <x:c r="R55" s="6" t="str">
        <x:v>Yes</x:v>
      </x:c>
      <x:c r="S55" s="7" t="str"/>
    </x:row>
    <x:row r="56">
      <x:c r="A56" s="6" t="str">
        <x:v>LABX-0055</x:v>
      </x:c>
      <x:c r="B56" s="6" t="str">
        <x:v>SVC000055</x:v>
      </x:c>
      <x:c r="C56" s="6" t="str">
        <x:v>SIDX-0055</x:v>
      </x:c>
      <x:c r="D56" s="6" t="str">
        <x:f>IFERROR(XLOOKUP(C56,'Review Sequence'!C2:C1586,'Review Sequence'!J2:J1586),"Dependency not found")</x:f>
        <x:v>Not Started</x:v>
      </x:c>
      <x:c r="E56" s="6" t="str"/>
      <x:c r="F56" s="6" t="str"/>
      <x:c r="G56" s="6" t="str"/>
      <x:c r="H56" s="6" t="str"/>
      <x:c r="I56" s="6" t="str"/>
      <x:c r="J56" s="6" t="str"/>
      <x:c r="K56" s="6" t="str"/>
      <x:c r="L56" s="6" t="str">
        <x:v>Unresolved</x:v>
      </x:c>
      <x:c r="M56" s="7" t="str">
        <x:v>Nocturnix_Master_Services_Catalog_v1.xlsx | 01 - Master Services | row 95</x:v>
      </x:c>
      <x:c r="N56" s="6" t="str"/>
      <x:c r="O56" s="6" t="str"/>
      <x:c r="P56" s="6" t="str">
        <x:v>Pending</x:v>
      </x:c>
      <x:c r="Q56" s="7" t="str">
        <x:f>IF(OR(D56="Reviewer Complete",D56="Awaiting Second-Level Approval"),"","Service identity dependency unresolved")</x:f>
        <x:v>Service identity dependency unresolved</x:v>
      </x:c>
      <x:c r="R56" s="6" t="str">
        <x:v>Yes</x:v>
      </x:c>
      <x:c r="S56" s="7" t="str"/>
    </x:row>
    <x:row r="57">
      <x:c r="A57" s="6" t="str">
        <x:v>LABX-0056</x:v>
      </x:c>
      <x:c r="B57" s="6" t="str">
        <x:v>SVC000056</x:v>
      </x:c>
      <x:c r="C57" s="6" t="str">
        <x:v>SIDX-0056</x:v>
      </x:c>
      <x:c r="D57" s="6" t="str">
        <x:f>IFERROR(XLOOKUP(C57,'Review Sequence'!C2:C1586,'Review Sequence'!J2:J1586),"Dependency not found")</x:f>
        <x:v>Not Started</x:v>
      </x:c>
      <x:c r="E57" s="6" t="str"/>
      <x:c r="F57" s="6" t="str"/>
      <x:c r="G57" s="6" t="str"/>
      <x:c r="H57" s="6" t="str"/>
      <x:c r="I57" s="6" t="str"/>
      <x:c r="J57" s="6" t="str"/>
      <x:c r="K57" s="6" t="str"/>
      <x:c r="L57" s="6" t="str">
        <x:v>Unresolved</x:v>
      </x:c>
      <x:c r="M57" s="7" t="str">
        <x:v>Nocturnix_Master_Services_Catalog_v1.xlsx | 01 - Master Services | row 96</x:v>
      </x:c>
      <x:c r="N57" s="6" t="str"/>
      <x:c r="O57" s="6" t="str"/>
      <x:c r="P57" s="6" t="str">
        <x:v>Pending</x:v>
      </x:c>
      <x:c r="Q57" s="7" t="str">
        <x:f>IF(OR(D57="Reviewer Complete",D57="Awaiting Second-Level Approval"),"","Service identity dependency unresolved")</x:f>
        <x:v>Service identity dependency unresolved</x:v>
      </x:c>
      <x:c r="R57" s="6" t="str">
        <x:v>Yes</x:v>
      </x:c>
      <x:c r="S57" s="7" t="str"/>
    </x:row>
    <x:row r="58">
      <x:c r="A58" s="6" t="str">
        <x:v>LABX-0057</x:v>
      </x:c>
      <x:c r="B58" s="6" t="str">
        <x:v>SVC000057</x:v>
      </x:c>
      <x:c r="C58" s="6" t="str">
        <x:v>SIDX-0057</x:v>
      </x:c>
      <x:c r="D58" s="6" t="str">
        <x:f>IFERROR(XLOOKUP(C58,'Review Sequence'!C2:C1586,'Review Sequence'!J2:J1586),"Dependency not found")</x:f>
        <x:v>Not Started</x:v>
      </x:c>
      <x:c r="E58" s="6" t="str"/>
      <x:c r="F58" s="6" t="str"/>
      <x:c r="G58" s="6" t="str"/>
      <x:c r="H58" s="6" t="str"/>
      <x:c r="I58" s="6" t="str"/>
      <x:c r="J58" s="6" t="str"/>
      <x:c r="K58" s="6" t="str"/>
      <x:c r="L58" s="6" t="str">
        <x:v>Unresolved</x:v>
      </x:c>
      <x:c r="M58" s="7" t="str">
        <x:v>Nocturnix_Master_Services_Catalog_v1.xlsx | 01 - Master Services | row 97</x:v>
      </x:c>
      <x:c r="N58" s="6" t="str"/>
      <x:c r="O58" s="6" t="str"/>
      <x:c r="P58" s="6" t="str">
        <x:v>Pending</x:v>
      </x:c>
      <x:c r="Q58" s="7" t="str">
        <x:f>IF(OR(D58="Reviewer Complete",D58="Awaiting Second-Level Approval"),"","Service identity dependency unresolved")</x:f>
        <x:v>Service identity dependency unresolved</x:v>
      </x:c>
      <x:c r="R58" s="6" t="str">
        <x:v>Yes</x:v>
      </x:c>
      <x:c r="S58" s="7" t="str"/>
    </x:row>
    <x:row r="59">
      <x:c r="A59" s="6" t="str">
        <x:v>LABX-0058</x:v>
      </x:c>
      <x:c r="B59" s="6" t="str">
        <x:v>SVC000058</x:v>
      </x:c>
      <x:c r="C59" s="6" t="str">
        <x:v>SIDX-0058</x:v>
      </x:c>
      <x:c r="D59" s="6" t="str">
        <x:f>IFERROR(XLOOKUP(C59,'Review Sequence'!C2:C1586,'Review Sequence'!J2:J1586),"Dependency not found")</x:f>
        <x:v>Not Started</x:v>
      </x:c>
      <x:c r="E59" s="6" t="str"/>
      <x:c r="F59" s="6" t="str"/>
      <x:c r="G59" s="6" t="str"/>
      <x:c r="H59" s="6" t="str"/>
      <x:c r="I59" s="6" t="str"/>
      <x:c r="J59" s="6" t="str"/>
      <x:c r="K59" s="6" t="str"/>
      <x:c r="L59" s="6" t="str">
        <x:v>Unresolved</x:v>
      </x:c>
      <x:c r="M59" s="7" t="str">
        <x:v>Nocturnix_Master_Services_Catalog_v1.xlsx | 01 - Master Services | row 98</x:v>
      </x:c>
      <x:c r="N59" s="6" t="str"/>
      <x:c r="O59" s="6" t="str"/>
      <x:c r="P59" s="6" t="str">
        <x:v>Pending</x:v>
      </x:c>
      <x:c r="Q59" s="7" t="str">
        <x:f>IF(OR(D59="Reviewer Complete",D59="Awaiting Second-Level Approval"),"","Service identity dependency unresolved")</x:f>
        <x:v>Service identity dependency unresolved</x:v>
      </x:c>
      <x:c r="R59" s="6" t="str">
        <x:v>Yes</x:v>
      </x:c>
      <x:c r="S59" s="7" t="str"/>
    </x:row>
    <x:row r="60">
      <x:c r="A60" s="6" t="str">
        <x:v>LABX-0059</x:v>
      </x:c>
      <x:c r="B60" s="6" t="str">
        <x:v>SVC000059</x:v>
      </x:c>
      <x:c r="C60" s="6" t="str">
        <x:v>SIDX-0059</x:v>
      </x:c>
      <x:c r="D60" s="6" t="str">
        <x:f>IFERROR(XLOOKUP(C60,'Review Sequence'!C2:C1586,'Review Sequence'!J2:J1586),"Dependency not found")</x:f>
        <x:v>Not Started</x:v>
      </x:c>
      <x:c r="E60" s="6" t="str"/>
      <x:c r="F60" s="6" t="str"/>
      <x:c r="G60" s="6" t="str"/>
      <x:c r="H60" s="6" t="str"/>
      <x:c r="I60" s="6" t="str"/>
      <x:c r="J60" s="6" t="str"/>
      <x:c r="K60" s="6" t="str"/>
      <x:c r="L60" s="6" t="str">
        <x:v>Unresolved</x:v>
      </x:c>
      <x:c r="M60" s="7" t="str">
        <x:v>Nocturnix_Master_Services_Catalog_v1.xlsx | 01 - Master Services | row 99</x:v>
      </x:c>
      <x:c r="N60" s="6" t="str"/>
      <x:c r="O60" s="6" t="str"/>
      <x:c r="P60" s="6" t="str">
        <x:v>Pending</x:v>
      </x:c>
      <x:c r="Q60" s="7" t="str">
        <x:f>IF(OR(D60="Reviewer Complete",D60="Awaiting Second-Level Approval"),"","Service identity dependency unresolved")</x:f>
        <x:v>Service identity dependency unresolved</x:v>
      </x:c>
      <x:c r="R60" s="6" t="str">
        <x:v>Yes</x:v>
      </x:c>
      <x:c r="S60" s="7" t="str"/>
    </x:row>
    <x:row r="61">
      <x:c r="A61" s="6" t="str">
        <x:v>LABX-0060</x:v>
      </x:c>
      <x:c r="B61" s="6" t="str">
        <x:v>SVC000060</x:v>
      </x:c>
      <x:c r="C61" s="6" t="str">
        <x:v>SIDX-0060</x:v>
      </x:c>
      <x:c r="D61" s="6" t="str">
        <x:f>IFERROR(XLOOKUP(C61,'Review Sequence'!C2:C1586,'Review Sequence'!J2:J1586),"Dependency not found")</x:f>
        <x:v>Not Started</x:v>
      </x:c>
      <x:c r="E61" s="6" t="str"/>
      <x:c r="F61" s="6" t="str"/>
      <x:c r="G61" s="6" t="str"/>
      <x:c r="H61" s="6" t="str"/>
      <x:c r="I61" s="6" t="str"/>
      <x:c r="J61" s="6" t="str"/>
      <x:c r="K61" s="6" t="str"/>
      <x:c r="L61" s="6" t="str">
        <x:v>Unresolved</x:v>
      </x:c>
      <x:c r="M61" s="7" t="str">
        <x:v>Nocturnix_Master_Services_Catalog_v1.xlsx | 01 - Master Services | row 100</x:v>
      </x:c>
      <x:c r="N61" s="6" t="str"/>
      <x:c r="O61" s="6" t="str"/>
      <x:c r="P61" s="6" t="str">
        <x:v>Pending</x:v>
      </x:c>
      <x:c r="Q61" s="7" t="str">
        <x:f>IF(OR(D61="Reviewer Complete",D61="Awaiting Second-Level Approval"),"","Service identity dependency unresolved")</x:f>
        <x:v>Service identity dependency unresolved</x:v>
      </x:c>
      <x:c r="R61" s="6" t="str">
        <x:v>Yes</x:v>
      </x:c>
      <x:c r="S61" s="7" t="str"/>
    </x:row>
    <x:row r="62">
      <x:c r="A62" s="6" t="str">
        <x:v>LABX-0061</x:v>
      </x:c>
      <x:c r="B62" s="6" t="str">
        <x:v>SVC000061</x:v>
      </x:c>
      <x:c r="C62" s="6" t="str">
        <x:v>SIDX-0061</x:v>
      </x:c>
      <x:c r="D62" s="6" t="str">
        <x:f>IFERROR(XLOOKUP(C62,'Review Sequence'!C2:C1586,'Review Sequence'!J2:J1586),"Dependency not found")</x:f>
        <x:v>Not Started</x:v>
      </x:c>
      <x:c r="E62" s="6" t="str"/>
      <x:c r="F62" s="6" t="str"/>
      <x:c r="G62" s="6" t="str"/>
      <x:c r="H62" s="6" t="str"/>
      <x:c r="I62" s="6" t="str"/>
      <x:c r="J62" s="6" t="str"/>
      <x:c r="K62" s="6" t="str"/>
      <x:c r="L62" s="6" t="str">
        <x:v>Unresolved</x:v>
      </x:c>
      <x:c r="M62" s="7" t="str">
        <x:v>Nocturnix_Master_Services_Catalog_v1.xlsx | 01 - Master Services | row 101</x:v>
      </x:c>
      <x:c r="N62" s="6" t="str"/>
      <x:c r="O62" s="6" t="str"/>
      <x:c r="P62" s="6" t="str">
        <x:v>Pending</x:v>
      </x:c>
      <x:c r="Q62" s="7" t="str">
        <x:f>IF(OR(D62="Reviewer Complete",D62="Awaiting Second-Level Approval"),"","Service identity dependency unresolved")</x:f>
        <x:v>Service identity dependency unresolved</x:v>
      </x:c>
      <x:c r="R62" s="6" t="str">
        <x:v>Yes</x:v>
      </x:c>
      <x:c r="S62" s="7" t="str"/>
    </x:row>
    <x:row r="63">
      <x:c r="A63" s="6" t="str">
        <x:v>LABX-0062</x:v>
      </x:c>
      <x:c r="B63" s="6" t="str">
        <x:v>SVC000062</x:v>
      </x:c>
      <x:c r="C63" s="6" t="str">
        <x:v>SIDX-0062</x:v>
      </x:c>
      <x:c r="D63" s="6" t="str">
        <x:f>IFERROR(XLOOKUP(C63,'Review Sequence'!C2:C1586,'Review Sequence'!J2:J1586),"Dependency not found")</x:f>
        <x:v>Not Started</x:v>
      </x:c>
      <x:c r="E63" s="6" t="str"/>
      <x:c r="F63" s="6" t="str"/>
      <x:c r="G63" s="6" t="str"/>
      <x:c r="H63" s="6" t="str"/>
      <x:c r="I63" s="6" t="str"/>
      <x:c r="J63" s="6" t="str"/>
      <x:c r="K63" s="6" t="str"/>
      <x:c r="L63" s="6" t="str">
        <x:v>Unresolved</x:v>
      </x:c>
      <x:c r="M63" s="7" t="str">
        <x:v>Nocturnix_Master_Services_Catalog_v1.xlsx | 01 - Master Services | row 102</x:v>
      </x:c>
      <x:c r="N63" s="6" t="str"/>
      <x:c r="O63" s="6" t="str"/>
      <x:c r="P63" s="6" t="str">
        <x:v>Pending</x:v>
      </x:c>
      <x:c r="Q63" s="7" t="str">
        <x:f>IF(OR(D63="Reviewer Complete",D63="Awaiting Second-Level Approval"),"","Service identity dependency unresolved")</x:f>
        <x:v>Service identity dependency unresolved</x:v>
      </x:c>
      <x:c r="R63" s="6" t="str">
        <x:v>Yes</x:v>
      </x:c>
      <x:c r="S63" s="7" t="str"/>
    </x:row>
    <x:row r="64">
      <x:c r="A64" s="6" t="str">
        <x:v>LABX-0063</x:v>
      </x:c>
      <x:c r="B64" s="6" t="str">
        <x:v>SVC000063</x:v>
      </x:c>
      <x:c r="C64" s="6" t="str">
        <x:v>SIDX-0063</x:v>
      </x:c>
      <x:c r="D64" s="6" t="str">
        <x:f>IFERROR(XLOOKUP(C64,'Review Sequence'!C2:C1586,'Review Sequence'!J2:J1586),"Dependency not found")</x:f>
        <x:v>Not Started</x:v>
      </x:c>
      <x:c r="E64" s="6" t="str"/>
      <x:c r="F64" s="6" t="str"/>
      <x:c r="G64" s="6" t="str"/>
      <x:c r="H64" s="6" t="str"/>
      <x:c r="I64" s="6" t="str"/>
      <x:c r="J64" s="6" t="str"/>
      <x:c r="K64" s="6" t="str"/>
      <x:c r="L64" s="6" t="str">
        <x:v>Unresolved</x:v>
      </x:c>
      <x:c r="M64" s="7" t="str">
        <x:v>Nocturnix_Master_Services_Catalog_v1.xlsx | 01 - Master Services | row 103</x:v>
      </x:c>
      <x:c r="N64" s="6" t="str"/>
      <x:c r="O64" s="6" t="str"/>
      <x:c r="P64" s="6" t="str">
        <x:v>Pending</x:v>
      </x:c>
      <x:c r="Q64" s="7" t="str">
        <x:f>IF(OR(D64="Reviewer Complete",D64="Awaiting Second-Level Approval"),"","Service identity dependency unresolved")</x:f>
        <x:v>Service identity dependency unresolved</x:v>
      </x:c>
      <x:c r="R64" s="6" t="str">
        <x:v>Yes</x:v>
      </x:c>
      <x:c r="S64" s="7" t="str"/>
    </x:row>
    <x:row r="65">
      <x:c r="A65" s="6" t="str">
        <x:v>LABX-0064</x:v>
      </x:c>
      <x:c r="B65" s="6" t="str">
        <x:v>SVC000064</x:v>
      </x:c>
      <x:c r="C65" s="6" t="str">
        <x:v>SIDX-0064</x:v>
      </x:c>
      <x:c r="D65" s="6" t="str">
        <x:f>IFERROR(XLOOKUP(C65,'Review Sequence'!C2:C1586,'Review Sequence'!J2:J1586),"Dependency not found")</x:f>
        <x:v>Not Started</x:v>
      </x:c>
      <x:c r="E65" s="6" t="str"/>
      <x:c r="F65" s="6" t="str"/>
      <x:c r="G65" s="6" t="str"/>
      <x:c r="H65" s="6" t="str"/>
      <x:c r="I65" s="6" t="str"/>
      <x:c r="J65" s="6" t="str"/>
      <x:c r="K65" s="6" t="str"/>
      <x:c r="L65" s="6" t="str">
        <x:v>Unresolved</x:v>
      </x:c>
      <x:c r="M65" s="7" t="str">
        <x:v>Nocturnix_Master_Services_Catalog_v1.xlsx | 01 - Master Services | row 104</x:v>
      </x:c>
      <x:c r="N65" s="6" t="str"/>
      <x:c r="O65" s="6" t="str"/>
      <x:c r="P65" s="6" t="str">
        <x:v>Pending</x:v>
      </x:c>
      <x:c r="Q65" s="7" t="str">
        <x:f>IF(OR(D65="Reviewer Complete",D65="Awaiting Second-Level Approval"),"","Service identity dependency unresolved")</x:f>
        <x:v>Service identity dependency unresolved</x:v>
      </x:c>
      <x:c r="R65" s="6" t="str">
        <x:v>Yes</x:v>
      </x:c>
      <x:c r="S65" s="7" t="str"/>
    </x:row>
    <x:row r="66">
      <x:c r="A66" s="6" t="str">
        <x:v>LABX-0065</x:v>
      </x:c>
      <x:c r="B66" s="6" t="str">
        <x:v>SVC000065</x:v>
      </x:c>
      <x:c r="C66" s="6" t="str">
        <x:v>SIDX-0065</x:v>
      </x:c>
      <x:c r="D66" s="6" t="str">
        <x:f>IFERROR(XLOOKUP(C66,'Review Sequence'!C2:C1586,'Review Sequence'!J2:J1586),"Dependency not found")</x:f>
        <x:v>Not Started</x:v>
      </x:c>
      <x:c r="E66" s="6" t="str"/>
      <x:c r="F66" s="6" t="str"/>
      <x:c r="G66" s="6" t="str"/>
      <x:c r="H66" s="6" t="str"/>
      <x:c r="I66" s="6" t="str"/>
      <x:c r="J66" s="6" t="str"/>
      <x:c r="K66" s="6" t="str"/>
      <x:c r="L66" s="6" t="str">
        <x:v>Unresolved</x:v>
      </x:c>
      <x:c r="M66" s="7" t="str">
        <x:v>Nocturnix_Master_Services_Catalog_v1.xlsx | 01 - Master Services | row 105</x:v>
      </x:c>
      <x:c r="N66" s="6" t="str"/>
      <x:c r="O66" s="6" t="str"/>
      <x:c r="P66" s="6" t="str">
        <x:v>Pending</x:v>
      </x:c>
      <x:c r="Q66" s="7" t="str">
        <x:f>IF(OR(D66="Reviewer Complete",D66="Awaiting Second-Level Approval"),"","Service identity dependency unresolved")</x:f>
        <x:v>Service identity dependency unresolved</x:v>
      </x:c>
      <x:c r="R66" s="6" t="str">
        <x:v>Yes</x:v>
      </x:c>
      <x:c r="S66" s="7" t="str"/>
    </x:row>
    <x:row r="67">
      <x:c r="A67" s="6" t="str">
        <x:v>LABX-0066</x:v>
      </x:c>
      <x:c r="B67" s="6" t="str">
        <x:v>SVC000066</x:v>
      </x:c>
      <x:c r="C67" s="6" t="str">
        <x:v>SIDX-0066</x:v>
      </x:c>
      <x:c r="D67" s="6" t="str">
        <x:f>IFERROR(XLOOKUP(C67,'Review Sequence'!C2:C1586,'Review Sequence'!J2:J1586),"Dependency not found")</x:f>
        <x:v>Not Started</x:v>
      </x:c>
      <x:c r="E67" s="6" t="str"/>
      <x:c r="F67" s="6" t="str"/>
      <x:c r="G67" s="6" t="str"/>
      <x:c r="H67" s="6" t="str"/>
      <x:c r="I67" s="6" t="str"/>
      <x:c r="J67" s="6" t="str"/>
      <x:c r="K67" s="6" t="str"/>
      <x:c r="L67" s="6" t="str">
        <x:v>Unresolved</x:v>
      </x:c>
      <x:c r="M67" s="7" t="str">
        <x:v>Nocturnix_Master_Services_Catalog_v1.xlsx | 01 - Master Services | row 106</x:v>
      </x:c>
      <x:c r="N67" s="6" t="str"/>
      <x:c r="O67" s="6" t="str"/>
      <x:c r="P67" s="6" t="str">
        <x:v>Pending</x:v>
      </x:c>
      <x:c r="Q67" s="7" t="str">
        <x:f>IF(OR(D67="Reviewer Complete",D67="Awaiting Second-Level Approval"),"","Service identity dependency unresolved")</x:f>
        <x:v>Service identity dependency unresolved</x:v>
      </x:c>
      <x:c r="R67" s="6" t="str">
        <x:v>Yes</x:v>
      </x:c>
      <x:c r="S67" s="7" t="str"/>
    </x:row>
    <x:row r="68">
      <x:c r="A68" s="6" t="str">
        <x:v>LABX-0067</x:v>
      </x:c>
      <x:c r="B68" s="6" t="str">
        <x:v>SVC000067</x:v>
      </x:c>
      <x:c r="C68" s="6" t="str">
        <x:v>SIDX-0067</x:v>
      </x:c>
      <x:c r="D68" s="6" t="str">
        <x:f>IFERROR(XLOOKUP(C68,'Review Sequence'!C2:C1586,'Review Sequence'!J2:J1586),"Dependency not found")</x:f>
        <x:v>Not Started</x:v>
      </x:c>
      <x:c r="E68" s="6" t="str"/>
      <x:c r="F68" s="6" t="str"/>
      <x:c r="G68" s="6" t="str"/>
      <x:c r="H68" s="6" t="str"/>
      <x:c r="I68" s="6" t="str"/>
      <x:c r="J68" s="6" t="str"/>
      <x:c r="K68" s="6" t="str"/>
      <x:c r="L68" s="6" t="str">
        <x:v>Unresolved</x:v>
      </x:c>
      <x:c r="M68" s="7" t="str">
        <x:v>Nocturnix_Master_Services_Catalog_v1.xlsx | 01 - Master Services | row 107</x:v>
      </x:c>
      <x:c r="N68" s="6" t="str"/>
      <x:c r="O68" s="6" t="str"/>
      <x:c r="P68" s="6" t="str">
        <x:v>Pending</x:v>
      </x:c>
      <x:c r="Q68" s="7" t="str">
        <x:f>IF(OR(D68="Reviewer Complete",D68="Awaiting Second-Level Approval"),"","Service identity dependency unresolved")</x:f>
        <x:v>Service identity dependency unresolved</x:v>
      </x:c>
      <x:c r="R68" s="6" t="str">
        <x:v>Yes</x:v>
      </x:c>
      <x:c r="S68" s="7" t="str"/>
    </x:row>
    <x:row r="69">
      <x:c r="A69" s="6" t="str">
        <x:v>LABX-0068</x:v>
      </x:c>
      <x:c r="B69" s="6" t="str">
        <x:v>SVC000068</x:v>
      </x:c>
      <x:c r="C69" s="6" t="str">
        <x:v>SIDX-0068</x:v>
      </x:c>
      <x:c r="D69" s="6" t="str">
        <x:f>IFERROR(XLOOKUP(C69,'Review Sequence'!C2:C1586,'Review Sequence'!J2:J1586),"Dependency not found")</x:f>
        <x:v>Not Started</x:v>
      </x:c>
      <x:c r="E69" s="6" t="str"/>
      <x:c r="F69" s="6" t="str"/>
      <x:c r="G69" s="6" t="str"/>
      <x:c r="H69" s="6" t="str"/>
      <x:c r="I69" s="6" t="str"/>
      <x:c r="J69" s="6" t="str"/>
      <x:c r="K69" s="6" t="str"/>
      <x:c r="L69" s="6" t="str">
        <x:v>Unresolved</x:v>
      </x:c>
      <x:c r="M69" s="7" t="str">
        <x:v>Nocturnix_Master_Services_Catalog_v1.xlsx | 01 - Master Services | row 108</x:v>
      </x:c>
      <x:c r="N69" s="6" t="str"/>
      <x:c r="O69" s="6" t="str"/>
      <x:c r="P69" s="6" t="str">
        <x:v>Pending</x:v>
      </x:c>
      <x:c r="Q69" s="7" t="str">
        <x:f>IF(OR(D69="Reviewer Complete",D69="Awaiting Second-Level Approval"),"","Service identity dependency unresolved")</x:f>
        <x:v>Service identity dependency unresolved</x:v>
      </x:c>
      <x:c r="R69" s="6" t="str">
        <x:v>Yes</x:v>
      </x:c>
      <x:c r="S69" s="7" t="str"/>
    </x:row>
    <x:row r="70">
      <x:c r="A70" s="6" t="str">
        <x:v>LABX-0069</x:v>
      </x:c>
      <x:c r="B70" s="6" t="str">
        <x:v>SVC000069</x:v>
      </x:c>
      <x:c r="C70" s="6" t="str">
        <x:v>SIDX-0069</x:v>
      </x:c>
      <x:c r="D70" s="6" t="str">
        <x:f>IFERROR(XLOOKUP(C70,'Review Sequence'!C2:C1586,'Review Sequence'!J2:J1586),"Dependency not found")</x:f>
        <x:v>Not Started</x:v>
      </x:c>
      <x:c r="E70" s="6" t="str"/>
      <x:c r="F70" s="6" t="str"/>
      <x:c r="G70" s="6" t="str"/>
      <x:c r="H70" s="6" t="str"/>
      <x:c r="I70" s="6" t="str"/>
      <x:c r="J70" s="6" t="str"/>
      <x:c r="K70" s="6" t="str"/>
      <x:c r="L70" s="6" t="str">
        <x:v>Unresolved</x:v>
      </x:c>
      <x:c r="M70" s="7" t="str">
        <x:v>Nocturnix_Master_Services_Catalog_v1.xlsx | 01 - Master Services | row 109</x:v>
      </x:c>
      <x:c r="N70" s="6" t="str"/>
      <x:c r="O70" s="6" t="str"/>
      <x:c r="P70" s="6" t="str">
        <x:v>Pending</x:v>
      </x:c>
      <x:c r="Q70" s="7" t="str">
        <x:f>IF(OR(D70="Reviewer Complete",D70="Awaiting Second-Level Approval"),"","Service identity dependency unresolved")</x:f>
        <x:v>Service identity dependency unresolved</x:v>
      </x:c>
      <x:c r="R70" s="6" t="str">
        <x:v>Yes</x:v>
      </x:c>
      <x:c r="S70" s="7" t="str"/>
    </x:row>
    <x:row r="71">
      <x:c r="A71" s="6" t="str">
        <x:v>LABX-0070</x:v>
      </x:c>
      <x:c r="B71" s="6" t="str">
        <x:v>SVC000070</x:v>
      </x:c>
      <x:c r="C71" s="6" t="str">
        <x:v>SIDX-0070</x:v>
      </x:c>
      <x:c r="D71" s="6" t="str">
        <x:f>IFERROR(XLOOKUP(C71,'Review Sequence'!C2:C1586,'Review Sequence'!J2:J1586),"Dependency not found")</x:f>
        <x:v>Not Started</x:v>
      </x:c>
      <x:c r="E71" s="6" t="str"/>
      <x:c r="F71" s="6" t="str"/>
      <x:c r="G71" s="6" t="str"/>
      <x:c r="H71" s="6" t="str"/>
      <x:c r="I71" s="6" t="str"/>
      <x:c r="J71" s="6" t="str"/>
      <x:c r="K71" s="6" t="str"/>
      <x:c r="L71" s="6" t="str">
        <x:v>Unresolved</x:v>
      </x:c>
      <x:c r="M71" s="7" t="str">
        <x:v>Nocturnix_Master_Services_Catalog_v1.xlsx | 01 - Master Services | row 110</x:v>
      </x:c>
      <x:c r="N71" s="6" t="str"/>
      <x:c r="O71" s="6" t="str"/>
      <x:c r="P71" s="6" t="str">
        <x:v>Pending</x:v>
      </x:c>
      <x:c r="Q71" s="7" t="str">
        <x:f>IF(OR(D71="Reviewer Complete",D71="Awaiting Second-Level Approval"),"","Service identity dependency unresolved")</x:f>
        <x:v>Service identity dependency unresolved</x:v>
      </x:c>
      <x:c r="R71" s="6" t="str">
        <x:v>Yes</x:v>
      </x:c>
      <x:c r="S71" s="7" t="str"/>
    </x:row>
    <x:row r="72">
      <x:c r="A72" s="6" t="str">
        <x:v>LABX-0071</x:v>
      </x:c>
      <x:c r="B72" s="6" t="str">
        <x:v>SVC000071</x:v>
      </x:c>
      <x:c r="C72" s="6" t="str">
        <x:v>SIDX-0071</x:v>
      </x:c>
      <x:c r="D72" s="6" t="str">
        <x:f>IFERROR(XLOOKUP(C72,'Review Sequence'!C2:C1586,'Review Sequence'!J2:J1586),"Dependency not found")</x:f>
        <x:v>Not Started</x:v>
      </x:c>
      <x:c r="E72" s="6" t="str"/>
      <x:c r="F72" s="6" t="str"/>
      <x:c r="G72" s="6" t="str"/>
      <x:c r="H72" s="6" t="str"/>
      <x:c r="I72" s="6" t="str"/>
      <x:c r="J72" s="6" t="str"/>
      <x:c r="K72" s="6" t="str"/>
      <x:c r="L72" s="6" t="str">
        <x:v>Unresolved</x:v>
      </x:c>
      <x:c r="M72" s="7" t="str">
        <x:v>Nocturnix_Master_Services_Catalog_v1.xlsx | 01 - Master Services | row 111</x:v>
      </x:c>
      <x:c r="N72" s="6" t="str"/>
      <x:c r="O72" s="6" t="str"/>
      <x:c r="P72" s="6" t="str">
        <x:v>Pending</x:v>
      </x:c>
      <x:c r="Q72" s="7" t="str">
        <x:f>IF(OR(D72="Reviewer Complete",D72="Awaiting Second-Level Approval"),"","Service identity dependency unresolved")</x:f>
        <x:v>Service identity dependency unresolved</x:v>
      </x:c>
      <x:c r="R72" s="6" t="str">
        <x:v>Yes</x:v>
      </x:c>
      <x:c r="S72" s="7" t="str"/>
    </x:row>
    <x:row r="73">
      <x:c r="A73" s="6" t="str">
        <x:v>LABX-0072</x:v>
      </x:c>
      <x:c r="B73" s="6" t="str">
        <x:v>SVC000072</x:v>
      </x:c>
      <x:c r="C73" s="6" t="str">
        <x:v>SIDX-0072</x:v>
      </x:c>
      <x:c r="D73" s="6" t="str">
        <x:f>IFERROR(XLOOKUP(C73,'Review Sequence'!C2:C1586,'Review Sequence'!J2:J1586),"Dependency not found")</x:f>
        <x:v>Not Started</x:v>
      </x:c>
      <x:c r="E73" s="6" t="str"/>
      <x:c r="F73" s="6" t="str"/>
      <x:c r="G73" s="6" t="str"/>
      <x:c r="H73" s="6" t="str"/>
      <x:c r="I73" s="6" t="str"/>
      <x:c r="J73" s="6" t="str"/>
      <x:c r="K73" s="6" t="str"/>
      <x:c r="L73" s="6" t="str">
        <x:v>Unresolved</x:v>
      </x:c>
      <x:c r="M73" s="7" t="str">
        <x:v>Nocturnix_Master_Services_Catalog_v1.xlsx | 01 - Master Services | row 112</x:v>
      </x:c>
      <x:c r="N73" s="6" t="str"/>
      <x:c r="O73" s="6" t="str"/>
      <x:c r="P73" s="6" t="str">
        <x:v>Pending</x:v>
      </x:c>
      <x:c r="Q73" s="7" t="str">
        <x:f>IF(OR(D73="Reviewer Complete",D73="Awaiting Second-Level Approval"),"","Service identity dependency unresolved")</x:f>
        <x:v>Service identity dependency unresolved</x:v>
      </x:c>
      <x:c r="R73" s="6" t="str">
        <x:v>Yes</x:v>
      </x:c>
      <x:c r="S73" s="7" t="str"/>
    </x:row>
    <x:row r="74">
      <x:c r="A74" s="6" t="str">
        <x:v>LABX-0073</x:v>
      </x:c>
      <x:c r="B74" s="6" t="str">
        <x:v>SVC000073</x:v>
      </x:c>
      <x:c r="C74" s="6" t="str">
        <x:v>SIDX-0073</x:v>
      </x:c>
      <x:c r="D74" s="6" t="str">
        <x:f>IFERROR(XLOOKUP(C74,'Review Sequence'!C2:C1586,'Review Sequence'!J2:J1586),"Dependency not found")</x:f>
        <x:v>Not Started</x:v>
      </x:c>
      <x:c r="E74" s="6" t="str"/>
      <x:c r="F74" s="6" t="str"/>
      <x:c r="G74" s="6" t="str"/>
      <x:c r="H74" s="6" t="str"/>
      <x:c r="I74" s="6" t="str"/>
      <x:c r="J74" s="6" t="str"/>
      <x:c r="K74" s="6" t="str"/>
      <x:c r="L74" s="6" t="str">
        <x:v>Unresolved</x:v>
      </x:c>
      <x:c r="M74" s="7" t="str">
        <x:v>Nocturnix_Master_Services_Catalog_v1.xlsx | 01 - Master Services | row 113</x:v>
      </x:c>
      <x:c r="N74" s="6" t="str"/>
      <x:c r="O74" s="6" t="str"/>
      <x:c r="P74" s="6" t="str">
        <x:v>Pending</x:v>
      </x:c>
      <x:c r="Q74" s="7" t="str">
        <x:f>IF(OR(D74="Reviewer Complete",D74="Awaiting Second-Level Approval"),"","Service identity dependency unresolved")</x:f>
        <x:v>Service identity dependency unresolved</x:v>
      </x:c>
      <x:c r="R74" s="6" t="str">
        <x:v>Yes</x:v>
      </x:c>
      <x:c r="S74" s="7" t="str"/>
    </x:row>
    <x:row r="75">
      <x:c r="A75" s="6" t="str">
        <x:v>LABX-0074</x:v>
      </x:c>
      <x:c r="B75" s="6" t="str">
        <x:v>SVC000074</x:v>
      </x:c>
      <x:c r="C75" s="6" t="str">
        <x:v>SIDX-0074</x:v>
      </x:c>
      <x:c r="D75" s="6" t="str">
        <x:f>IFERROR(XLOOKUP(C75,'Review Sequence'!C2:C1586,'Review Sequence'!J2:J1586),"Dependency not found")</x:f>
        <x:v>Not Started</x:v>
      </x:c>
      <x:c r="E75" s="6" t="str"/>
      <x:c r="F75" s="6" t="str"/>
      <x:c r="G75" s="6" t="str"/>
      <x:c r="H75" s="6" t="str"/>
      <x:c r="I75" s="6" t="str"/>
      <x:c r="J75" s="6" t="str"/>
      <x:c r="K75" s="6" t="str"/>
      <x:c r="L75" s="6" t="str">
        <x:v>Unresolved</x:v>
      </x:c>
      <x:c r="M75" s="7" t="str">
        <x:v>Nocturnix_Master_Services_Catalog_v1.xlsx | 01 - Master Services | row 114</x:v>
      </x:c>
      <x:c r="N75" s="6" t="str"/>
      <x:c r="O75" s="6" t="str"/>
      <x:c r="P75" s="6" t="str">
        <x:v>Pending</x:v>
      </x:c>
      <x:c r="Q75" s="7" t="str">
        <x:f>IF(OR(D75="Reviewer Complete",D75="Awaiting Second-Level Approval"),"","Service identity dependency unresolved")</x:f>
        <x:v>Service identity dependency unresolved</x:v>
      </x:c>
      <x:c r="R75" s="6" t="str">
        <x:v>Yes</x:v>
      </x:c>
      <x:c r="S75" s="7" t="str"/>
    </x:row>
    <x:row r="76">
      <x:c r="A76" s="6" t="str">
        <x:v>LABX-0075</x:v>
      </x:c>
      <x:c r="B76" s="6" t="str">
        <x:v>SVC000075</x:v>
      </x:c>
      <x:c r="C76" s="6" t="str">
        <x:v>SIDX-0075</x:v>
      </x:c>
      <x:c r="D76" s="6" t="str">
        <x:f>IFERROR(XLOOKUP(C76,'Review Sequence'!C2:C1586,'Review Sequence'!J2:J1586),"Dependency not found")</x:f>
        <x:v>Not Started</x:v>
      </x:c>
      <x:c r="E76" s="6" t="str"/>
      <x:c r="F76" s="6" t="str"/>
      <x:c r="G76" s="6" t="str"/>
      <x:c r="H76" s="6" t="str"/>
      <x:c r="I76" s="6" t="str"/>
      <x:c r="J76" s="6" t="str"/>
      <x:c r="K76" s="6" t="str"/>
      <x:c r="L76" s="6" t="str">
        <x:v>Unresolved</x:v>
      </x:c>
      <x:c r="M76" s="7" t="str">
        <x:v>Nocturnix_Master_Services_Catalog_v1.xlsx | 01 - Master Services | row 115</x:v>
      </x:c>
      <x:c r="N76" s="6" t="str"/>
      <x:c r="O76" s="6" t="str"/>
      <x:c r="P76" s="6" t="str">
        <x:v>Pending</x:v>
      </x:c>
      <x:c r="Q76" s="7" t="str">
        <x:f>IF(OR(D76="Reviewer Complete",D76="Awaiting Second-Level Approval"),"","Service identity dependency unresolved")</x:f>
        <x:v>Service identity dependency unresolved</x:v>
      </x:c>
      <x:c r="R76" s="6" t="str">
        <x:v>Yes</x:v>
      </x:c>
      <x:c r="S76" s="7" t="str"/>
    </x:row>
    <x:row r="77">
      <x:c r="A77" s="6" t="str">
        <x:v>LABX-0076</x:v>
      </x:c>
      <x:c r="B77" s="6" t="str">
        <x:v>SVC000076</x:v>
      </x:c>
      <x:c r="C77" s="6" t="str">
        <x:v>SIDX-0076</x:v>
      </x:c>
      <x:c r="D77" s="6" t="str">
        <x:f>IFERROR(XLOOKUP(C77,'Review Sequence'!C2:C1586,'Review Sequence'!J2:J1586),"Dependency not found")</x:f>
        <x:v>Not Started</x:v>
      </x:c>
      <x:c r="E77" s="6" t="str"/>
      <x:c r="F77" s="6" t="str"/>
      <x:c r="G77" s="6" t="str"/>
      <x:c r="H77" s="6" t="str"/>
      <x:c r="I77" s="6" t="str"/>
      <x:c r="J77" s="6" t="str"/>
      <x:c r="K77" s="6" t="str"/>
      <x:c r="L77" s="6" t="str">
        <x:v>Unresolved</x:v>
      </x:c>
      <x:c r="M77" s="7" t="str">
        <x:v>Nocturnix_Master_Services_Catalog_v1.xlsx | 01 - Master Services | row 116</x:v>
      </x:c>
      <x:c r="N77" s="6" t="str"/>
      <x:c r="O77" s="6" t="str"/>
      <x:c r="P77" s="6" t="str">
        <x:v>Pending</x:v>
      </x:c>
      <x:c r="Q77" s="7" t="str">
        <x:f>IF(OR(D77="Reviewer Complete",D77="Awaiting Second-Level Approval"),"","Service identity dependency unresolved")</x:f>
        <x:v>Service identity dependency unresolved</x:v>
      </x:c>
      <x:c r="R77" s="6" t="str">
        <x:v>Yes</x:v>
      </x:c>
      <x:c r="S77" s="7" t="str"/>
    </x:row>
    <x:row r="78">
      <x:c r="A78" s="6" t="str">
        <x:v>LABX-0077</x:v>
      </x:c>
      <x:c r="B78" s="6" t="str">
        <x:v>SVC000077</x:v>
      </x:c>
      <x:c r="C78" s="6" t="str">
        <x:v>SIDX-0077</x:v>
      </x:c>
      <x:c r="D78" s="6" t="str">
        <x:f>IFERROR(XLOOKUP(C78,'Review Sequence'!C2:C1586,'Review Sequence'!J2:J1586),"Dependency not found")</x:f>
        <x:v>Not Started</x:v>
      </x:c>
      <x:c r="E78" s="6" t="str"/>
      <x:c r="F78" s="6" t="str"/>
      <x:c r="G78" s="6" t="str"/>
      <x:c r="H78" s="6" t="str"/>
      <x:c r="I78" s="6" t="str"/>
      <x:c r="J78" s="6" t="str"/>
      <x:c r="K78" s="6" t="str"/>
      <x:c r="L78" s="6" t="str">
        <x:v>Unresolved</x:v>
      </x:c>
      <x:c r="M78" s="7" t="str">
        <x:v>Nocturnix_Master_Services_Catalog_v1.xlsx | 01 - Master Services | row 117</x:v>
      </x:c>
      <x:c r="N78" s="6" t="str"/>
      <x:c r="O78" s="6" t="str"/>
      <x:c r="P78" s="6" t="str">
        <x:v>Pending</x:v>
      </x:c>
      <x:c r="Q78" s="7" t="str">
        <x:f>IF(OR(D78="Reviewer Complete",D78="Awaiting Second-Level Approval"),"","Service identity dependency unresolved")</x:f>
        <x:v>Service identity dependency unresolved</x:v>
      </x:c>
      <x:c r="R78" s="6" t="str">
        <x:v>Yes</x:v>
      </x:c>
      <x:c r="S78" s="7" t="str"/>
    </x:row>
    <x:row r="79">
      <x:c r="A79" s="6" t="str">
        <x:v>LABX-0078</x:v>
      </x:c>
      <x:c r="B79" s="6" t="str">
        <x:v>SVC000078</x:v>
      </x:c>
      <x:c r="C79" s="6" t="str">
        <x:v>SIDX-0078</x:v>
      </x:c>
      <x:c r="D79" s="6" t="str">
        <x:f>IFERROR(XLOOKUP(C79,'Review Sequence'!C2:C1586,'Review Sequence'!J2:J1586),"Dependency not found")</x:f>
        <x:v>Not Started</x:v>
      </x:c>
      <x:c r="E79" s="6" t="str"/>
      <x:c r="F79" s="6" t="str"/>
      <x:c r="G79" s="6" t="str"/>
      <x:c r="H79" s="6" t="str"/>
      <x:c r="I79" s="6" t="str"/>
      <x:c r="J79" s="6" t="str"/>
      <x:c r="K79" s="6" t="str"/>
      <x:c r="L79" s="6" t="str">
        <x:v>Unresolved</x:v>
      </x:c>
      <x:c r="M79" s="7" t="str">
        <x:v>Nocturnix_Master_Services_Catalog_v1.xlsx | 01 - Master Services | row 118</x:v>
      </x:c>
      <x:c r="N79" s="6" t="str"/>
      <x:c r="O79" s="6" t="str"/>
      <x:c r="P79" s="6" t="str">
        <x:v>Pending</x:v>
      </x:c>
      <x:c r="Q79" s="7" t="str">
        <x:f>IF(OR(D79="Reviewer Complete",D79="Awaiting Second-Level Approval"),"","Service identity dependency unresolved")</x:f>
        <x:v>Service identity dependency unresolved</x:v>
      </x:c>
      <x:c r="R79" s="6" t="str">
        <x:v>Yes</x:v>
      </x:c>
      <x:c r="S79" s="7" t="str"/>
    </x:row>
    <x:row r="80">
      <x:c r="A80" s="6" t="str">
        <x:v>LABX-0079</x:v>
      </x:c>
      <x:c r="B80" s="6" t="str">
        <x:v>SVC000079</x:v>
      </x:c>
      <x:c r="C80" s="6" t="str">
        <x:v>SIDX-0079</x:v>
      </x:c>
      <x:c r="D80" s="6" t="str">
        <x:f>IFERROR(XLOOKUP(C80,'Review Sequence'!C2:C1586,'Review Sequence'!J2:J1586),"Dependency not found")</x:f>
        <x:v>Not Started</x:v>
      </x:c>
      <x:c r="E80" s="6" t="str"/>
      <x:c r="F80" s="6" t="str"/>
      <x:c r="G80" s="6" t="str"/>
      <x:c r="H80" s="6" t="str"/>
      <x:c r="I80" s="6" t="str"/>
      <x:c r="J80" s="6" t="str"/>
      <x:c r="K80" s="6" t="str"/>
      <x:c r="L80" s="6" t="str">
        <x:v>Unresolved</x:v>
      </x:c>
      <x:c r="M80" s="7" t="str">
        <x:v>Nocturnix_Master_Services_Catalog_v1.xlsx | 01 - Master Services | row 119</x:v>
      </x:c>
      <x:c r="N80" s="6" t="str"/>
      <x:c r="O80" s="6" t="str"/>
      <x:c r="P80" s="6" t="str">
        <x:v>Pending</x:v>
      </x:c>
      <x:c r="Q80" s="7" t="str">
        <x:f>IF(OR(D80="Reviewer Complete",D80="Awaiting Second-Level Approval"),"","Service identity dependency unresolved")</x:f>
        <x:v>Service identity dependency unresolved</x:v>
      </x:c>
      <x:c r="R80" s="6" t="str">
        <x:v>Yes</x:v>
      </x:c>
      <x:c r="S80" s="7" t="str"/>
    </x:row>
    <x:row r="81">
      <x:c r="A81" s="6" t="str">
        <x:v>LABX-0080</x:v>
      </x:c>
      <x:c r="B81" s="6" t="str">
        <x:v>SVC000080</x:v>
      </x:c>
      <x:c r="C81" s="6" t="str">
        <x:v>SIDX-0080</x:v>
      </x:c>
      <x:c r="D81" s="6" t="str">
        <x:f>IFERROR(XLOOKUP(C81,'Review Sequence'!C2:C1586,'Review Sequence'!J2:J1586),"Dependency not found")</x:f>
        <x:v>Not Started</x:v>
      </x:c>
      <x:c r="E81" s="6" t="str"/>
      <x:c r="F81" s="6" t="str"/>
      <x:c r="G81" s="6" t="str"/>
      <x:c r="H81" s="6" t="str"/>
      <x:c r="I81" s="6" t="str"/>
      <x:c r="J81" s="6" t="str"/>
      <x:c r="K81" s="6" t="str"/>
      <x:c r="L81" s="6" t="str">
        <x:v>Unresolved</x:v>
      </x:c>
      <x:c r="M81" s="7" t="str">
        <x:v>Nocturnix_Master_Services_Catalog_v1.xlsx | 01 - Master Services | row 120</x:v>
      </x:c>
      <x:c r="N81" s="6" t="str"/>
      <x:c r="O81" s="6" t="str"/>
      <x:c r="P81" s="6" t="str">
        <x:v>Pending</x:v>
      </x:c>
      <x:c r="Q81" s="7" t="str">
        <x:f>IF(OR(D81="Reviewer Complete",D81="Awaiting Second-Level Approval"),"","Service identity dependency unresolved")</x:f>
        <x:v>Service identity dependency unresolved</x:v>
      </x:c>
      <x:c r="R81" s="6" t="str">
        <x:v>Yes</x:v>
      </x:c>
      <x:c r="S81" s="7" t="str"/>
    </x:row>
    <x:row r="82">
      <x:c r="A82" s="6" t="str">
        <x:v>LABX-0081</x:v>
      </x:c>
      <x:c r="B82" s="6" t="str">
        <x:v>SVC000081</x:v>
      </x:c>
      <x:c r="C82" s="6" t="str">
        <x:v>SIDX-0081</x:v>
      </x:c>
      <x:c r="D82" s="6" t="str">
        <x:f>IFERROR(XLOOKUP(C82,'Review Sequence'!C2:C1586,'Review Sequence'!J2:J1586),"Dependency not found")</x:f>
        <x:v>Not Started</x:v>
      </x:c>
      <x:c r="E82" s="6" t="str"/>
      <x:c r="F82" s="6" t="str"/>
      <x:c r="G82" s="6" t="str"/>
      <x:c r="H82" s="6" t="str"/>
      <x:c r="I82" s="6" t="str"/>
      <x:c r="J82" s="6" t="str"/>
      <x:c r="K82" s="6" t="str"/>
      <x:c r="L82" s="6" t="str">
        <x:v>Unresolved</x:v>
      </x:c>
      <x:c r="M82" s="7" t="str">
        <x:v>Nocturnix_Master_Services_Catalog_v1.xlsx | 01 - Master Services | row 121</x:v>
      </x:c>
      <x:c r="N82" s="6" t="str"/>
      <x:c r="O82" s="6" t="str"/>
      <x:c r="P82" s="6" t="str">
        <x:v>Pending</x:v>
      </x:c>
      <x:c r="Q82" s="7" t="str">
        <x:f>IF(OR(D82="Reviewer Complete",D82="Awaiting Second-Level Approval"),"","Service identity dependency unresolved")</x:f>
        <x:v>Service identity dependency unresolved</x:v>
      </x:c>
      <x:c r="R82" s="6" t="str">
        <x:v>Yes</x:v>
      </x:c>
      <x:c r="S82" s="7" t="str"/>
    </x:row>
    <x:row r="83">
      <x:c r="A83" s="6" t="str">
        <x:v>LABX-0082</x:v>
      </x:c>
      <x:c r="B83" s="6" t="str">
        <x:v>SVC000082</x:v>
      </x:c>
      <x:c r="C83" s="6" t="str">
        <x:v>SIDX-0082</x:v>
      </x:c>
      <x:c r="D83" s="6" t="str">
        <x:f>IFERROR(XLOOKUP(C83,'Review Sequence'!C2:C1586,'Review Sequence'!J2:J1586),"Dependency not found")</x:f>
        <x:v>Not Started</x:v>
      </x:c>
      <x:c r="E83" s="6" t="str"/>
      <x:c r="F83" s="6" t="str"/>
      <x:c r="G83" s="6" t="str"/>
      <x:c r="H83" s="6" t="str"/>
      <x:c r="I83" s="6" t="str"/>
      <x:c r="J83" s="6" t="str"/>
      <x:c r="K83" s="6" t="str"/>
      <x:c r="L83" s="6" t="str">
        <x:v>Unresolved</x:v>
      </x:c>
      <x:c r="M83" s="7" t="str">
        <x:v>Nocturnix_Master_Services_Catalog_v1.xlsx | 01 - Master Services | row 122</x:v>
      </x:c>
      <x:c r="N83" s="6" t="str"/>
      <x:c r="O83" s="6" t="str"/>
      <x:c r="P83" s="6" t="str">
        <x:v>Pending</x:v>
      </x:c>
      <x:c r="Q83" s="7" t="str">
        <x:f>IF(OR(D83="Reviewer Complete",D83="Awaiting Second-Level Approval"),"","Service identity dependency unresolved")</x:f>
        <x:v>Service identity dependency unresolved</x:v>
      </x:c>
      <x:c r="R83" s="6" t="str">
        <x:v>Yes</x:v>
      </x:c>
      <x:c r="S83" s="7" t="str"/>
    </x:row>
    <x:row r="84">
      <x:c r="A84" s="6" t="str">
        <x:v>LABX-0083</x:v>
      </x:c>
      <x:c r="B84" s="6" t="str">
        <x:v>SVC000083</x:v>
      </x:c>
      <x:c r="C84" s="6" t="str">
        <x:v>SIDX-0083</x:v>
      </x:c>
      <x:c r="D84" s="6" t="str">
        <x:f>IFERROR(XLOOKUP(C84,'Review Sequence'!C2:C1586,'Review Sequence'!J2:J1586),"Dependency not found")</x:f>
        <x:v>Not Started</x:v>
      </x:c>
      <x:c r="E84" s="6" t="str"/>
      <x:c r="F84" s="6" t="str"/>
      <x:c r="G84" s="6" t="str"/>
      <x:c r="H84" s="6" t="str"/>
      <x:c r="I84" s="6" t="str"/>
      <x:c r="J84" s="6" t="str"/>
      <x:c r="K84" s="6" t="str"/>
      <x:c r="L84" s="6" t="str">
        <x:v>Unresolved</x:v>
      </x:c>
      <x:c r="M84" s="7" t="str">
        <x:v>Nocturnix_Master_Services_Catalog_v1.xlsx | 01 - Master Services | row 123</x:v>
      </x:c>
      <x:c r="N84" s="6" t="str"/>
      <x:c r="O84" s="6" t="str"/>
      <x:c r="P84" s="6" t="str">
        <x:v>Pending</x:v>
      </x:c>
      <x:c r="Q84" s="7" t="str">
        <x:f>IF(OR(D84="Reviewer Complete",D84="Awaiting Second-Level Approval"),"","Service identity dependency unresolved")</x:f>
        <x:v>Service identity dependency unresolved</x:v>
      </x:c>
      <x:c r="R84" s="6" t="str">
        <x:v>Yes</x:v>
      </x:c>
      <x:c r="S84" s="7" t="str"/>
    </x:row>
    <x:row r="85">
      <x:c r="A85" s="6" t="str">
        <x:v>LABX-0084</x:v>
      </x:c>
      <x:c r="B85" s="6" t="str">
        <x:v>SVC000084</x:v>
      </x:c>
      <x:c r="C85" s="6" t="str">
        <x:v>SIDX-0084</x:v>
      </x:c>
      <x:c r="D85" s="6" t="str">
        <x:f>IFERROR(XLOOKUP(C85,'Review Sequence'!C2:C1586,'Review Sequence'!J2:J1586),"Dependency not found")</x:f>
        <x:v>Not Started</x:v>
      </x:c>
      <x:c r="E85" s="6" t="str"/>
      <x:c r="F85" s="6" t="str"/>
      <x:c r="G85" s="6" t="str"/>
      <x:c r="H85" s="6" t="str"/>
      <x:c r="I85" s="6" t="str"/>
      <x:c r="J85" s="6" t="str"/>
      <x:c r="K85" s="6" t="str"/>
      <x:c r="L85" s="6" t="str">
        <x:v>Unresolved</x:v>
      </x:c>
      <x:c r="M85" s="7" t="str">
        <x:v>Nocturnix_Master_Services_Catalog_v1.xlsx | 01 - Master Services | row 124</x:v>
      </x:c>
      <x:c r="N85" s="6" t="str"/>
      <x:c r="O85" s="6" t="str"/>
      <x:c r="P85" s="6" t="str">
        <x:v>Pending</x:v>
      </x:c>
      <x:c r="Q85" s="7" t="str">
        <x:f>IF(OR(D85="Reviewer Complete",D85="Awaiting Second-Level Approval"),"","Service identity dependency unresolved")</x:f>
        <x:v>Service identity dependency unresolved</x:v>
      </x:c>
      <x:c r="R85" s="6" t="str">
        <x:v>Yes</x:v>
      </x:c>
      <x:c r="S85" s="7" t="str"/>
    </x:row>
    <x:row r="86">
      <x:c r="A86" s="6" t="str">
        <x:v>LABX-0085</x:v>
      </x:c>
      <x:c r="B86" s="6" t="str">
        <x:v>SVC000085</x:v>
      </x:c>
      <x:c r="C86" s="6" t="str">
        <x:v>SIDX-0085</x:v>
      </x:c>
      <x:c r="D86" s="6" t="str">
        <x:f>IFERROR(XLOOKUP(C86,'Review Sequence'!C2:C1586,'Review Sequence'!J2:J1586),"Dependency not found")</x:f>
        <x:v>Not Started</x:v>
      </x:c>
      <x:c r="E86" s="6" t="str"/>
      <x:c r="F86" s="6" t="str"/>
      <x:c r="G86" s="6" t="str"/>
      <x:c r="H86" s="6" t="str"/>
      <x:c r="I86" s="6" t="str"/>
      <x:c r="J86" s="6" t="str"/>
      <x:c r="K86" s="6" t="str"/>
      <x:c r="L86" s="6" t="str">
        <x:v>Unresolved</x:v>
      </x:c>
      <x:c r="M86" s="7" t="str">
        <x:v>Nocturnix_Master_Services_Catalog_v1.xlsx | 01 - Master Services | row 125</x:v>
      </x:c>
      <x:c r="N86" s="6" t="str"/>
      <x:c r="O86" s="6" t="str"/>
      <x:c r="P86" s="6" t="str">
        <x:v>Pending</x:v>
      </x:c>
      <x:c r="Q86" s="7" t="str">
        <x:f>IF(OR(D86="Reviewer Complete",D86="Awaiting Second-Level Approval"),"","Service identity dependency unresolved")</x:f>
        <x:v>Service identity dependency unresolved</x:v>
      </x:c>
      <x:c r="R86" s="6" t="str">
        <x:v>Yes</x:v>
      </x:c>
      <x:c r="S86" s="7" t="str"/>
    </x:row>
    <x:row r="87">
      <x:c r="A87" s="6" t="str">
        <x:v>LABX-0086</x:v>
      </x:c>
      <x:c r="B87" s="6" t="str">
        <x:v>SVC000086</x:v>
      </x:c>
      <x:c r="C87" s="6" t="str">
        <x:v>SIDX-0086</x:v>
      </x:c>
      <x:c r="D87" s="6" t="str">
        <x:f>IFERROR(XLOOKUP(C87,'Review Sequence'!C2:C1586,'Review Sequence'!J2:J1586),"Dependency not found")</x:f>
        <x:v>Not Started</x:v>
      </x:c>
      <x:c r="E87" s="6" t="str"/>
      <x:c r="F87" s="6" t="str"/>
      <x:c r="G87" s="6" t="str"/>
      <x:c r="H87" s="6" t="str"/>
      <x:c r="I87" s="6" t="str"/>
      <x:c r="J87" s="6" t="str"/>
      <x:c r="K87" s="6" t="str"/>
      <x:c r="L87" s="6" t="str">
        <x:v>Unresolved</x:v>
      </x:c>
      <x:c r="M87" s="7" t="str">
        <x:v>Nocturnix_Master_Services_Catalog_v1.xlsx | 01 - Master Services | row 126</x:v>
      </x:c>
      <x:c r="N87" s="6" t="str"/>
      <x:c r="O87" s="6" t="str"/>
      <x:c r="P87" s="6" t="str">
        <x:v>Pending</x:v>
      </x:c>
      <x:c r="Q87" s="7" t="str">
        <x:f>IF(OR(D87="Reviewer Complete",D87="Awaiting Second-Level Approval"),"","Service identity dependency unresolved")</x:f>
        <x:v>Service identity dependency unresolved</x:v>
      </x:c>
      <x:c r="R87" s="6" t="str">
        <x:v>Yes</x:v>
      </x:c>
      <x:c r="S87" s="7" t="str"/>
    </x:row>
    <x:row r="88">
      <x:c r="A88" s="6" t="str">
        <x:v>LABX-0087</x:v>
      </x:c>
      <x:c r="B88" s="6" t="str">
        <x:v>SVC000087</x:v>
      </x:c>
      <x:c r="C88" s="6" t="str">
        <x:v>SIDX-0087</x:v>
      </x:c>
      <x:c r="D88" s="6" t="str">
        <x:f>IFERROR(XLOOKUP(C88,'Review Sequence'!C2:C1586,'Review Sequence'!J2:J1586),"Dependency not found")</x:f>
        <x:v>Not Started</x:v>
      </x:c>
      <x:c r="E88" s="6" t="str"/>
      <x:c r="F88" s="6" t="str"/>
      <x:c r="G88" s="6" t="str"/>
      <x:c r="H88" s="6" t="str"/>
      <x:c r="I88" s="6" t="str"/>
      <x:c r="J88" s="6" t="str"/>
      <x:c r="K88" s="6" t="str"/>
      <x:c r="L88" s="6" t="str">
        <x:v>Unresolved</x:v>
      </x:c>
      <x:c r="M88" s="7" t="str">
        <x:v>Nocturnix_Master_Services_Catalog_v1.xlsx | 01 - Master Services | row 127</x:v>
      </x:c>
      <x:c r="N88" s="6" t="str"/>
      <x:c r="O88" s="6" t="str"/>
      <x:c r="P88" s="6" t="str">
        <x:v>Pending</x:v>
      </x:c>
      <x:c r="Q88" s="7" t="str">
        <x:f>IF(OR(D88="Reviewer Complete",D88="Awaiting Second-Level Approval"),"","Service identity dependency unresolved")</x:f>
        <x:v>Service identity dependency unresolved</x:v>
      </x:c>
      <x:c r="R88" s="6" t="str">
        <x:v>Yes</x:v>
      </x:c>
      <x:c r="S88" s="7" t="str"/>
    </x:row>
    <x:row r="89">
      <x:c r="A89" s="6" t="str">
        <x:v>LABX-0088</x:v>
      </x:c>
      <x:c r="B89" s="6" t="str">
        <x:v>SVC000088</x:v>
      </x:c>
      <x:c r="C89" s="6" t="str">
        <x:v>SIDX-0088</x:v>
      </x:c>
      <x:c r="D89" s="6" t="str">
        <x:f>IFERROR(XLOOKUP(C89,'Review Sequence'!C2:C1586,'Review Sequence'!J2:J1586),"Dependency not found")</x:f>
        <x:v>Not Started</x:v>
      </x:c>
      <x:c r="E89" s="6" t="str"/>
      <x:c r="F89" s="6" t="str"/>
      <x:c r="G89" s="6" t="str"/>
      <x:c r="H89" s="6" t="str"/>
      <x:c r="I89" s="6" t="str"/>
      <x:c r="J89" s="6" t="str"/>
      <x:c r="K89" s="6" t="str"/>
      <x:c r="L89" s="6" t="str">
        <x:v>Unresolved</x:v>
      </x:c>
      <x:c r="M89" s="7" t="str">
        <x:v>Nocturnix_Master_Services_Catalog_v1.xlsx | 01 - Master Services | row 128</x:v>
      </x:c>
      <x:c r="N89" s="6" t="str"/>
      <x:c r="O89" s="6" t="str"/>
      <x:c r="P89" s="6" t="str">
        <x:v>Pending</x:v>
      </x:c>
      <x:c r="Q89" s="7" t="str">
        <x:f>IF(OR(D89="Reviewer Complete",D89="Awaiting Second-Level Approval"),"","Service identity dependency unresolved")</x:f>
        <x:v>Service identity dependency unresolved</x:v>
      </x:c>
      <x:c r="R89" s="6" t="str">
        <x:v>Yes</x:v>
      </x:c>
      <x:c r="S89" s="7" t="str"/>
    </x:row>
    <x:row r="90">
      <x:c r="A90" s="6" t="str">
        <x:v>LABX-0089</x:v>
      </x:c>
      <x:c r="B90" s="6" t="str">
        <x:v>SVC000089</x:v>
      </x:c>
      <x:c r="C90" s="6" t="str">
        <x:v>SIDX-0089</x:v>
      </x:c>
      <x:c r="D90" s="6" t="str">
        <x:f>IFERROR(XLOOKUP(C90,'Review Sequence'!C2:C1586,'Review Sequence'!J2:J1586),"Dependency not found")</x:f>
        <x:v>Not Started</x:v>
      </x:c>
      <x:c r="E90" s="6" t="str"/>
      <x:c r="F90" s="6" t="str"/>
      <x:c r="G90" s="6" t="str"/>
      <x:c r="H90" s="6" t="str"/>
      <x:c r="I90" s="6" t="str"/>
      <x:c r="J90" s="6" t="str"/>
      <x:c r="K90" s="6" t="str"/>
      <x:c r="L90" s="6" t="str">
        <x:v>Unresolved</x:v>
      </x:c>
      <x:c r="M90" s="7" t="str">
        <x:v>Nocturnix_Master_Services_Catalog_v1.xlsx | 01 - Master Services | row 129</x:v>
      </x:c>
      <x:c r="N90" s="6" t="str"/>
      <x:c r="O90" s="6" t="str"/>
      <x:c r="P90" s="6" t="str">
        <x:v>Pending</x:v>
      </x:c>
      <x:c r="Q90" s="7" t="str">
        <x:f>IF(OR(D90="Reviewer Complete",D90="Awaiting Second-Level Approval"),"","Service identity dependency unresolved")</x:f>
        <x:v>Service identity dependency unresolved</x:v>
      </x:c>
      <x:c r="R90" s="6" t="str">
        <x:v>Yes</x:v>
      </x:c>
      <x:c r="S90" s="7" t="str"/>
    </x:row>
    <x:row r="91">
      <x:c r="A91" s="6" t="str">
        <x:v>LABX-0090</x:v>
      </x:c>
      <x:c r="B91" s="6" t="str">
        <x:v>SVC000090</x:v>
      </x:c>
      <x:c r="C91" s="6" t="str">
        <x:v>SIDX-0090</x:v>
      </x:c>
      <x:c r="D91" s="6" t="str">
        <x:f>IFERROR(XLOOKUP(C91,'Review Sequence'!C2:C1586,'Review Sequence'!J2:J1586),"Dependency not found")</x:f>
        <x:v>Not Started</x:v>
      </x:c>
      <x:c r="E91" s="6" t="str"/>
      <x:c r="F91" s="6" t="str"/>
      <x:c r="G91" s="6" t="str"/>
      <x:c r="H91" s="6" t="str"/>
      <x:c r="I91" s="6" t="str"/>
      <x:c r="J91" s="6" t="str"/>
      <x:c r="K91" s="6" t="str"/>
      <x:c r="L91" s="6" t="str">
        <x:v>Unresolved</x:v>
      </x:c>
      <x:c r="M91" s="7" t="str">
        <x:v>Nocturnix_Master_Services_Catalog_v1.xlsx | 01 - Master Services | row 130</x:v>
      </x:c>
      <x:c r="N91" s="6" t="str"/>
      <x:c r="O91" s="6" t="str"/>
      <x:c r="P91" s="6" t="str">
        <x:v>Pending</x:v>
      </x:c>
      <x:c r="Q91" s="7" t="str">
        <x:f>IF(OR(D91="Reviewer Complete",D91="Awaiting Second-Level Approval"),"","Service identity dependency unresolved")</x:f>
        <x:v>Service identity dependency unresolved</x:v>
      </x:c>
      <x:c r="R91" s="6" t="str">
        <x:v>Yes</x:v>
      </x:c>
      <x:c r="S91" s="7" t="str"/>
    </x:row>
    <x:row r="92">
      <x:c r="A92" s="6" t="str">
        <x:v>LABX-0091</x:v>
      </x:c>
      <x:c r="B92" s="6" t="str">
        <x:v>SVC000091</x:v>
      </x:c>
      <x:c r="C92" s="6" t="str">
        <x:v>SIDX-0091</x:v>
      </x:c>
      <x:c r="D92" s="6" t="str">
        <x:f>IFERROR(XLOOKUP(C92,'Review Sequence'!C2:C1586,'Review Sequence'!J2:J1586),"Dependency not found")</x:f>
        <x:v>Not Started</x:v>
      </x:c>
      <x:c r="E92" s="6" t="str"/>
      <x:c r="F92" s="6" t="str"/>
      <x:c r="G92" s="6" t="str"/>
      <x:c r="H92" s="6" t="str"/>
      <x:c r="I92" s="6" t="str"/>
      <x:c r="J92" s="6" t="str"/>
      <x:c r="K92" s="6" t="str"/>
      <x:c r="L92" s="6" t="str">
        <x:v>Unresolved</x:v>
      </x:c>
      <x:c r="M92" s="7" t="str">
        <x:v>Nocturnix_Master_Services_Catalog_v1.xlsx | 01 - Master Services | row 131</x:v>
      </x:c>
      <x:c r="N92" s="6" t="str"/>
      <x:c r="O92" s="6" t="str"/>
      <x:c r="P92" s="6" t="str">
        <x:v>Pending</x:v>
      </x:c>
      <x:c r="Q92" s="7" t="str">
        <x:f>IF(OR(D92="Reviewer Complete",D92="Awaiting Second-Level Approval"),"","Service identity dependency unresolved")</x:f>
        <x:v>Service identity dependency unresolved</x:v>
      </x:c>
      <x:c r="R92" s="6" t="str">
        <x:v>Yes</x:v>
      </x:c>
      <x:c r="S92" s="7" t="str"/>
    </x:row>
    <x:row r="93">
      <x:c r="A93" s="6" t="str">
        <x:v>LABX-0092</x:v>
      </x:c>
      <x:c r="B93" s="6" t="str">
        <x:v>SVC000092</x:v>
      </x:c>
      <x:c r="C93" s="6" t="str">
        <x:v>SIDX-0092</x:v>
      </x:c>
      <x:c r="D93" s="6" t="str">
        <x:f>IFERROR(XLOOKUP(C93,'Review Sequence'!C2:C1586,'Review Sequence'!J2:J1586),"Dependency not found")</x:f>
        <x:v>Not Started</x:v>
      </x:c>
      <x:c r="E93" s="6" t="str"/>
      <x:c r="F93" s="6" t="str"/>
      <x:c r="G93" s="6" t="str"/>
      <x:c r="H93" s="6" t="str"/>
      <x:c r="I93" s="6" t="str"/>
      <x:c r="J93" s="6" t="str"/>
      <x:c r="K93" s="6" t="str"/>
      <x:c r="L93" s="6" t="str">
        <x:v>Unresolved</x:v>
      </x:c>
      <x:c r="M93" s="7" t="str">
        <x:v>Nocturnix_Master_Services_Catalog_v1.xlsx | 01 - Master Services | row 132</x:v>
      </x:c>
      <x:c r="N93" s="6" t="str"/>
      <x:c r="O93" s="6" t="str"/>
      <x:c r="P93" s="6" t="str">
        <x:v>Pending</x:v>
      </x:c>
      <x:c r="Q93" s="7" t="str">
        <x:f>IF(OR(D93="Reviewer Complete",D93="Awaiting Second-Level Approval"),"","Service identity dependency unresolved")</x:f>
        <x:v>Service identity dependency unresolved</x:v>
      </x:c>
      <x:c r="R93" s="6" t="str">
        <x:v>Yes</x:v>
      </x:c>
      <x:c r="S93" s="7" t="str"/>
    </x:row>
    <x:row r="94">
      <x:c r="A94" s="6" t="str">
        <x:v>LABX-0093</x:v>
      </x:c>
      <x:c r="B94" s="6" t="str">
        <x:v>SVC000093</x:v>
      </x:c>
      <x:c r="C94" s="6" t="str">
        <x:v>SIDX-0093</x:v>
      </x:c>
      <x:c r="D94" s="6" t="str">
        <x:f>IFERROR(XLOOKUP(C94,'Review Sequence'!C2:C1586,'Review Sequence'!J2:J1586),"Dependency not found")</x:f>
        <x:v>Not Started</x:v>
      </x:c>
      <x:c r="E94" s="6" t="str"/>
      <x:c r="F94" s="6" t="str"/>
      <x:c r="G94" s="6" t="str"/>
      <x:c r="H94" s="6" t="str"/>
      <x:c r="I94" s="6" t="str"/>
      <x:c r="J94" s="6" t="str"/>
      <x:c r="K94" s="6" t="str"/>
      <x:c r="L94" s="6" t="str">
        <x:v>Unresolved</x:v>
      </x:c>
      <x:c r="M94" s="7" t="str">
        <x:v>Nocturnix_Master_Services_Catalog_v1.xlsx | 01 - Master Services | row 133</x:v>
      </x:c>
      <x:c r="N94" s="6" t="str"/>
      <x:c r="O94" s="6" t="str"/>
      <x:c r="P94" s="6" t="str">
        <x:v>Pending</x:v>
      </x:c>
      <x:c r="Q94" s="7" t="str">
        <x:f>IF(OR(D94="Reviewer Complete",D94="Awaiting Second-Level Approval"),"","Service identity dependency unresolved")</x:f>
        <x:v>Service identity dependency unresolved</x:v>
      </x:c>
      <x:c r="R94" s="6" t="str">
        <x:v>Yes</x:v>
      </x:c>
      <x:c r="S94" s="7" t="str"/>
    </x:row>
    <x:row r="95">
      <x:c r="A95" s="6" t="str">
        <x:v>LABX-0094</x:v>
      </x:c>
      <x:c r="B95" s="6" t="str">
        <x:v>SVC000094</x:v>
      </x:c>
      <x:c r="C95" s="6" t="str">
        <x:v>SIDX-0094</x:v>
      </x:c>
      <x:c r="D95" s="6" t="str">
        <x:f>IFERROR(XLOOKUP(C95,'Review Sequence'!C2:C1586,'Review Sequence'!J2:J1586),"Dependency not found")</x:f>
        <x:v>Not Started</x:v>
      </x:c>
      <x:c r="E95" s="6" t="str"/>
      <x:c r="F95" s="6" t="str"/>
      <x:c r="G95" s="6" t="str"/>
      <x:c r="H95" s="6" t="str"/>
      <x:c r="I95" s="6" t="str"/>
      <x:c r="J95" s="6" t="str"/>
      <x:c r="K95" s="6" t="str"/>
      <x:c r="L95" s="6" t="str">
        <x:v>Unresolved</x:v>
      </x:c>
      <x:c r="M95" s="7" t="str">
        <x:v>Nocturnix_Master_Services_Catalog_v1.xlsx | 01 - Master Services | row 134</x:v>
      </x:c>
      <x:c r="N95" s="6" t="str"/>
      <x:c r="O95" s="6" t="str"/>
      <x:c r="P95" s="6" t="str">
        <x:v>Pending</x:v>
      </x:c>
      <x:c r="Q95" s="7" t="str">
        <x:f>IF(OR(D95="Reviewer Complete",D95="Awaiting Second-Level Approval"),"","Service identity dependency unresolved")</x:f>
        <x:v>Service identity dependency unresolved</x:v>
      </x:c>
      <x:c r="R95" s="6" t="str">
        <x:v>Yes</x:v>
      </x:c>
      <x:c r="S95" s="7" t="str"/>
    </x:row>
    <x:row r="96">
      <x:c r="A96" s="6" t="str">
        <x:v>LABX-0095</x:v>
      </x:c>
      <x:c r="B96" s="6" t="str">
        <x:v>SVC000095</x:v>
      </x:c>
      <x:c r="C96" s="6" t="str">
        <x:v>SIDX-0095</x:v>
      </x:c>
      <x:c r="D96" s="6" t="str">
        <x:f>IFERROR(XLOOKUP(C96,'Review Sequence'!C2:C1586,'Review Sequence'!J2:J1586),"Dependency not found")</x:f>
        <x:v>Not Started</x:v>
      </x:c>
      <x:c r="E96" s="6" t="str"/>
      <x:c r="F96" s="6" t="str"/>
      <x:c r="G96" s="6" t="str"/>
      <x:c r="H96" s="6" t="str"/>
      <x:c r="I96" s="6" t="str"/>
      <x:c r="J96" s="6" t="str"/>
      <x:c r="K96" s="6" t="str"/>
      <x:c r="L96" s="6" t="str">
        <x:v>Unresolved</x:v>
      </x:c>
      <x:c r="M96" s="7" t="str">
        <x:v>Nocturnix_Master_Services_Catalog_v1.xlsx | 01 - Master Services | row 135</x:v>
      </x:c>
      <x:c r="N96" s="6" t="str"/>
      <x:c r="O96" s="6" t="str"/>
      <x:c r="P96" s="6" t="str">
        <x:v>Pending</x:v>
      </x:c>
      <x:c r="Q96" s="7" t="str">
        <x:f>IF(OR(D96="Reviewer Complete",D96="Awaiting Second-Level Approval"),"","Service identity dependency unresolved")</x:f>
        <x:v>Service identity dependency unresolved</x:v>
      </x:c>
      <x:c r="R96" s="6" t="str">
        <x:v>Yes</x:v>
      </x:c>
      <x:c r="S96" s="7" t="str"/>
    </x:row>
    <x:row r="97">
      <x:c r="A97" s="6" t="str">
        <x:v>LABX-0096</x:v>
      </x:c>
      <x:c r="B97" s="6" t="str">
        <x:v>SVC000096</x:v>
      </x:c>
      <x:c r="C97" s="6" t="str">
        <x:v>SIDX-0096</x:v>
      </x:c>
      <x:c r="D97" s="6" t="str">
        <x:f>IFERROR(XLOOKUP(C97,'Review Sequence'!C2:C1586,'Review Sequence'!J2:J1586),"Dependency not found")</x:f>
        <x:v>Not Started</x:v>
      </x:c>
      <x:c r="E97" s="6" t="str"/>
      <x:c r="F97" s="6" t="str"/>
      <x:c r="G97" s="6" t="str"/>
      <x:c r="H97" s="6" t="str"/>
      <x:c r="I97" s="6" t="str"/>
      <x:c r="J97" s="6" t="str"/>
      <x:c r="K97" s="6" t="str"/>
      <x:c r="L97" s="6" t="str">
        <x:v>Unresolved</x:v>
      </x:c>
      <x:c r="M97" s="7" t="str">
        <x:v>Nocturnix_Master_Services_Catalog_v1.xlsx | 01 - Master Services | row 136</x:v>
      </x:c>
      <x:c r="N97" s="6" t="str"/>
      <x:c r="O97" s="6" t="str"/>
      <x:c r="P97" s="6" t="str">
        <x:v>Pending</x:v>
      </x:c>
      <x:c r="Q97" s="7" t="str">
        <x:f>IF(OR(D97="Reviewer Complete",D97="Awaiting Second-Level Approval"),"","Service identity dependency unresolved")</x:f>
        <x:v>Service identity dependency unresolved</x:v>
      </x:c>
      <x:c r="R97" s="6" t="str">
        <x:v>Yes</x:v>
      </x:c>
      <x:c r="S97" s="7" t="str"/>
    </x:row>
    <x:row r="98">
      <x:c r="A98" s="6" t="str">
        <x:v>LABX-0097</x:v>
      </x:c>
      <x:c r="B98" s="6" t="str">
        <x:v>SVC000097</x:v>
      </x:c>
      <x:c r="C98" s="6" t="str">
        <x:v>SIDX-0097</x:v>
      </x:c>
      <x:c r="D98" s="6" t="str">
        <x:f>IFERROR(XLOOKUP(C98,'Review Sequence'!C2:C1586,'Review Sequence'!J2:J1586),"Dependency not found")</x:f>
        <x:v>Not Started</x:v>
      </x:c>
      <x:c r="E98" s="6" t="str"/>
      <x:c r="F98" s="6" t="str"/>
      <x:c r="G98" s="6" t="str"/>
      <x:c r="H98" s="6" t="str"/>
      <x:c r="I98" s="6" t="str"/>
      <x:c r="J98" s="6" t="str"/>
      <x:c r="K98" s="6" t="str"/>
      <x:c r="L98" s="6" t="str">
        <x:v>Unresolved</x:v>
      </x:c>
      <x:c r="M98" s="7" t="str">
        <x:v>Nocturnix_Master_Services_Catalog_v1.xlsx | 01 - Master Services | row 137</x:v>
      </x:c>
      <x:c r="N98" s="6" t="str"/>
      <x:c r="O98" s="6" t="str"/>
      <x:c r="P98" s="6" t="str">
        <x:v>Pending</x:v>
      </x:c>
      <x:c r="Q98" s="7" t="str">
        <x:f>IF(OR(D98="Reviewer Complete",D98="Awaiting Second-Level Approval"),"","Service identity dependency unresolved")</x:f>
        <x:v>Service identity dependency unresolved</x:v>
      </x:c>
      <x:c r="R98" s="6" t="str">
        <x:v>Yes</x:v>
      </x:c>
      <x:c r="S98" s="7" t="str"/>
    </x:row>
    <x:row r="99">
      <x:c r="A99" s="6" t="str">
        <x:v>LABX-0098</x:v>
      </x:c>
      <x:c r="B99" s="6" t="str">
        <x:v>SVC000098</x:v>
      </x:c>
      <x:c r="C99" s="6" t="str">
        <x:v>SIDX-0098</x:v>
      </x:c>
      <x:c r="D99" s="6" t="str">
        <x:f>IFERROR(XLOOKUP(C99,'Review Sequence'!C2:C1586,'Review Sequence'!J2:J1586),"Dependency not found")</x:f>
        <x:v>Not Started</x:v>
      </x:c>
      <x:c r="E99" s="6" t="str"/>
      <x:c r="F99" s="6" t="str"/>
      <x:c r="G99" s="6" t="str"/>
      <x:c r="H99" s="6" t="str"/>
      <x:c r="I99" s="6" t="str"/>
      <x:c r="J99" s="6" t="str"/>
      <x:c r="K99" s="6" t="str"/>
      <x:c r="L99" s="6" t="str">
        <x:v>Unresolved</x:v>
      </x:c>
      <x:c r="M99" s="7" t="str">
        <x:v>Nocturnix_Master_Services_Catalog_v1.xlsx | 01 - Master Services | row 138</x:v>
      </x:c>
      <x:c r="N99" s="6" t="str"/>
      <x:c r="O99" s="6" t="str"/>
      <x:c r="P99" s="6" t="str">
        <x:v>Pending</x:v>
      </x:c>
      <x:c r="Q99" s="7" t="str">
        <x:f>IF(OR(D99="Reviewer Complete",D99="Awaiting Second-Level Approval"),"","Service identity dependency unresolved")</x:f>
        <x:v>Service identity dependency unresolved</x:v>
      </x:c>
      <x:c r="R99" s="6" t="str">
        <x:v>Yes</x:v>
      </x:c>
      <x:c r="S99" s="7" t="str"/>
    </x:row>
    <x:row r="100">
      <x:c r="A100" s="6" t="str">
        <x:v>LABX-0099</x:v>
      </x:c>
      <x:c r="B100" s="6" t="str">
        <x:v>SVC000099</x:v>
      </x:c>
      <x:c r="C100" s="6" t="str">
        <x:v>SIDX-0099</x:v>
      </x:c>
      <x:c r="D100" s="6" t="str">
        <x:f>IFERROR(XLOOKUP(C100,'Review Sequence'!C2:C1586,'Review Sequence'!J2:J1586),"Dependency not found")</x:f>
        <x:v>Not Started</x:v>
      </x:c>
      <x:c r="E100" s="6" t="str"/>
      <x:c r="F100" s="6" t="str"/>
      <x:c r="G100" s="6" t="str"/>
      <x:c r="H100" s="6" t="str"/>
      <x:c r="I100" s="6" t="str"/>
      <x:c r="J100" s="6" t="str"/>
      <x:c r="K100" s="6" t="str"/>
      <x:c r="L100" s="6" t="str">
        <x:v>Unresolved</x:v>
      </x:c>
      <x:c r="M100" s="7" t="str">
        <x:v>Nocturnix_Master_Services_Catalog_v1.xlsx | 01 - Master Services | row 139</x:v>
      </x:c>
      <x:c r="N100" s="6" t="str"/>
      <x:c r="O100" s="6" t="str"/>
      <x:c r="P100" s="6" t="str">
        <x:v>Pending</x:v>
      </x:c>
      <x:c r="Q100" s="7" t="str">
        <x:f>IF(OR(D100="Reviewer Complete",D100="Awaiting Second-Level Approval"),"","Service identity dependency unresolved")</x:f>
        <x:v>Service identity dependency unresolved</x:v>
      </x:c>
      <x:c r="R100" s="6" t="str">
        <x:v>Yes</x:v>
      </x:c>
      <x:c r="S100" s="7" t="str"/>
    </x:row>
    <x:row r="101">
      <x:c r="A101" s="6" t="str">
        <x:v>LABX-0100</x:v>
      </x:c>
      <x:c r="B101" s="6" t="str">
        <x:v>SVC000100</x:v>
      </x:c>
      <x:c r="C101" s="6" t="str">
        <x:v>SIDX-0100</x:v>
      </x:c>
      <x:c r="D101" s="6" t="str">
        <x:f>IFERROR(XLOOKUP(C101,'Review Sequence'!C2:C1586,'Review Sequence'!J2:J1586),"Dependency not found")</x:f>
        <x:v>Not Started</x:v>
      </x:c>
      <x:c r="E101" s="6" t="str"/>
      <x:c r="F101" s="6" t="str"/>
      <x:c r="G101" s="6" t="str"/>
      <x:c r="H101" s="6" t="str"/>
      <x:c r="I101" s="6" t="str"/>
      <x:c r="J101" s="6" t="str"/>
      <x:c r="K101" s="6" t="str"/>
      <x:c r="L101" s="6" t="str">
        <x:v>Unresolved</x:v>
      </x:c>
      <x:c r="M101" s="7" t="str">
        <x:v>Nocturnix_Master_Services_Catalog_v1.xlsx | 01 - Master Services | row 140</x:v>
      </x:c>
      <x:c r="N101" s="6" t="str"/>
      <x:c r="O101" s="6" t="str"/>
      <x:c r="P101" s="6" t="str">
        <x:v>Pending</x:v>
      </x:c>
      <x:c r="Q101" s="7" t="str">
        <x:f>IF(OR(D101="Reviewer Complete",D101="Awaiting Second-Level Approval"),"","Service identity dependency unresolved")</x:f>
        <x:v>Service identity dependency unresolved</x:v>
      </x:c>
      <x:c r="R101" s="6" t="str">
        <x:v>Yes</x:v>
      </x:c>
      <x:c r="S101" s="7" t="str"/>
    </x:row>
    <x:row r="102">
      <x:c r="A102" s="6" t="str">
        <x:v>LABX-0101</x:v>
      </x:c>
      <x:c r="B102" s="6" t="str">
        <x:v>SVC000101</x:v>
      </x:c>
      <x:c r="C102" s="6" t="str">
        <x:v>SIDX-0101</x:v>
      </x:c>
      <x:c r="D102" s="6" t="str">
        <x:f>IFERROR(XLOOKUP(C102,'Review Sequence'!C2:C1586,'Review Sequence'!J2:J1586),"Dependency not found")</x:f>
        <x:v>Not Started</x:v>
      </x:c>
      <x:c r="E102" s="6" t="str"/>
      <x:c r="F102" s="6" t="str"/>
      <x:c r="G102" s="6" t="str"/>
      <x:c r="H102" s="6" t="str"/>
      <x:c r="I102" s="6" t="str"/>
      <x:c r="J102" s="6" t="str"/>
      <x:c r="K102" s="6" t="str"/>
      <x:c r="L102" s="6" t="str">
        <x:v>Unresolved</x:v>
      </x:c>
      <x:c r="M102" s="7" t="str">
        <x:v>Nocturnix_Master_Services_Catalog_v1.xlsx | 01 - Master Services | row 141</x:v>
      </x:c>
      <x:c r="N102" s="6" t="str"/>
      <x:c r="O102" s="6" t="str"/>
      <x:c r="P102" s="6" t="str">
        <x:v>Pending</x:v>
      </x:c>
      <x:c r="Q102" s="7" t="str">
        <x:f>IF(OR(D102="Reviewer Complete",D102="Awaiting Second-Level Approval"),"","Service identity dependency unresolved")</x:f>
        <x:v>Service identity dependency unresolved</x:v>
      </x:c>
      <x:c r="R102" s="6" t="str">
        <x:v>Yes</x:v>
      </x:c>
      <x:c r="S102" s="7" t="str"/>
    </x:row>
    <x:row r="103">
      <x:c r="A103" s="6" t="str">
        <x:v>LABX-0102</x:v>
      </x:c>
      <x:c r="B103" s="6" t="str">
        <x:v>SVC000102</x:v>
      </x:c>
      <x:c r="C103" s="6" t="str">
        <x:v>SIDX-0102</x:v>
      </x:c>
      <x:c r="D103" s="6" t="str">
        <x:f>IFERROR(XLOOKUP(C103,'Review Sequence'!C2:C1586,'Review Sequence'!J2:J1586),"Dependency not found")</x:f>
        <x:v>Not Started</x:v>
      </x:c>
      <x:c r="E103" s="6" t="str"/>
      <x:c r="F103" s="6" t="str"/>
      <x:c r="G103" s="6" t="str"/>
      <x:c r="H103" s="6" t="str"/>
      <x:c r="I103" s="6" t="str"/>
      <x:c r="J103" s="6" t="str"/>
      <x:c r="K103" s="6" t="str"/>
      <x:c r="L103" s="6" t="str">
        <x:v>Unresolved</x:v>
      </x:c>
      <x:c r="M103" s="7" t="str">
        <x:v>Nocturnix_Master_Services_Catalog_v1.xlsx | 01 - Master Services | row 142</x:v>
      </x:c>
      <x:c r="N103" s="6" t="str"/>
      <x:c r="O103" s="6" t="str"/>
      <x:c r="P103" s="6" t="str">
        <x:v>Pending</x:v>
      </x:c>
      <x:c r="Q103" s="7" t="str">
        <x:f>IF(OR(D103="Reviewer Complete",D103="Awaiting Second-Level Approval"),"","Service identity dependency unresolved")</x:f>
        <x:v>Service identity dependency unresolved</x:v>
      </x:c>
      <x:c r="R103" s="6" t="str">
        <x:v>Yes</x:v>
      </x:c>
      <x:c r="S103" s="7" t="str"/>
    </x:row>
    <x:row r="104">
      <x:c r="A104" s="6" t="str">
        <x:v>LABX-0103</x:v>
      </x:c>
      <x:c r="B104" s="6" t="str">
        <x:v>SVC000103</x:v>
      </x:c>
      <x:c r="C104" s="6" t="str">
        <x:v>SIDX-0103</x:v>
      </x:c>
      <x:c r="D104" s="6" t="str">
        <x:f>IFERROR(XLOOKUP(C104,'Review Sequence'!C2:C1586,'Review Sequence'!J2:J1586),"Dependency not found")</x:f>
        <x:v>Not Started</x:v>
      </x:c>
      <x:c r="E104" s="6" t="str"/>
      <x:c r="F104" s="6" t="str"/>
      <x:c r="G104" s="6" t="str"/>
      <x:c r="H104" s="6" t="str"/>
      <x:c r="I104" s="6" t="str"/>
      <x:c r="J104" s="6" t="str"/>
      <x:c r="K104" s="6" t="str"/>
      <x:c r="L104" s="6" t="str">
        <x:v>Unresolved</x:v>
      </x:c>
      <x:c r="M104" s="7" t="str">
        <x:v>Nocturnix_Master_Services_Catalog_v1.xlsx | 01 - Master Services | row 143</x:v>
      </x:c>
      <x:c r="N104" s="6" t="str"/>
      <x:c r="O104" s="6" t="str"/>
      <x:c r="P104" s="6" t="str">
        <x:v>Pending</x:v>
      </x:c>
      <x:c r="Q104" s="7" t="str">
        <x:f>IF(OR(D104="Reviewer Complete",D104="Awaiting Second-Level Approval"),"","Service identity dependency unresolved")</x:f>
        <x:v>Service identity dependency unresolved</x:v>
      </x:c>
      <x:c r="R104" s="6" t="str">
        <x:v>Yes</x:v>
      </x:c>
      <x:c r="S104" s="7" t="str"/>
    </x:row>
    <x:row r="105">
      <x:c r="A105" s="6" t="str">
        <x:v>LABX-0104</x:v>
      </x:c>
      <x:c r="B105" s="6" t="str">
        <x:v>SVC000104</x:v>
      </x:c>
      <x:c r="C105" s="6" t="str">
        <x:v>SIDX-0104</x:v>
      </x:c>
      <x:c r="D105" s="6" t="str">
        <x:f>IFERROR(XLOOKUP(C105,'Review Sequence'!C2:C1586,'Review Sequence'!J2:J1586),"Dependency not found")</x:f>
        <x:v>Not Started</x:v>
      </x:c>
      <x:c r="E105" s="6" t="str"/>
      <x:c r="F105" s="6" t="str"/>
      <x:c r="G105" s="6" t="str"/>
      <x:c r="H105" s="6" t="str"/>
      <x:c r="I105" s="6" t="str"/>
      <x:c r="J105" s="6" t="str"/>
      <x:c r="K105" s="6" t="str"/>
      <x:c r="L105" s="6" t="str">
        <x:v>Unresolved</x:v>
      </x:c>
      <x:c r="M105" s="7" t="str">
        <x:v>Nocturnix_Master_Services_Catalog_v1.xlsx | 01 - Master Services | row 144</x:v>
      </x:c>
      <x:c r="N105" s="6" t="str"/>
      <x:c r="O105" s="6" t="str"/>
      <x:c r="P105" s="6" t="str">
        <x:v>Pending</x:v>
      </x:c>
      <x:c r="Q105" s="7" t="str">
        <x:f>IF(OR(D105="Reviewer Complete",D105="Awaiting Second-Level Approval"),"","Service identity dependency unresolved")</x:f>
        <x:v>Service identity dependency unresolved</x:v>
      </x:c>
      <x:c r="R105" s="6" t="str">
        <x:v>Yes</x:v>
      </x:c>
      <x:c r="S105" s="7" t="str"/>
    </x:row>
    <x:row r="106">
      <x:c r="A106" s="6" t="str">
        <x:v>LABX-0105</x:v>
      </x:c>
      <x:c r="B106" s="6" t="str">
        <x:v>SVC000105</x:v>
      </x:c>
      <x:c r="C106" s="6" t="str">
        <x:v>SIDX-0105</x:v>
      </x:c>
      <x:c r="D106" s="6" t="str">
        <x:f>IFERROR(XLOOKUP(C106,'Review Sequence'!C2:C1586,'Review Sequence'!J2:J1586),"Dependency not found")</x:f>
        <x:v>Not Started</x:v>
      </x:c>
      <x:c r="E106" s="6" t="str"/>
      <x:c r="F106" s="6" t="str"/>
      <x:c r="G106" s="6" t="str"/>
      <x:c r="H106" s="6" t="str"/>
      <x:c r="I106" s="6" t="str"/>
      <x:c r="J106" s="6" t="str"/>
      <x:c r="K106" s="6" t="str"/>
      <x:c r="L106" s="6" t="str">
        <x:v>Unresolved</x:v>
      </x:c>
      <x:c r="M106" s="7" t="str">
        <x:v>Nocturnix_Master_Services_Catalog_v1.xlsx | 01 - Master Services | row 145</x:v>
      </x:c>
      <x:c r="N106" s="6" t="str"/>
      <x:c r="O106" s="6" t="str"/>
      <x:c r="P106" s="6" t="str">
        <x:v>Pending</x:v>
      </x:c>
      <x:c r="Q106" s="7" t="str">
        <x:f>IF(OR(D106="Reviewer Complete",D106="Awaiting Second-Level Approval"),"","Service identity dependency unresolved")</x:f>
        <x:v>Service identity dependency unresolved</x:v>
      </x:c>
      <x:c r="R106" s="6" t="str">
        <x:v>Yes</x:v>
      </x:c>
      <x:c r="S106" s="7" t="str"/>
    </x:row>
    <x:row r="107">
      <x:c r="A107" s="6" t="str">
        <x:v>LABX-0106</x:v>
      </x:c>
      <x:c r="B107" s="6" t="str">
        <x:v>SVC000106</x:v>
      </x:c>
      <x:c r="C107" s="6" t="str">
        <x:v>SIDX-0106</x:v>
      </x:c>
      <x:c r="D107" s="6" t="str">
        <x:f>IFERROR(XLOOKUP(C107,'Review Sequence'!C2:C1586,'Review Sequence'!J2:J1586),"Dependency not found")</x:f>
        <x:v>Not Started</x:v>
      </x:c>
      <x:c r="E107" s="6" t="str"/>
      <x:c r="F107" s="6" t="str"/>
      <x:c r="G107" s="6" t="str"/>
      <x:c r="H107" s="6" t="str"/>
      <x:c r="I107" s="6" t="str"/>
      <x:c r="J107" s="6" t="str"/>
      <x:c r="K107" s="6" t="str"/>
      <x:c r="L107" s="6" t="str">
        <x:v>Unresolved</x:v>
      </x:c>
      <x:c r="M107" s="7" t="str">
        <x:v>Nocturnix_Master_Services_Catalog_v1.xlsx | 01 - Master Services | row 146</x:v>
      </x:c>
      <x:c r="N107" s="6" t="str"/>
      <x:c r="O107" s="6" t="str"/>
      <x:c r="P107" s="6" t="str">
        <x:v>Pending</x:v>
      </x:c>
      <x:c r="Q107" s="7" t="str">
        <x:f>IF(OR(D107="Reviewer Complete",D107="Awaiting Second-Level Approval"),"","Service identity dependency unresolved")</x:f>
        <x:v>Service identity dependency unresolved</x:v>
      </x:c>
      <x:c r="R107" s="6" t="str">
        <x:v>Yes</x:v>
      </x:c>
      <x:c r="S107" s="7" t="str"/>
    </x:row>
    <x:row r="108">
      <x:c r="A108" s="6" t="str">
        <x:v>LABX-0107</x:v>
      </x:c>
      <x:c r="B108" s="6" t="str">
        <x:v>SVC000107</x:v>
      </x:c>
      <x:c r="C108" s="6" t="str">
        <x:v>SIDX-0107</x:v>
      </x:c>
      <x:c r="D108" s="6" t="str">
        <x:f>IFERROR(XLOOKUP(C108,'Review Sequence'!C2:C1586,'Review Sequence'!J2:J1586),"Dependency not found")</x:f>
        <x:v>Not Started</x:v>
      </x:c>
      <x:c r="E108" s="6" t="str"/>
      <x:c r="F108" s="6" t="str"/>
      <x:c r="G108" s="6" t="str"/>
      <x:c r="H108" s="6" t="str"/>
      <x:c r="I108" s="6" t="str"/>
      <x:c r="J108" s="6" t="str"/>
      <x:c r="K108" s="6" t="str"/>
      <x:c r="L108" s="6" t="str">
        <x:v>Unresolved</x:v>
      </x:c>
      <x:c r="M108" s="7" t="str">
        <x:v>Nocturnix_Master_Services_Catalog_v1.xlsx | 01 - Master Services | row 147</x:v>
      </x:c>
      <x:c r="N108" s="6" t="str"/>
      <x:c r="O108" s="6" t="str"/>
      <x:c r="P108" s="6" t="str">
        <x:v>Pending</x:v>
      </x:c>
      <x:c r="Q108" s="7" t="str">
        <x:f>IF(OR(D108="Reviewer Complete",D108="Awaiting Second-Level Approval"),"","Service identity dependency unresolved")</x:f>
        <x:v>Service identity dependency unresolved</x:v>
      </x:c>
      <x:c r="R108" s="6" t="str">
        <x:v>Yes</x:v>
      </x:c>
      <x:c r="S108" s="7" t="str"/>
    </x:row>
    <x:row r="109">
      <x:c r="A109" s="6" t="str">
        <x:v>LABX-0108</x:v>
      </x:c>
      <x:c r="B109" s="6" t="str">
        <x:v>SVC000108</x:v>
      </x:c>
      <x:c r="C109" s="6" t="str">
        <x:v>SIDX-0108</x:v>
      </x:c>
      <x:c r="D109" s="6" t="str">
        <x:f>IFERROR(XLOOKUP(C109,'Review Sequence'!C2:C1586,'Review Sequence'!J2:J1586),"Dependency not found")</x:f>
        <x:v>Not Started</x:v>
      </x:c>
      <x:c r="E109" s="6" t="str"/>
      <x:c r="F109" s="6" t="str"/>
      <x:c r="G109" s="6" t="str"/>
      <x:c r="H109" s="6" t="str"/>
      <x:c r="I109" s="6" t="str"/>
      <x:c r="J109" s="6" t="str"/>
      <x:c r="K109" s="6" t="str"/>
      <x:c r="L109" s="6" t="str">
        <x:v>Unresolved</x:v>
      </x:c>
      <x:c r="M109" s="7" t="str">
        <x:v>Nocturnix_Master_Services_Catalog_v1.xlsx | 01 - Master Services | row 148</x:v>
      </x:c>
      <x:c r="N109" s="6" t="str"/>
      <x:c r="O109" s="6" t="str"/>
      <x:c r="P109" s="6" t="str">
        <x:v>Pending</x:v>
      </x:c>
      <x:c r="Q109" s="7" t="str">
        <x:f>IF(OR(D109="Reviewer Complete",D109="Awaiting Second-Level Approval"),"","Service identity dependency unresolved")</x:f>
        <x:v>Service identity dependency unresolved</x:v>
      </x:c>
      <x:c r="R109" s="6" t="str">
        <x:v>Yes</x:v>
      </x:c>
      <x:c r="S109" s="7" t="str"/>
    </x:row>
    <x:row r="110">
      <x:c r="A110" s="6" t="str">
        <x:v>LABX-0109</x:v>
      </x:c>
      <x:c r="B110" s="6" t="str">
        <x:v>SVC000109</x:v>
      </x:c>
      <x:c r="C110" s="6" t="str">
        <x:v>SIDX-0109</x:v>
      </x:c>
      <x:c r="D110" s="6" t="str">
        <x:f>IFERROR(XLOOKUP(C110,'Review Sequence'!C2:C1586,'Review Sequence'!J2:J1586),"Dependency not found")</x:f>
        <x:v>Not Started</x:v>
      </x:c>
      <x:c r="E110" s="6" t="str"/>
      <x:c r="F110" s="6" t="str"/>
      <x:c r="G110" s="6" t="str"/>
      <x:c r="H110" s="6" t="str"/>
      <x:c r="I110" s="6" t="str"/>
      <x:c r="J110" s="6" t="str"/>
      <x:c r="K110" s="6" t="str"/>
      <x:c r="L110" s="6" t="str">
        <x:v>Unresolved</x:v>
      </x:c>
      <x:c r="M110" s="7" t="str">
        <x:v>Nocturnix_Master_Services_Catalog_v1.xlsx | 01 - Master Services | row 149</x:v>
      </x:c>
      <x:c r="N110" s="6" t="str"/>
      <x:c r="O110" s="6" t="str"/>
      <x:c r="P110" s="6" t="str">
        <x:v>Pending</x:v>
      </x:c>
      <x:c r="Q110" s="7" t="str">
        <x:f>IF(OR(D110="Reviewer Complete",D110="Awaiting Second-Level Approval"),"","Service identity dependency unresolved")</x:f>
        <x:v>Service identity dependency unresolved</x:v>
      </x:c>
      <x:c r="R110" s="6" t="str">
        <x:v>Yes</x:v>
      </x:c>
      <x:c r="S110" s="7" t="str"/>
    </x:row>
    <x:row r="111">
      <x:c r="A111" s="6" t="str">
        <x:v>LABX-0110</x:v>
      </x:c>
      <x:c r="B111" s="6" t="str">
        <x:v>SVC000110</x:v>
      </x:c>
      <x:c r="C111" s="6" t="str">
        <x:v>SIDX-0110</x:v>
      </x:c>
      <x:c r="D111" s="6" t="str">
        <x:f>IFERROR(XLOOKUP(C111,'Review Sequence'!C2:C1586,'Review Sequence'!J2:J1586),"Dependency not found")</x:f>
        <x:v>Not Started</x:v>
      </x:c>
      <x:c r="E111" s="6" t="str"/>
      <x:c r="F111" s="6" t="str"/>
      <x:c r="G111" s="6" t="str"/>
      <x:c r="H111" s="6" t="str"/>
      <x:c r="I111" s="6" t="str"/>
      <x:c r="J111" s="6" t="str"/>
      <x:c r="K111" s="6" t="str"/>
      <x:c r="L111" s="6" t="str">
        <x:v>Unresolved</x:v>
      </x:c>
      <x:c r="M111" s="7" t="str">
        <x:v>Nocturnix_Master_Services_Catalog_v1.xlsx | 01 - Master Services | row 150</x:v>
      </x:c>
      <x:c r="N111" s="6" t="str"/>
      <x:c r="O111" s="6" t="str"/>
      <x:c r="P111" s="6" t="str">
        <x:v>Pending</x:v>
      </x:c>
      <x:c r="Q111" s="7" t="str">
        <x:f>IF(OR(D111="Reviewer Complete",D111="Awaiting Second-Level Approval"),"","Service identity dependency unresolved")</x:f>
        <x:v>Service identity dependency unresolved</x:v>
      </x:c>
      <x:c r="R111" s="6" t="str">
        <x:v>Yes</x:v>
      </x:c>
      <x:c r="S111" s="7" t="str"/>
    </x:row>
    <x:row r="112">
      <x:c r="A112" s="6" t="str">
        <x:v>LABX-0111</x:v>
      </x:c>
      <x:c r="B112" s="6" t="str">
        <x:v>SVC000111</x:v>
      </x:c>
      <x:c r="C112" s="6" t="str">
        <x:v>SIDX-0111</x:v>
      </x:c>
      <x:c r="D112" s="6" t="str">
        <x:f>IFERROR(XLOOKUP(C112,'Review Sequence'!C2:C1586,'Review Sequence'!J2:J1586),"Dependency not found")</x:f>
        <x:v>Not Started</x:v>
      </x:c>
      <x:c r="E112" s="6" t="str"/>
      <x:c r="F112" s="6" t="str"/>
      <x:c r="G112" s="6" t="str"/>
      <x:c r="H112" s="6" t="str"/>
      <x:c r="I112" s="6" t="str"/>
      <x:c r="J112" s="6" t="str"/>
      <x:c r="K112" s="6" t="str"/>
      <x:c r="L112" s="6" t="str">
        <x:v>Unresolved</x:v>
      </x:c>
      <x:c r="M112" s="7" t="str">
        <x:v>Nocturnix_Master_Services_Catalog_v1.xlsx | 01 - Master Services | row 151</x:v>
      </x:c>
      <x:c r="N112" s="6" t="str"/>
      <x:c r="O112" s="6" t="str"/>
      <x:c r="P112" s="6" t="str">
        <x:v>Pending</x:v>
      </x:c>
      <x:c r="Q112" s="7" t="str">
        <x:f>IF(OR(D112="Reviewer Complete",D112="Awaiting Second-Level Approval"),"","Service identity dependency unresolved")</x:f>
        <x:v>Service identity dependency unresolved</x:v>
      </x:c>
      <x:c r="R112" s="6" t="str">
        <x:v>Yes</x:v>
      </x:c>
      <x:c r="S112" s="7" t="str"/>
    </x:row>
    <x:row r="113">
      <x:c r="A113" s="6" t="str">
        <x:v>LABX-0112</x:v>
      </x:c>
      <x:c r="B113" s="6" t="str">
        <x:v>SVC000112</x:v>
      </x:c>
      <x:c r="C113" s="6" t="str">
        <x:v>SIDX-0112</x:v>
      </x:c>
      <x:c r="D113" s="6" t="str">
        <x:f>IFERROR(XLOOKUP(C113,'Review Sequence'!C2:C1586,'Review Sequence'!J2:J1586),"Dependency not found")</x:f>
        <x:v>Not Started</x:v>
      </x:c>
      <x:c r="E113" s="6" t="str"/>
      <x:c r="F113" s="6" t="str"/>
      <x:c r="G113" s="6" t="str"/>
      <x:c r="H113" s="6" t="str"/>
      <x:c r="I113" s="6" t="str"/>
      <x:c r="J113" s="6" t="str"/>
      <x:c r="K113" s="6" t="str"/>
      <x:c r="L113" s="6" t="str">
        <x:v>Unresolved</x:v>
      </x:c>
      <x:c r="M113" s="7" t="str">
        <x:v>Nocturnix_Master_Services_Catalog_v1.xlsx | 01 - Master Services | row 152</x:v>
      </x:c>
      <x:c r="N113" s="6" t="str"/>
      <x:c r="O113" s="6" t="str"/>
      <x:c r="P113" s="6" t="str">
        <x:v>Pending</x:v>
      </x:c>
      <x:c r="Q113" s="7" t="str">
        <x:f>IF(OR(D113="Reviewer Complete",D113="Awaiting Second-Level Approval"),"","Service identity dependency unresolved")</x:f>
        <x:v>Service identity dependency unresolved</x:v>
      </x:c>
      <x:c r="R113" s="6" t="str">
        <x:v>Yes</x:v>
      </x:c>
      <x:c r="S113" s="7" t="str"/>
    </x:row>
    <x:row r="114">
      <x:c r="A114" s="6" t="str">
        <x:v>LABX-0113</x:v>
      </x:c>
      <x:c r="B114" s="6" t="str">
        <x:v>SVC000113</x:v>
      </x:c>
      <x:c r="C114" s="6" t="str">
        <x:v>SIDX-0113</x:v>
      </x:c>
      <x:c r="D114" s="6" t="str">
        <x:f>IFERROR(XLOOKUP(C114,'Review Sequence'!C2:C1586,'Review Sequence'!J2:J1586),"Dependency not found")</x:f>
        <x:v>Not Started</x:v>
      </x:c>
      <x:c r="E114" s="6" t="str"/>
      <x:c r="F114" s="6" t="str"/>
      <x:c r="G114" s="6" t="str"/>
      <x:c r="H114" s="6" t="str"/>
      <x:c r="I114" s="6" t="str"/>
      <x:c r="J114" s="6" t="str"/>
      <x:c r="K114" s="6" t="str"/>
      <x:c r="L114" s="6" t="str">
        <x:v>Unresolved</x:v>
      </x:c>
      <x:c r="M114" s="7" t="str">
        <x:v>Nocturnix_Master_Services_Catalog_v1.xlsx | 01 - Master Services | row 153</x:v>
      </x:c>
      <x:c r="N114" s="6" t="str"/>
      <x:c r="O114" s="6" t="str"/>
      <x:c r="P114" s="6" t="str">
        <x:v>Pending</x:v>
      </x:c>
      <x:c r="Q114" s="7" t="str">
        <x:f>IF(OR(D114="Reviewer Complete",D114="Awaiting Second-Level Approval"),"","Service identity dependency unresolved")</x:f>
        <x:v>Service identity dependency unresolved</x:v>
      </x:c>
      <x:c r="R114" s="6" t="str">
        <x:v>Yes</x:v>
      </x:c>
      <x:c r="S114" s="7" t="str"/>
    </x:row>
    <x:row r="115">
      <x:c r="A115" s="6" t="str">
        <x:v>LABX-0114</x:v>
      </x:c>
      <x:c r="B115" s="6" t="str">
        <x:v>SVC000114</x:v>
      </x:c>
      <x:c r="C115" s="6" t="str">
        <x:v>SIDX-0114</x:v>
      </x:c>
      <x:c r="D115" s="6" t="str">
        <x:f>IFERROR(XLOOKUP(C115,'Review Sequence'!C2:C1586,'Review Sequence'!J2:J1586),"Dependency not found")</x:f>
        <x:v>Not Started</x:v>
      </x:c>
      <x:c r="E115" s="6" t="str"/>
      <x:c r="F115" s="6" t="str"/>
      <x:c r="G115" s="6" t="str"/>
      <x:c r="H115" s="6" t="str"/>
      <x:c r="I115" s="6" t="str"/>
      <x:c r="J115" s="6" t="str"/>
      <x:c r="K115" s="6" t="str"/>
      <x:c r="L115" s="6" t="str">
        <x:v>Unresolved</x:v>
      </x:c>
      <x:c r="M115" s="7" t="str">
        <x:v>Nocturnix_Master_Services_Catalog_v1.xlsx | 01 - Master Services | row 154</x:v>
      </x:c>
      <x:c r="N115" s="6" t="str"/>
      <x:c r="O115" s="6" t="str"/>
      <x:c r="P115" s="6" t="str">
        <x:v>Pending</x:v>
      </x:c>
      <x:c r="Q115" s="7" t="str">
        <x:f>IF(OR(D115="Reviewer Complete",D115="Awaiting Second-Level Approval"),"","Service identity dependency unresolved")</x:f>
        <x:v>Service identity dependency unresolved</x:v>
      </x:c>
      <x:c r="R115" s="6" t="str">
        <x:v>Yes</x:v>
      </x:c>
      <x:c r="S115" s="7" t="str"/>
    </x:row>
    <x:row r="116">
      <x:c r="A116" s="6" t="str">
        <x:v>LABX-0115</x:v>
      </x:c>
      <x:c r="B116" s="6" t="str">
        <x:v>SVC000115</x:v>
      </x:c>
      <x:c r="C116" s="6" t="str">
        <x:v>SIDX-0115</x:v>
      </x:c>
      <x:c r="D116" s="6" t="str">
        <x:f>IFERROR(XLOOKUP(C116,'Review Sequence'!C2:C1586,'Review Sequence'!J2:J1586),"Dependency not found")</x:f>
        <x:v>Not Started</x:v>
      </x:c>
      <x:c r="E116" s="6" t="str"/>
      <x:c r="F116" s="6" t="str"/>
      <x:c r="G116" s="6" t="str"/>
      <x:c r="H116" s="6" t="str"/>
      <x:c r="I116" s="6" t="str"/>
      <x:c r="J116" s="6" t="str"/>
      <x:c r="K116" s="6" t="str"/>
      <x:c r="L116" s="6" t="str">
        <x:v>Unresolved</x:v>
      </x:c>
      <x:c r="M116" s="7" t="str">
        <x:v>Nocturnix_Master_Services_Catalog_v1.xlsx | 01 - Master Services | row 155</x:v>
      </x:c>
      <x:c r="N116" s="6" t="str"/>
      <x:c r="O116" s="6" t="str"/>
      <x:c r="P116" s="6" t="str">
        <x:v>Pending</x:v>
      </x:c>
      <x:c r="Q116" s="7" t="str">
        <x:f>IF(OR(D116="Reviewer Complete",D116="Awaiting Second-Level Approval"),"","Service identity dependency unresolved")</x:f>
        <x:v>Service identity dependency unresolved</x:v>
      </x:c>
      <x:c r="R116" s="6" t="str">
        <x:v>Yes</x:v>
      </x:c>
      <x:c r="S116" s="7" t="str"/>
    </x:row>
    <x:row r="117">
      <x:c r="A117" s="6" t="str">
        <x:v>LABX-0116</x:v>
      </x:c>
      <x:c r="B117" s="6" t="str">
        <x:v>SVC000116</x:v>
      </x:c>
      <x:c r="C117" s="6" t="str">
        <x:v>SIDX-0116</x:v>
      </x:c>
      <x:c r="D117" s="6" t="str">
        <x:f>IFERROR(XLOOKUP(C117,'Review Sequence'!C2:C1586,'Review Sequence'!J2:J1586),"Dependency not found")</x:f>
        <x:v>Not Started</x:v>
      </x:c>
      <x:c r="E117" s="6" t="str"/>
      <x:c r="F117" s="6" t="str"/>
      <x:c r="G117" s="6" t="str"/>
      <x:c r="H117" s="6" t="str"/>
      <x:c r="I117" s="6" t="str"/>
      <x:c r="J117" s="6" t="str"/>
      <x:c r="K117" s="6" t="str"/>
      <x:c r="L117" s="6" t="str">
        <x:v>Unresolved</x:v>
      </x:c>
      <x:c r="M117" s="7" t="str">
        <x:v>Nocturnix_Master_Services_Catalog_v1.xlsx | 01 - Master Services | row 156</x:v>
      </x:c>
      <x:c r="N117" s="6" t="str"/>
      <x:c r="O117" s="6" t="str"/>
      <x:c r="P117" s="6" t="str">
        <x:v>Pending</x:v>
      </x:c>
      <x:c r="Q117" s="7" t="str">
        <x:f>IF(OR(D117="Reviewer Complete",D117="Awaiting Second-Level Approval"),"","Service identity dependency unresolved")</x:f>
        <x:v>Service identity dependency unresolved</x:v>
      </x:c>
      <x:c r="R117" s="6" t="str">
        <x:v>Yes</x:v>
      </x:c>
      <x:c r="S117" s="7" t="str"/>
    </x:row>
    <x:row r="118">
      <x:c r="A118" s="6" t="str">
        <x:v>LABX-0117</x:v>
      </x:c>
      <x:c r="B118" s="6" t="str">
        <x:v>SVC000117</x:v>
      </x:c>
      <x:c r="C118" s="6" t="str">
        <x:v>SIDX-0117</x:v>
      </x:c>
      <x:c r="D118" s="6" t="str">
        <x:f>IFERROR(XLOOKUP(C118,'Review Sequence'!C2:C1586,'Review Sequence'!J2:J1586),"Dependency not found")</x:f>
        <x:v>Not Started</x:v>
      </x:c>
      <x:c r="E118" s="6" t="str"/>
      <x:c r="F118" s="6" t="str"/>
      <x:c r="G118" s="6" t="str"/>
      <x:c r="H118" s="6" t="str"/>
      <x:c r="I118" s="6" t="str"/>
      <x:c r="J118" s="6" t="str"/>
      <x:c r="K118" s="6" t="str"/>
      <x:c r="L118" s="6" t="str">
        <x:v>Unresolved</x:v>
      </x:c>
      <x:c r="M118" s="7" t="str">
        <x:v>Nocturnix_Master_Services_Catalog_v1.xlsx | 01 - Master Services | row 157</x:v>
      </x:c>
      <x:c r="N118" s="6" t="str"/>
      <x:c r="O118" s="6" t="str"/>
      <x:c r="P118" s="6" t="str">
        <x:v>Pending</x:v>
      </x:c>
      <x:c r="Q118" s="7" t="str">
        <x:f>IF(OR(D118="Reviewer Complete",D118="Awaiting Second-Level Approval"),"","Service identity dependency unresolved")</x:f>
        <x:v>Service identity dependency unresolved</x:v>
      </x:c>
      <x:c r="R118" s="6" t="str">
        <x:v>Yes</x:v>
      </x:c>
      <x:c r="S118" s="7" t="str"/>
    </x:row>
    <x:row r="119">
      <x:c r="A119" s="6" t="str">
        <x:v>LABX-0118</x:v>
      </x:c>
      <x:c r="B119" s="6" t="str">
        <x:v>SVC000118</x:v>
      </x:c>
      <x:c r="C119" s="6" t="str">
        <x:v>SIDX-0118</x:v>
      </x:c>
      <x:c r="D119" s="6" t="str">
        <x:f>IFERROR(XLOOKUP(C119,'Review Sequence'!C2:C1586,'Review Sequence'!J2:J1586),"Dependency not found")</x:f>
        <x:v>Not Started</x:v>
      </x:c>
      <x:c r="E119" s="6" t="str"/>
      <x:c r="F119" s="6" t="str"/>
      <x:c r="G119" s="6" t="str"/>
      <x:c r="H119" s="6" t="str"/>
      <x:c r="I119" s="6" t="str"/>
      <x:c r="J119" s="6" t="str"/>
      <x:c r="K119" s="6" t="str"/>
      <x:c r="L119" s="6" t="str">
        <x:v>Unresolved</x:v>
      </x:c>
      <x:c r="M119" s="7" t="str">
        <x:v>Nocturnix_Master_Services_Catalog_v1.xlsx | 01 - Master Services | row 158</x:v>
      </x:c>
      <x:c r="N119" s="6" t="str"/>
      <x:c r="O119" s="6" t="str"/>
      <x:c r="P119" s="6" t="str">
        <x:v>Pending</x:v>
      </x:c>
      <x:c r="Q119" s="7" t="str">
        <x:f>IF(OR(D119="Reviewer Complete",D119="Awaiting Second-Level Approval"),"","Service identity dependency unresolved")</x:f>
        <x:v>Service identity dependency unresolved</x:v>
      </x:c>
      <x:c r="R119" s="6" t="str">
        <x:v>Yes</x:v>
      </x:c>
      <x:c r="S119" s="7" t="str"/>
    </x:row>
    <x:row r="120">
      <x:c r="A120" s="6" t="str">
        <x:v>LABX-0119</x:v>
      </x:c>
      <x:c r="B120" s="6" t="str">
        <x:v>SVC000119</x:v>
      </x:c>
      <x:c r="C120" s="6" t="str">
        <x:v>SIDX-0119</x:v>
      </x:c>
      <x:c r="D120" s="6" t="str">
        <x:f>IFERROR(XLOOKUP(C120,'Review Sequence'!C2:C1586,'Review Sequence'!J2:J1586),"Dependency not found")</x:f>
        <x:v>Not Started</x:v>
      </x:c>
      <x:c r="E120" s="6" t="str"/>
      <x:c r="F120" s="6" t="str"/>
      <x:c r="G120" s="6" t="str"/>
      <x:c r="H120" s="6" t="str"/>
      <x:c r="I120" s="6" t="str"/>
      <x:c r="J120" s="6" t="str"/>
      <x:c r="K120" s="6" t="str"/>
      <x:c r="L120" s="6" t="str">
        <x:v>Unresolved</x:v>
      </x:c>
      <x:c r="M120" s="7" t="str">
        <x:v>Nocturnix_Master_Services_Catalog_v1.xlsx | 01 - Master Services | row 159</x:v>
      </x:c>
      <x:c r="N120" s="6" t="str"/>
      <x:c r="O120" s="6" t="str"/>
      <x:c r="P120" s="6" t="str">
        <x:v>Pending</x:v>
      </x:c>
      <x:c r="Q120" s="7" t="str">
        <x:f>IF(OR(D120="Reviewer Complete",D120="Awaiting Second-Level Approval"),"","Service identity dependency unresolved")</x:f>
        <x:v>Service identity dependency unresolved</x:v>
      </x:c>
      <x:c r="R120" s="6" t="str">
        <x:v>Yes</x:v>
      </x:c>
      <x:c r="S120" s="7" t="str"/>
    </x:row>
    <x:row r="121">
      <x:c r="A121" s="6" t="str">
        <x:v>LABX-0120</x:v>
      </x:c>
      <x:c r="B121" s="6" t="str">
        <x:v>SVC000120</x:v>
      </x:c>
      <x:c r="C121" s="6" t="str">
        <x:v>SIDX-0120</x:v>
      </x:c>
      <x:c r="D121" s="6" t="str">
        <x:f>IFERROR(XLOOKUP(C121,'Review Sequence'!C2:C1586,'Review Sequence'!J2:J1586),"Dependency not found")</x:f>
        <x:v>Not Started</x:v>
      </x:c>
      <x:c r="E121" s="6" t="str"/>
      <x:c r="F121" s="6" t="str"/>
      <x:c r="G121" s="6" t="str"/>
      <x:c r="H121" s="6" t="str"/>
      <x:c r="I121" s="6" t="str"/>
      <x:c r="J121" s="6" t="str"/>
      <x:c r="K121" s="6" t="str"/>
      <x:c r="L121" s="6" t="str">
        <x:v>Unresolved</x:v>
      </x:c>
      <x:c r="M121" s="7" t="str">
        <x:v>Nocturnix_Master_Services_Catalog_v1.xlsx | 01 - Master Services | row 160</x:v>
      </x:c>
      <x:c r="N121" s="6" t="str"/>
      <x:c r="O121" s="6" t="str"/>
      <x:c r="P121" s="6" t="str">
        <x:v>Pending</x:v>
      </x:c>
      <x:c r="Q121" s="7" t="str">
        <x:f>IF(OR(D121="Reviewer Complete",D121="Awaiting Second-Level Approval"),"","Service identity dependency unresolved")</x:f>
        <x:v>Service identity dependency unresolved</x:v>
      </x:c>
      <x:c r="R121" s="6" t="str">
        <x:v>Yes</x:v>
      </x:c>
      <x:c r="S121" s="7" t="str"/>
    </x:row>
    <x:row r="122">
      <x:c r="A122" s="6" t="str">
        <x:v>LABX-0121</x:v>
      </x:c>
      <x:c r="B122" s="6" t="str">
        <x:v>SVC000121</x:v>
      </x:c>
      <x:c r="C122" s="6" t="str">
        <x:v>SIDX-0121</x:v>
      </x:c>
      <x:c r="D122" s="6" t="str">
        <x:f>IFERROR(XLOOKUP(C122,'Review Sequence'!C2:C1586,'Review Sequence'!J2:J1586),"Dependency not found")</x:f>
        <x:v>Not Started</x:v>
      </x:c>
      <x:c r="E122" s="6" t="str"/>
      <x:c r="F122" s="6" t="str"/>
      <x:c r="G122" s="6" t="str"/>
      <x:c r="H122" s="6" t="str"/>
      <x:c r="I122" s="6" t="str"/>
      <x:c r="J122" s="6" t="str"/>
      <x:c r="K122" s="6" t="str"/>
      <x:c r="L122" s="6" t="str">
        <x:v>Unresolved</x:v>
      </x:c>
      <x:c r="M122" s="7" t="str">
        <x:v>Nocturnix_Master_Services_Catalog_v1.xlsx | 01 - Master Services | row 161</x:v>
      </x:c>
      <x:c r="N122" s="6" t="str"/>
      <x:c r="O122" s="6" t="str"/>
      <x:c r="P122" s="6" t="str">
        <x:v>Pending</x:v>
      </x:c>
      <x:c r="Q122" s="7" t="str">
        <x:f>IF(OR(D122="Reviewer Complete",D122="Awaiting Second-Level Approval"),"","Service identity dependency unresolved")</x:f>
        <x:v>Service identity dependency unresolved</x:v>
      </x:c>
      <x:c r="R122" s="6" t="str">
        <x:v>Yes</x:v>
      </x:c>
      <x:c r="S122" s="7" t="str"/>
    </x:row>
    <x:row r="123">
      <x:c r="A123" s="6" t="str">
        <x:v>LABX-0122</x:v>
      </x:c>
      <x:c r="B123" s="6" t="str">
        <x:v>SVC000122</x:v>
      </x:c>
      <x:c r="C123" s="6" t="str">
        <x:v>SIDX-0122</x:v>
      </x:c>
      <x:c r="D123" s="6" t="str">
        <x:f>IFERROR(XLOOKUP(C123,'Review Sequence'!C2:C1586,'Review Sequence'!J2:J1586),"Dependency not found")</x:f>
        <x:v>Not Started</x:v>
      </x:c>
      <x:c r="E123" s="6" t="str"/>
      <x:c r="F123" s="6" t="str"/>
      <x:c r="G123" s="6" t="str"/>
      <x:c r="H123" s="6" t="str"/>
      <x:c r="I123" s="6" t="str"/>
      <x:c r="J123" s="6" t="str"/>
      <x:c r="K123" s="6" t="str"/>
      <x:c r="L123" s="6" t="str">
        <x:v>Unresolved</x:v>
      </x:c>
      <x:c r="M123" s="7" t="str">
        <x:v>Nocturnix_Master_Services_Catalog_v1.xlsx | 01 - Master Services | row 162</x:v>
      </x:c>
      <x:c r="N123" s="6" t="str"/>
      <x:c r="O123" s="6" t="str"/>
      <x:c r="P123" s="6" t="str">
        <x:v>Pending</x:v>
      </x:c>
      <x:c r="Q123" s="7" t="str">
        <x:f>IF(OR(D123="Reviewer Complete",D123="Awaiting Second-Level Approval"),"","Service identity dependency unresolved")</x:f>
        <x:v>Service identity dependency unresolved</x:v>
      </x:c>
      <x:c r="R123" s="6" t="str">
        <x:v>Yes</x:v>
      </x:c>
      <x:c r="S123" s="7" t="str"/>
    </x:row>
    <x:row r="124">
      <x:c r="A124" s="6" t="str">
        <x:v>LABX-0123</x:v>
      </x:c>
      <x:c r="B124" s="6" t="str">
        <x:v>SVC000123</x:v>
      </x:c>
      <x:c r="C124" s="6" t="str">
        <x:v>SIDX-0123</x:v>
      </x:c>
      <x:c r="D124" s="6" t="str">
        <x:f>IFERROR(XLOOKUP(C124,'Review Sequence'!C2:C1586,'Review Sequence'!J2:J1586),"Dependency not found")</x:f>
        <x:v>Not Started</x:v>
      </x:c>
      <x:c r="E124" s="6" t="str"/>
      <x:c r="F124" s="6" t="str"/>
      <x:c r="G124" s="6" t="str"/>
      <x:c r="H124" s="6" t="str"/>
      <x:c r="I124" s="6" t="str"/>
      <x:c r="J124" s="6" t="str"/>
      <x:c r="K124" s="6" t="str"/>
      <x:c r="L124" s="6" t="str">
        <x:v>Unresolved</x:v>
      </x:c>
      <x:c r="M124" s="7" t="str">
        <x:v>Nocturnix_Master_Services_Catalog_v1.xlsx | 01 - Master Services | row 163</x:v>
      </x:c>
      <x:c r="N124" s="6" t="str"/>
      <x:c r="O124" s="6" t="str"/>
      <x:c r="P124" s="6" t="str">
        <x:v>Pending</x:v>
      </x:c>
      <x:c r="Q124" s="7" t="str">
        <x:f>IF(OR(D124="Reviewer Complete",D124="Awaiting Second-Level Approval"),"","Service identity dependency unresolved")</x:f>
        <x:v>Service identity dependency unresolved</x:v>
      </x:c>
      <x:c r="R124" s="6" t="str">
        <x:v>Yes</x:v>
      </x:c>
      <x:c r="S124" s="7" t="str"/>
    </x:row>
    <x:row r="125">
      <x:c r="A125" s="6" t="str">
        <x:v>LABX-0124</x:v>
      </x:c>
      <x:c r="B125" s="6" t="str">
        <x:v>SVC000124</x:v>
      </x:c>
      <x:c r="C125" s="6" t="str">
        <x:v>SIDX-0124</x:v>
      </x:c>
      <x:c r="D125" s="6" t="str">
        <x:f>IFERROR(XLOOKUP(C125,'Review Sequence'!C2:C1586,'Review Sequence'!J2:J1586),"Dependency not found")</x:f>
        <x:v>Not Started</x:v>
      </x:c>
      <x:c r="E125" s="6" t="str"/>
      <x:c r="F125" s="6" t="str"/>
      <x:c r="G125" s="6" t="str"/>
      <x:c r="H125" s="6" t="str"/>
      <x:c r="I125" s="6" t="str"/>
      <x:c r="J125" s="6" t="str"/>
      <x:c r="K125" s="6" t="str"/>
      <x:c r="L125" s="6" t="str">
        <x:v>Unresolved</x:v>
      </x:c>
      <x:c r="M125" s="7" t="str">
        <x:v>Nocturnix_Master_Services_Catalog_v1.xlsx | 01 - Master Services | row 164</x:v>
      </x:c>
      <x:c r="N125" s="6" t="str"/>
      <x:c r="O125" s="6" t="str"/>
      <x:c r="P125" s="6" t="str">
        <x:v>Pending</x:v>
      </x:c>
      <x:c r="Q125" s="7" t="str">
        <x:f>IF(OR(D125="Reviewer Complete",D125="Awaiting Second-Level Approval"),"","Service identity dependency unresolved")</x:f>
        <x:v>Service identity dependency unresolved</x:v>
      </x:c>
      <x:c r="R125" s="6" t="str">
        <x:v>Yes</x:v>
      </x:c>
      <x:c r="S125" s="7" t="str"/>
    </x:row>
    <x:row r="126">
      <x:c r="A126" s="6" t="str">
        <x:v>LABX-0125</x:v>
      </x:c>
      <x:c r="B126" s="6" t="str">
        <x:v>SVC000125</x:v>
      </x:c>
      <x:c r="C126" s="6" t="str">
        <x:v>SIDX-0125</x:v>
      </x:c>
      <x:c r="D126" s="6" t="str">
        <x:f>IFERROR(XLOOKUP(C126,'Review Sequence'!C2:C1586,'Review Sequence'!J2:J1586),"Dependency not found")</x:f>
        <x:v>Not Started</x:v>
      </x:c>
      <x:c r="E126" s="6" t="str"/>
      <x:c r="F126" s="6" t="str"/>
      <x:c r="G126" s="6" t="str"/>
      <x:c r="H126" s="6" t="str"/>
      <x:c r="I126" s="6" t="str"/>
      <x:c r="J126" s="6" t="str"/>
      <x:c r="K126" s="6" t="str"/>
      <x:c r="L126" s="6" t="str">
        <x:v>Unresolved</x:v>
      </x:c>
      <x:c r="M126" s="7" t="str">
        <x:v>Nocturnix_Master_Services_Catalog_v1.xlsx | 01 - Master Services | row 165</x:v>
      </x:c>
      <x:c r="N126" s="6" t="str"/>
      <x:c r="O126" s="6" t="str"/>
      <x:c r="P126" s="6" t="str">
        <x:v>Pending</x:v>
      </x:c>
      <x:c r="Q126" s="7" t="str">
        <x:f>IF(OR(D126="Reviewer Complete",D126="Awaiting Second-Level Approval"),"","Service identity dependency unresolved")</x:f>
        <x:v>Service identity dependency unresolved</x:v>
      </x:c>
      <x:c r="R126" s="6" t="str">
        <x:v>Yes</x:v>
      </x:c>
      <x:c r="S126" s="7" t="str"/>
    </x:row>
    <x:row r="127">
      <x:c r="A127" s="6" t="str">
        <x:v>LABX-0126</x:v>
      </x:c>
      <x:c r="B127" s="6" t="str">
        <x:v>SVC000126</x:v>
      </x:c>
      <x:c r="C127" s="6" t="str">
        <x:v>SIDX-0126</x:v>
      </x:c>
      <x:c r="D127" s="6" t="str">
        <x:f>IFERROR(XLOOKUP(C127,'Review Sequence'!C2:C1586,'Review Sequence'!J2:J1586),"Dependency not found")</x:f>
        <x:v>Not Started</x:v>
      </x:c>
      <x:c r="E127" s="6" t="str"/>
      <x:c r="F127" s="6" t="str"/>
      <x:c r="G127" s="6" t="str"/>
      <x:c r="H127" s="6" t="str"/>
      <x:c r="I127" s="6" t="str"/>
      <x:c r="J127" s="6" t="str"/>
      <x:c r="K127" s="6" t="str"/>
      <x:c r="L127" s="6" t="str">
        <x:v>Unresolved</x:v>
      </x:c>
      <x:c r="M127" s="7" t="str">
        <x:v>Nocturnix_Master_Services_Catalog_v1.xlsx | 01 - Master Services | row 166</x:v>
      </x:c>
      <x:c r="N127" s="6" t="str"/>
      <x:c r="O127" s="6" t="str"/>
      <x:c r="P127" s="6" t="str">
        <x:v>Pending</x:v>
      </x:c>
      <x:c r="Q127" s="7" t="str">
        <x:f>IF(OR(D127="Reviewer Complete",D127="Awaiting Second-Level Approval"),"","Service identity dependency unresolved")</x:f>
        <x:v>Service identity dependency unresolved</x:v>
      </x:c>
      <x:c r="R127" s="6" t="str">
        <x:v>Yes</x:v>
      </x:c>
      <x:c r="S127" s="7" t="str"/>
    </x:row>
    <x:row r="128">
      <x:c r="A128" s="6" t="str">
        <x:v>LABX-0127</x:v>
      </x:c>
      <x:c r="B128" s="6" t="str">
        <x:v>SVC000127</x:v>
      </x:c>
      <x:c r="C128" s="6" t="str">
        <x:v>SIDX-0127</x:v>
      </x:c>
      <x:c r="D128" s="6" t="str">
        <x:f>IFERROR(XLOOKUP(C128,'Review Sequence'!C2:C1586,'Review Sequence'!J2:J1586),"Dependency not found")</x:f>
        <x:v>Not Started</x:v>
      </x:c>
      <x:c r="E128" s="6" t="str"/>
      <x:c r="F128" s="6" t="str"/>
      <x:c r="G128" s="6" t="str"/>
      <x:c r="H128" s="6" t="str"/>
      <x:c r="I128" s="6" t="str"/>
      <x:c r="J128" s="6" t="str"/>
      <x:c r="K128" s="6" t="str"/>
      <x:c r="L128" s="6" t="str">
        <x:v>Unresolved</x:v>
      </x:c>
      <x:c r="M128" s="7" t="str">
        <x:v>Nocturnix_Master_Services_Catalog_v1.xlsx | 01 - Master Services | row 167</x:v>
      </x:c>
      <x:c r="N128" s="6" t="str"/>
      <x:c r="O128" s="6" t="str"/>
      <x:c r="P128" s="6" t="str">
        <x:v>Pending</x:v>
      </x:c>
      <x:c r="Q128" s="7" t="str">
        <x:f>IF(OR(D128="Reviewer Complete",D128="Awaiting Second-Level Approval"),"","Service identity dependency unresolved")</x:f>
        <x:v>Service identity dependency unresolved</x:v>
      </x:c>
      <x:c r="R128" s="6" t="str">
        <x:v>Yes</x:v>
      </x:c>
      <x:c r="S128" s="7" t="str"/>
    </x:row>
    <x:row r="129">
      <x:c r="A129" s="6" t="str">
        <x:v>LABX-0128</x:v>
      </x:c>
      <x:c r="B129" s="6" t="str">
        <x:v>SVC000128</x:v>
      </x:c>
      <x:c r="C129" s="6" t="str">
        <x:v>SIDX-0128</x:v>
      </x:c>
      <x:c r="D129" s="6" t="str">
        <x:f>IFERROR(XLOOKUP(C129,'Review Sequence'!C2:C1586,'Review Sequence'!J2:J1586),"Dependency not found")</x:f>
        <x:v>Not Started</x:v>
      </x:c>
      <x:c r="E129" s="6" t="str"/>
      <x:c r="F129" s="6" t="str"/>
      <x:c r="G129" s="6" t="str"/>
      <x:c r="H129" s="6" t="str"/>
      <x:c r="I129" s="6" t="str"/>
      <x:c r="J129" s="6" t="str"/>
      <x:c r="K129" s="6" t="str"/>
      <x:c r="L129" s="6" t="str">
        <x:v>Unresolved</x:v>
      </x:c>
      <x:c r="M129" s="7" t="str">
        <x:v>Nocturnix_Master_Services_Catalog_v1.xlsx | 01 - Master Services | row 168</x:v>
      </x:c>
      <x:c r="N129" s="6" t="str"/>
      <x:c r="O129" s="6" t="str"/>
      <x:c r="P129" s="6" t="str">
        <x:v>Pending</x:v>
      </x:c>
      <x:c r="Q129" s="7" t="str">
        <x:f>IF(OR(D129="Reviewer Complete",D129="Awaiting Second-Level Approval"),"","Service identity dependency unresolved")</x:f>
        <x:v>Service identity dependency unresolved</x:v>
      </x:c>
      <x:c r="R129" s="6" t="str">
        <x:v>Yes</x:v>
      </x:c>
      <x:c r="S129" s="7" t="str"/>
    </x:row>
    <x:row r="130">
      <x:c r="A130" s="6" t="str">
        <x:v>LABX-0129</x:v>
      </x:c>
      <x:c r="B130" s="6" t="str">
        <x:v>SVC000129</x:v>
      </x:c>
      <x:c r="C130" s="6" t="str">
        <x:v>SIDX-0129</x:v>
      </x:c>
      <x:c r="D130" s="6" t="str">
        <x:f>IFERROR(XLOOKUP(C130,'Review Sequence'!C2:C1586,'Review Sequence'!J2:J1586),"Dependency not found")</x:f>
        <x:v>Not Started</x:v>
      </x:c>
      <x:c r="E130" s="6" t="str"/>
      <x:c r="F130" s="6" t="str"/>
      <x:c r="G130" s="6" t="str"/>
      <x:c r="H130" s="6" t="str"/>
      <x:c r="I130" s="6" t="str"/>
      <x:c r="J130" s="6" t="str"/>
      <x:c r="K130" s="6" t="str"/>
      <x:c r="L130" s="6" t="str">
        <x:v>Unresolved</x:v>
      </x:c>
      <x:c r="M130" s="7" t="str">
        <x:v>Nocturnix_Master_Services_Catalog_v1.xlsx | 01 - Master Services | row 169</x:v>
      </x:c>
      <x:c r="N130" s="6" t="str"/>
      <x:c r="O130" s="6" t="str"/>
      <x:c r="P130" s="6" t="str">
        <x:v>Pending</x:v>
      </x:c>
      <x:c r="Q130" s="7" t="str">
        <x:f>IF(OR(D130="Reviewer Complete",D130="Awaiting Second-Level Approval"),"","Service identity dependency unresolved")</x:f>
        <x:v>Service identity dependency unresolved</x:v>
      </x:c>
      <x:c r="R130" s="6" t="str">
        <x:v>Yes</x:v>
      </x:c>
      <x:c r="S130" s="7" t="str"/>
    </x:row>
    <x:row r="131">
      <x:c r="A131" s="6" t="str">
        <x:v>LABX-0130</x:v>
      </x:c>
      <x:c r="B131" s="6" t="str">
        <x:v>SVC000130</x:v>
      </x:c>
      <x:c r="C131" s="6" t="str">
        <x:v>SIDX-0130</x:v>
      </x:c>
      <x:c r="D131" s="6" t="str">
        <x:f>IFERROR(XLOOKUP(C131,'Review Sequence'!C2:C1586,'Review Sequence'!J2:J1586),"Dependency not found")</x:f>
        <x:v>Not Started</x:v>
      </x:c>
      <x:c r="E131" s="6" t="str"/>
      <x:c r="F131" s="6" t="str"/>
      <x:c r="G131" s="6" t="str"/>
      <x:c r="H131" s="6" t="str"/>
      <x:c r="I131" s="6" t="str"/>
      <x:c r="J131" s="6" t="str"/>
      <x:c r="K131" s="6" t="str"/>
      <x:c r="L131" s="6" t="str">
        <x:v>Unresolved</x:v>
      </x:c>
      <x:c r="M131" s="7" t="str">
        <x:v>Nocturnix_Master_Services_Catalog_v1.xlsx | 01 - Master Services | row 170</x:v>
      </x:c>
      <x:c r="N131" s="6" t="str"/>
      <x:c r="O131" s="6" t="str"/>
      <x:c r="P131" s="6" t="str">
        <x:v>Pending</x:v>
      </x:c>
      <x:c r="Q131" s="7" t="str">
        <x:f>IF(OR(D131="Reviewer Complete",D131="Awaiting Second-Level Approval"),"","Service identity dependency unresolved")</x:f>
        <x:v>Service identity dependency unresolved</x:v>
      </x:c>
      <x:c r="R131" s="6" t="str">
        <x:v>Yes</x:v>
      </x:c>
      <x:c r="S131" s="7" t="str"/>
    </x:row>
    <x:row r="132">
      <x:c r="A132" s="6" t="str">
        <x:v>LABX-0131</x:v>
      </x:c>
      <x:c r="B132" s="6" t="str">
        <x:v>SVC000131</x:v>
      </x:c>
      <x:c r="C132" s="6" t="str">
        <x:v>SIDX-0131</x:v>
      </x:c>
      <x:c r="D132" s="6" t="str">
        <x:f>IFERROR(XLOOKUP(C132,'Review Sequence'!C2:C1586,'Review Sequence'!J2:J1586),"Dependency not found")</x:f>
        <x:v>Not Started</x:v>
      </x:c>
      <x:c r="E132" s="6" t="str"/>
      <x:c r="F132" s="6" t="str"/>
      <x:c r="G132" s="6" t="str"/>
      <x:c r="H132" s="6" t="str"/>
      <x:c r="I132" s="6" t="str"/>
      <x:c r="J132" s="6" t="str"/>
      <x:c r="K132" s="6" t="str"/>
      <x:c r="L132" s="6" t="str">
        <x:v>Unresolved</x:v>
      </x:c>
      <x:c r="M132" s="7" t="str">
        <x:v>Nocturnix_Master_Services_Catalog_v1.xlsx | 01 - Master Services | row 171</x:v>
      </x:c>
      <x:c r="N132" s="6" t="str"/>
      <x:c r="O132" s="6" t="str"/>
      <x:c r="P132" s="6" t="str">
        <x:v>Pending</x:v>
      </x:c>
      <x:c r="Q132" s="7" t="str">
        <x:f>IF(OR(D132="Reviewer Complete",D132="Awaiting Second-Level Approval"),"","Service identity dependency unresolved")</x:f>
        <x:v>Service identity dependency unresolved</x:v>
      </x:c>
      <x:c r="R132" s="6" t="str">
        <x:v>Yes</x:v>
      </x:c>
      <x:c r="S132" s="7" t="str"/>
    </x:row>
    <x:row r="133">
      <x:c r="A133" s="6" t="str">
        <x:v>LABX-0132</x:v>
      </x:c>
      <x:c r="B133" s="6" t="str">
        <x:v>SVC000132</x:v>
      </x:c>
      <x:c r="C133" s="6" t="str">
        <x:v>SIDX-0132</x:v>
      </x:c>
      <x:c r="D133" s="6" t="str">
        <x:f>IFERROR(XLOOKUP(C133,'Review Sequence'!C2:C1586,'Review Sequence'!J2:J1586),"Dependency not found")</x:f>
        <x:v>Not Started</x:v>
      </x:c>
      <x:c r="E133" s="6" t="str"/>
      <x:c r="F133" s="6" t="str"/>
      <x:c r="G133" s="6" t="str"/>
      <x:c r="H133" s="6" t="str"/>
      <x:c r="I133" s="6" t="str"/>
      <x:c r="J133" s="6" t="str"/>
      <x:c r="K133" s="6" t="str"/>
      <x:c r="L133" s="6" t="str">
        <x:v>Unresolved</x:v>
      </x:c>
      <x:c r="M133" s="7" t="str">
        <x:v>Nocturnix_Master_Services_Catalog_v1.xlsx | 01 - Master Services | row 172</x:v>
      </x:c>
      <x:c r="N133" s="6" t="str"/>
      <x:c r="O133" s="6" t="str"/>
      <x:c r="P133" s="6" t="str">
        <x:v>Pending</x:v>
      </x:c>
      <x:c r="Q133" s="7" t="str">
        <x:f>IF(OR(D133="Reviewer Complete",D133="Awaiting Second-Level Approval"),"","Service identity dependency unresolved")</x:f>
        <x:v>Service identity dependency unresolved</x:v>
      </x:c>
      <x:c r="R133" s="6" t="str">
        <x:v>Yes</x:v>
      </x:c>
      <x:c r="S133" s="7" t="str"/>
    </x:row>
    <x:row r="134">
      <x:c r="A134" s="6" t="str">
        <x:v>LABX-0133</x:v>
      </x:c>
      <x:c r="B134" s="6" t="str">
        <x:v>SVC000133</x:v>
      </x:c>
      <x:c r="C134" s="6" t="str">
        <x:v>SIDX-0133</x:v>
      </x:c>
      <x:c r="D134" s="6" t="str">
        <x:f>IFERROR(XLOOKUP(C134,'Review Sequence'!C2:C1586,'Review Sequence'!J2:J1586),"Dependency not found")</x:f>
        <x:v>Not Started</x:v>
      </x:c>
      <x:c r="E134" s="6" t="str"/>
      <x:c r="F134" s="6" t="str"/>
      <x:c r="G134" s="6" t="str"/>
      <x:c r="H134" s="6" t="str"/>
      <x:c r="I134" s="6" t="str"/>
      <x:c r="J134" s="6" t="str"/>
      <x:c r="K134" s="6" t="str"/>
      <x:c r="L134" s="6" t="str">
        <x:v>Unresolved</x:v>
      </x:c>
      <x:c r="M134" s="7" t="str">
        <x:v>Nocturnix_Master_Services_Catalog_v1.xlsx | 01 - Master Services | row 173</x:v>
      </x:c>
      <x:c r="N134" s="6" t="str"/>
      <x:c r="O134" s="6" t="str"/>
      <x:c r="P134" s="6" t="str">
        <x:v>Pending</x:v>
      </x:c>
      <x:c r="Q134" s="7" t="str">
        <x:f>IF(OR(D134="Reviewer Complete",D134="Awaiting Second-Level Approval"),"","Service identity dependency unresolved")</x:f>
        <x:v>Service identity dependency unresolved</x:v>
      </x:c>
      <x:c r="R134" s="6" t="str">
        <x:v>Yes</x:v>
      </x:c>
      <x:c r="S134" s="7" t="str"/>
    </x:row>
    <x:row r="135">
      <x:c r="A135" s="6" t="str">
        <x:v>LABX-0134</x:v>
      </x:c>
      <x:c r="B135" s="6" t="str">
        <x:v>SVC000134</x:v>
      </x:c>
      <x:c r="C135" s="6" t="str">
        <x:v>SIDX-0134</x:v>
      </x:c>
      <x:c r="D135" s="6" t="str">
        <x:f>IFERROR(XLOOKUP(C135,'Review Sequence'!C2:C1586,'Review Sequence'!J2:J1586),"Dependency not found")</x:f>
        <x:v>Not Started</x:v>
      </x:c>
      <x:c r="E135" s="6" t="str"/>
      <x:c r="F135" s="6" t="str"/>
      <x:c r="G135" s="6" t="str"/>
      <x:c r="H135" s="6" t="str"/>
      <x:c r="I135" s="6" t="str"/>
      <x:c r="J135" s="6" t="str"/>
      <x:c r="K135" s="6" t="str"/>
      <x:c r="L135" s="6" t="str">
        <x:v>Unresolved</x:v>
      </x:c>
      <x:c r="M135" s="7" t="str">
        <x:v>Nocturnix_Master_Services_Catalog_v1.xlsx | 01 - Master Services | row 174</x:v>
      </x:c>
      <x:c r="N135" s="6" t="str"/>
      <x:c r="O135" s="6" t="str"/>
      <x:c r="P135" s="6" t="str">
        <x:v>Pending</x:v>
      </x:c>
      <x:c r="Q135" s="7" t="str">
        <x:f>IF(OR(D135="Reviewer Complete",D135="Awaiting Second-Level Approval"),"","Service identity dependency unresolved")</x:f>
        <x:v>Service identity dependency unresolved</x:v>
      </x:c>
      <x:c r="R135" s="6" t="str">
        <x:v>Yes</x:v>
      </x:c>
      <x:c r="S135" s="7" t="str"/>
    </x:row>
    <x:row r="136">
      <x:c r="A136" s="6" t="str">
        <x:v>LABX-0135</x:v>
      </x:c>
      <x:c r="B136" s="6" t="str">
        <x:v>SVC000135</x:v>
      </x:c>
      <x:c r="C136" s="6" t="str">
        <x:v>SIDX-0135</x:v>
      </x:c>
      <x:c r="D136" s="6" t="str">
        <x:f>IFERROR(XLOOKUP(C136,'Review Sequence'!C2:C1586,'Review Sequence'!J2:J1586),"Dependency not found")</x:f>
        <x:v>Not Started</x:v>
      </x:c>
      <x:c r="E136" s="6" t="str"/>
      <x:c r="F136" s="6" t="str"/>
      <x:c r="G136" s="6" t="str"/>
      <x:c r="H136" s="6" t="str"/>
      <x:c r="I136" s="6" t="str"/>
      <x:c r="J136" s="6" t="str"/>
      <x:c r="K136" s="6" t="str"/>
      <x:c r="L136" s="6" t="str">
        <x:v>Unresolved</x:v>
      </x:c>
      <x:c r="M136" s="7" t="str">
        <x:v>Nocturnix_Master_Services_Catalog_v1.xlsx | 01 - Master Services | row 175</x:v>
      </x:c>
      <x:c r="N136" s="6" t="str"/>
      <x:c r="O136" s="6" t="str"/>
      <x:c r="P136" s="6" t="str">
        <x:v>Pending</x:v>
      </x:c>
      <x:c r="Q136" s="7" t="str">
        <x:f>IF(OR(D136="Reviewer Complete",D136="Awaiting Second-Level Approval"),"","Service identity dependency unresolved")</x:f>
        <x:v>Service identity dependency unresolved</x:v>
      </x:c>
      <x:c r="R136" s="6" t="str">
        <x:v>Yes</x:v>
      </x:c>
      <x:c r="S136" s="7" t="str"/>
    </x:row>
    <x:row r="137">
      <x:c r="A137" s="6" t="str">
        <x:v>LABX-0136</x:v>
      </x:c>
      <x:c r="B137" s="6" t="str">
        <x:v>SVC000136</x:v>
      </x:c>
      <x:c r="C137" s="6" t="str">
        <x:v>SIDX-0136</x:v>
      </x:c>
      <x:c r="D137" s="6" t="str">
        <x:f>IFERROR(XLOOKUP(C137,'Review Sequence'!C2:C1586,'Review Sequence'!J2:J1586),"Dependency not found")</x:f>
        <x:v>Not Started</x:v>
      </x:c>
      <x:c r="E137" s="6" t="str"/>
      <x:c r="F137" s="6" t="str"/>
      <x:c r="G137" s="6" t="str"/>
      <x:c r="H137" s="6" t="str"/>
      <x:c r="I137" s="6" t="str"/>
      <x:c r="J137" s="6" t="str"/>
      <x:c r="K137" s="6" t="str"/>
      <x:c r="L137" s="6" t="str">
        <x:v>Unresolved</x:v>
      </x:c>
      <x:c r="M137" s="7" t="str">
        <x:v>Nocturnix_Master_Services_Catalog_v1.xlsx | 01 - Master Services | row 176</x:v>
      </x:c>
      <x:c r="N137" s="6" t="str"/>
      <x:c r="O137" s="6" t="str"/>
      <x:c r="P137" s="6" t="str">
        <x:v>Pending</x:v>
      </x:c>
      <x:c r="Q137" s="7" t="str">
        <x:f>IF(OR(D137="Reviewer Complete",D137="Awaiting Second-Level Approval"),"","Service identity dependency unresolved")</x:f>
        <x:v>Service identity dependency unresolved</x:v>
      </x:c>
      <x:c r="R137" s="6" t="str">
        <x:v>Yes</x:v>
      </x:c>
      <x:c r="S137" s="7" t="str"/>
    </x:row>
    <x:row r="138">
      <x:c r="A138" s="6" t="str">
        <x:v>LABX-0137</x:v>
      </x:c>
      <x:c r="B138" s="6" t="str">
        <x:v>SVC000137</x:v>
      </x:c>
      <x:c r="C138" s="6" t="str">
        <x:v>SIDX-0137</x:v>
      </x:c>
      <x:c r="D138" s="6" t="str">
        <x:f>IFERROR(XLOOKUP(C138,'Review Sequence'!C2:C1586,'Review Sequence'!J2:J1586),"Dependency not found")</x:f>
        <x:v>Not Started</x:v>
      </x:c>
      <x:c r="E138" s="6" t="str"/>
      <x:c r="F138" s="6" t="str"/>
      <x:c r="G138" s="6" t="str"/>
      <x:c r="H138" s="6" t="str"/>
      <x:c r="I138" s="6" t="str"/>
      <x:c r="J138" s="6" t="str"/>
      <x:c r="K138" s="6" t="str"/>
      <x:c r="L138" s="6" t="str">
        <x:v>Unresolved</x:v>
      </x:c>
      <x:c r="M138" s="7" t="str">
        <x:v>Nocturnix_Master_Services_Catalog_v1.xlsx | 01 - Master Services | row 177</x:v>
      </x:c>
      <x:c r="N138" s="6" t="str"/>
      <x:c r="O138" s="6" t="str"/>
      <x:c r="P138" s="6" t="str">
        <x:v>Pending</x:v>
      </x:c>
      <x:c r="Q138" s="7" t="str">
        <x:f>IF(OR(D138="Reviewer Complete",D138="Awaiting Second-Level Approval"),"","Service identity dependency unresolved")</x:f>
        <x:v>Service identity dependency unresolved</x:v>
      </x:c>
      <x:c r="R138" s="6" t="str">
        <x:v>Yes</x:v>
      </x:c>
      <x:c r="S138" s="7" t="str"/>
    </x:row>
    <x:row r="139">
      <x:c r="A139" s="6" t="str">
        <x:v>LABX-0138</x:v>
      </x:c>
      <x:c r="B139" s="6" t="str">
        <x:v>SVC000138</x:v>
      </x:c>
      <x:c r="C139" s="6" t="str">
        <x:v>SIDX-0138</x:v>
      </x:c>
      <x:c r="D139" s="6" t="str">
        <x:f>IFERROR(XLOOKUP(C139,'Review Sequence'!C2:C1586,'Review Sequence'!J2:J1586),"Dependency not found")</x:f>
        <x:v>Not Started</x:v>
      </x:c>
      <x:c r="E139" s="6" t="str"/>
      <x:c r="F139" s="6" t="str"/>
      <x:c r="G139" s="6" t="str"/>
      <x:c r="H139" s="6" t="str"/>
      <x:c r="I139" s="6" t="str"/>
      <x:c r="J139" s="6" t="str"/>
      <x:c r="K139" s="6" t="str"/>
      <x:c r="L139" s="6" t="str">
        <x:v>Unresolved</x:v>
      </x:c>
      <x:c r="M139" s="7" t="str">
        <x:v>Nocturnix_Master_Services_Catalog_v1.xlsx | 01 - Master Services | row 178</x:v>
      </x:c>
      <x:c r="N139" s="6" t="str"/>
      <x:c r="O139" s="6" t="str"/>
      <x:c r="P139" s="6" t="str">
        <x:v>Pending</x:v>
      </x:c>
      <x:c r="Q139" s="7" t="str">
        <x:f>IF(OR(D139="Reviewer Complete",D139="Awaiting Second-Level Approval"),"","Service identity dependency unresolved")</x:f>
        <x:v>Service identity dependency unresolved</x:v>
      </x:c>
      <x:c r="R139" s="6" t="str">
        <x:v>Yes</x:v>
      </x:c>
      <x:c r="S139" s="7" t="str"/>
    </x:row>
    <x:row r="140">
      <x:c r="A140" s="6" t="str">
        <x:v>LABX-0139</x:v>
      </x:c>
      <x:c r="B140" s="6" t="str">
        <x:v>SVC000139</x:v>
      </x:c>
      <x:c r="C140" s="6" t="str">
        <x:v>SIDX-0139</x:v>
      </x:c>
      <x:c r="D140" s="6" t="str">
        <x:f>IFERROR(XLOOKUP(C140,'Review Sequence'!C2:C1586,'Review Sequence'!J2:J1586),"Dependency not found")</x:f>
        <x:v>Not Started</x:v>
      </x:c>
      <x:c r="E140" s="6" t="str"/>
      <x:c r="F140" s="6" t="str"/>
      <x:c r="G140" s="6" t="str"/>
      <x:c r="H140" s="6" t="str"/>
      <x:c r="I140" s="6" t="str"/>
      <x:c r="J140" s="6" t="str"/>
      <x:c r="K140" s="6" t="str"/>
      <x:c r="L140" s="6" t="str">
        <x:v>Unresolved</x:v>
      </x:c>
      <x:c r="M140" s="7" t="str">
        <x:v>Nocturnix_Master_Services_Catalog_v1.xlsx | 01 - Master Services | row 179</x:v>
      </x:c>
      <x:c r="N140" s="6" t="str"/>
      <x:c r="O140" s="6" t="str"/>
      <x:c r="P140" s="6" t="str">
        <x:v>Pending</x:v>
      </x:c>
      <x:c r="Q140" s="7" t="str">
        <x:f>IF(OR(D140="Reviewer Complete",D140="Awaiting Second-Level Approval"),"","Service identity dependency unresolved")</x:f>
        <x:v>Service identity dependency unresolved</x:v>
      </x:c>
      <x:c r="R140" s="6" t="str">
        <x:v>Yes</x:v>
      </x:c>
      <x:c r="S140" s="7" t="str"/>
    </x:row>
    <x:row r="141">
      <x:c r="A141" s="6" t="str">
        <x:v>LABX-0140</x:v>
      </x:c>
      <x:c r="B141" s="6" t="str">
        <x:v>SVC000140</x:v>
      </x:c>
      <x:c r="C141" s="6" t="str">
        <x:v>SIDX-0140</x:v>
      </x:c>
      <x:c r="D141" s="6" t="str">
        <x:f>IFERROR(XLOOKUP(C141,'Review Sequence'!C2:C1586,'Review Sequence'!J2:J1586),"Dependency not found")</x:f>
        <x:v>Not Started</x:v>
      </x:c>
      <x:c r="E141" s="6" t="str"/>
      <x:c r="F141" s="6" t="str"/>
      <x:c r="G141" s="6" t="str"/>
      <x:c r="H141" s="6" t="str"/>
      <x:c r="I141" s="6" t="str"/>
      <x:c r="J141" s="6" t="str"/>
      <x:c r="K141" s="6" t="str"/>
      <x:c r="L141" s="6" t="str">
        <x:v>Unresolved</x:v>
      </x:c>
      <x:c r="M141" s="7" t="str">
        <x:v>Nocturnix_Master_Services_Catalog_v1.xlsx | 01 - Master Services | row 180</x:v>
      </x:c>
      <x:c r="N141" s="6" t="str"/>
      <x:c r="O141" s="6" t="str"/>
      <x:c r="P141" s="6" t="str">
        <x:v>Pending</x:v>
      </x:c>
      <x:c r="Q141" s="7" t="str">
        <x:f>IF(OR(D141="Reviewer Complete",D141="Awaiting Second-Level Approval"),"","Service identity dependency unresolved")</x:f>
        <x:v>Service identity dependency unresolved</x:v>
      </x:c>
      <x:c r="R141" s="6" t="str">
        <x:v>Yes</x:v>
      </x:c>
      <x:c r="S141" s="7" t="str"/>
    </x:row>
    <x:row r="142">
      <x:c r="A142" s="6" t="str">
        <x:v>LABX-0141</x:v>
      </x:c>
      <x:c r="B142" s="6" t="str">
        <x:v>SVC000141</x:v>
      </x:c>
      <x:c r="C142" s="6" t="str">
        <x:v>SIDX-0141</x:v>
      </x:c>
      <x:c r="D142" s="6" t="str">
        <x:f>IFERROR(XLOOKUP(C142,'Review Sequence'!C2:C1586,'Review Sequence'!J2:J1586),"Dependency not found")</x:f>
        <x:v>Not Started</x:v>
      </x:c>
      <x:c r="E142" s="6" t="str"/>
      <x:c r="F142" s="6" t="str"/>
      <x:c r="G142" s="6" t="str"/>
      <x:c r="H142" s="6" t="str"/>
      <x:c r="I142" s="6" t="str"/>
      <x:c r="J142" s="6" t="str"/>
      <x:c r="K142" s="6" t="str"/>
      <x:c r="L142" s="6" t="str">
        <x:v>Unresolved</x:v>
      </x:c>
      <x:c r="M142" s="7" t="str">
        <x:v>Nocturnix_Master_Services_Catalog_v1.xlsx | 01 - Master Services | row 181</x:v>
      </x:c>
      <x:c r="N142" s="6" t="str"/>
      <x:c r="O142" s="6" t="str"/>
      <x:c r="P142" s="6" t="str">
        <x:v>Pending</x:v>
      </x:c>
      <x:c r="Q142" s="7" t="str">
        <x:f>IF(OR(D142="Reviewer Complete",D142="Awaiting Second-Level Approval"),"","Service identity dependency unresolved")</x:f>
        <x:v>Service identity dependency unresolved</x:v>
      </x:c>
      <x:c r="R142" s="6" t="str">
        <x:v>Yes</x:v>
      </x:c>
      <x:c r="S142" s="7" t="str"/>
    </x:row>
    <x:row r="143">
      <x:c r="A143" s="6" t="str">
        <x:v>LABX-0142</x:v>
      </x:c>
      <x:c r="B143" s="6" t="str">
        <x:v>SVC000142</x:v>
      </x:c>
      <x:c r="C143" s="6" t="str">
        <x:v>SIDX-0142</x:v>
      </x:c>
      <x:c r="D143" s="6" t="str">
        <x:f>IFERROR(XLOOKUP(C143,'Review Sequence'!C2:C1586,'Review Sequence'!J2:J1586),"Dependency not found")</x:f>
        <x:v>Not Started</x:v>
      </x:c>
      <x:c r="E143" s="6" t="str"/>
      <x:c r="F143" s="6" t="str"/>
      <x:c r="G143" s="6" t="str"/>
      <x:c r="H143" s="6" t="str"/>
      <x:c r="I143" s="6" t="str"/>
      <x:c r="J143" s="6" t="str"/>
      <x:c r="K143" s="6" t="str"/>
      <x:c r="L143" s="6" t="str">
        <x:v>Unresolved</x:v>
      </x:c>
      <x:c r="M143" s="7" t="str">
        <x:v>Nocturnix_Master_Services_Catalog_v1.xlsx | 01 - Master Services | row 182</x:v>
      </x:c>
      <x:c r="N143" s="6" t="str"/>
      <x:c r="O143" s="6" t="str"/>
      <x:c r="P143" s="6" t="str">
        <x:v>Pending</x:v>
      </x:c>
      <x:c r="Q143" s="7" t="str">
        <x:f>IF(OR(D143="Reviewer Complete",D143="Awaiting Second-Level Approval"),"","Service identity dependency unresolved")</x:f>
        <x:v>Service identity dependency unresolved</x:v>
      </x:c>
      <x:c r="R143" s="6" t="str">
        <x:v>Yes</x:v>
      </x:c>
      <x:c r="S143" s="7" t="str"/>
    </x:row>
    <x:row r="144">
      <x:c r="A144" s="6" t="str">
        <x:v>LABX-0143</x:v>
      </x:c>
      <x:c r="B144" s="6" t="str">
        <x:v>SVC000143</x:v>
      </x:c>
      <x:c r="C144" s="6" t="str">
        <x:v>SIDX-0143</x:v>
      </x:c>
      <x:c r="D144" s="6" t="str">
        <x:f>IFERROR(XLOOKUP(C144,'Review Sequence'!C2:C1586,'Review Sequence'!J2:J1586),"Dependency not found")</x:f>
        <x:v>Not Started</x:v>
      </x:c>
      <x:c r="E144" s="6" t="str"/>
      <x:c r="F144" s="6" t="str"/>
      <x:c r="G144" s="6" t="str"/>
      <x:c r="H144" s="6" t="str"/>
      <x:c r="I144" s="6" t="str"/>
      <x:c r="J144" s="6" t="str"/>
      <x:c r="K144" s="6" t="str"/>
      <x:c r="L144" s="6" t="str">
        <x:v>Unresolved</x:v>
      </x:c>
      <x:c r="M144" s="7" t="str">
        <x:v>Nocturnix_Master_Services_Catalog_v1.xlsx | 01 - Master Services | row 183</x:v>
      </x:c>
      <x:c r="N144" s="6" t="str"/>
      <x:c r="O144" s="6" t="str"/>
      <x:c r="P144" s="6" t="str">
        <x:v>Pending</x:v>
      </x:c>
      <x:c r="Q144" s="7" t="str">
        <x:f>IF(OR(D144="Reviewer Complete",D144="Awaiting Second-Level Approval"),"","Service identity dependency unresolved")</x:f>
        <x:v>Service identity dependency unresolved</x:v>
      </x:c>
      <x:c r="R144" s="6" t="str">
        <x:v>Yes</x:v>
      </x:c>
      <x:c r="S144" s="7" t="str"/>
    </x:row>
    <x:row r="145">
      <x:c r="A145" s="6" t="str">
        <x:v>LABX-0144</x:v>
      </x:c>
      <x:c r="B145" s="6" t="str">
        <x:v>SVC000144</x:v>
      </x:c>
      <x:c r="C145" s="6" t="str">
        <x:v>SIDX-0144</x:v>
      </x:c>
      <x:c r="D145" s="6" t="str">
        <x:f>IFERROR(XLOOKUP(C145,'Review Sequence'!C2:C1586,'Review Sequence'!J2:J1586),"Dependency not found")</x:f>
        <x:v>Not Started</x:v>
      </x:c>
      <x:c r="E145" s="6" t="str"/>
      <x:c r="F145" s="6" t="str"/>
      <x:c r="G145" s="6" t="str"/>
      <x:c r="H145" s="6" t="str"/>
      <x:c r="I145" s="6" t="str"/>
      <x:c r="J145" s="6" t="str"/>
      <x:c r="K145" s="6" t="str"/>
      <x:c r="L145" s="6" t="str">
        <x:v>Unresolved</x:v>
      </x:c>
      <x:c r="M145" s="7" t="str">
        <x:v>Nocturnix_Master_Services_Catalog_v1.xlsx | 01 - Master Services | row 184</x:v>
      </x:c>
      <x:c r="N145" s="6" t="str"/>
      <x:c r="O145" s="6" t="str"/>
      <x:c r="P145" s="6" t="str">
        <x:v>Pending</x:v>
      </x:c>
      <x:c r="Q145" s="7" t="str">
        <x:f>IF(OR(D145="Reviewer Complete",D145="Awaiting Second-Level Approval"),"","Service identity dependency unresolved")</x:f>
        <x:v>Service identity dependency unresolved</x:v>
      </x:c>
      <x:c r="R145" s="6" t="str">
        <x:v>Yes</x:v>
      </x:c>
      <x:c r="S145" s="7" t="str"/>
    </x:row>
    <x:row r="146">
      <x:c r="A146" s="6" t="str">
        <x:v>LABX-0145</x:v>
      </x:c>
      <x:c r="B146" s="6" t="str">
        <x:v>SVC000145</x:v>
      </x:c>
      <x:c r="C146" s="6" t="str">
        <x:v>SIDX-0145</x:v>
      </x:c>
      <x:c r="D146" s="6" t="str">
        <x:f>IFERROR(XLOOKUP(C146,'Review Sequence'!C2:C1586,'Review Sequence'!J2:J1586),"Dependency not found")</x:f>
        <x:v>Not Started</x:v>
      </x:c>
      <x:c r="E146" s="6" t="str"/>
      <x:c r="F146" s="6" t="str"/>
      <x:c r="G146" s="6" t="str"/>
      <x:c r="H146" s="6" t="str"/>
      <x:c r="I146" s="6" t="str"/>
      <x:c r="J146" s="6" t="str"/>
      <x:c r="K146" s="6" t="str"/>
      <x:c r="L146" s="6" t="str">
        <x:v>Unresolved</x:v>
      </x:c>
      <x:c r="M146" s="7" t="str">
        <x:v>Nocturnix_Master_Services_Catalog_v1.xlsx | 01 - Master Services | row 185</x:v>
      </x:c>
      <x:c r="N146" s="6" t="str"/>
      <x:c r="O146" s="6" t="str"/>
      <x:c r="P146" s="6" t="str">
        <x:v>Pending</x:v>
      </x:c>
      <x:c r="Q146" s="7" t="str">
        <x:f>IF(OR(D146="Reviewer Complete",D146="Awaiting Second-Level Approval"),"","Service identity dependency unresolved")</x:f>
        <x:v>Service identity dependency unresolved</x:v>
      </x:c>
      <x:c r="R146" s="6" t="str">
        <x:v>Yes</x:v>
      </x:c>
      <x:c r="S146" s="7" t="str"/>
    </x:row>
    <x:row r="147">
      <x:c r="A147" s="6" t="str">
        <x:v>LABX-0146</x:v>
      </x:c>
      <x:c r="B147" s="6" t="str">
        <x:v>SVC000146</x:v>
      </x:c>
      <x:c r="C147" s="6" t="str">
        <x:v>SIDX-0146</x:v>
      </x:c>
      <x:c r="D147" s="6" t="str">
        <x:f>IFERROR(XLOOKUP(C147,'Review Sequence'!C2:C1586,'Review Sequence'!J2:J1586),"Dependency not found")</x:f>
        <x:v>Not Started</x:v>
      </x:c>
      <x:c r="E147" s="6" t="str"/>
      <x:c r="F147" s="6" t="str"/>
      <x:c r="G147" s="6" t="str"/>
      <x:c r="H147" s="6" t="str"/>
      <x:c r="I147" s="6" t="str"/>
      <x:c r="J147" s="6" t="str"/>
      <x:c r="K147" s="6" t="str"/>
      <x:c r="L147" s="6" t="str">
        <x:v>Unresolved</x:v>
      </x:c>
      <x:c r="M147" s="7" t="str">
        <x:v>Nocturnix_Master_Services_Catalog_v1.xlsx | 01 - Master Services | row 186</x:v>
      </x:c>
      <x:c r="N147" s="6" t="str"/>
      <x:c r="O147" s="6" t="str"/>
      <x:c r="P147" s="6" t="str">
        <x:v>Pending</x:v>
      </x:c>
      <x:c r="Q147" s="7" t="str">
        <x:f>IF(OR(D147="Reviewer Complete",D147="Awaiting Second-Level Approval"),"","Service identity dependency unresolved")</x:f>
        <x:v>Service identity dependency unresolved</x:v>
      </x:c>
      <x:c r="R147" s="6" t="str">
        <x:v>Yes</x:v>
      </x:c>
      <x:c r="S147" s="7" t="str"/>
    </x:row>
    <x:row r="148">
      <x:c r="A148" s="6" t="str">
        <x:v>LABX-0147</x:v>
      </x:c>
      <x:c r="B148" s="6" t="str">
        <x:v>SVC000147</x:v>
      </x:c>
      <x:c r="C148" s="6" t="str">
        <x:v>SIDX-0147</x:v>
      </x:c>
      <x:c r="D148" s="6" t="str">
        <x:f>IFERROR(XLOOKUP(C148,'Review Sequence'!C2:C1586,'Review Sequence'!J2:J1586),"Dependency not found")</x:f>
        <x:v>Not Started</x:v>
      </x:c>
      <x:c r="E148" s="6" t="str"/>
      <x:c r="F148" s="6" t="str"/>
      <x:c r="G148" s="6" t="str"/>
      <x:c r="H148" s="6" t="str"/>
      <x:c r="I148" s="6" t="str"/>
      <x:c r="J148" s="6" t="str"/>
      <x:c r="K148" s="6" t="str"/>
      <x:c r="L148" s="6" t="str">
        <x:v>Unresolved</x:v>
      </x:c>
      <x:c r="M148" s="7" t="str">
        <x:v>Nocturnix_Master_Services_Catalog_v1.xlsx | 01 - Master Services | row 187</x:v>
      </x:c>
      <x:c r="N148" s="6" t="str"/>
      <x:c r="O148" s="6" t="str"/>
      <x:c r="P148" s="6" t="str">
        <x:v>Pending</x:v>
      </x:c>
      <x:c r="Q148" s="7" t="str">
        <x:f>IF(OR(D148="Reviewer Complete",D148="Awaiting Second-Level Approval"),"","Service identity dependency unresolved")</x:f>
        <x:v>Service identity dependency unresolved</x:v>
      </x:c>
      <x:c r="R148" s="6" t="str">
        <x:v>Yes</x:v>
      </x:c>
      <x:c r="S148" s="7" t="str"/>
    </x:row>
    <x:row r="149">
      <x:c r="A149" s="6" t="str">
        <x:v>LABX-0148</x:v>
      </x:c>
      <x:c r="B149" s="6" t="str">
        <x:v>SVC000148</x:v>
      </x:c>
      <x:c r="C149" s="6" t="str">
        <x:v>SIDX-0148</x:v>
      </x:c>
      <x:c r="D149" s="6" t="str">
        <x:f>IFERROR(XLOOKUP(C149,'Review Sequence'!C2:C1586,'Review Sequence'!J2:J1586),"Dependency not found")</x:f>
        <x:v>Not Started</x:v>
      </x:c>
      <x:c r="E149" s="6" t="str"/>
      <x:c r="F149" s="6" t="str"/>
      <x:c r="G149" s="6" t="str"/>
      <x:c r="H149" s="6" t="str"/>
      <x:c r="I149" s="6" t="str"/>
      <x:c r="J149" s="6" t="str"/>
      <x:c r="K149" s="6" t="str"/>
      <x:c r="L149" s="6" t="str">
        <x:v>Unresolved</x:v>
      </x:c>
      <x:c r="M149" s="7" t="str">
        <x:v>Nocturnix_Master_Services_Catalog_v1.xlsx | 01 - Master Services | row 188</x:v>
      </x:c>
      <x:c r="N149" s="6" t="str"/>
      <x:c r="O149" s="6" t="str"/>
      <x:c r="P149" s="6" t="str">
        <x:v>Pending</x:v>
      </x:c>
      <x:c r="Q149" s="7" t="str">
        <x:f>IF(OR(D149="Reviewer Complete",D149="Awaiting Second-Level Approval"),"","Service identity dependency unresolved")</x:f>
        <x:v>Service identity dependency unresolved</x:v>
      </x:c>
      <x:c r="R149" s="6" t="str">
        <x:v>Yes</x:v>
      </x:c>
      <x:c r="S149" s="7" t="str"/>
    </x:row>
    <x:row r="150">
      <x:c r="A150" s="6" t="str">
        <x:v>LABX-0149</x:v>
      </x:c>
      <x:c r="B150" s="6" t="str">
        <x:v>SVC000149</x:v>
      </x:c>
      <x:c r="C150" s="6" t="str">
        <x:v>SIDX-0149</x:v>
      </x:c>
      <x:c r="D150" s="6" t="str">
        <x:f>IFERROR(XLOOKUP(C150,'Review Sequence'!C2:C1586,'Review Sequence'!J2:J1586),"Dependency not found")</x:f>
        <x:v>Not Started</x:v>
      </x:c>
      <x:c r="E150" s="6" t="str"/>
      <x:c r="F150" s="6" t="str"/>
      <x:c r="G150" s="6" t="str"/>
      <x:c r="H150" s="6" t="str"/>
      <x:c r="I150" s="6" t="str"/>
      <x:c r="J150" s="6" t="str"/>
      <x:c r="K150" s="6" t="str"/>
      <x:c r="L150" s="6" t="str">
        <x:v>Unresolved</x:v>
      </x:c>
      <x:c r="M150" s="7" t="str">
        <x:v>Nocturnix_Master_Services_Catalog_v1.xlsx | 01 - Master Services | row 189</x:v>
      </x:c>
      <x:c r="N150" s="6" t="str"/>
      <x:c r="O150" s="6" t="str"/>
      <x:c r="P150" s="6" t="str">
        <x:v>Pending</x:v>
      </x:c>
      <x:c r="Q150" s="7" t="str">
        <x:f>IF(OR(D150="Reviewer Complete",D150="Awaiting Second-Level Approval"),"","Service identity dependency unresolved")</x:f>
        <x:v>Service identity dependency unresolved</x:v>
      </x:c>
      <x:c r="R150" s="6" t="str">
        <x:v>Yes</x:v>
      </x:c>
      <x:c r="S150" s="7" t="str"/>
    </x:row>
    <x:row r="151">
      <x:c r="A151" s="6" t="str">
        <x:v>LABX-0150</x:v>
      </x:c>
      <x:c r="B151" s="6" t="str">
        <x:v>SVC000150</x:v>
      </x:c>
      <x:c r="C151" s="6" t="str">
        <x:v>SIDX-0150</x:v>
      </x:c>
      <x:c r="D151" s="6" t="str">
        <x:f>IFERROR(XLOOKUP(C151,'Review Sequence'!C2:C1586,'Review Sequence'!J2:J1586),"Dependency not found")</x:f>
        <x:v>Not Started</x:v>
      </x:c>
      <x:c r="E151" s="6" t="str"/>
      <x:c r="F151" s="6" t="str"/>
      <x:c r="G151" s="6" t="str"/>
      <x:c r="H151" s="6" t="str"/>
      <x:c r="I151" s="6" t="str"/>
      <x:c r="J151" s="6" t="str"/>
      <x:c r="K151" s="6" t="str"/>
      <x:c r="L151" s="6" t="str">
        <x:v>Unresolved</x:v>
      </x:c>
      <x:c r="M151" s="7" t="str">
        <x:v>Nocturnix_Master_Services_Catalog_v1.xlsx | 01 - Master Services | row 190</x:v>
      </x:c>
      <x:c r="N151" s="6" t="str"/>
      <x:c r="O151" s="6" t="str"/>
      <x:c r="P151" s="6" t="str">
        <x:v>Pending</x:v>
      </x:c>
      <x:c r="Q151" s="7" t="str">
        <x:f>IF(OR(D151="Reviewer Complete",D151="Awaiting Second-Level Approval"),"","Service identity dependency unresolved")</x:f>
        <x:v>Service identity dependency unresolved</x:v>
      </x:c>
      <x:c r="R151" s="6" t="str">
        <x:v>Yes</x:v>
      </x:c>
      <x:c r="S151" s="7" t="str"/>
    </x:row>
    <x:row r="152">
      <x:c r="A152" s="6" t="str">
        <x:v>LABX-0151</x:v>
      </x:c>
      <x:c r="B152" s="6" t="str">
        <x:v>SVC000151</x:v>
      </x:c>
      <x:c r="C152" s="6" t="str">
        <x:v>SIDX-0151</x:v>
      </x:c>
      <x:c r="D152" s="6" t="str">
        <x:f>IFERROR(XLOOKUP(C152,'Review Sequence'!C2:C1586,'Review Sequence'!J2:J1586),"Dependency not found")</x:f>
        <x:v>Not Started</x:v>
      </x:c>
      <x:c r="E152" s="6" t="str"/>
      <x:c r="F152" s="6" t="str"/>
      <x:c r="G152" s="6" t="str"/>
      <x:c r="H152" s="6" t="str"/>
      <x:c r="I152" s="6" t="str"/>
      <x:c r="J152" s="6" t="str"/>
      <x:c r="K152" s="6" t="str"/>
      <x:c r="L152" s="6" t="str">
        <x:v>Unresolved</x:v>
      </x:c>
      <x:c r="M152" s="7" t="str">
        <x:v>Nocturnix_Master_Services_Catalog_v1.xlsx | 01 - Master Services | row 191</x:v>
      </x:c>
      <x:c r="N152" s="6" t="str"/>
      <x:c r="O152" s="6" t="str"/>
      <x:c r="P152" s="6" t="str">
        <x:v>Pending</x:v>
      </x:c>
      <x:c r="Q152" s="7" t="str">
        <x:f>IF(OR(D152="Reviewer Complete",D152="Awaiting Second-Level Approval"),"","Service identity dependency unresolved")</x:f>
        <x:v>Service identity dependency unresolved</x:v>
      </x:c>
      <x:c r="R152" s="6" t="str">
        <x:v>Yes</x:v>
      </x:c>
      <x:c r="S152" s="7" t="str"/>
    </x:row>
    <x:row r="153">
      <x:c r="A153" s="6" t="str">
        <x:v>LABX-0152</x:v>
      </x:c>
      <x:c r="B153" s="6" t="str">
        <x:v>SVC000152</x:v>
      </x:c>
      <x:c r="C153" s="6" t="str">
        <x:v>SIDX-0152</x:v>
      </x:c>
      <x:c r="D153" s="6" t="str">
        <x:f>IFERROR(XLOOKUP(C153,'Review Sequence'!C2:C1586,'Review Sequence'!J2:J1586),"Dependency not found")</x:f>
        <x:v>Not Started</x:v>
      </x:c>
      <x:c r="E153" s="6" t="str"/>
      <x:c r="F153" s="6" t="str"/>
      <x:c r="G153" s="6" t="str"/>
      <x:c r="H153" s="6" t="str"/>
      <x:c r="I153" s="6" t="str"/>
      <x:c r="J153" s="6" t="str"/>
      <x:c r="K153" s="6" t="str"/>
      <x:c r="L153" s="6" t="str">
        <x:v>Unresolved</x:v>
      </x:c>
      <x:c r="M153" s="7" t="str">
        <x:v>Nocturnix_Master_Services_Catalog_v1.xlsx | 01 - Master Services | row 192</x:v>
      </x:c>
      <x:c r="N153" s="6" t="str"/>
      <x:c r="O153" s="6" t="str"/>
      <x:c r="P153" s="6" t="str">
        <x:v>Pending</x:v>
      </x:c>
      <x:c r="Q153" s="7" t="str">
        <x:f>IF(OR(D153="Reviewer Complete",D153="Awaiting Second-Level Approval"),"","Service identity dependency unresolved")</x:f>
        <x:v>Service identity dependency unresolved</x:v>
      </x:c>
      <x:c r="R153" s="6" t="str">
        <x:v>Yes</x:v>
      </x:c>
      <x:c r="S153" s="7" t="str"/>
    </x:row>
    <x:row r="154">
      <x:c r="A154" s="6" t="str">
        <x:v>LABX-0153</x:v>
      </x:c>
      <x:c r="B154" s="6" t="str">
        <x:v>SVC000153</x:v>
      </x:c>
      <x:c r="C154" s="6" t="str">
        <x:v>SIDX-0153</x:v>
      </x:c>
      <x:c r="D154" s="6" t="str">
        <x:f>IFERROR(XLOOKUP(C154,'Review Sequence'!C2:C1586,'Review Sequence'!J2:J1586),"Dependency not found")</x:f>
        <x:v>Not Started</x:v>
      </x:c>
      <x:c r="E154" s="6" t="str"/>
      <x:c r="F154" s="6" t="str"/>
      <x:c r="G154" s="6" t="str"/>
      <x:c r="H154" s="6" t="str"/>
      <x:c r="I154" s="6" t="str"/>
      <x:c r="J154" s="6" t="str"/>
      <x:c r="K154" s="6" t="str"/>
      <x:c r="L154" s="6" t="str">
        <x:v>Unresolved</x:v>
      </x:c>
      <x:c r="M154" s="7" t="str">
        <x:v>Nocturnix_Master_Services_Catalog_v1.xlsx | 01 - Master Services | row 193</x:v>
      </x:c>
      <x:c r="N154" s="6" t="str"/>
      <x:c r="O154" s="6" t="str"/>
      <x:c r="P154" s="6" t="str">
        <x:v>Pending</x:v>
      </x:c>
      <x:c r="Q154" s="7" t="str">
        <x:f>IF(OR(D154="Reviewer Complete",D154="Awaiting Second-Level Approval"),"","Service identity dependency unresolved")</x:f>
        <x:v>Service identity dependency unresolved</x:v>
      </x:c>
      <x:c r="R154" s="6" t="str">
        <x:v>Yes</x:v>
      </x:c>
      <x:c r="S154" s="7" t="str"/>
    </x:row>
    <x:row r="155">
      <x:c r="A155" s="6" t="str">
        <x:v>LABX-0154</x:v>
      </x:c>
      <x:c r="B155" s="6" t="str">
        <x:v>SVC000154</x:v>
      </x:c>
      <x:c r="C155" s="6" t="str">
        <x:v>SIDX-0154</x:v>
      </x:c>
      <x:c r="D155" s="6" t="str">
        <x:f>IFERROR(XLOOKUP(C155,'Review Sequence'!C2:C1586,'Review Sequence'!J2:J1586),"Dependency not found")</x:f>
        <x:v>Not Started</x:v>
      </x:c>
      <x:c r="E155" s="6" t="str"/>
      <x:c r="F155" s="6" t="str"/>
      <x:c r="G155" s="6" t="str"/>
      <x:c r="H155" s="6" t="str"/>
      <x:c r="I155" s="6" t="str"/>
      <x:c r="J155" s="6" t="str"/>
      <x:c r="K155" s="6" t="str"/>
      <x:c r="L155" s="6" t="str">
        <x:v>Unresolved</x:v>
      </x:c>
      <x:c r="M155" s="7" t="str">
        <x:v>Nocturnix_Master_Services_Catalog_v1.xlsx | 01 - Master Services | row 194</x:v>
      </x:c>
      <x:c r="N155" s="6" t="str"/>
      <x:c r="O155" s="6" t="str"/>
      <x:c r="P155" s="6" t="str">
        <x:v>Pending</x:v>
      </x:c>
      <x:c r="Q155" s="7" t="str">
        <x:f>IF(OR(D155="Reviewer Complete",D155="Awaiting Second-Level Approval"),"","Service identity dependency unresolved")</x:f>
        <x:v>Service identity dependency unresolved</x:v>
      </x:c>
      <x:c r="R155" s="6" t="str">
        <x:v>Yes</x:v>
      </x:c>
      <x:c r="S155" s="7" t="str"/>
    </x:row>
    <x:row r="156">
      <x:c r="A156" s="6" t="str">
        <x:v>LABX-0155</x:v>
      </x:c>
      <x:c r="B156" s="6" t="str">
        <x:v>SVC000155</x:v>
      </x:c>
      <x:c r="C156" s="6" t="str">
        <x:v>SIDX-0155</x:v>
      </x:c>
      <x:c r="D156" s="6" t="str">
        <x:f>IFERROR(XLOOKUP(C156,'Review Sequence'!C2:C1586,'Review Sequence'!J2:J1586),"Dependency not found")</x:f>
        <x:v>Not Started</x:v>
      </x:c>
      <x:c r="E156" s="6" t="str"/>
      <x:c r="F156" s="6" t="str"/>
      <x:c r="G156" s="6" t="str"/>
      <x:c r="H156" s="6" t="str"/>
      <x:c r="I156" s="6" t="str"/>
      <x:c r="J156" s="6" t="str"/>
      <x:c r="K156" s="6" t="str"/>
      <x:c r="L156" s="6" t="str">
        <x:v>Unresolved</x:v>
      </x:c>
      <x:c r="M156" s="7" t="str">
        <x:v>Nocturnix_Master_Services_Catalog_v1.xlsx | 01 - Master Services | row 195</x:v>
      </x:c>
      <x:c r="N156" s="6" t="str"/>
      <x:c r="O156" s="6" t="str"/>
      <x:c r="P156" s="6" t="str">
        <x:v>Pending</x:v>
      </x:c>
      <x:c r="Q156" s="7" t="str">
        <x:f>IF(OR(D156="Reviewer Complete",D156="Awaiting Second-Level Approval"),"","Service identity dependency unresolved")</x:f>
        <x:v>Service identity dependency unresolved</x:v>
      </x:c>
      <x:c r="R156" s="6" t="str">
        <x:v>Yes</x:v>
      </x:c>
      <x:c r="S156" s="7" t="str"/>
    </x:row>
    <x:row r="157">
      <x:c r="A157" s="6" t="str">
        <x:v>LABX-0156</x:v>
      </x:c>
      <x:c r="B157" s="6" t="str">
        <x:v>SVC000156</x:v>
      </x:c>
      <x:c r="C157" s="6" t="str">
        <x:v>SIDX-0156</x:v>
      </x:c>
      <x:c r="D157" s="6" t="str">
        <x:f>IFERROR(XLOOKUP(C157,'Review Sequence'!C2:C1586,'Review Sequence'!J2:J1586),"Dependency not found")</x:f>
        <x:v>Not Started</x:v>
      </x:c>
      <x:c r="E157" s="6" t="str"/>
      <x:c r="F157" s="6" t="str"/>
      <x:c r="G157" s="6" t="str"/>
      <x:c r="H157" s="6" t="str"/>
      <x:c r="I157" s="6" t="str"/>
      <x:c r="J157" s="6" t="str"/>
      <x:c r="K157" s="6" t="str"/>
      <x:c r="L157" s="6" t="str">
        <x:v>Unresolved</x:v>
      </x:c>
      <x:c r="M157" s="7" t="str">
        <x:v>Nocturnix_Master_Services_Catalog_v1.xlsx | 01 - Master Services | row 196</x:v>
      </x:c>
      <x:c r="N157" s="6" t="str"/>
      <x:c r="O157" s="6" t="str"/>
      <x:c r="P157" s="6" t="str">
        <x:v>Pending</x:v>
      </x:c>
      <x:c r="Q157" s="7" t="str">
        <x:f>IF(OR(D157="Reviewer Complete",D157="Awaiting Second-Level Approval"),"","Service identity dependency unresolved")</x:f>
        <x:v>Service identity dependency unresolved</x:v>
      </x:c>
      <x:c r="R157" s="6" t="str">
        <x:v>Yes</x:v>
      </x:c>
      <x:c r="S157" s="7" t="str"/>
    </x:row>
    <x:row r="158">
      <x:c r="A158" s="6" t="str">
        <x:v>LABX-0157</x:v>
      </x:c>
      <x:c r="B158" s="6" t="str">
        <x:v>SVC000157</x:v>
      </x:c>
      <x:c r="C158" s="6" t="str">
        <x:v>SIDX-0157</x:v>
      </x:c>
      <x:c r="D158" s="6" t="str">
        <x:f>IFERROR(XLOOKUP(C158,'Review Sequence'!C2:C1586,'Review Sequence'!J2:J1586),"Dependency not found")</x:f>
        <x:v>Not Started</x:v>
      </x:c>
      <x:c r="E158" s="6" t="str"/>
      <x:c r="F158" s="6" t="str"/>
      <x:c r="G158" s="6" t="str"/>
      <x:c r="H158" s="6" t="str"/>
      <x:c r="I158" s="6" t="str"/>
      <x:c r="J158" s="6" t="str"/>
      <x:c r="K158" s="6" t="str"/>
      <x:c r="L158" s="6" t="str">
        <x:v>Unresolved</x:v>
      </x:c>
      <x:c r="M158" s="7" t="str">
        <x:v>Nocturnix_Master_Services_Catalog_v1.xlsx | 01 - Master Services | row 197</x:v>
      </x:c>
      <x:c r="N158" s="6" t="str"/>
      <x:c r="O158" s="6" t="str"/>
      <x:c r="P158" s="6" t="str">
        <x:v>Pending</x:v>
      </x:c>
      <x:c r="Q158" s="7" t="str">
        <x:f>IF(OR(D158="Reviewer Complete",D158="Awaiting Second-Level Approval"),"","Service identity dependency unresolved")</x:f>
        <x:v>Service identity dependency unresolved</x:v>
      </x:c>
      <x:c r="R158" s="6" t="str">
        <x:v>Yes</x:v>
      </x:c>
      <x:c r="S158" s="7" t="str"/>
    </x:row>
    <x:row r="159">
      <x:c r="A159" s="6" t="str">
        <x:v>LABX-0158</x:v>
      </x:c>
      <x:c r="B159" s="6" t="str">
        <x:v>SVC000158</x:v>
      </x:c>
      <x:c r="C159" s="6" t="str">
        <x:v>SIDX-0158</x:v>
      </x:c>
      <x:c r="D159" s="6" t="str">
        <x:f>IFERROR(XLOOKUP(C159,'Review Sequence'!C2:C1586,'Review Sequence'!J2:J1586),"Dependency not found")</x:f>
        <x:v>Not Started</x:v>
      </x:c>
      <x:c r="E159" s="6" t="str"/>
      <x:c r="F159" s="6" t="str"/>
      <x:c r="G159" s="6" t="str"/>
      <x:c r="H159" s="6" t="str"/>
      <x:c r="I159" s="6" t="str"/>
      <x:c r="J159" s="6" t="str"/>
      <x:c r="K159" s="6" t="str"/>
      <x:c r="L159" s="6" t="str">
        <x:v>Unresolved</x:v>
      </x:c>
      <x:c r="M159" s="7" t="str">
        <x:v>Nocturnix_Master_Services_Catalog_v1.xlsx | 01 - Master Services | row 198</x:v>
      </x:c>
      <x:c r="N159" s="6" t="str"/>
      <x:c r="O159" s="6" t="str"/>
      <x:c r="P159" s="6" t="str">
        <x:v>Pending</x:v>
      </x:c>
      <x:c r="Q159" s="7" t="str">
        <x:f>IF(OR(D159="Reviewer Complete",D159="Awaiting Second-Level Approval"),"","Service identity dependency unresolved")</x:f>
        <x:v>Service identity dependency unresolved</x:v>
      </x:c>
      <x:c r="R159" s="6" t="str">
        <x:v>Yes</x:v>
      </x:c>
      <x:c r="S159" s="7" t="str"/>
    </x:row>
    <x:row r="160">
      <x:c r="A160" s="6" t="str">
        <x:v>LABX-0159</x:v>
      </x:c>
      <x:c r="B160" s="6" t="str">
        <x:v>SVC000159</x:v>
      </x:c>
      <x:c r="C160" s="6" t="str">
        <x:v>SIDX-0159</x:v>
      </x:c>
      <x:c r="D160" s="6" t="str">
        <x:f>IFERROR(XLOOKUP(C160,'Review Sequence'!C2:C1586,'Review Sequence'!J2:J1586),"Dependency not found")</x:f>
        <x:v>Not Started</x:v>
      </x:c>
      <x:c r="E160" s="6" t="str"/>
      <x:c r="F160" s="6" t="str"/>
      <x:c r="G160" s="6" t="str"/>
      <x:c r="H160" s="6" t="str"/>
      <x:c r="I160" s="6" t="str"/>
      <x:c r="J160" s="6" t="str"/>
      <x:c r="K160" s="6" t="str"/>
      <x:c r="L160" s="6" t="str">
        <x:v>Unresolved</x:v>
      </x:c>
      <x:c r="M160" s="7" t="str">
        <x:v>Nocturnix_Master_Services_Catalog_v1.xlsx | 01 - Master Services | row 199</x:v>
      </x:c>
      <x:c r="N160" s="6" t="str"/>
      <x:c r="O160" s="6" t="str"/>
      <x:c r="P160" s="6" t="str">
        <x:v>Pending</x:v>
      </x:c>
      <x:c r="Q160" s="7" t="str">
        <x:f>IF(OR(D160="Reviewer Complete",D160="Awaiting Second-Level Approval"),"","Service identity dependency unresolved")</x:f>
        <x:v>Service identity dependency unresolved</x:v>
      </x:c>
      <x:c r="R160" s="6" t="str">
        <x:v>Yes</x:v>
      </x:c>
      <x:c r="S160" s="7" t="str"/>
    </x:row>
    <x:row r="161">
      <x:c r="A161" s="6" t="str">
        <x:v>LABX-0160</x:v>
      </x:c>
      <x:c r="B161" s="6" t="str">
        <x:v>SVC000160</x:v>
      </x:c>
      <x:c r="C161" s="6" t="str">
        <x:v>SIDX-0160</x:v>
      </x:c>
      <x:c r="D161" s="6" t="str">
        <x:f>IFERROR(XLOOKUP(C161,'Review Sequence'!C2:C1586,'Review Sequence'!J2:J1586),"Dependency not found")</x:f>
        <x:v>Not Started</x:v>
      </x:c>
      <x:c r="E161" s="6" t="str"/>
      <x:c r="F161" s="6" t="str"/>
      <x:c r="G161" s="6" t="str"/>
      <x:c r="H161" s="6" t="str"/>
      <x:c r="I161" s="6" t="str"/>
      <x:c r="J161" s="6" t="str"/>
      <x:c r="K161" s="6" t="str"/>
      <x:c r="L161" s="6" t="str">
        <x:v>Unresolved</x:v>
      </x:c>
      <x:c r="M161" s="7" t="str">
        <x:v>Nocturnix_Master_Services_Catalog_v1.xlsx | 01 - Master Services | row 200</x:v>
      </x:c>
      <x:c r="N161" s="6" t="str"/>
      <x:c r="O161" s="6" t="str"/>
      <x:c r="P161" s="6" t="str">
        <x:v>Pending</x:v>
      </x:c>
      <x:c r="Q161" s="7" t="str">
        <x:f>IF(OR(D161="Reviewer Complete",D161="Awaiting Second-Level Approval"),"","Service identity dependency unresolved")</x:f>
        <x:v>Service identity dependency unresolved</x:v>
      </x:c>
      <x:c r="R161" s="6" t="str">
        <x:v>Yes</x:v>
      </x:c>
      <x:c r="S161" s="7" t="str"/>
    </x:row>
    <x:row r="162">
      <x:c r="A162" s="6" t="str">
        <x:v>LABX-0161</x:v>
      </x:c>
      <x:c r="B162" s="6" t="str">
        <x:v>SVC000161</x:v>
      </x:c>
      <x:c r="C162" s="6" t="str">
        <x:v>SIDX-0161</x:v>
      </x:c>
      <x:c r="D162" s="6" t="str">
        <x:f>IFERROR(XLOOKUP(C162,'Review Sequence'!C2:C1586,'Review Sequence'!J2:J1586),"Dependency not found")</x:f>
        <x:v>Not Started</x:v>
      </x:c>
      <x:c r="E162" s="6" t="str"/>
      <x:c r="F162" s="6" t="str"/>
      <x:c r="G162" s="6" t="str"/>
      <x:c r="H162" s="6" t="str"/>
      <x:c r="I162" s="6" t="str"/>
      <x:c r="J162" s="6" t="str"/>
      <x:c r="K162" s="6" t="str"/>
      <x:c r="L162" s="6" t="str">
        <x:v>Unresolved</x:v>
      </x:c>
      <x:c r="M162" s="7" t="str">
        <x:v>Nocturnix_Master_Services_Catalog_v1.xlsx | 01 - Master Services | row 201</x:v>
      </x:c>
      <x:c r="N162" s="6" t="str"/>
      <x:c r="O162" s="6" t="str"/>
      <x:c r="P162" s="6" t="str">
        <x:v>Pending</x:v>
      </x:c>
      <x:c r="Q162" s="7" t="str">
        <x:f>IF(OR(D162="Reviewer Complete",D162="Awaiting Second-Level Approval"),"","Service identity dependency unresolved")</x:f>
        <x:v>Service identity dependency unresolved</x:v>
      </x:c>
      <x:c r="R162" s="6" t="str">
        <x:v>Yes</x:v>
      </x:c>
      <x:c r="S162" s="7" t="str"/>
    </x:row>
    <x:row r="163">
      <x:c r="A163" s="6" t="str">
        <x:v>LABX-0162</x:v>
      </x:c>
      <x:c r="B163" s="6" t="str">
        <x:v>SVC000162</x:v>
      </x:c>
      <x:c r="C163" s="6" t="str">
        <x:v>SIDX-0162</x:v>
      </x:c>
      <x:c r="D163" s="6" t="str">
        <x:f>IFERROR(XLOOKUP(C163,'Review Sequence'!C2:C1586,'Review Sequence'!J2:J1586),"Dependency not found")</x:f>
        <x:v>Not Started</x:v>
      </x:c>
      <x:c r="E163" s="6" t="str"/>
      <x:c r="F163" s="6" t="str"/>
      <x:c r="G163" s="6" t="str"/>
      <x:c r="H163" s="6" t="str"/>
      <x:c r="I163" s="6" t="str"/>
      <x:c r="J163" s="6" t="str"/>
      <x:c r="K163" s="6" t="str"/>
      <x:c r="L163" s="6" t="str">
        <x:v>Unresolved</x:v>
      </x:c>
      <x:c r="M163" s="7" t="str">
        <x:v>Nocturnix_Master_Services_Catalog_v1.xlsx | 01 - Master Services | row 202</x:v>
      </x:c>
      <x:c r="N163" s="6" t="str"/>
      <x:c r="O163" s="6" t="str"/>
      <x:c r="P163" s="6" t="str">
        <x:v>Pending</x:v>
      </x:c>
      <x:c r="Q163" s="7" t="str">
        <x:f>IF(OR(D163="Reviewer Complete",D163="Awaiting Second-Level Approval"),"","Service identity dependency unresolved")</x:f>
        <x:v>Service identity dependency unresolved</x:v>
      </x:c>
      <x:c r="R163" s="6" t="str">
        <x:v>Yes</x:v>
      </x:c>
      <x:c r="S163" s="7" t="str"/>
    </x:row>
    <x:row r="164">
      <x:c r="A164" s="6" t="str">
        <x:v>LABX-0163</x:v>
      </x:c>
      <x:c r="B164" s="6" t="str">
        <x:v>SVC000163</x:v>
      </x:c>
      <x:c r="C164" s="6" t="str">
        <x:v>SIDX-0163</x:v>
      </x:c>
      <x:c r="D164" s="6" t="str">
        <x:f>IFERROR(XLOOKUP(C164,'Review Sequence'!C2:C1586,'Review Sequence'!J2:J1586),"Dependency not found")</x:f>
        <x:v>Not Started</x:v>
      </x:c>
      <x:c r="E164" s="6" t="str"/>
      <x:c r="F164" s="6" t="str"/>
      <x:c r="G164" s="6" t="str"/>
      <x:c r="H164" s="6" t="str"/>
      <x:c r="I164" s="6" t="str"/>
      <x:c r="J164" s="6" t="str"/>
      <x:c r="K164" s="6" t="str"/>
      <x:c r="L164" s="6" t="str">
        <x:v>Unresolved</x:v>
      </x:c>
      <x:c r="M164" s="7" t="str">
        <x:v>Nocturnix_Master_Services_Catalog_v1.xlsx | 01 - Master Services | row 203</x:v>
      </x:c>
      <x:c r="N164" s="6" t="str"/>
      <x:c r="O164" s="6" t="str"/>
      <x:c r="P164" s="6" t="str">
        <x:v>Pending</x:v>
      </x:c>
      <x:c r="Q164" s="7" t="str">
        <x:f>IF(OR(D164="Reviewer Complete",D164="Awaiting Second-Level Approval"),"","Service identity dependency unresolved")</x:f>
        <x:v>Service identity dependency unresolved</x:v>
      </x:c>
      <x:c r="R164" s="6" t="str">
        <x:v>Yes</x:v>
      </x:c>
      <x:c r="S164" s="7" t="str"/>
    </x:row>
    <x:row r="165">
      <x:c r="A165" s="6" t="str">
        <x:v>LABX-0164</x:v>
      </x:c>
      <x:c r="B165" s="6" t="str">
        <x:v>SVC000164</x:v>
      </x:c>
      <x:c r="C165" s="6" t="str">
        <x:v>SIDX-0164</x:v>
      </x:c>
      <x:c r="D165" s="6" t="str">
        <x:f>IFERROR(XLOOKUP(C165,'Review Sequence'!C2:C1586,'Review Sequence'!J2:J1586),"Dependency not found")</x:f>
        <x:v>Not Started</x:v>
      </x:c>
      <x:c r="E165" s="6" t="str"/>
      <x:c r="F165" s="6" t="str"/>
      <x:c r="G165" s="6" t="str"/>
      <x:c r="H165" s="6" t="str"/>
      <x:c r="I165" s="6" t="str"/>
      <x:c r="J165" s="6" t="str"/>
      <x:c r="K165" s="6" t="str"/>
      <x:c r="L165" s="6" t="str">
        <x:v>Unresolved</x:v>
      </x:c>
      <x:c r="M165" s="7" t="str">
        <x:v>Nocturnix_Master_Services_Catalog_v1.xlsx | 01 - Master Services | row 204</x:v>
      </x:c>
      <x:c r="N165" s="6" t="str"/>
      <x:c r="O165" s="6" t="str"/>
      <x:c r="P165" s="6" t="str">
        <x:v>Pending</x:v>
      </x:c>
      <x:c r="Q165" s="7" t="str">
        <x:f>IF(OR(D165="Reviewer Complete",D165="Awaiting Second-Level Approval"),"","Service identity dependency unresolved")</x:f>
        <x:v>Service identity dependency unresolved</x:v>
      </x:c>
      <x:c r="R165" s="6" t="str">
        <x:v>Yes</x:v>
      </x:c>
      <x:c r="S165" s="7" t="str"/>
    </x:row>
    <x:row r="166">
      <x:c r="A166" s="6" t="str">
        <x:v>LABX-0165</x:v>
      </x:c>
      <x:c r="B166" s="6" t="str">
        <x:v>SVC000165</x:v>
      </x:c>
      <x:c r="C166" s="6" t="str">
        <x:v>SIDX-0165</x:v>
      </x:c>
      <x:c r="D166" s="6" t="str">
        <x:f>IFERROR(XLOOKUP(C166,'Review Sequence'!C2:C1586,'Review Sequence'!J2:J1586),"Dependency not found")</x:f>
        <x:v>Not Started</x:v>
      </x:c>
      <x:c r="E166" s="6" t="str"/>
      <x:c r="F166" s="6" t="str"/>
      <x:c r="G166" s="6" t="str"/>
      <x:c r="H166" s="6" t="str"/>
      <x:c r="I166" s="6" t="str"/>
      <x:c r="J166" s="6" t="str"/>
      <x:c r="K166" s="6" t="str"/>
      <x:c r="L166" s="6" t="str">
        <x:v>Unresolved</x:v>
      </x:c>
      <x:c r="M166" s="7" t="str">
        <x:v>Nocturnix_Master_Services_Catalog_v1.xlsx | 01 - Master Services | row 205</x:v>
      </x:c>
      <x:c r="N166" s="6" t="str"/>
      <x:c r="O166" s="6" t="str"/>
      <x:c r="P166" s="6" t="str">
        <x:v>Pending</x:v>
      </x:c>
      <x:c r="Q166" s="7" t="str">
        <x:f>IF(OR(D166="Reviewer Complete",D166="Awaiting Second-Level Approval"),"","Service identity dependency unresolved")</x:f>
        <x:v>Service identity dependency unresolved</x:v>
      </x:c>
      <x:c r="R166" s="6" t="str">
        <x:v>Yes</x:v>
      </x:c>
      <x:c r="S166" s="7" t="str"/>
    </x:row>
    <x:row r="167">
      <x:c r="A167" s="6" t="str">
        <x:v>LABX-0166</x:v>
      </x:c>
      <x:c r="B167" s="6" t="str">
        <x:v>SVC000166</x:v>
      </x:c>
      <x:c r="C167" s="6" t="str">
        <x:v>SIDX-0166</x:v>
      </x:c>
      <x:c r="D167" s="6" t="str">
        <x:f>IFERROR(XLOOKUP(C167,'Review Sequence'!C2:C1586,'Review Sequence'!J2:J1586),"Dependency not found")</x:f>
        <x:v>Not Started</x:v>
      </x:c>
      <x:c r="E167" s="6" t="str"/>
      <x:c r="F167" s="6" t="str"/>
      <x:c r="G167" s="6" t="str"/>
      <x:c r="H167" s="6" t="str"/>
      <x:c r="I167" s="6" t="str"/>
      <x:c r="J167" s="6" t="str"/>
      <x:c r="K167" s="6" t="str"/>
      <x:c r="L167" s="6" t="str">
        <x:v>Unresolved</x:v>
      </x:c>
      <x:c r="M167" s="7" t="str">
        <x:v>Nocturnix_Master_Services_Catalog_v1.xlsx | 01 - Master Services | row 206</x:v>
      </x:c>
      <x:c r="N167" s="6" t="str"/>
      <x:c r="O167" s="6" t="str"/>
      <x:c r="P167" s="6" t="str">
        <x:v>Pending</x:v>
      </x:c>
      <x:c r="Q167" s="7" t="str">
        <x:f>IF(OR(D167="Reviewer Complete",D167="Awaiting Second-Level Approval"),"","Service identity dependency unresolved")</x:f>
        <x:v>Service identity dependency unresolved</x:v>
      </x:c>
      <x:c r="R167" s="6" t="str">
        <x:v>Yes</x:v>
      </x:c>
      <x:c r="S167" s="7" t="str"/>
    </x:row>
    <x:row r="168">
      <x:c r="A168" s="6" t="str">
        <x:v>LABX-0167</x:v>
      </x:c>
      <x:c r="B168" s="6" t="str">
        <x:v>SVC000167</x:v>
      </x:c>
      <x:c r="C168" s="6" t="str">
        <x:v>SIDX-0167</x:v>
      </x:c>
      <x:c r="D168" s="6" t="str">
        <x:f>IFERROR(XLOOKUP(C168,'Review Sequence'!C2:C1586,'Review Sequence'!J2:J1586),"Dependency not found")</x:f>
        <x:v>Not Started</x:v>
      </x:c>
      <x:c r="E168" s="6" t="str"/>
      <x:c r="F168" s="6" t="str"/>
      <x:c r="G168" s="6" t="str"/>
      <x:c r="H168" s="6" t="str"/>
      <x:c r="I168" s="6" t="str"/>
      <x:c r="J168" s="6" t="str"/>
      <x:c r="K168" s="6" t="str"/>
      <x:c r="L168" s="6" t="str">
        <x:v>Unresolved</x:v>
      </x:c>
      <x:c r="M168" s="7" t="str">
        <x:v>Nocturnix_Master_Services_Catalog_v1.xlsx | 01 - Master Services | row 207</x:v>
      </x:c>
      <x:c r="N168" s="6" t="str"/>
      <x:c r="O168" s="6" t="str"/>
      <x:c r="P168" s="6" t="str">
        <x:v>Pending</x:v>
      </x:c>
      <x:c r="Q168" s="7" t="str">
        <x:f>IF(OR(D168="Reviewer Complete",D168="Awaiting Second-Level Approval"),"","Service identity dependency unresolved")</x:f>
        <x:v>Service identity dependency unresolved</x:v>
      </x:c>
      <x:c r="R168" s="6" t="str">
        <x:v>Yes</x:v>
      </x:c>
      <x:c r="S168" s="7" t="str"/>
    </x:row>
    <x:row r="169">
      <x:c r="A169" s="6" t="str">
        <x:v>LABX-0168</x:v>
      </x:c>
      <x:c r="B169" s="6" t="str">
        <x:v>SVC000168</x:v>
      </x:c>
      <x:c r="C169" s="6" t="str">
        <x:v>SIDX-0168</x:v>
      </x:c>
      <x:c r="D169" s="6" t="str">
        <x:f>IFERROR(XLOOKUP(C169,'Review Sequence'!C2:C1586,'Review Sequence'!J2:J1586),"Dependency not found")</x:f>
        <x:v>Not Started</x:v>
      </x:c>
      <x:c r="E169" s="6" t="str"/>
      <x:c r="F169" s="6" t="str"/>
      <x:c r="G169" s="6" t="str"/>
      <x:c r="H169" s="6" t="str"/>
      <x:c r="I169" s="6" t="str"/>
      <x:c r="J169" s="6" t="str"/>
      <x:c r="K169" s="6" t="str"/>
      <x:c r="L169" s="6" t="str">
        <x:v>Unresolved</x:v>
      </x:c>
      <x:c r="M169" s="7" t="str">
        <x:v>Nocturnix_Master_Services_Catalog_v1.xlsx | 01 - Master Services | row 208</x:v>
      </x:c>
      <x:c r="N169" s="6" t="str"/>
      <x:c r="O169" s="6" t="str"/>
      <x:c r="P169" s="6" t="str">
        <x:v>Pending</x:v>
      </x:c>
      <x:c r="Q169" s="7" t="str">
        <x:f>IF(OR(D169="Reviewer Complete",D169="Awaiting Second-Level Approval"),"","Service identity dependency unresolved")</x:f>
        <x:v>Service identity dependency unresolved</x:v>
      </x:c>
      <x:c r="R169" s="6" t="str">
        <x:v>Yes</x:v>
      </x:c>
      <x:c r="S169" s="7" t="str"/>
    </x:row>
    <x:row r="170">
      <x:c r="A170" s="6" t="str">
        <x:v>LABX-0169</x:v>
      </x:c>
      <x:c r="B170" s="6" t="str">
        <x:v>SVC000169</x:v>
      </x:c>
      <x:c r="C170" s="6" t="str">
        <x:v>SIDX-0169</x:v>
      </x:c>
      <x:c r="D170" s="6" t="str">
        <x:f>IFERROR(XLOOKUP(C170,'Review Sequence'!C2:C1586,'Review Sequence'!J2:J1586),"Dependency not found")</x:f>
        <x:v>Not Started</x:v>
      </x:c>
      <x:c r="E170" s="6" t="str"/>
      <x:c r="F170" s="6" t="str"/>
      <x:c r="G170" s="6" t="str"/>
      <x:c r="H170" s="6" t="str"/>
      <x:c r="I170" s="6" t="str"/>
      <x:c r="J170" s="6" t="str"/>
      <x:c r="K170" s="6" t="str"/>
      <x:c r="L170" s="6" t="str">
        <x:v>Unresolved</x:v>
      </x:c>
      <x:c r="M170" s="7" t="str">
        <x:v>Nocturnix_Master_Services_Catalog_v1.xlsx | 01 - Master Services | row 209</x:v>
      </x:c>
      <x:c r="N170" s="6" t="str"/>
      <x:c r="O170" s="6" t="str"/>
      <x:c r="P170" s="6" t="str">
        <x:v>Pending</x:v>
      </x:c>
      <x:c r="Q170" s="7" t="str">
        <x:f>IF(OR(D170="Reviewer Complete",D170="Awaiting Second-Level Approval"),"","Service identity dependency unresolved")</x:f>
        <x:v>Service identity dependency unresolved</x:v>
      </x:c>
      <x:c r="R170" s="6" t="str">
        <x:v>Yes</x:v>
      </x:c>
      <x:c r="S170" s="7" t="str"/>
    </x:row>
    <x:row r="171">
      <x:c r="A171" s="6" t="str">
        <x:v>LABX-0170</x:v>
      </x:c>
      <x:c r="B171" s="6" t="str">
        <x:v>SVC000170</x:v>
      </x:c>
      <x:c r="C171" s="6" t="str">
        <x:v>SIDX-0170</x:v>
      </x:c>
      <x:c r="D171" s="6" t="str">
        <x:f>IFERROR(XLOOKUP(C171,'Review Sequence'!C2:C1586,'Review Sequence'!J2:J1586),"Dependency not found")</x:f>
        <x:v>Not Started</x:v>
      </x:c>
      <x:c r="E171" s="6" t="str"/>
      <x:c r="F171" s="6" t="str"/>
      <x:c r="G171" s="6" t="str"/>
      <x:c r="H171" s="6" t="str"/>
      <x:c r="I171" s="6" t="str"/>
      <x:c r="J171" s="6" t="str"/>
      <x:c r="K171" s="6" t="str"/>
      <x:c r="L171" s="6" t="str">
        <x:v>Unresolved</x:v>
      </x:c>
      <x:c r="M171" s="7" t="str">
        <x:v>Nocturnix_Master_Services_Catalog_v1.xlsx | 01 - Master Services | row 210</x:v>
      </x:c>
      <x:c r="N171" s="6" t="str"/>
      <x:c r="O171" s="6" t="str"/>
      <x:c r="P171" s="6" t="str">
        <x:v>Pending</x:v>
      </x:c>
      <x:c r="Q171" s="7" t="str">
        <x:f>IF(OR(D171="Reviewer Complete",D171="Awaiting Second-Level Approval"),"","Service identity dependency unresolved")</x:f>
        <x:v>Service identity dependency unresolved</x:v>
      </x:c>
      <x:c r="R171" s="6" t="str">
        <x:v>Yes</x:v>
      </x:c>
      <x:c r="S171" s="7" t="str"/>
    </x:row>
    <x:row r="172">
      <x:c r="A172" s="6" t="str">
        <x:v>LABX-0171</x:v>
      </x:c>
      <x:c r="B172" s="6" t="str">
        <x:v>SVC000171</x:v>
      </x:c>
      <x:c r="C172" s="6" t="str">
        <x:v>SIDX-0171</x:v>
      </x:c>
      <x:c r="D172" s="6" t="str">
        <x:f>IFERROR(XLOOKUP(C172,'Review Sequence'!C2:C1586,'Review Sequence'!J2:J1586),"Dependency not found")</x:f>
        <x:v>Not Started</x:v>
      </x:c>
      <x:c r="E172" s="6" t="str"/>
      <x:c r="F172" s="6" t="str"/>
      <x:c r="G172" s="6" t="str"/>
      <x:c r="H172" s="6" t="str"/>
      <x:c r="I172" s="6" t="str"/>
      <x:c r="J172" s="6" t="str"/>
      <x:c r="K172" s="6" t="str"/>
      <x:c r="L172" s="6" t="str">
        <x:v>Unresolved</x:v>
      </x:c>
      <x:c r="M172" s="7" t="str">
        <x:v>Nocturnix_Master_Services_Catalog_v1.xlsx | 01 - Master Services | row 211</x:v>
      </x:c>
      <x:c r="N172" s="6" t="str"/>
      <x:c r="O172" s="6" t="str"/>
      <x:c r="P172" s="6" t="str">
        <x:v>Pending</x:v>
      </x:c>
      <x:c r="Q172" s="7" t="str">
        <x:f>IF(OR(D172="Reviewer Complete",D172="Awaiting Second-Level Approval"),"","Service identity dependency unresolved")</x:f>
        <x:v>Service identity dependency unresolved</x:v>
      </x:c>
      <x:c r="R172" s="6" t="str">
        <x:v>Yes</x:v>
      </x:c>
      <x:c r="S172" s="7" t="str"/>
    </x:row>
    <x:row r="173">
      <x:c r="A173" s="6" t="str">
        <x:v>LABX-0172</x:v>
      </x:c>
      <x:c r="B173" s="6" t="str">
        <x:v>SVC000172</x:v>
      </x:c>
      <x:c r="C173" s="6" t="str">
        <x:v>SIDX-0172</x:v>
      </x:c>
      <x:c r="D173" s="6" t="str">
        <x:f>IFERROR(XLOOKUP(C173,'Review Sequence'!C2:C1586,'Review Sequence'!J2:J1586),"Dependency not found")</x:f>
        <x:v>Not Started</x:v>
      </x:c>
      <x:c r="E173" s="6" t="str"/>
      <x:c r="F173" s="6" t="str"/>
      <x:c r="G173" s="6" t="str"/>
      <x:c r="H173" s="6" t="str"/>
      <x:c r="I173" s="6" t="str"/>
      <x:c r="J173" s="6" t="str"/>
      <x:c r="K173" s="6" t="str"/>
      <x:c r="L173" s="6" t="str">
        <x:v>Unresolved</x:v>
      </x:c>
      <x:c r="M173" s="7" t="str">
        <x:v>Nocturnix_Master_Services_Catalog_v1.xlsx | 01 - Master Services | row 212</x:v>
      </x:c>
      <x:c r="N173" s="6" t="str"/>
      <x:c r="O173" s="6" t="str"/>
      <x:c r="P173" s="6" t="str">
        <x:v>Pending</x:v>
      </x:c>
      <x:c r="Q173" s="7" t="str">
        <x:f>IF(OR(D173="Reviewer Complete",D173="Awaiting Second-Level Approval"),"","Service identity dependency unresolved")</x:f>
        <x:v>Service identity dependency unresolved</x:v>
      </x:c>
      <x:c r="R173" s="6" t="str">
        <x:v>Yes</x:v>
      </x:c>
      <x:c r="S173" s="7" t="str"/>
    </x:row>
    <x:row r="174">
      <x:c r="A174" s="6" t="str">
        <x:v>LABX-0173</x:v>
      </x:c>
      <x:c r="B174" s="6" t="str">
        <x:v>SVC000173</x:v>
      </x:c>
      <x:c r="C174" s="6" t="str">
        <x:v>SIDX-0173</x:v>
      </x:c>
      <x:c r="D174" s="6" t="str">
        <x:f>IFERROR(XLOOKUP(C174,'Review Sequence'!C2:C1586,'Review Sequence'!J2:J1586),"Dependency not found")</x:f>
        <x:v>Not Started</x:v>
      </x:c>
      <x:c r="E174" s="6" t="str"/>
      <x:c r="F174" s="6" t="str"/>
      <x:c r="G174" s="6" t="str"/>
      <x:c r="H174" s="6" t="str"/>
      <x:c r="I174" s="6" t="str"/>
      <x:c r="J174" s="6" t="str"/>
      <x:c r="K174" s="6" t="str"/>
      <x:c r="L174" s="6" t="str">
        <x:v>Unresolved</x:v>
      </x:c>
      <x:c r="M174" s="7" t="str">
        <x:v>Nocturnix_Master_Services_Catalog_v1.xlsx | 01 - Master Services | row 213</x:v>
      </x:c>
      <x:c r="N174" s="6" t="str"/>
      <x:c r="O174" s="6" t="str"/>
      <x:c r="P174" s="6" t="str">
        <x:v>Pending</x:v>
      </x:c>
      <x:c r="Q174" s="7" t="str">
        <x:f>IF(OR(D174="Reviewer Complete",D174="Awaiting Second-Level Approval"),"","Service identity dependency unresolved")</x:f>
        <x:v>Service identity dependency unresolved</x:v>
      </x:c>
      <x:c r="R174" s="6" t="str">
        <x:v>Yes</x:v>
      </x:c>
      <x:c r="S174" s="7" t="str"/>
    </x:row>
    <x:row r="175">
      <x:c r="A175" s="6" t="str">
        <x:v>LABX-0174</x:v>
      </x:c>
      <x:c r="B175" s="6" t="str">
        <x:v>SVC000174</x:v>
      </x:c>
      <x:c r="C175" s="6" t="str">
        <x:v>SIDX-0174</x:v>
      </x:c>
      <x:c r="D175" s="6" t="str">
        <x:f>IFERROR(XLOOKUP(C175,'Review Sequence'!C2:C1586,'Review Sequence'!J2:J1586),"Dependency not found")</x:f>
        <x:v>Not Started</x:v>
      </x:c>
      <x:c r="E175" s="6" t="str"/>
      <x:c r="F175" s="6" t="str"/>
      <x:c r="G175" s="6" t="str"/>
      <x:c r="H175" s="6" t="str"/>
      <x:c r="I175" s="6" t="str"/>
      <x:c r="J175" s="6" t="str"/>
      <x:c r="K175" s="6" t="str"/>
      <x:c r="L175" s="6" t="str">
        <x:v>Unresolved</x:v>
      </x:c>
      <x:c r="M175" s="7" t="str">
        <x:v>Nocturnix_Master_Services_Catalog_v1.xlsx | 01 - Master Services | row 214</x:v>
      </x:c>
      <x:c r="N175" s="6" t="str"/>
      <x:c r="O175" s="6" t="str"/>
      <x:c r="P175" s="6" t="str">
        <x:v>Pending</x:v>
      </x:c>
      <x:c r="Q175" s="7" t="str">
        <x:f>IF(OR(D175="Reviewer Complete",D175="Awaiting Second-Level Approval"),"","Service identity dependency unresolved")</x:f>
        <x:v>Service identity dependency unresolved</x:v>
      </x:c>
      <x:c r="R175" s="6" t="str">
        <x:v>Yes</x:v>
      </x:c>
      <x:c r="S175" s="7" t="str"/>
    </x:row>
    <x:row r="176">
      <x:c r="A176" s="6" t="str">
        <x:v>LABX-0175</x:v>
      </x:c>
      <x:c r="B176" s="6" t="str">
        <x:v>SVC000175</x:v>
      </x:c>
      <x:c r="C176" s="6" t="str">
        <x:v>SIDX-0175</x:v>
      </x:c>
      <x:c r="D176" s="6" t="str">
        <x:f>IFERROR(XLOOKUP(C176,'Review Sequence'!C2:C1586,'Review Sequence'!J2:J1586),"Dependency not found")</x:f>
        <x:v>Not Started</x:v>
      </x:c>
      <x:c r="E176" s="6" t="str"/>
      <x:c r="F176" s="6" t="str"/>
      <x:c r="G176" s="6" t="str"/>
      <x:c r="H176" s="6" t="str"/>
      <x:c r="I176" s="6" t="str"/>
      <x:c r="J176" s="6" t="str"/>
      <x:c r="K176" s="6" t="str"/>
      <x:c r="L176" s="6" t="str">
        <x:v>Unresolved</x:v>
      </x:c>
      <x:c r="M176" s="7" t="str">
        <x:v>Nocturnix_Master_Services_Catalog_v1.xlsx | 01 - Master Services | row 215</x:v>
      </x:c>
      <x:c r="N176" s="6" t="str"/>
      <x:c r="O176" s="6" t="str"/>
      <x:c r="P176" s="6" t="str">
        <x:v>Pending</x:v>
      </x:c>
      <x:c r="Q176" s="7" t="str">
        <x:f>IF(OR(D176="Reviewer Complete",D176="Awaiting Second-Level Approval"),"","Service identity dependency unresolved")</x:f>
        <x:v>Service identity dependency unresolved</x:v>
      </x:c>
      <x:c r="R176" s="6" t="str">
        <x:v>Yes</x:v>
      </x:c>
      <x:c r="S176" s="7" t="str"/>
    </x:row>
    <x:row r="177">
      <x:c r="A177" s="6" t="str">
        <x:v>LABX-0176</x:v>
      </x:c>
      <x:c r="B177" s="6" t="str">
        <x:v>SVC000176</x:v>
      </x:c>
      <x:c r="C177" s="6" t="str">
        <x:v>SIDX-0176</x:v>
      </x:c>
      <x:c r="D177" s="6" t="str">
        <x:f>IFERROR(XLOOKUP(C177,'Review Sequence'!C2:C1586,'Review Sequence'!J2:J1586),"Dependency not found")</x:f>
        <x:v>Not Started</x:v>
      </x:c>
      <x:c r="E177" s="6" t="str"/>
      <x:c r="F177" s="6" t="str"/>
      <x:c r="G177" s="6" t="str"/>
      <x:c r="H177" s="6" t="str"/>
      <x:c r="I177" s="6" t="str"/>
      <x:c r="J177" s="6" t="str"/>
      <x:c r="K177" s="6" t="str"/>
      <x:c r="L177" s="6" t="str">
        <x:v>Unresolved</x:v>
      </x:c>
      <x:c r="M177" s="7" t="str">
        <x:v>Nocturnix_Master_Services_Catalog_v1.xlsx | 01 - Master Services | row 216</x:v>
      </x:c>
      <x:c r="N177" s="6" t="str"/>
      <x:c r="O177" s="6" t="str"/>
      <x:c r="P177" s="6" t="str">
        <x:v>Pending</x:v>
      </x:c>
      <x:c r="Q177" s="7" t="str">
        <x:f>IF(OR(D177="Reviewer Complete",D177="Awaiting Second-Level Approval"),"","Service identity dependency unresolved")</x:f>
        <x:v>Service identity dependency unresolved</x:v>
      </x:c>
      <x:c r="R177" s="6" t="str">
        <x:v>Yes</x:v>
      </x:c>
      <x:c r="S177" s="7" t="str"/>
    </x:row>
    <x:row r="178">
      <x:c r="A178" s="6" t="str">
        <x:v>LABX-0177</x:v>
      </x:c>
      <x:c r="B178" s="6" t="str">
        <x:v>SVC000177</x:v>
      </x:c>
      <x:c r="C178" s="6" t="str">
        <x:v>SIDX-0177</x:v>
      </x:c>
      <x:c r="D178" s="6" t="str">
        <x:f>IFERROR(XLOOKUP(C178,'Review Sequence'!C2:C1586,'Review Sequence'!J2:J1586),"Dependency not found")</x:f>
        <x:v>Not Started</x:v>
      </x:c>
      <x:c r="E178" s="6" t="str"/>
      <x:c r="F178" s="6" t="str"/>
      <x:c r="G178" s="6" t="str"/>
      <x:c r="H178" s="6" t="str"/>
      <x:c r="I178" s="6" t="str"/>
      <x:c r="J178" s="6" t="str"/>
      <x:c r="K178" s="6" t="str"/>
      <x:c r="L178" s="6" t="str">
        <x:v>Unresolved</x:v>
      </x:c>
      <x:c r="M178" s="7" t="str">
        <x:v>Nocturnix_Master_Services_Catalog_v1.xlsx | 01 - Master Services | row 217</x:v>
      </x:c>
      <x:c r="N178" s="6" t="str"/>
      <x:c r="O178" s="6" t="str"/>
      <x:c r="P178" s="6" t="str">
        <x:v>Pending</x:v>
      </x:c>
      <x:c r="Q178" s="7" t="str">
        <x:f>IF(OR(D178="Reviewer Complete",D178="Awaiting Second-Level Approval"),"","Service identity dependency unresolved")</x:f>
        <x:v>Service identity dependency unresolved</x:v>
      </x:c>
      <x:c r="R178" s="6" t="str">
        <x:v>Yes</x:v>
      </x:c>
      <x:c r="S178" s="7" t="str"/>
    </x:row>
    <x:row r="179">
      <x:c r="A179" s="6" t="str">
        <x:v>LABX-0178</x:v>
      </x:c>
      <x:c r="B179" s="6" t="str">
        <x:v>SVC000178</x:v>
      </x:c>
      <x:c r="C179" s="6" t="str">
        <x:v>SIDX-0178</x:v>
      </x:c>
      <x:c r="D179" s="6" t="str">
        <x:f>IFERROR(XLOOKUP(C179,'Review Sequence'!C2:C1586,'Review Sequence'!J2:J1586),"Dependency not found")</x:f>
        <x:v>Not Started</x:v>
      </x:c>
      <x:c r="E179" s="6" t="str"/>
      <x:c r="F179" s="6" t="str"/>
      <x:c r="G179" s="6" t="str"/>
      <x:c r="H179" s="6" t="str"/>
      <x:c r="I179" s="6" t="str"/>
      <x:c r="J179" s="6" t="str"/>
      <x:c r="K179" s="6" t="str"/>
      <x:c r="L179" s="6" t="str">
        <x:v>Unresolved</x:v>
      </x:c>
      <x:c r="M179" s="7" t="str">
        <x:v>Nocturnix_Master_Services_Catalog_v1.xlsx | 01 - Master Services | row 218</x:v>
      </x:c>
      <x:c r="N179" s="6" t="str"/>
      <x:c r="O179" s="6" t="str"/>
      <x:c r="P179" s="6" t="str">
        <x:v>Pending</x:v>
      </x:c>
      <x:c r="Q179" s="7" t="str">
        <x:f>IF(OR(D179="Reviewer Complete",D179="Awaiting Second-Level Approval"),"","Service identity dependency unresolved")</x:f>
        <x:v>Service identity dependency unresolved</x:v>
      </x:c>
      <x:c r="R179" s="6" t="str">
        <x:v>Yes</x:v>
      </x:c>
      <x:c r="S179" s="7" t="str"/>
    </x:row>
    <x:row r="180">
      <x:c r="A180" s="6" t="str">
        <x:v>LABX-0179</x:v>
      </x:c>
      <x:c r="B180" s="6" t="str">
        <x:v>SVC000179</x:v>
      </x:c>
      <x:c r="C180" s="6" t="str">
        <x:v>SIDX-0179</x:v>
      </x:c>
      <x:c r="D180" s="6" t="str">
        <x:f>IFERROR(XLOOKUP(C180,'Review Sequence'!C2:C1586,'Review Sequence'!J2:J1586),"Dependency not found")</x:f>
        <x:v>Not Started</x:v>
      </x:c>
      <x:c r="E180" s="6" t="str"/>
      <x:c r="F180" s="6" t="str"/>
      <x:c r="G180" s="6" t="str"/>
      <x:c r="H180" s="6" t="str"/>
      <x:c r="I180" s="6" t="str"/>
      <x:c r="J180" s="6" t="str"/>
      <x:c r="K180" s="6" t="str"/>
      <x:c r="L180" s="6" t="str">
        <x:v>Unresolved</x:v>
      </x:c>
      <x:c r="M180" s="7" t="str">
        <x:v>Nocturnix_Master_Services_Catalog_v1.xlsx | 01 - Master Services | row 219</x:v>
      </x:c>
      <x:c r="N180" s="6" t="str"/>
      <x:c r="O180" s="6" t="str"/>
      <x:c r="P180" s="6" t="str">
        <x:v>Pending</x:v>
      </x:c>
      <x:c r="Q180" s="7" t="str">
        <x:f>IF(OR(D180="Reviewer Complete",D180="Awaiting Second-Level Approval"),"","Service identity dependency unresolved")</x:f>
        <x:v>Service identity dependency unresolved</x:v>
      </x:c>
      <x:c r="R180" s="6" t="str">
        <x:v>Yes</x:v>
      </x:c>
      <x:c r="S180" s="7" t="str"/>
    </x:row>
    <x:row r="181">
      <x:c r="A181" s="6" t="str">
        <x:v>LABX-0180</x:v>
      </x:c>
      <x:c r="B181" s="6" t="str">
        <x:v>SVC000180</x:v>
      </x:c>
      <x:c r="C181" s="6" t="str">
        <x:v>SIDX-0180</x:v>
      </x:c>
      <x:c r="D181" s="6" t="str">
        <x:f>IFERROR(XLOOKUP(C181,'Review Sequence'!C2:C1586,'Review Sequence'!J2:J1586),"Dependency not found")</x:f>
        <x:v>Not Started</x:v>
      </x:c>
      <x:c r="E181" s="6" t="str"/>
      <x:c r="F181" s="6" t="str"/>
      <x:c r="G181" s="6" t="str"/>
      <x:c r="H181" s="6" t="str"/>
      <x:c r="I181" s="6" t="str"/>
      <x:c r="J181" s="6" t="str"/>
      <x:c r="K181" s="6" t="str"/>
      <x:c r="L181" s="6" t="str">
        <x:v>Unresolved</x:v>
      </x:c>
      <x:c r="M181" s="7" t="str">
        <x:v>Nocturnix_Master_Services_Catalog_v1.xlsx | 01 - Master Services | row 220</x:v>
      </x:c>
      <x:c r="N181" s="6" t="str"/>
      <x:c r="O181" s="6" t="str"/>
      <x:c r="P181" s="6" t="str">
        <x:v>Pending</x:v>
      </x:c>
      <x:c r="Q181" s="7" t="str">
        <x:f>IF(OR(D181="Reviewer Complete",D181="Awaiting Second-Level Approval"),"","Service identity dependency unresolved")</x:f>
        <x:v>Service identity dependency unresolved</x:v>
      </x:c>
      <x:c r="R181" s="6" t="str">
        <x:v>Yes</x:v>
      </x:c>
      <x:c r="S181" s="7" t="str"/>
    </x:row>
    <x:row r="182">
      <x:c r="A182" s="6" t="str">
        <x:v>LABX-0181</x:v>
      </x:c>
      <x:c r="B182" s="6" t="str">
        <x:v>SVC000181</x:v>
      </x:c>
      <x:c r="C182" s="6" t="str">
        <x:v>SIDX-0181</x:v>
      </x:c>
      <x:c r="D182" s="6" t="str">
        <x:f>IFERROR(XLOOKUP(C182,'Review Sequence'!C2:C1586,'Review Sequence'!J2:J1586),"Dependency not found")</x:f>
        <x:v>Not Started</x:v>
      </x:c>
      <x:c r="E182" s="6" t="str"/>
      <x:c r="F182" s="6" t="str"/>
      <x:c r="G182" s="6" t="str"/>
      <x:c r="H182" s="6" t="str"/>
      <x:c r="I182" s="6" t="str"/>
      <x:c r="J182" s="6" t="str"/>
      <x:c r="K182" s="6" t="str"/>
      <x:c r="L182" s="6" t="str">
        <x:v>Unresolved</x:v>
      </x:c>
      <x:c r="M182" s="7" t="str">
        <x:v>Nocturnix_Master_Services_Catalog_v1.xlsx | 01 - Master Services | row 221</x:v>
      </x:c>
      <x:c r="N182" s="6" t="str"/>
      <x:c r="O182" s="6" t="str"/>
      <x:c r="P182" s="6" t="str">
        <x:v>Pending</x:v>
      </x:c>
      <x:c r="Q182" s="7" t="str">
        <x:f>IF(OR(D182="Reviewer Complete",D182="Awaiting Second-Level Approval"),"","Service identity dependency unresolved")</x:f>
        <x:v>Service identity dependency unresolved</x:v>
      </x:c>
      <x:c r="R182" s="6" t="str">
        <x:v>Yes</x:v>
      </x:c>
      <x:c r="S182" s="7" t="str"/>
    </x:row>
    <x:row r="183">
      <x:c r="A183" s="6" t="str">
        <x:v>LABX-0182</x:v>
      </x:c>
      <x:c r="B183" s="6" t="str">
        <x:v>SVC000182</x:v>
      </x:c>
      <x:c r="C183" s="6" t="str">
        <x:v>SIDX-0182</x:v>
      </x:c>
      <x:c r="D183" s="6" t="str">
        <x:f>IFERROR(XLOOKUP(C183,'Review Sequence'!C2:C1586,'Review Sequence'!J2:J1586),"Dependency not found")</x:f>
        <x:v>Not Started</x:v>
      </x:c>
      <x:c r="E183" s="6" t="str"/>
      <x:c r="F183" s="6" t="str"/>
      <x:c r="G183" s="6" t="str"/>
      <x:c r="H183" s="6" t="str"/>
      <x:c r="I183" s="6" t="str"/>
      <x:c r="J183" s="6" t="str"/>
      <x:c r="K183" s="6" t="str"/>
      <x:c r="L183" s="6" t="str">
        <x:v>Unresolved</x:v>
      </x:c>
      <x:c r="M183" s="7" t="str">
        <x:v>Nocturnix_Master_Services_Catalog_v1.xlsx | 01 - Master Services | row 222</x:v>
      </x:c>
      <x:c r="N183" s="6" t="str"/>
      <x:c r="O183" s="6" t="str"/>
      <x:c r="P183" s="6" t="str">
        <x:v>Pending</x:v>
      </x:c>
      <x:c r="Q183" s="7" t="str">
        <x:f>IF(OR(D183="Reviewer Complete",D183="Awaiting Second-Level Approval"),"","Service identity dependency unresolved")</x:f>
        <x:v>Service identity dependency unresolved</x:v>
      </x:c>
      <x:c r="R183" s="6" t="str">
        <x:v>Yes</x:v>
      </x:c>
      <x:c r="S183" s="7" t="str"/>
    </x:row>
    <x:row r="184">
      <x:c r="A184" s="6" t="str">
        <x:v>LABX-0183</x:v>
      </x:c>
      <x:c r="B184" s="6" t="str">
        <x:v>SVC000183</x:v>
      </x:c>
      <x:c r="C184" s="6" t="str">
        <x:v>SIDX-0183</x:v>
      </x:c>
      <x:c r="D184" s="6" t="str">
        <x:f>IFERROR(XLOOKUP(C184,'Review Sequence'!C2:C1586,'Review Sequence'!J2:J1586),"Dependency not found")</x:f>
        <x:v>Not Started</x:v>
      </x:c>
      <x:c r="E184" s="6" t="str"/>
      <x:c r="F184" s="6" t="str"/>
      <x:c r="G184" s="6" t="str"/>
      <x:c r="H184" s="6" t="str"/>
      <x:c r="I184" s="6" t="str"/>
      <x:c r="J184" s="6" t="str"/>
      <x:c r="K184" s="6" t="str"/>
      <x:c r="L184" s="6" t="str">
        <x:v>Unresolved</x:v>
      </x:c>
      <x:c r="M184" s="7" t="str">
        <x:v>Nocturnix_Master_Services_Catalog_v1.xlsx | 01 - Master Services | row 223</x:v>
      </x:c>
      <x:c r="N184" s="6" t="str"/>
      <x:c r="O184" s="6" t="str"/>
      <x:c r="P184" s="6" t="str">
        <x:v>Pending</x:v>
      </x:c>
      <x:c r="Q184" s="7" t="str">
        <x:f>IF(OR(D184="Reviewer Complete",D184="Awaiting Second-Level Approval"),"","Service identity dependency unresolved")</x:f>
        <x:v>Service identity dependency unresolved</x:v>
      </x:c>
      <x:c r="R184" s="6" t="str">
        <x:v>Yes</x:v>
      </x:c>
      <x:c r="S184" s="7" t="str"/>
    </x:row>
    <x:row r="185">
      <x:c r="A185" s="6" t="str">
        <x:v>LABX-0184</x:v>
      </x:c>
      <x:c r="B185" s="6" t="str">
        <x:v>SVC000184</x:v>
      </x:c>
      <x:c r="C185" s="6" t="str">
        <x:v>SIDX-0184</x:v>
      </x:c>
      <x:c r="D185" s="6" t="str">
        <x:f>IFERROR(XLOOKUP(C185,'Review Sequence'!C2:C1586,'Review Sequence'!J2:J1586),"Dependency not found")</x:f>
        <x:v>Not Started</x:v>
      </x:c>
      <x:c r="E185" s="6" t="str"/>
      <x:c r="F185" s="6" t="str"/>
      <x:c r="G185" s="6" t="str"/>
      <x:c r="H185" s="6" t="str"/>
      <x:c r="I185" s="6" t="str"/>
      <x:c r="J185" s="6" t="str"/>
      <x:c r="K185" s="6" t="str"/>
      <x:c r="L185" s="6" t="str">
        <x:v>Unresolved</x:v>
      </x:c>
      <x:c r="M185" s="7" t="str">
        <x:v>Nocturnix_Master_Services_Catalog_v1.xlsx | 01 - Master Services | row 224</x:v>
      </x:c>
      <x:c r="N185" s="6" t="str"/>
      <x:c r="O185" s="6" t="str"/>
      <x:c r="P185" s="6" t="str">
        <x:v>Pending</x:v>
      </x:c>
      <x:c r="Q185" s="7" t="str">
        <x:f>IF(OR(D185="Reviewer Complete",D185="Awaiting Second-Level Approval"),"","Service identity dependency unresolved")</x:f>
        <x:v>Service identity dependency unresolved</x:v>
      </x:c>
      <x:c r="R185" s="6" t="str">
        <x:v>Yes</x:v>
      </x:c>
      <x:c r="S185" s="7" t="str"/>
    </x:row>
    <x:row r="186">
      <x:c r="A186" s="6" t="str">
        <x:v>LABX-0185</x:v>
      </x:c>
      <x:c r="B186" s="6" t="str">
        <x:v>SVC000185</x:v>
      </x:c>
      <x:c r="C186" s="6" t="str">
        <x:v>SIDX-0185</x:v>
      </x:c>
      <x:c r="D186" s="6" t="str">
        <x:f>IFERROR(XLOOKUP(C186,'Review Sequence'!C2:C1586,'Review Sequence'!J2:J1586),"Dependency not found")</x:f>
        <x:v>Not Started</x:v>
      </x:c>
      <x:c r="E186" s="6" t="str"/>
      <x:c r="F186" s="6" t="str"/>
      <x:c r="G186" s="6" t="str"/>
      <x:c r="H186" s="6" t="str"/>
      <x:c r="I186" s="6" t="str"/>
      <x:c r="J186" s="6" t="str"/>
      <x:c r="K186" s="6" t="str"/>
      <x:c r="L186" s="6" t="str">
        <x:v>Unresolved</x:v>
      </x:c>
      <x:c r="M186" s="7" t="str">
        <x:v>Nocturnix_Master_Services_Catalog_v1.xlsx | 01 - Master Services | row 225</x:v>
      </x:c>
      <x:c r="N186" s="6" t="str"/>
      <x:c r="O186" s="6" t="str"/>
      <x:c r="P186" s="6" t="str">
        <x:v>Pending</x:v>
      </x:c>
      <x:c r="Q186" s="7" t="str">
        <x:f>IF(OR(D186="Reviewer Complete",D186="Awaiting Second-Level Approval"),"","Service identity dependency unresolved")</x:f>
        <x:v>Service identity dependency unresolved</x:v>
      </x:c>
      <x:c r="R186" s="6" t="str">
        <x:v>Yes</x:v>
      </x:c>
      <x:c r="S186" s="7" t="str"/>
    </x:row>
    <x:row r="187">
      <x:c r="A187" s="6" t="str">
        <x:v>LABX-0186</x:v>
      </x:c>
      <x:c r="B187" s="6" t="str">
        <x:v>SVC000186</x:v>
      </x:c>
      <x:c r="C187" s="6" t="str">
        <x:v>SIDX-0186</x:v>
      </x:c>
      <x:c r="D187" s="6" t="str">
        <x:f>IFERROR(XLOOKUP(C187,'Review Sequence'!C2:C1586,'Review Sequence'!J2:J1586),"Dependency not found")</x:f>
        <x:v>Not Started</x:v>
      </x:c>
      <x:c r="E187" s="6" t="str"/>
      <x:c r="F187" s="6" t="str"/>
      <x:c r="G187" s="6" t="str"/>
      <x:c r="H187" s="6" t="str"/>
      <x:c r="I187" s="6" t="str"/>
      <x:c r="J187" s="6" t="str"/>
      <x:c r="K187" s="6" t="str"/>
      <x:c r="L187" s="6" t="str">
        <x:v>Unresolved</x:v>
      </x:c>
      <x:c r="M187" s="7" t="str">
        <x:v>Nocturnix_Master_Services_Catalog_v1.xlsx | 01 - Master Services | row 226</x:v>
      </x:c>
      <x:c r="N187" s="6" t="str"/>
      <x:c r="O187" s="6" t="str"/>
      <x:c r="P187" s="6" t="str">
        <x:v>Pending</x:v>
      </x:c>
      <x:c r="Q187" s="7" t="str">
        <x:f>IF(OR(D187="Reviewer Complete",D187="Awaiting Second-Level Approval"),"","Service identity dependency unresolved")</x:f>
        <x:v>Service identity dependency unresolved</x:v>
      </x:c>
      <x:c r="R187" s="6" t="str">
        <x:v>Yes</x:v>
      </x:c>
      <x:c r="S187" s="7" t="str"/>
    </x:row>
    <x:row r="188">
      <x:c r="A188" s="6" t="str">
        <x:v>LABX-0187</x:v>
      </x:c>
      <x:c r="B188" s="6" t="str">
        <x:v>SVC000187</x:v>
      </x:c>
      <x:c r="C188" s="6" t="str">
        <x:v>SIDX-0187</x:v>
      </x:c>
      <x:c r="D188" s="6" t="str">
        <x:f>IFERROR(XLOOKUP(C188,'Review Sequence'!C2:C1586,'Review Sequence'!J2:J1586),"Dependency not found")</x:f>
        <x:v>Not Started</x:v>
      </x:c>
      <x:c r="E188" s="6" t="str"/>
      <x:c r="F188" s="6" t="str"/>
      <x:c r="G188" s="6" t="str"/>
      <x:c r="H188" s="6" t="str"/>
      <x:c r="I188" s="6" t="str"/>
      <x:c r="J188" s="6" t="str"/>
      <x:c r="K188" s="6" t="str"/>
      <x:c r="L188" s="6" t="str">
        <x:v>Unresolved</x:v>
      </x:c>
      <x:c r="M188" s="7" t="str">
        <x:v>Nocturnix_Master_Services_Catalog_v1.xlsx | 01 - Master Services | row 227</x:v>
      </x:c>
      <x:c r="N188" s="6" t="str"/>
      <x:c r="O188" s="6" t="str"/>
      <x:c r="P188" s="6" t="str">
        <x:v>Pending</x:v>
      </x:c>
      <x:c r="Q188" s="7" t="str">
        <x:f>IF(OR(D188="Reviewer Complete",D188="Awaiting Second-Level Approval"),"","Service identity dependency unresolved")</x:f>
        <x:v>Service identity dependency unresolved</x:v>
      </x:c>
      <x:c r="R188" s="6" t="str">
        <x:v>Yes</x:v>
      </x:c>
      <x:c r="S188" s="7" t="str"/>
    </x:row>
    <x:row r="189">
      <x:c r="A189" s="6" t="str">
        <x:v>LABX-0188</x:v>
      </x:c>
      <x:c r="B189" s="6" t="str">
        <x:v>SVC000188</x:v>
      </x:c>
      <x:c r="C189" s="6" t="str">
        <x:v>SIDX-0188</x:v>
      </x:c>
      <x:c r="D189" s="6" t="str">
        <x:f>IFERROR(XLOOKUP(C189,'Review Sequence'!C2:C1586,'Review Sequence'!J2:J1586),"Dependency not found")</x:f>
        <x:v>Not Started</x:v>
      </x:c>
      <x:c r="E189" s="6" t="str"/>
      <x:c r="F189" s="6" t="str"/>
      <x:c r="G189" s="6" t="str"/>
      <x:c r="H189" s="6" t="str"/>
      <x:c r="I189" s="6" t="str"/>
      <x:c r="J189" s="6" t="str"/>
      <x:c r="K189" s="6" t="str"/>
      <x:c r="L189" s="6" t="str">
        <x:v>Unresolved</x:v>
      </x:c>
      <x:c r="M189" s="7" t="str">
        <x:v>Nocturnix_Master_Services_Catalog_v1.xlsx | 01 - Master Services | row 228</x:v>
      </x:c>
      <x:c r="N189" s="6" t="str"/>
      <x:c r="O189" s="6" t="str"/>
      <x:c r="P189" s="6" t="str">
        <x:v>Pending</x:v>
      </x:c>
      <x:c r="Q189" s="7" t="str">
        <x:f>IF(OR(D189="Reviewer Complete",D189="Awaiting Second-Level Approval"),"","Service identity dependency unresolved")</x:f>
        <x:v>Service identity dependency unresolved</x:v>
      </x:c>
      <x:c r="R189" s="6" t="str">
        <x:v>Yes</x:v>
      </x:c>
      <x:c r="S189" s="7" t="str"/>
    </x:row>
    <x:row r="190">
      <x:c r="A190" s="6" t="str">
        <x:v>LABX-0189</x:v>
      </x:c>
      <x:c r="B190" s="6" t="str">
        <x:v>SVC000189</x:v>
      </x:c>
      <x:c r="C190" s="6" t="str">
        <x:v>SIDX-0189</x:v>
      </x:c>
      <x:c r="D190" s="6" t="str">
        <x:f>IFERROR(XLOOKUP(C190,'Review Sequence'!C2:C1586,'Review Sequence'!J2:J1586),"Dependency not found")</x:f>
        <x:v>Not Started</x:v>
      </x:c>
      <x:c r="E190" s="6" t="str"/>
      <x:c r="F190" s="6" t="str"/>
      <x:c r="G190" s="6" t="str"/>
      <x:c r="H190" s="6" t="str"/>
      <x:c r="I190" s="6" t="str"/>
      <x:c r="J190" s="6" t="str"/>
      <x:c r="K190" s="6" t="str"/>
      <x:c r="L190" s="6" t="str">
        <x:v>Unresolved</x:v>
      </x:c>
      <x:c r="M190" s="7" t="str">
        <x:v>Nocturnix_Master_Services_Catalog_v1.xlsx | 01 - Master Services | row 229</x:v>
      </x:c>
      <x:c r="N190" s="6" t="str"/>
      <x:c r="O190" s="6" t="str"/>
      <x:c r="P190" s="6" t="str">
        <x:v>Pending</x:v>
      </x:c>
      <x:c r="Q190" s="7" t="str">
        <x:f>IF(OR(D190="Reviewer Complete",D190="Awaiting Second-Level Approval"),"","Service identity dependency unresolved")</x:f>
        <x:v>Service identity dependency unresolved</x:v>
      </x:c>
      <x:c r="R190" s="6" t="str">
        <x:v>Yes</x:v>
      </x:c>
      <x:c r="S190" s="7" t="str"/>
    </x:row>
    <x:row r="191">
      <x:c r="A191" s="6" t="str">
        <x:v>LABX-0190</x:v>
      </x:c>
      <x:c r="B191" s="6" t="str">
        <x:v>SVC000190</x:v>
      </x:c>
      <x:c r="C191" s="6" t="str">
        <x:v>SIDX-0190</x:v>
      </x:c>
      <x:c r="D191" s="6" t="str">
        <x:f>IFERROR(XLOOKUP(C191,'Review Sequence'!C2:C1586,'Review Sequence'!J2:J1586),"Dependency not found")</x:f>
        <x:v>Not Started</x:v>
      </x:c>
      <x:c r="E191" s="6" t="str"/>
      <x:c r="F191" s="6" t="str"/>
      <x:c r="G191" s="6" t="str"/>
      <x:c r="H191" s="6" t="str"/>
      <x:c r="I191" s="6" t="str"/>
      <x:c r="J191" s="6" t="str"/>
      <x:c r="K191" s="6" t="str"/>
      <x:c r="L191" s="6" t="str">
        <x:v>Unresolved</x:v>
      </x:c>
      <x:c r="M191" s="7" t="str">
        <x:v>Nocturnix_Master_Services_Catalog_v1.xlsx | 01 - Master Services | row 230</x:v>
      </x:c>
      <x:c r="N191" s="6" t="str"/>
      <x:c r="O191" s="6" t="str"/>
      <x:c r="P191" s="6" t="str">
        <x:v>Pending</x:v>
      </x:c>
      <x:c r="Q191" s="7" t="str">
        <x:f>IF(OR(D191="Reviewer Complete",D191="Awaiting Second-Level Approval"),"","Service identity dependency unresolved")</x:f>
        <x:v>Service identity dependency unresolved</x:v>
      </x:c>
      <x:c r="R191" s="6" t="str">
        <x:v>Yes</x:v>
      </x:c>
      <x:c r="S191" s="7" t="str"/>
    </x:row>
    <x:row r="192">
      <x:c r="A192" s="6" t="str">
        <x:v>LABX-0191</x:v>
      </x:c>
      <x:c r="B192" s="6" t="str">
        <x:v>SVC000191</x:v>
      </x:c>
      <x:c r="C192" s="6" t="str">
        <x:v>SIDX-0191</x:v>
      </x:c>
      <x:c r="D192" s="6" t="str">
        <x:f>IFERROR(XLOOKUP(C192,'Review Sequence'!C2:C1586,'Review Sequence'!J2:J1586),"Dependency not found")</x:f>
        <x:v>Not Started</x:v>
      </x:c>
      <x:c r="E192" s="6" t="str"/>
      <x:c r="F192" s="6" t="str"/>
      <x:c r="G192" s="6" t="str"/>
      <x:c r="H192" s="6" t="str"/>
      <x:c r="I192" s="6" t="str"/>
      <x:c r="J192" s="6" t="str"/>
      <x:c r="K192" s="6" t="str"/>
      <x:c r="L192" s="6" t="str">
        <x:v>Unresolved</x:v>
      </x:c>
      <x:c r="M192" s="7" t="str">
        <x:v>Nocturnix_Master_Services_Catalog_v1.xlsx | 01 - Master Services | row 231</x:v>
      </x:c>
      <x:c r="N192" s="6" t="str"/>
      <x:c r="O192" s="6" t="str"/>
      <x:c r="P192" s="6" t="str">
        <x:v>Pending</x:v>
      </x:c>
      <x:c r="Q192" s="7" t="str">
        <x:f>IF(OR(D192="Reviewer Complete",D192="Awaiting Second-Level Approval"),"","Service identity dependency unresolved")</x:f>
        <x:v>Service identity dependency unresolved</x:v>
      </x:c>
      <x:c r="R192" s="6" t="str">
        <x:v>Yes</x:v>
      </x:c>
      <x:c r="S192" s="7" t="str"/>
    </x:row>
    <x:row r="193">
      <x:c r="A193" s="6" t="str">
        <x:v>LABX-0192</x:v>
      </x:c>
      <x:c r="B193" s="6" t="str">
        <x:v>SVC000192</x:v>
      </x:c>
      <x:c r="C193" s="6" t="str">
        <x:v>SIDX-0192</x:v>
      </x:c>
      <x:c r="D193" s="6" t="str">
        <x:f>IFERROR(XLOOKUP(C193,'Review Sequence'!C2:C1586,'Review Sequence'!J2:J1586),"Dependency not found")</x:f>
        <x:v>Not Started</x:v>
      </x:c>
      <x:c r="E193" s="6" t="str"/>
      <x:c r="F193" s="6" t="str"/>
      <x:c r="G193" s="6" t="str"/>
      <x:c r="H193" s="6" t="str"/>
      <x:c r="I193" s="6" t="str"/>
      <x:c r="J193" s="6" t="str"/>
      <x:c r="K193" s="6" t="str"/>
      <x:c r="L193" s="6" t="str">
        <x:v>Unresolved</x:v>
      </x:c>
      <x:c r="M193" s="7" t="str">
        <x:v>Nocturnix_Master_Services_Catalog_v1.xlsx | 01 - Master Services | row 232</x:v>
      </x:c>
      <x:c r="N193" s="6" t="str"/>
      <x:c r="O193" s="6" t="str"/>
      <x:c r="P193" s="6" t="str">
        <x:v>Pending</x:v>
      </x:c>
      <x:c r="Q193" s="7" t="str">
        <x:f>IF(OR(D193="Reviewer Complete",D193="Awaiting Second-Level Approval"),"","Service identity dependency unresolved")</x:f>
        <x:v>Service identity dependency unresolved</x:v>
      </x:c>
      <x:c r="R193" s="6" t="str">
        <x:v>Yes</x:v>
      </x:c>
      <x:c r="S193" s="7" t="str"/>
    </x:row>
    <x:row r="194">
      <x:c r="A194" s="6" t="str">
        <x:v>LABX-0193</x:v>
      </x:c>
      <x:c r="B194" s="6" t="str">
        <x:v>SVC000193</x:v>
      </x:c>
      <x:c r="C194" s="6" t="str">
        <x:v>SIDX-0193</x:v>
      </x:c>
      <x:c r="D194" s="6" t="str">
        <x:f>IFERROR(XLOOKUP(C194,'Review Sequence'!C2:C1586,'Review Sequence'!J2:J1586),"Dependency not found")</x:f>
        <x:v>Not Started</x:v>
      </x:c>
      <x:c r="E194" s="6" t="str"/>
      <x:c r="F194" s="6" t="str"/>
      <x:c r="G194" s="6" t="str"/>
      <x:c r="H194" s="6" t="str"/>
      <x:c r="I194" s="6" t="str"/>
      <x:c r="J194" s="6" t="str"/>
      <x:c r="K194" s="6" t="str"/>
      <x:c r="L194" s="6" t="str">
        <x:v>Unresolved</x:v>
      </x:c>
      <x:c r="M194" s="7" t="str">
        <x:v>Nocturnix_Master_Services_Catalog_v1.xlsx | 01 - Master Services | row 233</x:v>
      </x:c>
      <x:c r="N194" s="6" t="str"/>
      <x:c r="O194" s="6" t="str"/>
      <x:c r="P194" s="6" t="str">
        <x:v>Pending</x:v>
      </x:c>
      <x:c r="Q194" s="7" t="str">
        <x:f>IF(OR(D194="Reviewer Complete",D194="Awaiting Second-Level Approval"),"","Service identity dependency unresolved")</x:f>
        <x:v>Service identity dependency unresolved</x:v>
      </x:c>
      <x:c r="R194" s="6" t="str">
        <x:v>Yes</x:v>
      </x:c>
      <x:c r="S194" s="7" t="str"/>
    </x:row>
    <x:row r="195">
      <x:c r="A195" s="6" t="str">
        <x:v>LABX-0194</x:v>
      </x:c>
      <x:c r="B195" s="6" t="str">
        <x:v>SVC000194</x:v>
      </x:c>
      <x:c r="C195" s="6" t="str">
        <x:v>SIDX-0194</x:v>
      </x:c>
      <x:c r="D195" s="6" t="str">
        <x:f>IFERROR(XLOOKUP(C195,'Review Sequence'!C2:C1586,'Review Sequence'!J2:J1586),"Dependency not found")</x:f>
        <x:v>Not Started</x:v>
      </x:c>
      <x:c r="E195" s="6" t="str"/>
      <x:c r="F195" s="6" t="str"/>
      <x:c r="G195" s="6" t="str"/>
      <x:c r="H195" s="6" t="str"/>
      <x:c r="I195" s="6" t="str"/>
      <x:c r="J195" s="6" t="str"/>
      <x:c r="K195" s="6" t="str"/>
      <x:c r="L195" s="6" t="str">
        <x:v>Unresolved</x:v>
      </x:c>
      <x:c r="M195" s="7" t="str">
        <x:v>Nocturnix_Master_Services_Catalog_v1.xlsx | 01 - Master Services | row 234</x:v>
      </x:c>
      <x:c r="N195" s="6" t="str"/>
      <x:c r="O195" s="6" t="str"/>
      <x:c r="P195" s="6" t="str">
        <x:v>Pending</x:v>
      </x:c>
      <x:c r="Q195" s="7" t="str">
        <x:f>IF(OR(D195="Reviewer Complete",D195="Awaiting Second-Level Approval"),"","Service identity dependency unresolved")</x:f>
        <x:v>Service identity dependency unresolved</x:v>
      </x:c>
      <x:c r="R195" s="6" t="str">
        <x:v>Yes</x:v>
      </x:c>
      <x:c r="S195" s="7" t="str"/>
    </x:row>
    <x:row r="196">
      <x:c r="A196" s="6" t="str">
        <x:v>LABX-0195</x:v>
      </x:c>
      <x:c r="B196" s="6" t="str">
        <x:v>SVC000195</x:v>
      </x:c>
      <x:c r="C196" s="6" t="str">
        <x:v>SIDX-0195</x:v>
      </x:c>
      <x:c r="D196" s="6" t="str">
        <x:f>IFERROR(XLOOKUP(C196,'Review Sequence'!C2:C1586,'Review Sequence'!J2:J1586),"Dependency not found")</x:f>
        <x:v>Not Started</x:v>
      </x:c>
      <x:c r="E196" s="6" t="str"/>
      <x:c r="F196" s="6" t="str"/>
      <x:c r="G196" s="6" t="str"/>
      <x:c r="H196" s="6" t="str"/>
      <x:c r="I196" s="6" t="str"/>
      <x:c r="J196" s="6" t="str"/>
      <x:c r="K196" s="6" t="str"/>
      <x:c r="L196" s="6" t="str">
        <x:v>Unresolved</x:v>
      </x:c>
      <x:c r="M196" s="7" t="str">
        <x:v>Nocturnix_Master_Services_Catalog_v1.xlsx | 01 - Master Services | row 235</x:v>
      </x:c>
      <x:c r="N196" s="6" t="str"/>
      <x:c r="O196" s="6" t="str"/>
      <x:c r="P196" s="6" t="str">
        <x:v>Pending</x:v>
      </x:c>
      <x:c r="Q196" s="7" t="str">
        <x:f>IF(OR(D196="Reviewer Complete",D196="Awaiting Second-Level Approval"),"","Service identity dependency unresolved")</x:f>
        <x:v>Service identity dependency unresolved</x:v>
      </x:c>
      <x:c r="R196" s="6" t="str">
        <x:v>Yes</x:v>
      </x:c>
      <x:c r="S196" s="7" t="str"/>
    </x:row>
    <x:row r="197">
      <x:c r="A197" s="6" t="str">
        <x:v>LABX-0196</x:v>
      </x:c>
      <x:c r="B197" s="6" t="str">
        <x:v>SVC000196</x:v>
      </x:c>
      <x:c r="C197" s="6" t="str">
        <x:v>SIDX-0196</x:v>
      </x:c>
      <x:c r="D197" s="6" t="str">
        <x:f>IFERROR(XLOOKUP(C197,'Review Sequence'!C2:C1586,'Review Sequence'!J2:J1586),"Dependency not found")</x:f>
        <x:v>Not Started</x:v>
      </x:c>
      <x:c r="E197" s="6" t="str"/>
      <x:c r="F197" s="6" t="str"/>
      <x:c r="G197" s="6" t="str"/>
      <x:c r="H197" s="6" t="str"/>
      <x:c r="I197" s="6" t="str"/>
      <x:c r="J197" s="6" t="str"/>
      <x:c r="K197" s="6" t="str"/>
      <x:c r="L197" s="6" t="str">
        <x:v>Unresolved</x:v>
      </x:c>
      <x:c r="M197" s="7" t="str">
        <x:v>Nocturnix_Master_Services_Catalog_v1.xlsx | 01 - Master Services | row 236</x:v>
      </x:c>
      <x:c r="N197" s="6" t="str"/>
      <x:c r="O197" s="6" t="str"/>
      <x:c r="P197" s="6" t="str">
        <x:v>Pending</x:v>
      </x:c>
      <x:c r="Q197" s="7" t="str">
        <x:f>IF(OR(D197="Reviewer Complete",D197="Awaiting Second-Level Approval"),"","Service identity dependency unresolved")</x:f>
        <x:v>Service identity dependency unresolved</x:v>
      </x:c>
      <x:c r="R197" s="6" t="str">
        <x:v>Yes</x:v>
      </x:c>
      <x:c r="S197" s="7" t="str"/>
    </x:row>
    <x:row r="198">
      <x:c r="A198" s="6" t="str">
        <x:v>LABX-0197</x:v>
      </x:c>
      <x:c r="B198" s="6" t="str">
        <x:v>SVC000197</x:v>
      </x:c>
      <x:c r="C198" s="6" t="str">
        <x:v>SIDX-0197</x:v>
      </x:c>
      <x:c r="D198" s="6" t="str">
        <x:f>IFERROR(XLOOKUP(C198,'Review Sequence'!C2:C1586,'Review Sequence'!J2:J1586),"Dependency not found")</x:f>
        <x:v>Not Started</x:v>
      </x:c>
      <x:c r="E198" s="6" t="str"/>
      <x:c r="F198" s="6" t="str"/>
      <x:c r="G198" s="6" t="str"/>
      <x:c r="H198" s="6" t="str"/>
      <x:c r="I198" s="6" t="str"/>
      <x:c r="J198" s="6" t="str"/>
      <x:c r="K198" s="6" t="str"/>
      <x:c r="L198" s="6" t="str">
        <x:v>Unresolved</x:v>
      </x:c>
      <x:c r="M198" s="7" t="str">
        <x:v>Nocturnix_Master_Services_Catalog_v1.xlsx | 01 - Master Services | row 237</x:v>
      </x:c>
      <x:c r="N198" s="6" t="str"/>
      <x:c r="O198" s="6" t="str"/>
      <x:c r="P198" s="6" t="str">
        <x:v>Pending</x:v>
      </x:c>
      <x:c r="Q198" s="7" t="str">
        <x:f>IF(OR(D198="Reviewer Complete",D198="Awaiting Second-Level Approval"),"","Service identity dependency unresolved")</x:f>
        <x:v>Service identity dependency unresolved</x:v>
      </x:c>
      <x:c r="R198" s="6" t="str">
        <x:v>Yes</x:v>
      </x:c>
      <x:c r="S198" s="7" t="str"/>
    </x:row>
    <x:row r="199">
      <x:c r="A199" s="6" t="str">
        <x:v>LABX-0198</x:v>
      </x:c>
      <x:c r="B199" s="6" t="str">
        <x:v>SVC000198</x:v>
      </x:c>
      <x:c r="C199" s="6" t="str">
        <x:v>SIDX-0198</x:v>
      </x:c>
      <x:c r="D199" s="6" t="str">
        <x:f>IFERROR(XLOOKUP(C199,'Review Sequence'!C2:C1586,'Review Sequence'!J2:J1586),"Dependency not found")</x:f>
        <x:v>Not Started</x:v>
      </x:c>
      <x:c r="E199" s="6" t="str"/>
      <x:c r="F199" s="6" t="str"/>
      <x:c r="G199" s="6" t="str"/>
      <x:c r="H199" s="6" t="str"/>
      <x:c r="I199" s="6" t="str"/>
      <x:c r="J199" s="6" t="str"/>
      <x:c r="K199" s="6" t="str"/>
      <x:c r="L199" s="6" t="str">
        <x:v>Unresolved</x:v>
      </x:c>
      <x:c r="M199" s="7" t="str">
        <x:v>Nocturnix_Master_Services_Catalog_v1.xlsx | 01 - Master Services | row 238</x:v>
      </x:c>
      <x:c r="N199" s="6" t="str"/>
      <x:c r="O199" s="6" t="str"/>
      <x:c r="P199" s="6" t="str">
        <x:v>Pending</x:v>
      </x:c>
      <x:c r="Q199" s="7" t="str">
        <x:f>IF(OR(D199="Reviewer Complete",D199="Awaiting Second-Level Approval"),"","Service identity dependency unresolved")</x:f>
        <x:v>Service identity dependency unresolved</x:v>
      </x:c>
      <x:c r="R199" s="6" t="str">
        <x:v>Yes</x:v>
      </x:c>
      <x:c r="S199" s="7" t="str"/>
    </x:row>
    <x:row r="200">
      <x:c r="A200" s="6" t="str">
        <x:v>LABX-0199</x:v>
      </x:c>
      <x:c r="B200" s="6" t="str">
        <x:v>SVC000199</x:v>
      </x:c>
      <x:c r="C200" s="6" t="str">
        <x:v>SIDX-0199</x:v>
      </x:c>
      <x:c r="D200" s="6" t="str">
        <x:f>IFERROR(XLOOKUP(C200,'Review Sequence'!C2:C1586,'Review Sequence'!J2:J1586),"Dependency not found")</x:f>
        <x:v>Not Started</x:v>
      </x:c>
      <x:c r="E200" s="6" t="str"/>
      <x:c r="F200" s="6" t="str"/>
      <x:c r="G200" s="6" t="str"/>
      <x:c r="H200" s="6" t="str"/>
      <x:c r="I200" s="6" t="str"/>
      <x:c r="J200" s="6" t="str"/>
      <x:c r="K200" s="6" t="str"/>
      <x:c r="L200" s="6" t="str">
        <x:v>Unresolved</x:v>
      </x:c>
      <x:c r="M200" s="7" t="str">
        <x:v>Nocturnix_Master_Services_Catalog_v1.xlsx | 01 - Master Services | row 239</x:v>
      </x:c>
      <x:c r="N200" s="6" t="str"/>
      <x:c r="O200" s="6" t="str"/>
      <x:c r="P200" s="6" t="str">
        <x:v>Pending</x:v>
      </x:c>
      <x:c r="Q200" s="7" t="str">
        <x:f>IF(OR(D200="Reviewer Complete",D200="Awaiting Second-Level Approval"),"","Service identity dependency unresolved")</x:f>
        <x:v>Service identity dependency unresolved</x:v>
      </x:c>
      <x:c r="R200" s="6" t="str">
        <x:v>Yes</x:v>
      </x:c>
      <x:c r="S200" s="7" t="str"/>
    </x:row>
    <x:row r="201">
      <x:c r="A201" s="6" t="str">
        <x:v>LABX-0200</x:v>
      </x:c>
      <x:c r="B201" s="6" t="str">
        <x:v>SVC000200</x:v>
      </x:c>
      <x:c r="C201" s="6" t="str">
        <x:v>SIDX-0200</x:v>
      </x:c>
      <x:c r="D201" s="6" t="str">
        <x:f>IFERROR(XLOOKUP(C201,'Review Sequence'!C2:C1586,'Review Sequence'!J2:J1586),"Dependency not found")</x:f>
        <x:v>Not Started</x:v>
      </x:c>
      <x:c r="E201" s="6" t="str"/>
      <x:c r="F201" s="6" t="str"/>
      <x:c r="G201" s="6" t="str"/>
      <x:c r="H201" s="6" t="str"/>
      <x:c r="I201" s="6" t="str"/>
      <x:c r="J201" s="6" t="str"/>
      <x:c r="K201" s="6" t="str"/>
      <x:c r="L201" s="6" t="str">
        <x:v>Unresolved</x:v>
      </x:c>
      <x:c r="M201" s="7" t="str">
        <x:v>Nocturnix_Master_Services_Catalog_v1.xlsx | 01 - Master Services | row 240</x:v>
      </x:c>
      <x:c r="N201" s="6" t="str"/>
      <x:c r="O201" s="6" t="str"/>
      <x:c r="P201" s="6" t="str">
        <x:v>Pending</x:v>
      </x:c>
      <x:c r="Q201" s="7" t="str">
        <x:f>IF(OR(D201="Reviewer Complete",D201="Awaiting Second-Level Approval"),"","Service identity dependency unresolved")</x:f>
        <x:v>Service identity dependency unresolved</x:v>
      </x:c>
      <x:c r="R201" s="6" t="str">
        <x:v>Yes</x:v>
      </x:c>
      <x:c r="S201" s="7" t="str"/>
    </x:row>
    <x:row r="202">
      <x:c r="A202" s="6" t="str">
        <x:v>LABX-0201</x:v>
      </x:c>
      <x:c r="B202" s="6" t="str">
        <x:v>SVC000201</x:v>
      </x:c>
      <x:c r="C202" s="6" t="str">
        <x:v>SIDX-0201</x:v>
      </x:c>
      <x:c r="D202" s="6" t="str">
        <x:f>IFERROR(XLOOKUP(C202,'Review Sequence'!C2:C1586,'Review Sequence'!J2:J1586),"Dependency not found")</x:f>
        <x:v>Not Started</x:v>
      </x:c>
      <x:c r="E202" s="6" t="str"/>
      <x:c r="F202" s="6" t="str"/>
      <x:c r="G202" s="6" t="str"/>
      <x:c r="H202" s="6" t="str"/>
      <x:c r="I202" s="6" t="str"/>
      <x:c r="J202" s="6" t="str"/>
      <x:c r="K202" s="6" t="str"/>
      <x:c r="L202" s="6" t="str">
        <x:v>Unresolved</x:v>
      </x:c>
      <x:c r="M202" s="7" t="str">
        <x:v>Nocturnix_Master_Services_Catalog_v1.xlsx | 01 - Master Services | row 241</x:v>
      </x:c>
      <x:c r="N202" s="6" t="str"/>
      <x:c r="O202" s="6" t="str"/>
      <x:c r="P202" s="6" t="str">
        <x:v>Pending</x:v>
      </x:c>
      <x:c r="Q202" s="7" t="str">
        <x:f>IF(OR(D202="Reviewer Complete",D202="Awaiting Second-Level Approval"),"","Service identity dependency unresolved")</x:f>
        <x:v>Service identity dependency unresolved</x:v>
      </x:c>
      <x:c r="R202" s="6" t="str">
        <x:v>Yes</x:v>
      </x:c>
      <x:c r="S202" s="7" t="str"/>
    </x:row>
    <x:row r="203">
      <x:c r="A203" s="6" t="str">
        <x:v>LABX-0202</x:v>
      </x:c>
      <x:c r="B203" s="6" t="str">
        <x:v>SVC000202</x:v>
      </x:c>
      <x:c r="C203" s="6" t="str">
        <x:v>SIDX-0202</x:v>
      </x:c>
      <x:c r="D203" s="6" t="str">
        <x:f>IFERROR(XLOOKUP(C203,'Review Sequence'!C2:C1586,'Review Sequence'!J2:J1586),"Dependency not found")</x:f>
        <x:v>Not Started</x:v>
      </x:c>
      <x:c r="E203" s="6" t="str"/>
      <x:c r="F203" s="6" t="str"/>
      <x:c r="G203" s="6" t="str"/>
      <x:c r="H203" s="6" t="str"/>
      <x:c r="I203" s="6" t="str"/>
      <x:c r="J203" s="6" t="str"/>
      <x:c r="K203" s="6" t="str"/>
      <x:c r="L203" s="6" t="str">
        <x:v>Unresolved</x:v>
      </x:c>
      <x:c r="M203" s="7" t="str">
        <x:v>Nocturnix_Master_Services_Catalog_v1.xlsx | 01 - Master Services | row 242</x:v>
      </x:c>
      <x:c r="N203" s="6" t="str"/>
      <x:c r="O203" s="6" t="str"/>
      <x:c r="P203" s="6" t="str">
        <x:v>Pending</x:v>
      </x:c>
      <x:c r="Q203" s="7" t="str">
        <x:f>IF(OR(D203="Reviewer Complete",D203="Awaiting Second-Level Approval"),"","Service identity dependency unresolved")</x:f>
        <x:v>Service identity dependency unresolved</x:v>
      </x:c>
      <x:c r="R203" s="6" t="str">
        <x:v>Yes</x:v>
      </x:c>
      <x:c r="S203" s="7" t="str"/>
    </x:row>
    <x:row r="204">
      <x:c r="A204" s="6" t="str">
        <x:v>LABX-0203</x:v>
      </x:c>
      <x:c r="B204" s="6" t="str">
        <x:v>SVC000203</x:v>
      </x:c>
      <x:c r="C204" s="6" t="str">
        <x:v>SIDX-0203</x:v>
      </x:c>
      <x:c r="D204" s="6" t="str">
        <x:f>IFERROR(XLOOKUP(C204,'Review Sequence'!C2:C1586,'Review Sequence'!J2:J1586),"Dependency not found")</x:f>
        <x:v>Not Started</x:v>
      </x:c>
      <x:c r="E204" s="6" t="str"/>
      <x:c r="F204" s="6" t="str"/>
      <x:c r="G204" s="6" t="str"/>
      <x:c r="H204" s="6" t="str"/>
      <x:c r="I204" s="6" t="str"/>
      <x:c r="J204" s="6" t="str"/>
      <x:c r="K204" s="6" t="str"/>
      <x:c r="L204" s="6" t="str">
        <x:v>Unresolved</x:v>
      </x:c>
      <x:c r="M204" s="7" t="str">
        <x:v>Nocturnix_Master_Services_Catalog_v1.xlsx | 01 - Master Services | row 243</x:v>
      </x:c>
      <x:c r="N204" s="6" t="str"/>
      <x:c r="O204" s="6" t="str"/>
      <x:c r="P204" s="6" t="str">
        <x:v>Pending</x:v>
      </x:c>
      <x:c r="Q204" s="7" t="str">
        <x:f>IF(OR(D204="Reviewer Complete",D204="Awaiting Second-Level Approval"),"","Service identity dependency unresolved")</x:f>
        <x:v>Service identity dependency unresolved</x:v>
      </x:c>
      <x:c r="R204" s="6" t="str">
        <x:v>Yes</x:v>
      </x:c>
      <x:c r="S204" s="7" t="str"/>
    </x:row>
    <x:row r="205">
      <x:c r="A205" s="6" t="str">
        <x:v>LABX-0204</x:v>
      </x:c>
      <x:c r="B205" s="6" t="str">
        <x:v>SVC000204</x:v>
      </x:c>
      <x:c r="C205" s="6" t="str">
        <x:v>SIDX-0204</x:v>
      </x:c>
      <x:c r="D205" s="6" t="str">
        <x:f>IFERROR(XLOOKUP(C205,'Review Sequence'!C2:C1586,'Review Sequence'!J2:J1586),"Dependency not found")</x:f>
        <x:v>Not Started</x:v>
      </x:c>
      <x:c r="E205" s="6" t="str"/>
      <x:c r="F205" s="6" t="str"/>
      <x:c r="G205" s="6" t="str"/>
      <x:c r="H205" s="6" t="str"/>
      <x:c r="I205" s="6" t="str"/>
      <x:c r="J205" s="6" t="str"/>
      <x:c r="K205" s="6" t="str"/>
      <x:c r="L205" s="6" t="str">
        <x:v>Unresolved</x:v>
      </x:c>
      <x:c r="M205" s="7" t="str">
        <x:v>Nocturnix_Master_Services_Catalog_v1.xlsx | 01 - Master Services | row 244</x:v>
      </x:c>
      <x:c r="N205" s="6" t="str"/>
      <x:c r="O205" s="6" t="str"/>
      <x:c r="P205" s="6" t="str">
        <x:v>Pending</x:v>
      </x:c>
      <x:c r="Q205" s="7" t="str">
        <x:f>IF(OR(D205="Reviewer Complete",D205="Awaiting Second-Level Approval"),"","Service identity dependency unresolved")</x:f>
        <x:v>Service identity dependency unresolved</x:v>
      </x:c>
      <x:c r="R205" s="6" t="str">
        <x:v>Yes</x:v>
      </x:c>
      <x:c r="S205" s="7" t="str"/>
    </x:row>
    <x:row r="206">
      <x:c r="A206" s="6" t="str">
        <x:v>LABX-0205</x:v>
      </x:c>
      <x:c r="B206" s="6" t="str">
        <x:v>SVC000205</x:v>
      </x:c>
      <x:c r="C206" s="6" t="str">
        <x:v>SIDX-0205</x:v>
      </x:c>
      <x:c r="D206" s="6" t="str">
        <x:f>IFERROR(XLOOKUP(C206,'Review Sequence'!C2:C1586,'Review Sequence'!J2:J1586),"Dependency not found")</x:f>
        <x:v>Not Started</x:v>
      </x:c>
      <x:c r="E206" s="6" t="str"/>
      <x:c r="F206" s="6" t="str"/>
      <x:c r="G206" s="6" t="str"/>
      <x:c r="H206" s="6" t="str"/>
      <x:c r="I206" s="6" t="str"/>
      <x:c r="J206" s="6" t="str"/>
      <x:c r="K206" s="6" t="str"/>
      <x:c r="L206" s="6" t="str">
        <x:v>Unresolved</x:v>
      </x:c>
      <x:c r="M206" s="7" t="str">
        <x:v>Nocturnix_Master_Services_Catalog_v1.xlsx | 01 - Master Services | row 245</x:v>
      </x:c>
      <x:c r="N206" s="6" t="str"/>
      <x:c r="O206" s="6" t="str"/>
      <x:c r="P206" s="6" t="str">
        <x:v>Pending</x:v>
      </x:c>
      <x:c r="Q206" s="7" t="str">
        <x:f>IF(OR(D206="Reviewer Complete",D206="Awaiting Second-Level Approval"),"","Service identity dependency unresolved")</x:f>
        <x:v>Service identity dependency unresolved</x:v>
      </x:c>
      <x:c r="R206" s="6" t="str">
        <x:v>Yes</x:v>
      </x:c>
      <x:c r="S206" s="7" t="str"/>
    </x:row>
    <x:row r="207">
      <x:c r="A207" s="6" t="str">
        <x:v>LABX-0206</x:v>
      </x:c>
      <x:c r="B207" s="6" t="str">
        <x:v>SVC000206</x:v>
      </x:c>
      <x:c r="C207" s="6" t="str">
        <x:v>SIDX-0206</x:v>
      </x:c>
      <x:c r="D207" s="6" t="str">
        <x:f>IFERROR(XLOOKUP(C207,'Review Sequence'!C2:C1586,'Review Sequence'!J2:J1586),"Dependency not found")</x:f>
        <x:v>Not Started</x:v>
      </x:c>
      <x:c r="E207" s="6" t="str"/>
      <x:c r="F207" s="6" t="str"/>
      <x:c r="G207" s="6" t="str"/>
      <x:c r="H207" s="6" t="str"/>
      <x:c r="I207" s="6" t="str"/>
      <x:c r="J207" s="6" t="str"/>
      <x:c r="K207" s="6" t="str"/>
      <x:c r="L207" s="6" t="str">
        <x:v>Unresolved</x:v>
      </x:c>
      <x:c r="M207" s="7" t="str">
        <x:v>Nocturnix_Master_Services_Catalog_v1.xlsx | 01 - Master Services | row 246</x:v>
      </x:c>
      <x:c r="N207" s="6" t="str"/>
      <x:c r="O207" s="6" t="str"/>
      <x:c r="P207" s="6" t="str">
        <x:v>Pending</x:v>
      </x:c>
      <x:c r="Q207" s="7" t="str">
        <x:f>IF(OR(D207="Reviewer Complete",D207="Awaiting Second-Level Approval"),"","Service identity dependency unresolved")</x:f>
        <x:v>Service identity dependency unresolved</x:v>
      </x:c>
      <x:c r="R207" s="6" t="str">
        <x:v>Yes</x:v>
      </x:c>
      <x:c r="S207" s="7" t="str"/>
    </x:row>
    <x:row r="208">
      <x:c r="A208" s="6" t="str">
        <x:v>LABX-0207</x:v>
      </x:c>
      <x:c r="B208" s="6" t="str">
        <x:v>SVC000207</x:v>
      </x:c>
      <x:c r="C208" s="6" t="str">
        <x:v>SIDX-0207</x:v>
      </x:c>
      <x:c r="D208" s="6" t="str">
        <x:f>IFERROR(XLOOKUP(C208,'Review Sequence'!C2:C1586,'Review Sequence'!J2:J1586),"Dependency not found")</x:f>
        <x:v>Not Started</x:v>
      </x:c>
      <x:c r="E208" s="6" t="str"/>
      <x:c r="F208" s="6" t="str"/>
      <x:c r="G208" s="6" t="str"/>
      <x:c r="H208" s="6" t="str"/>
      <x:c r="I208" s="6" t="str"/>
      <x:c r="J208" s="6" t="str"/>
      <x:c r="K208" s="6" t="str"/>
      <x:c r="L208" s="6" t="str">
        <x:v>Unresolved</x:v>
      </x:c>
      <x:c r="M208" s="7" t="str">
        <x:v>Nocturnix_Master_Services_Catalog_v1.xlsx | 01 - Master Services | row 247</x:v>
      </x:c>
      <x:c r="N208" s="6" t="str"/>
      <x:c r="O208" s="6" t="str"/>
      <x:c r="P208" s="6" t="str">
        <x:v>Pending</x:v>
      </x:c>
      <x:c r="Q208" s="7" t="str">
        <x:f>IF(OR(D208="Reviewer Complete",D208="Awaiting Second-Level Approval"),"","Service identity dependency unresolved")</x:f>
        <x:v>Service identity dependency unresolved</x:v>
      </x:c>
      <x:c r="R208" s="6" t="str">
        <x:v>Yes</x:v>
      </x:c>
      <x:c r="S208" s="7" t="str"/>
    </x:row>
    <x:row r="209">
      <x:c r="A209" s="6" t="str">
        <x:v>LABX-0208</x:v>
      </x:c>
      <x:c r="B209" s="6" t="str">
        <x:v>SVC000208</x:v>
      </x:c>
      <x:c r="C209" s="6" t="str">
        <x:v>SIDX-0208</x:v>
      </x:c>
      <x:c r="D209" s="6" t="str">
        <x:f>IFERROR(XLOOKUP(C209,'Review Sequence'!C2:C1586,'Review Sequence'!J2:J1586),"Dependency not found")</x:f>
        <x:v>Not Started</x:v>
      </x:c>
      <x:c r="E209" s="6" t="str"/>
      <x:c r="F209" s="6" t="str"/>
      <x:c r="G209" s="6" t="str"/>
      <x:c r="H209" s="6" t="str"/>
      <x:c r="I209" s="6" t="str"/>
      <x:c r="J209" s="6" t="str"/>
      <x:c r="K209" s="6" t="str"/>
      <x:c r="L209" s="6" t="str">
        <x:v>Unresolved</x:v>
      </x:c>
      <x:c r="M209" s="7" t="str">
        <x:v>Nocturnix_Master_Services_Catalog_v1.xlsx | 01 - Master Services | row 248</x:v>
      </x:c>
      <x:c r="N209" s="6" t="str"/>
      <x:c r="O209" s="6" t="str"/>
      <x:c r="P209" s="6" t="str">
        <x:v>Pending</x:v>
      </x:c>
      <x:c r="Q209" s="7" t="str">
        <x:f>IF(OR(D209="Reviewer Complete",D209="Awaiting Second-Level Approval"),"","Service identity dependency unresolved")</x:f>
        <x:v>Service identity dependency unresolved</x:v>
      </x:c>
      <x:c r="R209" s="6" t="str">
        <x:v>Yes</x:v>
      </x:c>
      <x:c r="S209" s="7" t="str"/>
    </x:row>
    <x:row r="210">
      <x:c r="A210" s="6" t="str">
        <x:v>LABX-0209</x:v>
      </x:c>
      <x:c r="B210" s="6" t="str">
        <x:v>SVC000209</x:v>
      </x:c>
      <x:c r="C210" s="6" t="str">
        <x:v>SIDX-0209</x:v>
      </x:c>
      <x:c r="D210" s="6" t="str">
        <x:f>IFERROR(XLOOKUP(C210,'Review Sequence'!C2:C1586,'Review Sequence'!J2:J1586),"Dependency not found")</x:f>
        <x:v>Not Started</x:v>
      </x:c>
      <x:c r="E210" s="6" t="str"/>
      <x:c r="F210" s="6" t="str"/>
      <x:c r="G210" s="6" t="str"/>
      <x:c r="H210" s="6" t="str"/>
      <x:c r="I210" s="6" t="str"/>
      <x:c r="J210" s="6" t="str"/>
      <x:c r="K210" s="6" t="str"/>
      <x:c r="L210" s="6" t="str">
        <x:v>Unresolved</x:v>
      </x:c>
      <x:c r="M210" s="7" t="str">
        <x:v>Nocturnix_Master_Services_Catalog_v1.xlsx | 01 - Master Services | row 249</x:v>
      </x:c>
      <x:c r="N210" s="6" t="str"/>
      <x:c r="O210" s="6" t="str"/>
      <x:c r="P210" s="6" t="str">
        <x:v>Pending</x:v>
      </x:c>
      <x:c r="Q210" s="7" t="str">
        <x:f>IF(OR(D210="Reviewer Complete",D210="Awaiting Second-Level Approval"),"","Service identity dependency unresolved")</x:f>
        <x:v>Service identity dependency unresolved</x:v>
      </x:c>
      <x:c r="R210" s="6" t="str">
        <x:v>Yes</x:v>
      </x:c>
      <x:c r="S210" s="7" t="str"/>
    </x:row>
    <x:row r="211">
      <x:c r="A211" s="6" t="str">
        <x:v>LABX-0210</x:v>
      </x:c>
      <x:c r="B211" s="6" t="str">
        <x:v>SVC000210</x:v>
      </x:c>
      <x:c r="C211" s="6" t="str">
        <x:v>SIDX-0210</x:v>
      </x:c>
      <x:c r="D211" s="6" t="str">
        <x:f>IFERROR(XLOOKUP(C211,'Review Sequence'!C2:C1586,'Review Sequence'!J2:J1586),"Dependency not found")</x:f>
        <x:v>Not Started</x:v>
      </x:c>
      <x:c r="E211" s="6" t="str"/>
      <x:c r="F211" s="6" t="str"/>
      <x:c r="G211" s="6" t="str"/>
      <x:c r="H211" s="6" t="str"/>
      <x:c r="I211" s="6" t="str"/>
      <x:c r="J211" s="6" t="str"/>
      <x:c r="K211" s="6" t="str"/>
      <x:c r="L211" s="6" t="str">
        <x:v>Unresolved</x:v>
      </x:c>
      <x:c r="M211" s="7" t="str">
        <x:v>Nocturnix_Master_Services_Catalog_v1.xlsx | 01 - Master Services | row 250</x:v>
      </x:c>
      <x:c r="N211" s="6" t="str"/>
      <x:c r="O211" s="6" t="str"/>
      <x:c r="P211" s="6" t="str">
        <x:v>Pending</x:v>
      </x:c>
      <x:c r="Q211" s="7" t="str">
        <x:f>IF(OR(D211="Reviewer Complete",D211="Awaiting Second-Level Approval"),"","Service identity dependency unresolved")</x:f>
        <x:v>Service identity dependency unresolved</x:v>
      </x:c>
      <x:c r="R211" s="6" t="str">
        <x:v>Yes</x:v>
      </x:c>
      <x:c r="S211" s="7" t="str"/>
    </x:row>
    <x:row r="212">
      <x:c r="A212" s="6" t="str">
        <x:v>LABX-0211</x:v>
      </x:c>
      <x:c r="B212" s="6" t="str">
        <x:v>SVC000211</x:v>
      </x:c>
      <x:c r="C212" s="6" t="str">
        <x:v>SIDX-0211</x:v>
      </x:c>
      <x:c r="D212" s="6" t="str">
        <x:f>IFERROR(XLOOKUP(C212,'Review Sequence'!C2:C1586,'Review Sequence'!J2:J1586),"Dependency not found")</x:f>
        <x:v>Not Started</x:v>
      </x:c>
      <x:c r="E212" s="6" t="str"/>
      <x:c r="F212" s="6" t="str"/>
      <x:c r="G212" s="6" t="str"/>
      <x:c r="H212" s="6" t="str"/>
      <x:c r="I212" s="6" t="str"/>
      <x:c r="J212" s="6" t="str"/>
      <x:c r="K212" s="6" t="str"/>
      <x:c r="L212" s="6" t="str">
        <x:v>Unresolved</x:v>
      </x:c>
      <x:c r="M212" s="7" t="str">
        <x:v>Nocturnix_Master_Services_Catalog_v1.xlsx | 01 - Master Services | row 251</x:v>
      </x:c>
      <x:c r="N212" s="6" t="str"/>
      <x:c r="O212" s="6" t="str"/>
      <x:c r="P212" s="6" t="str">
        <x:v>Pending</x:v>
      </x:c>
      <x:c r="Q212" s="7" t="str">
        <x:f>IF(OR(D212="Reviewer Complete",D212="Awaiting Second-Level Approval"),"","Service identity dependency unresolved")</x:f>
        <x:v>Service identity dependency unresolved</x:v>
      </x:c>
      <x:c r="R212" s="6" t="str">
        <x:v>Yes</x:v>
      </x:c>
      <x:c r="S212" s="7" t="str"/>
    </x:row>
    <x:row r="213">
      <x:c r="A213" s="6" t="str">
        <x:v>LABX-0212</x:v>
      </x:c>
      <x:c r="B213" s="6" t="str">
        <x:v>SVC000212</x:v>
      </x:c>
      <x:c r="C213" s="6" t="str">
        <x:v>SIDX-0212</x:v>
      </x:c>
      <x:c r="D213" s="6" t="str">
        <x:f>IFERROR(XLOOKUP(C213,'Review Sequence'!C2:C1586,'Review Sequence'!J2:J1586),"Dependency not found")</x:f>
        <x:v>Not Started</x:v>
      </x:c>
      <x:c r="E213" s="6" t="str"/>
      <x:c r="F213" s="6" t="str"/>
      <x:c r="G213" s="6" t="str"/>
      <x:c r="H213" s="6" t="str"/>
      <x:c r="I213" s="6" t="str"/>
      <x:c r="J213" s="6" t="str"/>
      <x:c r="K213" s="6" t="str"/>
      <x:c r="L213" s="6" t="str">
        <x:v>Unresolved</x:v>
      </x:c>
      <x:c r="M213" s="7" t="str">
        <x:v>Nocturnix_Master_Services_Catalog_v1.xlsx | 01 - Master Services | row 252</x:v>
      </x:c>
      <x:c r="N213" s="6" t="str"/>
      <x:c r="O213" s="6" t="str"/>
      <x:c r="P213" s="6" t="str">
        <x:v>Pending</x:v>
      </x:c>
      <x:c r="Q213" s="7" t="str">
        <x:f>IF(OR(D213="Reviewer Complete",D213="Awaiting Second-Level Approval"),"","Service identity dependency unresolved")</x:f>
        <x:v>Service identity dependency unresolved</x:v>
      </x:c>
      <x:c r="R213" s="6" t="str">
        <x:v>Yes</x:v>
      </x:c>
      <x:c r="S213" s="7" t="str"/>
    </x:row>
    <x:row r="214">
      <x:c r="A214" s="6" t="str">
        <x:v>LABX-0213</x:v>
      </x:c>
      <x:c r="B214" s="6" t="str">
        <x:v>SVC000213</x:v>
      </x:c>
      <x:c r="C214" s="6" t="str">
        <x:v>SIDX-0213</x:v>
      </x:c>
      <x:c r="D214" s="6" t="str">
        <x:f>IFERROR(XLOOKUP(C214,'Review Sequence'!C2:C1586,'Review Sequence'!J2:J1586),"Dependency not found")</x:f>
        <x:v>Not Started</x:v>
      </x:c>
      <x:c r="E214" s="6" t="str"/>
      <x:c r="F214" s="6" t="str"/>
      <x:c r="G214" s="6" t="str"/>
      <x:c r="H214" s="6" t="str"/>
      <x:c r="I214" s="6" t="str"/>
      <x:c r="J214" s="6" t="str"/>
      <x:c r="K214" s="6" t="str"/>
      <x:c r="L214" s="6" t="str">
        <x:v>Unresolved</x:v>
      </x:c>
      <x:c r="M214" s="7" t="str">
        <x:v>Nocturnix_Master_Services_Catalog_v1.xlsx | 01 - Master Services | row 253</x:v>
      </x:c>
      <x:c r="N214" s="6" t="str"/>
      <x:c r="O214" s="6" t="str"/>
      <x:c r="P214" s="6" t="str">
        <x:v>Pending</x:v>
      </x:c>
      <x:c r="Q214" s="7" t="str">
        <x:f>IF(OR(D214="Reviewer Complete",D214="Awaiting Second-Level Approval"),"","Service identity dependency unresolved")</x:f>
        <x:v>Service identity dependency unresolved</x:v>
      </x:c>
      <x:c r="R214" s="6" t="str">
        <x:v>Yes</x:v>
      </x:c>
      <x:c r="S214" s="7" t="str"/>
    </x:row>
    <x:row r="215">
      <x:c r="A215" s="6" t="str">
        <x:v>LABX-0214</x:v>
      </x:c>
      <x:c r="B215" s="6" t="str">
        <x:v>SVC000214</x:v>
      </x:c>
      <x:c r="C215" s="6" t="str">
        <x:v>SIDX-0214</x:v>
      </x:c>
      <x:c r="D215" s="6" t="str">
        <x:f>IFERROR(XLOOKUP(C215,'Review Sequence'!C2:C1586,'Review Sequence'!J2:J1586),"Dependency not found")</x:f>
        <x:v>Not Started</x:v>
      </x:c>
      <x:c r="E215" s="6" t="str"/>
      <x:c r="F215" s="6" t="str"/>
      <x:c r="G215" s="6" t="str"/>
      <x:c r="H215" s="6" t="str"/>
      <x:c r="I215" s="6" t="str"/>
      <x:c r="J215" s="6" t="str"/>
      <x:c r="K215" s="6" t="str"/>
      <x:c r="L215" s="6" t="str">
        <x:v>Unresolved</x:v>
      </x:c>
      <x:c r="M215" s="7" t="str">
        <x:v>Nocturnix_Master_Services_Catalog_v1.xlsx | 01 - Master Services | row 254</x:v>
      </x:c>
      <x:c r="N215" s="6" t="str"/>
      <x:c r="O215" s="6" t="str"/>
      <x:c r="P215" s="6" t="str">
        <x:v>Pending</x:v>
      </x:c>
      <x:c r="Q215" s="7" t="str">
        <x:f>IF(OR(D215="Reviewer Complete",D215="Awaiting Second-Level Approval"),"","Service identity dependency unresolved")</x:f>
        <x:v>Service identity dependency unresolved</x:v>
      </x:c>
      <x:c r="R215" s="6" t="str">
        <x:v>Yes</x:v>
      </x:c>
      <x:c r="S215" s="7" t="str"/>
    </x:row>
    <x:row r="216">
      <x:c r="A216" s="6" t="str">
        <x:v>LABX-0215</x:v>
      </x:c>
      <x:c r="B216" s="6" t="str">
        <x:v>SVC000215</x:v>
      </x:c>
      <x:c r="C216" s="6" t="str">
        <x:v>SIDX-0215</x:v>
      </x:c>
      <x:c r="D216" s="6" t="str">
        <x:f>IFERROR(XLOOKUP(C216,'Review Sequence'!C2:C1586,'Review Sequence'!J2:J1586),"Dependency not found")</x:f>
        <x:v>Not Started</x:v>
      </x:c>
      <x:c r="E216" s="6" t="str"/>
      <x:c r="F216" s="6" t="str"/>
      <x:c r="G216" s="6" t="str"/>
      <x:c r="H216" s="6" t="str"/>
      <x:c r="I216" s="6" t="str"/>
      <x:c r="J216" s="6" t="str"/>
      <x:c r="K216" s="6" t="str"/>
      <x:c r="L216" s="6" t="str">
        <x:v>Unresolved</x:v>
      </x:c>
      <x:c r="M216" s="7" t="str">
        <x:v>Nocturnix_Master_Services_Catalog_v1.xlsx | 01 - Master Services | row 255</x:v>
      </x:c>
      <x:c r="N216" s="6" t="str"/>
      <x:c r="O216" s="6" t="str"/>
      <x:c r="P216" s="6" t="str">
        <x:v>Pending</x:v>
      </x:c>
      <x:c r="Q216" s="7" t="str">
        <x:f>IF(OR(D216="Reviewer Complete",D216="Awaiting Second-Level Approval"),"","Service identity dependency unresolved")</x:f>
        <x:v>Service identity dependency unresolved</x:v>
      </x:c>
      <x:c r="R216" s="6" t="str">
        <x:v>Yes</x:v>
      </x:c>
      <x:c r="S216" s="7" t="str"/>
    </x:row>
    <x:row r="217">
      <x:c r="A217" s="6" t="str">
        <x:v>LABX-0216</x:v>
      </x:c>
      <x:c r="B217" s="6" t="str">
        <x:v>SVC000216</x:v>
      </x:c>
      <x:c r="C217" s="6" t="str">
        <x:v>SIDX-0216</x:v>
      </x:c>
      <x:c r="D217" s="6" t="str">
        <x:f>IFERROR(XLOOKUP(C217,'Review Sequence'!C2:C1586,'Review Sequence'!J2:J1586),"Dependency not found")</x:f>
        <x:v>Not Started</x:v>
      </x:c>
      <x:c r="E217" s="6" t="str"/>
      <x:c r="F217" s="6" t="str"/>
      <x:c r="G217" s="6" t="str"/>
      <x:c r="H217" s="6" t="str"/>
      <x:c r="I217" s="6" t="str"/>
      <x:c r="J217" s="6" t="str"/>
      <x:c r="K217" s="6" t="str"/>
      <x:c r="L217" s="6" t="str">
        <x:v>Unresolved</x:v>
      </x:c>
      <x:c r="M217" s="7" t="str">
        <x:v>Nocturnix_Master_Services_Catalog_v1.xlsx | 01 - Master Services | row 256</x:v>
      </x:c>
      <x:c r="N217" s="6" t="str"/>
      <x:c r="O217" s="6" t="str"/>
      <x:c r="P217" s="6" t="str">
        <x:v>Pending</x:v>
      </x:c>
      <x:c r="Q217" s="7" t="str">
        <x:f>IF(OR(D217="Reviewer Complete",D217="Awaiting Second-Level Approval"),"","Service identity dependency unresolved")</x:f>
        <x:v>Service identity dependency unresolved</x:v>
      </x:c>
      <x:c r="R217" s="6" t="str">
        <x:v>Yes</x:v>
      </x:c>
      <x:c r="S217" s="7" t="str"/>
    </x:row>
    <x:row r="218">
      <x:c r="A218" s="6" t="str">
        <x:v>LABX-0217</x:v>
      </x:c>
      <x:c r="B218" s="6" t="str">
        <x:v>SVC000217</x:v>
      </x:c>
      <x:c r="C218" s="6" t="str">
        <x:v>SIDX-0217</x:v>
      </x:c>
      <x:c r="D218" s="6" t="str">
        <x:f>IFERROR(XLOOKUP(C218,'Review Sequence'!C2:C1586,'Review Sequence'!J2:J1586),"Dependency not found")</x:f>
        <x:v>Not Started</x:v>
      </x:c>
      <x:c r="E218" s="6" t="str"/>
      <x:c r="F218" s="6" t="str"/>
      <x:c r="G218" s="6" t="str"/>
      <x:c r="H218" s="6" t="str"/>
      <x:c r="I218" s="6" t="str"/>
      <x:c r="J218" s="6" t="str"/>
      <x:c r="K218" s="6" t="str"/>
      <x:c r="L218" s="6" t="str">
        <x:v>Unresolved</x:v>
      </x:c>
      <x:c r="M218" s="7" t="str">
        <x:v>Nocturnix_Master_Services_Catalog_v1.xlsx | 01 - Master Services | row 257</x:v>
      </x:c>
      <x:c r="N218" s="6" t="str"/>
      <x:c r="O218" s="6" t="str"/>
      <x:c r="P218" s="6" t="str">
        <x:v>Pending</x:v>
      </x:c>
      <x:c r="Q218" s="7" t="str">
        <x:f>IF(OR(D218="Reviewer Complete",D218="Awaiting Second-Level Approval"),"","Service identity dependency unresolved")</x:f>
        <x:v>Service identity dependency unresolved</x:v>
      </x:c>
      <x:c r="R218" s="6" t="str">
        <x:v>Yes</x:v>
      </x:c>
      <x:c r="S218" s="7" t="str"/>
    </x:row>
    <x:row r="219">
      <x:c r="A219" s="6" t="str">
        <x:v>LABX-0218</x:v>
      </x:c>
      <x:c r="B219" s="6" t="str">
        <x:v>SVC000218</x:v>
      </x:c>
      <x:c r="C219" s="6" t="str">
        <x:v>SIDX-0218</x:v>
      </x:c>
      <x:c r="D219" s="6" t="str">
        <x:f>IFERROR(XLOOKUP(C219,'Review Sequence'!C2:C1586,'Review Sequence'!J2:J1586),"Dependency not found")</x:f>
        <x:v>Not Started</x:v>
      </x:c>
      <x:c r="E219" s="6" t="str"/>
      <x:c r="F219" s="6" t="str"/>
      <x:c r="G219" s="6" t="str"/>
      <x:c r="H219" s="6" t="str"/>
      <x:c r="I219" s="6" t="str"/>
      <x:c r="J219" s="6" t="str"/>
      <x:c r="K219" s="6" t="str"/>
      <x:c r="L219" s="6" t="str">
        <x:v>Unresolved</x:v>
      </x:c>
      <x:c r="M219" s="7" t="str">
        <x:v>Nocturnix_Master_Services_Catalog_v1.xlsx | 01 - Master Services | row 258</x:v>
      </x:c>
      <x:c r="N219" s="6" t="str"/>
      <x:c r="O219" s="6" t="str"/>
      <x:c r="P219" s="6" t="str">
        <x:v>Pending</x:v>
      </x:c>
      <x:c r="Q219" s="7" t="str">
        <x:f>IF(OR(D219="Reviewer Complete",D219="Awaiting Second-Level Approval"),"","Service identity dependency unresolved")</x:f>
        <x:v>Service identity dependency unresolved</x:v>
      </x:c>
      <x:c r="R219" s="6" t="str">
        <x:v>Yes</x:v>
      </x:c>
      <x:c r="S219" s="7" t="str"/>
    </x:row>
    <x:row r="220">
      <x:c r="A220" s="6" t="str">
        <x:v>LABX-0219</x:v>
      </x:c>
      <x:c r="B220" s="6" t="str">
        <x:v>SVC000219</x:v>
      </x:c>
      <x:c r="C220" s="6" t="str">
        <x:v>SIDX-0219</x:v>
      </x:c>
      <x:c r="D220" s="6" t="str">
        <x:f>IFERROR(XLOOKUP(C220,'Review Sequence'!C2:C1586,'Review Sequence'!J2:J1586),"Dependency not found")</x:f>
        <x:v>Not Started</x:v>
      </x:c>
      <x:c r="E220" s="6" t="str"/>
      <x:c r="F220" s="6" t="str"/>
      <x:c r="G220" s="6" t="str"/>
      <x:c r="H220" s="6" t="str"/>
      <x:c r="I220" s="6" t="str"/>
      <x:c r="J220" s="6" t="str"/>
      <x:c r="K220" s="6" t="str"/>
      <x:c r="L220" s="6" t="str">
        <x:v>Unresolved</x:v>
      </x:c>
      <x:c r="M220" s="7" t="str">
        <x:v>Nocturnix_Master_Services_Catalog_v1.xlsx | 01 - Master Services | row 259</x:v>
      </x:c>
      <x:c r="N220" s="6" t="str"/>
      <x:c r="O220" s="6" t="str"/>
      <x:c r="P220" s="6" t="str">
        <x:v>Pending</x:v>
      </x:c>
      <x:c r="Q220" s="7" t="str">
        <x:f>IF(OR(D220="Reviewer Complete",D220="Awaiting Second-Level Approval"),"","Service identity dependency unresolved")</x:f>
        <x:v>Service identity dependency unresolved</x:v>
      </x:c>
      <x:c r="R220" s="6" t="str">
        <x:v>Yes</x:v>
      </x:c>
      <x:c r="S220" s="7" t="str"/>
    </x:row>
    <x:row r="221">
      <x:c r="A221" s="6" t="str">
        <x:v>LABX-0220</x:v>
      </x:c>
      <x:c r="B221" s="6" t="str">
        <x:v>SVC000220</x:v>
      </x:c>
      <x:c r="C221" s="6" t="str">
        <x:v>SIDX-0220</x:v>
      </x:c>
      <x:c r="D221" s="6" t="str">
        <x:f>IFERROR(XLOOKUP(C221,'Review Sequence'!C2:C1586,'Review Sequence'!J2:J1586),"Dependency not found")</x:f>
        <x:v>Not Started</x:v>
      </x:c>
      <x:c r="E221" s="6" t="str"/>
      <x:c r="F221" s="6" t="str"/>
      <x:c r="G221" s="6" t="str"/>
      <x:c r="H221" s="6" t="str"/>
      <x:c r="I221" s="6" t="str"/>
      <x:c r="J221" s="6" t="str"/>
      <x:c r="K221" s="6" t="str"/>
      <x:c r="L221" s="6" t="str">
        <x:v>Unresolved</x:v>
      </x:c>
      <x:c r="M221" s="7" t="str">
        <x:v>Nocturnix_Master_Services_Catalog_v1.xlsx | 01 - Master Services | row 260</x:v>
      </x:c>
      <x:c r="N221" s="6" t="str"/>
      <x:c r="O221" s="6" t="str"/>
      <x:c r="P221" s="6" t="str">
        <x:v>Pending</x:v>
      </x:c>
      <x:c r="Q221" s="7" t="str">
        <x:f>IF(OR(D221="Reviewer Complete",D221="Awaiting Second-Level Approval"),"","Service identity dependency unresolved")</x:f>
        <x:v>Service identity dependency unresolved</x:v>
      </x:c>
      <x:c r="R221" s="6" t="str">
        <x:v>Yes</x:v>
      </x:c>
      <x:c r="S221" s="7" t="str"/>
    </x:row>
    <x:row r="222">
      <x:c r="A222" s="6" t="str">
        <x:v>LABX-0221</x:v>
      </x:c>
      <x:c r="B222" s="6" t="str">
        <x:v>SVC000221</x:v>
      </x:c>
      <x:c r="C222" s="6" t="str">
        <x:v>SIDX-0221</x:v>
      </x:c>
      <x:c r="D222" s="6" t="str">
        <x:f>IFERROR(XLOOKUP(C222,'Review Sequence'!C2:C1586,'Review Sequence'!J2:J1586),"Dependency not found")</x:f>
        <x:v>Not Started</x:v>
      </x:c>
      <x:c r="E222" s="6" t="str"/>
      <x:c r="F222" s="6" t="str"/>
      <x:c r="G222" s="6" t="str"/>
      <x:c r="H222" s="6" t="str"/>
      <x:c r="I222" s="6" t="str"/>
      <x:c r="J222" s="6" t="str"/>
      <x:c r="K222" s="6" t="str"/>
      <x:c r="L222" s="6" t="str">
        <x:v>Unresolved</x:v>
      </x:c>
      <x:c r="M222" s="7" t="str">
        <x:v>Nocturnix_Master_Services_Catalog_v1.xlsx | 01 - Master Services | row 261</x:v>
      </x:c>
      <x:c r="N222" s="6" t="str"/>
      <x:c r="O222" s="6" t="str"/>
      <x:c r="P222" s="6" t="str">
        <x:v>Pending</x:v>
      </x:c>
      <x:c r="Q222" s="7" t="str">
        <x:f>IF(OR(D222="Reviewer Complete",D222="Awaiting Second-Level Approval"),"","Service identity dependency unresolved")</x:f>
        <x:v>Service identity dependency unresolved</x:v>
      </x:c>
      <x:c r="R222" s="6" t="str">
        <x:v>Yes</x:v>
      </x:c>
      <x:c r="S222" s="7" t="str"/>
    </x:row>
    <x:row r="223">
      <x:c r="A223" s="6" t="str">
        <x:v>LABX-0222</x:v>
      </x:c>
      <x:c r="B223" s="6" t="str">
        <x:v>SVC000222</x:v>
      </x:c>
      <x:c r="C223" s="6" t="str">
        <x:v>SIDX-0222</x:v>
      </x:c>
      <x:c r="D223" s="6" t="str">
        <x:f>IFERROR(XLOOKUP(C223,'Review Sequence'!C2:C1586,'Review Sequence'!J2:J1586),"Dependency not found")</x:f>
        <x:v>Not Started</x:v>
      </x:c>
      <x:c r="E223" s="6" t="str"/>
      <x:c r="F223" s="6" t="str"/>
      <x:c r="G223" s="6" t="str"/>
      <x:c r="H223" s="6" t="str"/>
      <x:c r="I223" s="6" t="str"/>
      <x:c r="J223" s="6" t="str"/>
      <x:c r="K223" s="6" t="str"/>
      <x:c r="L223" s="6" t="str">
        <x:v>Unresolved</x:v>
      </x:c>
      <x:c r="M223" s="7" t="str">
        <x:v>Nocturnix_Master_Services_Catalog_v1.xlsx | 01 - Master Services | row 262</x:v>
      </x:c>
      <x:c r="N223" s="6" t="str"/>
      <x:c r="O223" s="6" t="str"/>
      <x:c r="P223" s="6" t="str">
        <x:v>Pending</x:v>
      </x:c>
      <x:c r="Q223" s="7" t="str">
        <x:f>IF(OR(D223="Reviewer Complete",D223="Awaiting Second-Level Approval"),"","Service identity dependency unresolved")</x:f>
        <x:v>Service identity dependency unresolved</x:v>
      </x:c>
      <x:c r="R223" s="6" t="str">
        <x:v>Yes</x:v>
      </x:c>
      <x:c r="S223" s="7" t="str"/>
    </x:row>
    <x:row r="224">
      <x:c r="A224" s="6" t="str">
        <x:v>LABX-0223</x:v>
      </x:c>
      <x:c r="B224" s="6" t="str">
        <x:v>SVC000223</x:v>
      </x:c>
      <x:c r="C224" s="6" t="str">
        <x:v>SIDX-0223</x:v>
      </x:c>
      <x:c r="D224" s="6" t="str">
        <x:f>IFERROR(XLOOKUP(C224,'Review Sequence'!C2:C1586,'Review Sequence'!J2:J1586),"Dependency not found")</x:f>
        <x:v>Not Started</x:v>
      </x:c>
      <x:c r="E224" s="6" t="str"/>
      <x:c r="F224" s="6" t="str"/>
      <x:c r="G224" s="6" t="str"/>
      <x:c r="H224" s="6" t="str"/>
      <x:c r="I224" s="6" t="str"/>
      <x:c r="J224" s="6" t="str"/>
      <x:c r="K224" s="6" t="str"/>
      <x:c r="L224" s="6" t="str">
        <x:v>Unresolved</x:v>
      </x:c>
      <x:c r="M224" s="7" t="str">
        <x:v>Nocturnix_Master_Services_Catalog_v1.xlsx | 01 - Master Services | row 263</x:v>
      </x:c>
      <x:c r="N224" s="6" t="str"/>
      <x:c r="O224" s="6" t="str"/>
      <x:c r="P224" s="6" t="str">
        <x:v>Pending</x:v>
      </x:c>
      <x:c r="Q224" s="7" t="str">
        <x:f>IF(OR(D224="Reviewer Complete",D224="Awaiting Second-Level Approval"),"","Service identity dependency unresolved")</x:f>
        <x:v>Service identity dependency unresolved</x:v>
      </x:c>
      <x:c r="R224" s="6" t="str">
        <x:v>Yes</x:v>
      </x:c>
      <x:c r="S224" s="7" t="str"/>
    </x:row>
    <x:row r="225">
      <x:c r="A225" s="6" t="str">
        <x:v>LABX-0224</x:v>
      </x:c>
      <x:c r="B225" s="6" t="str">
        <x:v>SVC000224</x:v>
      </x:c>
      <x:c r="C225" s="6" t="str">
        <x:v>SIDX-0224</x:v>
      </x:c>
      <x:c r="D225" s="6" t="str">
        <x:f>IFERROR(XLOOKUP(C225,'Review Sequence'!C2:C1586,'Review Sequence'!J2:J1586),"Dependency not found")</x:f>
        <x:v>Not Started</x:v>
      </x:c>
      <x:c r="E225" s="6" t="str"/>
      <x:c r="F225" s="6" t="str"/>
      <x:c r="G225" s="6" t="str"/>
      <x:c r="H225" s="6" t="str"/>
      <x:c r="I225" s="6" t="str"/>
      <x:c r="J225" s="6" t="str"/>
      <x:c r="K225" s="6" t="str"/>
      <x:c r="L225" s="6" t="str">
        <x:v>Unresolved</x:v>
      </x:c>
      <x:c r="M225" s="7" t="str">
        <x:v>Nocturnix_Master_Services_Catalog_v1.xlsx | 01 - Master Services | row 264</x:v>
      </x:c>
      <x:c r="N225" s="6" t="str"/>
      <x:c r="O225" s="6" t="str"/>
      <x:c r="P225" s="6" t="str">
        <x:v>Pending</x:v>
      </x:c>
      <x:c r="Q225" s="7" t="str">
        <x:f>IF(OR(D225="Reviewer Complete",D225="Awaiting Second-Level Approval"),"","Service identity dependency unresolved")</x:f>
        <x:v>Service identity dependency unresolved</x:v>
      </x:c>
      <x:c r="R225" s="6" t="str">
        <x:v>Yes</x:v>
      </x:c>
      <x:c r="S225" s="7" t="str"/>
    </x:row>
    <x:row r="226">
      <x:c r="A226" s="6" t="str">
        <x:v>LABX-0225</x:v>
      </x:c>
      <x:c r="B226" s="6" t="str">
        <x:v>SVC000225</x:v>
      </x:c>
      <x:c r="C226" s="6" t="str">
        <x:v>SIDX-0225</x:v>
      </x:c>
      <x:c r="D226" s="6" t="str">
        <x:f>IFERROR(XLOOKUP(C226,'Review Sequence'!C2:C1586,'Review Sequence'!J2:J1586),"Dependency not found")</x:f>
        <x:v>Not Started</x:v>
      </x:c>
      <x:c r="E226" s="6" t="str"/>
      <x:c r="F226" s="6" t="str"/>
      <x:c r="G226" s="6" t="str"/>
      <x:c r="H226" s="6" t="str"/>
      <x:c r="I226" s="6" t="str"/>
      <x:c r="J226" s="6" t="str"/>
      <x:c r="K226" s="6" t="str"/>
      <x:c r="L226" s="6" t="str">
        <x:v>Unresolved</x:v>
      </x:c>
      <x:c r="M226" s="7" t="str">
        <x:v>Nocturnix_Master_Services_Catalog_v1.xlsx | 01 - Master Services | row 265</x:v>
      </x:c>
      <x:c r="N226" s="6" t="str"/>
      <x:c r="O226" s="6" t="str"/>
      <x:c r="P226" s="6" t="str">
        <x:v>Pending</x:v>
      </x:c>
      <x:c r="Q226" s="7" t="str">
        <x:f>IF(OR(D226="Reviewer Complete",D226="Awaiting Second-Level Approval"),"","Service identity dependency unresolved")</x:f>
        <x:v>Service identity dependency unresolved</x:v>
      </x:c>
      <x:c r="R226" s="6" t="str">
        <x:v>Yes</x:v>
      </x:c>
      <x:c r="S226" s="7" t="str"/>
    </x:row>
    <x:row r="227">
      <x:c r="A227" s="6" t="str">
        <x:v>LABX-0226</x:v>
      </x:c>
      <x:c r="B227" s="6" t="str">
        <x:v>SVC000226</x:v>
      </x:c>
      <x:c r="C227" s="6" t="str">
        <x:v>SIDX-0226</x:v>
      </x:c>
      <x:c r="D227" s="6" t="str">
        <x:f>IFERROR(XLOOKUP(C227,'Review Sequence'!C2:C1586,'Review Sequence'!J2:J1586),"Dependency not found")</x:f>
        <x:v>Not Started</x:v>
      </x:c>
      <x:c r="E227" s="6" t="str"/>
      <x:c r="F227" s="6" t="str"/>
      <x:c r="G227" s="6" t="str"/>
      <x:c r="H227" s="6" t="str"/>
      <x:c r="I227" s="6" t="str"/>
      <x:c r="J227" s="6" t="str"/>
      <x:c r="K227" s="6" t="str"/>
      <x:c r="L227" s="6" t="str">
        <x:v>Unresolved</x:v>
      </x:c>
      <x:c r="M227" s="7" t="str">
        <x:v>Nocturnix_Master_Services_Catalog_v1.xlsx | 01 - Master Services | row 266</x:v>
      </x:c>
      <x:c r="N227" s="6" t="str"/>
      <x:c r="O227" s="6" t="str"/>
      <x:c r="P227" s="6" t="str">
        <x:v>Pending</x:v>
      </x:c>
      <x:c r="Q227" s="7" t="str">
        <x:f>IF(OR(D227="Reviewer Complete",D227="Awaiting Second-Level Approval"),"","Service identity dependency unresolved")</x:f>
        <x:v>Service identity dependency unresolved</x:v>
      </x:c>
      <x:c r="R227" s="6" t="str">
        <x:v>Yes</x:v>
      </x:c>
      <x:c r="S227" s="7" t="str"/>
    </x:row>
    <x:row r="228">
      <x:c r="A228" s="6" t="str">
        <x:v>LABX-0227</x:v>
      </x:c>
      <x:c r="B228" s="6" t="str">
        <x:v>SVC000227</x:v>
      </x:c>
      <x:c r="C228" s="6" t="str">
        <x:v>SIDX-0227</x:v>
      </x:c>
      <x:c r="D228" s="6" t="str">
        <x:f>IFERROR(XLOOKUP(C228,'Review Sequence'!C2:C1586,'Review Sequence'!J2:J1586),"Dependency not found")</x:f>
        <x:v>Not Started</x:v>
      </x:c>
      <x:c r="E228" s="6" t="str"/>
      <x:c r="F228" s="6" t="str"/>
      <x:c r="G228" s="6" t="str"/>
      <x:c r="H228" s="6" t="str"/>
      <x:c r="I228" s="6" t="str"/>
      <x:c r="J228" s="6" t="str"/>
      <x:c r="K228" s="6" t="str"/>
      <x:c r="L228" s="6" t="str">
        <x:v>Unresolved</x:v>
      </x:c>
      <x:c r="M228" s="7" t="str">
        <x:v>Nocturnix_Master_Services_Catalog_v1.xlsx | 01 - Master Services | row 267</x:v>
      </x:c>
      <x:c r="N228" s="6" t="str"/>
      <x:c r="O228" s="6" t="str"/>
      <x:c r="P228" s="6" t="str">
        <x:v>Pending</x:v>
      </x:c>
      <x:c r="Q228" s="7" t="str">
        <x:f>IF(OR(D228="Reviewer Complete",D228="Awaiting Second-Level Approval"),"","Service identity dependency unresolved")</x:f>
        <x:v>Service identity dependency unresolved</x:v>
      </x:c>
      <x:c r="R228" s="6" t="str">
        <x:v>Yes</x:v>
      </x:c>
      <x:c r="S228" s="7" t="str"/>
    </x:row>
    <x:row r="229">
      <x:c r="A229" s="6" t="str">
        <x:v>LABX-0228</x:v>
      </x:c>
      <x:c r="B229" s="6" t="str">
        <x:v>SVC000228</x:v>
      </x:c>
      <x:c r="C229" s="6" t="str">
        <x:v>SIDX-0228</x:v>
      </x:c>
      <x:c r="D229" s="6" t="str">
        <x:f>IFERROR(XLOOKUP(C229,'Review Sequence'!C2:C1586,'Review Sequence'!J2:J1586),"Dependency not found")</x:f>
        <x:v>Not Started</x:v>
      </x:c>
      <x:c r="E229" s="6" t="str"/>
      <x:c r="F229" s="6" t="str"/>
      <x:c r="G229" s="6" t="str"/>
      <x:c r="H229" s="6" t="str"/>
      <x:c r="I229" s="6" t="str"/>
      <x:c r="J229" s="6" t="str"/>
      <x:c r="K229" s="6" t="str"/>
      <x:c r="L229" s="6" t="str">
        <x:v>Unresolved</x:v>
      </x:c>
      <x:c r="M229" s="7" t="str">
        <x:v>Nocturnix_Master_Services_Catalog_v1.xlsx | 01 - Master Services | row 268</x:v>
      </x:c>
      <x:c r="N229" s="6" t="str"/>
      <x:c r="O229" s="6" t="str"/>
      <x:c r="P229" s="6" t="str">
        <x:v>Pending</x:v>
      </x:c>
      <x:c r="Q229" s="7" t="str">
        <x:f>IF(OR(D229="Reviewer Complete",D229="Awaiting Second-Level Approval"),"","Service identity dependency unresolved")</x:f>
        <x:v>Service identity dependency unresolved</x:v>
      </x:c>
      <x:c r="R229" s="6" t="str">
        <x:v>Yes</x:v>
      </x:c>
      <x:c r="S229" s="7" t="str"/>
    </x:row>
    <x:row r="230">
      <x:c r="A230" s="6" t="str">
        <x:v>LABX-0229</x:v>
      </x:c>
      <x:c r="B230" s="6" t="str">
        <x:v>SVC000229</x:v>
      </x:c>
      <x:c r="C230" s="6" t="str">
        <x:v>SIDX-0229</x:v>
      </x:c>
      <x:c r="D230" s="6" t="str">
        <x:f>IFERROR(XLOOKUP(C230,'Review Sequence'!C2:C1586,'Review Sequence'!J2:J1586),"Dependency not found")</x:f>
        <x:v>Not Started</x:v>
      </x:c>
      <x:c r="E230" s="6" t="str"/>
      <x:c r="F230" s="6" t="str"/>
      <x:c r="G230" s="6" t="str"/>
      <x:c r="H230" s="6" t="str"/>
      <x:c r="I230" s="6" t="str"/>
      <x:c r="J230" s="6" t="str"/>
      <x:c r="K230" s="6" t="str"/>
      <x:c r="L230" s="6" t="str">
        <x:v>Unresolved</x:v>
      </x:c>
      <x:c r="M230" s="7" t="str">
        <x:v>Nocturnix_Master_Services_Catalog_v1.xlsx | 01 - Master Services | row 269</x:v>
      </x:c>
      <x:c r="N230" s="6" t="str"/>
      <x:c r="O230" s="6" t="str"/>
      <x:c r="P230" s="6" t="str">
        <x:v>Pending</x:v>
      </x:c>
      <x:c r="Q230" s="7" t="str">
        <x:f>IF(OR(D230="Reviewer Complete",D230="Awaiting Second-Level Approval"),"","Service identity dependency unresolved")</x:f>
        <x:v>Service identity dependency unresolved</x:v>
      </x:c>
      <x:c r="R230" s="6" t="str">
        <x:v>Yes</x:v>
      </x:c>
      <x:c r="S230" s="7" t="str"/>
    </x:row>
    <x:row r="231">
      <x:c r="A231" s="6" t="str">
        <x:v>LABX-0230</x:v>
      </x:c>
      <x:c r="B231" s="6" t="str">
        <x:v>SVC000230</x:v>
      </x:c>
      <x:c r="C231" s="6" t="str">
        <x:v>SIDX-0230</x:v>
      </x:c>
      <x:c r="D231" s="6" t="str">
        <x:f>IFERROR(XLOOKUP(C231,'Review Sequence'!C2:C1586,'Review Sequence'!J2:J1586),"Dependency not found")</x:f>
        <x:v>Not Started</x:v>
      </x:c>
      <x:c r="E231" s="6" t="str"/>
      <x:c r="F231" s="6" t="str"/>
      <x:c r="G231" s="6" t="str"/>
      <x:c r="H231" s="6" t="str"/>
      <x:c r="I231" s="6" t="str"/>
      <x:c r="J231" s="6" t="str"/>
      <x:c r="K231" s="6" t="str"/>
      <x:c r="L231" s="6" t="str">
        <x:v>Unresolved</x:v>
      </x:c>
      <x:c r="M231" s="7" t="str">
        <x:v>Nocturnix_Master_Services_Catalog_v1.xlsx | 01 - Master Services | row 270</x:v>
      </x:c>
      <x:c r="N231" s="6" t="str"/>
      <x:c r="O231" s="6" t="str"/>
      <x:c r="P231" s="6" t="str">
        <x:v>Pending</x:v>
      </x:c>
      <x:c r="Q231" s="7" t="str">
        <x:f>IF(OR(D231="Reviewer Complete",D231="Awaiting Second-Level Approval"),"","Service identity dependency unresolved")</x:f>
        <x:v>Service identity dependency unresolved</x:v>
      </x:c>
      <x:c r="R231" s="6" t="str">
        <x:v>Yes</x:v>
      </x:c>
      <x:c r="S231" s="7" t="str"/>
    </x:row>
    <x:row r="232">
      <x:c r="A232" s="6" t="str">
        <x:v>LABX-0231</x:v>
      </x:c>
      <x:c r="B232" s="6" t="str">
        <x:v>SVC000231</x:v>
      </x:c>
      <x:c r="C232" s="6" t="str">
        <x:v>SIDX-0231</x:v>
      </x:c>
      <x:c r="D232" s="6" t="str">
        <x:f>IFERROR(XLOOKUP(C232,'Review Sequence'!C2:C1586,'Review Sequence'!J2:J1586),"Dependency not found")</x:f>
        <x:v>Not Started</x:v>
      </x:c>
      <x:c r="E232" s="6" t="str"/>
      <x:c r="F232" s="6" t="str"/>
      <x:c r="G232" s="6" t="str"/>
      <x:c r="H232" s="6" t="str"/>
      <x:c r="I232" s="6" t="str"/>
      <x:c r="J232" s="6" t="str"/>
      <x:c r="K232" s="6" t="str"/>
      <x:c r="L232" s="6" t="str">
        <x:v>Unresolved</x:v>
      </x:c>
      <x:c r="M232" s="7" t="str">
        <x:v>Nocturnix_Master_Services_Catalog_v1.xlsx | 01 - Master Services | row 271</x:v>
      </x:c>
      <x:c r="N232" s="6" t="str"/>
      <x:c r="O232" s="6" t="str"/>
      <x:c r="P232" s="6" t="str">
        <x:v>Pending</x:v>
      </x:c>
      <x:c r="Q232" s="7" t="str">
        <x:f>IF(OR(D232="Reviewer Complete",D232="Awaiting Second-Level Approval"),"","Service identity dependency unresolved")</x:f>
        <x:v>Service identity dependency unresolved</x:v>
      </x:c>
      <x:c r="R232" s="6" t="str">
        <x:v>Yes</x:v>
      </x:c>
      <x:c r="S232" s="7" t="str"/>
    </x:row>
    <x:row r="233">
      <x:c r="A233" s="6" t="str">
        <x:v>LABX-0232</x:v>
      </x:c>
      <x:c r="B233" s="6" t="str">
        <x:v>SVC000232</x:v>
      </x:c>
      <x:c r="C233" s="6" t="str">
        <x:v>SIDX-0232</x:v>
      </x:c>
      <x:c r="D233" s="6" t="str">
        <x:f>IFERROR(XLOOKUP(C233,'Review Sequence'!C2:C1586,'Review Sequence'!J2:J1586),"Dependency not found")</x:f>
        <x:v>Not Started</x:v>
      </x:c>
      <x:c r="E233" s="6" t="str"/>
      <x:c r="F233" s="6" t="str"/>
      <x:c r="G233" s="6" t="str"/>
      <x:c r="H233" s="6" t="str"/>
      <x:c r="I233" s="6" t="str"/>
      <x:c r="J233" s="6" t="str"/>
      <x:c r="K233" s="6" t="str"/>
      <x:c r="L233" s="6" t="str">
        <x:v>Unresolved</x:v>
      </x:c>
      <x:c r="M233" s="7" t="str">
        <x:v>Nocturnix_Master_Services_Catalog_v1.xlsx | 01 - Master Services | row 272</x:v>
      </x:c>
      <x:c r="N233" s="6" t="str"/>
      <x:c r="O233" s="6" t="str"/>
      <x:c r="P233" s="6" t="str">
        <x:v>Pending</x:v>
      </x:c>
      <x:c r="Q233" s="7" t="str">
        <x:f>IF(OR(D233="Reviewer Complete",D233="Awaiting Second-Level Approval"),"","Service identity dependency unresolved")</x:f>
        <x:v>Service identity dependency unresolved</x:v>
      </x:c>
      <x:c r="R233" s="6" t="str">
        <x:v>Yes</x:v>
      </x:c>
      <x:c r="S233" s="7" t="str"/>
    </x:row>
    <x:row r="234">
      <x:c r="A234" s="6" t="str">
        <x:v>LABX-0233</x:v>
      </x:c>
      <x:c r="B234" s="6" t="str">
        <x:v>SVC000233</x:v>
      </x:c>
      <x:c r="C234" s="6" t="str">
        <x:v>SIDX-0233</x:v>
      </x:c>
      <x:c r="D234" s="6" t="str">
        <x:f>IFERROR(XLOOKUP(C234,'Review Sequence'!C2:C1586,'Review Sequence'!J2:J1586),"Dependency not found")</x:f>
        <x:v>Not Started</x:v>
      </x:c>
      <x:c r="E234" s="6" t="str"/>
      <x:c r="F234" s="6" t="str"/>
      <x:c r="G234" s="6" t="str"/>
      <x:c r="H234" s="6" t="str"/>
      <x:c r="I234" s="6" t="str"/>
      <x:c r="J234" s="6" t="str"/>
      <x:c r="K234" s="6" t="str"/>
      <x:c r="L234" s="6" t="str">
        <x:v>Unresolved</x:v>
      </x:c>
      <x:c r="M234" s="7" t="str">
        <x:v>Nocturnix_Master_Services_Catalog_v1.xlsx | 01 - Master Services | row 273</x:v>
      </x:c>
      <x:c r="N234" s="6" t="str"/>
      <x:c r="O234" s="6" t="str"/>
      <x:c r="P234" s="6" t="str">
        <x:v>Pending</x:v>
      </x:c>
      <x:c r="Q234" s="7" t="str">
        <x:f>IF(OR(D234="Reviewer Complete",D234="Awaiting Second-Level Approval"),"","Service identity dependency unresolved")</x:f>
        <x:v>Service identity dependency unresolved</x:v>
      </x:c>
      <x:c r="R234" s="6" t="str">
        <x:v>Yes</x:v>
      </x:c>
      <x:c r="S234" s="7" t="str"/>
    </x:row>
    <x:row r="235">
      <x:c r="A235" s="6" t="str">
        <x:v>LABX-0234</x:v>
      </x:c>
      <x:c r="B235" s="6" t="str">
        <x:v>SVC000234</x:v>
      </x:c>
      <x:c r="C235" s="6" t="str">
        <x:v>SIDX-0234</x:v>
      </x:c>
      <x:c r="D235" s="6" t="str">
        <x:f>IFERROR(XLOOKUP(C235,'Review Sequence'!C2:C1586,'Review Sequence'!J2:J1586),"Dependency not found")</x:f>
        <x:v>Not Started</x:v>
      </x:c>
      <x:c r="E235" s="6" t="str"/>
      <x:c r="F235" s="6" t="str"/>
      <x:c r="G235" s="6" t="str"/>
      <x:c r="H235" s="6" t="str"/>
      <x:c r="I235" s="6" t="str"/>
      <x:c r="J235" s="6" t="str"/>
      <x:c r="K235" s="6" t="str"/>
      <x:c r="L235" s="6" t="str">
        <x:v>Unresolved</x:v>
      </x:c>
      <x:c r="M235" s="7" t="str">
        <x:v>Nocturnix_Master_Services_Catalog_v1.xlsx | 01 - Master Services | row 274</x:v>
      </x:c>
      <x:c r="N235" s="6" t="str"/>
      <x:c r="O235" s="6" t="str"/>
      <x:c r="P235" s="6" t="str">
        <x:v>Pending</x:v>
      </x:c>
      <x:c r="Q235" s="7" t="str">
        <x:f>IF(OR(D235="Reviewer Complete",D235="Awaiting Second-Level Approval"),"","Service identity dependency unresolved")</x:f>
        <x:v>Service identity dependency unresolved</x:v>
      </x:c>
      <x:c r="R235" s="6" t="str">
        <x:v>Yes</x:v>
      </x:c>
      <x:c r="S235" s="7" t="str"/>
    </x:row>
    <x:row r="236">
      <x:c r="A236" s="6" t="str">
        <x:v>LABX-0235</x:v>
      </x:c>
      <x:c r="B236" s="6" t="str">
        <x:v>SVC000235</x:v>
      </x:c>
      <x:c r="C236" s="6" t="str">
        <x:v>SIDX-0235</x:v>
      </x:c>
      <x:c r="D236" s="6" t="str">
        <x:f>IFERROR(XLOOKUP(C236,'Review Sequence'!C2:C1586,'Review Sequence'!J2:J1586),"Dependency not found")</x:f>
        <x:v>Not Started</x:v>
      </x:c>
      <x:c r="E236" s="6" t="str"/>
      <x:c r="F236" s="6" t="str"/>
      <x:c r="G236" s="6" t="str"/>
      <x:c r="H236" s="6" t="str"/>
      <x:c r="I236" s="6" t="str"/>
      <x:c r="J236" s="6" t="str"/>
      <x:c r="K236" s="6" t="str"/>
      <x:c r="L236" s="6" t="str">
        <x:v>Unresolved</x:v>
      </x:c>
      <x:c r="M236" s="7" t="str">
        <x:v>Nocturnix_Master_Services_Catalog_v1.xlsx | 01 - Master Services | row 275</x:v>
      </x:c>
      <x:c r="N236" s="6" t="str"/>
      <x:c r="O236" s="6" t="str"/>
      <x:c r="P236" s="6" t="str">
        <x:v>Pending</x:v>
      </x:c>
      <x:c r="Q236" s="7" t="str">
        <x:f>IF(OR(D236="Reviewer Complete",D236="Awaiting Second-Level Approval"),"","Service identity dependency unresolved")</x:f>
        <x:v>Service identity dependency unresolved</x:v>
      </x:c>
      <x:c r="R236" s="6" t="str">
        <x:v>Yes</x:v>
      </x:c>
      <x:c r="S236" s="7" t="str"/>
    </x:row>
    <x:row r="237">
      <x:c r="A237" s="6" t="str">
        <x:v>LABX-0236</x:v>
      </x:c>
      <x:c r="B237" s="6" t="str">
        <x:v>SVC000236</x:v>
      </x:c>
      <x:c r="C237" s="6" t="str">
        <x:v>SIDX-0236</x:v>
      </x:c>
      <x:c r="D237" s="6" t="str">
        <x:f>IFERROR(XLOOKUP(C237,'Review Sequence'!C2:C1586,'Review Sequence'!J2:J1586),"Dependency not found")</x:f>
        <x:v>Not Started</x:v>
      </x:c>
      <x:c r="E237" s="6" t="str"/>
      <x:c r="F237" s="6" t="str"/>
      <x:c r="G237" s="6" t="str"/>
      <x:c r="H237" s="6" t="str"/>
      <x:c r="I237" s="6" t="str"/>
      <x:c r="J237" s="6" t="str"/>
      <x:c r="K237" s="6" t="str"/>
      <x:c r="L237" s="6" t="str">
        <x:v>Unresolved</x:v>
      </x:c>
      <x:c r="M237" s="7" t="str">
        <x:v>Nocturnix_Master_Services_Catalog_v1.xlsx | 01 - Master Services | row 276</x:v>
      </x:c>
      <x:c r="N237" s="6" t="str"/>
      <x:c r="O237" s="6" t="str"/>
      <x:c r="P237" s="6" t="str">
        <x:v>Pending</x:v>
      </x:c>
      <x:c r="Q237" s="7" t="str">
        <x:f>IF(OR(D237="Reviewer Complete",D237="Awaiting Second-Level Approval"),"","Service identity dependency unresolved")</x:f>
        <x:v>Service identity dependency unresolved</x:v>
      </x:c>
      <x:c r="R237" s="6" t="str">
        <x:v>Yes</x:v>
      </x:c>
      <x:c r="S237" s="7" t="str"/>
    </x:row>
    <x:row r="238">
      <x:c r="A238" s="6" t="str">
        <x:v>LABX-0237</x:v>
      </x:c>
      <x:c r="B238" s="6" t="str">
        <x:v>SVC000237</x:v>
      </x:c>
      <x:c r="C238" s="6" t="str">
        <x:v>SIDX-0237</x:v>
      </x:c>
      <x:c r="D238" s="6" t="str">
        <x:f>IFERROR(XLOOKUP(C238,'Review Sequence'!C2:C1586,'Review Sequence'!J2:J1586),"Dependency not found")</x:f>
        <x:v>Not Started</x:v>
      </x:c>
      <x:c r="E238" s="6" t="str"/>
      <x:c r="F238" s="6" t="str"/>
      <x:c r="G238" s="6" t="str"/>
      <x:c r="H238" s="6" t="str"/>
      <x:c r="I238" s="6" t="str"/>
      <x:c r="J238" s="6" t="str"/>
      <x:c r="K238" s="6" t="str"/>
      <x:c r="L238" s="6" t="str">
        <x:v>Unresolved</x:v>
      </x:c>
      <x:c r="M238" s="7" t="str">
        <x:v>Nocturnix_Master_Services_Catalog_v1.xlsx | 01 - Master Services | row 277</x:v>
      </x:c>
      <x:c r="N238" s="6" t="str"/>
      <x:c r="O238" s="6" t="str"/>
      <x:c r="P238" s="6" t="str">
        <x:v>Pending</x:v>
      </x:c>
      <x:c r="Q238" s="7" t="str">
        <x:f>IF(OR(D238="Reviewer Complete",D238="Awaiting Second-Level Approval"),"","Service identity dependency unresolved")</x:f>
        <x:v>Service identity dependency unresolved</x:v>
      </x:c>
      <x:c r="R238" s="6" t="str">
        <x:v>Yes</x:v>
      </x:c>
      <x:c r="S238" s="7" t="str"/>
    </x:row>
    <x:row r="239">
      <x:c r="A239" s="6" t="str">
        <x:v>LABX-0238</x:v>
      </x:c>
      <x:c r="B239" s="6" t="str">
        <x:v>SVC000238</x:v>
      </x:c>
      <x:c r="C239" s="6" t="str">
        <x:v>SIDX-0238</x:v>
      </x:c>
      <x:c r="D239" s="6" t="str">
        <x:f>IFERROR(XLOOKUP(C239,'Review Sequence'!C2:C1586,'Review Sequence'!J2:J1586),"Dependency not found")</x:f>
        <x:v>Not Started</x:v>
      </x:c>
      <x:c r="E239" s="6" t="str"/>
      <x:c r="F239" s="6" t="str"/>
      <x:c r="G239" s="6" t="str"/>
      <x:c r="H239" s="6" t="str"/>
      <x:c r="I239" s="6" t="str"/>
      <x:c r="J239" s="6" t="str"/>
      <x:c r="K239" s="6" t="str"/>
      <x:c r="L239" s="6" t="str">
        <x:v>Unresolved</x:v>
      </x:c>
      <x:c r="M239" s="7" t="str">
        <x:v>Nocturnix_Master_Services_Catalog_v1.xlsx | 01 - Master Services | row 278</x:v>
      </x:c>
      <x:c r="N239" s="6" t="str"/>
      <x:c r="O239" s="6" t="str"/>
      <x:c r="P239" s="6" t="str">
        <x:v>Pending</x:v>
      </x:c>
      <x:c r="Q239" s="7" t="str">
        <x:f>IF(OR(D239="Reviewer Complete",D239="Awaiting Second-Level Approval"),"","Service identity dependency unresolved")</x:f>
        <x:v>Service identity dependency unresolved</x:v>
      </x:c>
      <x:c r="R239" s="6" t="str">
        <x:v>Yes</x:v>
      </x:c>
      <x:c r="S239" s="7" t="str"/>
    </x:row>
    <x:row r="240">
      <x:c r="A240" s="6" t="str">
        <x:v>LABX-0239</x:v>
      </x:c>
      <x:c r="B240" s="6" t="str">
        <x:v>SVC000239</x:v>
      </x:c>
      <x:c r="C240" s="6" t="str">
        <x:v>SIDX-0239</x:v>
      </x:c>
      <x:c r="D240" s="6" t="str">
        <x:f>IFERROR(XLOOKUP(C240,'Review Sequence'!C2:C1586,'Review Sequence'!J2:J1586),"Dependency not found")</x:f>
        <x:v>Not Started</x:v>
      </x:c>
      <x:c r="E240" s="6" t="str"/>
      <x:c r="F240" s="6" t="str"/>
      <x:c r="G240" s="6" t="str"/>
      <x:c r="H240" s="6" t="str"/>
      <x:c r="I240" s="6" t="str"/>
      <x:c r="J240" s="6" t="str"/>
      <x:c r="K240" s="6" t="str"/>
      <x:c r="L240" s="6" t="str">
        <x:v>Unresolved</x:v>
      </x:c>
      <x:c r="M240" s="7" t="str">
        <x:v>Nocturnix_Master_Services_Catalog_v1.xlsx | 01 - Master Services | row 279</x:v>
      </x:c>
      <x:c r="N240" s="6" t="str"/>
      <x:c r="O240" s="6" t="str"/>
      <x:c r="P240" s="6" t="str">
        <x:v>Pending</x:v>
      </x:c>
      <x:c r="Q240" s="7" t="str">
        <x:f>IF(OR(D240="Reviewer Complete",D240="Awaiting Second-Level Approval"),"","Service identity dependency unresolved")</x:f>
        <x:v>Service identity dependency unresolved</x:v>
      </x:c>
      <x:c r="R240" s="6" t="str">
        <x:v>Yes</x:v>
      </x:c>
      <x:c r="S240" s="7" t="str"/>
    </x:row>
    <x:row r="241">
      <x:c r="A241" s="6" t="str">
        <x:v>LABX-0240</x:v>
      </x:c>
      <x:c r="B241" s="6" t="str">
        <x:v>SVC000240</x:v>
      </x:c>
      <x:c r="C241" s="6" t="str">
        <x:v>SIDX-0240</x:v>
      </x:c>
      <x:c r="D241" s="6" t="str">
        <x:f>IFERROR(XLOOKUP(C241,'Review Sequence'!C2:C1586,'Review Sequence'!J2:J1586),"Dependency not found")</x:f>
        <x:v>Not Started</x:v>
      </x:c>
      <x:c r="E241" s="6" t="str"/>
      <x:c r="F241" s="6" t="str"/>
      <x:c r="G241" s="6" t="str"/>
      <x:c r="H241" s="6" t="str"/>
      <x:c r="I241" s="6" t="str"/>
      <x:c r="J241" s="6" t="str"/>
      <x:c r="K241" s="6" t="str"/>
      <x:c r="L241" s="6" t="str">
        <x:v>Unresolved</x:v>
      </x:c>
      <x:c r="M241" s="7" t="str">
        <x:v>Nocturnix_Master_Services_Catalog_v1.xlsx | 01 - Master Services | row 280</x:v>
      </x:c>
      <x:c r="N241" s="6" t="str"/>
      <x:c r="O241" s="6" t="str"/>
      <x:c r="P241" s="6" t="str">
        <x:v>Pending</x:v>
      </x:c>
      <x:c r="Q241" s="7" t="str">
        <x:f>IF(OR(D241="Reviewer Complete",D241="Awaiting Second-Level Approval"),"","Service identity dependency unresolved")</x:f>
        <x:v>Service identity dependency unresolved</x:v>
      </x:c>
      <x:c r="R241" s="6" t="str">
        <x:v>Yes</x:v>
      </x:c>
      <x:c r="S241" s="7" t="str"/>
    </x:row>
    <x:row r="242">
      <x:c r="A242" s="6" t="str">
        <x:v>LABX-0241</x:v>
      </x:c>
      <x:c r="B242" s="6" t="str">
        <x:v>SVC000241</x:v>
      </x:c>
      <x:c r="C242" s="6" t="str">
        <x:v>SIDX-0241</x:v>
      </x:c>
      <x:c r="D242" s="6" t="str">
        <x:f>IFERROR(XLOOKUP(C242,'Review Sequence'!C2:C1586,'Review Sequence'!J2:J1586),"Dependency not found")</x:f>
        <x:v>Not Started</x:v>
      </x:c>
      <x:c r="E242" s="6" t="str"/>
      <x:c r="F242" s="6" t="str"/>
      <x:c r="G242" s="6" t="str"/>
      <x:c r="H242" s="6" t="str"/>
      <x:c r="I242" s="6" t="str"/>
      <x:c r="J242" s="6" t="str"/>
      <x:c r="K242" s="6" t="str"/>
      <x:c r="L242" s="6" t="str">
        <x:v>Unresolved</x:v>
      </x:c>
      <x:c r="M242" s="7" t="str">
        <x:v>Nocturnix_Master_Services_Catalog_v1.xlsx | 01 - Master Services | row 281</x:v>
      </x:c>
      <x:c r="N242" s="6" t="str"/>
      <x:c r="O242" s="6" t="str"/>
      <x:c r="P242" s="6" t="str">
        <x:v>Pending</x:v>
      </x:c>
      <x:c r="Q242" s="7" t="str">
        <x:f>IF(OR(D242="Reviewer Complete",D242="Awaiting Second-Level Approval"),"","Service identity dependency unresolved")</x:f>
        <x:v>Service identity dependency unresolved</x:v>
      </x:c>
      <x:c r="R242" s="6" t="str">
        <x:v>Yes</x:v>
      </x:c>
      <x:c r="S242" s="7" t="str"/>
    </x:row>
    <x:row r="243">
      <x:c r="A243" s="6" t="str">
        <x:v>LABX-0242</x:v>
      </x:c>
      <x:c r="B243" s="6" t="str">
        <x:v>SVC000242</x:v>
      </x:c>
      <x:c r="C243" s="6" t="str">
        <x:v>SIDX-0242</x:v>
      </x:c>
      <x:c r="D243" s="6" t="str">
        <x:f>IFERROR(XLOOKUP(C243,'Review Sequence'!C2:C1586,'Review Sequence'!J2:J1586),"Dependency not found")</x:f>
        <x:v>Not Started</x:v>
      </x:c>
      <x:c r="E243" s="6" t="str"/>
      <x:c r="F243" s="6" t="str"/>
      <x:c r="G243" s="6" t="str"/>
      <x:c r="H243" s="6" t="str"/>
      <x:c r="I243" s="6" t="str"/>
      <x:c r="J243" s="6" t="str"/>
      <x:c r="K243" s="6" t="str"/>
      <x:c r="L243" s="6" t="str">
        <x:v>Unresolved</x:v>
      </x:c>
      <x:c r="M243" s="7" t="str">
        <x:v>Nocturnix_Master_Services_Catalog_v1.xlsx | 01 - Master Services | row 282</x:v>
      </x:c>
      <x:c r="N243" s="6" t="str"/>
      <x:c r="O243" s="6" t="str"/>
      <x:c r="P243" s="6" t="str">
        <x:v>Pending</x:v>
      </x:c>
      <x:c r="Q243" s="7" t="str">
        <x:f>IF(OR(D243="Reviewer Complete",D243="Awaiting Second-Level Approval"),"","Service identity dependency unresolved")</x:f>
        <x:v>Service identity dependency unresolved</x:v>
      </x:c>
      <x:c r="R243" s="6" t="str">
        <x:v>Yes</x:v>
      </x:c>
      <x:c r="S243" s="7" t="str"/>
    </x:row>
    <x:row r="244">
      <x:c r="A244" s="6" t="str">
        <x:v>LABX-0243</x:v>
      </x:c>
      <x:c r="B244" s="6" t="str">
        <x:v>SVC000243</x:v>
      </x:c>
      <x:c r="C244" s="6" t="str">
        <x:v>SIDX-0243</x:v>
      </x:c>
      <x:c r="D244" s="6" t="str">
        <x:f>IFERROR(XLOOKUP(C244,'Review Sequence'!C2:C1586,'Review Sequence'!J2:J1586),"Dependency not found")</x:f>
        <x:v>Not Started</x:v>
      </x:c>
      <x:c r="E244" s="6" t="str"/>
      <x:c r="F244" s="6" t="str"/>
      <x:c r="G244" s="6" t="str"/>
      <x:c r="H244" s="6" t="str"/>
      <x:c r="I244" s="6" t="str"/>
      <x:c r="J244" s="6" t="str"/>
      <x:c r="K244" s="6" t="str"/>
      <x:c r="L244" s="6" t="str">
        <x:v>Unresolved</x:v>
      </x:c>
      <x:c r="M244" s="7" t="str">
        <x:v>Nocturnix_Master_Services_Catalog_v1.xlsx | 01 - Master Services | row 283</x:v>
      </x:c>
      <x:c r="N244" s="6" t="str"/>
      <x:c r="O244" s="6" t="str"/>
      <x:c r="P244" s="6" t="str">
        <x:v>Pending</x:v>
      </x:c>
      <x:c r="Q244" s="7" t="str">
        <x:f>IF(OR(D244="Reviewer Complete",D244="Awaiting Second-Level Approval"),"","Service identity dependency unresolved")</x:f>
        <x:v>Service identity dependency unresolved</x:v>
      </x:c>
      <x:c r="R244" s="6" t="str">
        <x:v>Yes</x:v>
      </x:c>
      <x:c r="S244" s="7" t="str"/>
    </x:row>
    <x:row r="245">
      <x:c r="A245" s="6" t="str">
        <x:v>LABX-0244</x:v>
      </x:c>
      <x:c r="B245" s="6" t="str">
        <x:v>SVC000244</x:v>
      </x:c>
      <x:c r="C245" s="6" t="str">
        <x:v>SIDX-0244</x:v>
      </x:c>
      <x:c r="D245" s="6" t="str">
        <x:f>IFERROR(XLOOKUP(C245,'Review Sequence'!C2:C1586,'Review Sequence'!J2:J1586),"Dependency not found")</x:f>
        <x:v>Not Started</x:v>
      </x:c>
      <x:c r="E245" s="6" t="str"/>
      <x:c r="F245" s="6" t="str"/>
      <x:c r="G245" s="6" t="str"/>
      <x:c r="H245" s="6" t="str"/>
      <x:c r="I245" s="6" t="str"/>
      <x:c r="J245" s="6" t="str"/>
      <x:c r="K245" s="6" t="str"/>
      <x:c r="L245" s="6" t="str">
        <x:v>Unresolved</x:v>
      </x:c>
      <x:c r="M245" s="7" t="str">
        <x:v>Nocturnix_Master_Services_Catalog_v1.xlsx | 01 - Master Services | row 284</x:v>
      </x:c>
      <x:c r="N245" s="6" t="str"/>
      <x:c r="O245" s="6" t="str"/>
      <x:c r="P245" s="6" t="str">
        <x:v>Pending</x:v>
      </x:c>
      <x:c r="Q245" s="7" t="str">
        <x:f>IF(OR(D245="Reviewer Complete",D245="Awaiting Second-Level Approval"),"","Service identity dependency unresolved")</x:f>
        <x:v>Service identity dependency unresolved</x:v>
      </x:c>
      <x:c r="R245" s="6" t="str">
        <x:v>Yes</x:v>
      </x:c>
      <x:c r="S245" s="7" t="str"/>
    </x:row>
    <x:row r="246">
      <x:c r="A246" s="6" t="str">
        <x:v>LABX-0245</x:v>
      </x:c>
      <x:c r="B246" s="6" t="str">
        <x:v>SVC000245</x:v>
      </x:c>
      <x:c r="C246" s="6" t="str">
        <x:v>SIDX-0245</x:v>
      </x:c>
      <x:c r="D246" s="6" t="str">
        <x:f>IFERROR(XLOOKUP(C246,'Review Sequence'!C2:C1586,'Review Sequence'!J2:J1586),"Dependency not found")</x:f>
        <x:v>Not Started</x:v>
      </x:c>
      <x:c r="E246" s="6" t="str"/>
      <x:c r="F246" s="6" t="str"/>
      <x:c r="G246" s="6" t="str"/>
      <x:c r="H246" s="6" t="str"/>
      <x:c r="I246" s="6" t="str"/>
      <x:c r="J246" s="6" t="str"/>
      <x:c r="K246" s="6" t="str"/>
      <x:c r="L246" s="6" t="str">
        <x:v>Unresolved</x:v>
      </x:c>
      <x:c r="M246" s="7" t="str">
        <x:v>Nocturnix_Master_Services_Catalog_v1.xlsx | 01 - Master Services | row 285</x:v>
      </x:c>
      <x:c r="N246" s="6" t="str"/>
      <x:c r="O246" s="6" t="str"/>
      <x:c r="P246" s="6" t="str">
        <x:v>Pending</x:v>
      </x:c>
      <x:c r="Q246" s="7" t="str">
        <x:f>IF(OR(D246="Reviewer Complete",D246="Awaiting Second-Level Approval"),"","Service identity dependency unresolved")</x:f>
        <x:v>Service identity dependency unresolved</x:v>
      </x:c>
      <x:c r="R246" s="6" t="str">
        <x:v>Yes</x:v>
      </x:c>
      <x:c r="S246" s="7" t="str"/>
    </x:row>
    <x:row r="247">
      <x:c r="A247" s="6" t="str">
        <x:v>LABX-0246</x:v>
      </x:c>
      <x:c r="B247" s="6" t="str">
        <x:v>SVC000246</x:v>
      </x:c>
      <x:c r="C247" s="6" t="str">
        <x:v>SIDX-0246</x:v>
      </x:c>
      <x:c r="D247" s="6" t="str">
        <x:f>IFERROR(XLOOKUP(C247,'Review Sequence'!C2:C1586,'Review Sequence'!J2:J1586),"Dependency not found")</x:f>
        <x:v>Not Started</x:v>
      </x:c>
      <x:c r="E247" s="6" t="str"/>
      <x:c r="F247" s="6" t="str"/>
      <x:c r="G247" s="6" t="str"/>
      <x:c r="H247" s="6" t="str"/>
      <x:c r="I247" s="6" t="str"/>
      <x:c r="J247" s="6" t="str"/>
      <x:c r="K247" s="6" t="str"/>
      <x:c r="L247" s="6" t="str">
        <x:v>Unresolved</x:v>
      </x:c>
      <x:c r="M247" s="7" t="str">
        <x:v>Nocturnix_Master_Services_Catalog_v1.xlsx | 01 - Master Services | row 286</x:v>
      </x:c>
      <x:c r="N247" s="6" t="str"/>
      <x:c r="O247" s="6" t="str"/>
      <x:c r="P247" s="6" t="str">
        <x:v>Pending</x:v>
      </x:c>
      <x:c r="Q247" s="7" t="str">
        <x:f>IF(OR(D247="Reviewer Complete",D247="Awaiting Second-Level Approval"),"","Service identity dependency unresolved")</x:f>
        <x:v>Service identity dependency unresolved</x:v>
      </x:c>
      <x:c r="R247" s="6" t="str">
        <x:v>Yes</x:v>
      </x:c>
      <x:c r="S247" s="7" t="str"/>
    </x:row>
    <x:row r="248">
      <x:c r="A248" s="6" t="str">
        <x:v>LABX-0247</x:v>
      </x:c>
      <x:c r="B248" s="6" t="str">
        <x:v>SVC000247</x:v>
      </x:c>
      <x:c r="C248" s="6" t="str">
        <x:v>SIDX-0247</x:v>
      </x:c>
      <x:c r="D248" s="6" t="str">
        <x:f>IFERROR(XLOOKUP(C248,'Review Sequence'!C2:C1586,'Review Sequence'!J2:J1586),"Dependency not found")</x:f>
        <x:v>Not Started</x:v>
      </x:c>
      <x:c r="E248" s="6" t="str"/>
      <x:c r="F248" s="6" t="str"/>
      <x:c r="G248" s="6" t="str"/>
      <x:c r="H248" s="6" t="str"/>
      <x:c r="I248" s="6" t="str"/>
      <x:c r="J248" s="6" t="str"/>
      <x:c r="K248" s="6" t="str"/>
      <x:c r="L248" s="6" t="str">
        <x:v>Unresolved</x:v>
      </x:c>
      <x:c r="M248" s="7" t="str">
        <x:v>Nocturnix_Master_Services_Catalog_v1.xlsx | 01 - Master Services | row 287</x:v>
      </x:c>
      <x:c r="N248" s="6" t="str"/>
      <x:c r="O248" s="6" t="str"/>
      <x:c r="P248" s="6" t="str">
        <x:v>Pending</x:v>
      </x:c>
      <x:c r="Q248" s="7" t="str">
        <x:f>IF(OR(D248="Reviewer Complete",D248="Awaiting Second-Level Approval"),"","Service identity dependency unresolved")</x:f>
        <x:v>Service identity dependency unresolved</x:v>
      </x:c>
      <x:c r="R248" s="6" t="str">
        <x:v>Yes</x:v>
      </x:c>
      <x:c r="S248" s="7" t="str"/>
    </x:row>
    <x:row r="249">
      <x:c r="A249" s="6" t="str">
        <x:v>LABX-0248</x:v>
      </x:c>
      <x:c r="B249" s="6" t="str">
        <x:v>SVC000248</x:v>
      </x:c>
      <x:c r="C249" s="6" t="str">
        <x:v>SIDX-0248</x:v>
      </x:c>
      <x:c r="D249" s="6" t="str">
        <x:f>IFERROR(XLOOKUP(C249,'Review Sequence'!C2:C1586,'Review Sequence'!J2:J1586),"Dependency not found")</x:f>
        <x:v>Not Started</x:v>
      </x:c>
      <x:c r="E249" s="6" t="str"/>
      <x:c r="F249" s="6" t="str"/>
      <x:c r="G249" s="6" t="str"/>
      <x:c r="H249" s="6" t="str"/>
      <x:c r="I249" s="6" t="str"/>
      <x:c r="J249" s="6" t="str"/>
      <x:c r="K249" s="6" t="str"/>
      <x:c r="L249" s="6" t="str">
        <x:v>Unresolved</x:v>
      </x:c>
      <x:c r="M249" s="7" t="str">
        <x:v>Nocturnix_Master_Services_Catalog_v1.xlsx | 01 - Master Services | row 288</x:v>
      </x:c>
      <x:c r="N249" s="6" t="str"/>
      <x:c r="O249" s="6" t="str"/>
      <x:c r="P249" s="6" t="str">
        <x:v>Pending</x:v>
      </x:c>
      <x:c r="Q249" s="7" t="str">
        <x:f>IF(OR(D249="Reviewer Complete",D249="Awaiting Second-Level Approval"),"","Service identity dependency unresolved")</x:f>
        <x:v>Service identity dependency unresolved</x:v>
      </x:c>
      <x:c r="R249" s="6" t="str">
        <x:v>Yes</x:v>
      </x:c>
      <x:c r="S249" s="7" t="str"/>
    </x:row>
    <x:row r="250">
      <x:c r="A250" s="6" t="str">
        <x:v>LABX-0249</x:v>
      </x:c>
      <x:c r="B250" s="6" t="str">
        <x:v>SVC000249</x:v>
      </x:c>
      <x:c r="C250" s="6" t="str">
        <x:v>SIDX-0249</x:v>
      </x:c>
      <x:c r="D250" s="6" t="str">
        <x:f>IFERROR(XLOOKUP(C250,'Review Sequence'!C2:C1586,'Review Sequence'!J2:J1586),"Dependency not found")</x:f>
        <x:v>Not Started</x:v>
      </x:c>
      <x:c r="E250" s="6" t="str"/>
      <x:c r="F250" s="6" t="str"/>
      <x:c r="G250" s="6" t="str"/>
      <x:c r="H250" s="6" t="str"/>
      <x:c r="I250" s="6" t="str"/>
      <x:c r="J250" s="6" t="str"/>
      <x:c r="K250" s="6" t="str"/>
      <x:c r="L250" s="6" t="str">
        <x:v>Unresolved</x:v>
      </x:c>
      <x:c r="M250" s="7" t="str">
        <x:v>Nocturnix_Master_Services_Catalog_v1.xlsx | 01 - Master Services | row 289</x:v>
      </x:c>
      <x:c r="N250" s="6" t="str"/>
      <x:c r="O250" s="6" t="str"/>
      <x:c r="P250" s="6" t="str">
        <x:v>Pending</x:v>
      </x:c>
      <x:c r="Q250" s="7" t="str">
        <x:f>IF(OR(D250="Reviewer Complete",D250="Awaiting Second-Level Approval"),"","Service identity dependency unresolved")</x:f>
        <x:v>Service identity dependency unresolved</x:v>
      </x:c>
      <x:c r="R250" s="6" t="str">
        <x:v>Yes</x:v>
      </x:c>
      <x:c r="S250" s="7" t="str"/>
    </x:row>
    <x:row r="251">
      <x:c r="A251" s="6" t="str">
        <x:v>LABX-0250</x:v>
      </x:c>
      <x:c r="B251" s="6" t="str">
        <x:v>SVC000250</x:v>
      </x:c>
      <x:c r="C251" s="6" t="str">
        <x:v>SIDX-0250</x:v>
      </x:c>
      <x:c r="D251" s="6" t="str">
        <x:f>IFERROR(XLOOKUP(C251,'Review Sequence'!C2:C1586,'Review Sequence'!J2:J1586),"Dependency not found")</x:f>
        <x:v>Not Started</x:v>
      </x:c>
      <x:c r="E251" s="6" t="str"/>
      <x:c r="F251" s="6" t="str"/>
      <x:c r="G251" s="6" t="str"/>
      <x:c r="H251" s="6" t="str"/>
      <x:c r="I251" s="6" t="str"/>
      <x:c r="J251" s="6" t="str"/>
      <x:c r="K251" s="6" t="str"/>
      <x:c r="L251" s="6" t="str">
        <x:v>Unresolved</x:v>
      </x:c>
      <x:c r="M251" s="7" t="str">
        <x:v>Nocturnix_Master_Services_Catalog_v1.xlsx | 01 - Master Services | row 290</x:v>
      </x:c>
      <x:c r="N251" s="6" t="str"/>
      <x:c r="O251" s="6" t="str"/>
      <x:c r="P251" s="6" t="str">
        <x:v>Pending</x:v>
      </x:c>
      <x:c r="Q251" s="7" t="str">
        <x:f>IF(OR(D251="Reviewer Complete",D251="Awaiting Second-Level Approval"),"","Service identity dependency unresolved")</x:f>
        <x:v>Service identity dependency unresolved</x:v>
      </x:c>
      <x:c r="R251" s="6" t="str">
        <x:v>Yes</x:v>
      </x:c>
      <x:c r="S251" s="7" t="str"/>
    </x:row>
    <x:row r="252">
      <x:c r="A252" s="6" t="str">
        <x:v>LABX-0251</x:v>
      </x:c>
      <x:c r="B252" s="6" t="str">
        <x:v>SVC000251</x:v>
      </x:c>
      <x:c r="C252" s="6" t="str">
        <x:v>SIDX-0251</x:v>
      </x:c>
      <x:c r="D252" s="6" t="str">
        <x:f>IFERROR(XLOOKUP(C252,'Review Sequence'!C2:C1586,'Review Sequence'!J2:J1586),"Dependency not found")</x:f>
        <x:v>Not Started</x:v>
      </x:c>
      <x:c r="E252" s="6" t="str"/>
      <x:c r="F252" s="6" t="str"/>
      <x:c r="G252" s="6" t="str"/>
      <x:c r="H252" s="6" t="str"/>
      <x:c r="I252" s="6" t="str"/>
      <x:c r="J252" s="6" t="str"/>
      <x:c r="K252" s="6" t="str"/>
      <x:c r="L252" s="6" t="str">
        <x:v>Unresolved</x:v>
      </x:c>
      <x:c r="M252" s="7" t="str">
        <x:v>Nocturnix_Master_Services_Catalog_v1.xlsx | 01 - Master Services | row 291</x:v>
      </x:c>
      <x:c r="N252" s="6" t="str"/>
      <x:c r="O252" s="6" t="str"/>
      <x:c r="P252" s="6" t="str">
        <x:v>Pending</x:v>
      </x:c>
      <x:c r="Q252" s="7" t="str">
        <x:f>IF(OR(D252="Reviewer Complete",D252="Awaiting Second-Level Approval"),"","Service identity dependency unresolved")</x:f>
        <x:v>Service identity dependency unresolved</x:v>
      </x:c>
      <x:c r="R252" s="6" t="str">
        <x:v>Yes</x:v>
      </x:c>
      <x:c r="S252" s="7" t="str"/>
    </x:row>
    <x:row r="253">
      <x:c r="A253" s="6" t="str">
        <x:v>LABX-0252</x:v>
      </x:c>
      <x:c r="B253" s="6" t="str">
        <x:v>SVC000252</x:v>
      </x:c>
      <x:c r="C253" s="6" t="str">
        <x:v>SIDX-0252</x:v>
      </x:c>
      <x:c r="D253" s="6" t="str">
        <x:f>IFERROR(XLOOKUP(C253,'Review Sequence'!C2:C1586,'Review Sequence'!J2:J1586),"Dependency not found")</x:f>
        <x:v>Not Started</x:v>
      </x:c>
      <x:c r="E253" s="6" t="str"/>
      <x:c r="F253" s="6" t="str"/>
      <x:c r="G253" s="6" t="str"/>
      <x:c r="H253" s="6" t="str"/>
      <x:c r="I253" s="6" t="str"/>
      <x:c r="J253" s="6" t="str"/>
      <x:c r="K253" s="6" t="str"/>
      <x:c r="L253" s="6" t="str">
        <x:v>Unresolved</x:v>
      </x:c>
      <x:c r="M253" s="7" t="str">
        <x:v>Nocturnix_Master_Services_Catalog_v1.xlsx | 01 - Master Services | row 292</x:v>
      </x:c>
      <x:c r="N253" s="6" t="str"/>
      <x:c r="O253" s="6" t="str"/>
      <x:c r="P253" s="6" t="str">
        <x:v>Pending</x:v>
      </x:c>
      <x:c r="Q253" s="7" t="str">
        <x:f>IF(OR(D253="Reviewer Complete",D253="Awaiting Second-Level Approval"),"","Service identity dependency unresolved")</x:f>
        <x:v>Service identity dependency unresolved</x:v>
      </x:c>
      <x:c r="R253" s="6" t="str">
        <x:v>Yes</x:v>
      </x:c>
      <x:c r="S253" s="7" t="str"/>
    </x:row>
    <x:row r="254">
      <x:c r="A254" s="6" t="str">
        <x:v>LABX-0253</x:v>
      </x:c>
      <x:c r="B254" s="6" t="str">
        <x:v>SVC000253</x:v>
      </x:c>
      <x:c r="C254" s="6" t="str">
        <x:v>SIDX-0253</x:v>
      </x:c>
      <x:c r="D254" s="6" t="str">
        <x:f>IFERROR(XLOOKUP(C254,'Review Sequence'!C2:C1586,'Review Sequence'!J2:J1586),"Dependency not found")</x:f>
        <x:v>Not Started</x:v>
      </x:c>
      <x:c r="E254" s="6" t="str"/>
      <x:c r="F254" s="6" t="str"/>
      <x:c r="G254" s="6" t="str"/>
      <x:c r="H254" s="6" t="str"/>
      <x:c r="I254" s="6" t="str"/>
      <x:c r="J254" s="6" t="str"/>
      <x:c r="K254" s="6" t="str"/>
      <x:c r="L254" s="6" t="str">
        <x:v>Unresolved</x:v>
      </x:c>
      <x:c r="M254" s="7" t="str">
        <x:v>Nocturnix_Master_Services_Catalog_v1.xlsx | 01 - Master Services | row 293</x:v>
      </x:c>
      <x:c r="N254" s="6" t="str"/>
      <x:c r="O254" s="6" t="str"/>
      <x:c r="P254" s="6" t="str">
        <x:v>Pending</x:v>
      </x:c>
      <x:c r="Q254" s="7" t="str">
        <x:f>IF(OR(D254="Reviewer Complete",D254="Awaiting Second-Level Approval"),"","Service identity dependency unresolved")</x:f>
        <x:v>Service identity dependency unresolved</x:v>
      </x:c>
      <x:c r="R254" s="6" t="str">
        <x:v>Yes</x:v>
      </x:c>
      <x:c r="S254" s="7" t="str"/>
    </x:row>
    <x:row r="255">
      <x:c r="A255" s="6" t="str">
        <x:v>LABX-0254</x:v>
      </x:c>
      <x:c r="B255" s="6" t="str">
        <x:v>SVC000254</x:v>
      </x:c>
      <x:c r="C255" s="6" t="str">
        <x:v>SIDX-0254</x:v>
      </x:c>
      <x:c r="D255" s="6" t="str">
        <x:f>IFERROR(XLOOKUP(C255,'Review Sequence'!C2:C1586,'Review Sequence'!J2:J1586),"Dependency not found")</x:f>
        <x:v>Not Started</x:v>
      </x:c>
      <x:c r="E255" s="6" t="str"/>
      <x:c r="F255" s="6" t="str"/>
      <x:c r="G255" s="6" t="str"/>
      <x:c r="H255" s="6" t="str"/>
      <x:c r="I255" s="6" t="str"/>
      <x:c r="J255" s="6" t="str"/>
      <x:c r="K255" s="6" t="str"/>
      <x:c r="L255" s="6" t="str">
        <x:v>Unresolved</x:v>
      </x:c>
      <x:c r="M255" s="7" t="str">
        <x:v>Nocturnix_Master_Services_Catalog_v1.xlsx | 01 - Master Services | row 294</x:v>
      </x:c>
      <x:c r="N255" s="6" t="str"/>
      <x:c r="O255" s="6" t="str"/>
      <x:c r="P255" s="6" t="str">
        <x:v>Pending</x:v>
      </x:c>
      <x:c r="Q255" s="7" t="str">
        <x:f>IF(OR(D255="Reviewer Complete",D255="Awaiting Second-Level Approval"),"","Service identity dependency unresolved")</x:f>
        <x:v>Service identity dependency unresolved</x:v>
      </x:c>
      <x:c r="R255" s="6" t="str">
        <x:v>Yes</x:v>
      </x:c>
      <x:c r="S255" s="7" t="str"/>
    </x:row>
    <x:row r="256">
      <x:c r="A256" s="6" t="str">
        <x:v>LABX-0255</x:v>
      </x:c>
      <x:c r="B256" s="6" t="str">
        <x:v>SVC000255</x:v>
      </x:c>
      <x:c r="C256" s="6" t="str">
        <x:v>SIDX-0255</x:v>
      </x:c>
      <x:c r="D256" s="6" t="str">
        <x:f>IFERROR(XLOOKUP(C256,'Review Sequence'!C2:C1586,'Review Sequence'!J2:J1586),"Dependency not found")</x:f>
        <x:v>Not Started</x:v>
      </x:c>
      <x:c r="E256" s="6" t="str"/>
      <x:c r="F256" s="6" t="str"/>
      <x:c r="G256" s="6" t="str"/>
      <x:c r="H256" s="6" t="str"/>
      <x:c r="I256" s="6" t="str"/>
      <x:c r="J256" s="6" t="str"/>
      <x:c r="K256" s="6" t="str"/>
      <x:c r="L256" s="6" t="str">
        <x:v>Unresolved</x:v>
      </x:c>
      <x:c r="M256" s="7" t="str">
        <x:v>Nocturnix_Master_Services_Catalog_v1.xlsx | 01 - Master Services | row 295</x:v>
      </x:c>
      <x:c r="N256" s="6" t="str"/>
      <x:c r="O256" s="6" t="str"/>
      <x:c r="P256" s="6" t="str">
        <x:v>Pending</x:v>
      </x:c>
      <x:c r="Q256" s="7" t="str">
        <x:f>IF(OR(D256="Reviewer Complete",D256="Awaiting Second-Level Approval"),"","Service identity dependency unresolved")</x:f>
        <x:v>Service identity dependency unresolved</x:v>
      </x:c>
      <x:c r="R256" s="6" t="str">
        <x:v>Yes</x:v>
      </x:c>
      <x:c r="S256" s="7" t="str"/>
    </x:row>
    <x:row r="257">
      <x:c r="A257" s="6" t="str">
        <x:v>LABX-0256</x:v>
      </x:c>
      <x:c r="B257" s="6" t="str">
        <x:v>SVC000256</x:v>
      </x:c>
      <x:c r="C257" s="6" t="str">
        <x:v>SIDX-0256</x:v>
      </x:c>
      <x:c r="D257" s="6" t="str">
        <x:f>IFERROR(XLOOKUP(C257,'Review Sequence'!C2:C1586,'Review Sequence'!J2:J1586),"Dependency not found")</x:f>
        <x:v>Not Started</x:v>
      </x:c>
      <x:c r="E257" s="6" t="str"/>
      <x:c r="F257" s="6" t="str"/>
      <x:c r="G257" s="6" t="str"/>
      <x:c r="H257" s="6" t="str"/>
      <x:c r="I257" s="6" t="str"/>
      <x:c r="J257" s="6" t="str"/>
      <x:c r="K257" s="6" t="str"/>
      <x:c r="L257" s="6" t="str">
        <x:v>Unresolved</x:v>
      </x:c>
      <x:c r="M257" s="7" t="str">
        <x:v>Nocturnix_Master_Services_Catalog_v1.xlsx | 01 - Master Services | row 296</x:v>
      </x:c>
      <x:c r="N257" s="6" t="str"/>
      <x:c r="O257" s="6" t="str"/>
      <x:c r="P257" s="6" t="str">
        <x:v>Pending</x:v>
      </x:c>
      <x:c r="Q257" s="7" t="str">
        <x:f>IF(OR(D257="Reviewer Complete",D257="Awaiting Second-Level Approval"),"","Service identity dependency unresolved")</x:f>
        <x:v>Service identity dependency unresolved</x:v>
      </x:c>
      <x:c r="R257" s="6" t="str">
        <x:v>Yes</x:v>
      </x:c>
      <x:c r="S257" s="7" t="str"/>
    </x:row>
    <x:row r="258">
      <x:c r="A258" s="6" t="str">
        <x:v>LABX-0257</x:v>
      </x:c>
      <x:c r="B258" s="6" t="str">
        <x:v>SVC000257</x:v>
      </x:c>
      <x:c r="C258" s="6" t="str">
        <x:v>SIDX-0257</x:v>
      </x:c>
      <x:c r="D258" s="6" t="str">
        <x:f>IFERROR(XLOOKUP(C258,'Review Sequence'!C2:C1586,'Review Sequence'!J2:J1586),"Dependency not found")</x:f>
        <x:v>Not Started</x:v>
      </x:c>
      <x:c r="E258" s="6" t="str"/>
      <x:c r="F258" s="6" t="str"/>
      <x:c r="G258" s="6" t="str"/>
      <x:c r="H258" s="6" t="str"/>
      <x:c r="I258" s="6" t="str"/>
      <x:c r="J258" s="6" t="str"/>
      <x:c r="K258" s="6" t="str"/>
      <x:c r="L258" s="6" t="str">
        <x:v>Unresolved</x:v>
      </x:c>
      <x:c r="M258" s="7" t="str">
        <x:v>Nocturnix_Master_Services_Catalog_v1.xlsx | 01 - Master Services | row 297</x:v>
      </x:c>
      <x:c r="N258" s="6" t="str"/>
      <x:c r="O258" s="6" t="str"/>
      <x:c r="P258" s="6" t="str">
        <x:v>Pending</x:v>
      </x:c>
      <x:c r="Q258" s="7" t="str">
        <x:f>IF(OR(D258="Reviewer Complete",D258="Awaiting Second-Level Approval"),"","Service identity dependency unresolved")</x:f>
        <x:v>Service identity dependency unresolved</x:v>
      </x:c>
      <x:c r="R258" s="6" t="str">
        <x:v>Yes</x:v>
      </x:c>
      <x:c r="S258" s="7" t="str"/>
    </x:row>
    <x:row r="259">
      <x:c r="A259" s="6" t="str">
        <x:v>LABX-0258</x:v>
      </x:c>
      <x:c r="B259" s="6" t="str">
        <x:v>SVC000258</x:v>
      </x:c>
      <x:c r="C259" s="6" t="str">
        <x:v>SIDX-0258</x:v>
      </x:c>
      <x:c r="D259" s="6" t="str">
        <x:f>IFERROR(XLOOKUP(C259,'Review Sequence'!C2:C1586,'Review Sequence'!J2:J1586),"Dependency not found")</x:f>
        <x:v>Not Started</x:v>
      </x:c>
      <x:c r="E259" s="6" t="str"/>
      <x:c r="F259" s="6" t="str"/>
      <x:c r="G259" s="6" t="str"/>
      <x:c r="H259" s="6" t="str"/>
      <x:c r="I259" s="6" t="str"/>
      <x:c r="J259" s="6" t="str"/>
      <x:c r="K259" s="6" t="str"/>
      <x:c r="L259" s="6" t="str">
        <x:v>Unresolved</x:v>
      </x:c>
      <x:c r="M259" s="7" t="str">
        <x:v>Nocturnix_Master_Services_Catalog_v1.xlsx | 01 - Master Services | row 298</x:v>
      </x:c>
      <x:c r="N259" s="6" t="str"/>
      <x:c r="O259" s="6" t="str"/>
      <x:c r="P259" s="6" t="str">
        <x:v>Pending</x:v>
      </x:c>
      <x:c r="Q259" s="7" t="str">
        <x:f>IF(OR(D259="Reviewer Complete",D259="Awaiting Second-Level Approval"),"","Service identity dependency unresolved")</x:f>
        <x:v>Service identity dependency unresolved</x:v>
      </x:c>
      <x:c r="R259" s="6" t="str">
        <x:v>Yes</x:v>
      </x:c>
      <x:c r="S259" s="7" t="str"/>
    </x:row>
    <x:row r="260">
      <x:c r="A260" s="6" t="str">
        <x:v>LABX-0259</x:v>
      </x:c>
      <x:c r="B260" s="6" t="str">
        <x:v>SVC000259</x:v>
      </x:c>
      <x:c r="C260" s="6" t="str">
        <x:v>SIDX-0259</x:v>
      </x:c>
      <x:c r="D260" s="6" t="str">
        <x:f>IFERROR(XLOOKUP(C260,'Review Sequence'!C2:C1586,'Review Sequence'!J2:J1586),"Dependency not found")</x:f>
        <x:v>Not Started</x:v>
      </x:c>
      <x:c r="E260" s="6" t="str"/>
      <x:c r="F260" s="6" t="str"/>
      <x:c r="G260" s="6" t="str"/>
      <x:c r="H260" s="6" t="str"/>
      <x:c r="I260" s="6" t="str"/>
      <x:c r="J260" s="6" t="str"/>
      <x:c r="K260" s="6" t="str"/>
      <x:c r="L260" s="6" t="str">
        <x:v>Unresolved</x:v>
      </x:c>
      <x:c r="M260" s="7" t="str">
        <x:v>Nocturnix_Master_Services_Catalog_v1.xlsx | 01 - Master Services | row 299</x:v>
      </x:c>
      <x:c r="N260" s="6" t="str"/>
      <x:c r="O260" s="6" t="str"/>
      <x:c r="P260" s="6" t="str">
        <x:v>Pending</x:v>
      </x:c>
      <x:c r="Q260" s="7" t="str">
        <x:f>IF(OR(D260="Reviewer Complete",D260="Awaiting Second-Level Approval"),"","Service identity dependency unresolved")</x:f>
        <x:v>Service identity dependency unresolved</x:v>
      </x:c>
      <x:c r="R260" s="6" t="str">
        <x:v>Yes</x:v>
      </x:c>
      <x:c r="S260" s="7" t="str"/>
    </x:row>
    <x:row r="261">
      <x:c r="A261" s="6" t="str">
        <x:v>LABX-0260</x:v>
      </x:c>
      <x:c r="B261" s="6" t="str">
        <x:v>SVC000260</x:v>
      </x:c>
      <x:c r="C261" s="6" t="str">
        <x:v>SIDX-0260</x:v>
      </x:c>
      <x:c r="D261" s="6" t="str">
        <x:f>IFERROR(XLOOKUP(C261,'Review Sequence'!C2:C1586,'Review Sequence'!J2:J1586),"Dependency not found")</x:f>
        <x:v>Not Started</x:v>
      </x:c>
      <x:c r="E261" s="6" t="str"/>
      <x:c r="F261" s="6" t="str"/>
      <x:c r="G261" s="6" t="str"/>
      <x:c r="H261" s="6" t="str"/>
      <x:c r="I261" s="6" t="str"/>
      <x:c r="J261" s="6" t="str"/>
      <x:c r="K261" s="6" t="str"/>
      <x:c r="L261" s="6" t="str">
        <x:v>Unresolved</x:v>
      </x:c>
      <x:c r="M261" s="7" t="str">
        <x:v>Nocturnix_Master_Services_Catalog_v1.xlsx | 01 - Master Services | row 300</x:v>
      </x:c>
      <x:c r="N261" s="6" t="str"/>
      <x:c r="O261" s="6" t="str"/>
      <x:c r="P261" s="6" t="str">
        <x:v>Pending</x:v>
      </x:c>
      <x:c r="Q261" s="7" t="str">
        <x:f>IF(OR(D261="Reviewer Complete",D261="Awaiting Second-Level Approval"),"","Service identity dependency unresolved")</x:f>
        <x:v>Service identity dependency unresolved</x:v>
      </x:c>
      <x:c r="R261" s="6" t="str">
        <x:v>Yes</x:v>
      </x:c>
      <x:c r="S261" s="7" t="str"/>
    </x:row>
    <x:row r="262">
      <x:c r="A262" s="6" t="str">
        <x:v>LABX-0261</x:v>
      </x:c>
      <x:c r="B262" s="6" t="str">
        <x:v>SVC000261</x:v>
      </x:c>
      <x:c r="C262" s="6" t="str">
        <x:v>SIDX-0261</x:v>
      </x:c>
      <x:c r="D262" s="6" t="str">
        <x:f>IFERROR(XLOOKUP(C262,'Review Sequence'!C2:C1586,'Review Sequence'!J2:J1586),"Dependency not found")</x:f>
        <x:v>Not Started</x:v>
      </x:c>
      <x:c r="E262" s="6" t="str"/>
      <x:c r="F262" s="6" t="str"/>
      <x:c r="G262" s="6" t="str"/>
      <x:c r="H262" s="6" t="str"/>
      <x:c r="I262" s="6" t="str"/>
      <x:c r="J262" s="6" t="str"/>
      <x:c r="K262" s="6" t="str"/>
      <x:c r="L262" s="6" t="str">
        <x:v>Unresolved</x:v>
      </x:c>
      <x:c r="M262" s="7" t="str">
        <x:v>Nocturnix_Master_Services_Catalog_v1.xlsx | 01 - Master Services | row 301</x:v>
      </x:c>
      <x:c r="N262" s="6" t="str"/>
      <x:c r="O262" s="6" t="str"/>
      <x:c r="P262" s="6" t="str">
        <x:v>Pending</x:v>
      </x:c>
      <x:c r="Q262" s="7" t="str">
        <x:f>IF(OR(D262="Reviewer Complete",D262="Awaiting Second-Level Approval"),"","Service identity dependency unresolved")</x:f>
        <x:v>Service identity dependency unresolved</x:v>
      </x:c>
      <x:c r="R262" s="6" t="str">
        <x:v>Yes</x:v>
      </x:c>
      <x:c r="S262" s="7" t="str"/>
    </x:row>
    <x:row r="263">
      <x:c r="A263" s="6" t="str">
        <x:v>LABX-0262</x:v>
      </x:c>
      <x:c r="B263" s="6" t="str">
        <x:v>SVC000262</x:v>
      </x:c>
      <x:c r="C263" s="6" t="str">
        <x:v>SIDX-0262</x:v>
      </x:c>
      <x:c r="D263" s="6" t="str">
        <x:f>IFERROR(XLOOKUP(C263,'Review Sequence'!C2:C1586,'Review Sequence'!J2:J1586),"Dependency not found")</x:f>
        <x:v>Not Started</x:v>
      </x:c>
      <x:c r="E263" s="6" t="str"/>
      <x:c r="F263" s="6" t="str"/>
      <x:c r="G263" s="6" t="str"/>
      <x:c r="H263" s="6" t="str"/>
      <x:c r="I263" s="6" t="str"/>
      <x:c r="J263" s="6" t="str"/>
      <x:c r="K263" s="6" t="str"/>
      <x:c r="L263" s="6" t="str">
        <x:v>Unresolved</x:v>
      </x:c>
      <x:c r="M263" s="7" t="str">
        <x:v>Nocturnix_Master_Services_Catalog_v1.xlsx | 01 - Master Services | row 302</x:v>
      </x:c>
      <x:c r="N263" s="6" t="str"/>
      <x:c r="O263" s="6" t="str"/>
      <x:c r="P263" s="6" t="str">
        <x:v>Pending</x:v>
      </x:c>
      <x:c r="Q263" s="7" t="str">
        <x:f>IF(OR(D263="Reviewer Complete",D263="Awaiting Second-Level Approval"),"","Service identity dependency unresolved")</x:f>
        <x:v>Service identity dependency unresolved</x:v>
      </x:c>
      <x:c r="R263" s="6" t="str">
        <x:v>Yes</x:v>
      </x:c>
      <x:c r="S263" s="7" t="str"/>
    </x:row>
    <x:row r="264">
      <x:c r="A264" s="6" t="str">
        <x:v>LABX-0263</x:v>
      </x:c>
      <x:c r="B264" s="6" t="str">
        <x:v>SVC000263</x:v>
      </x:c>
      <x:c r="C264" s="6" t="str">
        <x:v>SIDX-0263</x:v>
      </x:c>
      <x:c r="D264" s="6" t="str">
        <x:f>IFERROR(XLOOKUP(C264,'Review Sequence'!C2:C1586,'Review Sequence'!J2:J1586),"Dependency not found")</x:f>
        <x:v>Not Started</x:v>
      </x:c>
      <x:c r="E264" s="6" t="str"/>
      <x:c r="F264" s="6" t="str"/>
      <x:c r="G264" s="6" t="str"/>
      <x:c r="H264" s="6" t="str"/>
      <x:c r="I264" s="6" t="str"/>
      <x:c r="J264" s="6" t="str"/>
      <x:c r="K264" s="6" t="str"/>
      <x:c r="L264" s="6" t="str">
        <x:v>Unresolved</x:v>
      </x:c>
      <x:c r="M264" s="7" t="str">
        <x:v>Nocturnix_Master_Services_Catalog_v1.xlsx | 01 - Master Services | row 303</x:v>
      </x:c>
      <x:c r="N264" s="6" t="str"/>
      <x:c r="O264" s="6" t="str"/>
      <x:c r="P264" s="6" t="str">
        <x:v>Pending</x:v>
      </x:c>
      <x:c r="Q264" s="7" t="str">
        <x:f>IF(OR(D264="Reviewer Complete",D264="Awaiting Second-Level Approval"),"","Service identity dependency unresolved")</x:f>
        <x:v>Service identity dependency unresolved</x:v>
      </x:c>
      <x:c r="R264" s="6" t="str">
        <x:v>Yes</x:v>
      </x:c>
      <x:c r="S264" s="7" t="str"/>
    </x:row>
    <x:row r="265">
      <x:c r="A265" s="6" t="str">
        <x:v>LABX-0264</x:v>
      </x:c>
      <x:c r="B265" s="6" t="str">
        <x:v>SVC000264</x:v>
      </x:c>
      <x:c r="C265" s="6" t="str">
        <x:v>SIDX-0264</x:v>
      </x:c>
      <x:c r="D265" s="6" t="str">
        <x:f>IFERROR(XLOOKUP(C265,'Review Sequence'!C2:C1586,'Review Sequence'!J2:J1586),"Dependency not found")</x:f>
        <x:v>Not Started</x:v>
      </x:c>
      <x:c r="E265" s="6" t="str"/>
      <x:c r="F265" s="6" t="str"/>
      <x:c r="G265" s="6" t="str"/>
      <x:c r="H265" s="6" t="str"/>
      <x:c r="I265" s="6" t="str"/>
      <x:c r="J265" s="6" t="str"/>
      <x:c r="K265" s="6" t="str"/>
      <x:c r="L265" s="6" t="str">
        <x:v>Unresolved</x:v>
      </x:c>
      <x:c r="M265" s="7" t="str">
        <x:v>Nocturnix_Master_Services_Catalog_v1.xlsx | 01 - Master Services | row 304</x:v>
      </x:c>
      <x:c r="N265" s="6" t="str"/>
      <x:c r="O265" s="6" t="str"/>
      <x:c r="P265" s="6" t="str">
        <x:v>Pending</x:v>
      </x:c>
      <x:c r="Q265" s="7" t="str">
        <x:f>IF(OR(D265="Reviewer Complete",D265="Awaiting Second-Level Approval"),"","Service identity dependency unresolved")</x:f>
        <x:v>Service identity dependency unresolved</x:v>
      </x:c>
      <x:c r="R265" s="6" t="str">
        <x:v>Yes</x:v>
      </x:c>
      <x:c r="S265" s="7" t="str"/>
    </x:row>
    <x:row r="266">
      <x:c r="A266" s="6" t="str">
        <x:v>LABX-0265</x:v>
      </x:c>
      <x:c r="B266" s="6" t="str">
        <x:v>SVC000265</x:v>
      </x:c>
      <x:c r="C266" s="6" t="str">
        <x:v>SIDX-0265</x:v>
      </x:c>
      <x:c r="D266" s="6" t="str">
        <x:f>IFERROR(XLOOKUP(C266,'Review Sequence'!C2:C1586,'Review Sequence'!J2:J1586),"Dependency not found")</x:f>
        <x:v>Not Started</x:v>
      </x:c>
      <x:c r="E266" s="6" t="str"/>
      <x:c r="F266" s="6" t="str"/>
      <x:c r="G266" s="6" t="str"/>
      <x:c r="H266" s="6" t="str"/>
      <x:c r="I266" s="6" t="str"/>
      <x:c r="J266" s="6" t="str"/>
      <x:c r="K266" s="6" t="str"/>
      <x:c r="L266" s="6" t="str">
        <x:v>Unresolved</x:v>
      </x:c>
      <x:c r="M266" s="7" t="str">
        <x:v>Nocturnix_Master_Services_Catalog_v1.xlsx | 01 - Master Services | row 305</x:v>
      </x:c>
      <x:c r="N266" s="6" t="str"/>
      <x:c r="O266" s="6" t="str"/>
      <x:c r="P266" s="6" t="str">
        <x:v>Pending</x:v>
      </x:c>
      <x:c r="Q266" s="7" t="str">
        <x:f>IF(OR(D266="Reviewer Complete",D266="Awaiting Second-Level Approval"),"","Service identity dependency unresolved")</x:f>
        <x:v>Service identity dependency unresolved</x:v>
      </x:c>
      <x:c r="R266" s="6" t="str">
        <x:v>Yes</x:v>
      </x:c>
      <x:c r="S266" s="7" t="str"/>
    </x:row>
    <x:row r="267">
      <x:c r="A267" s="6" t="str">
        <x:v>LABX-0266</x:v>
      </x:c>
      <x:c r="B267" s="6" t="str">
        <x:v>SVC000266</x:v>
      </x:c>
      <x:c r="C267" s="6" t="str">
        <x:v>SIDX-0266</x:v>
      </x:c>
      <x:c r="D267" s="6" t="str">
        <x:f>IFERROR(XLOOKUP(C267,'Review Sequence'!C2:C1586,'Review Sequence'!J2:J1586),"Dependency not found")</x:f>
        <x:v>Not Started</x:v>
      </x:c>
      <x:c r="E267" s="6" t="str"/>
      <x:c r="F267" s="6" t="str"/>
      <x:c r="G267" s="6" t="str"/>
      <x:c r="H267" s="6" t="str"/>
      <x:c r="I267" s="6" t="str"/>
      <x:c r="J267" s="6" t="str"/>
      <x:c r="K267" s="6" t="str"/>
      <x:c r="L267" s="6" t="str">
        <x:v>Unresolved</x:v>
      </x:c>
      <x:c r="M267" s="7" t="str">
        <x:v>Nocturnix_Master_Services_Catalog_v1.xlsx | 01 - Master Services | row 306</x:v>
      </x:c>
      <x:c r="N267" s="6" t="str"/>
      <x:c r="O267" s="6" t="str"/>
      <x:c r="P267" s="6" t="str">
        <x:v>Pending</x:v>
      </x:c>
      <x:c r="Q267" s="7" t="str">
        <x:f>IF(OR(D267="Reviewer Complete",D267="Awaiting Second-Level Approval"),"","Service identity dependency unresolved")</x:f>
        <x:v>Service identity dependency unresolved</x:v>
      </x:c>
      <x:c r="R267" s="6" t="str">
        <x:v>Yes</x:v>
      </x:c>
      <x:c r="S267" s="7" t="str"/>
    </x:row>
    <x:row r="268">
      <x:c r="A268" s="6" t="str">
        <x:v>LABX-0267</x:v>
      </x:c>
      <x:c r="B268" s="6" t="str">
        <x:v>SVC000267</x:v>
      </x:c>
      <x:c r="C268" s="6" t="str">
        <x:v>SIDX-0267</x:v>
      </x:c>
      <x:c r="D268" s="6" t="str">
        <x:f>IFERROR(XLOOKUP(C268,'Review Sequence'!C2:C1586,'Review Sequence'!J2:J1586),"Dependency not found")</x:f>
        <x:v>Not Started</x:v>
      </x:c>
      <x:c r="E268" s="6" t="str"/>
      <x:c r="F268" s="6" t="str"/>
      <x:c r="G268" s="6" t="str"/>
      <x:c r="H268" s="6" t="str"/>
      <x:c r="I268" s="6" t="str"/>
      <x:c r="J268" s="6" t="str"/>
      <x:c r="K268" s="6" t="str"/>
      <x:c r="L268" s="6" t="str">
        <x:v>Unresolved</x:v>
      </x:c>
      <x:c r="M268" s="7" t="str">
        <x:v>Nocturnix_Master_Services_Catalog_v1.xlsx | 01 - Master Services | row 307</x:v>
      </x:c>
      <x:c r="N268" s="6" t="str"/>
      <x:c r="O268" s="6" t="str"/>
      <x:c r="P268" s="6" t="str">
        <x:v>Pending</x:v>
      </x:c>
      <x:c r="Q268" s="7" t="str">
        <x:f>IF(OR(D268="Reviewer Complete",D268="Awaiting Second-Level Approval"),"","Service identity dependency unresolved")</x:f>
        <x:v>Service identity dependency unresolved</x:v>
      </x:c>
      <x:c r="R268" s="6" t="str">
        <x:v>Yes</x:v>
      </x:c>
      <x:c r="S268" s="7" t="str"/>
    </x:row>
    <x:row r="269">
      <x:c r="A269" s="6" t="str">
        <x:v>LABX-0268</x:v>
      </x:c>
      <x:c r="B269" s="6" t="str">
        <x:v>SVC000268</x:v>
      </x:c>
      <x:c r="C269" s="6" t="str">
        <x:v>SIDX-0268</x:v>
      </x:c>
      <x:c r="D269" s="6" t="str">
        <x:f>IFERROR(XLOOKUP(C269,'Review Sequence'!C2:C1586,'Review Sequence'!J2:J1586),"Dependency not found")</x:f>
        <x:v>Not Started</x:v>
      </x:c>
      <x:c r="E269" s="6" t="str"/>
      <x:c r="F269" s="6" t="str"/>
      <x:c r="G269" s="6" t="str"/>
      <x:c r="H269" s="6" t="str"/>
      <x:c r="I269" s="6" t="str"/>
      <x:c r="J269" s="6" t="str"/>
      <x:c r="K269" s="6" t="str"/>
      <x:c r="L269" s="6" t="str">
        <x:v>Unresolved</x:v>
      </x:c>
      <x:c r="M269" s="7" t="str">
        <x:v>Nocturnix_Master_Services_Catalog_v1.xlsx | 01 - Master Services | row 308</x:v>
      </x:c>
      <x:c r="N269" s="6" t="str"/>
      <x:c r="O269" s="6" t="str"/>
      <x:c r="P269" s="6" t="str">
        <x:v>Pending</x:v>
      </x:c>
      <x:c r="Q269" s="7" t="str">
        <x:f>IF(OR(D269="Reviewer Complete",D269="Awaiting Second-Level Approval"),"","Service identity dependency unresolved")</x:f>
        <x:v>Service identity dependency unresolved</x:v>
      </x:c>
      <x:c r="R269" s="6" t="str">
        <x:v>Yes</x:v>
      </x:c>
      <x:c r="S269" s="7" t="str"/>
    </x:row>
    <x:row r="270">
      <x:c r="A270" s="6" t="str">
        <x:v>LABX-0269</x:v>
      </x:c>
      <x:c r="B270" s="6" t="str">
        <x:v>SVC000269</x:v>
      </x:c>
      <x:c r="C270" s="6" t="str">
        <x:v>SIDX-0269</x:v>
      </x:c>
      <x:c r="D270" s="6" t="str">
        <x:f>IFERROR(XLOOKUP(C270,'Review Sequence'!C2:C1586,'Review Sequence'!J2:J1586),"Dependency not found")</x:f>
        <x:v>Not Started</x:v>
      </x:c>
      <x:c r="E270" s="6" t="str"/>
      <x:c r="F270" s="6" t="str"/>
      <x:c r="G270" s="6" t="str"/>
      <x:c r="H270" s="6" t="str"/>
      <x:c r="I270" s="6" t="str"/>
      <x:c r="J270" s="6" t="str"/>
      <x:c r="K270" s="6" t="str"/>
      <x:c r="L270" s="6" t="str">
        <x:v>Unresolved</x:v>
      </x:c>
      <x:c r="M270" s="7" t="str">
        <x:v>Nocturnix_Master_Services_Catalog_v1.xlsx | 01 - Master Services | row 309</x:v>
      </x:c>
      <x:c r="N270" s="6" t="str"/>
      <x:c r="O270" s="6" t="str"/>
      <x:c r="P270" s="6" t="str">
        <x:v>Pending</x:v>
      </x:c>
      <x:c r="Q270" s="7" t="str">
        <x:f>IF(OR(D270="Reviewer Complete",D270="Awaiting Second-Level Approval"),"","Service identity dependency unresolved")</x:f>
        <x:v>Service identity dependency unresolved</x:v>
      </x:c>
      <x:c r="R270" s="6" t="str">
        <x:v>Yes</x:v>
      </x:c>
      <x:c r="S270" s="7" t="str"/>
    </x:row>
    <x:row r="271">
      <x:c r="A271" s="6" t="str">
        <x:v>LABX-0270</x:v>
      </x:c>
      <x:c r="B271" s="6" t="str">
        <x:v>SVC000270</x:v>
      </x:c>
      <x:c r="C271" s="6" t="str">
        <x:v>SIDX-0270</x:v>
      </x:c>
      <x:c r="D271" s="6" t="str">
        <x:f>IFERROR(XLOOKUP(C271,'Review Sequence'!C2:C1586,'Review Sequence'!J2:J1586),"Dependency not found")</x:f>
        <x:v>Not Started</x:v>
      </x:c>
      <x:c r="E271" s="6" t="str"/>
      <x:c r="F271" s="6" t="str"/>
      <x:c r="G271" s="6" t="str"/>
      <x:c r="H271" s="6" t="str"/>
      <x:c r="I271" s="6" t="str"/>
      <x:c r="J271" s="6" t="str"/>
      <x:c r="K271" s="6" t="str"/>
      <x:c r="L271" s="6" t="str">
        <x:v>Unresolved</x:v>
      </x:c>
      <x:c r="M271" s="7" t="str">
        <x:v>Nocturnix_Master_Services_Catalog_v1.xlsx | 01 - Master Services | row 310</x:v>
      </x:c>
      <x:c r="N271" s="6" t="str"/>
      <x:c r="O271" s="6" t="str"/>
      <x:c r="P271" s="6" t="str">
        <x:v>Pending</x:v>
      </x:c>
      <x:c r="Q271" s="7" t="str">
        <x:f>IF(OR(D271="Reviewer Complete",D271="Awaiting Second-Level Approval"),"","Service identity dependency unresolved")</x:f>
        <x:v>Service identity dependency unresolved</x:v>
      </x:c>
      <x:c r="R271" s="6" t="str">
        <x:v>Yes</x:v>
      </x:c>
      <x:c r="S271" s="7" t="str"/>
    </x:row>
    <x:row r="272">
      <x:c r="A272" s="6" t="str">
        <x:v>LABX-0271</x:v>
      </x:c>
      <x:c r="B272" s="6" t="str">
        <x:v>SVC000271</x:v>
      </x:c>
      <x:c r="C272" s="6" t="str">
        <x:v>SIDX-0271</x:v>
      </x:c>
      <x:c r="D272" s="6" t="str">
        <x:f>IFERROR(XLOOKUP(C272,'Review Sequence'!C2:C1586,'Review Sequence'!J2:J1586),"Dependency not found")</x:f>
        <x:v>Not Started</x:v>
      </x:c>
      <x:c r="E272" s="6" t="str"/>
      <x:c r="F272" s="6" t="str"/>
      <x:c r="G272" s="6" t="str"/>
      <x:c r="H272" s="6" t="str"/>
      <x:c r="I272" s="6" t="str"/>
      <x:c r="J272" s="6" t="str"/>
      <x:c r="K272" s="6" t="str"/>
      <x:c r="L272" s="6" t="str">
        <x:v>Unresolved</x:v>
      </x:c>
      <x:c r="M272" s="7" t="str">
        <x:v>Nocturnix_Master_Services_Catalog_v1.xlsx | 01 - Master Services | row 311</x:v>
      </x:c>
      <x:c r="N272" s="6" t="str"/>
      <x:c r="O272" s="6" t="str"/>
      <x:c r="P272" s="6" t="str">
        <x:v>Pending</x:v>
      </x:c>
      <x:c r="Q272" s="7" t="str">
        <x:f>IF(OR(D272="Reviewer Complete",D272="Awaiting Second-Level Approval"),"","Service identity dependency unresolved")</x:f>
        <x:v>Service identity dependency unresolved</x:v>
      </x:c>
      <x:c r="R272" s="6" t="str">
        <x:v>Yes</x:v>
      </x:c>
      <x:c r="S272" s="7" t="str"/>
    </x:row>
    <x:row r="273">
      <x:c r="A273" s="6" t="str">
        <x:v>LABX-0272</x:v>
      </x:c>
      <x:c r="B273" s="6" t="str">
        <x:v>SVC000272</x:v>
      </x:c>
      <x:c r="C273" s="6" t="str">
        <x:v>SIDX-0272</x:v>
      </x:c>
      <x:c r="D273" s="6" t="str">
        <x:f>IFERROR(XLOOKUP(C273,'Review Sequence'!C2:C1586,'Review Sequence'!J2:J1586),"Dependency not found")</x:f>
        <x:v>Not Started</x:v>
      </x:c>
      <x:c r="E273" s="6" t="str"/>
      <x:c r="F273" s="6" t="str"/>
      <x:c r="G273" s="6" t="str"/>
      <x:c r="H273" s="6" t="str"/>
      <x:c r="I273" s="6" t="str"/>
      <x:c r="J273" s="6" t="str"/>
      <x:c r="K273" s="6" t="str"/>
      <x:c r="L273" s="6" t="str">
        <x:v>Unresolved</x:v>
      </x:c>
      <x:c r="M273" s="7" t="str">
        <x:v>Nocturnix_Master_Services_Catalog_v1.xlsx | 01 - Master Services | row 312</x:v>
      </x:c>
      <x:c r="N273" s="6" t="str"/>
      <x:c r="O273" s="6" t="str"/>
      <x:c r="P273" s="6" t="str">
        <x:v>Pending</x:v>
      </x:c>
      <x:c r="Q273" s="7" t="str">
        <x:f>IF(OR(D273="Reviewer Complete",D273="Awaiting Second-Level Approval"),"","Service identity dependency unresolved")</x:f>
        <x:v>Service identity dependency unresolved</x:v>
      </x:c>
      <x:c r="R273" s="6" t="str">
        <x:v>Yes</x:v>
      </x:c>
      <x:c r="S273" s="7" t="str"/>
    </x:row>
    <x:row r="274">
      <x:c r="A274" s="6" t="str">
        <x:v>LABX-0273</x:v>
      </x:c>
      <x:c r="B274" s="6" t="str">
        <x:v>SVC000273</x:v>
      </x:c>
      <x:c r="C274" s="6" t="str">
        <x:v>SIDX-0273</x:v>
      </x:c>
      <x:c r="D274" s="6" t="str">
        <x:f>IFERROR(XLOOKUP(C274,'Review Sequence'!C2:C1586,'Review Sequence'!J2:J1586),"Dependency not found")</x:f>
        <x:v>Not Started</x:v>
      </x:c>
      <x:c r="E274" s="6" t="str"/>
      <x:c r="F274" s="6" t="str"/>
      <x:c r="G274" s="6" t="str"/>
      <x:c r="H274" s="6" t="str"/>
      <x:c r="I274" s="6" t="str"/>
      <x:c r="J274" s="6" t="str"/>
      <x:c r="K274" s="6" t="str"/>
      <x:c r="L274" s="6" t="str">
        <x:v>Unresolved</x:v>
      </x:c>
      <x:c r="M274" s="7" t="str">
        <x:v>Nocturnix_Master_Services_Catalog_v1.xlsx | 01 - Master Services | row 313</x:v>
      </x:c>
      <x:c r="N274" s="6" t="str"/>
      <x:c r="O274" s="6" t="str"/>
      <x:c r="P274" s="6" t="str">
        <x:v>Pending</x:v>
      </x:c>
      <x:c r="Q274" s="7" t="str">
        <x:f>IF(OR(D274="Reviewer Complete",D274="Awaiting Second-Level Approval"),"","Service identity dependency unresolved")</x:f>
        <x:v>Service identity dependency unresolved</x:v>
      </x:c>
      <x:c r="R274" s="6" t="str">
        <x:v>Yes</x:v>
      </x:c>
      <x:c r="S274" s="7" t="str"/>
    </x:row>
    <x:row r="275">
      <x:c r="A275" s="6" t="str">
        <x:v>LABX-0274</x:v>
      </x:c>
      <x:c r="B275" s="6" t="str">
        <x:v>SVC000274</x:v>
      </x:c>
      <x:c r="C275" s="6" t="str">
        <x:v>SIDX-0274</x:v>
      </x:c>
      <x:c r="D275" s="6" t="str">
        <x:f>IFERROR(XLOOKUP(C275,'Review Sequence'!C2:C1586,'Review Sequence'!J2:J1586),"Dependency not found")</x:f>
        <x:v>Not Started</x:v>
      </x:c>
      <x:c r="E275" s="6" t="str"/>
      <x:c r="F275" s="6" t="str"/>
      <x:c r="G275" s="6" t="str"/>
      <x:c r="H275" s="6" t="str"/>
      <x:c r="I275" s="6" t="str"/>
      <x:c r="J275" s="6" t="str"/>
      <x:c r="K275" s="6" t="str"/>
      <x:c r="L275" s="6" t="str">
        <x:v>Unresolved</x:v>
      </x:c>
      <x:c r="M275" s="7" t="str">
        <x:v>Nocturnix_Master_Services_Catalog_v1.xlsx | 01 - Master Services | row 314</x:v>
      </x:c>
      <x:c r="N275" s="6" t="str"/>
      <x:c r="O275" s="6" t="str"/>
      <x:c r="P275" s="6" t="str">
        <x:v>Pending</x:v>
      </x:c>
      <x:c r="Q275" s="7" t="str">
        <x:f>IF(OR(D275="Reviewer Complete",D275="Awaiting Second-Level Approval"),"","Service identity dependency unresolved")</x:f>
        <x:v>Service identity dependency unresolved</x:v>
      </x:c>
      <x:c r="R275" s="6" t="str">
        <x:v>Yes</x:v>
      </x:c>
      <x:c r="S275" s="7" t="str"/>
    </x:row>
    <x:row r="276">
      <x:c r="A276" s="6" t="str">
        <x:v>LABX-0275</x:v>
      </x:c>
      <x:c r="B276" s="6" t="str">
        <x:v>SVC000275</x:v>
      </x:c>
      <x:c r="C276" s="6" t="str">
        <x:v>SIDX-0275</x:v>
      </x:c>
      <x:c r="D276" s="6" t="str">
        <x:f>IFERROR(XLOOKUP(C276,'Review Sequence'!C2:C1586,'Review Sequence'!J2:J1586),"Dependency not found")</x:f>
        <x:v>Not Started</x:v>
      </x:c>
      <x:c r="E276" s="6" t="str"/>
      <x:c r="F276" s="6" t="str"/>
      <x:c r="G276" s="6" t="str"/>
      <x:c r="H276" s="6" t="str"/>
      <x:c r="I276" s="6" t="str"/>
      <x:c r="J276" s="6" t="str"/>
      <x:c r="K276" s="6" t="str"/>
      <x:c r="L276" s="6" t="str">
        <x:v>Unresolved</x:v>
      </x:c>
      <x:c r="M276" s="7" t="str">
        <x:v>Nocturnix_Master_Services_Catalog_v1.xlsx | 01 - Master Services | row 315</x:v>
      </x:c>
      <x:c r="N276" s="6" t="str"/>
      <x:c r="O276" s="6" t="str"/>
      <x:c r="P276" s="6" t="str">
        <x:v>Pending</x:v>
      </x:c>
      <x:c r="Q276" s="7" t="str">
        <x:f>IF(OR(D276="Reviewer Complete",D276="Awaiting Second-Level Approval"),"","Service identity dependency unresolved")</x:f>
        <x:v>Service identity dependency unresolved</x:v>
      </x:c>
      <x:c r="R276" s="6" t="str">
        <x:v>Yes</x:v>
      </x:c>
      <x:c r="S276" s="7" t="str"/>
    </x:row>
    <x:row r="277">
      <x:c r="A277" s="6" t="str">
        <x:v>LABX-0276</x:v>
      </x:c>
      <x:c r="B277" s="6" t="str">
        <x:v>SVC000276</x:v>
      </x:c>
      <x:c r="C277" s="6" t="str">
        <x:v>SIDX-0276</x:v>
      </x:c>
      <x:c r="D277" s="6" t="str">
        <x:f>IFERROR(XLOOKUP(C277,'Review Sequence'!C2:C1586,'Review Sequence'!J2:J1586),"Dependency not found")</x:f>
        <x:v>Not Started</x:v>
      </x:c>
      <x:c r="E277" s="6" t="str"/>
      <x:c r="F277" s="6" t="str"/>
      <x:c r="G277" s="6" t="str"/>
      <x:c r="H277" s="6" t="str"/>
      <x:c r="I277" s="6" t="str"/>
      <x:c r="J277" s="6" t="str"/>
      <x:c r="K277" s="6" t="str"/>
      <x:c r="L277" s="6" t="str">
        <x:v>Unresolved</x:v>
      </x:c>
      <x:c r="M277" s="7" t="str">
        <x:v>Nocturnix_Master_Services_Catalog_v1.xlsx | 01 - Master Services | row 316</x:v>
      </x:c>
      <x:c r="N277" s="6" t="str"/>
      <x:c r="O277" s="6" t="str"/>
      <x:c r="P277" s="6" t="str">
        <x:v>Pending</x:v>
      </x:c>
      <x:c r="Q277" s="7" t="str">
        <x:f>IF(OR(D277="Reviewer Complete",D277="Awaiting Second-Level Approval"),"","Service identity dependency unresolved")</x:f>
        <x:v>Service identity dependency unresolved</x:v>
      </x:c>
      <x:c r="R277" s="6" t="str">
        <x:v>Yes</x:v>
      </x:c>
      <x:c r="S277" s="7" t="str"/>
    </x:row>
    <x:row r="278">
      <x:c r="A278" s="6" t="str">
        <x:v>LABX-0277</x:v>
      </x:c>
      <x:c r="B278" s="6" t="str">
        <x:v>SVC000277</x:v>
      </x:c>
      <x:c r="C278" s="6" t="str">
        <x:v>SIDX-0277</x:v>
      </x:c>
      <x:c r="D278" s="6" t="str">
        <x:f>IFERROR(XLOOKUP(C278,'Review Sequence'!C2:C1586,'Review Sequence'!J2:J1586),"Dependency not found")</x:f>
        <x:v>Not Started</x:v>
      </x:c>
      <x:c r="E278" s="6" t="str"/>
      <x:c r="F278" s="6" t="str"/>
      <x:c r="G278" s="6" t="str"/>
      <x:c r="H278" s="6" t="str"/>
      <x:c r="I278" s="6" t="str"/>
      <x:c r="J278" s="6" t="str"/>
      <x:c r="K278" s="6" t="str"/>
      <x:c r="L278" s="6" t="str">
        <x:v>Unresolved</x:v>
      </x:c>
      <x:c r="M278" s="7" t="str">
        <x:v>Nocturnix_Master_Services_Catalog_v1.xlsx | 01 - Master Services | row 317</x:v>
      </x:c>
      <x:c r="N278" s="6" t="str"/>
      <x:c r="O278" s="6" t="str"/>
      <x:c r="P278" s="6" t="str">
        <x:v>Pending</x:v>
      </x:c>
      <x:c r="Q278" s="7" t="str">
        <x:f>IF(OR(D278="Reviewer Complete",D278="Awaiting Second-Level Approval"),"","Service identity dependency unresolved")</x:f>
        <x:v>Service identity dependency unresolved</x:v>
      </x:c>
      <x:c r="R278" s="6" t="str">
        <x:v>Yes</x:v>
      </x:c>
      <x:c r="S278" s="7" t="str"/>
    </x:row>
    <x:row r="279">
      <x:c r="A279" s="6" t="str">
        <x:v>LABX-0278</x:v>
      </x:c>
      <x:c r="B279" s="6" t="str">
        <x:v>SVC000278</x:v>
      </x:c>
      <x:c r="C279" s="6" t="str">
        <x:v>SIDX-0278</x:v>
      </x:c>
      <x:c r="D279" s="6" t="str">
        <x:f>IFERROR(XLOOKUP(C279,'Review Sequence'!C2:C1586,'Review Sequence'!J2:J1586),"Dependency not found")</x:f>
        <x:v>Not Started</x:v>
      </x:c>
      <x:c r="E279" s="6" t="str"/>
      <x:c r="F279" s="6" t="str"/>
      <x:c r="G279" s="6" t="str"/>
      <x:c r="H279" s="6" t="str"/>
      <x:c r="I279" s="6" t="str"/>
      <x:c r="J279" s="6" t="str"/>
      <x:c r="K279" s="6" t="str"/>
      <x:c r="L279" s="6" t="str">
        <x:v>Unresolved</x:v>
      </x:c>
      <x:c r="M279" s="7" t="str">
        <x:v>Nocturnix_Master_Services_Catalog_v1.xlsx | 01 - Master Services | row 318</x:v>
      </x:c>
      <x:c r="N279" s="6" t="str"/>
      <x:c r="O279" s="6" t="str"/>
      <x:c r="P279" s="6" t="str">
        <x:v>Pending</x:v>
      </x:c>
      <x:c r="Q279" s="7" t="str">
        <x:f>IF(OR(D279="Reviewer Complete",D279="Awaiting Second-Level Approval"),"","Service identity dependency unresolved")</x:f>
        <x:v>Service identity dependency unresolved</x:v>
      </x:c>
      <x:c r="R279" s="6" t="str">
        <x:v>Yes</x:v>
      </x:c>
      <x:c r="S279" s="7" t="str"/>
    </x:row>
    <x:row r="280">
      <x:c r="A280" s="6" t="str">
        <x:v>LABX-0279</x:v>
      </x:c>
      <x:c r="B280" s="6" t="str">
        <x:v>SVC000279</x:v>
      </x:c>
      <x:c r="C280" s="6" t="str">
        <x:v>SIDX-0279</x:v>
      </x:c>
      <x:c r="D280" s="6" t="str">
        <x:f>IFERROR(XLOOKUP(C280,'Review Sequence'!C2:C1586,'Review Sequence'!J2:J1586),"Dependency not found")</x:f>
        <x:v>Not Started</x:v>
      </x:c>
      <x:c r="E280" s="6" t="str"/>
      <x:c r="F280" s="6" t="str"/>
      <x:c r="G280" s="6" t="str"/>
      <x:c r="H280" s="6" t="str"/>
      <x:c r="I280" s="6" t="str"/>
      <x:c r="J280" s="6" t="str"/>
      <x:c r="K280" s="6" t="str"/>
      <x:c r="L280" s="6" t="str">
        <x:v>Unresolved</x:v>
      </x:c>
      <x:c r="M280" s="7" t="str">
        <x:v>Nocturnix_Master_Services_Catalog_v1.xlsx | 01 - Master Services | row 319</x:v>
      </x:c>
      <x:c r="N280" s="6" t="str"/>
      <x:c r="O280" s="6" t="str"/>
      <x:c r="P280" s="6" t="str">
        <x:v>Pending</x:v>
      </x:c>
      <x:c r="Q280" s="7" t="str">
        <x:f>IF(OR(D280="Reviewer Complete",D280="Awaiting Second-Level Approval"),"","Service identity dependency unresolved")</x:f>
        <x:v>Service identity dependency unresolved</x:v>
      </x:c>
      <x:c r="R280" s="6" t="str">
        <x:v>Yes</x:v>
      </x:c>
      <x:c r="S280" s="7" t="str"/>
    </x:row>
    <x:row r="281">
      <x:c r="A281" s="6" t="str">
        <x:v>LABX-0280</x:v>
      </x:c>
      <x:c r="B281" s="6" t="str">
        <x:v>SVC000280</x:v>
      </x:c>
      <x:c r="C281" s="6" t="str">
        <x:v>SIDX-0280</x:v>
      </x:c>
      <x:c r="D281" s="6" t="str">
        <x:f>IFERROR(XLOOKUP(C281,'Review Sequence'!C2:C1586,'Review Sequence'!J2:J1586),"Dependency not found")</x:f>
        <x:v>Not Started</x:v>
      </x:c>
      <x:c r="E281" s="6" t="str"/>
      <x:c r="F281" s="6" t="str"/>
      <x:c r="G281" s="6" t="str"/>
      <x:c r="H281" s="6" t="str"/>
      <x:c r="I281" s="6" t="str"/>
      <x:c r="J281" s="6" t="str"/>
      <x:c r="K281" s="6" t="str"/>
      <x:c r="L281" s="6" t="str">
        <x:v>Unresolved</x:v>
      </x:c>
      <x:c r="M281" s="7" t="str">
        <x:v>Nocturnix_Master_Services_Catalog_v1.xlsx | 01 - Master Services | row 320</x:v>
      </x:c>
      <x:c r="N281" s="6" t="str"/>
      <x:c r="O281" s="6" t="str"/>
      <x:c r="P281" s="6" t="str">
        <x:v>Pending</x:v>
      </x:c>
      <x:c r="Q281" s="7" t="str">
        <x:f>IF(OR(D281="Reviewer Complete",D281="Awaiting Second-Level Approval"),"","Service identity dependency unresolved")</x:f>
        <x:v>Service identity dependency unresolved</x:v>
      </x:c>
      <x:c r="R281" s="6" t="str">
        <x:v>Yes</x:v>
      </x:c>
      <x:c r="S281" s="7" t="str"/>
    </x:row>
    <x:row r="282">
      <x:c r="A282" s="6" t="str">
        <x:v>LABX-0281</x:v>
      </x:c>
      <x:c r="B282" s="6" t="str">
        <x:v>SVC000281</x:v>
      </x:c>
      <x:c r="C282" s="6" t="str">
        <x:v>SIDX-0281</x:v>
      </x:c>
      <x:c r="D282" s="6" t="str">
        <x:f>IFERROR(XLOOKUP(C282,'Review Sequence'!C2:C1586,'Review Sequence'!J2:J1586),"Dependency not found")</x:f>
        <x:v>Not Started</x:v>
      </x:c>
      <x:c r="E282" s="6" t="str"/>
      <x:c r="F282" s="6" t="str"/>
      <x:c r="G282" s="6" t="str"/>
      <x:c r="H282" s="6" t="str"/>
      <x:c r="I282" s="6" t="str"/>
      <x:c r="J282" s="6" t="str"/>
      <x:c r="K282" s="6" t="str"/>
      <x:c r="L282" s="6" t="str">
        <x:v>Unresolved</x:v>
      </x:c>
      <x:c r="M282" s="7" t="str">
        <x:v>Nocturnix_Master_Services_Catalog_v1.xlsx | 01 - Master Services | row 321</x:v>
      </x:c>
      <x:c r="N282" s="6" t="str"/>
      <x:c r="O282" s="6" t="str"/>
      <x:c r="P282" s="6" t="str">
        <x:v>Pending</x:v>
      </x:c>
      <x:c r="Q282" s="7" t="str">
        <x:f>IF(OR(D282="Reviewer Complete",D282="Awaiting Second-Level Approval"),"","Service identity dependency unresolved")</x:f>
        <x:v>Service identity dependency unresolved</x:v>
      </x:c>
      <x:c r="R282" s="6" t="str">
        <x:v>Yes</x:v>
      </x:c>
      <x:c r="S282" s="7" t="str"/>
    </x:row>
    <x:row r="283">
      <x:c r="A283" s="6" t="str">
        <x:v>LABX-0282</x:v>
      </x:c>
      <x:c r="B283" s="6" t="str">
        <x:v>SVC000282</x:v>
      </x:c>
      <x:c r="C283" s="6" t="str">
        <x:v>SIDX-0282</x:v>
      </x:c>
      <x:c r="D283" s="6" t="str">
        <x:f>IFERROR(XLOOKUP(C283,'Review Sequence'!C2:C1586,'Review Sequence'!J2:J1586),"Dependency not found")</x:f>
        <x:v>Not Started</x:v>
      </x:c>
      <x:c r="E283" s="6" t="str"/>
      <x:c r="F283" s="6" t="str"/>
      <x:c r="G283" s="6" t="str"/>
      <x:c r="H283" s="6" t="str"/>
      <x:c r="I283" s="6" t="str"/>
      <x:c r="J283" s="6" t="str"/>
      <x:c r="K283" s="6" t="str"/>
      <x:c r="L283" s="6" t="str">
        <x:v>Unresolved</x:v>
      </x:c>
      <x:c r="M283" s="7" t="str">
        <x:v>Nocturnix_Master_Services_Catalog_v1.xlsx | 01 - Master Services | row 322</x:v>
      </x:c>
      <x:c r="N283" s="6" t="str"/>
      <x:c r="O283" s="6" t="str"/>
      <x:c r="P283" s="6" t="str">
        <x:v>Pending</x:v>
      </x:c>
      <x:c r="Q283" s="7" t="str">
        <x:f>IF(OR(D283="Reviewer Complete",D283="Awaiting Second-Level Approval"),"","Service identity dependency unresolved")</x:f>
        <x:v>Service identity dependency unresolved</x:v>
      </x:c>
      <x:c r="R283" s="6" t="str">
        <x:v>Yes</x:v>
      </x:c>
      <x:c r="S283" s="7" t="str"/>
    </x:row>
    <x:row r="284">
      <x:c r="A284" s="6" t="str">
        <x:v>LABX-0283</x:v>
      </x:c>
      <x:c r="B284" s="6" t="str">
        <x:v>SVC000283</x:v>
      </x:c>
      <x:c r="C284" s="6" t="str">
        <x:v>SIDX-0283</x:v>
      </x:c>
      <x:c r="D284" s="6" t="str">
        <x:f>IFERROR(XLOOKUP(C284,'Review Sequence'!C2:C1586,'Review Sequence'!J2:J1586),"Dependency not found")</x:f>
        <x:v>Not Started</x:v>
      </x:c>
      <x:c r="E284" s="6" t="str"/>
      <x:c r="F284" s="6" t="str"/>
      <x:c r="G284" s="6" t="str"/>
      <x:c r="H284" s="6" t="str"/>
      <x:c r="I284" s="6" t="str"/>
      <x:c r="J284" s="6" t="str"/>
      <x:c r="K284" s="6" t="str"/>
      <x:c r="L284" s="6" t="str">
        <x:v>Unresolved</x:v>
      </x:c>
      <x:c r="M284" s="7" t="str">
        <x:v>Nocturnix_Master_Services_Catalog_v1.xlsx | 01 - Master Services | row 323</x:v>
      </x:c>
      <x:c r="N284" s="6" t="str"/>
      <x:c r="O284" s="6" t="str"/>
      <x:c r="P284" s="6" t="str">
        <x:v>Pending</x:v>
      </x:c>
      <x:c r="Q284" s="7" t="str">
        <x:f>IF(OR(D284="Reviewer Complete",D284="Awaiting Second-Level Approval"),"","Service identity dependency unresolved")</x:f>
        <x:v>Service identity dependency unresolved</x:v>
      </x:c>
      <x:c r="R284" s="6" t="str">
        <x:v>Yes</x:v>
      </x:c>
      <x:c r="S284" s="7" t="str"/>
    </x:row>
    <x:row r="285">
      <x:c r="A285" s="6" t="str">
        <x:v>LABX-0284</x:v>
      </x:c>
      <x:c r="B285" s="6" t="str">
        <x:v>SVC000284</x:v>
      </x:c>
      <x:c r="C285" s="6" t="str">
        <x:v>SIDX-0284</x:v>
      </x:c>
      <x:c r="D285" s="6" t="str">
        <x:f>IFERROR(XLOOKUP(C285,'Review Sequence'!C2:C1586,'Review Sequence'!J2:J1586),"Dependency not found")</x:f>
        <x:v>Not Started</x:v>
      </x:c>
      <x:c r="E285" s="6" t="str"/>
      <x:c r="F285" s="6" t="str"/>
      <x:c r="G285" s="6" t="str"/>
      <x:c r="H285" s="6" t="str"/>
      <x:c r="I285" s="6" t="str"/>
      <x:c r="J285" s="6" t="str"/>
      <x:c r="K285" s="6" t="str"/>
      <x:c r="L285" s="6" t="str">
        <x:v>Unresolved</x:v>
      </x:c>
      <x:c r="M285" s="7" t="str">
        <x:v>Nocturnix_Master_Services_Catalog_v1.xlsx | 01 - Master Services | row 324</x:v>
      </x:c>
      <x:c r="N285" s="6" t="str"/>
      <x:c r="O285" s="6" t="str"/>
      <x:c r="P285" s="6" t="str">
        <x:v>Pending</x:v>
      </x:c>
      <x:c r="Q285" s="7" t="str">
        <x:f>IF(OR(D285="Reviewer Complete",D285="Awaiting Second-Level Approval"),"","Service identity dependency unresolved")</x:f>
        <x:v>Service identity dependency unresolved</x:v>
      </x:c>
      <x:c r="R285" s="6" t="str">
        <x:v>Yes</x:v>
      </x:c>
      <x:c r="S285" s="7" t="str"/>
    </x:row>
    <x:row r="286">
      <x:c r="A286" s="6" t="str">
        <x:v>LABX-0285</x:v>
      </x:c>
      <x:c r="B286" s="6" t="str">
        <x:v>SVC000285</x:v>
      </x:c>
      <x:c r="C286" s="6" t="str">
        <x:v>SIDX-0285</x:v>
      </x:c>
      <x:c r="D286" s="6" t="str">
        <x:f>IFERROR(XLOOKUP(C286,'Review Sequence'!C2:C1586,'Review Sequence'!J2:J1586),"Dependency not found")</x:f>
        <x:v>Not Started</x:v>
      </x:c>
      <x:c r="E286" s="6" t="str"/>
      <x:c r="F286" s="6" t="str"/>
      <x:c r="G286" s="6" t="str"/>
      <x:c r="H286" s="6" t="str"/>
      <x:c r="I286" s="6" t="str"/>
      <x:c r="J286" s="6" t="str"/>
      <x:c r="K286" s="6" t="str"/>
      <x:c r="L286" s="6" t="str">
        <x:v>Unresolved</x:v>
      </x:c>
      <x:c r="M286" s="7" t="str">
        <x:v>Nocturnix_Master_Services_Catalog_v1.xlsx | 01 - Master Services | row 325</x:v>
      </x:c>
      <x:c r="N286" s="6" t="str"/>
      <x:c r="O286" s="6" t="str"/>
      <x:c r="P286" s="6" t="str">
        <x:v>Pending</x:v>
      </x:c>
      <x:c r="Q286" s="7" t="str">
        <x:f>IF(OR(D286="Reviewer Complete",D286="Awaiting Second-Level Approval"),"","Service identity dependency unresolved")</x:f>
        <x:v>Service identity dependency unresolved</x:v>
      </x:c>
      <x:c r="R286" s="6" t="str">
        <x:v>Yes</x:v>
      </x:c>
      <x:c r="S286" s="7" t="str"/>
    </x:row>
    <x:row r="287">
      <x:c r="A287" s="6" t="str">
        <x:v>LABX-0286</x:v>
      </x:c>
      <x:c r="B287" s="6" t="str">
        <x:v>SVC000286</x:v>
      </x:c>
      <x:c r="C287" s="6" t="str">
        <x:v>SIDX-0286</x:v>
      </x:c>
      <x:c r="D287" s="6" t="str">
        <x:f>IFERROR(XLOOKUP(C287,'Review Sequence'!C2:C1586,'Review Sequence'!J2:J1586),"Dependency not found")</x:f>
        <x:v>Not Started</x:v>
      </x:c>
      <x:c r="E287" s="6" t="str"/>
      <x:c r="F287" s="6" t="str"/>
      <x:c r="G287" s="6" t="str"/>
      <x:c r="H287" s="6" t="str"/>
      <x:c r="I287" s="6" t="str"/>
      <x:c r="J287" s="6" t="str"/>
      <x:c r="K287" s="6" t="str"/>
      <x:c r="L287" s="6" t="str">
        <x:v>Unresolved</x:v>
      </x:c>
      <x:c r="M287" s="7" t="str">
        <x:v>Nocturnix_Master_Services_Catalog_v1.xlsx | 01 - Master Services | row 326</x:v>
      </x:c>
      <x:c r="N287" s="6" t="str"/>
      <x:c r="O287" s="6" t="str"/>
      <x:c r="P287" s="6" t="str">
        <x:v>Pending</x:v>
      </x:c>
      <x:c r="Q287" s="7" t="str">
        <x:f>IF(OR(D287="Reviewer Complete",D287="Awaiting Second-Level Approval"),"","Service identity dependency unresolved")</x:f>
        <x:v>Service identity dependency unresolved</x:v>
      </x:c>
      <x:c r="R287" s="6" t="str">
        <x:v>Yes</x:v>
      </x:c>
      <x:c r="S287" s="7" t="str"/>
    </x:row>
    <x:row r="288">
      <x:c r="A288" s="6" t="str">
        <x:v>LABX-0287</x:v>
      </x:c>
      <x:c r="B288" s="6" t="str">
        <x:v>SVC000287</x:v>
      </x:c>
      <x:c r="C288" s="6" t="str">
        <x:v>SIDX-0287</x:v>
      </x:c>
      <x:c r="D288" s="6" t="str">
        <x:f>IFERROR(XLOOKUP(C288,'Review Sequence'!C2:C1586,'Review Sequence'!J2:J1586),"Dependency not found")</x:f>
        <x:v>Not Started</x:v>
      </x:c>
      <x:c r="E288" s="6" t="str"/>
      <x:c r="F288" s="6" t="str"/>
      <x:c r="G288" s="6" t="str"/>
      <x:c r="H288" s="6" t="str"/>
      <x:c r="I288" s="6" t="str"/>
      <x:c r="J288" s="6" t="str"/>
      <x:c r="K288" s="6" t="str"/>
      <x:c r="L288" s="6" t="str">
        <x:v>Unresolved</x:v>
      </x:c>
      <x:c r="M288" s="7" t="str">
        <x:v>Nocturnix_Master_Services_Catalog_v1.xlsx | 01 - Master Services | row 327</x:v>
      </x:c>
      <x:c r="N288" s="6" t="str"/>
      <x:c r="O288" s="6" t="str"/>
      <x:c r="P288" s="6" t="str">
        <x:v>Pending</x:v>
      </x:c>
      <x:c r="Q288" s="7" t="str">
        <x:f>IF(OR(D288="Reviewer Complete",D288="Awaiting Second-Level Approval"),"","Service identity dependency unresolved")</x:f>
        <x:v>Service identity dependency unresolved</x:v>
      </x:c>
      <x:c r="R288" s="6" t="str">
        <x:v>Yes</x:v>
      </x:c>
      <x:c r="S288" s="7" t="str"/>
    </x:row>
    <x:row r="289">
      <x:c r="A289" s="6" t="str">
        <x:v>LABX-0288</x:v>
      </x:c>
      <x:c r="B289" s="6" t="str">
        <x:v>SVC000288</x:v>
      </x:c>
      <x:c r="C289" s="6" t="str">
        <x:v>SIDX-0288</x:v>
      </x:c>
      <x:c r="D289" s="6" t="str">
        <x:f>IFERROR(XLOOKUP(C289,'Review Sequence'!C2:C1586,'Review Sequence'!J2:J1586),"Dependency not found")</x:f>
        <x:v>Not Started</x:v>
      </x:c>
      <x:c r="E289" s="6" t="str"/>
      <x:c r="F289" s="6" t="str"/>
      <x:c r="G289" s="6" t="str"/>
      <x:c r="H289" s="6" t="str"/>
      <x:c r="I289" s="6" t="str"/>
      <x:c r="J289" s="6" t="str"/>
      <x:c r="K289" s="6" t="str"/>
      <x:c r="L289" s="6" t="str">
        <x:v>Unresolved</x:v>
      </x:c>
      <x:c r="M289" s="7" t="str">
        <x:v>Nocturnix_Master_Services_Catalog_v1.xlsx | 01 - Master Services | row 328</x:v>
      </x:c>
      <x:c r="N289" s="6" t="str"/>
      <x:c r="O289" s="6" t="str"/>
      <x:c r="P289" s="6" t="str">
        <x:v>Pending</x:v>
      </x:c>
      <x:c r="Q289" s="7" t="str">
        <x:f>IF(OR(D289="Reviewer Complete",D289="Awaiting Second-Level Approval"),"","Service identity dependency unresolved")</x:f>
        <x:v>Service identity dependency unresolved</x:v>
      </x:c>
      <x:c r="R289" s="6" t="str">
        <x:v>Yes</x:v>
      </x:c>
      <x:c r="S289" s="7" t="str"/>
    </x:row>
    <x:row r="290">
      <x:c r="A290" s="6" t="str">
        <x:v>LABX-0289</x:v>
      </x:c>
      <x:c r="B290" s="6" t="str">
        <x:v>SVC000289</x:v>
      </x:c>
      <x:c r="C290" s="6" t="str">
        <x:v>SIDX-0289</x:v>
      </x:c>
      <x:c r="D290" s="6" t="str">
        <x:f>IFERROR(XLOOKUP(C290,'Review Sequence'!C2:C1586,'Review Sequence'!J2:J1586),"Dependency not found")</x:f>
        <x:v>Not Started</x:v>
      </x:c>
      <x:c r="E290" s="6" t="str"/>
      <x:c r="F290" s="6" t="str"/>
      <x:c r="G290" s="6" t="str"/>
      <x:c r="H290" s="6" t="str"/>
      <x:c r="I290" s="6" t="str"/>
      <x:c r="J290" s="6" t="str"/>
      <x:c r="K290" s="6" t="str"/>
      <x:c r="L290" s="6" t="str">
        <x:v>Unresolved</x:v>
      </x:c>
      <x:c r="M290" s="7" t="str">
        <x:v>Nocturnix_Master_Services_Catalog_v1.xlsx | 01 - Master Services | row 329</x:v>
      </x:c>
      <x:c r="N290" s="6" t="str"/>
      <x:c r="O290" s="6" t="str"/>
      <x:c r="P290" s="6" t="str">
        <x:v>Pending</x:v>
      </x:c>
      <x:c r="Q290" s="7" t="str">
        <x:f>IF(OR(D290="Reviewer Complete",D290="Awaiting Second-Level Approval"),"","Service identity dependency unresolved")</x:f>
        <x:v>Service identity dependency unresolved</x:v>
      </x:c>
      <x:c r="R290" s="6" t="str">
        <x:v>Yes</x:v>
      </x:c>
      <x:c r="S290" s="7" t="str"/>
    </x:row>
    <x:row r="291">
      <x:c r="A291" s="6" t="str">
        <x:v>LABX-0290</x:v>
      </x:c>
      <x:c r="B291" s="6" t="str">
        <x:v>SVC000290</x:v>
      </x:c>
      <x:c r="C291" s="6" t="str">
        <x:v>SIDX-0290</x:v>
      </x:c>
      <x:c r="D291" s="6" t="str">
        <x:f>IFERROR(XLOOKUP(C291,'Review Sequence'!C2:C1586,'Review Sequence'!J2:J1586),"Dependency not found")</x:f>
        <x:v>Not Started</x:v>
      </x:c>
      <x:c r="E291" s="6" t="str"/>
      <x:c r="F291" s="6" t="str"/>
      <x:c r="G291" s="6" t="str"/>
      <x:c r="H291" s="6" t="str"/>
      <x:c r="I291" s="6" t="str"/>
      <x:c r="J291" s="6" t="str"/>
      <x:c r="K291" s="6" t="str"/>
      <x:c r="L291" s="6" t="str">
        <x:v>Unresolved</x:v>
      </x:c>
      <x:c r="M291" s="7" t="str">
        <x:v>Nocturnix_Master_Services_Catalog_v1.xlsx | 01 - Master Services | row 330</x:v>
      </x:c>
      <x:c r="N291" s="6" t="str"/>
      <x:c r="O291" s="6" t="str"/>
      <x:c r="P291" s="6" t="str">
        <x:v>Pending</x:v>
      </x:c>
      <x:c r="Q291" s="7" t="str">
        <x:f>IF(OR(D291="Reviewer Complete",D291="Awaiting Second-Level Approval"),"","Service identity dependency unresolved")</x:f>
        <x:v>Service identity dependency unresolved</x:v>
      </x:c>
      <x:c r="R291" s="6" t="str">
        <x:v>Yes</x:v>
      </x:c>
      <x:c r="S291" s="7" t="str"/>
    </x:row>
    <x:row r="292">
      <x:c r="A292" s="6" t="str">
        <x:v>LABX-0291</x:v>
      </x:c>
      <x:c r="B292" s="6" t="str">
        <x:v>SVC000291</x:v>
      </x:c>
      <x:c r="C292" s="6" t="str">
        <x:v>SIDX-0291</x:v>
      </x:c>
      <x:c r="D292" s="6" t="str">
        <x:f>IFERROR(XLOOKUP(C292,'Review Sequence'!C2:C1586,'Review Sequence'!J2:J1586),"Dependency not found")</x:f>
        <x:v>Not Started</x:v>
      </x:c>
      <x:c r="E292" s="6" t="str"/>
      <x:c r="F292" s="6" t="str"/>
      <x:c r="G292" s="6" t="str"/>
      <x:c r="H292" s="6" t="str"/>
      <x:c r="I292" s="6" t="str"/>
      <x:c r="J292" s="6" t="str"/>
      <x:c r="K292" s="6" t="str"/>
      <x:c r="L292" s="6" t="str">
        <x:v>Unresolved</x:v>
      </x:c>
      <x:c r="M292" s="7" t="str">
        <x:v>Nocturnix_Master_Services_Catalog_v1.xlsx | 01 - Master Services | row 331</x:v>
      </x:c>
      <x:c r="N292" s="6" t="str"/>
      <x:c r="O292" s="6" t="str"/>
      <x:c r="P292" s="6" t="str">
        <x:v>Pending</x:v>
      </x:c>
      <x:c r="Q292" s="7" t="str">
        <x:f>IF(OR(D292="Reviewer Complete",D292="Awaiting Second-Level Approval"),"","Service identity dependency unresolved")</x:f>
        <x:v>Service identity dependency unresolved</x:v>
      </x:c>
      <x:c r="R292" s="6" t="str">
        <x:v>Yes</x:v>
      </x:c>
      <x:c r="S292" s="7" t="str"/>
    </x:row>
    <x:row r="293">
      <x:c r="A293" s="6" t="str">
        <x:v>LABX-0292</x:v>
      </x:c>
      <x:c r="B293" s="6" t="str">
        <x:v>SVC000292</x:v>
      </x:c>
      <x:c r="C293" s="6" t="str">
        <x:v>SIDX-0292</x:v>
      </x:c>
      <x:c r="D293" s="6" t="str">
        <x:f>IFERROR(XLOOKUP(C293,'Review Sequence'!C2:C1586,'Review Sequence'!J2:J1586),"Dependency not found")</x:f>
        <x:v>Not Started</x:v>
      </x:c>
      <x:c r="E293" s="6" t="str"/>
      <x:c r="F293" s="6" t="str"/>
      <x:c r="G293" s="6" t="str"/>
      <x:c r="H293" s="6" t="str"/>
      <x:c r="I293" s="6" t="str"/>
      <x:c r="J293" s="6" t="str"/>
      <x:c r="K293" s="6" t="str"/>
      <x:c r="L293" s="6" t="str">
        <x:v>Unresolved</x:v>
      </x:c>
      <x:c r="M293" s="7" t="str">
        <x:v>Nocturnix_Master_Services_Catalog_v1.xlsx | 01 - Master Services | row 332</x:v>
      </x:c>
      <x:c r="N293" s="6" t="str"/>
      <x:c r="O293" s="6" t="str"/>
      <x:c r="P293" s="6" t="str">
        <x:v>Pending</x:v>
      </x:c>
      <x:c r="Q293" s="7" t="str">
        <x:f>IF(OR(D293="Reviewer Complete",D293="Awaiting Second-Level Approval"),"","Service identity dependency unresolved")</x:f>
        <x:v>Service identity dependency unresolved</x:v>
      </x:c>
      <x:c r="R293" s="6" t="str">
        <x:v>Yes</x:v>
      </x:c>
      <x:c r="S293" s="7" t="str"/>
    </x:row>
    <x:row r="294">
      <x:c r="A294" s="6" t="str">
        <x:v>LABX-0293</x:v>
      </x:c>
      <x:c r="B294" s="6" t="str">
        <x:v>SVC000293</x:v>
      </x:c>
      <x:c r="C294" s="6" t="str">
        <x:v>SIDX-0293</x:v>
      </x:c>
      <x:c r="D294" s="6" t="str">
        <x:f>IFERROR(XLOOKUP(C294,'Review Sequence'!C2:C1586,'Review Sequence'!J2:J1586),"Dependency not found")</x:f>
        <x:v>Not Started</x:v>
      </x:c>
      <x:c r="E294" s="6" t="str"/>
      <x:c r="F294" s="6" t="str"/>
      <x:c r="G294" s="6" t="str"/>
      <x:c r="H294" s="6" t="str"/>
      <x:c r="I294" s="6" t="str"/>
      <x:c r="J294" s="6" t="str"/>
      <x:c r="K294" s="6" t="str"/>
      <x:c r="L294" s="6" t="str">
        <x:v>Unresolved</x:v>
      </x:c>
      <x:c r="M294" s="7" t="str">
        <x:v>Nocturnix_Master_Services_Catalog_v1.xlsx | 01 - Master Services | row 333</x:v>
      </x:c>
      <x:c r="N294" s="6" t="str"/>
      <x:c r="O294" s="6" t="str"/>
      <x:c r="P294" s="6" t="str">
        <x:v>Pending</x:v>
      </x:c>
      <x:c r="Q294" s="7" t="str">
        <x:f>IF(OR(D294="Reviewer Complete",D294="Awaiting Second-Level Approval"),"","Service identity dependency unresolved")</x:f>
        <x:v>Service identity dependency unresolved</x:v>
      </x:c>
      <x:c r="R294" s="6" t="str">
        <x:v>Yes</x:v>
      </x:c>
      <x:c r="S294" s="7" t="str"/>
    </x:row>
    <x:row r="295">
      <x:c r="A295" s="6" t="str">
        <x:v>LABX-0294</x:v>
      </x:c>
      <x:c r="B295" s="6" t="str">
        <x:v>SVC000294</x:v>
      </x:c>
      <x:c r="C295" s="6" t="str">
        <x:v>SIDX-0294</x:v>
      </x:c>
      <x:c r="D295" s="6" t="str">
        <x:f>IFERROR(XLOOKUP(C295,'Review Sequence'!C2:C1586,'Review Sequence'!J2:J1586),"Dependency not found")</x:f>
        <x:v>Not Started</x:v>
      </x:c>
      <x:c r="E295" s="6" t="str"/>
      <x:c r="F295" s="6" t="str"/>
      <x:c r="G295" s="6" t="str"/>
      <x:c r="H295" s="6" t="str"/>
      <x:c r="I295" s="6" t="str"/>
      <x:c r="J295" s="6" t="str"/>
      <x:c r="K295" s="6" t="str"/>
      <x:c r="L295" s="6" t="str">
        <x:v>Unresolved</x:v>
      </x:c>
      <x:c r="M295" s="7" t="str">
        <x:v>Nocturnix_Master_Services_Catalog_v1.xlsx | 01 - Master Services | row 334</x:v>
      </x:c>
      <x:c r="N295" s="6" t="str"/>
      <x:c r="O295" s="6" t="str"/>
      <x:c r="P295" s="6" t="str">
        <x:v>Pending</x:v>
      </x:c>
      <x:c r="Q295" s="7" t="str">
        <x:f>IF(OR(D295="Reviewer Complete",D295="Awaiting Second-Level Approval"),"","Service identity dependency unresolved")</x:f>
        <x:v>Service identity dependency unresolved</x:v>
      </x:c>
      <x:c r="R295" s="6" t="str">
        <x:v>Yes</x:v>
      </x:c>
      <x:c r="S295" s="7" t="str"/>
    </x:row>
    <x:row r="296">
      <x:c r="A296" s="6" t="str">
        <x:v>LABX-0295</x:v>
      </x:c>
      <x:c r="B296" s="6" t="str">
        <x:v>SVC000295</x:v>
      </x:c>
      <x:c r="C296" s="6" t="str">
        <x:v>SIDX-0295</x:v>
      </x:c>
      <x:c r="D296" s="6" t="str">
        <x:f>IFERROR(XLOOKUP(C296,'Review Sequence'!C2:C1586,'Review Sequence'!J2:J1586),"Dependency not found")</x:f>
        <x:v>Not Started</x:v>
      </x:c>
      <x:c r="E296" s="6" t="str"/>
      <x:c r="F296" s="6" t="str"/>
      <x:c r="G296" s="6" t="str"/>
      <x:c r="H296" s="6" t="str"/>
      <x:c r="I296" s="6" t="str"/>
      <x:c r="J296" s="6" t="str"/>
      <x:c r="K296" s="6" t="str"/>
      <x:c r="L296" s="6" t="str">
        <x:v>Unresolved</x:v>
      </x:c>
      <x:c r="M296" s="7" t="str">
        <x:v>Nocturnix_Master_Services_Catalog_v1.xlsx | 01 - Master Services | row 335</x:v>
      </x:c>
      <x:c r="N296" s="6" t="str"/>
      <x:c r="O296" s="6" t="str"/>
      <x:c r="P296" s="6" t="str">
        <x:v>Pending</x:v>
      </x:c>
      <x:c r="Q296" s="7" t="str">
        <x:f>IF(OR(D296="Reviewer Complete",D296="Awaiting Second-Level Approval"),"","Service identity dependency unresolved")</x:f>
        <x:v>Service identity dependency unresolved</x:v>
      </x:c>
      <x:c r="R296" s="6" t="str">
        <x:v>Yes</x:v>
      </x:c>
      <x:c r="S296" s="7" t="str"/>
    </x:row>
    <x:row r="297">
      <x:c r="A297" s="6" t="str">
        <x:v>LABX-0296</x:v>
      </x:c>
      <x:c r="B297" s="6" t="str">
        <x:v>SVC000296</x:v>
      </x:c>
      <x:c r="C297" s="6" t="str">
        <x:v>SIDX-0296</x:v>
      </x:c>
      <x:c r="D297" s="6" t="str">
        <x:f>IFERROR(XLOOKUP(C297,'Review Sequence'!C2:C1586,'Review Sequence'!J2:J1586),"Dependency not found")</x:f>
        <x:v>Not Started</x:v>
      </x:c>
      <x:c r="E297" s="6" t="str"/>
      <x:c r="F297" s="6" t="str"/>
      <x:c r="G297" s="6" t="str"/>
      <x:c r="H297" s="6" t="str"/>
      <x:c r="I297" s="6" t="str"/>
      <x:c r="J297" s="6" t="str"/>
      <x:c r="K297" s="6" t="str"/>
      <x:c r="L297" s="6" t="str">
        <x:v>Unresolved</x:v>
      </x:c>
      <x:c r="M297" s="7" t="str">
        <x:v>Nocturnix_Master_Services_Catalog_v1.xlsx | 01 - Master Services | row 336</x:v>
      </x:c>
      <x:c r="N297" s="6" t="str"/>
      <x:c r="O297" s="6" t="str"/>
      <x:c r="P297" s="6" t="str">
        <x:v>Pending</x:v>
      </x:c>
      <x:c r="Q297" s="7" t="str">
        <x:f>IF(OR(D297="Reviewer Complete",D297="Awaiting Second-Level Approval"),"","Service identity dependency unresolved")</x:f>
        <x:v>Service identity dependency unresolved</x:v>
      </x:c>
      <x:c r="R297" s="6" t="str">
        <x:v>Yes</x:v>
      </x:c>
      <x:c r="S297" s="7" t="str"/>
    </x:row>
    <x:row r="298">
      <x:c r="A298" s="6" t="str">
        <x:v>LABX-0297</x:v>
      </x:c>
      <x:c r="B298" s="6" t="str">
        <x:v>SVC000297</x:v>
      </x:c>
      <x:c r="C298" s="6" t="str">
        <x:v>SIDX-0297</x:v>
      </x:c>
      <x:c r="D298" s="6" t="str">
        <x:f>IFERROR(XLOOKUP(C298,'Review Sequence'!C2:C1586,'Review Sequence'!J2:J1586),"Dependency not found")</x:f>
        <x:v>Not Started</x:v>
      </x:c>
      <x:c r="E298" s="6" t="str"/>
      <x:c r="F298" s="6" t="str"/>
      <x:c r="G298" s="6" t="str"/>
      <x:c r="H298" s="6" t="str"/>
      <x:c r="I298" s="6" t="str"/>
      <x:c r="J298" s="6" t="str"/>
      <x:c r="K298" s="6" t="str"/>
      <x:c r="L298" s="6" t="str">
        <x:v>Unresolved</x:v>
      </x:c>
      <x:c r="M298" s="7" t="str">
        <x:v>Nocturnix_Master_Services_Catalog_v1.xlsx | 01 - Master Services | row 337</x:v>
      </x:c>
      <x:c r="N298" s="6" t="str"/>
      <x:c r="O298" s="6" t="str"/>
      <x:c r="P298" s="6" t="str">
        <x:v>Pending</x:v>
      </x:c>
      <x:c r="Q298" s="7" t="str">
        <x:f>IF(OR(D298="Reviewer Complete",D298="Awaiting Second-Level Approval"),"","Service identity dependency unresolved")</x:f>
        <x:v>Service identity dependency unresolved</x:v>
      </x:c>
      <x:c r="R298" s="6" t="str">
        <x:v>Yes</x:v>
      </x:c>
      <x:c r="S298" s="7" t="str"/>
    </x:row>
    <x:row r="299">
      <x:c r="A299" s="6" t="str">
        <x:v>LABX-0298</x:v>
      </x:c>
      <x:c r="B299" s="6" t="str">
        <x:v>SVC000298</x:v>
      </x:c>
      <x:c r="C299" s="6" t="str">
        <x:v>SIDX-0298</x:v>
      </x:c>
      <x:c r="D299" s="6" t="str">
        <x:f>IFERROR(XLOOKUP(C299,'Review Sequence'!C2:C1586,'Review Sequence'!J2:J1586),"Dependency not found")</x:f>
        <x:v>Not Started</x:v>
      </x:c>
      <x:c r="E299" s="6" t="str"/>
      <x:c r="F299" s="6" t="str"/>
      <x:c r="G299" s="6" t="str"/>
      <x:c r="H299" s="6" t="str"/>
      <x:c r="I299" s="6" t="str"/>
      <x:c r="J299" s="6" t="str"/>
      <x:c r="K299" s="6" t="str"/>
      <x:c r="L299" s="6" t="str">
        <x:v>Unresolved</x:v>
      </x:c>
      <x:c r="M299" s="7" t="str">
        <x:v>Nocturnix_Master_Services_Catalog_v1.xlsx | 01 - Master Services | row 338</x:v>
      </x:c>
      <x:c r="N299" s="6" t="str"/>
      <x:c r="O299" s="6" t="str"/>
      <x:c r="P299" s="6" t="str">
        <x:v>Pending</x:v>
      </x:c>
      <x:c r="Q299" s="7" t="str">
        <x:f>IF(OR(D299="Reviewer Complete",D299="Awaiting Second-Level Approval"),"","Service identity dependency unresolved")</x:f>
        <x:v>Service identity dependency unresolved</x:v>
      </x:c>
      <x:c r="R299" s="6" t="str">
        <x:v>Yes</x:v>
      </x:c>
      <x:c r="S299" s="7" t="str"/>
    </x:row>
    <x:row r="300">
      <x:c r="A300" s="6" t="str">
        <x:v>LABX-0299</x:v>
      </x:c>
      <x:c r="B300" s="6" t="str">
        <x:v>SVC000299</x:v>
      </x:c>
      <x:c r="C300" s="6" t="str">
        <x:v>SIDX-0299</x:v>
      </x:c>
      <x:c r="D300" s="6" t="str">
        <x:f>IFERROR(XLOOKUP(C300,'Review Sequence'!C2:C1586,'Review Sequence'!J2:J1586),"Dependency not found")</x:f>
        <x:v>Not Started</x:v>
      </x:c>
      <x:c r="E300" s="6" t="str"/>
      <x:c r="F300" s="6" t="str"/>
      <x:c r="G300" s="6" t="str"/>
      <x:c r="H300" s="6" t="str"/>
      <x:c r="I300" s="6" t="str"/>
      <x:c r="J300" s="6" t="str"/>
      <x:c r="K300" s="6" t="str"/>
      <x:c r="L300" s="6" t="str">
        <x:v>Unresolved</x:v>
      </x:c>
      <x:c r="M300" s="7" t="str">
        <x:v>Nocturnix_Master_Services_Catalog_v1.xlsx | 01 - Master Services | row 339</x:v>
      </x:c>
      <x:c r="N300" s="6" t="str"/>
      <x:c r="O300" s="6" t="str"/>
      <x:c r="P300" s="6" t="str">
        <x:v>Pending</x:v>
      </x:c>
      <x:c r="Q300" s="7" t="str">
        <x:f>IF(OR(D300="Reviewer Complete",D300="Awaiting Second-Level Approval"),"","Service identity dependency unresolved")</x:f>
        <x:v>Service identity dependency unresolved</x:v>
      </x:c>
      <x:c r="R300" s="6" t="str">
        <x:v>Yes</x:v>
      </x:c>
      <x:c r="S300" s="7" t="str"/>
    </x:row>
    <x:row r="301">
      <x:c r="A301" s="6" t="str">
        <x:v>LABX-0300</x:v>
      </x:c>
      <x:c r="B301" s="6" t="str">
        <x:v>SVC000300</x:v>
      </x:c>
      <x:c r="C301" s="6" t="str">
        <x:v>SIDX-0300</x:v>
      </x:c>
      <x:c r="D301" s="6" t="str">
        <x:f>IFERROR(XLOOKUP(C301,'Review Sequence'!C2:C1586,'Review Sequence'!J2:J1586),"Dependency not found")</x:f>
        <x:v>Not Started</x:v>
      </x:c>
      <x:c r="E301" s="6" t="str"/>
      <x:c r="F301" s="6" t="str"/>
      <x:c r="G301" s="6" t="str"/>
      <x:c r="H301" s="6" t="str"/>
      <x:c r="I301" s="6" t="str"/>
      <x:c r="J301" s="6" t="str"/>
      <x:c r="K301" s="6" t="str"/>
      <x:c r="L301" s="6" t="str">
        <x:v>Unresolved</x:v>
      </x:c>
      <x:c r="M301" s="7" t="str">
        <x:v>Nocturnix_Master_Services_Catalog_v1.xlsx | 01 - Master Services | row 340</x:v>
      </x:c>
      <x:c r="N301" s="6" t="str"/>
      <x:c r="O301" s="6" t="str"/>
      <x:c r="P301" s="6" t="str">
        <x:v>Pending</x:v>
      </x:c>
      <x:c r="Q301" s="7" t="str">
        <x:f>IF(OR(D301="Reviewer Complete",D301="Awaiting Second-Level Approval"),"","Service identity dependency unresolved")</x:f>
        <x:v>Service identity dependency unresolved</x:v>
      </x:c>
      <x:c r="R301" s="6" t="str">
        <x:v>Yes</x:v>
      </x:c>
      <x:c r="S301" s="7" t="str"/>
    </x:row>
    <x:row r="302">
      <x:c r="A302" s="6" t="str">
        <x:v>LABX-0301</x:v>
      </x:c>
      <x:c r="B302" s="6" t="str">
        <x:v>SVC000301</x:v>
      </x:c>
      <x:c r="C302" s="6" t="str">
        <x:v>SIDX-0301</x:v>
      </x:c>
      <x:c r="D302" s="6" t="str">
        <x:f>IFERROR(XLOOKUP(C302,'Review Sequence'!C2:C1586,'Review Sequence'!J2:J1586),"Dependency not found")</x:f>
        <x:v>Not Started</x:v>
      </x:c>
      <x:c r="E302" s="6" t="str"/>
      <x:c r="F302" s="6" t="str"/>
      <x:c r="G302" s="6" t="str"/>
      <x:c r="H302" s="6" t="str"/>
      <x:c r="I302" s="6" t="str"/>
      <x:c r="J302" s="6" t="str"/>
      <x:c r="K302" s="6" t="str"/>
      <x:c r="L302" s="6" t="str">
        <x:v>Unresolved</x:v>
      </x:c>
      <x:c r="M302" s="7" t="str">
        <x:v>Nocturnix_Master_Services_Catalog_v1.xlsx | 01 - Master Services | row 341</x:v>
      </x:c>
      <x:c r="N302" s="6" t="str"/>
      <x:c r="O302" s="6" t="str"/>
      <x:c r="P302" s="6" t="str">
        <x:v>Pending</x:v>
      </x:c>
      <x:c r="Q302" s="7" t="str">
        <x:f>IF(OR(D302="Reviewer Complete",D302="Awaiting Second-Level Approval"),"","Service identity dependency unresolved")</x:f>
        <x:v>Service identity dependency unresolved</x:v>
      </x:c>
      <x:c r="R302" s="6" t="str">
        <x:v>Yes</x:v>
      </x:c>
      <x:c r="S302" s="7" t="str"/>
    </x:row>
    <x:row r="303">
      <x:c r="A303" s="6" t="str">
        <x:v>LABX-0302</x:v>
      </x:c>
      <x:c r="B303" s="6" t="str">
        <x:v>SVC000302</x:v>
      </x:c>
      <x:c r="C303" s="6" t="str">
        <x:v>SIDX-0302</x:v>
      </x:c>
      <x:c r="D303" s="6" t="str">
        <x:f>IFERROR(XLOOKUP(C303,'Review Sequence'!C2:C1586,'Review Sequence'!J2:J1586),"Dependency not found")</x:f>
        <x:v>Not Started</x:v>
      </x:c>
      <x:c r="E303" s="6" t="str"/>
      <x:c r="F303" s="6" t="str"/>
      <x:c r="G303" s="6" t="str"/>
      <x:c r="H303" s="6" t="str"/>
      <x:c r="I303" s="6" t="str"/>
      <x:c r="J303" s="6" t="str"/>
      <x:c r="K303" s="6" t="str"/>
      <x:c r="L303" s="6" t="str">
        <x:v>Unresolved</x:v>
      </x:c>
      <x:c r="M303" s="7" t="str">
        <x:v>Nocturnix_Master_Services_Catalog_v1.xlsx | 01 - Master Services | row 342</x:v>
      </x:c>
      <x:c r="N303" s="6" t="str"/>
      <x:c r="O303" s="6" t="str"/>
      <x:c r="P303" s="6" t="str">
        <x:v>Pending</x:v>
      </x:c>
      <x:c r="Q303" s="7" t="str">
        <x:f>IF(OR(D303="Reviewer Complete",D303="Awaiting Second-Level Approval"),"","Service identity dependency unresolved")</x:f>
        <x:v>Service identity dependency unresolved</x:v>
      </x:c>
      <x:c r="R303" s="6" t="str">
        <x:v>Yes</x:v>
      </x:c>
      <x:c r="S303" s="7" t="str"/>
    </x:row>
    <x:row r="304">
      <x:c r="A304" s="6" t="str">
        <x:v>LABX-0303</x:v>
      </x:c>
      <x:c r="B304" s="6" t="str">
        <x:v>SVC000303</x:v>
      </x:c>
      <x:c r="C304" s="6" t="str">
        <x:v>SIDX-0303</x:v>
      </x:c>
      <x:c r="D304" s="6" t="str">
        <x:f>IFERROR(XLOOKUP(C304,'Review Sequence'!C2:C1586,'Review Sequence'!J2:J1586),"Dependency not found")</x:f>
        <x:v>Not Started</x:v>
      </x:c>
      <x:c r="E304" s="6" t="str"/>
      <x:c r="F304" s="6" t="str"/>
      <x:c r="G304" s="6" t="str"/>
      <x:c r="H304" s="6" t="str"/>
      <x:c r="I304" s="6" t="str"/>
      <x:c r="J304" s="6" t="str"/>
      <x:c r="K304" s="6" t="str"/>
      <x:c r="L304" s="6" t="str">
        <x:v>Unresolved</x:v>
      </x:c>
      <x:c r="M304" s="7" t="str">
        <x:v>Nocturnix_Master_Services_Catalog_v1.xlsx | 01 - Master Services | row 343</x:v>
      </x:c>
      <x:c r="N304" s="6" t="str"/>
      <x:c r="O304" s="6" t="str"/>
      <x:c r="P304" s="6" t="str">
        <x:v>Pending</x:v>
      </x:c>
      <x:c r="Q304" s="7" t="str">
        <x:f>IF(OR(D304="Reviewer Complete",D304="Awaiting Second-Level Approval"),"","Service identity dependency unresolved")</x:f>
        <x:v>Service identity dependency unresolved</x:v>
      </x:c>
      <x:c r="R304" s="6" t="str">
        <x:v>Yes</x:v>
      </x:c>
      <x:c r="S304" s="7" t="str"/>
    </x:row>
    <x:row r="305">
      <x:c r="A305" s="6" t="str">
        <x:v>LABX-0304</x:v>
      </x:c>
      <x:c r="B305" s="6" t="str">
        <x:v>SVC000304</x:v>
      </x:c>
      <x:c r="C305" s="6" t="str">
        <x:v>SIDX-0304</x:v>
      </x:c>
      <x:c r="D305" s="6" t="str">
        <x:f>IFERROR(XLOOKUP(C305,'Review Sequence'!C2:C1586,'Review Sequence'!J2:J1586),"Dependency not found")</x:f>
        <x:v>Not Started</x:v>
      </x:c>
      <x:c r="E305" s="6" t="str"/>
      <x:c r="F305" s="6" t="str"/>
      <x:c r="G305" s="6" t="str"/>
      <x:c r="H305" s="6" t="str"/>
      <x:c r="I305" s="6" t="str"/>
      <x:c r="J305" s="6" t="str"/>
      <x:c r="K305" s="6" t="str"/>
      <x:c r="L305" s="6" t="str">
        <x:v>Unresolved</x:v>
      </x:c>
      <x:c r="M305" s="7" t="str">
        <x:v>Nocturnix_Master_Services_Catalog_v1.xlsx | 01 - Master Services | row 344</x:v>
      </x:c>
      <x:c r="N305" s="6" t="str"/>
      <x:c r="O305" s="6" t="str"/>
      <x:c r="P305" s="6" t="str">
        <x:v>Pending</x:v>
      </x:c>
      <x:c r="Q305" s="7" t="str">
        <x:f>IF(OR(D305="Reviewer Complete",D305="Awaiting Second-Level Approval"),"","Service identity dependency unresolved")</x:f>
        <x:v>Service identity dependency unresolved</x:v>
      </x:c>
      <x:c r="R305" s="6" t="str">
        <x:v>Yes</x:v>
      </x:c>
      <x:c r="S305" s="7" t="str"/>
    </x:row>
    <x:row r="306">
      <x:c r="A306" s="6" t="str">
        <x:v>LABX-0305</x:v>
      </x:c>
      <x:c r="B306" s="6" t="str">
        <x:v>SVC000305</x:v>
      </x:c>
      <x:c r="C306" s="6" t="str">
        <x:v>SIDX-0305</x:v>
      </x:c>
      <x:c r="D306" s="6" t="str">
        <x:f>IFERROR(XLOOKUP(C306,'Review Sequence'!C2:C1586,'Review Sequence'!J2:J1586),"Dependency not found")</x:f>
        <x:v>Not Started</x:v>
      </x:c>
      <x:c r="E306" s="6" t="str"/>
      <x:c r="F306" s="6" t="str"/>
      <x:c r="G306" s="6" t="str"/>
      <x:c r="H306" s="6" t="str"/>
      <x:c r="I306" s="6" t="str"/>
      <x:c r="J306" s="6" t="str"/>
      <x:c r="K306" s="6" t="str"/>
      <x:c r="L306" s="6" t="str">
        <x:v>Unresolved</x:v>
      </x:c>
      <x:c r="M306" s="7" t="str">
        <x:v>Nocturnix_Master_Services_Catalog_v1.xlsx | 01 - Master Services | row 345</x:v>
      </x:c>
      <x:c r="N306" s="6" t="str"/>
      <x:c r="O306" s="6" t="str"/>
      <x:c r="P306" s="6" t="str">
        <x:v>Pending</x:v>
      </x:c>
      <x:c r="Q306" s="7" t="str">
        <x:f>IF(OR(D306="Reviewer Complete",D306="Awaiting Second-Level Approval"),"","Service identity dependency unresolved")</x:f>
        <x:v>Service identity dependency unresolved</x:v>
      </x:c>
      <x:c r="R306" s="6" t="str">
        <x:v>Yes</x:v>
      </x:c>
      <x:c r="S306" s="7" t="str"/>
    </x:row>
    <x:row r="307">
      <x:c r="A307" s="6" t="str">
        <x:v>LABX-0306</x:v>
      </x:c>
      <x:c r="B307" s="6" t="str">
        <x:v>SVC000306</x:v>
      </x:c>
      <x:c r="C307" s="6" t="str">
        <x:v>SIDX-0306</x:v>
      </x:c>
      <x:c r="D307" s="6" t="str">
        <x:f>IFERROR(XLOOKUP(C307,'Review Sequence'!C2:C1586,'Review Sequence'!J2:J1586),"Dependency not found")</x:f>
        <x:v>Not Started</x:v>
      </x:c>
      <x:c r="E307" s="6" t="str"/>
      <x:c r="F307" s="6" t="str"/>
      <x:c r="G307" s="6" t="str"/>
      <x:c r="H307" s="6" t="str"/>
      <x:c r="I307" s="6" t="str"/>
      <x:c r="J307" s="6" t="str"/>
      <x:c r="K307" s="6" t="str"/>
      <x:c r="L307" s="6" t="str">
        <x:v>Unresolved</x:v>
      </x:c>
      <x:c r="M307" s="7" t="str">
        <x:v>Nocturnix_Master_Services_Catalog_v1.xlsx | 01 - Master Services | row 346</x:v>
      </x:c>
      <x:c r="N307" s="6" t="str"/>
      <x:c r="O307" s="6" t="str"/>
      <x:c r="P307" s="6" t="str">
        <x:v>Pending</x:v>
      </x:c>
      <x:c r="Q307" s="7" t="str">
        <x:f>IF(OR(D307="Reviewer Complete",D307="Awaiting Second-Level Approval"),"","Service identity dependency unresolved")</x:f>
        <x:v>Service identity dependency unresolved</x:v>
      </x:c>
      <x:c r="R307" s="6" t="str">
        <x:v>Yes</x:v>
      </x:c>
      <x:c r="S307" s="7" t="str"/>
    </x:row>
    <x:row r="308">
      <x:c r="A308" s="6" t="str">
        <x:v>LABX-0307</x:v>
      </x:c>
      <x:c r="B308" s="6" t="str">
        <x:v>SVC000307</x:v>
      </x:c>
      <x:c r="C308" s="6" t="str">
        <x:v>SIDX-0307</x:v>
      </x:c>
      <x:c r="D308" s="6" t="str">
        <x:f>IFERROR(XLOOKUP(C308,'Review Sequence'!C2:C1586,'Review Sequence'!J2:J1586),"Dependency not found")</x:f>
        <x:v>Not Started</x:v>
      </x:c>
      <x:c r="E308" s="6" t="str"/>
      <x:c r="F308" s="6" t="str"/>
      <x:c r="G308" s="6" t="str"/>
      <x:c r="H308" s="6" t="str"/>
      <x:c r="I308" s="6" t="str"/>
      <x:c r="J308" s="6" t="str"/>
      <x:c r="K308" s="6" t="str"/>
      <x:c r="L308" s="6" t="str">
        <x:v>Unresolved</x:v>
      </x:c>
      <x:c r="M308" s="7" t="str">
        <x:v>Nocturnix_Master_Services_Catalog_v1.xlsx | 01 - Master Services | row 347</x:v>
      </x:c>
      <x:c r="N308" s="6" t="str"/>
      <x:c r="O308" s="6" t="str"/>
      <x:c r="P308" s="6" t="str">
        <x:v>Pending</x:v>
      </x:c>
      <x:c r="Q308" s="7" t="str">
        <x:f>IF(OR(D308="Reviewer Complete",D308="Awaiting Second-Level Approval"),"","Service identity dependency unresolved")</x:f>
        <x:v>Service identity dependency unresolved</x:v>
      </x:c>
      <x:c r="R308" s="6" t="str">
        <x:v>Yes</x:v>
      </x:c>
      <x:c r="S308" s="7" t="str"/>
    </x:row>
    <x:row r="309">
      <x:c r="A309" s="6" t="str">
        <x:v>LABX-0308</x:v>
      </x:c>
      <x:c r="B309" s="6" t="str">
        <x:v>SVC000308</x:v>
      </x:c>
      <x:c r="C309" s="6" t="str">
        <x:v>SIDX-0308</x:v>
      </x:c>
      <x:c r="D309" s="6" t="str">
        <x:f>IFERROR(XLOOKUP(C309,'Review Sequence'!C2:C1586,'Review Sequence'!J2:J1586),"Dependency not found")</x:f>
        <x:v>Not Started</x:v>
      </x:c>
      <x:c r="E309" s="6" t="str"/>
      <x:c r="F309" s="6" t="str"/>
      <x:c r="G309" s="6" t="str"/>
      <x:c r="H309" s="6" t="str"/>
      <x:c r="I309" s="6" t="str"/>
      <x:c r="J309" s="6" t="str"/>
      <x:c r="K309" s="6" t="str"/>
      <x:c r="L309" s="6" t="str">
        <x:v>Unresolved</x:v>
      </x:c>
      <x:c r="M309" s="7" t="str">
        <x:v>Nocturnix_Master_Services_Catalog_v1.xlsx | 01 - Master Services | row 348</x:v>
      </x:c>
      <x:c r="N309" s="6" t="str"/>
      <x:c r="O309" s="6" t="str"/>
      <x:c r="P309" s="6" t="str">
        <x:v>Pending</x:v>
      </x:c>
      <x:c r="Q309" s="7" t="str">
        <x:f>IF(OR(D309="Reviewer Complete",D309="Awaiting Second-Level Approval"),"","Service identity dependency unresolved")</x:f>
        <x:v>Service identity dependency unresolved</x:v>
      </x:c>
      <x:c r="R309" s="6" t="str">
        <x:v>Yes</x:v>
      </x:c>
      <x:c r="S309" s="7" t="str"/>
    </x:row>
    <x:row r="310">
      <x:c r="A310" s="6" t="str">
        <x:v>LABX-0309</x:v>
      </x:c>
      <x:c r="B310" s="6" t="str">
        <x:v>SVC000309</x:v>
      </x:c>
      <x:c r="C310" s="6" t="str">
        <x:v>SIDX-0309</x:v>
      </x:c>
      <x:c r="D310" s="6" t="str">
        <x:f>IFERROR(XLOOKUP(C310,'Review Sequence'!C2:C1586,'Review Sequence'!J2:J1586),"Dependency not found")</x:f>
        <x:v>Not Started</x:v>
      </x:c>
      <x:c r="E310" s="6" t="str"/>
      <x:c r="F310" s="6" t="str"/>
      <x:c r="G310" s="6" t="str"/>
      <x:c r="H310" s="6" t="str"/>
      <x:c r="I310" s="6" t="str"/>
      <x:c r="J310" s="6" t="str"/>
      <x:c r="K310" s="6" t="str"/>
      <x:c r="L310" s="6" t="str">
        <x:v>Unresolved</x:v>
      </x:c>
      <x:c r="M310" s="7" t="str">
        <x:v>Nocturnix_Master_Services_Catalog_v1.xlsx | 01 - Master Services | row 349</x:v>
      </x:c>
      <x:c r="N310" s="6" t="str"/>
      <x:c r="O310" s="6" t="str"/>
      <x:c r="P310" s="6" t="str">
        <x:v>Pending</x:v>
      </x:c>
      <x:c r="Q310" s="7" t="str">
        <x:f>IF(OR(D310="Reviewer Complete",D310="Awaiting Second-Level Approval"),"","Service identity dependency unresolved")</x:f>
        <x:v>Service identity dependency unresolved</x:v>
      </x:c>
      <x:c r="R310" s="6" t="str">
        <x:v>Yes</x:v>
      </x:c>
      <x:c r="S310" s="7" t="str"/>
    </x:row>
    <x:row r="311">
      <x:c r="A311" s="6" t="str">
        <x:v>LABX-0310</x:v>
      </x:c>
      <x:c r="B311" s="6" t="str">
        <x:v>SVC000310</x:v>
      </x:c>
      <x:c r="C311" s="6" t="str">
        <x:v>SIDX-0310</x:v>
      </x:c>
      <x:c r="D311" s="6" t="str">
        <x:f>IFERROR(XLOOKUP(C311,'Review Sequence'!C2:C1586,'Review Sequence'!J2:J1586),"Dependency not found")</x:f>
        <x:v>Not Started</x:v>
      </x:c>
      <x:c r="E311" s="6" t="str"/>
      <x:c r="F311" s="6" t="str"/>
      <x:c r="G311" s="6" t="str"/>
      <x:c r="H311" s="6" t="str"/>
      <x:c r="I311" s="6" t="str"/>
      <x:c r="J311" s="6" t="str"/>
      <x:c r="K311" s="6" t="str"/>
      <x:c r="L311" s="6" t="str">
        <x:v>Unresolved</x:v>
      </x:c>
      <x:c r="M311" s="7" t="str">
        <x:v>Nocturnix_Master_Services_Catalog_v1.xlsx | 01 - Master Services | row 350</x:v>
      </x:c>
      <x:c r="N311" s="6" t="str"/>
      <x:c r="O311" s="6" t="str"/>
      <x:c r="P311" s="6" t="str">
        <x:v>Pending</x:v>
      </x:c>
      <x:c r="Q311" s="7" t="str">
        <x:f>IF(OR(D311="Reviewer Complete",D311="Awaiting Second-Level Approval"),"","Service identity dependency unresolved")</x:f>
        <x:v>Service identity dependency unresolved</x:v>
      </x:c>
      <x:c r="R311" s="6" t="str">
        <x:v>Yes</x:v>
      </x:c>
      <x:c r="S311" s="7" t="str"/>
    </x:row>
    <x:row r="312">
      <x:c r="A312" s="6" t="str">
        <x:v>LABX-0311</x:v>
      </x:c>
      <x:c r="B312" s="6" t="str">
        <x:v>SVC000311</x:v>
      </x:c>
      <x:c r="C312" s="6" t="str">
        <x:v>SIDX-0311</x:v>
      </x:c>
      <x:c r="D312" s="6" t="str">
        <x:f>IFERROR(XLOOKUP(C312,'Review Sequence'!C2:C1586,'Review Sequence'!J2:J1586),"Dependency not found")</x:f>
        <x:v>Not Started</x:v>
      </x:c>
      <x:c r="E312" s="6" t="str"/>
      <x:c r="F312" s="6" t="str"/>
      <x:c r="G312" s="6" t="str"/>
      <x:c r="H312" s="6" t="str"/>
      <x:c r="I312" s="6" t="str"/>
      <x:c r="J312" s="6" t="str"/>
      <x:c r="K312" s="6" t="str"/>
      <x:c r="L312" s="6" t="str">
        <x:v>Unresolved</x:v>
      </x:c>
      <x:c r="M312" s="7" t="str">
        <x:v>Nocturnix_Master_Services_Catalog_v1.xlsx | 01 - Master Services | row 351</x:v>
      </x:c>
      <x:c r="N312" s="6" t="str"/>
      <x:c r="O312" s="6" t="str"/>
      <x:c r="P312" s="6" t="str">
        <x:v>Pending</x:v>
      </x:c>
      <x:c r="Q312" s="7" t="str">
        <x:f>IF(OR(D312="Reviewer Complete",D312="Awaiting Second-Level Approval"),"","Service identity dependency unresolved")</x:f>
        <x:v>Service identity dependency unresolved</x:v>
      </x:c>
      <x:c r="R312" s="6" t="str">
        <x:v>Yes</x:v>
      </x:c>
      <x:c r="S312" s="7" t="str"/>
    </x:row>
    <x:row r="313">
      <x:c r="A313" s="6" t="str">
        <x:v>LABX-0312</x:v>
      </x:c>
      <x:c r="B313" s="6" t="str">
        <x:v>SVC000312</x:v>
      </x:c>
      <x:c r="C313" s="6" t="str">
        <x:v>SIDX-0312</x:v>
      </x:c>
      <x:c r="D313" s="6" t="str">
        <x:f>IFERROR(XLOOKUP(C313,'Review Sequence'!C2:C1586,'Review Sequence'!J2:J1586),"Dependency not found")</x:f>
        <x:v>Not Started</x:v>
      </x:c>
      <x:c r="E313" s="6" t="str"/>
      <x:c r="F313" s="6" t="str"/>
      <x:c r="G313" s="6" t="str"/>
      <x:c r="H313" s="6" t="str"/>
      <x:c r="I313" s="6" t="str"/>
      <x:c r="J313" s="6" t="str"/>
      <x:c r="K313" s="6" t="str"/>
      <x:c r="L313" s="6" t="str">
        <x:v>Unresolved</x:v>
      </x:c>
      <x:c r="M313" s="7" t="str">
        <x:v>Nocturnix_Master_Services_Catalog_v1.xlsx | 01 - Master Services | row 352</x:v>
      </x:c>
      <x:c r="N313" s="6" t="str"/>
      <x:c r="O313" s="6" t="str"/>
      <x:c r="P313" s="6" t="str">
        <x:v>Pending</x:v>
      </x:c>
      <x:c r="Q313" s="7" t="str">
        <x:f>IF(OR(D313="Reviewer Complete",D313="Awaiting Second-Level Approval"),"","Service identity dependency unresolved")</x:f>
        <x:v>Service identity dependency unresolved</x:v>
      </x:c>
      <x:c r="R313" s="6" t="str">
        <x:v>Yes</x:v>
      </x:c>
      <x:c r="S313" s="7" t="str"/>
    </x:row>
    <x:row r="314">
      <x:c r="A314" s="6" t="str">
        <x:v>LABX-0313</x:v>
      </x:c>
      <x:c r="B314" s="6" t="str">
        <x:v>SVC000313</x:v>
      </x:c>
      <x:c r="C314" s="6" t="str">
        <x:v>SIDX-0313</x:v>
      </x:c>
      <x:c r="D314" s="6" t="str">
        <x:f>IFERROR(XLOOKUP(C314,'Review Sequence'!C2:C1586,'Review Sequence'!J2:J1586),"Dependency not found")</x:f>
        <x:v>Not Started</x:v>
      </x:c>
      <x:c r="E314" s="6" t="str"/>
      <x:c r="F314" s="6" t="str"/>
      <x:c r="G314" s="6" t="str"/>
      <x:c r="H314" s="6" t="str"/>
      <x:c r="I314" s="6" t="str"/>
      <x:c r="J314" s="6" t="str"/>
      <x:c r="K314" s="6" t="str"/>
      <x:c r="L314" s="6" t="str">
        <x:v>Unresolved</x:v>
      </x:c>
      <x:c r="M314" s="7" t="str">
        <x:v>Nocturnix_Master_Services_Catalog_v1.xlsx | 01 - Master Services | row 353</x:v>
      </x:c>
      <x:c r="N314" s="6" t="str"/>
      <x:c r="O314" s="6" t="str"/>
      <x:c r="P314" s="6" t="str">
        <x:v>Pending</x:v>
      </x:c>
      <x:c r="Q314" s="7" t="str">
        <x:f>IF(OR(D314="Reviewer Complete",D314="Awaiting Second-Level Approval"),"","Service identity dependency unresolved")</x:f>
        <x:v>Service identity dependency unresolved</x:v>
      </x:c>
      <x:c r="R314" s="6" t="str">
        <x:v>Yes</x:v>
      </x:c>
      <x:c r="S314" s="7" t="str"/>
    </x:row>
    <x:row r="315">
      <x:c r="A315" s="6" t="str">
        <x:v>LABX-0314</x:v>
      </x:c>
      <x:c r="B315" s="6" t="str">
        <x:v>SVC000314</x:v>
      </x:c>
      <x:c r="C315" s="6" t="str">
        <x:v>SIDX-0314</x:v>
      </x:c>
      <x:c r="D315" s="6" t="str">
        <x:f>IFERROR(XLOOKUP(C315,'Review Sequence'!C2:C1586,'Review Sequence'!J2:J1586),"Dependency not found")</x:f>
        <x:v>Not Started</x:v>
      </x:c>
      <x:c r="E315" s="6" t="str"/>
      <x:c r="F315" s="6" t="str"/>
      <x:c r="G315" s="6" t="str"/>
      <x:c r="H315" s="6" t="str"/>
      <x:c r="I315" s="6" t="str"/>
      <x:c r="J315" s="6" t="str"/>
      <x:c r="K315" s="6" t="str"/>
      <x:c r="L315" s="6" t="str">
        <x:v>Unresolved</x:v>
      </x:c>
      <x:c r="M315" s="7" t="str">
        <x:v>Nocturnix_Master_Services_Catalog_v1.xlsx | 01 - Master Services | row 354</x:v>
      </x:c>
      <x:c r="N315" s="6" t="str"/>
      <x:c r="O315" s="6" t="str"/>
      <x:c r="P315" s="6" t="str">
        <x:v>Pending</x:v>
      </x:c>
      <x:c r="Q315" s="7" t="str">
        <x:f>IF(OR(D315="Reviewer Complete",D315="Awaiting Second-Level Approval"),"","Service identity dependency unresolved")</x:f>
        <x:v>Service identity dependency unresolved</x:v>
      </x:c>
      <x:c r="R315" s="6" t="str">
        <x:v>Yes</x:v>
      </x:c>
      <x:c r="S315" s="7" t="str"/>
    </x:row>
  </x:sheetData>
  <x:dataValidations count="4">
    <x:dataValidation type="list" sqref="L2:L315">
      <x:formula1>"Confirm Current Identity,Propose Identity Change,Keep Separate,Suspected Duplicate,Reject Source Record,Escalate,Unresolved"</x:formula1>
    </x:dataValidation>
    <x:dataValidation type="list" sqref="P2:P315">
      <x:formula1>"Pending,Approved,Rejected,Escalated,Not Approved"</x:formula1>
    </x:dataValidation>
    <x:dataValidation type="list" sqref="R2:R315">
      <x:formula1>"Yes,No"</x:formula1>
    </x:dataValidation>
    <x:dataValidation type="list" sqref="B2:B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045bd38d9d43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.75" hidden="0" customWidth="1"/>
    <x:col min="3" max="3" width="16.3799991607666" hidden="0" customWidth="1"/>
    <x:col min="4" max="4" width="11.25" hidden="0" customWidth="1"/>
    <x:col min="5" max="5" width="9.5" hidden="0" customWidth="1"/>
    <x:col min="6" max="6" width="17.25" hidden="0" customWidth="1"/>
    <x:col min="7" max="7" width="14.880000114440918" hidden="0" customWidth="1"/>
    <x:col min="8" max="8" width="18.1299991607666" hidden="0" customWidth="1"/>
    <x:col min="9" max="9" width="10" hidden="0" customWidth="1"/>
    <x:col min="10" max="10" width="12.380000114440918" hidden="0" customWidth="1"/>
    <x:col min="11" max="11" width="17.8799991607666" hidden="0" customWidth="1"/>
    <x:col min="12" max="12" width="15.880000114440918" hidden="0" customWidth="1"/>
    <x:col min="13" max="13" width="25.75" hidden="0" customWidth="1"/>
    <x:col min="14" max="14" width="10" hidden="0" customWidth="1"/>
    <x:col min="15" max="15" width="13.75" hidden="0" customWidth="1"/>
    <x:col min="16" max="16" width="15.5" hidden="0" customWidth="1"/>
    <x:col min="17" max="17" width="7.630000114440918" hidden="0" customWidth="1"/>
  </x:cols>
  <x:sheetData>
    <x:row r="1">
      <x:c r="A1" s="5" t="str">
        <x:v>Approval Preparation ID</x:v>
      </x:c>
      <x:c r="B1" s="5" t="str">
        <x:v>Source Queue</x:v>
      </x:c>
      <x:c r="C1" s="5" t="str">
        <x:v>Execution Item ID</x:v>
      </x:c>
      <x:c r="D1" s="5" t="str">
        <x:v>Entity Type</x:v>
      </x:c>
      <x:c r="E1" s="5" t="str">
        <x:v>Entity ID</x:v>
      </x:c>
      <x:c r="F1" s="5" t="str">
        <x:v>Proposed Decision</x:v>
      </x:c>
      <x:c r="G1" s="5" t="str">
        <x:v>Proposed Value</x:v>
      </x:c>
      <x:c r="H1" s="5" t="str">
        <x:v>Evidence Reference</x:v>
      </x:c>
      <x:c r="I1" s="5" t="str">
        <x:v>Reviewer</x:v>
      </x:c>
      <x:c r="J1" s="5" t="str">
        <x:v>Review Date</x:v>
      </x:c>
      <x:c r="K1" s="5" t="str">
        <x:v>Dependency Check</x:v>
      </x:c>
      <x:c r="L1" s="5" t="str">
        <x:v>Validation Check</x:v>
      </x:c>
      <x:c r="M1" s="5" t="str">
        <x:v>Second-Level Approval Status</x:v>
      </x:c>
      <x:c r="N1" s="5" t="str">
        <x:v>Approver</x:v>
      </x:c>
      <x:c r="O1" s="5" t="str">
        <x:v>Approval Date</x:v>
      </x:c>
      <x:c r="P1" s="5" t="str">
        <x:v>Import Eligibility</x:v>
      </x:c>
      <x:c r="Q1" s="5" t="str">
        <x:v>Notes</x:v>
      </x:c>
    </x:row>
    <x:row r="2">
      <x:c r="A2" s="6" t="str">
        <x:v>APPR-0001</x:v>
      </x:c>
      <x:c r="B2" s="6" t="str">
        <x:v>Service Identity Queue</x:v>
      </x:c>
      <x:c r="C2" s="6" t="str">
        <x:v>SIDX-0001</x:v>
      </x:c>
      <x:c r="D2" s="6" t="str">
        <x:v>Service</x:v>
      </x:c>
      <x:c r="E2" s="6" t="str">
        <x:v>SVC000001</x:v>
      </x:c>
      <x:c r="F2" s="6" t="str">
        <x:f>IFERROR(IF(XLOOKUP(C2,'Review Sequence'!C2:C1586,'Review Sequence'!J2:J1586)="Reviewer Complete",XLOOKUP(C2,'Service Identity Queue'!A2:A315,'Service Identity Queue'!L2:L315),""),"")</x:f>
      </x:c>
      <x:c r="G2" s="6" t="str"/>
      <x:c r="H2" s="7" t="str">
        <x:f>IF(F2&lt;&gt;"",XLOOKUP(C2,'Service Identity Queue'!A2:A315,'Service Identity Queue'!N2:N315),"" )</x:f>
      </x:c>
      <x:c r="I2" s="6" t="str">
        <x:f>IF(F2&lt;&gt;"",XLOOKUP(C2,'Service Identity Queue'!A2:A315,'Service Identity Queue'!O2:O315),"" )</x:f>
      </x:c>
      <x:c r="J2" s="6" t="str">
        <x:f>IF(F2&lt;&gt;"",XLOOKUP(C2,'Service Identity Queue'!A2:A315,'Service Identity Queue'!P2:P315),"" )</x:f>
      </x:c>
      <x:c r="K2" s="6" t="str">
        <x:f>IF(F2&lt;&gt;"","Reviewer complete; second-level approval still required","Not eligible yet")</x:f>
        <x:v>Not eligible yet</x:v>
      </x:c>
      <x:c r="L2" s="6" t="str">
        <x:f>IF(P2="Not Eligible","PASS","FAIL")</x:f>
        <x:v>PASS</x:v>
      </x:c>
      <x:c r="M2" s="6" t="str">
        <x:v>Pending</x:v>
      </x:c>
      <x:c r="N2" s="6" t="str"/>
      <x:c r="O2" s="6" t="str"/>
      <x:c r="P2" s="6" t="str">
        <x:v>Not Eligible</x:v>
      </x:c>
      <x:c r="Q2" s="7" t="str"/>
    </x:row>
    <x:row r="3">
      <x:c r="A3" s="6" t="str">
        <x:v>APPR-0002</x:v>
      </x:c>
      <x:c r="B3" s="6" t="str">
        <x:v>Service Identity Queue</x:v>
      </x:c>
      <x:c r="C3" s="6" t="str">
        <x:v>SIDX-0002</x:v>
      </x:c>
      <x:c r="D3" s="6" t="str">
        <x:v>Service</x:v>
      </x:c>
      <x:c r="E3" s="6" t="str">
        <x:v>SVC000002</x:v>
      </x:c>
      <x:c r="F3" s="6" t="str">
        <x:f>IFERROR(IF(XLOOKUP(C3,'Review Sequence'!C2:C1586,'Review Sequence'!J2:J1586)="Reviewer Complete",XLOOKUP(C3,'Service Identity Queue'!A2:A315,'Service Identity Queue'!L2:L315),""),"")</x:f>
      </x:c>
      <x:c r="G3" s="6" t="str"/>
      <x:c r="H3" s="7" t="str">
        <x:f>IF(F3&lt;&gt;"",XLOOKUP(C3,'Service Identity Queue'!A2:A315,'Service Identity Queue'!N2:N315),"" )</x:f>
      </x:c>
      <x:c r="I3" s="6" t="str">
        <x:f>IF(F3&lt;&gt;"",XLOOKUP(C3,'Service Identity Queue'!A2:A315,'Service Identity Queue'!O2:O315),"" )</x:f>
      </x:c>
      <x:c r="J3" s="6" t="str">
        <x:f>IF(F3&lt;&gt;"",XLOOKUP(C3,'Service Identity Queue'!A2:A315,'Service Identity Queue'!P2:P315),"" )</x:f>
      </x:c>
      <x:c r="K3" s="6" t="str">
        <x:f>IF(F3&lt;&gt;"","Reviewer complete; second-level approval still required","Not eligible yet")</x:f>
        <x:v>Not eligible yet</x:v>
      </x:c>
      <x:c r="L3" s="6" t="str">
        <x:f>IF(P3="Not Eligible","PASS","FAIL")</x:f>
        <x:v>PASS</x:v>
      </x:c>
      <x:c r="M3" s="6" t="str">
        <x:v>Pending</x:v>
      </x:c>
      <x:c r="N3" s="6" t="str"/>
      <x:c r="O3" s="6" t="str"/>
      <x:c r="P3" s="6" t="str">
        <x:v>Not Eligible</x:v>
      </x:c>
      <x:c r="Q3" s="7" t="str"/>
    </x:row>
    <x:row r="4">
      <x:c r="A4" s="6" t="str">
        <x:v>APPR-0003</x:v>
      </x:c>
      <x:c r="B4" s="6" t="str">
        <x:v>Service Identity Queue</x:v>
      </x:c>
      <x:c r="C4" s="6" t="str">
        <x:v>SIDX-0003</x:v>
      </x:c>
      <x:c r="D4" s="6" t="str">
        <x:v>Service</x:v>
      </x:c>
      <x:c r="E4" s="6" t="str">
        <x:v>SVC000003</x:v>
      </x:c>
      <x:c r="F4" s="6" t="str">
        <x:f>IFERROR(IF(XLOOKUP(C4,'Review Sequence'!C2:C1586,'Review Sequence'!J2:J1586)="Reviewer Complete",XLOOKUP(C4,'Service Identity Queue'!A2:A315,'Service Identity Queue'!L2:L315),""),"")</x:f>
      </x:c>
      <x:c r="G4" s="6" t="str"/>
      <x:c r="H4" s="7" t="str">
        <x:f>IF(F4&lt;&gt;"",XLOOKUP(C4,'Service Identity Queue'!A2:A315,'Service Identity Queue'!N2:N315),"" )</x:f>
      </x:c>
      <x:c r="I4" s="6" t="str">
        <x:f>IF(F4&lt;&gt;"",XLOOKUP(C4,'Service Identity Queue'!A2:A315,'Service Identity Queue'!O2:O315),"" )</x:f>
      </x:c>
      <x:c r="J4" s="6" t="str">
        <x:f>IF(F4&lt;&gt;"",XLOOKUP(C4,'Service Identity Queue'!A2:A315,'Service Identity Queue'!P2:P315),"" )</x:f>
      </x:c>
      <x:c r="K4" s="6" t="str">
        <x:f>IF(F4&lt;&gt;"","Reviewer complete; second-level approval still required","Not eligible yet")</x:f>
        <x:v>Not eligible yet</x:v>
      </x:c>
      <x:c r="L4" s="6" t="str">
        <x:f>IF(P4="Not Eligible","PASS","FAIL")</x:f>
        <x:v>PASS</x:v>
      </x:c>
      <x:c r="M4" s="6" t="str">
        <x:v>Pending</x:v>
      </x:c>
      <x:c r="N4" s="6" t="str"/>
      <x:c r="O4" s="6" t="str"/>
      <x:c r="P4" s="6" t="str">
        <x:v>Not Eligible</x:v>
      </x:c>
      <x:c r="Q4" s="7" t="str"/>
    </x:row>
    <x:row r="5">
      <x:c r="A5" s="6" t="str">
        <x:v>APPR-0004</x:v>
      </x:c>
      <x:c r="B5" s="6" t="str">
        <x:v>Service Identity Queue</x:v>
      </x:c>
      <x:c r="C5" s="6" t="str">
        <x:v>SIDX-0004</x:v>
      </x:c>
      <x:c r="D5" s="6" t="str">
        <x:v>Service</x:v>
      </x:c>
      <x:c r="E5" s="6" t="str">
        <x:v>SVC000004</x:v>
      </x:c>
      <x:c r="F5" s="6" t="str">
        <x:f>IFERROR(IF(XLOOKUP(C5,'Review Sequence'!C2:C1586,'Review Sequence'!J2:J1586)="Reviewer Complete",XLOOKUP(C5,'Service Identity Queue'!A2:A315,'Service Identity Queue'!L2:L315),""),"")</x:f>
      </x:c>
      <x:c r="G5" s="6" t="str"/>
      <x:c r="H5" s="7" t="str">
        <x:f>IF(F5&lt;&gt;"",XLOOKUP(C5,'Service Identity Queue'!A2:A315,'Service Identity Queue'!N2:N315),"" )</x:f>
      </x:c>
      <x:c r="I5" s="6" t="str">
        <x:f>IF(F5&lt;&gt;"",XLOOKUP(C5,'Service Identity Queue'!A2:A315,'Service Identity Queue'!O2:O315),"" )</x:f>
      </x:c>
      <x:c r="J5" s="6" t="str">
        <x:f>IF(F5&lt;&gt;"",XLOOKUP(C5,'Service Identity Queue'!A2:A315,'Service Identity Queue'!P2:P315),"" )</x:f>
      </x:c>
      <x:c r="K5" s="6" t="str">
        <x:f>IF(F5&lt;&gt;"","Reviewer complete; second-level approval still required","Not eligible yet")</x:f>
        <x:v>Not eligible yet</x:v>
      </x:c>
      <x:c r="L5" s="6" t="str">
        <x:f>IF(P5="Not Eligible","PASS","FAIL")</x:f>
        <x:v>PASS</x:v>
      </x:c>
      <x:c r="M5" s="6" t="str">
        <x:v>Pending</x:v>
      </x:c>
      <x:c r="N5" s="6" t="str"/>
      <x:c r="O5" s="6" t="str"/>
      <x:c r="P5" s="6" t="str">
        <x:v>Not Eligible</x:v>
      </x:c>
      <x:c r="Q5" s="7" t="str"/>
    </x:row>
    <x:row r="6">
      <x:c r="A6" s="6" t="str">
        <x:v>APPR-0005</x:v>
      </x:c>
      <x:c r="B6" s="6" t="str">
        <x:v>Service Identity Queue</x:v>
      </x:c>
      <x:c r="C6" s="6" t="str">
        <x:v>SIDX-0005</x:v>
      </x:c>
      <x:c r="D6" s="6" t="str">
        <x:v>Service</x:v>
      </x:c>
      <x:c r="E6" s="6" t="str">
        <x:v>SVC000005</x:v>
      </x:c>
      <x:c r="F6" s="6" t="str">
        <x:f>IFERROR(IF(XLOOKUP(C6,'Review Sequence'!C2:C1586,'Review Sequence'!J2:J1586)="Reviewer Complete",XLOOKUP(C6,'Service Identity Queue'!A2:A315,'Service Identity Queue'!L2:L315),""),"")</x:f>
      </x:c>
      <x:c r="G6" s="6" t="str"/>
      <x:c r="H6" s="7" t="str">
        <x:f>IF(F6&lt;&gt;"",XLOOKUP(C6,'Service Identity Queue'!A2:A315,'Service Identity Queue'!N2:N315),"" )</x:f>
      </x:c>
      <x:c r="I6" s="6" t="str">
        <x:f>IF(F6&lt;&gt;"",XLOOKUP(C6,'Service Identity Queue'!A2:A315,'Service Identity Queue'!O2:O315),"" )</x:f>
      </x:c>
      <x:c r="J6" s="6" t="str">
        <x:f>IF(F6&lt;&gt;"",XLOOKUP(C6,'Service Identity Queue'!A2:A315,'Service Identity Queue'!P2:P315),"" )</x:f>
      </x:c>
      <x:c r="K6" s="6" t="str">
        <x:f>IF(F6&lt;&gt;"","Reviewer complete; second-level approval still required","Not eligible yet")</x:f>
        <x:v>Not eligible yet</x:v>
      </x:c>
      <x:c r="L6" s="6" t="str">
        <x:f>IF(P6="Not Eligible","PASS","FAIL")</x:f>
        <x:v>PASS</x:v>
      </x:c>
      <x:c r="M6" s="6" t="str">
        <x:v>Pending</x:v>
      </x:c>
      <x:c r="N6" s="6" t="str"/>
      <x:c r="O6" s="6" t="str"/>
      <x:c r="P6" s="6" t="str">
        <x:v>Not Eligible</x:v>
      </x:c>
      <x:c r="Q6" s="7" t="str"/>
    </x:row>
    <x:row r="7">
      <x:c r="A7" s="6" t="str">
        <x:v>APPR-0006</x:v>
      </x:c>
      <x:c r="B7" s="6" t="str">
        <x:v>Service Identity Queue</x:v>
      </x:c>
      <x:c r="C7" s="6" t="str">
        <x:v>SIDX-0006</x:v>
      </x:c>
      <x:c r="D7" s="6" t="str">
        <x:v>Service</x:v>
      </x:c>
      <x:c r="E7" s="6" t="str">
        <x:v>SVC000006</x:v>
      </x:c>
      <x:c r="F7" s="6" t="str">
        <x:f>IFERROR(IF(XLOOKUP(C7,'Review Sequence'!C2:C1586,'Review Sequence'!J2:J1586)="Reviewer Complete",XLOOKUP(C7,'Service Identity Queue'!A2:A315,'Service Identity Queue'!L2:L315),""),"")</x:f>
      </x:c>
      <x:c r="G7" s="6" t="str"/>
      <x:c r="H7" s="7" t="str">
        <x:f>IF(F7&lt;&gt;"",XLOOKUP(C7,'Service Identity Queue'!A2:A315,'Service Identity Queue'!N2:N315),"" )</x:f>
      </x:c>
      <x:c r="I7" s="6" t="str">
        <x:f>IF(F7&lt;&gt;"",XLOOKUP(C7,'Service Identity Queue'!A2:A315,'Service Identity Queue'!O2:O315),"" )</x:f>
      </x:c>
      <x:c r="J7" s="6" t="str">
        <x:f>IF(F7&lt;&gt;"",XLOOKUP(C7,'Service Identity Queue'!A2:A315,'Service Identity Queue'!P2:P315),"" )</x:f>
      </x:c>
      <x:c r="K7" s="6" t="str">
        <x:f>IF(F7&lt;&gt;"","Reviewer complete; second-level approval still required","Not eligible yet")</x:f>
        <x:v>Not eligible yet</x:v>
      </x:c>
      <x:c r="L7" s="6" t="str">
        <x:f>IF(P7="Not Eligible","PASS","FAIL")</x:f>
        <x:v>PASS</x:v>
      </x:c>
      <x:c r="M7" s="6" t="str">
        <x:v>Pending</x:v>
      </x:c>
      <x:c r="N7" s="6" t="str"/>
      <x:c r="O7" s="6" t="str"/>
      <x:c r="P7" s="6" t="str">
        <x:v>Not Eligible</x:v>
      </x:c>
      <x:c r="Q7" s="7" t="str"/>
    </x:row>
    <x:row r="8">
      <x:c r="A8" s="6" t="str">
        <x:v>APPR-0007</x:v>
      </x:c>
      <x:c r="B8" s="6" t="str">
        <x:v>Service Identity Queue</x:v>
      </x:c>
      <x:c r="C8" s="6" t="str">
        <x:v>SIDX-0007</x:v>
      </x:c>
      <x:c r="D8" s="6" t="str">
        <x:v>Service</x:v>
      </x:c>
      <x:c r="E8" s="6" t="str">
        <x:v>SVC000007</x:v>
      </x:c>
      <x:c r="F8" s="6" t="str">
        <x:f>IFERROR(IF(XLOOKUP(C8,'Review Sequence'!C2:C1586,'Review Sequence'!J2:J1586)="Reviewer Complete",XLOOKUP(C8,'Service Identity Queue'!A2:A315,'Service Identity Queue'!L2:L315),""),"")</x:f>
      </x:c>
      <x:c r="G8" s="6" t="str"/>
      <x:c r="H8" s="7" t="str">
        <x:f>IF(F8&lt;&gt;"",XLOOKUP(C8,'Service Identity Queue'!A2:A315,'Service Identity Queue'!N2:N315),"" )</x:f>
      </x:c>
      <x:c r="I8" s="6" t="str">
        <x:f>IF(F8&lt;&gt;"",XLOOKUP(C8,'Service Identity Queue'!A2:A315,'Service Identity Queue'!O2:O315),"" )</x:f>
      </x:c>
      <x:c r="J8" s="6" t="str">
        <x:f>IF(F8&lt;&gt;"",XLOOKUP(C8,'Service Identity Queue'!A2:A315,'Service Identity Queue'!P2:P315),"" )</x:f>
      </x:c>
      <x:c r="K8" s="6" t="str">
        <x:f>IF(F8&lt;&gt;"","Reviewer complete; second-level approval still required","Not eligible yet")</x:f>
        <x:v>Not eligible yet</x:v>
      </x:c>
      <x:c r="L8" s="6" t="str">
        <x:f>IF(P8="Not Eligible","PASS","FAIL")</x:f>
        <x:v>PASS</x:v>
      </x:c>
      <x:c r="M8" s="6" t="str">
        <x:v>Pending</x:v>
      </x:c>
      <x:c r="N8" s="6" t="str"/>
      <x:c r="O8" s="6" t="str"/>
      <x:c r="P8" s="6" t="str">
        <x:v>Not Eligible</x:v>
      </x:c>
      <x:c r="Q8" s="7" t="str"/>
    </x:row>
    <x:row r="9">
      <x:c r="A9" s="6" t="str">
        <x:v>APPR-0008</x:v>
      </x:c>
      <x:c r="B9" s="6" t="str">
        <x:v>Service Identity Queue</x:v>
      </x:c>
      <x:c r="C9" s="6" t="str">
        <x:v>SIDX-0008</x:v>
      </x:c>
      <x:c r="D9" s="6" t="str">
        <x:v>Service</x:v>
      </x:c>
      <x:c r="E9" s="6" t="str">
        <x:v>SVC000008</x:v>
      </x:c>
      <x:c r="F9" s="6" t="str">
        <x:f>IFERROR(IF(XLOOKUP(C9,'Review Sequence'!C2:C1586,'Review Sequence'!J2:J1586)="Reviewer Complete",XLOOKUP(C9,'Service Identity Queue'!A2:A315,'Service Identity Queue'!L2:L315),""),"")</x:f>
      </x:c>
      <x:c r="G9" s="6" t="str"/>
      <x:c r="H9" s="7" t="str">
        <x:f>IF(F9&lt;&gt;"",XLOOKUP(C9,'Service Identity Queue'!A2:A315,'Service Identity Queue'!N2:N315),"" )</x:f>
      </x:c>
      <x:c r="I9" s="6" t="str">
        <x:f>IF(F9&lt;&gt;"",XLOOKUP(C9,'Service Identity Queue'!A2:A315,'Service Identity Queue'!O2:O315),"" )</x:f>
      </x:c>
      <x:c r="J9" s="6" t="str">
        <x:f>IF(F9&lt;&gt;"",XLOOKUP(C9,'Service Identity Queue'!A2:A315,'Service Identity Queue'!P2:P315),"" )</x:f>
      </x:c>
      <x:c r="K9" s="6" t="str">
        <x:f>IF(F9&lt;&gt;"","Reviewer complete; second-level approval still required","Not eligible yet")</x:f>
        <x:v>Not eligible yet</x:v>
      </x:c>
      <x:c r="L9" s="6" t="str">
        <x:f>IF(P9="Not Eligible","PASS","FAIL")</x:f>
        <x:v>PASS</x:v>
      </x:c>
      <x:c r="M9" s="6" t="str">
        <x:v>Pending</x:v>
      </x:c>
      <x:c r="N9" s="6" t="str"/>
      <x:c r="O9" s="6" t="str"/>
      <x:c r="P9" s="6" t="str">
        <x:v>Not Eligible</x:v>
      </x:c>
      <x:c r="Q9" s="7" t="str"/>
    </x:row>
    <x:row r="10">
      <x:c r="A10" s="6" t="str">
        <x:v>APPR-0009</x:v>
      </x:c>
      <x:c r="B10" s="6" t="str">
        <x:v>Service Identity Queue</x:v>
      </x:c>
      <x:c r="C10" s="6" t="str">
        <x:v>SIDX-0009</x:v>
      </x:c>
      <x:c r="D10" s="6" t="str">
        <x:v>Service</x:v>
      </x:c>
      <x:c r="E10" s="6" t="str">
        <x:v>SVC000009</x:v>
      </x:c>
      <x:c r="F10" s="6" t="str">
        <x:f>IFERROR(IF(XLOOKUP(C10,'Review Sequence'!C2:C1586,'Review Sequence'!J2:J1586)="Reviewer Complete",XLOOKUP(C10,'Service Identity Queue'!A2:A315,'Service Identity Queue'!L2:L315),""),"")</x:f>
      </x:c>
      <x:c r="G10" s="6" t="str"/>
      <x:c r="H10" s="7" t="str">
        <x:f>IF(F10&lt;&gt;"",XLOOKUP(C10,'Service Identity Queue'!A2:A315,'Service Identity Queue'!N2:N315),"" )</x:f>
      </x:c>
      <x:c r="I10" s="6" t="str">
        <x:f>IF(F10&lt;&gt;"",XLOOKUP(C10,'Service Identity Queue'!A2:A315,'Service Identity Queue'!O2:O315),"" )</x:f>
      </x:c>
      <x:c r="J10" s="6" t="str">
        <x:f>IF(F10&lt;&gt;"",XLOOKUP(C10,'Service Identity Queue'!A2:A315,'Service Identity Queue'!P2:P315),"" )</x:f>
      </x:c>
      <x:c r="K10" s="6" t="str">
        <x:f>IF(F10&lt;&gt;"","Reviewer complete; second-level approval still required","Not eligible yet")</x:f>
        <x:v>Not eligible yet</x:v>
      </x:c>
      <x:c r="L10" s="6" t="str">
        <x:f>IF(P10="Not Eligible","PASS","FAIL")</x:f>
        <x:v>PASS</x:v>
      </x:c>
      <x:c r="M10" s="6" t="str">
        <x:v>Pending</x:v>
      </x:c>
      <x:c r="N10" s="6" t="str"/>
      <x:c r="O10" s="6" t="str"/>
      <x:c r="P10" s="6" t="str">
        <x:v>Not Eligible</x:v>
      </x:c>
      <x:c r="Q10" s="7" t="str"/>
    </x:row>
    <x:row r="11">
      <x:c r="A11" s="6" t="str">
        <x:v>APPR-0010</x:v>
      </x:c>
      <x:c r="B11" s="6" t="str">
        <x:v>Service Identity Queue</x:v>
      </x:c>
      <x:c r="C11" s="6" t="str">
        <x:v>SIDX-0010</x:v>
      </x:c>
      <x:c r="D11" s="6" t="str">
        <x:v>Service</x:v>
      </x:c>
      <x:c r="E11" s="6" t="str">
        <x:v>SVC000010</x:v>
      </x:c>
      <x:c r="F11" s="6" t="str">
        <x:f>IFERROR(IF(XLOOKUP(C11,'Review Sequence'!C2:C1586,'Review Sequence'!J2:J1586)="Reviewer Complete",XLOOKUP(C11,'Service Identity Queue'!A2:A315,'Service Identity Queue'!L2:L315),""),"")</x:f>
      </x:c>
      <x:c r="G11" s="6" t="str"/>
      <x:c r="H11" s="7" t="str">
        <x:f>IF(F11&lt;&gt;"",XLOOKUP(C11,'Service Identity Queue'!A2:A315,'Service Identity Queue'!N2:N315),"" )</x:f>
      </x:c>
      <x:c r="I11" s="6" t="str">
        <x:f>IF(F11&lt;&gt;"",XLOOKUP(C11,'Service Identity Queue'!A2:A315,'Service Identity Queue'!O2:O315),"" )</x:f>
      </x:c>
      <x:c r="J11" s="6" t="str">
        <x:f>IF(F11&lt;&gt;"",XLOOKUP(C11,'Service Identity Queue'!A2:A315,'Service Identity Queue'!P2:P315),"" )</x:f>
      </x:c>
      <x:c r="K11" s="6" t="str">
        <x:f>IF(F11&lt;&gt;"","Reviewer complete; second-level approval still required","Not eligible yet")</x:f>
        <x:v>Not eligible yet</x:v>
      </x:c>
      <x:c r="L11" s="6" t="str">
        <x:f>IF(P11="Not Eligible","PASS","FAIL")</x:f>
        <x:v>PASS</x:v>
      </x:c>
      <x:c r="M11" s="6" t="str">
        <x:v>Pending</x:v>
      </x:c>
      <x:c r="N11" s="6" t="str"/>
      <x:c r="O11" s="6" t="str"/>
      <x:c r="P11" s="6" t="str">
        <x:v>Not Eligible</x:v>
      </x:c>
      <x:c r="Q11" s="7" t="str"/>
    </x:row>
    <x:row r="12">
      <x:c r="A12" s="6" t="str">
        <x:v>APPR-0011</x:v>
      </x:c>
      <x:c r="B12" s="6" t="str">
        <x:v>Service Identity Queue</x:v>
      </x:c>
      <x:c r="C12" s="6" t="str">
        <x:v>SIDX-0011</x:v>
      </x:c>
      <x:c r="D12" s="6" t="str">
        <x:v>Service</x:v>
      </x:c>
      <x:c r="E12" s="6" t="str">
        <x:v>SVC000011</x:v>
      </x:c>
      <x:c r="F12" s="6" t="str">
        <x:f>IFERROR(IF(XLOOKUP(C12,'Review Sequence'!C2:C1586,'Review Sequence'!J2:J1586)="Reviewer Complete",XLOOKUP(C12,'Service Identity Queue'!A2:A315,'Service Identity Queue'!L2:L315),""),"")</x:f>
      </x:c>
      <x:c r="G12" s="6" t="str"/>
      <x:c r="H12" s="7" t="str">
        <x:f>IF(F12&lt;&gt;"",XLOOKUP(C12,'Service Identity Queue'!A2:A315,'Service Identity Queue'!N2:N315),"" )</x:f>
      </x:c>
      <x:c r="I12" s="6" t="str">
        <x:f>IF(F12&lt;&gt;"",XLOOKUP(C12,'Service Identity Queue'!A2:A315,'Service Identity Queue'!O2:O315),"" )</x:f>
      </x:c>
      <x:c r="J12" s="6" t="str">
        <x:f>IF(F12&lt;&gt;"",XLOOKUP(C12,'Service Identity Queue'!A2:A315,'Service Identity Queue'!P2:P315),"" )</x:f>
      </x:c>
      <x:c r="K12" s="6" t="str">
        <x:f>IF(F12&lt;&gt;"","Reviewer complete; second-level approval still required","Not eligible yet")</x:f>
        <x:v>Not eligible yet</x:v>
      </x:c>
      <x:c r="L12" s="6" t="str">
        <x:f>IF(P12="Not Eligible","PASS","FAIL")</x:f>
        <x:v>PASS</x:v>
      </x:c>
      <x:c r="M12" s="6" t="str">
        <x:v>Pending</x:v>
      </x:c>
      <x:c r="N12" s="6" t="str"/>
      <x:c r="O12" s="6" t="str"/>
      <x:c r="P12" s="6" t="str">
        <x:v>Not Eligible</x:v>
      </x:c>
      <x:c r="Q12" s="7" t="str"/>
    </x:row>
    <x:row r="13">
      <x:c r="A13" s="6" t="str">
        <x:v>APPR-0012</x:v>
      </x:c>
      <x:c r="B13" s="6" t="str">
        <x:v>Service Identity Queue</x:v>
      </x:c>
      <x:c r="C13" s="6" t="str">
        <x:v>SIDX-0012</x:v>
      </x:c>
      <x:c r="D13" s="6" t="str">
        <x:v>Service</x:v>
      </x:c>
      <x:c r="E13" s="6" t="str">
        <x:v>SVC000012</x:v>
      </x:c>
      <x:c r="F13" s="6" t="str">
        <x:f>IFERROR(IF(XLOOKUP(C13,'Review Sequence'!C2:C1586,'Review Sequence'!J2:J1586)="Reviewer Complete",XLOOKUP(C13,'Service Identity Queue'!A2:A315,'Service Identity Queue'!L2:L315),""),"")</x:f>
      </x:c>
      <x:c r="G13" s="6" t="str"/>
      <x:c r="H13" s="7" t="str">
        <x:f>IF(F13&lt;&gt;"",XLOOKUP(C13,'Service Identity Queue'!A2:A315,'Service Identity Queue'!N2:N315),"" )</x:f>
      </x:c>
      <x:c r="I13" s="6" t="str">
        <x:f>IF(F13&lt;&gt;"",XLOOKUP(C13,'Service Identity Queue'!A2:A315,'Service Identity Queue'!O2:O315),"" )</x:f>
      </x:c>
      <x:c r="J13" s="6" t="str">
        <x:f>IF(F13&lt;&gt;"",XLOOKUP(C13,'Service Identity Queue'!A2:A315,'Service Identity Queue'!P2:P315),"" )</x:f>
      </x:c>
      <x:c r="K13" s="6" t="str">
        <x:f>IF(F13&lt;&gt;"","Reviewer complete; second-level approval still required","Not eligible yet")</x:f>
        <x:v>Not eligible yet</x:v>
      </x:c>
      <x:c r="L13" s="6" t="str">
        <x:f>IF(P13="Not Eligible","PASS","FAIL")</x:f>
        <x:v>PASS</x:v>
      </x:c>
      <x:c r="M13" s="6" t="str">
        <x:v>Pending</x:v>
      </x:c>
      <x:c r="N13" s="6" t="str"/>
      <x:c r="O13" s="6" t="str"/>
      <x:c r="P13" s="6" t="str">
        <x:v>Not Eligible</x:v>
      </x:c>
      <x:c r="Q13" s="7" t="str"/>
    </x:row>
    <x:row r="14">
      <x:c r="A14" s="6" t="str">
        <x:v>APPR-0013</x:v>
      </x:c>
      <x:c r="B14" s="6" t="str">
        <x:v>Service Identity Queue</x:v>
      </x:c>
      <x:c r="C14" s="6" t="str">
        <x:v>SIDX-0013</x:v>
      </x:c>
      <x:c r="D14" s="6" t="str">
        <x:v>Service</x:v>
      </x:c>
      <x:c r="E14" s="6" t="str">
        <x:v>SVC000013</x:v>
      </x:c>
      <x:c r="F14" s="6" t="str">
        <x:f>IFERROR(IF(XLOOKUP(C14,'Review Sequence'!C2:C1586,'Review Sequence'!J2:J1586)="Reviewer Complete",XLOOKUP(C14,'Service Identity Queue'!A2:A315,'Service Identity Queue'!L2:L315),""),"")</x:f>
      </x:c>
      <x:c r="G14" s="6" t="str"/>
      <x:c r="H14" s="7" t="str">
        <x:f>IF(F14&lt;&gt;"",XLOOKUP(C14,'Service Identity Queue'!A2:A315,'Service Identity Queue'!N2:N315),"" )</x:f>
      </x:c>
      <x:c r="I14" s="6" t="str">
        <x:f>IF(F14&lt;&gt;"",XLOOKUP(C14,'Service Identity Queue'!A2:A315,'Service Identity Queue'!O2:O315),"" )</x:f>
      </x:c>
      <x:c r="J14" s="6" t="str">
        <x:f>IF(F14&lt;&gt;"",XLOOKUP(C14,'Service Identity Queue'!A2:A315,'Service Identity Queue'!P2:P315),"" )</x:f>
      </x:c>
      <x:c r="K14" s="6" t="str">
        <x:f>IF(F14&lt;&gt;"","Reviewer complete; second-level approval still required","Not eligible yet")</x:f>
        <x:v>Not eligible yet</x:v>
      </x:c>
      <x:c r="L14" s="6" t="str">
        <x:f>IF(P14="Not Eligible","PASS","FAIL")</x:f>
        <x:v>PASS</x:v>
      </x:c>
      <x:c r="M14" s="6" t="str">
        <x:v>Pending</x:v>
      </x:c>
      <x:c r="N14" s="6" t="str"/>
      <x:c r="O14" s="6" t="str"/>
      <x:c r="P14" s="6" t="str">
        <x:v>Not Eligible</x:v>
      </x:c>
      <x:c r="Q14" s="7" t="str"/>
    </x:row>
    <x:row r="15">
      <x:c r="A15" s="6" t="str">
        <x:v>APPR-0014</x:v>
      </x:c>
      <x:c r="B15" s="6" t="str">
        <x:v>Service Identity Queue</x:v>
      </x:c>
      <x:c r="C15" s="6" t="str">
        <x:v>SIDX-0014</x:v>
      </x:c>
      <x:c r="D15" s="6" t="str">
        <x:v>Service</x:v>
      </x:c>
      <x:c r="E15" s="6" t="str">
        <x:v>SVC000014</x:v>
      </x:c>
      <x:c r="F15" s="6" t="str">
        <x:f>IFERROR(IF(XLOOKUP(C15,'Review Sequence'!C2:C1586,'Review Sequence'!J2:J1586)="Reviewer Complete",XLOOKUP(C15,'Service Identity Queue'!A2:A315,'Service Identity Queue'!L2:L315),""),"")</x:f>
      </x:c>
      <x:c r="G15" s="6" t="str"/>
      <x:c r="H15" s="7" t="str">
        <x:f>IF(F15&lt;&gt;"",XLOOKUP(C15,'Service Identity Queue'!A2:A315,'Service Identity Queue'!N2:N315),"" )</x:f>
      </x:c>
      <x:c r="I15" s="6" t="str">
        <x:f>IF(F15&lt;&gt;"",XLOOKUP(C15,'Service Identity Queue'!A2:A315,'Service Identity Queue'!O2:O315),"" )</x:f>
      </x:c>
      <x:c r="J15" s="6" t="str">
        <x:f>IF(F15&lt;&gt;"",XLOOKUP(C15,'Service Identity Queue'!A2:A315,'Service Identity Queue'!P2:P315),"" )</x:f>
      </x:c>
      <x:c r="K15" s="6" t="str">
        <x:f>IF(F15&lt;&gt;"","Reviewer complete; second-level approval still required","Not eligible yet")</x:f>
        <x:v>Not eligible yet</x:v>
      </x:c>
      <x:c r="L15" s="6" t="str">
        <x:f>IF(P15="Not Eligible","PASS","FAIL")</x:f>
        <x:v>PASS</x:v>
      </x:c>
      <x:c r="M15" s="6" t="str">
        <x:v>Pending</x:v>
      </x:c>
      <x:c r="N15" s="6" t="str"/>
      <x:c r="O15" s="6" t="str"/>
      <x:c r="P15" s="6" t="str">
        <x:v>Not Eligible</x:v>
      </x:c>
      <x:c r="Q15" s="7" t="str"/>
    </x:row>
    <x:row r="16">
      <x:c r="A16" s="6" t="str">
        <x:v>APPR-0015</x:v>
      </x:c>
      <x:c r="B16" s="6" t="str">
        <x:v>Service Identity Queue</x:v>
      </x:c>
      <x:c r="C16" s="6" t="str">
        <x:v>SIDX-0015</x:v>
      </x:c>
      <x:c r="D16" s="6" t="str">
        <x:v>Service</x:v>
      </x:c>
      <x:c r="E16" s="6" t="str">
        <x:v>SVC000015</x:v>
      </x:c>
      <x:c r="F16" s="6" t="str">
        <x:f>IFERROR(IF(XLOOKUP(C16,'Review Sequence'!C2:C1586,'Review Sequence'!J2:J1586)="Reviewer Complete",XLOOKUP(C16,'Service Identity Queue'!A2:A315,'Service Identity Queue'!L2:L315),""),"")</x:f>
      </x:c>
      <x:c r="G16" s="6" t="str"/>
      <x:c r="H16" s="7" t="str">
        <x:f>IF(F16&lt;&gt;"",XLOOKUP(C16,'Service Identity Queue'!A2:A315,'Service Identity Queue'!N2:N315),"" )</x:f>
      </x:c>
      <x:c r="I16" s="6" t="str">
        <x:f>IF(F16&lt;&gt;"",XLOOKUP(C16,'Service Identity Queue'!A2:A315,'Service Identity Queue'!O2:O315),"" )</x:f>
      </x:c>
      <x:c r="J16" s="6" t="str">
        <x:f>IF(F16&lt;&gt;"",XLOOKUP(C16,'Service Identity Queue'!A2:A315,'Service Identity Queue'!P2:P315),"" )</x:f>
      </x:c>
      <x:c r="K16" s="6" t="str">
        <x:f>IF(F16&lt;&gt;"","Reviewer complete; second-level approval still required","Not eligible yet")</x:f>
        <x:v>Not eligible yet</x:v>
      </x:c>
      <x:c r="L16" s="6" t="str">
        <x:f>IF(P16="Not Eligible","PASS","FAIL")</x:f>
        <x:v>PASS</x:v>
      </x:c>
      <x:c r="M16" s="6" t="str">
        <x:v>Pending</x:v>
      </x:c>
      <x:c r="N16" s="6" t="str"/>
      <x:c r="O16" s="6" t="str"/>
      <x:c r="P16" s="6" t="str">
        <x:v>Not Eligible</x:v>
      </x:c>
      <x:c r="Q16" s="7" t="str"/>
    </x:row>
    <x:row r="17">
      <x:c r="A17" s="6" t="str">
        <x:v>APPR-0016</x:v>
      </x:c>
      <x:c r="B17" s="6" t="str">
        <x:v>Service Identity Queue</x:v>
      </x:c>
      <x:c r="C17" s="6" t="str">
        <x:v>SIDX-0016</x:v>
      </x:c>
      <x:c r="D17" s="6" t="str">
        <x:v>Service</x:v>
      </x:c>
      <x:c r="E17" s="6" t="str">
        <x:v>SVC000016</x:v>
      </x:c>
      <x:c r="F17" s="6" t="str">
        <x:f>IFERROR(IF(XLOOKUP(C17,'Review Sequence'!C2:C1586,'Review Sequence'!J2:J1586)="Reviewer Complete",XLOOKUP(C17,'Service Identity Queue'!A2:A315,'Service Identity Queue'!L2:L315),""),"")</x:f>
      </x:c>
      <x:c r="G17" s="6" t="str"/>
      <x:c r="H17" s="7" t="str">
        <x:f>IF(F17&lt;&gt;"",XLOOKUP(C17,'Service Identity Queue'!A2:A315,'Service Identity Queue'!N2:N315),"" )</x:f>
      </x:c>
      <x:c r="I17" s="6" t="str">
        <x:f>IF(F17&lt;&gt;"",XLOOKUP(C17,'Service Identity Queue'!A2:A315,'Service Identity Queue'!O2:O315),"" )</x:f>
      </x:c>
      <x:c r="J17" s="6" t="str">
        <x:f>IF(F17&lt;&gt;"",XLOOKUP(C17,'Service Identity Queue'!A2:A315,'Service Identity Queue'!P2:P315),"" )</x:f>
      </x:c>
      <x:c r="K17" s="6" t="str">
        <x:f>IF(F17&lt;&gt;"","Reviewer complete; second-level approval still required","Not eligible yet")</x:f>
        <x:v>Not eligible yet</x:v>
      </x:c>
      <x:c r="L17" s="6" t="str">
        <x:f>IF(P17="Not Eligible","PASS","FAIL")</x:f>
        <x:v>PASS</x:v>
      </x:c>
      <x:c r="M17" s="6" t="str">
        <x:v>Pending</x:v>
      </x:c>
      <x:c r="N17" s="6" t="str"/>
      <x:c r="O17" s="6" t="str"/>
      <x:c r="P17" s="6" t="str">
        <x:v>Not Eligible</x:v>
      </x:c>
      <x:c r="Q17" s="7" t="str"/>
    </x:row>
    <x:row r="18">
      <x:c r="A18" s="6" t="str">
        <x:v>APPR-0017</x:v>
      </x:c>
      <x:c r="B18" s="6" t="str">
        <x:v>Service Identity Queue</x:v>
      </x:c>
      <x:c r="C18" s="6" t="str">
        <x:v>SIDX-0017</x:v>
      </x:c>
      <x:c r="D18" s="6" t="str">
        <x:v>Service</x:v>
      </x:c>
      <x:c r="E18" s="6" t="str">
        <x:v>SVC000017</x:v>
      </x:c>
      <x:c r="F18" s="6" t="str">
        <x:f>IFERROR(IF(XLOOKUP(C18,'Review Sequence'!C2:C1586,'Review Sequence'!J2:J1586)="Reviewer Complete",XLOOKUP(C18,'Service Identity Queue'!A2:A315,'Service Identity Queue'!L2:L315),""),"")</x:f>
      </x:c>
      <x:c r="G18" s="6" t="str"/>
      <x:c r="H18" s="7" t="str">
        <x:f>IF(F18&lt;&gt;"",XLOOKUP(C18,'Service Identity Queue'!A2:A315,'Service Identity Queue'!N2:N315),"" )</x:f>
      </x:c>
      <x:c r="I18" s="6" t="str">
        <x:f>IF(F18&lt;&gt;"",XLOOKUP(C18,'Service Identity Queue'!A2:A315,'Service Identity Queue'!O2:O315),"" )</x:f>
      </x:c>
      <x:c r="J18" s="6" t="str">
        <x:f>IF(F18&lt;&gt;"",XLOOKUP(C18,'Service Identity Queue'!A2:A315,'Service Identity Queue'!P2:P315),"" )</x:f>
      </x:c>
      <x:c r="K18" s="6" t="str">
        <x:f>IF(F18&lt;&gt;"","Reviewer complete; second-level approval still required","Not eligible yet")</x:f>
        <x:v>Not eligible yet</x:v>
      </x:c>
      <x:c r="L18" s="6" t="str">
        <x:f>IF(P18="Not Eligible","PASS","FAIL")</x:f>
        <x:v>PASS</x:v>
      </x:c>
      <x:c r="M18" s="6" t="str">
        <x:v>Pending</x:v>
      </x:c>
      <x:c r="N18" s="6" t="str"/>
      <x:c r="O18" s="6" t="str"/>
      <x:c r="P18" s="6" t="str">
        <x:v>Not Eligible</x:v>
      </x:c>
      <x:c r="Q18" s="7" t="str"/>
    </x:row>
    <x:row r="19">
      <x:c r="A19" s="6" t="str">
        <x:v>APPR-0018</x:v>
      </x:c>
      <x:c r="B19" s="6" t="str">
        <x:v>Service Identity Queue</x:v>
      </x:c>
      <x:c r="C19" s="6" t="str">
        <x:v>SIDX-0018</x:v>
      </x:c>
      <x:c r="D19" s="6" t="str">
        <x:v>Service</x:v>
      </x:c>
      <x:c r="E19" s="6" t="str">
        <x:v>SVC000018</x:v>
      </x:c>
      <x:c r="F19" s="6" t="str">
        <x:f>IFERROR(IF(XLOOKUP(C19,'Review Sequence'!C2:C1586,'Review Sequence'!J2:J1586)="Reviewer Complete",XLOOKUP(C19,'Service Identity Queue'!A2:A315,'Service Identity Queue'!L2:L315),""),"")</x:f>
      </x:c>
      <x:c r="G19" s="6" t="str"/>
      <x:c r="H19" s="7" t="str">
        <x:f>IF(F19&lt;&gt;"",XLOOKUP(C19,'Service Identity Queue'!A2:A315,'Service Identity Queue'!N2:N315),"" )</x:f>
      </x:c>
      <x:c r="I19" s="6" t="str">
        <x:f>IF(F19&lt;&gt;"",XLOOKUP(C19,'Service Identity Queue'!A2:A315,'Service Identity Queue'!O2:O315),"" )</x:f>
      </x:c>
      <x:c r="J19" s="6" t="str">
        <x:f>IF(F19&lt;&gt;"",XLOOKUP(C19,'Service Identity Queue'!A2:A315,'Service Identity Queue'!P2:P315),"" )</x:f>
      </x:c>
      <x:c r="K19" s="6" t="str">
        <x:f>IF(F19&lt;&gt;"","Reviewer complete; second-level approval still required","Not eligible yet")</x:f>
        <x:v>Not eligible yet</x:v>
      </x:c>
      <x:c r="L19" s="6" t="str">
        <x:f>IF(P19="Not Eligible","PASS","FAIL")</x:f>
        <x:v>PASS</x:v>
      </x:c>
      <x:c r="M19" s="6" t="str">
        <x:v>Pending</x:v>
      </x:c>
      <x:c r="N19" s="6" t="str"/>
      <x:c r="O19" s="6" t="str"/>
      <x:c r="P19" s="6" t="str">
        <x:v>Not Eligible</x:v>
      </x:c>
      <x:c r="Q19" s="7" t="str"/>
    </x:row>
    <x:row r="20">
      <x:c r="A20" s="6" t="str">
        <x:v>APPR-0019</x:v>
      </x:c>
      <x:c r="B20" s="6" t="str">
        <x:v>Service Identity Queue</x:v>
      </x:c>
      <x:c r="C20" s="6" t="str">
        <x:v>SIDX-0019</x:v>
      </x:c>
      <x:c r="D20" s="6" t="str">
        <x:v>Service</x:v>
      </x:c>
      <x:c r="E20" s="6" t="str">
        <x:v>SVC000019</x:v>
      </x:c>
      <x:c r="F20" s="6" t="str">
        <x:f>IFERROR(IF(XLOOKUP(C20,'Review Sequence'!C2:C1586,'Review Sequence'!J2:J1586)="Reviewer Complete",XLOOKUP(C20,'Service Identity Queue'!A2:A315,'Service Identity Queue'!L2:L315),""),"")</x:f>
      </x:c>
      <x:c r="G20" s="6" t="str"/>
      <x:c r="H20" s="7" t="str">
        <x:f>IF(F20&lt;&gt;"",XLOOKUP(C20,'Service Identity Queue'!A2:A315,'Service Identity Queue'!N2:N315),"" )</x:f>
      </x:c>
      <x:c r="I20" s="6" t="str">
        <x:f>IF(F20&lt;&gt;"",XLOOKUP(C20,'Service Identity Queue'!A2:A315,'Service Identity Queue'!O2:O315),"" )</x:f>
      </x:c>
      <x:c r="J20" s="6" t="str">
        <x:f>IF(F20&lt;&gt;"",XLOOKUP(C20,'Service Identity Queue'!A2:A315,'Service Identity Queue'!P2:P315),"" )</x:f>
      </x:c>
      <x:c r="K20" s="6" t="str">
        <x:f>IF(F20&lt;&gt;"","Reviewer complete; second-level approval still required","Not eligible yet")</x:f>
        <x:v>Not eligible yet</x:v>
      </x:c>
      <x:c r="L20" s="6" t="str">
        <x:f>IF(P20="Not Eligible","PASS","FAIL")</x:f>
        <x:v>PASS</x:v>
      </x:c>
      <x:c r="M20" s="6" t="str">
        <x:v>Pending</x:v>
      </x:c>
      <x:c r="N20" s="6" t="str"/>
      <x:c r="O20" s="6" t="str"/>
      <x:c r="P20" s="6" t="str">
        <x:v>Not Eligible</x:v>
      </x:c>
      <x:c r="Q20" s="7" t="str"/>
    </x:row>
    <x:row r="21">
      <x:c r="A21" s="6" t="str">
        <x:v>APPR-0020</x:v>
      </x:c>
      <x:c r="B21" s="6" t="str">
        <x:v>Service Identity Queue</x:v>
      </x:c>
      <x:c r="C21" s="6" t="str">
        <x:v>SIDX-0020</x:v>
      </x:c>
      <x:c r="D21" s="6" t="str">
        <x:v>Service</x:v>
      </x:c>
      <x:c r="E21" s="6" t="str">
        <x:v>SVC000020</x:v>
      </x:c>
      <x:c r="F21" s="6" t="str">
        <x:f>IFERROR(IF(XLOOKUP(C21,'Review Sequence'!C2:C1586,'Review Sequence'!J2:J1586)="Reviewer Complete",XLOOKUP(C21,'Service Identity Queue'!A2:A315,'Service Identity Queue'!L2:L315),""),"")</x:f>
      </x:c>
      <x:c r="G21" s="6" t="str"/>
      <x:c r="H21" s="7" t="str">
        <x:f>IF(F21&lt;&gt;"",XLOOKUP(C21,'Service Identity Queue'!A2:A315,'Service Identity Queue'!N2:N315),"" )</x:f>
      </x:c>
      <x:c r="I21" s="6" t="str">
        <x:f>IF(F21&lt;&gt;"",XLOOKUP(C21,'Service Identity Queue'!A2:A315,'Service Identity Queue'!O2:O315),"" )</x:f>
      </x:c>
      <x:c r="J21" s="6" t="str">
        <x:f>IF(F21&lt;&gt;"",XLOOKUP(C21,'Service Identity Queue'!A2:A315,'Service Identity Queue'!P2:P315),"" )</x:f>
      </x:c>
      <x:c r="K21" s="6" t="str">
        <x:f>IF(F21&lt;&gt;"","Reviewer complete; second-level approval still required","Not eligible yet")</x:f>
        <x:v>Not eligible yet</x:v>
      </x:c>
      <x:c r="L21" s="6" t="str">
        <x:f>IF(P21="Not Eligible","PASS","FAIL")</x:f>
        <x:v>PASS</x:v>
      </x:c>
      <x:c r="M21" s="6" t="str">
        <x:v>Pending</x:v>
      </x:c>
      <x:c r="N21" s="6" t="str"/>
      <x:c r="O21" s="6" t="str"/>
      <x:c r="P21" s="6" t="str">
        <x:v>Not Eligible</x:v>
      </x:c>
      <x:c r="Q21" s="7" t="str"/>
    </x:row>
    <x:row r="22">
      <x:c r="A22" s="6" t="str">
        <x:v>APPR-0021</x:v>
      </x:c>
      <x:c r="B22" s="6" t="str">
        <x:v>Service Identity Queue</x:v>
      </x:c>
      <x:c r="C22" s="6" t="str">
        <x:v>SIDX-0021</x:v>
      </x:c>
      <x:c r="D22" s="6" t="str">
        <x:v>Service</x:v>
      </x:c>
      <x:c r="E22" s="6" t="str">
        <x:v>SVC000021</x:v>
      </x:c>
      <x:c r="F22" s="6" t="str">
        <x:f>IFERROR(IF(XLOOKUP(C22,'Review Sequence'!C2:C1586,'Review Sequence'!J2:J1586)="Reviewer Complete",XLOOKUP(C22,'Service Identity Queue'!A2:A315,'Service Identity Queue'!L2:L315),""),"")</x:f>
      </x:c>
      <x:c r="G22" s="6" t="str"/>
      <x:c r="H22" s="7" t="str">
        <x:f>IF(F22&lt;&gt;"",XLOOKUP(C22,'Service Identity Queue'!A2:A315,'Service Identity Queue'!N2:N315),"" )</x:f>
      </x:c>
      <x:c r="I22" s="6" t="str">
        <x:f>IF(F22&lt;&gt;"",XLOOKUP(C22,'Service Identity Queue'!A2:A315,'Service Identity Queue'!O2:O315),"" )</x:f>
      </x:c>
      <x:c r="J22" s="6" t="str">
        <x:f>IF(F22&lt;&gt;"",XLOOKUP(C22,'Service Identity Queue'!A2:A315,'Service Identity Queue'!P2:P315),"" )</x:f>
      </x:c>
      <x:c r="K22" s="6" t="str">
        <x:f>IF(F22&lt;&gt;"","Reviewer complete; second-level approval still required","Not eligible yet")</x:f>
        <x:v>Not eligible yet</x:v>
      </x:c>
      <x:c r="L22" s="6" t="str">
        <x:f>IF(P22="Not Eligible","PASS","FAIL")</x:f>
        <x:v>PASS</x:v>
      </x:c>
      <x:c r="M22" s="6" t="str">
        <x:v>Pending</x:v>
      </x:c>
      <x:c r="N22" s="6" t="str"/>
      <x:c r="O22" s="6" t="str"/>
      <x:c r="P22" s="6" t="str">
        <x:v>Not Eligible</x:v>
      </x:c>
      <x:c r="Q22" s="7" t="str"/>
    </x:row>
    <x:row r="23">
      <x:c r="A23" s="6" t="str">
        <x:v>APPR-0022</x:v>
      </x:c>
      <x:c r="B23" s="6" t="str">
        <x:v>Service Identity Queue</x:v>
      </x:c>
      <x:c r="C23" s="6" t="str">
        <x:v>SIDX-0022</x:v>
      </x:c>
      <x:c r="D23" s="6" t="str">
        <x:v>Service</x:v>
      </x:c>
      <x:c r="E23" s="6" t="str">
        <x:v>SVC000022</x:v>
      </x:c>
      <x:c r="F23" s="6" t="str">
        <x:f>IFERROR(IF(XLOOKUP(C23,'Review Sequence'!C2:C1586,'Review Sequence'!J2:J1586)="Reviewer Complete",XLOOKUP(C23,'Service Identity Queue'!A2:A315,'Service Identity Queue'!L2:L315),""),"")</x:f>
      </x:c>
      <x:c r="G23" s="6" t="str"/>
      <x:c r="H23" s="7" t="str">
        <x:f>IF(F23&lt;&gt;"",XLOOKUP(C23,'Service Identity Queue'!A2:A315,'Service Identity Queue'!N2:N315),"" )</x:f>
      </x:c>
      <x:c r="I23" s="6" t="str">
        <x:f>IF(F23&lt;&gt;"",XLOOKUP(C23,'Service Identity Queue'!A2:A315,'Service Identity Queue'!O2:O315),"" )</x:f>
      </x:c>
      <x:c r="J23" s="6" t="str">
        <x:f>IF(F23&lt;&gt;"",XLOOKUP(C23,'Service Identity Queue'!A2:A315,'Service Identity Queue'!P2:P315),"" )</x:f>
      </x:c>
      <x:c r="K23" s="6" t="str">
        <x:f>IF(F23&lt;&gt;"","Reviewer complete; second-level approval still required","Not eligible yet")</x:f>
        <x:v>Not eligible yet</x:v>
      </x:c>
      <x:c r="L23" s="6" t="str">
        <x:f>IF(P23="Not Eligible","PASS","FAIL")</x:f>
        <x:v>PASS</x:v>
      </x:c>
      <x:c r="M23" s="6" t="str">
        <x:v>Pending</x:v>
      </x:c>
      <x:c r="N23" s="6" t="str"/>
      <x:c r="O23" s="6" t="str"/>
      <x:c r="P23" s="6" t="str">
        <x:v>Not Eligible</x:v>
      </x:c>
      <x:c r="Q23" s="7" t="str"/>
    </x:row>
    <x:row r="24">
      <x:c r="A24" s="6" t="str">
        <x:v>APPR-0023</x:v>
      </x:c>
      <x:c r="B24" s="6" t="str">
        <x:v>Service Identity Queue</x:v>
      </x:c>
      <x:c r="C24" s="6" t="str">
        <x:v>SIDX-0023</x:v>
      </x:c>
      <x:c r="D24" s="6" t="str">
        <x:v>Service</x:v>
      </x:c>
      <x:c r="E24" s="6" t="str">
        <x:v>SVC000023</x:v>
      </x:c>
      <x:c r="F24" s="6" t="str">
        <x:f>IFERROR(IF(XLOOKUP(C24,'Review Sequence'!C2:C1586,'Review Sequence'!J2:J1586)="Reviewer Complete",XLOOKUP(C24,'Service Identity Queue'!A2:A315,'Service Identity Queue'!L2:L315),""),"")</x:f>
      </x:c>
      <x:c r="G24" s="6" t="str"/>
      <x:c r="H24" s="7" t="str">
        <x:f>IF(F24&lt;&gt;"",XLOOKUP(C24,'Service Identity Queue'!A2:A315,'Service Identity Queue'!N2:N315),"" )</x:f>
      </x:c>
      <x:c r="I24" s="6" t="str">
        <x:f>IF(F24&lt;&gt;"",XLOOKUP(C24,'Service Identity Queue'!A2:A315,'Service Identity Queue'!O2:O315),"" )</x:f>
      </x:c>
      <x:c r="J24" s="6" t="str">
        <x:f>IF(F24&lt;&gt;"",XLOOKUP(C24,'Service Identity Queue'!A2:A315,'Service Identity Queue'!P2:P315),"" )</x:f>
      </x:c>
      <x:c r="K24" s="6" t="str">
        <x:f>IF(F24&lt;&gt;"","Reviewer complete; second-level approval still required","Not eligible yet")</x:f>
        <x:v>Not eligible yet</x:v>
      </x:c>
      <x:c r="L24" s="6" t="str">
        <x:f>IF(P24="Not Eligible","PASS","FAIL")</x:f>
        <x:v>PASS</x:v>
      </x:c>
      <x:c r="M24" s="6" t="str">
        <x:v>Pending</x:v>
      </x:c>
      <x:c r="N24" s="6" t="str"/>
      <x:c r="O24" s="6" t="str"/>
      <x:c r="P24" s="6" t="str">
        <x:v>Not Eligible</x:v>
      </x:c>
      <x:c r="Q24" s="7" t="str"/>
    </x:row>
    <x:row r="25">
      <x:c r="A25" s="6" t="str">
        <x:v>APPR-0024</x:v>
      </x:c>
      <x:c r="B25" s="6" t="str">
        <x:v>Service Identity Queue</x:v>
      </x:c>
      <x:c r="C25" s="6" t="str">
        <x:v>SIDX-0024</x:v>
      </x:c>
      <x:c r="D25" s="6" t="str">
        <x:v>Service</x:v>
      </x:c>
      <x:c r="E25" s="6" t="str">
        <x:v>SVC000024</x:v>
      </x:c>
      <x:c r="F25" s="6" t="str">
        <x:f>IFERROR(IF(XLOOKUP(C25,'Review Sequence'!C2:C1586,'Review Sequence'!J2:J1586)="Reviewer Complete",XLOOKUP(C25,'Service Identity Queue'!A2:A315,'Service Identity Queue'!L2:L315),""),"")</x:f>
      </x:c>
      <x:c r="G25" s="6" t="str"/>
      <x:c r="H25" s="7" t="str">
        <x:f>IF(F25&lt;&gt;"",XLOOKUP(C25,'Service Identity Queue'!A2:A315,'Service Identity Queue'!N2:N315),"" )</x:f>
      </x:c>
      <x:c r="I25" s="6" t="str">
        <x:f>IF(F25&lt;&gt;"",XLOOKUP(C25,'Service Identity Queue'!A2:A315,'Service Identity Queue'!O2:O315),"" )</x:f>
      </x:c>
      <x:c r="J25" s="6" t="str">
        <x:f>IF(F25&lt;&gt;"",XLOOKUP(C25,'Service Identity Queue'!A2:A315,'Service Identity Queue'!P2:P315),"" )</x:f>
      </x:c>
      <x:c r="K25" s="6" t="str">
        <x:f>IF(F25&lt;&gt;"","Reviewer complete; second-level approval still required","Not eligible yet")</x:f>
        <x:v>Not eligible yet</x:v>
      </x:c>
      <x:c r="L25" s="6" t="str">
        <x:f>IF(P25="Not Eligible","PASS","FAIL")</x:f>
        <x:v>PASS</x:v>
      </x:c>
      <x:c r="M25" s="6" t="str">
        <x:v>Pending</x:v>
      </x:c>
      <x:c r="N25" s="6" t="str"/>
      <x:c r="O25" s="6" t="str"/>
      <x:c r="P25" s="6" t="str">
        <x:v>Not Eligible</x:v>
      </x:c>
      <x:c r="Q25" s="7" t="str"/>
    </x:row>
    <x:row r="26">
      <x:c r="A26" s="6" t="str">
        <x:v>APPR-0025</x:v>
      </x:c>
      <x:c r="B26" s="6" t="str">
        <x:v>Service Identity Queue</x:v>
      </x:c>
      <x:c r="C26" s="6" t="str">
        <x:v>SIDX-0025</x:v>
      </x:c>
      <x:c r="D26" s="6" t="str">
        <x:v>Service</x:v>
      </x:c>
      <x:c r="E26" s="6" t="str">
        <x:v>SVC000025</x:v>
      </x:c>
      <x:c r="F26" s="6" t="str">
        <x:f>IFERROR(IF(XLOOKUP(C26,'Review Sequence'!C2:C1586,'Review Sequence'!J2:J1586)="Reviewer Complete",XLOOKUP(C26,'Service Identity Queue'!A2:A315,'Service Identity Queue'!L2:L315),""),"")</x:f>
      </x:c>
      <x:c r="G26" s="6" t="str"/>
      <x:c r="H26" s="7" t="str">
        <x:f>IF(F26&lt;&gt;"",XLOOKUP(C26,'Service Identity Queue'!A2:A315,'Service Identity Queue'!N2:N315),"" )</x:f>
      </x:c>
      <x:c r="I26" s="6" t="str">
        <x:f>IF(F26&lt;&gt;"",XLOOKUP(C26,'Service Identity Queue'!A2:A315,'Service Identity Queue'!O2:O315),"" )</x:f>
      </x:c>
      <x:c r="J26" s="6" t="str">
        <x:f>IF(F26&lt;&gt;"",XLOOKUP(C26,'Service Identity Queue'!A2:A315,'Service Identity Queue'!P2:P315),"" )</x:f>
      </x:c>
      <x:c r="K26" s="6" t="str">
        <x:f>IF(F26&lt;&gt;"","Reviewer complete; second-level approval still required","Not eligible yet")</x:f>
        <x:v>Not eligible yet</x:v>
      </x:c>
      <x:c r="L26" s="6" t="str">
        <x:f>IF(P26="Not Eligible","PASS","FAIL")</x:f>
        <x:v>PASS</x:v>
      </x:c>
      <x:c r="M26" s="6" t="str">
        <x:v>Pending</x:v>
      </x:c>
      <x:c r="N26" s="6" t="str"/>
      <x:c r="O26" s="6" t="str"/>
      <x:c r="P26" s="6" t="str">
        <x:v>Not Eligible</x:v>
      </x:c>
      <x:c r="Q26" s="7" t="str"/>
    </x:row>
    <x:row r="27">
      <x:c r="A27" s="6" t="str">
        <x:v>APPR-0026</x:v>
      </x:c>
      <x:c r="B27" s="6" t="str">
        <x:v>Service Identity Queue</x:v>
      </x:c>
      <x:c r="C27" s="6" t="str">
        <x:v>SIDX-0026</x:v>
      </x:c>
      <x:c r="D27" s="6" t="str">
        <x:v>Service</x:v>
      </x:c>
      <x:c r="E27" s="6" t="str">
        <x:v>SVC000026</x:v>
      </x:c>
      <x:c r="F27" s="6" t="str">
        <x:f>IFERROR(IF(XLOOKUP(C27,'Review Sequence'!C2:C1586,'Review Sequence'!J2:J1586)="Reviewer Complete",XLOOKUP(C27,'Service Identity Queue'!A2:A315,'Service Identity Queue'!L2:L315),""),"")</x:f>
      </x:c>
      <x:c r="G27" s="6" t="str"/>
      <x:c r="H27" s="7" t="str">
        <x:f>IF(F27&lt;&gt;"",XLOOKUP(C27,'Service Identity Queue'!A2:A315,'Service Identity Queue'!N2:N315),"" )</x:f>
      </x:c>
      <x:c r="I27" s="6" t="str">
        <x:f>IF(F27&lt;&gt;"",XLOOKUP(C27,'Service Identity Queue'!A2:A315,'Service Identity Queue'!O2:O315),"" )</x:f>
      </x:c>
      <x:c r="J27" s="6" t="str">
        <x:f>IF(F27&lt;&gt;"",XLOOKUP(C27,'Service Identity Queue'!A2:A315,'Service Identity Queue'!P2:P315),"" )</x:f>
      </x:c>
      <x:c r="K27" s="6" t="str">
        <x:f>IF(F27&lt;&gt;"","Reviewer complete; second-level approval still required","Not eligible yet")</x:f>
        <x:v>Not eligible yet</x:v>
      </x:c>
      <x:c r="L27" s="6" t="str">
        <x:f>IF(P27="Not Eligible","PASS","FAIL")</x:f>
        <x:v>PASS</x:v>
      </x:c>
      <x:c r="M27" s="6" t="str">
        <x:v>Pending</x:v>
      </x:c>
      <x:c r="N27" s="6" t="str"/>
      <x:c r="O27" s="6" t="str"/>
      <x:c r="P27" s="6" t="str">
        <x:v>Not Eligible</x:v>
      </x:c>
      <x:c r="Q27" s="7" t="str"/>
    </x:row>
    <x:row r="28">
      <x:c r="A28" s="6" t="str">
        <x:v>APPR-0027</x:v>
      </x:c>
      <x:c r="B28" s="6" t="str">
        <x:v>Service Identity Queue</x:v>
      </x:c>
      <x:c r="C28" s="6" t="str">
        <x:v>SIDX-0027</x:v>
      </x:c>
      <x:c r="D28" s="6" t="str">
        <x:v>Service</x:v>
      </x:c>
      <x:c r="E28" s="6" t="str">
        <x:v>SVC000027</x:v>
      </x:c>
      <x:c r="F28" s="6" t="str">
        <x:f>IFERROR(IF(XLOOKUP(C28,'Review Sequence'!C2:C1586,'Review Sequence'!J2:J1586)="Reviewer Complete",XLOOKUP(C28,'Service Identity Queue'!A2:A315,'Service Identity Queue'!L2:L315),""),"")</x:f>
      </x:c>
      <x:c r="G28" s="6" t="str"/>
      <x:c r="H28" s="7" t="str">
        <x:f>IF(F28&lt;&gt;"",XLOOKUP(C28,'Service Identity Queue'!A2:A315,'Service Identity Queue'!N2:N315),"" )</x:f>
      </x:c>
      <x:c r="I28" s="6" t="str">
        <x:f>IF(F28&lt;&gt;"",XLOOKUP(C28,'Service Identity Queue'!A2:A315,'Service Identity Queue'!O2:O315),"" )</x:f>
      </x:c>
      <x:c r="J28" s="6" t="str">
        <x:f>IF(F28&lt;&gt;"",XLOOKUP(C28,'Service Identity Queue'!A2:A315,'Service Identity Queue'!P2:P315),"" )</x:f>
      </x:c>
      <x:c r="K28" s="6" t="str">
        <x:f>IF(F28&lt;&gt;"","Reviewer complete; second-level approval still required","Not eligible yet")</x:f>
        <x:v>Not eligible yet</x:v>
      </x:c>
      <x:c r="L28" s="6" t="str">
        <x:f>IF(P28="Not Eligible","PASS","FAIL")</x:f>
        <x:v>PASS</x:v>
      </x:c>
      <x:c r="M28" s="6" t="str">
        <x:v>Pending</x:v>
      </x:c>
      <x:c r="N28" s="6" t="str"/>
      <x:c r="O28" s="6" t="str"/>
      <x:c r="P28" s="6" t="str">
        <x:v>Not Eligible</x:v>
      </x:c>
      <x:c r="Q28" s="7" t="str"/>
    </x:row>
    <x:row r="29">
      <x:c r="A29" s="6" t="str">
        <x:v>APPR-0028</x:v>
      </x:c>
      <x:c r="B29" s="6" t="str">
        <x:v>Service Identity Queue</x:v>
      </x:c>
      <x:c r="C29" s="6" t="str">
        <x:v>SIDX-0028</x:v>
      </x:c>
      <x:c r="D29" s="6" t="str">
        <x:v>Service</x:v>
      </x:c>
      <x:c r="E29" s="6" t="str">
        <x:v>SVC000028</x:v>
      </x:c>
      <x:c r="F29" s="6" t="str">
        <x:f>IFERROR(IF(XLOOKUP(C29,'Review Sequence'!C2:C1586,'Review Sequence'!J2:J1586)="Reviewer Complete",XLOOKUP(C29,'Service Identity Queue'!A2:A315,'Service Identity Queue'!L2:L315),""),"")</x:f>
      </x:c>
      <x:c r="G29" s="6" t="str"/>
      <x:c r="H29" s="7" t="str">
        <x:f>IF(F29&lt;&gt;"",XLOOKUP(C29,'Service Identity Queue'!A2:A315,'Service Identity Queue'!N2:N315),"" )</x:f>
      </x:c>
      <x:c r="I29" s="6" t="str">
        <x:f>IF(F29&lt;&gt;"",XLOOKUP(C29,'Service Identity Queue'!A2:A315,'Service Identity Queue'!O2:O315),"" )</x:f>
      </x:c>
      <x:c r="J29" s="6" t="str">
        <x:f>IF(F29&lt;&gt;"",XLOOKUP(C29,'Service Identity Queue'!A2:A315,'Service Identity Queue'!P2:P315),"" )</x:f>
      </x:c>
      <x:c r="K29" s="6" t="str">
        <x:f>IF(F29&lt;&gt;"","Reviewer complete; second-level approval still required","Not eligible yet")</x:f>
        <x:v>Not eligible yet</x:v>
      </x:c>
      <x:c r="L29" s="6" t="str">
        <x:f>IF(P29="Not Eligible","PASS","FAIL")</x:f>
        <x:v>PASS</x:v>
      </x:c>
      <x:c r="M29" s="6" t="str">
        <x:v>Pending</x:v>
      </x:c>
      <x:c r="N29" s="6" t="str"/>
      <x:c r="O29" s="6" t="str"/>
      <x:c r="P29" s="6" t="str">
        <x:v>Not Eligible</x:v>
      </x:c>
      <x:c r="Q29" s="7" t="str"/>
    </x:row>
    <x:row r="30">
      <x:c r="A30" s="6" t="str">
        <x:v>APPR-0029</x:v>
      </x:c>
      <x:c r="B30" s="6" t="str">
        <x:v>Service Identity Queue</x:v>
      </x:c>
      <x:c r="C30" s="6" t="str">
        <x:v>SIDX-0029</x:v>
      </x:c>
      <x:c r="D30" s="6" t="str">
        <x:v>Service</x:v>
      </x:c>
      <x:c r="E30" s="6" t="str">
        <x:v>SVC000029</x:v>
      </x:c>
      <x:c r="F30" s="6" t="str">
        <x:f>IFERROR(IF(XLOOKUP(C30,'Review Sequence'!C2:C1586,'Review Sequence'!J2:J1586)="Reviewer Complete",XLOOKUP(C30,'Service Identity Queue'!A2:A315,'Service Identity Queue'!L2:L315),""),"")</x:f>
      </x:c>
      <x:c r="G30" s="6" t="str"/>
      <x:c r="H30" s="7" t="str">
        <x:f>IF(F30&lt;&gt;"",XLOOKUP(C30,'Service Identity Queue'!A2:A315,'Service Identity Queue'!N2:N315),"" )</x:f>
      </x:c>
      <x:c r="I30" s="6" t="str">
        <x:f>IF(F30&lt;&gt;"",XLOOKUP(C30,'Service Identity Queue'!A2:A315,'Service Identity Queue'!O2:O315),"" )</x:f>
      </x:c>
      <x:c r="J30" s="6" t="str">
        <x:f>IF(F30&lt;&gt;"",XLOOKUP(C30,'Service Identity Queue'!A2:A315,'Service Identity Queue'!P2:P315),"" )</x:f>
      </x:c>
      <x:c r="K30" s="6" t="str">
        <x:f>IF(F30&lt;&gt;"","Reviewer complete; second-level approval still required","Not eligible yet")</x:f>
        <x:v>Not eligible yet</x:v>
      </x:c>
      <x:c r="L30" s="6" t="str">
        <x:f>IF(P30="Not Eligible","PASS","FAIL")</x:f>
        <x:v>PASS</x:v>
      </x:c>
      <x:c r="M30" s="6" t="str">
        <x:v>Pending</x:v>
      </x:c>
      <x:c r="N30" s="6" t="str"/>
      <x:c r="O30" s="6" t="str"/>
      <x:c r="P30" s="6" t="str">
        <x:v>Not Eligible</x:v>
      </x:c>
      <x:c r="Q30" s="7" t="str"/>
    </x:row>
    <x:row r="31">
      <x:c r="A31" s="6" t="str">
        <x:v>APPR-0030</x:v>
      </x:c>
      <x:c r="B31" s="6" t="str">
        <x:v>Service Identity Queue</x:v>
      </x:c>
      <x:c r="C31" s="6" t="str">
        <x:v>SIDX-0030</x:v>
      </x:c>
      <x:c r="D31" s="6" t="str">
        <x:v>Service</x:v>
      </x:c>
      <x:c r="E31" s="6" t="str">
        <x:v>SVC000030</x:v>
      </x:c>
      <x:c r="F31" s="6" t="str">
        <x:f>IFERROR(IF(XLOOKUP(C31,'Review Sequence'!C2:C1586,'Review Sequence'!J2:J1586)="Reviewer Complete",XLOOKUP(C31,'Service Identity Queue'!A2:A315,'Service Identity Queue'!L2:L315),""),"")</x:f>
      </x:c>
      <x:c r="G31" s="6" t="str"/>
      <x:c r="H31" s="7" t="str">
        <x:f>IF(F31&lt;&gt;"",XLOOKUP(C31,'Service Identity Queue'!A2:A315,'Service Identity Queue'!N2:N315),"" )</x:f>
      </x:c>
      <x:c r="I31" s="6" t="str">
        <x:f>IF(F31&lt;&gt;"",XLOOKUP(C31,'Service Identity Queue'!A2:A315,'Service Identity Queue'!O2:O315),"" )</x:f>
      </x:c>
      <x:c r="J31" s="6" t="str">
        <x:f>IF(F31&lt;&gt;"",XLOOKUP(C31,'Service Identity Queue'!A2:A315,'Service Identity Queue'!P2:P315),"" )</x:f>
      </x:c>
      <x:c r="K31" s="6" t="str">
        <x:f>IF(F31&lt;&gt;"","Reviewer complete; second-level approval still required","Not eligible yet")</x:f>
        <x:v>Not eligible yet</x:v>
      </x:c>
      <x:c r="L31" s="6" t="str">
        <x:f>IF(P31="Not Eligible","PASS","FAIL")</x:f>
        <x:v>PASS</x:v>
      </x:c>
      <x:c r="M31" s="6" t="str">
        <x:v>Pending</x:v>
      </x:c>
      <x:c r="N31" s="6" t="str"/>
      <x:c r="O31" s="6" t="str"/>
      <x:c r="P31" s="6" t="str">
        <x:v>Not Eligible</x:v>
      </x:c>
      <x:c r="Q31" s="7" t="str"/>
    </x:row>
    <x:row r="32">
      <x:c r="A32" s="6" t="str">
        <x:v>APPR-0031</x:v>
      </x:c>
      <x:c r="B32" s="6" t="str">
        <x:v>Service Identity Queue</x:v>
      </x:c>
      <x:c r="C32" s="6" t="str">
        <x:v>SIDX-0031</x:v>
      </x:c>
      <x:c r="D32" s="6" t="str">
        <x:v>Service</x:v>
      </x:c>
      <x:c r="E32" s="6" t="str">
        <x:v>SVC000031</x:v>
      </x:c>
      <x:c r="F32" s="6" t="str">
        <x:f>IFERROR(IF(XLOOKUP(C32,'Review Sequence'!C2:C1586,'Review Sequence'!J2:J1586)="Reviewer Complete",XLOOKUP(C32,'Service Identity Queue'!A2:A315,'Service Identity Queue'!L2:L315),""),"")</x:f>
      </x:c>
      <x:c r="G32" s="6" t="str"/>
      <x:c r="H32" s="7" t="str">
        <x:f>IF(F32&lt;&gt;"",XLOOKUP(C32,'Service Identity Queue'!A2:A315,'Service Identity Queue'!N2:N315),"" )</x:f>
      </x:c>
      <x:c r="I32" s="6" t="str">
        <x:f>IF(F32&lt;&gt;"",XLOOKUP(C32,'Service Identity Queue'!A2:A315,'Service Identity Queue'!O2:O315),"" )</x:f>
      </x:c>
      <x:c r="J32" s="6" t="str">
        <x:f>IF(F32&lt;&gt;"",XLOOKUP(C32,'Service Identity Queue'!A2:A315,'Service Identity Queue'!P2:P315),"" )</x:f>
      </x:c>
      <x:c r="K32" s="6" t="str">
        <x:f>IF(F32&lt;&gt;"","Reviewer complete; second-level approval still required","Not eligible yet")</x:f>
        <x:v>Not eligible yet</x:v>
      </x:c>
      <x:c r="L32" s="6" t="str">
        <x:f>IF(P32="Not Eligible","PASS","FAIL")</x:f>
        <x:v>PASS</x:v>
      </x:c>
      <x:c r="M32" s="6" t="str">
        <x:v>Pending</x:v>
      </x:c>
      <x:c r="N32" s="6" t="str"/>
      <x:c r="O32" s="6" t="str"/>
      <x:c r="P32" s="6" t="str">
        <x:v>Not Eligible</x:v>
      </x:c>
      <x:c r="Q32" s="7" t="str"/>
    </x:row>
    <x:row r="33">
      <x:c r="A33" s="6" t="str">
        <x:v>APPR-0032</x:v>
      </x:c>
      <x:c r="B33" s="6" t="str">
        <x:v>Service Identity Queue</x:v>
      </x:c>
      <x:c r="C33" s="6" t="str">
        <x:v>SIDX-0032</x:v>
      </x:c>
      <x:c r="D33" s="6" t="str">
        <x:v>Service</x:v>
      </x:c>
      <x:c r="E33" s="6" t="str">
        <x:v>SVC000032</x:v>
      </x:c>
      <x:c r="F33" s="6" t="str">
        <x:f>IFERROR(IF(XLOOKUP(C33,'Review Sequence'!C2:C1586,'Review Sequence'!J2:J1586)="Reviewer Complete",XLOOKUP(C33,'Service Identity Queue'!A2:A315,'Service Identity Queue'!L2:L315),""),"")</x:f>
      </x:c>
      <x:c r="G33" s="6" t="str"/>
      <x:c r="H33" s="7" t="str">
        <x:f>IF(F33&lt;&gt;"",XLOOKUP(C33,'Service Identity Queue'!A2:A315,'Service Identity Queue'!N2:N315),"" )</x:f>
      </x:c>
      <x:c r="I33" s="6" t="str">
        <x:f>IF(F33&lt;&gt;"",XLOOKUP(C33,'Service Identity Queue'!A2:A315,'Service Identity Queue'!O2:O315),"" )</x:f>
      </x:c>
      <x:c r="J33" s="6" t="str">
        <x:f>IF(F33&lt;&gt;"",XLOOKUP(C33,'Service Identity Queue'!A2:A315,'Service Identity Queue'!P2:P315),"" )</x:f>
      </x:c>
      <x:c r="K33" s="6" t="str">
        <x:f>IF(F33&lt;&gt;"","Reviewer complete; second-level approval still required","Not eligible yet")</x:f>
        <x:v>Not eligible yet</x:v>
      </x:c>
      <x:c r="L33" s="6" t="str">
        <x:f>IF(P33="Not Eligible","PASS","FAIL")</x:f>
        <x:v>PASS</x:v>
      </x:c>
      <x:c r="M33" s="6" t="str">
        <x:v>Pending</x:v>
      </x:c>
      <x:c r="N33" s="6" t="str"/>
      <x:c r="O33" s="6" t="str"/>
      <x:c r="P33" s="6" t="str">
        <x:v>Not Eligible</x:v>
      </x:c>
      <x:c r="Q33" s="7" t="str"/>
    </x:row>
    <x:row r="34">
      <x:c r="A34" s="6" t="str">
        <x:v>APPR-0033</x:v>
      </x:c>
      <x:c r="B34" s="6" t="str">
        <x:v>Service Identity Queue</x:v>
      </x:c>
      <x:c r="C34" s="6" t="str">
        <x:v>SIDX-0033</x:v>
      </x:c>
      <x:c r="D34" s="6" t="str">
        <x:v>Service</x:v>
      </x:c>
      <x:c r="E34" s="6" t="str">
        <x:v>SVC000033</x:v>
      </x:c>
      <x:c r="F34" s="6" t="str">
        <x:f>IFERROR(IF(XLOOKUP(C34,'Review Sequence'!C2:C1586,'Review Sequence'!J2:J1586)="Reviewer Complete",XLOOKUP(C34,'Service Identity Queue'!A2:A315,'Service Identity Queue'!L2:L315),""),"")</x:f>
      </x:c>
      <x:c r="G34" s="6" t="str"/>
      <x:c r="H34" s="7" t="str">
        <x:f>IF(F34&lt;&gt;"",XLOOKUP(C34,'Service Identity Queue'!A2:A315,'Service Identity Queue'!N2:N315),"" )</x:f>
      </x:c>
      <x:c r="I34" s="6" t="str">
        <x:f>IF(F34&lt;&gt;"",XLOOKUP(C34,'Service Identity Queue'!A2:A315,'Service Identity Queue'!O2:O315),"" )</x:f>
      </x:c>
      <x:c r="J34" s="6" t="str">
        <x:f>IF(F34&lt;&gt;"",XLOOKUP(C34,'Service Identity Queue'!A2:A315,'Service Identity Queue'!P2:P315),"" )</x:f>
      </x:c>
      <x:c r="K34" s="6" t="str">
        <x:f>IF(F34&lt;&gt;"","Reviewer complete; second-level approval still required","Not eligible yet")</x:f>
        <x:v>Not eligible yet</x:v>
      </x:c>
      <x:c r="L34" s="6" t="str">
        <x:f>IF(P34="Not Eligible","PASS","FAIL")</x:f>
        <x:v>PASS</x:v>
      </x:c>
      <x:c r="M34" s="6" t="str">
        <x:v>Pending</x:v>
      </x:c>
      <x:c r="N34" s="6" t="str"/>
      <x:c r="O34" s="6" t="str"/>
      <x:c r="P34" s="6" t="str">
        <x:v>Not Eligible</x:v>
      </x:c>
      <x:c r="Q34" s="7" t="str"/>
    </x:row>
    <x:row r="35">
      <x:c r="A35" s="6" t="str">
        <x:v>APPR-0034</x:v>
      </x:c>
      <x:c r="B35" s="6" t="str">
        <x:v>Service Identity Queue</x:v>
      </x:c>
      <x:c r="C35" s="6" t="str">
        <x:v>SIDX-0034</x:v>
      </x:c>
      <x:c r="D35" s="6" t="str">
        <x:v>Service</x:v>
      </x:c>
      <x:c r="E35" s="6" t="str">
        <x:v>SVC000034</x:v>
      </x:c>
      <x:c r="F35" s="6" t="str">
        <x:f>IFERROR(IF(XLOOKUP(C35,'Review Sequence'!C2:C1586,'Review Sequence'!J2:J1586)="Reviewer Complete",XLOOKUP(C35,'Service Identity Queue'!A2:A315,'Service Identity Queue'!L2:L315),""),"")</x:f>
      </x:c>
      <x:c r="G35" s="6" t="str"/>
      <x:c r="H35" s="7" t="str">
        <x:f>IF(F35&lt;&gt;"",XLOOKUP(C35,'Service Identity Queue'!A2:A315,'Service Identity Queue'!N2:N315),"" )</x:f>
      </x:c>
      <x:c r="I35" s="6" t="str">
        <x:f>IF(F35&lt;&gt;"",XLOOKUP(C35,'Service Identity Queue'!A2:A315,'Service Identity Queue'!O2:O315),"" )</x:f>
      </x:c>
      <x:c r="J35" s="6" t="str">
        <x:f>IF(F35&lt;&gt;"",XLOOKUP(C35,'Service Identity Queue'!A2:A315,'Service Identity Queue'!P2:P315),"" )</x:f>
      </x:c>
      <x:c r="K35" s="6" t="str">
        <x:f>IF(F35&lt;&gt;"","Reviewer complete; second-level approval still required","Not eligible yet")</x:f>
        <x:v>Not eligible yet</x:v>
      </x:c>
      <x:c r="L35" s="6" t="str">
        <x:f>IF(P35="Not Eligible","PASS","FAIL")</x:f>
        <x:v>PASS</x:v>
      </x:c>
      <x:c r="M35" s="6" t="str">
        <x:v>Pending</x:v>
      </x:c>
      <x:c r="N35" s="6" t="str"/>
      <x:c r="O35" s="6" t="str"/>
      <x:c r="P35" s="6" t="str">
        <x:v>Not Eligible</x:v>
      </x:c>
      <x:c r="Q35" s="7" t="str"/>
    </x:row>
    <x:row r="36">
      <x:c r="A36" s="6" t="str">
        <x:v>APPR-0035</x:v>
      </x:c>
      <x:c r="B36" s="6" t="str">
        <x:v>Service Identity Queue</x:v>
      </x:c>
      <x:c r="C36" s="6" t="str">
        <x:v>SIDX-0035</x:v>
      </x:c>
      <x:c r="D36" s="6" t="str">
        <x:v>Service</x:v>
      </x:c>
      <x:c r="E36" s="6" t="str">
        <x:v>SVC000035</x:v>
      </x:c>
      <x:c r="F36" s="6" t="str">
        <x:f>IFERROR(IF(XLOOKUP(C36,'Review Sequence'!C2:C1586,'Review Sequence'!J2:J1586)="Reviewer Complete",XLOOKUP(C36,'Service Identity Queue'!A2:A315,'Service Identity Queue'!L2:L315),""),"")</x:f>
      </x:c>
      <x:c r="G36" s="6" t="str"/>
      <x:c r="H36" s="7" t="str">
        <x:f>IF(F36&lt;&gt;"",XLOOKUP(C36,'Service Identity Queue'!A2:A315,'Service Identity Queue'!N2:N315),"" )</x:f>
      </x:c>
      <x:c r="I36" s="6" t="str">
        <x:f>IF(F36&lt;&gt;"",XLOOKUP(C36,'Service Identity Queue'!A2:A315,'Service Identity Queue'!O2:O315),"" )</x:f>
      </x:c>
      <x:c r="J36" s="6" t="str">
        <x:f>IF(F36&lt;&gt;"",XLOOKUP(C36,'Service Identity Queue'!A2:A315,'Service Identity Queue'!P2:P315),"" )</x:f>
      </x:c>
      <x:c r="K36" s="6" t="str">
        <x:f>IF(F36&lt;&gt;"","Reviewer complete; second-level approval still required","Not eligible yet")</x:f>
        <x:v>Not eligible yet</x:v>
      </x:c>
      <x:c r="L36" s="6" t="str">
        <x:f>IF(P36="Not Eligible","PASS","FAIL")</x:f>
        <x:v>PASS</x:v>
      </x:c>
      <x:c r="M36" s="6" t="str">
        <x:v>Pending</x:v>
      </x:c>
      <x:c r="N36" s="6" t="str"/>
      <x:c r="O36" s="6" t="str"/>
      <x:c r="P36" s="6" t="str">
        <x:v>Not Eligible</x:v>
      </x:c>
      <x:c r="Q36" s="7" t="str"/>
    </x:row>
    <x:row r="37">
      <x:c r="A37" s="6" t="str">
        <x:v>APPR-0036</x:v>
      </x:c>
      <x:c r="B37" s="6" t="str">
        <x:v>Service Identity Queue</x:v>
      </x:c>
      <x:c r="C37" s="6" t="str">
        <x:v>SIDX-0036</x:v>
      </x:c>
      <x:c r="D37" s="6" t="str">
        <x:v>Service</x:v>
      </x:c>
      <x:c r="E37" s="6" t="str">
        <x:v>SVC000036</x:v>
      </x:c>
      <x:c r="F37" s="6" t="str">
        <x:f>IFERROR(IF(XLOOKUP(C37,'Review Sequence'!C2:C1586,'Review Sequence'!J2:J1586)="Reviewer Complete",XLOOKUP(C37,'Service Identity Queue'!A2:A315,'Service Identity Queue'!L2:L315),""),"")</x:f>
      </x:c>
      <x:c r="G37" s="6" t="str"/>
      <x:c r="H37" s="7" t="str">
        <x:f>IF(F37&lt;&gt;"",XLOOKUP(C37,'Service Identity Queue'!A2:A315,'Service Identity Queue'!N2:N315),"" )</x:f>
      </x:c>
      <x:c r="I37" s="6" t="str">
        <x:f>IF(F37&lt;&gt;"",XLOOKUP(C37,'Service Identity Queue'!A2:A315,'Service Identity Queue'!O2:O315),"" )</x:f>
      </x:c>
      <x:c r="J37" s="6" t="str">
        <x:f>IF(F37&lt;&gt;"",XLOOKUP(C37,'Service Identity Queue'!A2:A315,'Service Identity Queue'!P2:P315),"" )</x:f>
      </x:c>
      <x:c r="K37" s="6" t="str">
        <x:f>IF(F37&lt;&gt;"","Reviewer complete; second-level approval still required","Not eligible yet")</x:f>
        <x:v>Not eligible yet</x:v>
      </x:c>
      <x:c r="L37" s="6" t="str">
        <x:f>IF(P37="Not Eligible","PASS","FAIL")</x:f>
        <x:v>PASS</x:v>
      </x:c>
      <x:c r="M37" s="6" t="str">
        <x:v>Pending</x:v>
      </x:c>
      <x:c r="N37" s="6" t="str"/>
      <x:c r="O37" s="6" t="str"/>
      <x:c r="P37" s="6" t="str">
        <x:v>Not Eligible</x:v>
      </x:c>
      <x:c r="Q37" s="7" t="str"/>
    </x:row>
    <x:row r="38">
      <x:c r="A38" s="6" t="str">
        <x:v>APPR-0037</x:v>
      </x:c>
      <x:c r="B38" s="6" t="str">
        <x:v>Service Identity Queue</x:v>
      </x:c>
      <x:c r="C38" s="6" t="str">
        <x:v>SIDX-0037</x:v>
      </x:c>
      <x:c r="D38" s="6" t="str">
        <x:v>Service</x:v>
      </x:c>
      <x:c r="E38" s="6" t="str">
        <x:v>SVC000037</x:v>
      </x:c>
      <x:c r="F38" s="6" t="str">
        <x:f>IFERROR(IF(XLOOKUP(C38,'Review Sequence'!C2:C1586,'Review Sequence'!J2:J1586)="Reviewer Complete",XLOOKUP(C38,'Service Identity Queue'!A2:A315,'Service Identity Queue'!L2:L315),""),"")</x:f>
      </x:c>
      <x:c r="G38" s="6" t="str"/>
      <x:c r="H38" s="7" t="str">
        <x:f>IF(F38&lt;&gt;"",XLOOKUP(C38,'Service Identity Queue'!A2:A315,'Service Identity Queue'!N2:N315),"" )</x:f>
      </x:c>
      <x:c r="I38" s="6" t="str">
        <x:f>IF(F38&lt;&gt;"",XLOOKUP(C38,'Service Identity Queue'!A2:A315,'Service Identity Queue'!O2:O315),"" )</x:f>
      </x:c>
      <x:c r="J38" s="6" t="str">
        <x:f>IF(F38&lt;&gt;"",XLOOKUP(C38,'Service Identity Queue'!A2:A315,'Service Identity Queue'!P2:P315),"" )</x:f>
      </x:c>
      <x:c r="K38" s="6" t="str">
        <x:f>IF(F38&lt;&gt;"","Reviewer complete; second-level approval still required","Not eligible yet")</x:f>
        <x:v>Not eligible yet</x:v>
      </x:c>
      <x:c r="L38" s="6" t="str">
        <x:f>IF(P38="Not Eligible","PASS","FAIL")</x:f>
        <x:v>PASS</x:v>
      </x:c>
      <x:c r="M38" s="6" t="str">
        <x:v>Pending</x:v>
      </x:c>
      <x:c r="N38" s="6" t="str"/>
      <x:c r="O38" s="6" t="str"/>
      <x:c r="P38" s="6" t="str">
        <x:v>Not Eligible</x:v>
      </x:c>
      <x:c r="Q38" s="7" t="str"/>
    </x:row>
    <x:row r="39">
      <x:c r="A39" s="6" t="str">
        <x:v>APPR-0038</x:v>
      </x:c>
      <x:c r="B39" s="6" t="str">
        <x:v>Service Identity Queue</x:v>
      </x:c>
      <x:c r="C39" s="6" t="str">
        <x:v>SIDX-0038</x:v>
      </x:c>
      <x:c r="D39" s="6" t="str">
        <x:v>Service</x:v>
      </x:c>
      <x:c r="E39" s="6" t="str">
        <x:v>SVC000038</x:v>
      </x:c>
      <x:c r="F39" s="6" t="str">
        <x:f>IFERROR(IF(XLOOKUP(C39,'Review Sequence'!C2:C1586,'Review Sequence'!J2:J1586)="Reviewer Complete",XLOOKUP(C39,'Service Identity Queue'!A2:A315,'Service Identity Queue'!L2:L315),""),"")</x:f>
      </x:c>
      <x:c r="G39" s="6" t="str"/>
      <x:c r="H39" s="7" t="str">
        <x:f>IF(F39&lt;&gt;"",XLOOKUP(C39,'Service Identity Queue'!A2:A315,'Service Identity Queue'!N2:N315),"" )</x:f>
      </x:c>
      <x:c r="I39" s="6" t="str">
        <x:f>IF(F39&lt;&gt;"",XLOOKUP(C39,'Service Identity Queue'!A2:A315,'Service Identity Queue'!O2:O315),"" )</x:f>
      </x:c>
      <x:c r="J39" s="6" t="str">
        <x:f>IF(F39&lt;&gt;"",XLOOKUP(C39,'Service Identity Queue'!A2:A315,'Service Identity Queue'!P2:P315),"" )</x:f>
      </x:c>
      <x:c r="K39" s="6" t="str">
        <x:f>IF(F39&lt;&gt;"","Reviewer complete; second-level approval still required","Not eligible yet")</x:f>
        <x:v>Not eligible yet</x:v>
      </x:c>
      <x:c r="L39" s="6" t="str">
        <x:f>IF(P39="Not Eligible","PASS","FAIL")</x:f>
        <x:v>PASS</x:v>
      </x:c>
      <x:c r="M39" s="6" t="str">
        <x:v>Pending</x:v>
      </x:c>
      <x:c r="N39" s="6" t="str"/>
      <x:c r="O39" s="6" t="str"/>
      <x:c r="P39" s="6" t="str">
        <x:v>Not Eligible</x:v>
      </x:c>
      <x:c r="Q39" s="7" t="str"/>
    </x:row>
    <x:row r="40">
      <x:c r="A40" s="6" t="str">
        <x:v>APPR-0039</x:v>
      </x:c>
      <x:c r="B40" s="6" t="str">
        <x:v>Service Identity Queue</x:v>
      </x:c>
      <x:c r="C40" s="6" t="str">
        <x:v>SIDX-0039</x:v>
      </x:c>
      <x:c r="D40" s="6" t="str">
        <x:v>Service</x:v>
      </x:c>
      <x:c r="E40" s="6" t="str">
        <x:v>SVC000039</x:v>
      </x:c>
      <x:c r="F40" s="6" t="str">
        <x:f>IFERROR(IF(XLOOKUP(C40,'Review Sequence'!C2:C1586,'Review Sequence'!J2:J1586)="Reviewer Complete",XLOOKUP(C40,'Service Identity Queue'!A2:A315,'Service Identity Queue'!L2:L315),""),"")</x:f>
      </x:c>
      <x:c r="G40" s="6" t="str"/>
      <x:c r="H40" s="7" t="str">
        <x:f>IF(F40&lt;&gt;"",XLOOKUP(C40,'Service Identity Queue'!A2:A315,'Service Identity Queue'!N2:N315),"" )</x:f>
      </x:c>
      <x:c r="I40" s="6" t="str">
        <x:f>IF(F40&lt;&gt;"",XLOOKUP(C40,'Service Identity Queue'!A2:A315,'Service Identity Queue'!O2:O315),"" )</x:f>
      </x:c>
      <x:c r="J40" s="6" t="str">
        <x:f>IF(F40&lt;&gt;"",XLOOKUP(C40,'Service Identity Queue'!A2:A315,'Service Identity Queue'!P2:P315),"" )</x:f>
      </x:c>
      <x:c r="K40" s="6" t="str">
        <x:f>IF(F40&lt;&gt;"","Reviewer complete; second-level approval still required","Not eligible yet")</x:f>
        <x:v>Not eligible yet</x:v>
      </x:c>
      <x:c r="L40" s="6" t="str">
        <x:f>IF(P40="Not Eligible","PASS","FAIL")</x:f>
        <x:v>PASS</x:v>
      </x:c>
      <x:c r="M40" s="6" t="str">
        <x:v>Pending</x:v>
      </x:c>
      <x:c r="N40" s="6" t="str"/>
      <x:c r="O40" s="6" t="str"/>
      <x:c r="P40" s="6" t="str">
        <x:v>Not Eligible</x:v>
      </x:c>
      <x:c r="Q40" s="7" t="str"/>
    </x:row>
    <x:row r="41">
      <x:c r="A41" s="6" t="str">
        <x:v>APPR-0040</x:v>
      </x:c>
      <x:c r="B41" s="6" t="str">
        <x:v>Service Identity Queue</x:v>
      </x:c>
      <x:c r="C41" s="6" t="str">
        <x:v>SIDX-0040</x:v>
      </x:c>
      <x:c r="D41" s="6" t="str">
        <x:v>Service</x:v>
      </x:c>
      <x:c r="E41" s="6" t="str">
        <x:v>SVC000040</x:v>
      </x:c>
      <x:c r="F41" s="6" t="str">
        <x:f>IFERROR(IF(XLOOKUP(C41,'Review Sequence'!C2:C1586,'Review Sequence'!J2:J1586)="Reviewer Complete",XLOOKUP(C41,'Service Identity Queue'!A2:A315,'Service Identity Queue'!L2:L315),""),"")</x:f>
      </x:c>
      <x:c r="G41" s="6" t="str"/>
      <x:c r="H41" s="7" t="str">
        <x:f>IF(F41&lt;&gt;"",XLOOKUP(C41,'Service Identity Queue'!A2:A315,'Service Identity Queue'!N2:N315),"" )</x:f>
      </x:c>
      <x:c r="I41" s="6" t="str">
        <x:f>IF(F41&lt;&gt;"",XLOOKUP(C41,'Service Identity Queue'!A2:A315,'Service Identity Queue'!O2:O315),"" )</x:f>
      </x:c>
      <x:c r="J41" s="6" t="str">
        <x:f>IF(F41&lt;&gt;"",XLOOKUP(C41,'Service Identity Queue'!A2:A315,'Service Identity Queue'!P2:P315),"" )</x:f>
      </x:c>
      <x:c r="K41" s="6" t="str">
        <x:f>IF(F41&lt;&gt;"","Reviewer complete; second-level approval still required","Not eligible yet")</x:f>
        <x:v>Not eligible yet</x:v>
      </x:c>
      <x:c r="L41" s="6" t="str">
        <x:f>IF(P41="Not Eligible","PASS","FAIL")</x:f>
        <x:v>PASS</x:v>
      </x:c>
      <x:c r="M41" s="6" t="str">
        <x:v>Pending</x:v>
      </x:c>
      <x:c r="N41" s="6" t="str"/>
      <x:c r="O41" s="6" t="str"/>
      <x:c r="P41" s="6" t="str">
        <x:v>Not Eligible</x:v>
      </x:c>
      <x:c r="Q41" s="7" t="str"/>
    </x:row>
    <x:row r="42">
      <x:c r="A42" s="6" t="str">
        <x:v>APPR-0041</x:v>
      </x:c>
      <x:c r="B42" s="6" t="str">
        <x:v>Service Identity Queue</x:v>
      </x:c>
      <x:c r="C42" s="6" t="str">
        <x:v>SIDX-0041</x:v>
      </x:c>
      <x:c r="D42" s="6" t="str">
        <x:v>Service</x:v>
      </x:c>
      <x:c r="E42" s="6" t="str">
        <x:v>SVC000041</x:v>
      </x:c>
      <x:c r="F42" s="6" t="str">
        <x:f>IFERROR(IF(XLOOKUP(C42,'Review Sequence'!C2:C1586,'Review Sequence'!J2:J1586)="Reviewer Complete",XLOOKUP(C42,'Service Identity Queue'!A2:A315,'Service Identity Queue'!L2:L315),""),"")</x:f>
      </x:c>
      <x:c r="G42" s="6" t="str"/>
      <x:c r="H42" s="7" t="str">
        <x:f>IF(F42&lt;&gt;"",XLOOKUP(C42,'Service Identity Queue'!A2:A315,'Service Identity Queue'!N2:N315),"" )</x:f>
      </x:c>
      <x:c r="I42" s="6" t="str">
        <x:f>IF(F42&lt;&gt;"",XLOOKUP(C42,'Service Identity Queue'!A2:A315,'Service Identity Queue'!O2:O315),"" )</x:f>
      </x:c>
      <x:c r="J42" s="6" t="str">
        <x:f>IF(F42&lt;&gt;"",XLOOKUP(C42,'Service Identity Queue'!A2:A315,'Service Identity Queue'!P2:P315),"" )</x:f>
      </x:c>
      <x:c r="K42" s="6" t="str">
        <x:f>IF(F42&lt;&gt;"","Reviewer complete; second-level approval still required","Not eligible yet")</x:f>
        <x:v>Not eligible yet</x:v>
      </x:c>
      <x:c r="L42" s="6" t="str">
        <x:f>IF(P42="Not Eligible","PASS","FAIL")</x:f>
        <x:v>PASS</x:v>
      </x:c>
      <x:c r="M42" s="6" t="str">
        <x:v>Pending</x:v>
      </x:c>
      <x:c r="N42" s="6" t="str"/>
      <x:c r="O42" s="6" t="str"/>
      <x:c r="P42" s="6" t="str">
        <x:v>Not Eligible</x:v>
      </x:c>
      <x:c r="Q42" s="7" t="str"/>
    </x:row>
    <x:row r="43">
      <x:c r="A43" s="6" t="str">
        <x:v>APPR-0042</x:v>
      </x:c>
      <x:c r="B43" s="6" t="str">
        <x:v>Service Identity Queue</x:v>
      </x:c>
      <x:c r="C43" s="6" t="str">
        <x:v>SIDX-0042</x:v>
      </x:c>
      <x:c r="D43" s="6" t="str">
        <x:v>Service</x:v>
      </x:c>
      <x:c r="E43" s="6" t="str">
        <x:v>SVC000042</x:v>
      </x:c>
      <x:c r="F43" s="6" t="str">
        <x:f>IFERROR(IF(XLOOKUP(C43,'Review Sequence'!C2:C1586,'Review Sequence'!J2:J1586)="Reviewer Complete",XLOOKUP(C43,'Service Identity Queue'!A2:A315,'Service Identity Queue'!L2:L315),""),"")</x:f>
      </x:c>
      <x:c r="G43" s="6" t="str"/>
      <x:c r="H43" s="7" t="str">
        <x:f>IF(F43&lt;&gt;"",XLOOKUP(C43,'Service Identity Queue'!A2:A315,'Service Identity Queue'!N2:N315),"" )</x:f>
      </x:c>
      <x:c r="I43" s="6" t="str">
        <x:f>IF(F43&lt;&gt;"",XLOOKUP(C43,'Service Identity Queue'!A2:A315,'Service Identity Queue'!O2:O315),"" )</x:f>
      </x:c>
      <x:c r="J43" s="6" t="str">
        <x:f>IF(F43&lt;&gt;"",XLOOKUP(C43,'Service Identity Queue'!A2:A315,'Service Identity Queue'!P2:P315),"" )</x:f>
      </x:c>
      <x:c r="K43" s="6" t="str">
        <x:f>IF(F43&lt;&gt;"","Reviewer complete; second-level approval still required","Not eligible yet")</x:f>
        <x:v>Not eligible yet</x:v>
      </x:c>
      <x:c r="L43" s="6" t="str">
        <x:f>IF(P43="Not Eligible","PASS","FAIL")</x:f>
        <x:v>PASS</x:v>
      </x:c>
      <x:c r="M43" s="6" t="str">
        <x:v>Pending</x:v>
      </x:c>
      <x:c r="N43" s="6" t="str"/>
      <x:c r="O43" s="6" t="str"/>
      <x:c r="P43" s="6" t="str">
        <x:v>Not Eligible</x:v>
      </x:c>
      <x:c r="Q43" s="7" t="str"/>
    </x:row>
    <x:row r="44">
      <x:c r="A44" s="6" t="str">
        <x:v>APPR-0043</x:v>
      </x:c>
      <x:c r="B44" s="6" t="str">
        <x:v>Service Identity Queue</x:v>
      </x:c>
      <x:c r="C44" s="6" t="str">
        <x:v>SIDX-0043</x:v>
      </x:c>
      <x:c r="D44" s="6" t="str">
        <x:v>Service</x:v>
      </x:c>
      <x:c r="E44" s="6" t="str">
        <x:v>SVC000043</x:v>
      </x:c>
      <x:c r="F44" s="6" t="str">
        <x:f>IFERROR(IF(XLOOKUP(C44,'Review Sequence'!C2:C1586,'Review Sequence'!J2:J1586)="Reviewer Complete",XLOOKUP(C44,'Service Identity Queue'!A2:A315,'Service Identity Queue'!L2:L315),""),"")</x:f>
      </x:c>
      <x:c r="G44" s="6" t="str"/>
      <x:c r="H44" s="7" t="str">
        <x:f>IF(F44&lt;&gt;"",XLOOKUP(C44,'Service Identity Queue'!A2:A315,'Service Identity Queue'!N2:N315),"" )</x:f>
      </x:c>
      <x:c r="I44" s="6" t="str">
        <x:f>IF(F44&lt;&gt;"",XLOOKUP(C44,'Service Identity Queue'!A2:A315,'Service Identity Queue'!O2:O315),"" )</x:f>
      </x:c>
      <x:c r="J44" s="6" t="str">
        <x:f>IF(F44&lt;&gt;"",XLOOKUP(C44,'Service Identity Queue'!A2:A315,'Service Identity Queue'!P2:P315),"" )</x:f>
      </x:c>
      <x:c r="K44" s="6" t="str">
        <x:f>IF(F44&lt;&gt;"","Reviewer complete; second-level approval still required","Not eligible yet")</x:f>
        <x:v>Not eligible yet</x:v>
      </x:c>
      <x:c r="L44" s="6" t="str">
        <x:f>IF(P44="Not Eligible","PASS","FAIL")</x:f>
        <x:v>PASS</x:v>
      </x:c>
      <x:c r="M44" s="6" t="str">
        <x:v>Pending</x:v>
      </x:c>
      <x:c r="N44" s="6" t="str"/>
      <x:c r="O44" s="6" t="str"/>
      <x:c r="P44" s="6" t="str">
        <x:v>Not Eligible</x:v>
      </x:c>
      <x:c r="Q44" s="7" t="str"/>
    </x:row>
    <x:row r="45">
      <x:c r="A45" s="6" t="str">
        <x:v>APPR-0044</x:v>
      </x:c>
      <x:c r="B45" s="6" t="str">
        <x:v>Service Identity Queue</x:v>
      </x:c>
      <x:c r="C45" s="6" t="str">
        <x:v>SIDX-0044</x:v>
      </x:c>
      <x:c r="D45" s="6" t="str">
        <x:v>Service</x:v>
      </x:c>
      <x:c r="E45" s="6" t="str">
        <x:v>SVC000044</x:v>
      </x:c>
      <x:c r="F45" s="6" t="str">
        <x:f>IFERROR(IF(XLOOKUP(C45,'Review Sequence'!C2:C1586,'Review Sequence'!J2:J1586)="Reviewer Complete",XLOOKUP(C45,'Service Identity Queue'!A2:A315,'Service Identity Queue'!L2:L315),""),"")</x:f>
      </x:c>
      <x:c r="G45" s="6" t="str"/>
      <x:c r="H45" s="7" t="str">
        <x:f>IF(F45&lt;&gt;"",XLOOKUP(C45,'Service Identity Queue'!A2:A315,'Service Identity Queue'!N2:N315),"" )</x:f>
      </x:c>
      <x:c r="I45" s="6" t="str">
        <x:f>IF(F45&lt;&gt;"",XLOOKUP(C45,'Service Identity Queue'!A2:A315,'Service Identity Queue'!O2:O315),"" )</x:f>
      </x:c>
      <x:c r="J45" s="6" t="str">
        <x:f>IF(F45&lt;&gt;"",XLOOKUP(C45,'Service Identity Queue'!A2:A315,'Service Identity Queue'!P2:P315),"" )</x:f>
      </x:c>
      <x:c r="K45" s="6" t="str">
        <x:f>IF(F45&lt;&gt;"","Reviewer complete; second-level approval still required","Not eligible yet")</x:f>
        <x:v>Not eligible yet</x:v>
      </x:c>
      <x:c r="L45" s="6" t="str">
        <x:f>IF(P45="Not Eligible","PASS","FAIL")</x:f>
        <x:v>PASS</x:v>
      </x:c>
      <x:c r="M45" s="6" t="str">
        <x:v>Pending</x:v>
      </x:c>
      <x:c r="N45" s="6" t="str"/>
      <x:c r="O45" s="6" t="str"/>
      <x:c r="P45" s="6" t="str">
        <x:v>Not Eligible</x:v>
      </x:c>
      <x:c r="Q45" s="7" t="str"/>
    </x:row>
    <x:row r="46">
      <x:c r="A46" s="6" t="str">
        <x:v>APPR-0045</x:v>
      </x:c>
      <x:c r="B46" s="6" t="str">
        <x:v>Service Identity Queue</x:v>
      </x:c>
      <x:c r="C46" s="6" t="str">
        <x:v>SIDX-0045</x:v>
      </x:c>
      <x:c r="D46" s="6" t="str">
        <x:v>Service</x:v>
      </x:c>
      <x:c r="E46" s="6" t="str">
        <x:v>SVC000045</x:v>
      </x:c>
      <x:c r="F46" s="6" t="str">
        <x:f>IFERROR(IF(XLOOKUP(C46,'Review Sequence'!C2:C1586,'Review Sequence'!J2:J1586)="Reviewer Complete",XLOOKUP(C46,'Service Identity Queue'!A2:A315,'Service Identity Queue'!L2:L315),""),"")</x:f>
      </x:c>
      <x:c r="G46" s="6" t="str"/>
      <x:c r="H46" s="7" t="str">
        <x:f>IF(F46&lt;&gt;"",XLOOKUP(C46,'Service Identity Queue'!A2:A315,'Service Identity Queue'!N2:N315),"" )</x:f>
      </x:c>
      <x:c r="I46" s="6" t="str">
        <x:f>IF(F46&lt;&gt;"",XLOOKUP(C46,'Service Identity Queue'!A2:A315,'Service Identity Queue'!O2:O315),"" )</x:f>
      </x:c>
      <x:c r="J46" s="6" t="str">
        <x:f>IF(F46&lt;&gt;"",XLOOKUP(C46,'Service Identity Queue'!A2:A315,'Service Identity Queue'!P2:P315),"" )</x:f>
      </x:c>
      <x:c r="K46" s="6" t="str">
        <x:f>IF(F46&lt;&gt;"","Reviewer complete; second-level approval still required","Not eligible yet")</x:f>
        <x:v>Not eligible yet</x:v>
      </x:c>
      <x:c r="L46" s="6" t="str">
        <x:f>IF(P46="Not Eligible","PASS","FAIL")</x:f>
        <x:v>PASS</x:v>
      </x:c>
      <x:c r="M46" s="6" t="str">
        <x:v>Pending</x:v>
      </x:c>
      <x:c r="N46" s="6" t="str"/>
      <x:c r="O46" s="6" t="str"/>
      <x:c r="P46" s="6" t="str">
        <x:v>Not Eligible</x:v>
      </x:c>
      <x:c r="Q46" s="7" t="str"/>
    </x:row>
    <x:row r="47">
      <x:c r="A47" s="6" t="str">
        <x:v>APPR-0046</x:v>
      </x:c>
      <x:c r="B47" s="6" t="str">
        <x:v>Service Identity Queue</x:v>
      </x:c>
      <x:c r="C47" s="6" t="str">
        <x:v>SIDX-0046</x:v>
      </x:c>
      <x:c r="D47" s="6" t="str">
        <x:v>Service</x:v>
      </x:c>
      <x:c r="E47" s="6" t="str">
        <x:v>SVC000046</x:v>
      </x:c>
      <x:c r="F47" s="6" t="str">
        <x:f>IFERROR(IF(XLOOKUP(C47,'Review Sequence'!C2:C1586,'Review Sequence'!J2:J1586)="Reviewer Complete",XLOOKUP(C47,'Service Identity Queue'!A2:A315,'Service Identity Queue'!L2:L315),""),"")</x:f>
      </x:c>
      <x:c r="G47" s="6" t="str"/>
      <x:c r="H47" s="7" t="str">
        <x:f>IF(F47&lt;&gt;"",XLOOKUP(C47,'Service Identity Queue'!A2:A315,'Service Identity Queue'!N2:N315),"" )</x:f>
      </x:c>
      <x:c r="I47" s="6" t="str">
        <x:f>IF(F47&lt;&gt;"",XLOOKUP(C47,'Service Identity Queue'!A2:A315,'Service Identity Queue'!O2:O315),"" )</x:f>
      </x:c>
      <x:c r="J47" s="6" t="str">
        <x:f>IF(F47&lt;&gt;"",XLOOKUP(C47,'Service Identity Queue'!A2:A315,'Service Identity Queue'!P2:P315),"" )</x:f>
      </x:c>
      <x:c r="K47" s="6" t="str">
        <x:f>IF(F47&lt;&gt;"","Reviewer complete; second-level approval still required","Not eligible yet")</x:f>
        <x:v>Not eligible yet</x:v>
      </x:c>
      <x:c r="L47" s="6" t="str">
        <x:f>IF(P47="Not Eligible","PASS","FAIL")</x:f>
        <x:v>PASS</x:v>
      </x:c>
      <x:c r="M47" s="6" t="str">
        <x:v>Pending</x:v>
      </x:c>
      <x:c r="N47" s="6" t="str"/>
      <x:c r="O47" s="6" t="str"/>
      <x:c r="P47" s="6" t="str">
        <x:v>Not Eligible</x:v>
      </x:c>
      <x:c r="Q47" s="7" t="str"/>
    </x:row>
    <x:row r="48">
      <x:c r="A48" s="6" t="str">
        <x:v>APPR-0047</x:v>
      </x:c>
      <x:c r="B48" s="6" t="str">
        <x:v>Service Identity Queue</x:v>
      </x:c>
      <x:c r="C48" s="6" t="str">
        <x:v>SIDX-0047</x:v>
      </x:c>
      <x:c r="D48" s="6" t="str">
        <x:v>Service</x:v>
      </x:c>
      <x:c r="E48" s="6" t="str">
        <x:v>SVC000047</x:v>
      </x:c>
      <x:c r="F48" s="6" t="str">
        <x:f>IFERROR(IF(XLOOKUP(C48,'Review Sequence'!C2:C1586,'Review Sequence'!J2:J1586)="Reviewer Complete",XLOOKUP(C48,'Service Identity Queue'!A2:A315,'Service Identity Queue'!L2:L315),""),"")</x:f>
      </x:c>
      <x:c r="G48" s="6" t="str"/>
      <x:c r="H48" s="7" t="str">
        <x:f>IF(F48&lt;&gt;"",XLOOKUP(C48,'Service Identity Queue'!A2:A315,'Service Identity Queue'!N2:N315),"" )</x:f>
      </x:c>
      <x:c r="I48" s="6" t="str">
        <x:f>IF(F48&lt;&gt;"",XLOOKUP(C48,'Service Identity Queue'!A2:A315,'Service Identity Queue'!O2:O315),"" )</x:f>
      </x:c>
      <x:c r="J48" s="6" t="str">
        <x:f>IF(F48&lt;&gt;"",XLOOKUP(C48,'Service Identity Queue'!A2:A315,'Service Identity Queue'!P2:P315),"" )</x:f>
      </x:c>
      <x:c r="K48" s="6" t="str">
        <x:f>IF(F48&lt;&gt;"","Reviewer complete; second-level approval still required","Not eligible yet")</x:f>
        <x:v>Not eligible yet</x:v>
      </x:c>
      <x:c r="L48" s="6" t="str">
        <x:f>IF(P48="Not Eligible","PASS","FAIL")</x:f>
        <x:v>PASS</x:v>
      </x:c>
      <x:c r="M48" s="6" t="str">
        <x:v>Pending</x:v>
      </x:c>
      <x:c r="N48" s="6" t="str"/>
      <x:c r="O48" s="6" t="str"/>
      <x:c r="P48" s="6" t="str">
        <x:v>Not Eligible</x:v>
      </x:c>
      <x:c r="Q48" s="7" t="str"/>
    </x:row>
    <x:row r="49">
      <x:c r="A49" s="6" t="str">
        <x:v>APPR-0048</x:v>
      </x:c>
      <x:c r="B49" s="6" t="str">
        <x:v>Service Identity Queue</x:v>
      </x:c>
      <x:c r="C49" s="6" t="str">
        <x:v>SIDX-0048</x:v>
      </x:c>
      <x:c r="D49" s="6" t="str">
        <x:v>Service</x:v>
      </x:c>
      <x:c r="E49" s="6" t="str">
        <x:v>SVC000048</x:v>
      </x:c>
      <x:c r="F49" s="6" t="str">
        <x:f>IFERROR(IF(XLOOKUP(C49,'Review Sequence'!C2:C1586,'Review Sequence'!J2:J1586)="Reviewer Complete",XLOOKUP(C49,'Service Identity Queue'!A2:A315,'Service Identity Queue'!L2:L315),""),"")</x:f>
      </x:c>
      <x:c r="G49" s="6" t="str"/>
      <x:c r="H49" s="7" t="str">
        <x:f>IF(F49&lt;&gt;"",XLOOKUP(C49,'Service Identity Queue'!A2:A315,'Service Identity Queue'!N2:N315),"" )</x:f>
      </x:c>
      <x:c r="I49" s="6" t="str">
        <x:f>IF(F49&lt;&gt;"",XLOOKUP(C49,'Service Identity Queue'!A2:A315,'Service Identity Queue'!O2:O315),"" )</x:f>
      </x:c>
      <x:c r="J49" s="6" t="str">
        <x:f>IF(F49&lt;&gt;"",XLOOKUP(C49,'Service Identity Queue'!A2:A315,'Service Identity Queue'!P2:P315),"" )</x:f>
      </x:c>
      <x:c r="K49" s="6" t="str">
        <x:f>IF(F49&lt;&gt;"","Reviewer complete; second-level approval still required","Not eligible yet")</x:f>
        <x:v>Not eligible yet</x:v>
      </x:c>
      <x:c r="L49" s="6" t="str">
        <x:f>IF(P49="Not Eligible","PASS","FAIL")</x:f>
        <x:v>PASS</x:v>
      </x:c>
      <x:c r="M49" s="6" t="str">
        <x:v>Pending</x:v>
      </x:c>
      <x:c r="N49" s="6" t="str"/>
      <x:c r="O49" s="6" t="str"/>
      <x:c r="P49" s="6" t="str">
        <x:v>Not Eligible</x:v>
      </x:c>
      <x:c r="Q49" s="7" t="str"/>
    </x:row>
    <x:row r="50">
      <x:c r="A50" s="6" t="str">
        <x:v>APPR-0049</x:v>
      </x:c>
      <x:c r="B50" s="6" t="str">
        <x:v>Service Identity Queue</x:v>
      </x:c>
      <x:c r="C50" s="6" t="str">
        <x:v>SIDX-0049</x:v>
      </x:c>
      <x:c r="D50" s="6" t="str">
        <x:v>Service</x:v>
      </x:c>
      <x:c r="E50" s="6" t="str">
        <x:v>SVC000049</x:v>
      </x:c>
      <x:c r="F50" s="6" t="str">
        <x:f>IFERROR(IF(XLOOKUP(C50,'Review Sequence'!C2:C1586,'Review Sequence'!J2:J1586)="Reviewer Complete",XLOOKUP(C50,'Service Identity Queue'!A2:A315,'Service Identity Queue'!L2:L315),""),"")</x:f>
      </x:c>
      <x:c r="G50" s="6" t="str"/>
      <x:c r="H50" s="7" t="str">
        <x:f>IF(F50&lt;&gt;"",XLOOKUP(C50,'Service Identity Queue'!A2:A315,'Service Identity Queue'!N2:N315),"" )</x:f>
      </x:c>
      <x:c r="I50" s="6" t="str">
        <x:f>IF(F50&lt;&gt;"",XLOOKUP(C50,'Service Identity Queue'!A2:A315,'Service Identity Queue'!O2:O315),"" )</x:f>
      </x:c>
      <x:c r="J50" s="6" t="str">
        <x:f>IF(F50&lt;&gt;"",XLOOKUP(C50,'Service Identity Queue'!A2:A315,'Service Identity Queue'!P2:P315),"" )</x:f>
      </x:c>
      <x:c r="K50" s="6" t="str">
        <x:f>IF(F50&lt;&gt;"","Reviewer complete; second-level approval still required","Not eligible yet")</x:f>
        <x:v>Not eligible yet</x:v>
      </x:c>
      <x:c r="L50" s="6" t="str">
        <x:f>IF(P50="Not Eligible","PASS","FAIL")</x:f>
        <x:v>PASS</x:v>
      </x:c>
      <x:c r="M50" s="6" t="str">
        <x:v>Pending</x:v>
      </x:c>
      <x:c r="N50" s="6" t="str"/>
      <x:c r="O50" s="6" t="str"/>
      <x:c r="P50" s="6" t="str">
        <x:v>Not Eligible</x:v>
      </x:c>
      <x:c r="Q50" s="7" t="str"/>
    </x:row>
    <x:row r="51">
      <x:c r="A51" s="6" t="str">
        <x:v>APPR-0050</x:v>
      </x:c>
      <x:c r="B51" s="6" t="str">
        <x:v>Service Identity Queue</x:v>
      </x:c>
      <x:c r="C51" s="6" t="str">
        <x:v>SIDX-0050</x:v>
      </x:c>
      <x:c r="D51" s="6" t="str">
        <x:v>Service</x:v>
      </x:c>
      <x:c r="E51" s="6" t="str">
        <x:v>SVC000050</x:v>
      </x:c>
      <x:c r="F51" s="6" t="str">
        <x:f>IFERROR(IF(XLOOKUP(C51,'Review Sequence'!C2:C1586,'Review Sequence'!J2:J1586)="Reviewer Complete",XLOOKUP(C51,'Service Identity Queue'!A2:A315,'Service Identity Queue'!L2:L315),""),"")</x:f>
      </x:c>
      <x:c r="G51" s="6" t="str"/>
      <x:c r="H51" s="7" t="str">
        <x:f>IF(F51&lt;&gt;"",XLOOKUP(C51,'Service Identity Queue'!A2:A315,'Service Identity Queue'!N2:N315),"" )</x:f>
      </x:c>
      <x:c r="I51" s="6" t="str">
        <x:f>IF(F51&lt;&gt;"",XLOOKUP(C51,'Service Identity Queue'!A2:A315,'Service Identity Queue'!O2:O315),"" )</x:f>
      </x:c>
      <x:c r="J51" s="6" t="str">
        <x:f>IF(F51&lt;&gt;"",XLOOKUP(C51,'Service Identity Queue'!A2:A315,'Service Identity Queue'!P2:P315),"" )</x:f>
      </x:c>
      <x:c r="K51" s="6" t="str">
        <x:f>IF(F51&lt;&gt;"","Reviewer complete; second-level approval still required","Not eligible yet")</x:f>
        <x:v>Not eligible yet</x:v>
      </x:c>
      <x:c r="L51" s="6" t="str">
        <x:f>IF(P51="Not Eligible","PASS","FAIL")</x:f>
        <x:v>PASS</x:v>
      </x:c>
      <x:c r="M51" s="6" t="str">
        <x:v>Pending</x:v>
      </x:c>
      <x:c r="N51" s="6" t="str"/>
      <x:c r="O51" s="6" t="str"/>
      <x:c r="P51" s="6" t="str">
        <x:v>Not Eligible</x:v>
      </x:c>
      <x:c r="Q51" s="7" t="str"/>
    </x:row>
    <x:row r="52">
      <x:c r="A52" s="6" t="str">
        <x:v>APPR-0051</x:v>
      </x:c>
      <x:c r="B52" s="6" t="str">
        <x:v>Service Identity Queue</x:v>
      </x:c>
      <x:c r="C52" s="6" t="str">
        <x:v>SIDX-0051</x:v>
      </x:c>
      <x:c r="D52" s="6" t="str">
        <x:v>Service</x:v>
      </x:c>
      <x:c r="E52" s="6" t="str">
        <x:v>SVC000051</x:v>
      </x:c>
      <x:c r="F52" s="6" t="str">
        <x:f>IFERROR(IF(XLOOKUP(C52,'Review Sequence'!C2:C1586,'Review Sequence'!J2:J1586)="Reviewer Complete",XLOOKUP(C52,'Service Identity Queue'!A2:A315,'Service Identity Queue'!L2:L315),""),"")</x:f>
      </x:c>
      <x:c r="G52" s="6" t="str"/>
      <x:c r="H52" s="7" t="str">
        <x:f>IF(F52&lt;&gt;"",XLOOKUP(C52,'Service Identity Queue'!A2:A315,'Service Identity Queue'!N2:N315),"" )</x:f>
      </x:c>
      <x:c r="I52" s="6" t="str">
        <x:f>IF(F52&lt;&gt;"",XLOOKUP(C52,'Service Identity Queue'!A2:A315,'Service Identity Queue'!O2:O315),"" )</x:f>
      </x:c>
      <x:c r="J52" s="6" t="str">
        <x:f>IF(F52&lt;&gt;"",XLOOKUP(C52,'Service Identity Queue'!A2:A315,'Service Identity Queue'!P2:P315),"" )</x:f>
      </x:c>
      <x:c r="K52" s="6" t="str">
        <x:f>IF(F52&lt;&gt;"","Reviewer complete; second-level approval still required","Not eligible yet")</x:f>
        <x:v>Not eligible yet</x:v>
      </x:c>
      <x:c r="L52" s="6" t="str">
        <x:f>IF(P52="Not Eligible","PASS","FAIL")</x:f>
        <x:v>PASS</x:v>
      </x:c>
      <x:c r="M52" s="6" t="str">
        <x:v>Pending</x:v>
      </x:c>
      <x:c r="N52" s="6" t="str"/>
      <x:c r="O52" s="6" t="str"/>
      <x:c r="P52" s="6" t="str">
        <x:v>Not Eligible</x:v>
      </x:c>
      <x:c r="Q52" s="7" t="str"/>
    </x:row>
    <x:row r="53">
      <x:c r="A53" s="6" t="str">
        <x:v>APPR-0052</x:v>
      </x:c>
      <x:c r="B53" s="6" t="str">
        <x:v>Service Identity Queue</x:v>
      </x:c>
      <x:c r="C53" s="6" t="str">
        <x:v>SIDX-0052</x:v>
      </x:c>
      <x:c r="D53" s="6" t="str">
        <x:v>Service</x:v>
      </x:c>
      <x:c r="E53" s="6" t="str">
        <x:v>SVC000052</x:v>
      </x:c>
      <x:c r="F53" s="6" t="str">
        <x:f>IFERROR(IF(XLOOKUP(C53,'Review Sequence'!C2:C1586,'Review Sequence'!J2:J1586)="Reviewer Complete",XLOOKUP(C53,'Service Identity Queue'!A2:A315,'Service Identity Queue'!L2:L315),""),"")</x:f>
      </x:c>
      <x:c r="G53" s="6" t="str"/>
      <x:c r="H53" s="7" t="str">
        <x:f>IF(F53&lt;&gt;"",XLOOKUP(C53,'Service Identity Queue'!A2:A315,'Service Identity Queue'!N2:N315),"" )</x:f>
      </x:c>
      <x:c r="I53" s="6" t="str">
        <x:f>IF(F53&lt;&gt;"",XLOOKUP(C53,'Service Identity Queue'!A2:A315,'Service Identity Queue'!O2:O315),"" )</x:f>
      </x:c>
      <x:c r="J53" s="6" t="str">
        <x:f>IF(F53&lt;&gt;"",XLOOKUP(C53,'Service Identity Queue'!A2:A315,'Service Identity Queue'!P2:P315),"" )</x:f>
      </x:c>
      <x:c r="K53" s="6" t="str">
        <x:f>IF(F53&lt;&gt;"","Reviewer complete; second-level approval still required","Not eligible yet")</x:f>
        <x:v>Not eligible yet</x:v>
      </x:c>
      <x:c r="L53" s="6" t="str">
        <x:f>IF(P53="Not Eligible","PASS","FAIL")</x:f>
        <x:v>PASS</x:v>
      </x:c>
      <x:c r="M53" s="6" t="str">
        <x:v>Pending</x:v>
      </x:c>
      <x:c r="N53" s="6" t="str"/>
      <x:c r="O53" s="6" t="str"/>
      <x:c r="P53" s="6" t="str">
        <x:v>Not Eligible</x:v>
      </x:c>
      <x:c r="Q53" s="7" t="str"/>
    </x:row>
    <x:row r="54">
      <x:c r="A54" s="6" t="str">
        <x:v>APPR-0053</x:v>
      </x:c>
      <x:c r="B54" s="6" t="str">
        <x:v>Service Identity Queue</x:v>
      </x:c>
      <x:c r="C54" s="6" t="str">
        <x:v>SIDX-0053</x:v>
      </x:c>
      <x:c r="D54" s="6" t="str">
        <x:v>Service</x:v>
      </x:c>
      <x:c r="E54" s="6" t="str">
        <x:v>SVC000053</x:v>
      </x:c>
      <x:c r="F54" s="6" t="str">
        <x:f>IFERROR(IF(XLOOKUP(C54,'Review Sequence'!C2:C1586,'Review Sequence'!J2:J1586)="Reviewer Complete",XLOOKUP(C54,'Service Identity Queue'!A2:A315,'Service Identity Queue'!L2:L315),""),"")</x:f>
      </x:c>
      <x:c r="G54" s="6" t="str"/>
      <x:c r="H54" s="7" t="str">
        <x:f>IF(F54&lt;&gt;"",XLOOKUP(C54,'Service Identity Queue'!A2:A315,'Service Identity Queue'!N2:N315),"" )</x:f>
      </x:c>
      <x:c r="I54" s="6" t="str">
        <x:f>IF(F54&lt;&gt;"",XLOOKUP(C54,'Service Identity Queue'!A2:A315,'Service Identity Queue'!O2:O315),"" )</x:f>
      </x:c>
      <x:c r="J54" s="6" t="str">
        <x:f>IF(F54&lt;&gt;"",XLOOKUP(C54,'Service Identity Queue'!A2:A315,'Service Identity Queue'!P2:P315),"" )</x:f>
      </x:c>
      <x:c r="K54" s="6" t="str">
        <x:f>IF(F54&lt;&gt;"","Reviewer complete; second-level approval still required","Not eligible yet")</x:f>
        <x:v>Not eligible yet</x:v>
      </x:c>
      <x:c r="L54" s="6" t="str">
        <x:f>IF(P54="Not Eligible","PASS","FAIL")</x:f>
        <x:v>PASS</x:v>
      </x:c>
      <x:c r="M54" s="6" t="str">
        <x:v>Pending</x:v>
      </x:c>
      <x:c r="N54" s="6" t="str"/>
      <x:c r="O54" s="6" t="str"/>
      <x:c r="P54" s="6" t="str">
        <x:v>Not Eligible</x:v>
      </x:c>
      <x:c r="Q54" s="7" t="str"/>
    </x:row>
    <x:row r="55">
      <x:c r="A55" s="6" t="str">
        <x:v>APPR-0054</x:v>
      </x:c>
      <x:c r="B55" s="6" t="str">
        <x:v>Service Identity Queue</x:v>
      </x:c>
      <x:c r="C55" s="6" t="str">
        <x:v>SIDX-0054</x:v>
      </x:c>
      <x:c r="D55" s="6" t="str">
        <x:v>Service</x:v>
      </x:c>
      <x:c r="E55" s="6" t="str">
        <x:v>SVC000054</x:v>
      </x:c>
      <x:c r="F55" s="6" t="str">
        <x:f>IFERROR(IF(XLOOKUP(C55,'Review Sequence'!C2:C1586,'Review Sequence'!J2:J1586)="Reviewer Complete",XLOOKUP(C55,'Service Identity Queue'!A2:A315,'Service Identity Queue'!L2:L315),""),"")</x:f>
      </x:c>
      <x:c r="G55" s="6" t="str"/>
      <x:c r="H55" s="7" t="str">
        <x:f>IF(F55&lt;&gt;"",XLOOKUP(C55,'Service Identity Queue'!A2:A315,'Service Identity Queue'!N2:N315),"" )</x:f>
      </x:c>
      <x:c r="I55" s="6" t="str">
        <x:f>IF(F55&lt;&gt;"",XLOOKUP(C55,'Service Identity Queue'!A2:A315,'Service Identity Queue'!O2:O315),"" )</x:f>
      </x:c>
      <x:c r="J55" s="6" t="str">
        <x:f>IF(F55&lt;&gt;"",XLOOKUP(C55,'Service Identity Queue'!A2:A315,'Service Identity Queue'!P2:P315),"" )</x:f>
      </x:c>
      <x:c r="K55" s="6" t="str">
        <x:f>IF(F55&lt;&gt;"","Reviewer complete; second-level approval still required","Not eligible yet")</x:f>
        <x:v>Not eligible yet</x:v>
      </x:c>
      <x:c r="L55" s="6" t="str">
        <x:f>IF(P55="Not Eligible","PASS","FAIL")</x:f>
        <x:v>PASS</x:v>
      </x:c>
      <x:c r="M55" s="6" t="str">
        <x:v>Pending</x:v>
      </x:c>
      <x:c r="N55" s="6" t="str"/>
      <x:c r="O55" s="6" t="str"/>
      <x:c r="P55" s="6" t="str">
        <x:v>Not Eligible</x:v>
      </x:c>
      <x:c r="Q55" s="7" t="str"/>
    </x:row>
    <x:row r="56">
      <x:c r="A56" s="6" t="str">
        <x:v>APPR-0055</x:v>
      </x:c>
      <x:c r="B56" s="6" t="str">
        <x:v>Service Identity Queue</x:v>
      </x:c>
      <x:c r="C56" s="6" t="str">
        <x:v>SIDX-0055</x:v>
      </x:c>
      <x:c r="D56" s="6" t="str">
        <x:v>Service</x:v>
      </x:c>
      <x:c r="E56" s="6" t="str">
        <x:v>SVC000055</x:v>
      </x:c>
      <x:c r="F56" s="6" t="str">
        <x:f>IFERROR(IF(XLOOKUP(C56,'Review Sequence'!C2:C1586,'Review Sequence'!J2:J1586)="Reviewer Complete",XLOOKUP(C56,'Service Identity Queue'!A2:A315,'Service Identity Queue'!L2:L315),""),"")</x:f>
      </x:c>
      <x:c r="G56" s="6" t="str"/>
      <x:c r="H56" s="7" t="str">
        <x:f>IF(F56&lt;&gt;"",XLOOKUP(C56,'Service Identity Queue'!A2:A315,'Service Identity Queue'!N2:N315),"" )</x:f>
      </x:c>
      <x:c r="I56" s="6" t="str">
        <x:f>IF(F56&lt;&gt;"",XLOOKUP(C56,'Service Identity Queue'!A2:A315,'Service Identity Queue'!O2:O315),"" )</x:f>
      </x:c>
      <x:c r="J56" s="6" t="str">
        <x:f>IF(F56&lt;&gt;"",XLOOKUP(C56,'Service Identity Queue'!A2:A315,'Service Identity Queue'!P2:P315),"" )</x:f>
      </x:c>
      <x:c r="K56" s="6" t="str">
        <x:f>IF(F56&lt;&gt;"","Reviewer complete; second-level approval still required","Not eligible yet")</x:f>
        <x:v>Not eligible yet</x:v>
      </x:c>
      <x:c r="L56" s="6" t="str">
        <x:f>IF(P56="Not Eligible","PASS","FAIL")</x:f>
        <x:v>PASS</x:v>
      </x:c>
      <x:c r="M56" s="6" t="str">
        <x:v>Pending</x:v>
      </x:c>
      <x:c r="N56" s="6" t="str"/>
      <x:c r="O56" s="6" t="str"/>
      <x:c r="P56" s="6" t="str">
        <x:v>Not Eligible</x:v>
      </x:c>
      <x:c r="Q56" s="7" t="str"/>
    </x:row>
    <x:row r="57">
      <x:c r="A57" s="6" t="str">
        <x:v>APPR-0056</x:v>
      </x:c>
      <x:c r="B57" s="6" t="str">
        <x:v>Service Identity Queue</x:v>
      </x:c>
      <x:c r="C57" s="6" t="str">
        <x:v>SIDX-0056</x:v>
      </x:c>
      <x:c r="D57" s="6" t="str">
        <x:v>Service</x:v>
      </x:c>
      <x:c r="E57" s="6" t="str">
        <x:v>SVC000056</x:v>
      </x:c>
      <x:c r="F57" s="6" t="str">
        <x:f>IFERROR(IF(XLOOKUP(C57,'Review Sequence'!C2:C1586,'Review Sequence'!J2:J1586)="Reviewer Complete",XLOOKUP(C57,'Service Identity Queue'!A2:A315,'Service Identity Queue'!L2:L315),""),"")</x:f>
      </x:c>
      <x:c r="G57" s="6" t="str"/>
      <x:c r="H57" s="7" t="str">
        <x:f>IF(F57&lt;&gt;"",XLOOKUP(C57,'Service Identity Queue'!A2:A315,'Service Identity Queue'!N2:N315),"" )</x:f>
      </x:c>
      <x:c r="I57" s="6" t="str">
        <x:f>IF(F57&lt;&gt;"",XLOOKUP(C57,'Service Identity Queue'!A2:A315,'Service Identity Queue'!O2:O315),"" )</x:f>
      </x:c>
      <x:c r="J57" s="6" t="str">
        <x:f>IF(F57&lt;&gt;"",XLOOKUP(C57,'Service Identity Queue'!A2:A315,'Service Identity Queue'!P2:P315),"" )</x:f>
      </x:c>
      <x:c r="K57" s="6" t="str">
        <x:f>IF(F57&lt;&gt;"","Reviewer complete; second-level approval still required","Not eligible yet")</x:f>
        <x:v>Not eligible yet</x:v>
      </x:c>
      <x:c r="L57" s="6" t="str">
        <x:f>IF(P57="Not Eligible","PASS","FAIL")</x:f>
        <x:v>PASS</x:v>
      </x:c>
      <x:c r="M57" s="6" t="str">
        <x:v>Pending</x:v>
      </x:c>
      <x:c r="N57" s="6" t="str"/>
      <x:c r="O57" s="6" t="str"/>
      <x:c r="P57" s="6" t="str">
        <x:v>Not Eligible</x:v>
      </x:c>
      <x:c r="Q57" s="7" t="str"/>
    </x:row>
    <x:row r="58">
      <x:c r="A58" s="6" t="str">
        <x:v>APPR-0057</x:v>
      </x:c>
      <x:c r="B58" s="6" t="str">
        <x:v>Service Identity Queue</x:v>
      </x:c>
      <x:c r="C58" s="6" t="str">
        <x:v>SIDX-0057</x:v>
      </x:c>
      <x:c r="D58" s="6" t="str">
        <x:v>Service</x:v>
      </x:c>
      <x:c r="E58" s="6" t="str">
        <x:v>SVC000057</x:v>
      </x:c>
      <x:c r="F58" s="6" t="str">
        <x:f>IFERROR(IF(XLOOKUP(C58,'Review Sequence'!C2:C1586,'Review Sequence'!J2:J1586)="Reviewer Complete",XLOOKUP(C58,'Service Identity Queue'!A2:A315,'Service Identity Queue'!L2:L315),""),"")</x:f>
      </x:c>
      <x:c r="G58" s="6" t="str"/>
      <x:c r="H58" s="7" t="str">
        <x:f>IF(F58&lt;&gt;"",XLOOKUP(C58,'Service Identity Queue'!A2:A315,'Service Identity Queue'!N2:N315),"" )</x:f>
      </x:c>
      <x:c r="I58" s="6" t="str">
        <x:f>IF(F58&lt;&gt;"",XLOOKUP(C58,'Service Identity Queue'!A2:A315,'Service Identity Queue'!O2:O315),"" )</x:f>
      </x:c>
      <x:c r="J58" s="6" t="str">
        <x:f>IF(F58&lt;&gt;"",XLOOKUP(C58,'Service Identity Queue'!A2:A315,'Service Identity Queue'!P2:P315),"" )</x:f>
      </x:c>
      <x:c r="K58" s="6" t="str">
        <x:f>IF(F58&lt;&gt;"","Reviewer complete; second-level approval still required","Not eligible yet")</x:f>
        <x:v>Not eligible yet</x:v>
      </x:c>
      <x:c r="L58" s="6" t="str">
        <x:f>IF(P58="Not Eligible","PASS","FAIL")</x:f>
        <x:v>PASS</x:v>
      </x:c>
      <x:c r="M58" s="6" t="str">
        <x:v>Pending</x:v>
      </x:c>
      <x:c r="N58" s="6" t="str"/>
      <x:c r="O58" s="6" t="str"/>
      <x:c r="P58" s="6" t="str">
        <x:v>Not Eligible</x:v>
      </x:c>
      <x:c r="Q58" s="7" t="str"/>
    </x:row>
    <x:row r="59">
      <x:c r="A59" s="6" t="str">
        <x:v>APPR-0058</x:v>
      </x:c>
      <x:c r="B59" s="6" t="str">
        <x:v>Service Identity Queue</x:v>
      </x:c>
      <x:c r="C59" s="6" t="str">
        <x:v>SIDX-0058</x:v>
      </x:c>
      <x:c r="D59" s="6" t="str">
        <x:v>Service</x:v>
      </x:c>
      <x:c r="E59" s="6" t="str">
        <x:v>SVC000058</x:v>
      </x:c>
      <x:c r="F59" s="6" t="str">
        <x:f>IFERROR(IF(XLOOKUP(C59,'Review Sequence'!C2:C1586,'Review Sequence'!J2:J1586)="Reviewer Complete",XLOOKUP(C59,'Service Identity Queue'!A2:A315,'Service Identity Queue'!L2:L315),""),"")</x:f>
      </x:c>
      <x:c r="G59" s="6" t="str"/>
      <x:c r="H59" s="7" t="str">
        <x:f>IF(F59&lt;&gt;"",XLOOKUP(C59,'Service Identity Queue'!A2:A315,'Service Identity Queue'!N2:N315),"" )</x:f>
      </x:c>
      <x:c r="I59" s="6" t="str">
        <x:f>IF(F59&lt;&gt;"",XLOOKUP(C59,'Service Identity Queue'!A2:A315,'Service Identity Queue'!O2:O315),"" )</x:f>
      </x:c>
      <x:c r="J59" s="6" t="str">
        <x:f>IF(F59&lt;&gt;"",XLOOKUP(C59,'Service Identity Queue'!A2:A315,'Service Identity Queue'!P2:P315),"" )</x:f>
      </x:c>
      <x:c r="K59" s="6" t="str">
        <x:f>IF(F59&lt;&gt;"","Reviewer complete; second-level approval still required","Not eligible yet")</x:f>
        <x:v>Not eligible yet</x:v>
      </x:c>
      <x:c r="L59" s="6" t="str">
        <x:f>IF(P59="Not Eligible","PASS","FAIL")</x:f>
        <x:v>PASS</x:v>
      </x:c>
      <x:c r="M59" s="6" t="str">
        <x:v>Pending</x:v>
      </x:c>
      <x:c r="N59" s="6" t="str"/>
      <x:c r="O59" s="6" t="str"/>
      <x:c r="P59" s="6" t="str">
        <x:v>Not Eligible</x:v>
      </x:c>
      <x:c r="Q59" s="7" t="str"/>
    </x:row>
    <x:row r="60">
      <x:c r="A60" s="6" t="str">
        <x:v>APPR-0059</x:v>
      </x:c>
      <x:c r="B60" s="6" t="str">
        <x:v>Service Identity Queue</x:v>
      </x:c>
      <x:c r="C60" s="6" t="str">
        <x:v>SIDX-0059</x:v>
      </x:c>
      <x:c r="D60" s="6" t="str">
        <x:v>Service</x:v>
      </x:c>
      <x:c r="E60" s="6" t="str">
        <x:v>SVC000059</x:v>
      </x:c>
      <x:c r="F60" s="6" t="str">
        <x:f>IFERROR(IF(XLOOKUP(C60,'Review Sequence'!C2:C1586,'Review Sequence'!J2:J1586)="Reviewer Complete",XLOOKUP(C60,'Service Identity Queue'!A2:A315,'Service Identity Queue'!L2:L315),""),"")</x:f>
      </x:c>
      <x:c r="G60" s="6" t="str"/>
      <x:c r="H60" s="7" t="str">
        <x:f>IF(F60&lt;&gt;"",XLOOKUP(C60,'Service Identity Queue'!A2:A315,'Service Identity Queue'!N2:N315),"" )</x:f>
      </x:c>
      <x:c r="I60" s="6" t="str">
        <x:f>IF(F60&lt;&gt;"",XLOOKUP(C60,'Service Identity Queue'!A2:A315,'Service Identity Queue'!O2:O315),"" )</x:f>
      </x:c>
      <x:c r="J60" s="6" t="str">
        <x:f>IF(F60&lt;&gt;"",XLOOKUP(C60,'Service Identity Queue'!A2:A315,'Service Identity Queue'!P2:P315),"" )</x:f>
      </x:c>
      <x:c r="K60" s="6" t="str">
        <x:f>IF(F60&lt;&gt;"","Reviewer complete; second-level approval still required","Not eligible yet")</x:f>
        <x:v>Not eligible yet</x:v>
      </x:c>
      <x:c r="L60" s="6" t="str">
        <x:f>IF(P60="Not Eligible","PASS","FAIL")</x:f>
        <x:v>PASS</x:v>
      </x:c>
      <x:c r="M60" s="6" t="str">
        <x:v>Pending</x:v>
      </x:c>
      <x:c r="N60" s="6" t="str"/>
      <x:c r="O60" s="6" t="str"/>
      <x:c r="P60" s="6" t="str">
        <x:v>Not Eligible</x:v>
      </x:c>
      <x:c r="Q60" s="7" t="str"/>
    </x:row>
    <x:row r="61">
      <x:c r="A61" s="6" t="str">
        <x:v>APPR-0060</x:v>
      </x:c>
      <x:c r="B61" s="6" t="str">
        <x:v>Service Identity Queue</x:v>
      </x:c>
      <x:c r="C61" s="6" t="str">
        <x:v>SIDX-0060</x:v>
      </x:c>
      <x:c r="D61" s="6" t="str">
        <x:v>Service</x:v>
      </x:c>
      <x:c r="E61" s="6" t="str">
        <x:v>SVC000060</x:v>
      </x:c>
      <x:c r="F61" s="6" t="str">
        <x:f>IFERROR(IF(XLOOKUP(C61,'Review Sequence'!C2:C1586,'Review Sequence'!J2:J1586)="Reviewer Complete",XLOOKUP(C61,'Service Identity Queue'!A2:A315,'Service Identity Queue'!L2:L315),""),"")</x:f>
      </x:c>
      <x:c r="G61" s="6" t="str"/>
      <x:c r="H61" s="7" t="str">
        <x:f>IF(F61&lt;&gt;"",XLOOKUP(C61,'Service Identity Queue'!A2:A315,'Service Identity Queue'!N2:N315),"" )</x:f>
      </x:c>
      <x:c r="I61" s="6" t="str">
        <x:f>IF(F61&lt;&gt;"",XLOOKUP(C61,'Service Identity Queue'!A2:A315,'Service Identity Queue'!O2:O315),"" )</x:f>
      </x:c>
      <x:c r="J61" s="6" t="str">
        <x:f>IF(F61&lt;&gt;"",XLOOKUP(C61,'Service Identity Queue'!A2:A315,'Service Identity Queue'!P2:P315),"" )</x:f>
      </x:c>
      <x:c r="K61" s="6" t="str">
        <x:f>IF(F61&lt;&gt;"","Reviewer complete; second-level approval still required","Not eligible yet")</x:f>
        <x:v>Not eligible yet</x:v>
      </x:c>
      <x:c r="L61" s="6" t="str">
        <x:f>IF(P61="Not Eligible","PASS","FAIL")</x:f>
        <x:v>PASS</x:v>
      </x:c>
      <x:c r="M61" s="6" t="str">
        <x:v>Pending</x:v>
      </x:c>
      <x:c r="N61" s="6" t="str"/>
      <x:c r="O61" s="6" t="str"/>
      <x:c r="P61" s="6" t="str">
        <x:v>Not Eligible</x:v>
      </x:c>
      <x:c r="Q61" s="7" t="str"/>
    </x:row>
    <x:row r="62">
      <x:c r="A62" s="6" t="str">
        <x:v>APPR-0061</x:v>
      </x:c>
      <x:c r="B62" s="6" t="str">
        <x:v>Service Identity Queue</x:v>
      </x:c>
      <x:c r="C62" s="6" t="str">
        <x:v>SIDX-0061</x:v>
      </x:c>
      <x:c r="D62" s="6" t="str">
        <x:v>Service</x:v>
      </x:c>
      <x:c r="E62" s="6" t="str">
        <x:v>SVC000061</x:v>
      </x:c>
      <x:c r="F62" s="6" t="str">
        <x:f>IFERROR(IF(XLOOKUP(C62,'Review Sequence'!C2:C1586,'Review Sequence'!J2:J1586)="Reviewer Complete",XLOOKUP(C62,'Service Identity Queue'!A2:A315,'Service Identity Queue'!L2:L315),""),"")</x:f>
      </x:c>
      <x:c r="G62" s="6" t="str"/>
      <x:c r="H62" s="7" t="str">
        <x:f>IF(F62&lt;&gt;"",XLOOKUP(C62,'Service Identity Queue'!A2:A315,'Service Identity Queue'!N2:N315),"" )</x:f>
      </x:c>
      <x:c r="I62" s="6" t="str">
        <x:f>IF(F62&lt;&gt;"",XLOOKUP(C62,'Service Identity Queue'!A2:A315,'Service Identity Queue'!O2:O315),"" )</x:f>
      </x:c>
      <x:c r="J62" s="6" t="str">
        <x:f>IF(F62&lt;&gt;"",XLOOKUP(C62,'Service Identity Queue'!A2:A315,'Service Identity Queue'!P2:P315),"" )</x:f>
      </x:c>
      <x:c r="K62" s="6" t="str">
        <x:f>IF(F62&lt;&gt;"","Reviewer complete; second-level approval still required","Not eligible yet")</x:f>
        <x:v>Not eligible yet</x:v>
      </x:c>
      <x:c r="L62" s="6" t="str">
        <x:f>IF(P62="Not Eligible","PASS","FAIL")</x:f>
        <x:v>PASS</x:v>
      </x:c>
      <x:c r="M62" s="6" t="str">
        <x:v>Pending</x:v>
      </x:c>
      <x:c r="N62" s="6" t="str"/>
      <x:c r="O62" s="6" t="str"/>
      <x:c r="P62" s="6" t="str">
        <x:v>Not Eligible</x:v>
      </x:c>
      <x:c r="Q62" s="7" t="str"/>
    </x:row>
    <x:row r="63">
      <x:c r="A63" s="6" t="str">
        <x:v>APPR-0062</x:v>
      </x:c>
      <x:c r="B63" s="6" t="str">
        <x:v>Service Identity Queue</x:v>
      </x:c>
      <x:c r="C63" s="6" t="str">
        <x:v>SIDX-0062</x:v>
      </x:c>
      <x:c r="D63" s="6" t="str">
        <x:v>Service</x:v>
      </x:c>
      <x:c r="E63" s="6" t="str">
        <x:v>SVC000062</x:v>
      </x:c>
      <x:c r="F63" s="6" t="str">
        <x:f>IFERROR(IF(XLOOKUP(C63,'Review Sequence'!C2:C1586,'Review Sequence'!J2:J1586)="Reviewer Complete",XLOOKUP(C63,'Service Identity Queue'!A2:A315,'Service Identity Queue'!L2:L315),""),"")</x:f>
      </x:c>
      <x:c r="G63" s="6" t="str"/>
      <x:c r="H63" s="7" t="str">
        <x:f>IF(F63&lt;&gt;"",XLOOKUP(C63,'Service Identity Queue'!A2:A315,'Service Identity Queue'!N2:N315),"" )</x:f>
      </x:c>
      <x:c r="I63" s="6" t="str">
        <x:f>IF(F63&lt;&gt;"",XLOOKUP(C63,'Service Identity Queue'!A2:A315,'Service Identity Queue'!O2:O315),"" )</x:f>
      </x:c>
      <x:c r="J63" s="6" t="str">
        <x:f>IF(F63&lt;&gt;"",XLOOKUP(C63,'Service Identity Queue'!A2:A315,'Service Identity Queue'!P2:P315),"" )</x:f>
      </x:c>
      <x:c r="K63" s="6" t="str">
        <x:f>IF(F63&lt;&gt;"","Reviewer complete; second-level approval still required","Not eligible yet")</x:f>
        <x:v>Not eligible yet</x:v>
      </x:c>
      <x:c r="L63" s="6" t="str">
        <x:f>IF(P63="Not Eligible","PASS","FAIL")</x:f>
        <x:v>PASS</x:v>
      </x:c>
      <x:c r="M63" s="6" t="str">
        <x:v>Pending</x:v>
      </x:c>
      <x:c r="N63" s="6" t="str"/>
      <x:c r="O63" s="6" t="str"/>
      <x:c r="P63" s="6" t="str">
        <x:v>Not Eligible</x:v>
      </x:c>
      <x:c r="Q63" s="7" t="str"/>
    </x:row>
    <x:row r="64">
      <x:c r="A64" s="6" t="str">
        <x:v>APPR-0063</x:v>
      </x:c>
      <x:c r="B64" s="6" t="str">
        <x:v>Service Identity Queue</x:v>
      </x:c>
      <x:c r="C64" s="6" t="str">
        <x:v>SIDX-0063</x:v>
      </x:c>
      <x:c r="D64" s="6" t="str">
        <x:v>Service</x:v>
      </x:c>
      <x:c r="E64" s="6" t="str">
        <x:v>SVC000063</x:v>
      </x:c>
      <x:c r="F64" s="6" t="str">
        <x:f>IFERROR(IF(XLOOKUP(C64,'Review Sequence'!C2:C1586,'Review Sequence'!J2:J1586)="Reviewer Complete",XLOOKUP(C64,'Service Identity Queue'!A2:A315,'Service Identity Queue'!L2:L315),""),"")</x:f>
      </x:c>
      <x:c r="G64" s="6" t="str"/>
      <x:c r="H64" s="7" t="str">
        <x:f>IF(F64&lt;&gt;"",XLOOKUP(C64,'Service Identity Queue'!A2:A315,'Service Identity Queue'!N2:N315),"" )</x:f>
      </x:c>
      <x:c r="I64" s="6" t="str">
        <x:f>IF(F64&lt;&gt;"",XLOOKUP(C64,'Service Identity Queue'!A2:A315,'Service Identity Queue'!O2:O315),"" )</x:f>
      </x:c>
      <x:c r="J64" s="6" t="str">
        <x:f>IF(F64&lt;&gt;"",XLOOKUP(C64,'Service Identity Queue'!A2:A315,'Service Identity Queue'!P2:P315),"" )</x:f>
      </x:c>
      <x:c r="K64" s="6" t="str">
        <x:f>IF(F64&lt;&gt;"","Reviewer complete; second-level approval still required","Not eligible yet")</x:f>
        <x:v>Not eligible yet</x:v>
      </x:c>
      <x:c r="L64" s="6" t="str">
        <x:f>IF(P64="Not Eligible","PASS","FAIL")</x:f>
        <x:v>PASS</x:v>
      </x:c>
      <x:c r="M64" s="6" t="str">
        <x:v>Pending</x:v>
      </x:c>
      <x:c r="N64" s="6" t="str"/>
      <x:c r="O64" s="6" t="str"/>
      <x:c r="P64" s="6" t="str">
        <x:v>Not Eligible</x:v>
      </x:c>
      <x:c r="Q64" s="7" t="str"/>
    </x:row>
    <x:row r="65">
      <x:c r="A65" s="6" t="str">
        <x:v>APPR-0064</x:v>
      </x:c>
      <x:c r="B65" s="6" t="str">
        <x:v>Service Identity Queue</x:v>
      </x:c>
      <x:c r="C65" s="6" t="str">
        <x:v>SIDX-0064</x:v>
      </x:c>
      <x:c r="D65" s="6" t="str">
        <x:v>Service</x:v>
      </x:c>
      <x:c r="E65" s="6" t="str">
        <x:v>SVC000064</x:v>
      </x:c>
      <x:c r="F65" s="6" t="str">
        <x:f>IFERROR(IF(XLOOKUP(C65,'Review Sequence'!C2:C1586,'Review Sequence'!J2:J1586)="Reviewer Complete",XLOOKUP(C65,'Service Identity Queue'!A2:A315,'Service Identity Queue'!L2:L315),""),"")</x:f>
      </x:c>
      <x:c r="G65" s="6" t="str"/>
      <x:c r="H65" s="7" t="str">
        <x:f>IF(F65&lt;&gt;"",XLOOKUP(C65,'Service Identity Queue'!A2:A315,'Service Identity Queue'!N2:N315),"" )</x:f>
      </x:c>
      <x:c r="I65" s="6" t="str">
        <x:f>IF(F65&lt;&gt;"",XLOOKUP(C65,'Service Identity Queue'!A2:A315,'Service Identity Queue'!O2:O315),"" )</x:f>
      </x:c>
      <x:c r="J65" s="6" t="str">
        <x:f>IF(F65&lt;&gt;"",XLOOKUP(C65,'Service Identity Queue'!A2:A315,'Service Identity Queue'!P2:P315),"" )</x:f>
      </x:c>
      <x:c r="K65" s="6" t="str">
        <x:f>IF(F65&lt;&gt;"","Reviewer complete; second-level approval still required","Not eligible yet")</x:f>
        <x:v>Not eligible yet</x:v>
      </x:c>
      <x:c r="L65" s="6" t="str">
        <x:f>IF(P65="Not Eligible","PASS","FAIL")</x:f>
        <x:v>PASS</x:v>
      </x:c>
      <x:c r="M65" s="6" t="str">
        <x:v>Pending</x:v>
      </x:c>
      <x:c r="N65" s="6" t="str"/>
      <x:c r="O65" s="6" t="str"/>
      <x:c r="P65" s="6" t="str">
        <x:v>Not Eligible</x:v>
      </x:c>
      <x:c r="Q65" s="7" t="str"/>
    </x:row>
    <x:row r="66">
      <x:c r="A66" s="6" t="str">
        <x:v>APPR-0065</x:v>
      </x:c>
      <x:c r="B66" s="6" t="str">
        <x:v>Service Identity Queue</x:v>
      </x:c>
      <x:c r="C66" s="6" t="str">
        <x:v>SIDX-0065</x:v>
      </x:c>
      <x:c r="D66" s="6" t="str">
        <x:v>Service</x:v>
      </x:c>
      <x:c r="E66" s="6" t="str">
        <x:v>SVC000065</x:v>
      </x:c>
      <x:c r="F66" s="6" t="str">
        <x:f>IFERROR(IF(XLOOKUP(C66,'Review Sequence'!C2:C1586,'Review Sequence'!J2:J1586)="Reviewer Complete",XLOOKUP(C66,'Service Identity Queue'!A2:A315,'Service Identity Queue'!L2:L315),""),"")</x:f>
      </x:c>
      <x:c r="G66" s="6" t="str"/>
      <x:c r="H66" s="7" t="str">
        <x:f>IF(F66&lt;&gt;"",XLOOKUP(C66,'Service Identity Queue'!A2:A315,'Service Identity Queue'!N2:N315),"" )</x:f>
      </x:c>
      <x:c r="I66" s="6" t="str">
        <x:f>IF(F66&lt;&gt;"",XLOOKUP(C66,'Service Identity Queue'!A2:A315,'Service Identity Queue'!O2:O315),"" )</x:f>
      </x:c>
      <x:c r="J66" s="6" t="str">
        <x:f>IF(F66&lt;&gt;"",XLOOKUP(C66,'Service Identity Queue'!A2:A315,'Service Identity Queue'!P2:P315),"" )</x:f>
      </x:c>
      <x:c r="K66" s="6" t="str">
        <x:f>IF(F66&lt;&gt;"","Reviewer complete; second-level approval still required","Not eligible yet")</x:f>
        <x:v>Not eligible yet</x:v>
      </x:c>
      <x:c r="L66" s="6" t="str">
        <x:f>IF(P66="Not Eligible","PASS","FAIL")</x:f>
        <x:v>PASS</x:v>
      </x:c>
      <x:c r="M66" s="6" t="str">
        <x:v>Pending</x:v>
      </x:c>
      <x:c r="N66" s="6" t="str"/>
      <x:c r="O66" s="6" t="str"/>
      <x:c r="P66" s="6" t="str">
        <x:v>Not Eligible</x:v>
      </x:c>
      <x:c r="Q66" s="7" t="str"/>
    </x:row>
    <x:row r="67">
      <x:c r="A67" s="6" t="str">
        <x:v>APPR-0066</x:v>
      </x:c>
      <x:c r="B67" s="6" t="str">
        <x:v>Service Identity Queue</x:v>
      </x:c>
      <x:c r="C67" s="6" t="str">
        <x:v>SIDX-0066</x:v>
      </x:c>
      <x:c r="D67" s="6" t="str">
        <x:v>Service</x:v>
      </x:c>
      <x:c r="E67" s="6" t="str">
        <x:v>SVC000066</x:v>
      </x:c>
      <x:c r="F67" s="6" t="str">
        <x:f>IFERROR(IF(XLOOKUP(C67,'Review Sequence'!C2:C1586,'Review Sequence'!J2:J1586)="Reviewer Complete",XLOOKUP(C67,'Service Identity Queue'!A2:A315,'Service Identity Queue'!L2:L315),""),"")</x:f>
      </x:c>
      <x:c r="G67" s="6" t="str"/>
      <x:c r="H67" s="7" t="str">
        <x:f>IF(F67&lt;&gt;"",XLOOKUP(C67,'Service Identity Queue'!A2:A315,'Service Identity Queue'!N2:N315),"" )</x:f>
      </x:c>
      <x:c r="I67" s="6" t="str">
        <x:f>IF(F67&lt;&gt;"",XLOOKUP(C67,'Service Identity Queue'!A2:A315,'Service Identity Queue'!O2:O315),"" )</x:f>
      </x:c>
      <x:c r="J67" s="6" t="str">
        <x:f>IF(F67&lt;&gt;"",XLOOKUP(C67,'Service Identity Queue'!A2:A315,'Service Identity Queue'!P2:P315),"" )</x:f>
      </x:c>
      <x:c r="K67" s="6" t="str">
        <x:f>IF(F67&lt;&gt;"","Reviewer complete; second-level approval still required","Not eligible yet")</x:f>
        <x:v>Not eligible yet</x:v>
      </x:c>
      <x:c r="L67" s="6" t="str">
        <x:f>IF(P67="Not Eligible","PASS","FAIL")</x:f>
        <x:v>PASS</x:v>
      </x:c>
      <x:c r="M67" s="6" t="str">
        <x:v>Pending</x:v>
      </x:c>
      <x:c r="N67" s="6" t="str"/>
      <x:c r="O67" s="6" t="str"/>
      <x:c r="P67" s="6" t="str">
        <x:v>Not Eligible</x:v>
      </x:c>
      <x:c r="Q67" s="7" t="str"/>
    </x:row>
    <x:row r="68">
      <x:c r="A68" s="6" t="str">
        <x:v>APPR-0067</x:v>
      </x:c>
      <x:c r="B68" s="6" t="str">
        <x:v>Service Identity Queue</x:v>
      </x:c>
      <x:c r="C68" s="6" t="str">
        <x:v>SIDX-0067</x:v>
      </x:c>
      <x:c r="D68" s="6" t="str">
        <x:v>Service</x:v>
      </x:c>
      <x:c r="E68" s="6" t="str">
        <x:v>SVC000067</x:v>
      </x:c>
      <x:c r="F68" s="6" t="str">
        <x:f>IFERROR(IF(XLOOKUP(C68,'Review Sequence'!C2:C1586,'Review Sequence'!J2:J1586)="Reviewer Complete",XLOOKUP(C68,'Service Identity Queue'!A2:A315,'Service Identity Queue'!L2:L315),""),"")</x:f>
      </x:c>
      <x:c r="G68" s="6" t="str"/>
      <x:c r="H68" s="7" t="str">
        <x:f>IF(F68&lt;&gt;"",XLOOKUP(C68,'Service Identity Queue'!A2:A315,'Service Identity Queue'!N2:N315),"" )</x:f>
      </x:c>
      <x:c r="I68" s="6" t="str">
        <x:f>IF(F68&lt;&gt;"",XLOOKUP(C68,'Service Identity Queue'!A2:A315,'Service Identity Queue'!O2:O315),"" )</x:f>
      </x:c>
      <x:c r="J68" s="6" t="str">
        <x:f>IF(F68&lt;&gt;"",XLOOKUP(C68,'Service Identity Queue'!A2:A315,'Service Identity Queue'!P2:P315),"" )</x:f>
      </x:c>
      <x:c r="K68" s="6" t="str">
        <x:f>IF(F68&lt;&gt;"","Reviewer complete; second-level approval still required","Not eligible yet")</x:f>
        <x:v>Not eligible yet</x:v>
      </x:c>
      <x:c r="L68" s="6" t="str">
        <x:f>IF(P68="Not Eligible","PASS","FAIL")</x:f>
        <x:v>PASS</x:v>
      </x:c>
      <x:c r="M68" s="6" t="str">
        <x:v>Pending</x:v>
      </x:c>
      <x:c r="N68" s="6" t="str"/>
      <x:c r="O68" s="6" t="str"/>
      <x:c r="P68" s="6" t="str">
        <x:v>Not Eligible</x:v>
      </x:c>
      <x:c r="Q68" s="7" t="str"/>
    </x:row>
    <x:row r="69">
      <x:c r="A69" s="6" t="str">
        <x:v>APPR-0068</x:v>
      </x:c>
      <x:c r="B69" s="6" t="str">
        <x:v>Service Identity Queue</x:v>
      </x:c>
      <x:c r="C69" s="6" t="str">
        <x:v>SIDX-0068</x:v>
      </x:c>
      <x:c r="D69" s="6" t="str">
        <x:v>Service</x:v>
      </x:c>
      <x:c r="E69" s="6" t="str">
        <x:v>SVC000068</x:v>
      </x:c>
      <x:c r="F69" s="6" t="str">
        <x:f>IFERROR(IF(XLOOKUP(C69,'Review Sequence'!C2:C1586,'Review Sequence'!J2:J1586)="Reviewer Complete",XLOOKUP(C69,'Service Identity Queue'!A2:A315,'Service Identity Queue'!L2:L315),""),"")</x:f>
      </x:c>
      <x:c r="G69" s="6" t="str"/>
      <x:c r="H69" s="7" t="str">
        <x:f>IF(F69&lt;&gt;"",XLOOKUP(C69,'Service Identity Queue'!A2:A315,'Service Identity Queue'!N2:N315),"" )</x:f>
      </x:c>
      <x:c r="I69" s="6" t="str">
        <x:f>IF(F69&lt;&gt;"",XLOOKUP(C69,'Service Identity Queue'!A2:A315,'Service Identity Queue'!O2:O315),"" )</x:f>
      </x:c>
      <x:c r="J69" s="6" t="str">
        <x:f>IF(F69&lt;&gt;"",XLOOKUP(C69,'Service Identity Queue'!A2:A315,'Service Identity Queue'!P2:P315),"" )</x:f>
      </x:c>
      <x:c r="K69" s="6" t="str">
        <x:f>IF(F69&lt;&gt;"","Reviewer complete; second-level approval still required","Not eligible yet")</x:f>
        <x:v>Not eligible yet</x:v>
      </x:c>
      <x:c r="L69" s="6" t="str">
        <x:f>IF(P69="Not Eligible","PASS","FAIL")</x:f>
        <x:v>PASS</x:v>
      </x:c>
      <x:c r="M69" s="6" t="str">
        <x:v>Pending</x:v>
      </x:c>
      <x:c r="N69" s="6" t="str"/>
      <x:c r="O69" s="6" t="str"/>
      <x:c r="P69" s="6" t="str">
        <x:v>Not Eligible</x:v>
      </x:c>
      <x:c r="Q69" s="7" t="str"/>
    </x:row>
    <x:row r="70">
      <x:c r="A70" s="6" t="str">
        <x:v>APPR-0069</x:v>
      </x:c>
      <x:c r="B70" s="6" t="str">
        <x:v>Service Identity Queue</x:v>
      </x:c>
      <x:c r="C70" s="6" t="str">
        <x:v>SIDX-0069</x:v>
      </x:c>
      <x:c r="D70" s="6" t="str">
        <x:v>Service</x:v>
      </x:c>
      <x:c r="E70" s="6" t="str">
        <x:v>SVC000069</x:v>
      </x:c>
      <x:c r="F70" s="6" t="str">
        <x:f>IFERROR(IF(XLOOKUP(C70,'Review Sequence'!C2:C1586,'Review Sequence'!J2:J1586)="Reviewer Complete",XLOOKUP(C70,'Service Identity Queue'!A2:A315,'Service Identity Queue'!L2:L315),""),"")</x:f>
      </x:c>
      <x:c r="G70" s="6" t="str"/>
      <x:c r="H70" s="7" t="str">
        <x:f>IF(F70&lt;&gt;"",XLOOKUP(C70,'Service Identity Queue'!A2:A315,'Service Identity Queue'!N2:N315),"" )</x:f>
      </x:c>
      <x:c r="I70" s="6" t="str">
        <x:f>IF(F70&lt;&gt;"",XLOOKUP(C70,'Service Identity Queue'!A2:A315,'Service Identity Queue'!O2:O315),"" )</x:f>
      </x:c>
      <x:c r="J70" s="6" t="str">
        <x:f>IF(F70&lt;&gt;"",XLOOKUP(C70,'Service Identity Queue'!A2:A315,'Service Identity Queue'!P2:P315),"" )</x:f>
      </x:c>
      <x:c r="K70" s="6" t="str">
        <x:f>IF(F70&lt;&gt;"","Reviewer complete; second-level approval still required","Not eligible yet")</x:f>
        <x:v>Not eligible yet</x:v>
      </x:c>
      <x:c r="L70" s="6" t="str">
        <x:f>IF(P70="Not Eligible","PASS","FAIL")</x:f>
        <x:v>PASS</x:v>
      </x:c>
      <x:c r="M70" s="6" t="str">
        <x:v>Pending</x:v>
      </x:c>
      <x:c r="N70" s="6" t="str"/>
      <x:c r="O70" s="6" t="str"/>
      <x:c r="P70" s="6" t="str">
        <x:v>Not Eligible</x:v>
      </x:c>
      <x:c r="Q70" s="7" t="str"/>
    </x:row>
    <x:row r="71">
      <x:c r="A71" s="6" t="str">
        <x:v>APPR-0070</x:v>
      </x:c>
      <x:c r="B71" s="6" t="str">
        <x:v>Service Identity Queue</x:v>
      </x:c>
      <x:c r="C71" s="6" t="str">
        <x:v>SIDX-0070</x:v>
      </x:c>
      <x:c r="D71" s="6" t="str">
        <x:v>Service</x:v>
      </x:c>
      <x:c r="E71" s="6" t="str">
        <x:v>SVC000070</x:v>
      </x:c>
      <x:c r="F71" s="6" t="str">
        <x:f>IFERROR(IF(XLOOKUP(C71,'Review Sequence'!C2:C1586,'Review Sequence'!J2:J1586)="Reviewer Complete",XLOOKUP(C71,'Service Identity Queue'!A2:A315,'Service Identity Queue'!L2:L315),""),"")</x:f>
      </x:c>
      <x:c r="G71" s="6" t="str"/>
      <x:c r="H71" s="7" t="str">
        <x:f>IF(F71&lt;&gt;"",XLOOKUP(C71,'Service Identity Queue'!A2:A315,'Service Identity Queue'!N2:N315),"" )</x:f>
      </x:c>
      <x:c r="I71" s="6" t="str">
        <x:f>IF(F71&lt;&gt;"",XLOOKUP(C71,'Service Identity Queue'!A2:A315,'Service Identity Queue'!O2:O315),"" )</x:f>
      </x:c>
      <x:c r="J71" s="6" t="str">
        <x:f>IF(F71&lt;&gt;"",XLOOKUP(C71,'Service Identity Queue'!A2:A315,'Service Identity Queue'!P2:P315),"" )</x:f>
      </x:c>
      <x:c r="K71" s="6" t="str">
        <x:f>IF(F71&lt;&gt;"","Reviewer complete; second-level approval still required","Not eligible yet")</x:f>
        <x:v>Not eligible yet</x:v>
      </x:c>
      <x:c r="L71" s="6" t="str">
        <x:f>IF(P71="Not Eligible","PASS","FAIL")</x:f>
        <x:v>PASS</x:v>
      </x:c>
      <x:c r="M71" s="6" t="str">
        <x:v>Pending</x:v>
      </x:c>
      <x:c r="N71" s="6" t="str"/>
      <x:c r="O71" s="6" t="str"/>
      <x:c r="P71" s="6" t="str">
        <x:v>Not Eligible</x:v>
      </x:c>
      <x:c r="Q71" s="7" t="str"/>
    </x:row>
    <x:row r="72">
      <x:c r="A72" s="6" t="str">
        <x:v>APPR-0071</x:v>
      </x:c>
      <x:c r="B72" s="6" t="str">
        <x:v>Service Identity Queue</x:v>
      </x:c>
      <x:c r="C72" s="6" t="str">
        <x:v>SIDX-0071</x:v>
      </x:c>
      <x:c r="D72" s="6" t="str">
        <x:v>Service</x:v>
      </x:c>
      <x:c r="E72" s="6" t="str">
        <x:v>SVC000071</x:v>
      </x:c>
      <x:c r="F72" s="6" t="str">
        <x:f>IFERROR(IF(XLOOKUP(C72,'Review Sequence'!C2:C1586,'Review Sequence'!J2:J1586)="Reviewer Complete",XLOOKUP(C72,'Service Identity Queue'!A2:A315,'Service Identity Queue'!L2:L315),""),"")</x:f>
      </x:c>
      <x:c r="G72" s="6" t="str"/>
      <x:c r="H72" s="7" t="str">
        <x:f>IF(F72&lt;&gt;"",XLOOKUP(C72,'Service Identity Queue'!A2:A315,'Service Identity Queue'!N2:N315),"" )</x:f>
      </x:c>
      <x:c r="I72" s="6" t="str">
        <x:f>IF(F72&lt;&gt;"",XLOOKUP(C72,'Service Identity Queue'!A2:A315,'Service Identity Queue'!O2:O315),"" )</x:f>
      </x:c>
      <x:c r="J72" s="6" t="str">
        <x:f>IF(F72&lt;&gt;"",XLOOKUP(C72,'Service Identity Queue'!A2:A315,'Service Identity Queue'!P2:P315),"" )</x:f>
      </x:c>
      <x:c r="K72" s="6" t="str">
        <x:f>IF(F72&lt;&gt;"","Reviewer complete; second-level approval still required","Not eligible yet")</x:f>
        <x:v>Not eligible yet</x:v>
      </x:c>
      <x:c r="L72" s="6" t="str">
        <x:f>IF(P72="Not Eligible","PASS","FAIL")</x:f>
        <x:v>PASS</x:v>
      </x:c>
      <x:c r="M72" s="6" t="str">
        <x:v>Pending</x:v>
      </x:c>
      <x:c r="N72" s="6" t="str"/>
      <x:c r="O72" s="6" t="str"/>
      <x:c r="P72" s="6" t="str">
        <x:v>Not Eligible</x:v>
      </x:c>
      <x:c r="Q72" s="7" t="str"/>
    </x:row>
    <x:row r="73">
      <x:c r="A73" s="6" t="str">
        <x:v>APPR-0072</x:v>
      </x:c>
      <x:c r="B73" s="6" t="str">
        <x:v>Service Identity Queue</x:v>
      </x:c>
      <x:c r="C73" s="6" t="str">
        <x:v>SIDX-0072</x:v>
      </x:c>
      <x:c r="D73" s="6" t="str">
        <x:v>Service</x:v>
      </x:c>
      <x:c r="E73" s="6" t="str">
        <x:v>SVC000072</x:v>
      </x:c>
      <x:c r="F73" s="6" t="str">
        <x:f>IFERROR(IF(XLOOKUP(C73,'Review Sequence'!C2:C1586,'Review Sequence'!J2:J1586)="Reviewer Complete",XLOOKUP(C73,'Service Identity Queue'!A2:A315,'Service Identity Queue'!L2:L315),""),"")</x:f>
      </x:c>
      <x:c r="G73" s="6" t="str"/>
      <x:c r="H73" s="7" t="str">
        <x:f>IF(F73&lt;&gt;"",XLOOKUP(C73,'Service Identity Queue'!A2:A315,'Service Identity Queue'!N2:N315),"" )</x:f>
      </x:c>
      <x:c r="I73" s="6" t="str">
        <x:f>IF(F73&lt;&gt;"",XLOOKUP(C73,'Service Identity Queue'!A2:A315,'Service Identity Queue'!O2:O315),"" )</x:f>
      </x:c>
      <x:c r="J73" s="6" t="str">
        <x:f>IF(F73&lt;&gt;"",XLOOKUP(C73,'Service Identity Queue'!A2:A315,'Service Identity Queue'!P2:P315),"" )</x:f>
      </x:c>
      <x:c r="K73" s="6" t="str">
        <x:f>IF(F73&lt;&gt;"","Reviewer complete; second-level approval still required","Not eligible yet")</x:f>
        <x:v>Not eligible yet</x:v>
      </x:c>
      <x:c r="L73" s="6" t="str">
        <x:f>IF(P73="Not Eligible","PASS","FAIL")</x:f>
        <x:v>PASS</x:v>
      </x:c>
      <x:c r="M73" s="6" t="str">
        <x:v>Pending</x:v>
      </x:c>
      <x:c r="N73" s="6" t="str"/>
      <x:c r="O73" s="6" t="str"/>
      <x:c r="P73" s="6" t="str">
        <x:v>Not Eligible</x:v>
      </x:c>
      <x:c r="Q73" s="7" t="str"/>
    </x:row>
    <x:row r="74">
      <x:c r="A74" s="6" t="str">
        <x:v>APPR-0073</x:v>
      </x:c>
      <x:c r="B74" s="6" t="str">
        <x:v>Service Identity Queue</x:v>
      </x:c>
      <x:c r="C74" s="6" t="str">
        <x:v>SIDX-0073</x:v>
      </x:c>
      <x:c r="D74" s="6" t="str">
        <x:v>Service</x:v>
      </x:c>
      <x:c r="E74" s="6" t="str">
        <x:v>SVC000073</x:v>
      </x:c>
      <x:c r="F74" s="6" t="str">
        <x:f>IFERROR(IF(XLOOKUP(C74,'Review Sequence'!C2:C1586,'Review Sequence'!J2:J1586)="Reviewer Complete",XLOOKUP(C74,'Service Identity Queue'!A2:A315,'Service Identity Queue'!L2:L315),""),"")</x:f>
      </x:c>
      <x:c r="G74" s="6" t="str"/>
      <x:c r="H74" s="7" t="str">
        <x:f>IF(F74&lt;&gt;"",XLOOKUP(C74,'Service Identity Queue'!A2:A315,'Service Identity Queue'!N2:N315),"" )</x:f>
      </x:c>
      <x:c r="I74" s="6" t="str">
        <x:f>IF(F74&lt;&gt;"",XLOOKUP(C74,'Service Identity Queue'!A2:A315,'Service Identity Queue'!O2:O315),"" )</x:f>
      </x:c>
      <x:c r="J74" s="6" t="str">
        <x:f>IF(F74&lt;&gt;"",XLOOKUP(C74,'Service Identity Queue'!A2:A315,'Service Identity Queue'!P2:P315),"" )</x:f>
      </x:c>
      <x:c r="K74" s="6" t="str">
        <x:f>IF(F74&lt;&gt;"","Reviewer complete; second-level approval still required","Not eligible yet")</x:f>
        <x:v>Not eligible yet</x:v>
      </x:c>
      <x:c r="L74" s="6" t="str">
        <x:f>IF(P74="Not Eligible","PASS","FAIL")</x:f>
        <x:v>PASS</x:v>
      </x:c>
      <x:c r="M74" s="6" t="str">
        <x:v>Pending</x:v>
      </x:c>
      <x:c r="N74" s="6" t="str"/>
      <x:c r="O74" s="6" t="str"/>
      <x:c r="P74" s="6" t="str">
        <x:v>Not Eligible</x:v>
      </x:c>
      <x:c r="Q74" s="7" t="str"/>
    </x:row>
    <x:row r="75">
      <x:c r="A75" s="6" t="str">
        <x:v>APPR-0074</x:v>
      </x:c>
      <x:c r="B75" s="6" t="str">
        <x:v>Service Identity Queue</x:v>
      </x:c>
      <x:c r="C75" s="6" t="str">
        <x:v>SIDX-0074</x:v>
      </x:c>
      <x:c r="D75" s="6" t="str">
        <x:v>Service</x:v>
      </x:c>
      <x:c r="E75" s="6" t="str">
        <x:v>SVC000074</x:v>
      </x:c>
      <x:c r="F75" s="6" t="str">
        <x:f>IFERROR(IF(XLOOKUP(C75,'Review Sequence'!C2:C1586,'Review Sequence'!J2:J1586)="Reviewer Complete",XLOOKUP(C75,'Service Identity Queue'!A2:A315,'Service Identity Queue'!L2:L315),""),"")</x:f>
      </x:c>
      <x:c r="G75" s="6" t="str"/>
      <x:c r="H75" s="7" t="str">
        <x:f>IF(F75&lt;&gt;"",XLOOKUP(C75,'Service Identity Queue'!A2:A315,'Service Identity Queue'!N2:N315),"" )</x:f>
      </x:c>
      <x:c r="I75" s="6" t="str">
        <x:f>IF(F75&lt;&gt;"",XLOOKUP(C75,'Service Identity Queue'!A2:A315,'Service Identity Queue'!O2:O315),"" )</x:f>
      </x:c>
      <x:c r="J75" s="6" t="str">
        <x:f>IF(F75&lt;&gt;"",XLOOKUP(C75,'Service Identity Queue'!A2:A315,'Service Identity Queue'!P2:P315),"" )</x:f>
      </x:c>
      <x:c r="K75" s="6" t="str">
        <x:f>IF(F75&lt;&gt;"","Reviewer complete; second-level approval still required","Not eligible yet")</x:f>
        <x:v>Not eligible yet</x:v>
      </x:c>
      <x:c r="L75" s="6" t="str">
        <x:f>IF(P75="Not Eligible","PASS","FAIL")</x:f>
        <x:v>PASS</x:v>
      </x:c>
      <x:c r="M75" s="6" t="str">
        <x:v>Pending</x:v>
      </x:c>
      <x:c r="N75" s="6" t="str"/>
      <x:c r="O75" s="6" t="str"/>
      <x:c r="P75" s="6" t="str">
        <x:v>Not Eligible</x:v>
      </x:c>
      <x:c r="Q75" s="7" t="str"/>
    </x:row>
    <x:row r="76">
      <x:c r="A76" s="6" t="str">
        <x:v>APPR-0075</x:v>
      </x:c>
      <x:c r="B76" s="6" t="str">
        <x:v>Service Identity Queue</x:v>
      </x:c>
      <x:c r="C76" s="6" t="str">
        <x:v>SIDX-0075</x:v>
      </x:c>
      <x:c r="D76" s="6" t="str">
        <x:v>Service</x:v>
      </x:c>
      <x:c r="E76" s="6" t="str">
        <x:v>SVC000075</x:v>
      </x:c>
      <x:c r="F76" s="6" t="str">
        <x:f>IFERROR(IF(XLOOKUP(C76,'Review Sequence'!C2:C1586,'Review Sequence'!J2:J1586)="Reviewer Complete",XLOOKUP(C76,'Service Identity Queue'!A2:A315,'Service Identity Queue'!L2:L315),""),"")</x:f>
      </x:c>
      <x:c r="G76" s="6" t="str"/>
      <x:c r="H76" s="7" t="str">
        <x:f>IF(F76&lt;&gt;"",XLOOKUP(C76,'Service Identity Queue'!A2:A315,'Service Identity Queue'!N2:N315),"" )</x:f>
      </x:c>
      <x:c r="I76" s="6" t="str">
        <x:f>IF(F76&lt;&gt;"",XLOOKUP(C76,'Service Identity Queue'!A2:A315,'Service Identity Queue'!O2:O315),"" )</x:f>
      </x:c>
      <x:c r="J76" s="6" t="str">
        <x:f>IF(F76&lt;&gt;"",XLOOKUP(C76,'Service Identity Queue'!A2:A315,'Service Identity Queue'!P2:P315),"" )</x:f>
      </x:c>
      <x:c r="K76" s="6" t="str">
        <x:f>IF(F76&lt;&gt;"","Reviewer complete; second-level approval still required","Not eligible yet")</x:f>
        <x:v>Not eligible yet</x:v>
      </x:c>
      <x:c r="L76" s="6" t="str">
        <x:f>IF(P76="Not Eligible","PASS","FAIL")</x:f>
        <x:v>PASS</x:v>
      </x:c>
      <x:c r="M76" s="6" t="str">
        <x:v>Pending</x:v>
      </x:c>
      <x:c r="N76" s="6" t="str"/>
      <x:c r="O76" s="6" t="str"/>
      <x:c r="P76" s="6" t="str">
        <x:v>Not Eligible</x:v>
      </x:c>
      <x:c r="Q76" s="7" t="str"/>
    </x:row>
    <x:row r="77">
      <x:c r="A77" s="6" t="str">
        <x:v>APPR-0076</x:v>
      </x:c>
      <x:c r="B77" s="6" t="str">
        <x:v>Service Identity Queue</x:v>
      </x:c>
      <x:c r="C77" s="6" t="str">
        <x:v>SIDX-0076</x:v>
      </x:c>
      <x:c r="D77" s="6" t="str">
        <x:v>Service</x:v>
      </x:c>
      <x:c r="E77" s="6" t="str">
        <x:v>SVC000076</x:v>
      </x:c>
      <x:c r="F77" s="6" t="str">
        <x:f>IFERROR(IF(XLOOKUP(C77,'Review Sequence'!C2:C1586,'Review Sequence'!J2:J1586)="Reviewer Complete",XLOOKUP(C77,'Service Identity Queue'!A2:A315,'Service Identity Queue'!L2:L315),""),"")</x:f>
      </x:c>
      <x:c r="G77" s="6" t="str"/>
      <x:c r="H77" s="7" t="str">
        <x:f>IF(F77&lt;&gt;"",XLOOKUP(C77,'Service Identity Queue'!A2:A315,'Service Identity Queue'!N2:N315),"" )</x:f>
      </x:c>
      <x:c r="I77" s="6" t="str">
        <x:f>IF(F77&lt;&gt;"",XLOOKUP(C77,'Service Identity Queue'!A2:A315,'Service Identity Queue'!O2:O315),"" )</x:f>
      </x:c>
      <x:c r="J77" s="6" t="str">
        <x:f>IF(F77&lt;&gt;"",XLOOKUP(C77,'Service Identity Queue'!A2:A315,'Service Identity Queue'!P2:P315),"" )</x:f>
      </x:c>
      <x:c r="K77" s="6" t="str">
        <x:f>IF(F77&lt;&gt;"","Reviewer complete; second-level approval still required","Not eligible yet")</x:f>
        <x:v>Not eligible yet</x:v>
      </x:c>
      <x:c r="L77" s="6" t="str">
        <x:f>IF(P77="Not Eligible","PASS","FAIL")</x:f>
        <x:v>PASS</x:v>
      </x:c>
      <x:c r="M77" s="6" t="str">
        <x:v>Pending</x:v>
      </x:c>
      <x:c r="N77" s="6" t="str"/>
      <x:c r="O77" s="6" t="str"/>
      <x:c r="P77" s="6" t="str">
        <x:v>Not Eligible</x:v>
      </x:c>
      <x:c r="Q77" s="7" t="str"/>
    </x:row>
    <x:row r="78">
      <x:c r="A78" s="6" t="str">
        <x:v>APPR-0077</x:v>
      </x:c>
      <x:c r="B78" s="6" t="str">
        <x:v>Service Identity Queue</x:v>
      </x:c>
      <x:c r="C78" s="6" t="str">
        <x:v>SIDX-0077</x:v>
      </x:c>
      <x:c r="D78" s="6" t="str">
        <x:v>Service</x:v>
      </x:c>
      <x:c r="E78" s="6" t="str">
        <x:v>SVC000077</x:v>
      </x:c>
      <x:c r="F78" s="6" t="str">
        <x:f>IFERROR(IF(XLOOKUP(C78,'Review Sequence'!C2:C1586,'Review Sequence'!J2:J1586)="Reviewer Complete",XLOOKUP(C78,'Service Identity Queue'!A2:A315,'Service Identity Queue'!L2:L315),""),"")</x:f>
      </x:c>
      <x:c r="G78" s="6" t="str"/>
      <x:c r="H78" s="7" t="str">
        <x:f>IF(F78&lt;&gt;"",XLOOKUP(C78,'Service Identity Queue'!A2:A315,'Service Identity Queue'!N2:N315),"" )</x:f>
      </x:c>
      <x:c r="I78" s="6" t="str">
        <x:f>IF(F78&lt;&gt;"",XLOOKUP(C78,'Service Identity Queue'!A2:A315,'Service Identity Queue'!O2:O315),"" )</x:f>
      </x:c>
      <x:c r="J78" s="6" t="str">
        <x:f>IF(F78&lt;&gt;"",XLOOKUP(C78,'Service Identity Queue'!A2:A315,'Service Identity Queue'!P2:P315),"" )</x:f>
      </x:c>
      <x:c r="K78" s="6" t="str">
        <x:f>IF(F78&lt;&gt;"","Reviewer complete; second-level approval still required","Not eligible yet")</x:f>
        <x:v>Not eligible yet</x:v>
      </x:c>
      <x:c r="L78" s="6" t="str">
        <x:f>IF(P78="Not Eligible","PASS","FAIL")</x:f>
        <x:v>PASS</x:v>
      </x:c>
      <x:c r="M78" s="6" t="str">
        <x:v>Pending</x:v>
      </x:c>
      <x:c r="N78" s="6" t="str"/>
      <x:c r="O78" s="6" t="str"/>
      <x:c r="P78" s="6" t="str">
        <x:v>Not Eligible</x:v>
      </x:c>
      <x:c r="Q78" s="7" t="str"/>
    </x:row>
    <x:row r="79">
      <x:c r="A79" s="6" t="str">
        <x:v>APPR-0078</x:v>
      </x:c>
      <x:c r="B79" s="6" t="str">
        <x:v>Service Identity Queue</x:v>
      </x:c>
      <x:c r="C79" s="6" t="str">
        <x:v>SIDX-0078</x:v>
      </x:c>
      <x:c r="D79" s="6" t="str">
        <x:v>Service</x:v>
      </x:c>
      <x:c r="E79" s="6" t="str">
        <x:v>SVC000078</x:v>
      </x:c>
      <x:c r="F79" s="6" t="str">
        <x:f>IFERROR(IF(XLOOKUP(C79,'Review Sequence'!C2:C1586,'Review Sequence'!J2:J1586)="Reviewer Complete",XLOOKUP(C79,'Service Identity Queue'!A2:A315,'Service Identity Queue'!L2:L315),""),"")</x:f>
      </x:c>
      <x:c r="G79" s="6" t="str"/>
      <x:c r="H79" s="7" t="str">
        <x:f>IF(F79&lt;&gt;"",XLOOKUP(C79,'Service Identity Queue'!A2:A315,'Service Identity Queue'!N2:N315),"" )</x:f>
      </x:c>
      <x:c r="I79" s="6" t="str">
        <x:f>IF(F79&lt;&gt;"",XLOOKUP(C79,'Service Identity Queue'!A2:A315,'Service Identity Queue'!O2:O315),"" )</x:f>
      </x:c>
      <x:c r="J79" s="6" t="str">
        <x:f>IF(F79&lt;&gt;"",XLOOKUP(C79,'Service Identity Queue'!A2:A315,'Service Identity Queue'!P2:P315),"" )</x:f>
      </x:c>
      <x:c r="K79" s="6" t="str">
        <x:f>IF(F79&lt;&gt;"","Reviewer complete; second-level approval still required","Not eligible yet")</x:f>
        <x:v>Not eligible yet</x:v>
      </x:c>
      <x:c r="L79" s="6" t="str">
        <x:f>IF(P79="Not Eligible","PASS","FAIL")</x:f>
        <x:v>PASS</x:v>
      </x:c>
      <x:c r="M79" s="6" t="str">
        <x:v>Pending</x:v>
      </x:c>
      <x:c r="N79" s="6" t="str"/>
      <x:c r="O79" s="6" t="str"/>
      <x:c r="P79" s="6" t="str">
        <x:v>Not Eligible</x:v>
      </x:c>
      <x:c r="Q79" s="7" t="str"/>
    </x:row>
    <x:row r="80">
      <x:c r="A80" s="6" t="str">
        <x:v>APPR-0079</x:v>
      </x:c>
      <x:c r="B80" s="6" t="str">
        <x:v>Service Identity Queue</x:v>
      </x:c>
      <x:c r="C80" s="6" t="str">
        <x:v>SIDX-0079</x:v>
      </x:c>
      <x:c r="D80" s="6" t="str">
        <x:v>Service</x:v>
      </x:c>
      <x:c r="E80" s="6" t="str">
        <x:v>SVC000079</x:v>
      </x:c>
      <x:c r="F80" s="6" t="str">
        <x:f>IFERROR(IF(XLOOKUP(C80,'Review Sequence'!C2:C1586,'Review Sequence'!J2:J1586)="Reviewer Complete",XLOOKUP(C80,'Service Identity Queue'!A2:A315,'Service Identity Queue'!L2:L315),""),"")</x:f>
      </x:c>
      <x:c r="G80" s="6" t="str"/>
      <x:c r="H80" s="7" t="str">
        <x:f>IF(F80&lt;&gt;"",XLOOKUP(C80,'Service Identity Queue'!A2:A315,'Service Identity Queue'!N2:N315),"" )</x:f>
      </x:c>
      <x:c r="I80" s="6" t="str">
        <x:f>IF(F80&lt;&gt;"",XLOOKUP(C80,'Service Identity Queue'!A2:A315,'Service Identity Queue'!O2:O315),"" )</x:f>
      </x:c>
      <x:c r="J80" s="6" t="str">
        <x:f>IF(F80&lt;&gt;"",XLOOKUP(C80,'Service Identity Queue'!A2:A315,'Service Identity Queue'!P2:P315),"" )</x:f>
      </x:c>
      <x:c r="K80" s="6" t="str">
        <x:f>IF(F80&lt;&gt;"","Reviewer complete; second-level approval still required","Not eligible yet")</x:f>
        <x:v>Not eligible yet</x:v>
      </x:c>
      <x:c r="L80" s="6" t="str">
        <x:f>IF(P80="Not Eligible","PASS","FAIL")</x:f>
        <x:v>PASS</x:v>
      </x:c>
      <x:c r="M80" s="6" t="str">
        <x:v>Pending</x:v>
      </x:c>
      <x:c r="N80" s="6" t="str"/>
      <x:c r="O80" s="6" t="str"/>
      <x:c r="P80" s="6" t="str">
        <x:v>Not Eligible</x:v>
      </x:c>
      <x:c r="Q80" s="7" t="str"/>
    </x:row>
    <x:row r="81">
      <x:c r="A81" s="6" t="str">
        <x:v>APPR-0080</x:v>
      </x:c>
      <x:c r="B81" s="6" t="str">
        <x:v>Service Identity Queue</x:v>
      </x:c>
      <x:c r="C81" s="6" t="str">
        <x:v>SIDX-0080</x:v>
      </x:c>
      <x:c r="D81" s="6" t="str">
        <x:v>Service</x:v>
      </x:c>
      <x:c r="E81" s="6" t="str">
        <x:v>SVC000080</x:v>
      </x:c>
      <x:c r="F81" s="6" t="str">
        <x:f>IFERROR(IF(XLOOKUP(C81,'Review Sequence'!C2:C1586,'Review Sequence'!J2:J1586)="Reviewer Complete",XLOOKUP(C81,'Service Identity Queue'!A2:A315,'Service Identity Queue'!L2:L315),""),"")</x:f>
      </x:c>
      <x:c r="G81" s="6" t="str"/>
      <x:c r="H81" s="7" t="str">
        <x:f>IF(F81&lt;&gt;"",XLOOKUP(C81,'Service Identity Queue'!A2:A315,'Service Identity Queue'!N2:N315),"" )</x:f>
      </x:c>
      <x:c r="I81" s="6" t="str">
        <x:f>IF(F81&lt;&gt;"",XLOOKUP(C81,'Service Identity Queue'!A2:A315,'Service Identity Queue'!O2:O315),"" )</x:f>
      </x:c>
      <x:c r="J81" s="6" t="str">
        <x:f>IF(F81&lt;&gt;"",XLOOKUP(C81,'Service Identity Queue'!A2:A315,'Service Identity Queue'!P2:P315),"" )</x:f>
      </x:c>
      <x:c r="K81" s="6" t="str">
        <x:f>IF(F81&lt;&gt;"","Reviewer complete; second-level approval still required","Not eligible yet")</x:f>
        <x:v>Not eligible yet</x:v>
      </x:c>
      <x:c r="L81" s="6" t="str">
        <x:f>IF(P81="Not Eligible","PASS","FAIL")</x:f>
        <x:v>PASS</x:v>
      </x:c>
      <x:c r="M81" s="6" t="str">
        <x:v>Pending</x:v>
      </x:c>
      <x:c r="N81" s="6" t="str"/>
      <x:c r="O81" s="6" t="str"/>
      <x:c r="P81" s="6" t="str">
        <x:v>Not Eligible</x:v>
      </x:c>
      <x:c r="Q81" s="7" t="str"/>
    </x:row>
    <x:row r="82">
      <x:c r="A82" s="6" t="str">
        <x:v>APPR-0081</x:v>
      </x:c>
      <x:c r="B82" s="6" t="str">
        <x:v>Service Identity Queue</x:v>
      </x:c>
      <x:c r="C82" s="6" t="str">
        <x:v>SIDX-0081</x:v>
      </x:c>
      <x:c r="D82" s="6" t="str">
        <x:v>Service</x:v>
      </x:c>
      <x:c r="E82" s="6" t="str">
        <x:v>SVC000081</x:v>
      </x:c>
      <x:c r="F82" s="6" t="str">
        <x:f>IFERROR(IF(XLOOKUP(C82,'Review Sequence'!C2:C1586,'Review Sequence'!J2:J1586)="Reviewer Complete",XLOOKUP(C82,'Service Identity Queue'!A2:A315,'Service Identity Queue'!L2:L315),""),"")</x:f>
      </x:c>
      <x:c r="G82" s="6" t="str"/>
      <x:c r="H82" s="7" t="str">
        <x:f>IF(F82&lt;&gt;"",XLOOKUP(C82,'Service Identity Queue'!A2:A315,'Service Identity Queue'!N2:N315),"" )</x:f>
      </x:c>
      <x:c r="I82" s="6" t="str">
        <x:f>IF(F82&lt;&gt;"",XLOOKUP(C82,'Service Identity Queue'!A2:A315,'Service Identity Queue'!O2:O315),"" )</x:f>
      </x:c>
      <x:c r="J82" s="6" t="str">
        <x:f>IF(F82&lt;&gt;"",XLOOKUP(C82,'Service Identity Queue'!A2:A315,'Service Identity Queue'!P2:P315),"" )</x:f>
      </x:c>
      <x:c r="K82" s="6" t="str">
        <x:f>IF(F82&lt;&gt;"","Reviewer complete; second-level approval still required","Not eligible yet")</x:f>
        <x:v>Not eligible yet</x:v>
      </x:c>
      <x:c r="L82" s="6" t="str">
        <x:f>IF(P82="Not Eligible","PASS","FAIL")</x:f>
        <x:v>PASS</x:v>
      </x:c>
      <x:c r="M82" s="6" t="str">
        <x:v>Pending</x:v>
      </x:c>
      <x:c r="N82" s="6" t="str"/>
      <x:c r="O82" s="6" t="str"/>
      <x:c r="P82" s="6" t="str">
        <x:v>Not Eligible</x:v>
      </x:c>
      <x:c r="Q82" s="7" t="str"/>
    </x:row>
    <x:row r="83">
      <x:c r="A83" s="6" t="str">
        <x:v>APPR-0082</x:v>
      </x:c>
      <x:c r="B83" s="6" t="str">
        <x:v>Service Identity Queue</x:v>
      </x:c>
      <x:c r="C83" s="6" t="str">
        <x:v>SIDX-0082</x:v>
      </x:c>
      <x:c r="D83" s="6" t="str">
        <x:v>Service</x:v>
      </x:c>
      <x:c r="E83" s="6" t="str">
        <x:v>SVC000082</x:v>
      </x:c>
      <x:c r="F83" s="6" t="str">
        <x:f>IFERROR(IF(XLOOKUP(C83,'Review Sequence'!C2:C1586,'Review Sequence'!J2:J1586)="Reviewer Complete",XLOOKUP(C83,'Service Identity Queue'!A2:A315,'Service Identity Queue'!L2:L315),""),"")</x:f>
      </x:c>
      <x:c r="G83" s="6" t="str"/>
      <x:c r="H83" s="7" t="str">
        <x:f>IF(F83&lt;&gt;"",XLOOKUP(C83,'Service Identity Queue'!A2:A315,'Service Identity Queue'!N2:N315),"" )</x:f>
      </x:c>
      <x:c r="I83" s="6" t="str">
        <x:f>IF(F83&lt;&gt;"",XLOOKUP(C83,'Service Identity Queue'!A2:A315,'Service Identity Queue'!O2:O315),"" )</x:f>
      </x:c>
      <x:c r="J83" s="6" t="str">
        <x:f>IF(F83&lt;&gt;"",XLOOKUP(C83,'Service Identity Queue'!A2:A315,'Service Identity Queue'!P2:P315),"" )</x:f>
      </x:c>
      <x:c r="K83" s="6" t="str">
        <x:f>IF(F83&lt;&gt;"","Reviewer complete; second-level approval still required","Not eligible yet")</x:f>
        <x:v>Not eligible yet</x:v>
      </x:c>
      <x:c r="L83" s="6" t="str">
        <x:f>IF(P83="Not Eligible","PASS","FAIL")</x:f>
        <x:v>PASS</x:v>
      </x:c>
      <x:c r="M83" s="6" t="str">
        <x:v>Pending</x:v>
      </x:c>
      <x:c r="N83" s="6" t="str"/>
      <x:c r="O83" s="6" t="str"/>
      <x:c r="P83" s="6" t="str">
        <x:v>Not Eligible</x:v>
      </x:c>
      <x:c r="Q83" s="7" t="str"/>
    </x:row>
    <x:row r="84">
      <x:c r="A84" s="6" t="str">
        <x:v>APPR-0083</x:v>
      </x:c>
      <x:c r="B84" s="6" t="str">
        <x:v>Service Identity Queue</x:v>
      </x:c>
      <x:c r="C84" s="6" t="str">
        <x:v>SIDX-0083</x:v>
      </x:c>
      <x:c r="D84" s="6" t="str">
        <x:v>Service</x:v>
      </x:c>
      <x:c r="E84" s="6" t="str">
        <x:v>SVC000083</x:v>
      </x:c>
      <x:c r="F84" s="6" t="str">
        <x:f>IFERROR(IF(XLOOKUP(C84,'Review Sequence'!C2:C1586,'Review Sequence'!J2:J1586)="Reviewer Complete",XLOOKUP(C84,'Service Identity Queue'!A2:A315,'Service Identity Queue'!L2:L315),""),"")</x:f>
      </x:c>
      <x:c r="G84" s="6" t="str"/>
      <x:c r="H84" s="7" t="str">
        <x:f>IF(F84&lt;&gt;"",XLOOKUP(C84,'Service Identity Queue'!A2:A315,'Service Identity Queue'!N2:N315),"" )</x:f>
      </x:c>
      <x:c r="I84" s="6" t="str">
        <x:f>IF(F84&lt;&gt;"",XLOOKUP(C84,'Service Identity Queue'!A2:A315,'Service Identity Queue'!O2:O315),"" )</x:f>
      </x:c>
      <x:c r="J84" s="6" t="str">
        <x:f>IF(F84&lt;&gt;"",XLOOKUP(C84,'Service Identity Queue'!A2:A315,'Service Identity Queue'!P2:P315),"" )</x:f>
      </x:c>
      <x:c r="K84" s="6" t="str">
        <x:f>IF(F84&lt;&gt;"","Reviewer complete; second-level approval still required","Not eligible yet")</x:f>
        <x:v>Not eligible yet</x:v>
      </x:c>
      <x:c r="L84" s="6" t="str">
        <x:f>IF(P84="Not Eligible","PASS","FAIL")</x:f>
        <x:v>PASS</x:v>
      </x:c>
      <x:c r="M84" s="6" t="str">
        <x:v>Pending</x:v>
      </x:c>
      <x:c r="N84" s="6" t="str"/>
      <x:c r="O84" s="6" t="str"/>
      <x:c r="P84" s="6" t="str">
        <x:v>Not Eligible</x:v>
      </x:c>
      <x:c r="Q84" s="7" t="str"/>
    </x:row>
    <x:row r="85">
      <x:c r="A85" s="6" t="str">
        <x:v>APPR-0084</x:v>
      </x:c>
      <x:c r="B85" s="6" t="str">
        <x:v>Service Identity Queue</x:v>
      </x:c>
      <x:c r="C85" s="6" t="str">
        <x:v>SIDX-0084</x:v>
      </x:c>
      <x:c r="D85" s="6" t="str">
        <x:v>Service</x:v>
      </x:c>
      <x:c r="E85" s="6" t="str">
        <x:v>SVC000084</x:v>
      </x:c>
      <x:c r="F85" s="6" t="str">
        <x:f>IFERROR(IF(XLOOKUP(C85,'Review Sequence'!C2:C1586,'Review Sequence'!J2:J1586)="Reviewer Complete",XLOOKUP(C85,'Service Identity Queue'!A2:A315,'Service Identity Queue'!L2:L315),""),"")</x:f>
      </x:c>
      <x:c r="G85" s="6" t="str"/>
      <x:c r="H85" s="7" t="str">
        <x:f>IF(F85&lt;&gt;"",XLOOKUP(C85,'Service Identity Queue'!A2:A315,'Service Identity Queue'!N2:N315),"" )</x:f>
      </x:c>
      <x:c r="I85" s="6" t="str">
        <x:f>IF(F85&lt;&gt;"",XLOOKUP(C85,'Service Identity Queue'!A2:A315,'Service Identity Queue'!O2:O315),"" )</x:f>
      </x:c>
      <x:c r="J85" s="6" t="str">
        <x:f>IF(F85&lt;&gt;"",XLOOKUP(C85,'Service Identity Queue'!A2:A315,'Service Identity Queue'!P2:P315),"" )</x:f>
      </x:c>
      <x:c r="K85" s="6" t="str">
        <x:f>IF(F85&lt;&gt;"","Reviewer complete; second-level approval still required","Not eligible yet")</x:f>
        <x:v>Not eligible yet</x:v>
      </x:c>
      <x:c r="L85" s="6" t="str">
        <x:f>IF(P85="Not Eligible","PASS","FAIL")</x:f>
        <x:v>PASS</x:v>
      </x:c>
      <x:c r="M85" s="6" t="str">
        <x:v>Pending</x:v>
      </x:c>
      <x:c r="N85" s="6" t="str"/>
      <x:c r="O85" s="6" t="str"/>
      <x:c r="P85" s="6" t="str">
        <x:v>Not Eligible</x:v>
      </x:c>
      <x:c r="Q85" s="7" t="str"/>
    </x:row>
    <x:row r="86">
      <x:c r="A86" s="6" t="str">
        <x:v>APPR-0085</x:v>
      </x:c>
      <x:c r="B86" s="6" t="str">
        <x:v>Service Identity Queue</x:v>
      </x:c>
      <x:c r="C86" s="6" t="str">
        <x:v>SIDX-0085</x:v>
      </x:c>
      <x:c r="D86" s="6" t="str">
        <x:v>Service</x:v>
      </x:c>
      <x:c r="E86" s="6" t="str">
        <x:v>SVC000085</x:v>
      </x:c>
      <x:c r="F86" s="6" t="str">
        <x:f>IFERROR(IF(XLOOKUP(C86,'Review Sequence'!C2:C1586,'Review Sequence'!J2:J1586)="Reviewer Complete",XLOOKUP(C86,'Service Identity Queue'!A2:A315,'Service Identity Queue'!L2:L315),""),"")</x:f>
      </x:c>
      <x:c r="G86" s="6" t="str"/>
      <x:c r="H86" s="7" t="str">
        <x:f>IF(F86&lt;&gt;"",XLOOKUP(C86,'Service Identity Queue'!A2:A315,'Service Identity Queue'!N2:N315),"" )</x:f>
      </x:c>
      <x:c r="I86" s="6" t="str">
        <x:f>IF(F86&lt;&gt;"",XLOOKUP(C86,'Service Identity Queue'!A2:A315,'Service Identity Queue'!O2:O315),"" )</x:f>
      </x:c>
      <x:c r="J86" s="6" t="str">
        <x:f>IF(F86&lt;&gt;"",XLOOKUP(C86,'Service Identity Queue'!A2:A315,'Service Identity Queue'!P2:P315),"" )</x:f>
      </x:c>
      <x:c r="K86" s="6" t="str">
        <x:f>IF(F86&lt;&gt;"","Reviewer complete; second-level approval still required","Not eligible yet")</x:f>
        <x:v>Not eligible yet</x:v>
      </x:c>
      <x:c r="L86" s="6" t="str">
        <x:f>IF(P86="Not Eligible","PASS","FAIL")</x:f>
        <x:v>PASS</x:v>
      </x:c>
      <x:c r="M86" s="6" t="str">
        <x:v>Pending</x:v>
      </x:c>
      <x:c r="N86" s="6" t="str"/>
      <x:c r="O86" s="6" t="str"/>
      <x:c r="P86" s="6" t="str">
        <x:v>Not Eligible</x:v>
      </x:c>
      <x:c r="Q86" s="7" t="str"/>
    </x:row>
    <x:row r="87">
      <x:c r="A87" s="6" t="str">
        <x:v>APPR-0086</x:v>
      </x:c>
      <x:c r="B87" s="6" t="str">
        <x:v>Service Identity Queue</x:v>
      </x:c>
      <x:c r="C87" s="6" t="str">
        <x:v>SIDX-0086</x:v>
      </x:c>
      <x:c r="D87" s="6" t="str">
        <x:v>Service</x:v>
      </x:c>
      <x:c r="E87" s="6" t="str">
        <x:v>SVC000086</x:v>
      </x:c>
      <x:c r="F87" s="6" t="str">
        <x:f>IFERROR(IF(XLOOKUP(C87,'Review Sequence'!C2:C1586,'Review Sequence'!J2:J1586)="Reviewer Complete",XLOOKUP(C87,'Service Identity Queue'!A2:A315,'Service Identity Queue'!L2:L315),""),"")</x:f>
      </x:c>
      <x:c r="G87" s="6" t="str"/>
      <x:c r="H87" s="7" t="str">
        <x:f>IF(F87&lt;&gt;"",XLOOKUP(C87,'Service Identity Queue'!A2:A315,'Service Identity Queue'!N2:N315),"" )</x:f>
      </x:c>
      <x:c r="I87" s="6" t="str">
        <x:f>IF(F87&lt;&gt;"",XLOOKUP(C87,'Service Identity Queue'!A2:A315,'Service Identity Queue'!O2:O315),"" )</x:f>
      </x:c>
      <x:c r="J87" s="6" t="str">
        <x:f>IF(F87&lt;&gt;"",XLOOKUP(C87,'Service Identity Queue'!A2:A315,'Service Identity Queue'!P2:P315),"" )</x:f>
      </x:c>
      <x:c r="K87" s="6" t="str">
        <x:f>IF(F87&lt;&gt;"","Reviewer complete; second-level approval still required","Not eligible yet")</x:f>
        <x:v>Not eligible yet</x:v>
      </x:c>
      <x:c r="L87" s="6" t="str">
        <x:f>IF(P87="Not Eligible","PASS","FAIL")</x:f>
        <x:v>PASS</x:v>
      </x:c>
      <x:c r="M87" s="6" t="str">
        <x:v>Pending</x:v>
      </x:c>
      <x:c r="N87" s="6" t="str"/>
      <x:c r="O87" s="6" t="str"/>
      <x:c r="P87" s="6" t="str">
        <x:v>Not Eligible</x:v>
      </x:c>
      <x:c r="Q87" s="7" t="str"/>
    </x:row>
    <x:row r="88">
      <x:c r="A88" s="6" t="str">
        <x:v>APPR-0087</x:v>
      </x:c>
      <x:c r="B88" s="6" t="str">
        <x:v>Service Identity Queue</x:v>
      </x:c>
      <x:c r="C88" s="6" t="str">
        <x:v>SIDX-0087</x:v>
      </x:c>
      <x:c r="D88" s="6" t="str">
        <x:v>Service</x:v>
      </x:c>
      <x:c r="E88" s="6" t="str">
        <x:v>SVC000087</x:v>
      </x:c>
      <x:c r="F88" s="6" t="str">
        <x:f>IFERROR(IF(XLOOKUP(C88,'Review Sequence'!C2:C1586,'Review Sequence'!J2:J1586)="Reviewer Complete",XLOOKUP(C88,'Service Identity Queue'!A2:A315,'Service Identity Queue'!L2:L315),""),"")</x:f>
      </x:c>
      <x:c r="G88" s="6" t="str"/>
      <x:c r="H88" s="7" t="str">
        <x:f>IF(F88&lt;&gt;"",XLOOKUP(C88,'Service Identity Queue'!A2:A315,'Service Identity Queue'!N2:N315),"" )</x:f>
      </x:c>
      <x:c r="I88" s="6" t="str">
        <x:f>IF(F88&lt;&gt;"",XLOOKUP(C88,'Service Identity Queue'!A2:A315,'Service Identity Queue'!O2:O315),"" )</x:f>
      </x:c>
      <x:c r="J88" s="6" t="str">
        <x:f>IF(F88&lt;&gt;"",XLOOKUP(C88,'Service Identity Queue'!A2:A315,'Service Identity Queue'!P2:P315),"" )</x:f>
      </x:c>
      <x:c r="K88" s="6" t="str">
        <x:f>IF(F88&lt;&gt;"","Reviewer complete; second-level approval still required","Not eligible yet")</x:f>
        <x:v>Not eligible yet</x:v>
      </x:c>
      <x:c r="L88" s="6" t="str">
        <x:f>IF(P88="Not Eligible","PASS","FAIL")</x:f>
        <x:v>PASS</x:v>
      </x:c>
      <x:c r="M88" s="6" t="str">
        <x:v>Pending</x:v>
      </x:c>
      <x:c r="N88" s="6" t="str"/>
      <x:c r="O88" s="6" t="str"/>
      <x:c r="P88" s="6" t="str">
        <x:v>Not Eligible</x:v>
      </x:c>
      <x:c r="Q88" s="7" t="str"/>
    </x:row>
    <x:row r="89">
      <x:c r="A89" s="6" t="str">
        <x:v>APPR-0088</x:v>
      </x:c>
      <x:c r="B89" s="6" t="str">
        <x:v>Service Identity Queue</x:v>
      </x:c>
      <x:c r="C89" s="6" t="str">
        <x:v>SIDX-0088</x:v>
      </x:c>
      <x:c r="D89" s="6" t="str">
        <x:v>Service</x:v>
      </x:c>
      <x:c r="E89" s="6" t="str">
        <x:v>SVC000088</x:v>
      </x:c>
      <x:c r="F89" s="6" t="str">
        <x:f>IFERROR(IF(XLOOKUP(C89,'Review Sequence'!C2:C1586,'Review Sequence'!J2:J1586)="Reviewer Complete",XLOOKUP(C89,'Service Identity Queue'!A2:A315,'Service Identity Queue'!L2:L315),""),"")</x:f>
      </x:c>
      <x:c r="G89" s="6" t="str"/>
      <x:c r="H89" s="7" t="str">
        <x:f>IF(F89&lt;&gt;"",XLOOKUP(C89,'Service Identity Queue'!A2:A315,'Service Identity Queue'!N2:N315),"" )</x:f>
      </x:c>
      <x:c r="I89" s="6" t="str">
        <x:f>IF(F89&lt;&gt;"",XLOOKUP(C89,'Service Identity Queue'!A2:A315,'Service Identity Queue'!O2:O315),"" )</x:f>
      </x:c>
      <x:c r="J89" s="6" t="str">
        <x:f>IF(F89&lt;&gt;"",XLOOKUP(C89,'Service Identity Queue'!A2:A315,'Service Identity Queue'!P2:P315),"" )</x:f>
      </x:c>
      <x:c r="K89" s="6" t="str">
        <x:f>IF(F89&lt;&gt;"","Reviewer complete; second-level approval still required","Not eligible yet")</x:f>
        <x:v>Not eligible yet</x:v>
      </x:c>
      <x:c r="L89" s="6" t="str">
        <x:f>IF(P89="Not Eligible","PASS","FAIL")</x:f>
        <x:v>PASS</x:v>
      </x:c>
      <x:c r="M89" s="6" t="str">
        <x:v>Pending</x:v>
      </x:c>
      <x:c r="N89" s="6" t="str"/>
      <x:c r="O89" s="6" t="str"/>
      <x:c r="P89" s="6" t="str">
        <x:v>Not Eligible</x:v>
      </x:c>
      <x:c r="Q89" s="7" t="str"/>
    </x:row>
    <x:row r="90">
      <x:c r="A90" s="6" t="str">
        <x:v>APPR-0089</x:v>
      </x:c>
      <x:c r="B90" s="6" t="str">
        <x:v>Service Identity Queue</x:v>
      </x:c>
      <x:c r="C90" s="6" t="str">
        <x:v>SIDX-0089</x:v>
      </x:c>
      <x:c r="D90" s="6" t="str">
        <x:v>Service</x:v>
      </x:c>
      <x:c r="E90" s="6" t="str">
        <x:v>SVC000089</x:v>
      </x:c>
      <x:c r="F90" s="6" t="str">
        <x:f>IFERROR(IF(XLOOKUP(C90,'Review Sequence'!C2:C1586,'Review Sequence'!J2:J1586)="Reviewer Complete",XLOOKUP(C90,'Service Identity Queue'!A2:A315,'Service Identity Queue'!L2:L315),""),"")</x:f>
      </x:c>
      <x:c r="G90" s="6" t="str"/>
      <x:c r="H90" s="7" t="str">
        <x:f>IF(F90&lt;&gt;"",XLOOKUP(C90,'Service Identity Queue'!A2:A315,'Service Identity Queue'!N2:N315),"" )</x:f>
      </x:c>
      <x:c r="I90" s="6" t="str">
        <x:f>IF(F90&lt;&gt;"",XLOOKUP(C90,'Service Identity Queue'!A2:A315,'Service Identity Queue'!O2:O315),"" )</x:f>
      </x:c>
      <x:c r="J90" s="6" t="str">
        <x:f>IF(F90&lt;&gt;"",XLOOKUP(C90,'Service Identity Queue'!A2:A315,'Service Identity Queue'!P2:P315),"" )</x:f>
      </x:c>
      <x:c r="K90" s="6" t="str">
        <x:f>IF(F90&lt;&gt;"","Reviewer complete; second-level approval still required","Not eligible yet")</x:f>
        <x:v>Not eligible yet</x:v>
      </x:c>
      <x:c r="L90" s="6" t="str">
        <x:f>IF(P90="Not Eligible","PASS","FAIL")</x:f>
        <x:v>PASS</x:v>
      </x:c>
      <x:c r="M90" s="6" t="str">
        <x:v>Pending</x:v>
      </x:c>
      <x:c r="N90" s="6" t="str"/>
      <x:c r="O90" s="6" t="str"/>
      <x:c r="P90" s="6" t="str">
        <x:v>Not Eligible</x:v>
      </x:c>
      <x:c r="Q90" s="7" t="str"/>
    </x:row>
    <x:row r="91">
      <x:c r="A91" s="6" t="str">
        <x:v>APPR-0090</x:v>
      </x:c>
      <x:c r="B91" s="6" t="str">
        <x:v>Service Identity Queue</x:v>
      </x:c>
      <x:c r="C91" s="6" t="str">
        <x:v>SIDX-0090</x:v>
      </x:c>
      <x:c r="D91" s="6" t="str">
        <x:v>Service</x:v>
      </x:c>
      <x:c r="E91" s="6" t="str">
        <x:v>SVC000090</x:v>
      </x:c>
      <x:c r="F91" s="6" t="str">
        <x:f>IFERROR(IF(XLOOKUP(C91,'Review Sequence'!C2:C1586,'Review Sequence'!J2:J1586)="Reviewer Complete",XLOOKUP(C91,'Service Identity Queue'!A2:A315,'Service Identity Queue'!L2:L315),""),"")</x:f>
      </x:c>
      <x:c r="G91" s="6" t="str"/>
      <x:c r="H91" s="7" t="str">
        <x:f>IF(F91&lt;&gt;"",XLOOKUP(C91,'Service Identity Queue'!A2:A315,'Service Identity Queue'!N2:N315),"" )</x:f>
      </x:c>
      <x:c r="I91" s="6" t="str">
        <x:f>IF(F91&lt;&gt;"",XLOOKUP(C91,'Service Identity Queue'!A2:A315,'Service Identity Queue'!O2:O315),"" )</x:f>
      </x:c>
      <x:c r="J91" s="6" t="str">
        <x:f>IF(F91&lt;&gt;"",XLOOKUP(C91,'Service Identity Queue'!A2:A315,'Service Identity Queue'!P2:P315),"" )</x:f>
      </x:c>
      <x:c r="K91" s="6" t="str">
        <x:f>IF(F91&lt;&gt;"","Reviewer complete; second-level approval still required","Not eligible yet")</x:f>
        <x:v>Not eligible yet</x:v>
      </x:c>
      <x:c r="L91" s="6" t="str">
        <x:f>IF(P91="Not Eligible","PASS","FAIL")</x:f>
        <x:v>PASS</x:v>
      </x:c>
      <x:c r="M91" s="6" t="str">
        <x:v>Pending</x:v>
      </x:c>
      <x:c r="N91" s="6" t="str"/>
      <x:c r="O91" s="6" t="str"/>
      <x:c r="P91" s="6" t="str">
        <x:v>Not Eligible</x:v>
      </x:c>
      <x:c r="Q91" s="7" t="str"/>
    </x:row>
    <x:row r="92">
      <x:c r="A92" s="6" t="str">
        <x:v>APPR-0091</x:v>
      </x:c>
      <x:c r="B92" s="6" t="str">
        <x:v>Service Identity Queue</x:v>
      </x:c>
      <x:c r="C92" s="6" t="str">
        <x:v>SIDX-0091</x:v>
      </x:c>
      <x:c r="D92" s="6" t="str">
        <x:v>Service</x:v>
      </x:c>
      <x:c r="E92" s="6" t="str">
        <x:v>SVC000091</x:v>
      </x:c>
      <x:c r="F92" s="6" t="str">
        <x:f>IFERROR(IF(XLOOKUP(C92,'Review Sequence'!C2:C1586,'Review Sequence'!J2:J1586)="Reviewer Complete",XLOOKUP(C92,'Service Identity Queue'!A2:A315,'Service Identity Queue'!L2:L315),""),"")</x:f>
      </x:c>
      <x:c r="G92" s="6" t="str"/>
      <x:c r="H92" s="7" t="str">
        <x:f>IF(F92&lt;&gt;"",XLOOKUP(C92,'Service Identity Queue'!A2:A315,'Service Identity Queue'!N2:N315),"" )</x:f>
      </x:c>
      <x:c r="I92" s="6" t="str">
        <x:f>IF(F92&lt;&gt;"",XLOOKUP(C92,'Service Identity Queue'!A2:A315,'Service Identity Queue'!O2:O315),"" )</x:f>
      </x:c>
      <x:c r="J92" s="6" t="str">
        <x:f>IF(F92&lt;&gt;"",XLOOKUP(C92,'Service Identity Queue'!A2:A315,'Service Identity Queue'!P2:P315),"" )</x:f>
      </x:c>
      <x:c r="K92" s="6" t="str">
        <x:f>IF(F92&lt;&gt;"","Reviewer complete; second-level approval still required","Not eligible yet")</x:f>
        <x:v>Not eligible yet</x:v>
      </x:c>
      <x:c r="L92" s="6" t="str">
        <x:f>IF(P92="Not Eligible","PASS","FAIL")</x:f>
        <x:v>PASS</x:v>
      </x:c>
      <x:c r="M92" s="6" t="str">
        <x:v>Pending</x:v>
      </x:c>
      <x:c r="N92" s="6" t="str"/>
      <x:c r="O92" s="6" t="str"/>
      <x:c r="P92" s="6" t="str">
        <x:v>Not Eligible</x:v>
      </x:c>
      <x:c r="Q92" s="7" t="str"/>
    </x:row>
    <x:row r="93">
      <x:c r="A93" s="6" t="str">
        <x:v>APPR-0092</x:v>
      </x:c>
      <x:c r="B93" s="6" t="str">
        <x:v>Service Identity Queue</x:v>
      </x:c>
      <x:c r="C93" s="6" t="str">
        <x:v>SIDX-0092</x:v>
      </x:c>
      <x:c r="D93" s="6" t="str">
        <x:v>Service</x:v>
      </x:c>
      <x:c r="E93" s="6" t="str">
        <x:v>SVC000092</x:v>
      </x:c>
      <x:c r="F93" s="6" t="str">
        <x:f>IFERROR(IF(XLOOKUP(C93,'Review Sequence'!C2:C1586,'Review Sequence'!J2:J1586)="Reviewer Complete",XLOOKUP(C93,'Service Identity Queue'!A2:A315,'Service Identity Queue'!L2:L315),""),"")</x:f>
      </x:c>
      <x:c r="G93" s="6" t="str"/>
      <x:c r="H93" s="7" t="str">
        <x:f>IF(F93&lt;&gt;"",XLOOKUP(C93,'Service Identity Queue'!A2:A315,'Service Identity Queue'!N2:N315),"" )</x:f>
      </x:c>
      <x:c r="I93" s="6" t="str">
        <x:f>IF(F93&lt;&gt;"",XLOOKUP(C93,'Service Identity Queue'!A2:A315,'Service Identity Queue'!O2:O315),"" )</x:f>
      </x:c>
      <x:c r="J93" s="6" t="str">
        <x:f>IF(F93&lt;&gt;"",XLOOKUP(C93,'Service Identity Queue'!A2:A315,'Service Identity Queue'!P2:P315),"" )</x:f>
      </x:c>
      <x:c r="K93" s="6" t="str">
        <x:f>IF(F93&lt;&gt;"","Reviewer complete; second-level approval still required","Not eligible yet")</x:f>
        <x:v>Not eligible yet</x:v>
      </x:c>
      <x:c r="L93" s="6" t="str">
        <x:f>IF(P93="Not Eligible","PASS","FAIL")</x:f>
        <x:v>PASS</x:v>
      </x:c>
      <x:c r="M93" s="6" t="str">
        <x:v>Pending</x:v>
      </x:c>
      <x:c r="N93" s="6" t="str"/>
      <x:c r="O93" s="6" t="str"/>
      <x:c r="P93" s="6" t="str">
        <x:v>Not Eligible</x:v>
      </x:c>
      <x:c r="Q93" s="7" t="str"/>
    </x:row>
    <x:row r="94">
      <x:c r="A94" s="6" t="str">
        <x:v>APPR-0093</x:v>
      </x:c>
      <x:c r="B94" s="6" t="str">
        <x:v>Service Identity Queue</x:v>
      </x:c>
      <x:c r="C94" s="6" t="str">
        <x:v>SIDX-0093</x:v>
      </x:c>
      <x:c r="D94" s="6" t="str">
        <x:v>Service</x:v>
      </x:c>
      <x:c r="E94" s="6" t="str">
        <x:v>SVC000093</x:v>
      </x:c>
      <x:c r="F94" s="6" t="str">
        <x:f>IFERROR(IF(XLOOKUP(C94,'Review Sequence'!C2:C1586,'Review Sequence'!J2:J1586)="Reviewer Complete",XLOOKUP(C94,'Service Identity Queue'!A2:A315,'Service Identity Queue'!L2:L315),""),"")</x:f>
      </x:c>
      <x:c r="G94" s="6" t="str"/>
      <x:c r="H94" s="7" t="str">
        <x:f>IF(F94&lt;&gt;"",XLOOKUP(C94,'Service Identity Queue'!A2:A315,'Service Identity Queue'!N2:N315),"" )</x:f>
      </x:c>
      <x:c r="I94" s="6" t="str">
        <x:f>IF(F94&lt;&gt;"",XLOOKUP(C94,'Service Identity Queue'!A2:A315,'Service Identity Queue'!O2:O315),"" )</x:f>
      </x:c>
      <x:c r="J94" s="6" t="str">
        <x:f>IF(F94&lt;&gt;"",XLOOKUP(C94,'Service Identity Queue'!A2:A315,'Service Identity Queue'!P2:P315),"" )</x:f>
      </x:c>
      <x:c r="K94" s="6" t="str">
        <x:f>IF(F94&lt;&gt;"","Reviewer complete; second-level approval still required","Not eligible yet")</x:f>
        <x:v>Not eligible yet</x:v>
      </x:c>
      <x:c r="L94" s="6" t="str">
        <x:f>IF(P94="Not Eligible","PASS","FAIL")</x:f>
        <x:v>PASS</x:v>
      </x:c>
      <x:c r="M94" s="6" t="str">
        <x:v>Pending</x:v>
      </x:c>
      <x:c r="N94" s="6" t="str"/>
      <x:c r="O94" s="6" t="str"/>
      <x:c r="P94" s="6" t="str">
        <x:v>Not Eligible</x:v>
      </x:c>
      <x:c r="Q94" s="7" t="str"/>
    </x:row>
    <x:row r="95">
      <x:c r="A95" s="6" t="str">
        <x:v>APPR-0094</x:v>
      </x:c>
      <x:c r="B95" s="6" t="str">
        <x:v>Service Identity Queue</x:v>
      </x:c>
      <x:c r="C95" s="6" t="str">
        <x:v>SIDX-0094</x:v>
      </x:c>
      <x:c r="D95" s="6" t="str">
        <x:v>Service</x:v>
      </x:c>
      <x:c r="E95" s="6" t="str">
        <x:v>SVC000094</x:v>
      </x:c>
      <x:c r="F95" s="6" t="str">
        <x:f>IFERROR(IF(XLOOKUP(C95,'Review Sequence'!C2:C1586,'Review Sequence'!J2:J1586)="Reviewer Complete",XLOOKUP(C95,'Service Identity Queue'!A2:A315,'Service Identity Queue'!L2:L315),""),"")</x:f>
      </x:c>
      <x:c r="G95" s="6" t="str"/>
      <x:c r="H95" s="7" t="str">
        <x:f>IF(F95&lt;&gt;"",XLOOKUP(C95,'Service Identity Queue'!A2:A315,'Service Identity Queue'!N2:N315),"" )</x:f>
      </x:c>
      <x:c r="I95" s="6" t="str">
        <x:f>IF(F95&lt;&gt;"",XLOOKUP(C95,'Service Identity Queue'!A2:A315,'Service Identity Queue'!O2:O315),"" )</x:f>
      </x:c>
      <x:c r="J95" s="6" t="str">
        <x:f>IF(F95&lt;&gt;"",XLOOKUP(C95,'Service Identity Queue'!A2:A315,'Service Identity Queue'!P2:P315),"" )</x:f>
      </x:c>
      <x:c r="K95" s="6" t="str">
        <x:f>IF(F95&lt;&gt;"","Reviewer complete; second-level approval still required","Not eligible yet")</x:f>
        <x:v>Not eligible yet</x:v>
      </x:c>
      <x:c r="L95" s="6" t="str">
        <x:f>IF(P95="Not Eligible","PASS","FAIL")</x:f>
        <x:v>PASS</x:v>
      </x:c>
      <x:c r="M95" s="6" t="str">
        <x:v>Pending</x:v>
      </x:c>
      <x:c r="N95" s="6" t="str"/>
      <x:c r="O95" s="6" t="str"/>
      <x:c r="P95" s="6" t="str">
        <x:v>Not Eligible</x:v>
      </x:c>
      <x:c r="Q95" s="7" t="str"/>
    </x:row>
    <x:row r="96">
      <x:c r="A96" s="6" t="str">
        <x:v>APPR-0095</x:v>
      </x:c>
      <x:c r="B96" s="6" t="str">
        <x:v>Service Identity Queue</x:v>
      </x:c>
      <x:c r="C96" s="6" t="str">
        <x:v>SIDX-0095</x:v>
      </x:c>
      <x:c r="D96" s="6" t="str">
        <x:v>Service</x:v>
      </x:c>
      <x:c r="E96" s="6" t="str">
        <x:v>SVC000095</x:v>
      </x:c>
      <x:c r="F96" s="6" t="str">
        <x:f>IFERROR(IF(XLOOKUP(C96,'Review Sequence'!C2:C1586,'Review Sequence'!J2:J1586)="Reviewer Complete",XLOOKUP(C96,'Service Identity Queue'!A2:A315,'Service Identity Queue'!L2:L315),""),"")</x:f>
      </x:c>
      <x:c r="G96" s="6" t="str"/>
      <x:c r="H96" s="7" t="str">
        <x:f>IF(F96&lt;&gt;"",XLOOKUP(C96,'Service Identity Queue'!A2:A315,'Service Identity Queue'!N2:N315),"" )</x:f>
      </x:c>
      <x:c r="I96" s="6" t="str">
        <x:f>IF(F96&lt;&gt;"",XLOOKUP(C96,'Service Identity Queue'!A2:A315,'Service Identity Queue'!O2:O315),"" )</x:f>
      </x:c>
      <x:c r="J96" s="6" t="str">
        <x:f>IF(F96&lt;&gt;"",XLOOKUP(C96,'Service Identity Queue'!A2:A315,'Service Identity Queue'!P2:P315),"" )</x:f>
      </x:c>
      <x:c r="K96" s="6" t="str">
        <x:f>IF(F96&lt;&gt;"","Reviewer complete; second-level approval still required","Not eligible yet")</x:f>
        <x:v>Not eligible yet</x:v>
      </x:c>
      <x:c r="L96" s="6" t="str">
        <x:f>IF(P96="Not Eligible","PASS","FAIL")</x:f>
        <x:v>PASS</x:v>
      </x:c>
      <x:c r="M96" s="6" t="str">
        <x:v>Pending</x:v>
      </x:c>
      <x:c r="N96" s="6" t="str"/>
      <x:c r="O96" s="6" t="str"/>
      <x:c r="P96" s="6" t="str">
        <x:v>Not Eligible</x:v>
      </x:c>
      <x:c r="Q96" s="7" t="str"/>
    </x:row>
    <x:row r="97">
      <x:c r="A97" s="6" t="str">
        <x:v>APPR-0096</x:v>
      </x:c>
      <x:c r="B97" s="6" t="str">
        <x:v>Service Identity Queue</x:v>
      </x:c>
      <x:c r="C97" s="6" t="str">
        <x:v>SIDX-0096</x:v>
      </x:c>
      <x:c r="D97" s="6" t="str">
        <x:v>Service</x:v>
      </x:c>
      <x:c r="E97" s="6" t="str">
        <x:v>SVC000096</x:v>
      </x:c>
      <x:c r="F97" s="6" t="str">
        <x:f>IFERROR(IF(XLOOKUP(C97,'Review Sequence'!C2:C1586,'Review Sequence'!J2:J1586)="Reviewer Complete",XLOOKUP(C97,'Service Identity Queue'!A2:A315,'Service Identity Queue'!L2:L315),""),"")</x:f>
      </x:c>
      <x:c r="G97" s="6" t="str"/>
      <x:c r="H97" s="7" t="str">
        <x:f>IF(F97&lt;&gt;"",XLOOKUP(C97,'Service Identity Queue'!A2:A315,'Service Identity Queue'!N2:N315),"" )</x:f>
      </x:c>
      <x:c r="I97" s="6" t="str">
        <x:f>IF(F97&lt;&gt;"",XLOOKUP(C97,'Service Identity Queue'!A2:A315,'Service Identity Queue'!O2:O315),"" )</x:f>
      </x:c>
      <x:c r="J97" s="6" t="str">
        <x:f>IF(F97&lt;&gt;"",XLOOKUP(C97,'Service Identity Queue'!A2:A315,'Service Identity Queue'!P2:P315),"" )</x:f>
      </x:c>
      <x:c r="K97" s="6" t="str">
        <x:f>IF(F97&lt;&gt;"","Reviewer complete; second-level approval still required","Not eligible yet")</x:f>
        <x:v>Not eligible yet</x:v>
      </x:c>
      <x:c r="L97" s="6" t="str">
        <x:f>IF(P97="Not Eligible","PASS","FAIL")</x:f>
        <x:v>PASS</x:v>
      </x:c>
      <x:c r="M97" s="6" t="str">
        <x:v>Pending</x:v>
      </x:c>
      <x:c r="N97" s="6" t="str"/>
      <x:c r="O97" s="6" t="str"/>
      <x:c r="P97" s="6" t="str">
        <x:v>Not Eligible</x:v>
      </x:c>
      <x:c r="Q97" s="7" t="str"/>
    </x:row>
    <x:row r="98">
      <x:c r="A98" s="6" t="str">
        <x:v>APPR-0097</x:v>
      </x:c>
      <x:c r="B98" s="6" t="str">
        <x:v>Service Identity Queue</x:v>
      </x:c>
      <x:c r="C98" s="6" t="str">
        <x:v>SIDX-0097</x:v>
      </x:c>
      <x:c r="D98" s="6" t="str">
        <x:v>Service</x:v>
      </x:c>
      <x:c r="E98" s="6" t="str">
        <x:v>SVC000097</x:v>
      </x:c>
      <x:c r="F98" s="6" t="str">
        <x:f>IFERROR(IF(XLOOKUP(C98,'Review Sequence'!C2:C1586,'Review Sequence'!J2:J1586)="Reviewer Complete",XLOOKUP(C98,'Service Identity Queue'!A2:A315,'Service Identity Queue'!L2:L315),""),"")</x:f>
      </x:c>
      <x:c r="G98" s="6" t="str"/>
      <x:c r="H98" s="7" t="str">
        <x:f>IF(F98&lt;&gt;"",XLOOKUP(C98,'Service Identity Queue'!A2:A315,'Service Identity Queue'!N2:N315),"" )</x:f>
      </x:c>
      <x:c r="I98" s="6" t="str">
        <x:f>IF(F98&lt;&gt;"",XLOOKUP(C98,'Service Identity Queue'!A2:A315,'Service Identity Queue'!O2:O315),"" )</x:f>
      </x:c>
      <x:c r="J98" s="6" t="str">
        <x:f>IF(F98&lt;&gt;"",XLOOKUP(C98,'Service Identity Queue'!A2:A315,'Service Identity Queue'!P2:P315),"" )</x:f>
      </x:c>
      <x:c r="K98" s="6" t="str">
        <x:f>IF(F98&lt;&gt;"","Reviewer complete; second-level approval still required","Not eligible yet")</x:f>
        <x:v>Not eligible yet</x:v>
      </x:c>
      <x:c r="L98" s="6" t="str">
        <x:f>IF(P98="Not Eligible","PASS","FAIL")</x:f>
        <x:v>PASS</x:v>
      </x:c>
      <x:c r="M98" s="6" t="str">
        <x:v>Pending</x:v>
      </x:c>
      <x:c r="N98" s="6" t="str"/>
      <x:c r="O98" s="6" t="str"/>
      <x:c r="P98" s="6" t="str">
        <x:v>Not Eligible</x:v>
      </x:c>
      <x:c r="Q98" s="7" t="str"/>
    </x:row>
    <x:row r="99">
      <x:c r="A99" s="6" t="str">
        <x:v>APPR-0098</x:v>
      </x:c>
      <x:c r="B99" s="6" t="str">
        <x:v>Service Identity Queue</x:v>
      </x:c>
      <x:c r="C99" s="6" t="str">
        <x:v>SIDX-0098</x:v>
      </x:c>
      <x:c r="D99" s="6" t="str">
        <x:v>Service</x:v>
      </x:c>
      <x:c r="E99" s="6" t="str">
        <x:v>SVC000098</x:v>
      </x:c>
      <x:c r="F99" s="6" t="str">
        <x:f>IFERROR(IF(XLOOKUP(C99,'Review Sequence'!C2:C1586,'Review Sequence'!J2:J1586)="Reviewer Complete",XLOOKUP(C99,'Service Identity Queue'!A2:A315,'Service Identity Queue'!L2:L315),""),"")</x:f>
      </x:c>
      <x:c r="G99" s="6" t="str"/>
      <x:c r="H99" s="7" t="str">
        <x:f>IF(F99&lt;&gt;"",XLOOKUP(C99,'Service Identity Queue'!A2:A315,'Service Identity Queue'!N2:N315),"" )</x:f>
      </x:c>
      <x:c r="I99" s="6" t="str">
        <x:f>IF(F99&lt;&gt;"",XLOOKUP(C99,'Service Identity Queue'!A2:A315,'Service Identity Queue'!O2:O315),"" )</x:f>
      </x:c>
      <x:c r="J99" s="6" t="str">
        <x:f>IF(F99&lt;&gt;"",XLOOKUP(C99,'Service Identity Queue'!A2:A315,'Service Identity Queue'!P2:P315),"" )</x:f>
      </x:c>
      <x:c r="K99" s="6" t="str">
        <x:f>IF(F99&lt;&gt;"","Reviewer complete; second-level approval still required","Not eligible yet")</x:f>
        <x:v>Not eligible yet</x:v>
      </x:c>
      <x:c r="L99" s="6" t="str">
        <x:f>IF(P99="Not Eligible","PASS","FAIL")</x:f>
        <x:v>PASS</x:v>
      </x:c>
      <x:c r="M99" s="6" t="str">
        <x:v>Pending</x:v>
      </x:c>
      <x:c r="N99" s="6" t="str"/>
      <x:c r="O99" s="6" t="str"/>
      <x:c r="P99" s="6" t="str">
        <x:v>Not Eligible</x:v>
      </x:c>
      <x:c r="Q99" s="7" t="str"/>
    </x:row>
    <x:row r="100">
      <x:c r="A100" s="6" t="str">
        <x:v>APPR-0099</x:v>
      </x:c>
      <x:c r="B100" s="6" t="str">
        <x:v>Service Identity Queue</x:v>
      </x:c>
      <x:c r="C100" s="6" t="str">
        <x:v>SIDX-0099</x:v>
      </x:c>
      <x:c r="D100" s="6" t="str">
        <x:v>Service</x:v>
      </x:c>
      <x:c r="E100" s="6" t="str">
        <x:v>SVC000099</x:v>
      </x:c>
      <x:c r="F100" s="6" t="str">
        <x:f>IFERROR(IF(XLOOKUP(C100,'Review Sequence'!C2:C1586,'Review Sequence'!J2:J1586)="Reviewer Complete",XLOOKUP(C100,'Service Identity Queue'!A2:A315,'Service Identity Queue'!L2:L315),""),"")</x:f>
      </x:c>
      <x:c r="G100" s="6" t="str"/>
      <x:c r="H100" s="7" t="str">
        <x:f>IF(F100&lt;&gt;"",XLOOKUP(C100,'Service Identity Queue'!A2:A315,'Service Identity Queue'!N2:N315),"" )</x:f>
      </x:c>
      <x:c r="I100" s="6" t="str">
        <x:f>IF(F100&lt;&gt;"",XLOOKUP(C100,'Service Identity Queue'!A2:A315,'Service Identity Queue'!O2:O315),"" )</x:f>
      </x:c>
      <x:c r="J100" s="6" t="str">
        <x:f>IF(F100&lt;&gt;"",XLOOKUP(C100,'Service Identity Queue'!A2:A315,'Service Identity Queue'!P2:P315),"" )</x:f>
      </x:c>
      <x:c r="K100" s="6" t="str">
        <x:f>IF(F100&lt;&gt;"","Reviewer complete; second-level approval still required","Not eligible yet")</x:f>
        <x:v>Not eligible yet</x:v>
      </x:c>
      <x:c r="L100" s="6" t="str">
        <x:f>IF(P100="Not Eligible","PASS","FAIL")</x:f>
        <x:v>PASS</x:v>
      </x:c>
      <x:c r="M100" s="6" t="str">
        <x:v>Pending</x:v>
      </x:c>
      <x:c r="N100" s="6" t="str"/>
      <x:c r="O100" s="6" t="str"/>
      <x:c r="P100" s="6" t="str">
        <x:v>Not Eligible</x:v>
      </x:c>
      <x:c r="Q100" s="7" t="str"/>
    </x:row>
    <x:row r="101">
      <x:c r="A101" s="6" t="str">
        <x:v>APPR-0100</x:v>
      </x:c>
      <x:c r="B101" s="6" t="str">
        <x:v>Service Identity Queue</x:v>
      </x:c>
      <x:c r="C101" s="6" t="str">
        <x:v>SIDX-0100</x:v>
      </x:c>
      <x:c r="D101" s="6" t="str">
        <x:v>Service</x:v>
      </x:c>
      <x:c r="E101" s="6" t="str">
        <x:v>SVC000100</x:v>
      </x:c>
      <x:c r="F101" s="6" t="str">
        <x:f>IFERROR(IF(XLOOKUP(C101,'Review Sequence'!C2:C1586,'Review Sequence'!J2:J1586)="Reviewer Complete",XLOOKUP(C101,'Service Identity Queue'!A2:A315,'Service Identity Queue'!L2:L315),""),"")</x:f>
      </x:c>
      <x:c r="G101" s="6" t="str"/>
      <x:c r="H101" s="7" t="str">
        <x:f>IF(F101&lt;&gt;"",XLOOKUP(C101,'Service Identity Queue'!A2:A315,'Service Identity Queue'!N2:N315),"" )</x:f>
      </x:c>
      <x:c r="I101" s="6" t="str">
        <x:f>IF(F101&lt;&gt;"",XLOOKUP(C101,'Service Identity Queue'!A2:A315,'Service Identity Queue'!O2:O315),"" )</x:f>
      </x:c>
      <x:c r="J101" s="6" t="str">
        <x:f>IF(F101&lt;&gt;"",XLOOKUP(C101,'Service Identity Queue'!A2:A315,'Service Identity Queue'!P2:P315),"" )</x:f>
      </x:c>
      <x:c r="K101" s="6" t="str">
        <x:f>IF(F101&lt;&gt;"","Reviewer complete; second-level approval still required","Not eligible yet")</x:f>
        <x:v>Not eligible yet</x:v>
      </x:c>
      <x:c r="L101" s="6" t="str">
        <x:f>IF(P101="Not Eligible","PASS","FAIL")</x:f>
        <x:v>PASS</x:v>
      </x:c>
      <x:c r="M101" s="6" t="str">
        <x:v>Pending</x:v>
      </x:c>
      <x:c r="N101" s="6" t="str"/>
      <x:c r="O101" s="6" t="str"/>
      <x:c r="P101" s="6" t="str">
        <x:v>Not Eligible</x:v>
      </x:c>
      <x:c r="Q101" s="7" t="str"/>
    </x:row>
    <x:row r="102">
      <x:c r="A102" s="6" t="str">
        <x:v>APPR-0101</x:v>
      </x:c>
      <x:c r="B102" s="6" t="str">
        <x:v>Service Identity Queue</x:v>
      </x:c>
      <x:c r="C102" s="6" t="str">
        <x:v>SIDX-0101</x:v>
      </x:c>
      <x:c r="D102" s="6" t="str">
        <x:v>Service</x:v>
      </x:c>
      <x:c r="E102" s="6" t="str">
        <x:v>SVC000101</x:v>
      </x:c>
      <x:c r="F102" s="6" t="str">
        <x:f>IFERROR(IF(XLOOKUP(C102,'Review Sequence'!C2:C1586,'Review Sequence'!J2:J1586)="Reviewer Complete",XLOOKUP(C102,'Service Identity Queue'!A2:A315,'Service Identity Queue'!L2:L315),""),"")</x:f>
      </x:c>
      <x:c r="G102" s="6" t="str"/>
      <x:c r="H102" s="7" t="str">
        <x:f>IF(F102&lt;&gt;"",XLOOKUP(C102,'Service Identity Queue'!A2:A315,'Service Identity Queue'!N2:N315),"" )</x:f>
      </x:c>
      <x:c r="I102" s="6" t="str">
        <x:f>IF(F102&lt;&gt;"",XLOOKUP(C102,'Service Identity Queue'!A2:A315,'Service Identity Queue'!O2:O315),"" )</x:f>
      </x:c>
      <x:c r="J102" s="6" t="str">
        <x:f>IF(F102&lt;&gt;"",XLOOKUP(C102,'Service Identity Queue'!A2:A315,'Service Identity Queue'!P2:P315),"" )</x:f>
      </x:c>
      <x:c r="K102" s="6" t="str">
        <x:f>IF(F102&lt;&gt;"","Reviewer complete; second-level approval still required","Not eligible yet")</x:f>
        <x:v>Not eligible yet</x:v>
      </x:c>
      <x:c r="L102" s="6" t="str">
        <x:f>IF(P102="Not Eligible","PASS","FAIL")</x:f>
        <x:v>PASS</x:v>
      </x:c>
      <x:c r="M102" s="6" t="str">
        <x:v>Pending</x:v>
      </x:c>
      <x:c r="N102" s="6" t="str"/>
      <x:c r="O102" s="6" t="str"/>
      <x:c r="P102" s="6" t="str">
        <x:v>Not Eligible</x:v>
      </x:c>
      <x:c r="Q102" s="7" t="str"/>
    </x:row>
    <x:row r="103">
      <x:c r="A103" s="6" t="str">
        <x:v>APPR-0102</x:v>
      </x:c>
      <x:c r="B103" s="6" t="str">
        <x:v>Service Identity Queue</x:v>
      </x:c>
      <x:c r="C103" s="6" t="str">
        <x:v>SIDX-0102</x:v>
      </x:c>
      <x:c r="D103" s="6" t="str">
        <x:v>Service</x:v>
      </x:c>
      <x:c r="E103" s="6" t="str">
        <x:v>SVC000102</x:v>
      </x:c>
      <x:c r="F103" s="6" t="str">
        <x:f>IFERROR(IF(XLOOKUP(C103,'Review Sequence'!C2:C1586,'Review Sequence'!J2:J1586)="Reviewer Complete",XLOOKUP(C103,'Service Identity Queue'!A2:A315,'Service Identity Queue'!L2:L315),""),"")</x:f>
      </x:c>
      <x:c r="G103" s="6" t="str"/>
      <x:c r="H103" s="7" t="str">
        <x:f>IF(F103&lt;&gt;"",XLOOKUP(C103,'Service Identity Queue'!A2:A315,'Service Identity Queue'!N2:N315),"" )</x:f>
      </x:c>
      <x:c r="I103" s="6" t="str">
        <x:f>IF(F103&lt;&gt;"",XLOOKUP(C103,'Service Identity Queue'!A2:A315,'Service Identity Queue'!O2:O315),"" )</x:f>
      </x:c>
      <x:c r="J103" s="6" t="str">
        <x:f>IF(F103&lt;&gt;"",XLOOKUP(C103,'Service Identity Queue'!A2:A315,'Service Identity Queue'!P2:P315),"" )</x:f>
      </x:c>
      <x:c r="K103" s="6" t="str">
        <x:f>IF(F103&lt;&gt;"","Reviewer complete; second-level approval still required","Not eligible yet")</x:f>
        <x:v>Not eligible yet</x:v>
      </x:c>
      <x:c r="L103" s="6" t="str">
        <x:f>IF(P103="Not Eligible","PASS","FAIL")</x:f>
        <x:v>PASS</x:v>
      </x:c>
      <x:c r="M103" s="6" t="str">
        <x:v>Pending</x:v>
      </x:c>
      <x:c r="N103" s="6" t="str"/>
      <x:c r="O103" s="6" t="str"/>
      <x:c r="P103" s="6" t="str">
        <x:v>Not Eligible</x:v>
      </x:c>
      <x:c r="Q103" s="7" t="str"/>
    </x:row>
    <x:row r="104">
      <x:c r="A104" s="6" t="str">
        <x:v>APPR-0103</x:v>
      </x:c>
      <x:c r="B104" s="6" t="str">
        <x:v>Service Identity Queue</x:v>
      </x:c>
      <x:c r="C104" s="6" t="str">
        <x:v>SIDX-0103</x:v>
      </x:c>
      <x:c r="D104" s="6" t="str">
        <x:v>Service</x:v>
      </x:c>
      <x:c r="E104" s="6" t="str">
        <x:v>SVC000103</x:v>
      </x:c>
      <x:c r="F104" s="6" t="str">
        <x:f>IFERROR(IF(XLOOKUP(C104,'Review Sequence'!C2:C1586,'Review Sequence'!J2:J1586)="Reviewer Complete",XLOOKUP(C104,'Service Identity Queue'!A2:A315,'Service Identity Queue'!L2:L315),""),"")</x:f>
      </x:c>
      <x:c r="G104" s="6" t="str"/>
      <x:c r="H104" s="7" t="str">
        <x:f>IF(F104&lt;&gt;"",XLOOKUP(C104,'Service Identity Queue'!A2:A315,'Service Identity Queue'!N2:N315),"" )</x:f>
      </x:c>
      <x:c r="I104" s="6" t="str">
        <x:f>IF(F104&lt;&gt;"",XLOOKUP(C104,'Service Identity Queue'!A2:A315,'Service Identity Queue'!O2:O315),"" )</x:f>
      </x:c>
      <x:c r="J104" s="6" t="str">
        <x:f>IF(F104&lt;&gt;"",XLOOKUP(C104,'Service Identity Queue'!A2:A315,'Service Identity Queue'!P2:P315),"" )</x:f>
      </x:c>
      <x:c r="K104" s="6" t="str">
        <x:f>IF(F104&lt;&gt;"","Reviewer complete; second-level approval still required","Not eligible yet")</x:f>
        <x:v>Not eligible yet</x:v>
      </x:c>
      <x:c r="L104" s="6" t="str">
        <x:f>IF(P104="Not Eligible","PASS","FAIL")</x:f>
        <x:v>PASS</x:v>
      </x:c>
      <x:c r="M104" s="6" t="str">
        <x:v>Pending</x:v>
      </x:c>
      <x:c r="N104" s="6" t="str"/>
      <x:c r="O104" s="6" t="str"/>
      <x:c r="P104" s="6" t="str">
        <x:v>Not Eligible</x:v>
      </x:c>
      <x:c r="Q104" s="7" t="str"/>
    </x:row>
    <x:row r="105">
      <x:c r="A105" s="6" t="str">
        <x:v>APPR-0104</x:v>
      </x:c>
      <x:c r="B105" s="6" t="str">
        <x:v>Service Identity Queue</x:v>
      </x:c>
      <x:c r="C105" s="6" t="str">
        <x:v>SIDX-0104</x:v>
      </x:c>
      <x:c r="D105" s="6" t="str">
        <x:v>Service</x:v>
      </x:c>
      <x:c r="E105" s="6" t="str">
        <x:v>SVC000104</x:v>
      </x:c>
      <x:c r="F105" s="6" t="str">
        <x:f>IFERROR(IF(XLOOKUP(C105,'Review Sequence'!C2:C1586,'Review Sequence'!J2:J1586)="Reviewer Complete",XLOOKUP(C105,'Service Identity Queue'!A2:A315,'Service Identity Queue'!L2:L315),""),"")</x:f>
      </x:c>
      <x:c r="G105" s="6" t="str"/>
      <x:c r="H105" s="7" t="str">
        <x:f>IF(F105&lt;&gt;"",XLOOKUP(C105,'Service Identity Queue'!A2:A315,'Service Identity Queue'!N2:N315),"" )</x:f>
      </x:c>
      <x:c r="I105" s="6" t="str">
        <x:f>IF(F105&lt;&gt;"",XLOOKUP(C105,'Service Identity Queue'!A2:A315,'Service Identity Queue'!O2:O315),"" )</x:f>
      </x:c>
      <x:c r="J105" s="6" t="str">
        <x:f>IF(F105&lt;&gt;"",XLOOKUP(C105,'Service Identity Queue'!A2:A315,'Service Identity Queue'!P2:P315),"" )</x:f>
      </x:c>
      <x:c r="K105" s="6" t="str">
        <x:f>IF(F105&lt;&gt;"","Reviewer complete; second-level approval still required","Not eligible yet")</x:f>
        <x:v>Not eligible yet</x:v>
      </x:c>
      <x:c r="L105" s="6" t="str">
        <x:f>IF(P105="Not Eligible","PASS","FAIL")</x:f>
        <x:v>PASS</x:v>
      </x:c>
      <x:c r="M105" s="6" t="str">
        <x:v>Pending</x:v>
      </x:c>
      <x:c r="N105" s="6" t="str"/>
      <x:c r="O105" s="6" t="str"/>
      <x:c r="P105" s="6" t="str">
        <x:v>Not Eligible</x:v>
      </x:c>
      <x:c r="Q105" s="7" t="str"/>
    </x:row>
    <x:row r="106">
      <x:c r="A106" s="6" t="str">
        <x:v>APPR-0105</x:v>
      </x:c>
      <x:c r="B106" s="6" t="str">
        <x:v>Service Identity Queue</x:v>
      </x:c>
      <x:c r="C106" s="6" t="str">
        <x:v>SIDX-0105</x:v>
      </x:c>
      <x:c r="D106" s="6" t="str">
        <x:v>Service</x:v>
      </x:c>
      <x:c r="E106" s="6" t="str">
        <x:v>SVC000105</x:v>
      </x:c>
      <x:c r="F106" s="6" t="str">
        <x:f>IFERROR(IF(XLOOKUP(C106,'Review Sequence'!C2:C1586,'Review Sequence'!J2:J1586)="Reviewer Complete",XLOOKUP(C106,'Service Identity Queue'!A2:A315,'Service Identity Queue'!L2:L315),""),"")</x:f>
      </x:c>
      <x:c r="G106" s="6" t="str"/>
      <x:c r="H106" s="7" t="str">
        <x:f>IF(F106&lt;&gt;"",XLOOKUP(C106,'Service Identity Queue'!A2:A315,'Service Identity Queue'!N2:N315),"" )</x:f>
      </x:c>
      <x:c r="I106" s="6" t="str">
        <x:f>IF(F106&lt;&gt;"",XLOOKUP(C106,'Service Identity Queue'!A2:A315,'Service Identity Queue'!O2:O315),"" )</x:f>
      </x:c>
      <x:c r="J106" s="6" t="str">
        <x:f>IF(F106&lt;&gt;"",XLOOKUP(C106,'Service Identity Queue'!A2:A315,'Service Identity Queue'!P2:P315),"" )</x:f>
      </x:c>
      <x:c r="K106" s="6" t="str">
        <x:f>IF(F106&lt;&gt;"","Reviewer complete; second-level approval still required","Not eligible yet")</x:f>
        <x:v>Not eligible yet</x:v>
      </x:c>
      <x:c r="L106" s="6" t="str">
        <x:f>IF(P106="Not Eligible","PASS","FAIL")</x:f>
        <x:v>PASS</x:v>
      </x:c>
      <x:c r="M106" s="6" t="str">
        <x:v>Pending</x:v>
      </x:c>
      <x:c r="N106" s="6" t="str"/>
      <x:c r="O106" s="6" t="str"/>
      <x:c r="P106" s="6" t="str">
        <x:v>Not Eligible</x:v>
      </x:c>
      <x:c r="Q106" s="7" t="str"/>
    </x:row>
    <x:row r="107">
      <x:c r="A107" s="6" t="str">
        <x:v>APPR-0106</x:v>
      </x:c>
      <x:c r="B107" s="6" t="str">
        <x:v>Service Identity Queue</x:v>
      </x:c>
      <x:c r="C107" s="6" t="str">
        <x:v>SIDX-0106</x:v>
      </x:c>
      <x:c r="D107" s="6" t="str">
        <x:v>Service</x:v>
      </x:c>
      <x:c r="E107" s="6" t="str">
        <x:v>SVC000106</x:v>
      </x:c>
      <x:c r="F107" s="6" t="str">
        <x:f>IFERROR(IF(XLOOKUP(C107,'Review Sequence'!C2:C1586,'Review Sequence'!J2:J1586)="Reviewer Complete",XLOOKUP(C107,'Service Identity Queue'!A2:A315,'Service Identity Queue'!L2:L315),""),"")</x:f>
      </x:c>
      <x:c r="G107" s="6" t="str"/>
      <x:c r="H107" s="7" t="str">
        <x:f>IF(F107&lt;&gt;"",XLOOKUP(C107,'Service Identity Queue'!A2:A315,'Service Identity Queue'!N2:N315),"" )</x:f>
      </x:c>
      <x:c r="I107" s="6" t="str">
        <x:f>IF(F107&lt;&gt;"",XLOOKUP(C107,'Service Identity Queue'!A2:A315,'Service Identity Queue'!O2:O315),"" )</x:f>
      </x:c>
      <x:c r="J107" s="6" t="str">
        <x:f>IF(F107&lt;&gt;"",XLOOKUP(C107,'Service Identity Queue'!A2:A315,'Service Identity Queue'!P2:P315),"" )</x:f>
      </x:c>
      <x:c r="K107" s="6" t="str">
        <x:f>IF(F107&lt;&gt;"","Reviewer complete; second-level approval still required","Not eligible yet")</x:f>
        <x:v>Not eligible yet</x:v>
      </x:c>
      <x:c r="L107" s="6" t="str">
        <x:f>IF(P107="Not Eligible","PASS","FAIL")</x:f>
        <x:v>PASS</x:v>
      </x:c>
      <x:c r="M107" s="6" t="str">
        <x:v>Pending</x:v>
      </x:c>
      <x:c r="N107" s="6" t="str"/>
      <x:c r="O107" s="6" t="str"/>
      <x:c r="P107" s="6" t="str">
        <x:v>Not Eligible</x:v>
      </x:c>
      <x:c r="Q107" s="7" t="str"/>
    </x:row>
    <x:row r="108">
      <x:c r="A108" s="6" t="str">
        <x:v>APPR-0107</x:v>
      </x:c>
      <x:c r="B108" s="6" t="str">
        <x:v>Service Identity Queue</x:v>
      </x:c>
      <x:c r="C108" s="6" t="str">
        <x:v>SIDX-0107</x:v>
      </x:c>
      <x:c r="D108" s="6" t="str">
        <x:v>Service</x:v>
      </x:c>
      <x:c r="E108" s="6" t="str">
        <x:v>SVC000107</x:v>
      </x:c>
      <x:c r="F108" s="6" t="str">
        <x:f>IFERROR(IF(XLOOKUP(C108,'Review Sequence'!C2:C1586,'Review Sequence'!J2:J1586)="Reviewer Complete",XLOOKUP(C108,'Service Identity Queue'!A2:A315,'Service Identity Queue'!L2:L315),""),"")</x:f>
      </x:c>
      <x:c r="G108" s="6" t="str"/>
      <x:c r="H108" s="7" t="str">
        <x:f>IF(F108&lt;&gt;"",XLOOKUP(C108,'Service Identity Queue'!A2:A315,'Service Identity Queue'!N2:N315),"" )</x:f>
      </x:c>
      <x:c r="I108" s="6" t="str">
        <x:f>IF(F108&lt;&gt;"",XLOOKUP(C108,'Service Identity Queue'!A2:A315,'Service Identity Queue'!O2:O315),"" )</x:f>
      </x:c>
      <x:c r="J108" s="6" t="str">
        <x:f>IF(F108&lt;&gt;"",XLOOKUP(C108,'Service Identity Queue'!A2:A315,'Service Identity Queue'!P2:P315),"" )</x:f>
      </x:c>
      <x:c r="K108" s="6" t="str">
        <x:f>IF(F108&lt;&gt;"","Reviewer complete; second-level approval still required","Not eligible yet")</x:f>
        <x:v>Not eligible yet</x:v>
      </x:c>
      <x:c r="L108" s="6" t="str">
        <x:f>IF(P108="Not Eligible","PASS","FAIL")</x:f>
        <x:v>PASS</x:v>
      </x:c>
      <x:c r="M108" s="6" t="str">
        <x:v>Pending</x:v>
      </x:c>
      <x:c r="N108" s="6" t="str"/>
      <x:c r="O108" s="6" t="str"/>
      <x:c r="P108" s="6" t="str">
        <x:v>Not Eligible</x:v>
      </x:c>
      <x:c r="Q108" s="7" t="str"/>
    </x:row>
    <x:row r="109">
      <x:c r="A109" s="6" t="str">
        <x:v>APPR-0108</x:v>
      </x:c>
      <x:c r="B109" s="6" t="str">
        <x:v>Service Identity Queue</x:v>
      </x:c>
      <x:c r="C109" s="6" t="str">
        <x:v>SIDX-0108</x:v>
      </x:c>
      <x:c r="D109" s="6" t="str">
        <x:v>Service</x:v>
      </x:c>
      <x:c r="E109" s="6" t="str">
        <x:v>SVC000108</x:v>
      </x:c>
      <x:c r="F109" s="6" t="str">
        <x:f>IFERROR(IF(XLOOKUP(C109,'Review Sequence'!C2:C1586,'Review Sequence'!J2:J1586)="Reviewer Complete",XLOOKUP(C109,'Service Identity Queue'!A2:A315,'Service Identity Queue'!L2:L315),""),"")</x:f>
      </x:c>
      <x:c r="G109" s="6" t="str"/>
      <x:c r="H109" s="7" t="str">
        <x:f>IF(F109&lt;&gt;"",XLOOKUP(C109,'Service Identity Queue'!A2:A315,'Service Identity Queue'!N2:N315),"" )</x:f>
      </x:c>
      <x:c r="I109" s="6" t="str">
        <x:f>IF(F109&lt;&gt;"",XLOOKUP(C109,'Service Identity Queue'!A2:A315,'Service Identity Queue'!O2:O315),"" )</x:f>
      </x:c>
      <x:c r="J109" s="6" t="str">
        <x:f>IF(F109&lt;&gt;"",XLOOKUP(C109,'Service Identity Queue'!A2:A315,'Service Identity Queue'!P2:P315),"" )</x:f>
      </x:c>
      <x:c r="K109" s="6" t="str">
        <x:f>IF(F109&lt;&gt;"","Reviewer complete; second-level approval still required","Not eligible yet")</x:f>
        <x:v>Not eligible yet</x:v>
      </x:c>
      <x:c r="L109" s="6" t="str">
        <x:f>IF(P109="Not Eligible","PASS","FAIL")</x:f>
        <x:v>PASS</x:v>
      </x:c>
      <x:c r="M109" s="6" t="str">
        <x:v>Pending</x:v>
      </x:c>
      <x:c r="N109" s="6" t="str"/>
      <x:c r="O109" s="6" t="str"/>
      <x:c r="P109" s="6" t="str">
        <x:v>Not Eligible</x:v>
      </x:c>
      <x:c r="Q109" s="7" t="str"/>
    </x:row>
    <x:row r="110">
      <x:c r="A110" s="6" t="str">
        <x:v>APPR-0109</x:v>
      </x:c>
      <x:c r="B110" s="6" t="str">
        <x:v>Service Identity Queue</x:v>
      </x:c>
      <x:c r="C110" s="6" t="str">
        <x:v>SIDX-0109</x:v>
      </x:c>
      <x:c r="D110" s="6" t="str">
        <x:v>Service</x:v>
      </x:c>
      <x:c r="E110" s="6" t="str">
        <x:v>SVC000109</x:v>
      </x:c>
      <x:c r="F110" s="6" t="str">
        <x:f>IFERROR(IF(XLOOKUP(C110,'Review Sequence'!C2:C1586,'Review Sequence'!J2:J1586)="Reviewer Complete",XLOOKUP(C110,'Service Identity Queue'!A2:A315,'Service Identity Queue'!L2:L315),""),"")</x:f>
      </x:c>
      <x:c r="G110" s="6" t="str"/>
      <x:c r="H110" s="7" t="str">
        <x:f>IF(F110&lt;&gt;"",XLOOKUP(C110,'Service Identity Queue'!A2:A315,'Service Identity Queue'!N2:N315),"" )</x:f>
      </x:c>
      <x:c r="I110" s="6" t="str">
        <x:f>IF(F110&lt;&gt;"",XLOOKUP(C110,'Service Identity Queue'!A2:A315,'Service Identity Queue'!O2:O315),"" )</x:f>
      </x:c>
      <x:c r="J110" s="6" t="str">
        <x:f>IF(F110&lt;&gt;"",XLOOKUP(C110,'Service Identity Queue'!A2:A315,'Service Identity Queue'!P2:P315),"" )</x:f>
      </x:c>
      <x:c r="K110" s="6" t="str">
        <x:f>IF(F110&lt;&gt;"","Reviewer complete; second-level approval still required","Not eligible yet")</x:f>
        <x:v>Not eligible yet</x:v>
      </x:c>
      <x:c r="L110" s="6" t="str">
        <x:f>IF(P110="Not Eligible","PASS","FAIL")</x:f>
        <x:v>PASS</x:v>
      </x:c>
      <x:c r="M110" s="6" t="str">
        <x:v>Pending</x:v>
      </x:c>
      <x:c r="N110" s="6" t="str"/>
      <x:c r="O110" s="6" t="str"/>
      <x:c r="P110" s="6" t="str">
        <x:v>Not Eligible</x:v>
      </x:c>
      <x:c r="Q110" s="7" t="str"/>
    </x:row>
    <x:row r="111">
      <x:c r="A111" s="6" t="str">
        <x:v>APPR-0110</x:v>
      </x:c>
      <x:c r="B111" s="6" t="str">
        <x:v>Service Identity Queue</x:v>
      </x:c>
      <x:c r="C111" s="6" t="str">
        <x:v>SIDX-0110</x:v>
      </x:c>
      <x:c r="D111" s="6" t="str">
        <x:v>Service</x:v>
      </x:c>
      <x:c r="E111" s="6" t="str">
        <x:v>SVC000110</x:v>
      </x:c>
      <x:c r="F111" s="6" t="str">
        <x:f>IFERROR(IF(XLOOKUP(C111,'Review Sequence'!C2:C1586,'Review Sequence'!J2:J1586)="Reviewer Complete",XLOOKUP(C111,'Service Identity Queue'!A2:A315,'Service Identity Queue'!L2:L315),""),"")</x:f>
      </x:c>
      <x:c r="G111" s="6" t="str"/>
      <x:c r="H111" s="7" t="str">
        <x:f>IF(F111&lt;&gt;"",XLOOKUP(C111,'Service Identity Queue'!A2:A315,'Service Identity Queue'!N2:N315),"" )</x:f>
      </x:c>
      <x:c r="I111" s="6" t="str">
        <x:f>IF(F111&lt;&gt;"",XLOOKUP(C111,'Service Identity Queue'!A2:A315,'Service Identity Queue'!O2:O315),"" )</x:f>
      </x:c>
      <x:c r="J111" s="6" t="str">
        <x:f>IF(F111&lt;&gt;"",XLOOKUP(C111,'Service Identity Queue'!A2:A315,'Service Identity Queue'!P2:P315),"" )</x:f>
      </x:c>
      <x:c r="K111" s="6" t="str">
        <x:f>IF(F111&lt;&gt;"","Reviewer complete; second-level approval still required","Not eligible yet")</x:f>
        <x:v>Not eligible yet</x:v>
      </x:c>
      <x:c r="L111" s="6" t="str">
        <x:f>IF(P111="Not Eligible","PASS","FAIL")</x:f>
        <x:v>PASS</x:v>
      </x:c>
      <x:c r="M111" s="6" t="str">
        <x:v>Pending</x:v>
      </x:c>
      <x:c r="N111" s="6" t="str"/>
      <x:c r="O111" s="6" t="str"/>
      <x:c r="P111" s="6" t="str">
        <x:v>Not Eligible</x:v>
      </x:c>
      <x:c r="Q111" s="7" t="str"/>
    </x:row>
    <x:row r="112">
      <x:c r="A112" s="6" t="str">
        <x:v>APPR-0111</x:v>
      </x:c>
      <x:c r="B112" s="6" t="str">
        <x:v>Service Identity Queue</x:v>
      </x:c>
      <x:c r="C112" s="6" t="str">
        <x:v>SIDX-0111</x:v>
      </x:c>
      <x:c r="D112" s="6" t="str">
        <x:v>Service</x:v>
      </x:c>
      <x:c r="E112" s="6" t="str">
        <x:v>SVC000111</x:v>
      </x:c>
      <x:c r="F112" s="6" t="str">
        <x:f>IFERROR(IF(XLOOKUP(C112,'Review Sequence'!C2:C1586,'Review Sequence'!J2:J1586)="Reviewer Complete",XLOOKUP(C112,'Service Identity Queue'!A2:A315,'Service Identity Queue'!L2:L315),""),"")</x:f>
      </x:c>
      <x:c r="G112" s="6" t="str"/>
      <x:c r="H112" s="7" t="str">
        <x:f>IF(F112&lt;&gt;"",XLOOKUP(C112,'Service Identity Queue'!A2:A315,'Service Identity Queue'!N2:N315),"" )</x:f>
      </x:c>
      <x:c r="I112" s="6" t="str">
        <x:f>IF(F112&lt;&gt;"",XLOOKUP(C112,'Service Identity Queue'!A2:A315,'Service Identity Queue'!O2:O315),"" )</x:f>
      </x:c>
      <x:c r="J112" s="6" t="str">
        <x:f>IF(F112&lt;&gt;"",XLOOKUP(C112,'Service Identity Queue'!A2:A315,'Service Identity Queue'!P2:P315),"" )</x:f>
      </x:c>
      <x:c r="K112" s="6" t="str">
        <x:f>IF(F112&lt;&gt;"","Reviewer complete; second-level approval still required","Not eligible yet")</x:f>
        <x:v>Not eligible yet</x:v>
      </x:c>
      <x:c r="L112" s="6" t="str">
        <x:f>IF(P112="Not Eligible","PASS","FAIL")</x:f>
        <x:v>PASS</x:v>
      </x:c>
      <x:c r="M112" s="6" t="str">
        <x:v>Pending</x:v>
      </x:c>
      <x:c r="N112" s="6" t="str"/>
      <x:c r="O112" s="6" t="str"/>
      <x:c r="P112" s="6" t="str">
        <x:v>Not Eligible</x:v>
      </x:c>
      <x:c r="Q112" s="7" t="str"/>
    </x:row>
    <x:row r="113">
      <x:c r="A113" s="6" t="str">
        <x:v>APPR-0112</x:v>
      </x:c>
      <x:c r="B113" s="6" t="str">
        <x:v>Service Identity Queue</x:v>
      </x:c>
      <x:c r="C113" s="6" t="str">
        <x:v>SIDX-0112</x:v>
      </x:c>
      <x:c r="D113" s="6" t="str">
        <x:v>Service</x:v>
      </x:c>
      <x:c r="E113" s="6" t="str">
        <x:v>SVC000112</x:v>
      </x:c>
      <x:c r="F113" s="6" t="str">
        <x:f>IFERROR(IF(XLOOKUP(C113,'Review Sequence'!C2:C1586,'Review Sequence'!J2:J1586)="Reviewer Complete",XLOOKUP(C113,'Service Identity Queue'!A2:A315,'Service Identity Queue'!L2:L315),""),"")</x:f>
      </x:c>
      <x:c r="G113" s="6" t="str"/>
      <x:c r="H113" s="7" t="str">
        <x:f>IF(F113&lt;&gt;"",XLOOKUP(C113,'Service Identity Queue'!A2:A315,'Service Identity Queue'!N2:N315),"" )</x:f>
      </x:c>
      <x:c r="I113" s="6" t="str">
        <x:f>IF(F113&lt;&gt;"",XLOOKUP(C113,'Service Identity Queue'!A2:A315,'Service Identity Queue'!O2:O315),"" )</x:f>
      </x:c>
      <x:c r="J113" s="6" t="str">
        <x:f>IF(F113&lt;&gt;"",XLOOKUP(C113,'Service Identity Queue'!A2:A315,'Service Identity Queue'!P2:P315),"" )</x:f>
      </x:c>
      <x:c r="K113" s="6" t="str">
        <x:f>IF(F113&lt;&gt;"","Reviewer complete; second-level approval still required","Not eligible yet")</x:f>
        <x:v>Not eligible yet</x:v>
      </x:c>
      <x:c r="L113" s="6" t="str">
        <x:f>IF(P113="Not Eligible","PASS","FAIL")</x:f>
        <x:v>PASS</x:v>
      </x:c>
      <x:c r="M113" s="6" t="str">
        <x:v>Pending</x:v>
      </x:c>
      <x:c r="N113" s="6" t="str"/>
      <x:c r="O113" s="6" t="str"/>
      <x:c r="P113" s="6" t="str">
        <x:v>Not Eligible</x:v>
      </x:c>
      <x:c r="Q113" s="7" t="str"/>
    </x:row>
    <x:row r="114">
      <x:c r="A114" s="6" t="str">
        <x:v>APPR-0113</x:v>
      </x:c>
      <x:c r="B114" s="6" t="str">
        <x:v>Service Identity Queue</x:v>
      </x:c>
      <x:c r="C114" s="6" t="str">
        <x:v>SIDX-0113</x:v>
      </x:c>
      <x:c r="D114" s="6" t="str">
        <x:v>Service</x:v>
      </x:c>
      <x:c r="E114" s="6" t="str">
        <x:v>SVC000113</x:v>
      </x:c>
      <x:c r="F114" s="6" t="str">
        <x:f>IFERROR(IF(XLOOKUP(C114,'Review Sequence'!C2:C1586,'Review Sequence'!J2:J1586)="Reviewer Complete",XLOOKUP(C114,'Service Identity Queue'!A2:A315,'Service Identity Queue'!L2:L315),""),"")</x:f>
      </x:c>
      <x:c r="G114" s="6" t="str"/>
      <x:c r="H114" s="7" t="str">
        <x:f>IF(F114&lt;&gt;"",XLOOKUP(C114,'Service Identity Queue'!A2:A315,'Service Identity Queue'!N2:N315),"" )</x:f>
      </x:c>
      <x:c r="I114" s="6" t="str">
        <x:f>IF(F114&lt;&gt;"",XLOOKUP(C114,'Service Identity Queue'!A2:A315,'Service Identity Queue'!O2:O315),"" )</x:f>
      </x:c>
      <x:c r="J114" s="6" t="str">
        <x:f>IF(F114&lt;&gt;"",XLOOKUP(C114,'Service Identity Queue'!A2:A315,'Service Identity Queue'!P2:P315),"" )</x:f>
      </x:c>
      <x:c r="K114" s="6" t="str">
        <x:f>IF(F114&lt;&gt;"","Reviewer complete; second-level approval still required","Not eligible yet")</x:f>
        <x:v>Not eligible yet</x:v>
      </x:c>
      <x:c r="L114" s="6" t="str">
        <x:f>IF(P114="Not Eligible","PASS","FAIL")</x:f>
        <x:v>PASS</x:v>
      </x:c>
      <x:c r="M114" s="6" t="str">
        <x:v>Pending</x:v>
      </x:c>
      <x:c r="N114" s="6" t="str"/>
      <x:c r="O114" s="6" t="str"/>
      <x:c r="P114" s="6" t="str">
        <x:v>Not Eligible</x:v>
      </x:c>
      <x:c r="Q114" s="7" t="str"/>
    </x:row>
    <x:row r="115">
      <x:c r="A115" s="6" t="str">
        <x:v>APPR-0114</x:v>
      </x:c>
      <x:c r="B115" s="6" t="str">
        <x:v>Service Identity Queue</x:v>
      </x:c>
      <x:c r="C115" s="6" t="str">
        <x:v>SIDX-0114</x:v>
      </x:c>
      <x:c r="D115" s="6" t="str">
        <x:v>Service</x:v>
      </x:c>
      <x:c r="E115" s="6" t="str">
        <x:v>SVC000114</x:v>
      </x:c>
      <x:c r="F115" s="6" t="str">
        <x:f>IFERROR(IF(XLOOKUP(C115,'Review Sequence'!C2:C1586,'Review Sequence'!J2:J1586)="Reviewer Complete",XLOOKUP(C115,'Service Identity Queue'!A2:A315,'Service Identity Queue'!L2:L315),""),"")</x:f>
      </x:c>
      <x:c r="G115" s="6" t="str"/>
      <x:c r="H115" s="7" t="str">
        <x:f>IF(F115&lt;&gt;"",XLOOKUP(C115,'Service Identity Queue'!A2:A315,'Service Identity Queue'!N2:N315),"" )</x:f>
      </x:c>
      <x:c r="I115" s="6" t="str">
        <x:f>IF(F115&lt;&gt;"",XLOOKUP(C115,'Service Identity Queue'!A2:A315,'Service Identity Queue'!O2:O315),"" )</x:f>
      </x:c>
      <x:c r="J115" s="6" t="str">
        <x:f>IF(F115&lt;&gt;"",XLOOKUP(C115,'Service Identity Queue'!A2:A315,'Service Identity Queue'!P2:P315),"" )</x:f>
      </x:c>
      <x:c r="K115" s="6" t="str">
        <x:f>IF(F115&lt;&gt;"","Reviewer complete; second-level approval still required","Not eligible yet")</x:f>
        <x:v>Not eligible yet</x:v>
      </x:c>
      <x:c r="L115" s="6" t="str">
        <x:f>IF(P115="Not Eligible","PASS","FAIL")</x:f>
        <x:v>PASS</x:v>
      </x:c>
      <x:c r="M115" s="6" t="str">
        <x:v>Pending</x:v>
      </x:c>
      <x:c r="N115" s="6" t="str"/>
      <x:c r="O115" s="6" t="str"/>
      <x:c r="P115" s="6" t="str">
        <x:v>Not Eligible</x:v>
      </x:c>
      <x:c r="Q115" s="7" t="str"/>
    </x:row>
    <x:row r="116">
      <x:c r="A116" s="6" t="str">
        <x:v>APPR-0115</x:v>
      </x:c>
      <x:c r="B116" s="6" t="str">
        <x:v>Service Identity Queue</x:v>
      </x:c>
      <x:c r="C116" s="6" t="str">
        <x:v>SIDX-0115</x:v>
      </x:c>
      <x:c r="D116" s="6" t="str">
        <x:v>Service</x:v>
      </x:c>
      <x:c r="E116" s="6" t="str">
        <x:v>SVC000115</x:v>
      </x:c>
      <x:c r="F116" s="6" t="str">
        <x:f>IFERROR(IF(XLOOKUP(C116,'Review Sequence'!C2:C1586,'Review Sequence'!J2:J1586)="Reviewer Complete",XLOOKUP(C116,'Service Identity Queue'!A2:A315,'Service Identity Queue'!L2:L315),""),"")</x:f>
      </x:c>
      <x:c r="G116" s="6" t="str"/>
      <x:c r="H116" s="7" t="str">
        <x:f>IF(F116&lt;&gt;"",XLOOKUP(C116,'Service Identity Queue'!A2:A315,'Service Identity Queue'!N2:N315),"" )</x:f>
      </x:c>
      <x:c r="I116" s="6" t="str">
        <x:f>IF(F116&lt;&gt;"",XLOOKUP(C116,'Service Identity Queue'!A2:A315,'Service Identity Queue'!O2:O315),"" )</x:f>
      </x:c>
      <x:c r="J116" s="6" t="str">
        <x:f>IF(F116&lt;&gt;"",XLOOKUP(C116,'Service Identity Queue'!A2:A315,'Service Identity Queue'!P2:P315),"" )</x:f>
      </x:c>
      <x:c r="K116" s="6" t="str">
        <x:f>IF(F116&lt;&gt;"","Reviewer complete; second-level approval still required","Not eligible yet")</x:f>
        <x:v>Not eligible yet</x:v>
      </x:c>
      <x:c r="L116" s="6" t="str">
        <x:f>IF(P116="Not Eligible","PASS","FAIL")</x:f>
        <x:v>PASS</x:v>
      </x:c>
      <x:c r="M116" s="6" t="str">
        <x:v>Pending</x:v>
      </x:c>
      <x:c r="N116" s="6" t="str"/>
      <x:c r="O116" s="6" t="str"/>
      <x:c r="P116" s="6" t="str">
        <x:v>Not Eligible</x:v>
      </x:c>
      <x:c r="Q116" s="7" t="str"/>
    </x:row>
    <x:row r="117">
      <x:c r="A117" s="6" t="str">
        <x:v>APPR-0116</x:v>
      </x:c>
      <x:c r="B117" s="6" t="str">
        <x:v>Service Identity Queue</x:v>
      </x:c>
      <x:c r="C117" s="6" t="str">
        <x:v>SIDX-0116</x:v>
      </x:c>
      <x:c r="D117" s="6" t="str">
        <x:v>Service</x:v>
      </x:c>
      <x:c r="E117" s="6" t="str">
        <x:v>SVC000116</x:v>
      </x:c>
      <x:c r="F117" s="6" t="str">
        <x:f>IFERROR(IF(XLOOKUP(C117,'Review Sequence'!C2:C1586,'Review Sequence'!J2:J1586)="Reviewer Complete",XLOOKUP(C117,'Service Identity Queue'!A2:A315,'Service Identity Queue'!L2:L315),""),"")</x:f>
      </x:c>
      <x:c r="G117" s="6" t="str"/>
      <x:c r="H117" s="7" t="str">
        <x:f>IF(F117&lt;&gt;"",XLOOKUP(C117,'Service Identity Queue'!A2:A315,'Service Identity Queue'!N2:N315),"" )</x:f>
      </x:c>
      <x:c r="I117" s="6" t="str">
        <x:f>IF(F117&lt;&gt;"",XLOOKUP(C117,'Service Identity Queue'!A2:A315,'Service Identity Queue'!O2:O315),"" )</x:f>
      </x:c>
      <x:c r="J117" s="6" t="str">
        <x:f>IF(F117&lt;&gt;"",XLOOKUP(C117,'Service Identity Queue'!A2:A315,'Service Identity Queue'!P2:P315),"" )</x:f>
      </x:c>
      <x:c r="K117" s="6" t="str">
        <x:f>IF(F117&lt;&gt;"","Reviewer complete; second-level approval still required","Not eligible yet")</x:f>
        <x:v>Not eligible yet</x:v>
      </x:c>
      <x:c r="L117" s="6" t="str">
        <x:f>IF(P117="Not Eligible","PASS","FAIL")</x:f>
        <x:v>PASS</x:v>
      </x:c>
      <x:c r="M117" s="6" t="str">
        <x:v>Pending</x:v>
      </x:c>
      <x:c r="N117" s="6" t="str"/>
      <x:c r="O117" s="6" t="str"/>
      <x:c r="P117" s="6" t="str">
        <x:v>Not Eligible</x:v>
      </x:c>
      <x:c r="Q117" s="7" t="str"/>
    </x:row>
    <x:row r="118">
      <x:c r="A118" s="6" t="str">
        <x:v>APPR-0117</x:v>
      </x:c>
      <x:c r="B118" s="6" t="str">
        <x:v>Service Identity Queue</x:v>
      </x:c>
      <x:c r="C118" s="6" t="str">
        <x:v>SIDX-0117</x:v>
      </x:c>
      <x:c r="D118" s="6" t="str">
        <x:v>Service</x:v>
      </x:c>
      <x:c r="E118" s="6" t="str">
        <x:v>SVC000117</x:v>
      </x:c>
      <x:c r="F118" s="6" t="str">
        <x:f>IFERROR(IF(XLOOKUP(C118,'Review Sequence'!C2:C1586,'Review Sequence'!J2:J1586)="Reviewer Complete",XLOOKUP(C118,'Service Identity Queue'!A2:A315,'Service Identity Queue'!L2:L315),""),"")</x:f>
      </x:c>
      <x:c r="G118" s="6" t="str"/>
      <x:c r="H118" s="7" t="str">
        <x:f>IF(F118&lt;&gt;"",XLOOKUP(C118,'Service Identity Queue'!A2:A315,'Service Identity Queue'!N2:N315),"" )</x:f>
      </x:c>
      <x:c r="I118" s="6" t="str">
        <x:f>IF(F118&lt;&gt;"",XLOOKUP(C118,'Service Identity Queue'!A2:A315,'Service Identity Queue'!O2:O315),"" )</x:f>
      </x:c>
      <x:c r="J118" s="6" t="str">
        <x:f>IF(F118&lt;&gt;"",XLOOKUP(C118,'Service Identity Queue'!A2:A315,'Service Identity Queue'!P2:P315),"" )</x:f>
      </x:c>
      <x:c r="K118" s="6" t="str">
        <x:f>IF(F118&lt;&gt;"","Reviewer complete; second-level approval still required","Not eligible yet")</x:f>
        <x:v>Not eligible yet</x:v>
      </x:c>
      <x:c r="L118" s="6" t="str">
        <x:f>IF(P118="Not Eligible","PASS","FAIL")</x:f>
        <x:v>PASS</x:v>
      </x:c>
      <x:c r="M118" s="6" t="str">
        <x:v>Pending</x:v>
      </x:c>
      <x:c r="N118" s="6" t="str"/>
      <x:c r="O118" s="6" t="str"/>
      <x:c r="P118" s="6" t="str">
        <x:v>Not Eligible</x:v>
      </x:c>
      <x:c r="Q118" s="7" t="str"/>
    </x:row>
    <x:row r="119">
      <x:c r="A119" s="6" t="str">
        <x:v>APPR-0118</x:v>
      </x:c>
      <x:c r="B119" s="6" t="str">
        <x:v>Service Identity Queue</x:v>
      </x:c>
      <x:c r="C119" s="6" t="str">
        <x:v>SIDX-0118</x:v>
      </x:c>
      <x:c r="D119" s="6" t="str">
        <x:v>Service</x:v>
      </x:c>
      <x:c r="E119" s="6" t="str">
        <x:v>SVC000118</x:v>
      </x:c>
      <x:c r="F119" s="6" t="str">
        <x:f>IFERROR(IF(XLOOKUP(C119,'Review Sequence'!C2:C1586,'Review Sequence'!J2:J1586)="Reviewer Complete",XLOOKUP(C119,'Service Identity Queue'!A2:A315,'Service Identity Queue'!L2:L315),""),"")</x:f>
      </x:c>
      <x:c r="G119" s="6" t="str"/>
      <x:c r="H119" s="7" t="str">
        <x:f>IF(F119&lt;&gt;"",XLOOKUP(C119,'Service Identity Queue'!A2:A315,'Service Identity Queue'!N2:N315),"" )</x:f>
      </x:c>
      <x:c r="I119" s="6" t="str">
        <x:f>IF(F119&lt;&gt;"",XLOOKUP(C119,'Service Identity Queue'!A2:A315,'Service Identity Queue'!O2:O315),"" )</x:f>
      </x:c>
      <x:c r="J119" s="6" t="str">
        <x:f>IF(F119&lt;&gt;"",XLOOKUP(C119,'Service Identity Queue'!A2:A315,'Service Identity Queue'!P2:P315),"" )</x:f>
      </x:c>
      <x:c r="K119" s="6" t="str">
        <x:f>IF(F119&lt;&gt;"","Reviewer complete; second-level approval still required","Not eligible yet")</x:f>
        <x:v>Not eligible yet</x:v>
      </x:c>
      <x:c r="L119" s="6" t="str">
        <x:f>IF(P119="Not Eligible","PASS","FAIL")</x:f>
        <x:v>PASS</x:v>
      </x:c>
      <x:c r="M119" s="6" t="str">
        <x:v>Pending</x:v>
      </x:c>
      <x:c r="N119" s="6" t="str"/>
      <x:c r="O119" s="6" t="str"/>
      <x:c r="P119" s="6" t="str">
        <x:v>Not Eligible</x:v>
      </x:c>
      <x:c r="Q119" s="7" t="str"/>
    </x:row>
    <x:row r="120">
      <x:c r="A120" s="6" t="str">
        <x:v>APPR-0119</x:v>
      </x:c>
      <x:c r="B120" s="6" t="str">
        <x:v>Service Identity Queue</x:v>
      </x:c>
      <x:c r="C120" s="6" t="str">
        <x:v>SIDX-0119</x:v>
      </x:c>
      <x:c r="D120" s="6" t="str">
        <x:v>Service</x:v>
      </x:c>
      <x:c r="E120" s="6" t="str">
        <x:v>SVC000119</x:v>
      </x:c>
      <x:c r="F120" s="6" t="str">
        <x:f>IFERROR(IF(XLOOKUP(C120,'Review Sequence'!C2:C1586,'Review Sequence'!J2:J1586)="Reviewer Complete",XLOOKUP(C120,'Service Identity Queue'!A2:A315,'Service Identity Queue'!L2:L315),""),"")</x:f>
      </x:c>
      <x:c r="G120" s="6" t="str"/>
      <x:c r="H120" s="7" t="str">
        <x:f>IF(F120&lt;&gt;"",XLOOKUP(C120,'Service Identity Queue'!A2:A315,'Service Identity Queue'!N2:N315),"" )</x:f>
      </x:c>
      <x:c r="I120" s="6" t="str">
        <x:f>IF(F120&lt;&gt;"",XLOOKUP(C120,'Service Identity Queue'!A2:A315,'Service Identity Queue'!O2:O315),"" )</x:f>
      </x:c>
      <x:c r="J120" s="6" t="str">
        <x:f>IF(F120&lt;&gt;"",XLOOKUP(C120,'Service Identity Queue'!A2:A315,'Service Identity Queue'!P2:P315),"" )</x:f>
      </x:c>
      <x:c r="K120" s="6" t="str">
        <x:f>IF(F120&lt;&gt;"","Reviewer complete; second-level approval still required","Not eligible yet")</x:f>
        <x:v>Not eligible yet</x:v>
      </x:c>
      <x:c r="L120" s="6" t="str">
        <x:f>IF(P120="Not Eligible","PASS","FAIL")</x:f>
        <x:v>PASS</x:v>
      </x:c>
      <x:c r="M120" s="6" t="str">
        <x:v>Pending</x:v>
      </x:c>
      <x:c r="N120" s="6" t="str"/>
      <x:c r="O120" s="6" t="str"/>
      <x:c r="P120" s="6" t="str">
        <x:v>Not Eligible</x:v>
      </x:c>
      <x:c r="Q120" s="7" t="str"/>
    </x:row>
    <x:row r="121">
      <x:c r="A121" s="6" t="str">
        <x:v>APPR-0120</x:v>
      </x:c>
      <x:c r="B121" s="6" t="str">
        <x:v>Service Identity Queue</x:v>
      </x:c>
      <x:c r="C121" s="6" t="str">
        <x:v>SIDX-0120</x:v>
      </x:c>
      <x:c r="D121" s="6" t="str">
        <x:v>Service</x:v>
      </x:c>
      <x:c r="E121" s="6" t="str">
        <x:v>SVC000120</x:v>
      </x:c>
      <x:c r="F121" s="6" t="str">
        <x:f>IFERROR(IF(XLOOKUP(C121,'Review Sequence'!C2:C1586,'Review Sequence'!J2:J1586)="Reviewer Complete",XLOOKUP(C121,'Service Identity Queue'!A2:A315,'Service Identity Queue'!L2:L315),""),"")</x:f>
      </x:c>
      <x:c r="G121" s="6" t="str"/>
      <x:c r="H121" s="7" t="str">
        <x:f>IF(F121&lt;&gt;"",XLOOKUP(C121,'Service Identity Queue'!A2:A315,'Service Identity Queue'!N2:N315),"" )</x:f>
      </x:c>
      <x:c r="I121" s="6" t="str">
        <x:f>IF(F121&lt;&gt;"",XLOOKUP(C121,'Service Identity Queue'!A2:A315,'Service Identity Queue'!O2:O315),"" )</x:f>
      </x:c>
      <x:c r="J121" s="6" t="str">
        <x:f>IF(F121&lt;&gt;"",XLOOKUP(C121,'Service Identity Queue'!A2:A315,'Service Identity Queue'!P2:P315),"" )</x:f>
      </x:c>
      <x:c r="K121" s="6" t="str">
        <x:f>IF(F121&lt;&gt;"","Reviewer complete; second-level approval still required","Not eligible yet")</x:f>
        <x:v>Not eligible yet</x:v>
      </x:c>
      <x:c r="L121" s="6" t="str">
        <x:f>IF(P121="Not Eligible","PASS","FAIL")</x:f>
        <x:v>PASS</x:v>
      </x:c>
      <x:c r="M121" s="6" t="str">
        <x:v>Pending</x:v>
      </x:c>
      <x:c r="N121" s="6" t="str"/>
      <x:c r="O121" s="6" t="str"/>
      <x:c r="P121" s="6" t="str">
        <x:v>Not Eligible</x:v>
      </x:c>
      <x:c r="Q121" s="7" t="str"/>
    </x:row>
    <x:row r="122">
      <x:c r="A122" s="6" t="str">
        <x:v>APPR-0121</x:v>
      </x:c>
      <x:c r="B122" s="6" t="str">
        <x:v>Service Identity Queue</x:v>
      </x:c>
      <x:c r="C122" s="6" t="str">
        <x:v>SIDX-0121</x:v>
      </x:c>
      <x:c r="D122" s="6" t="str">
        <x:v>Service</x:v>
      </x:c>
      <x:c r="E122" s="6" t="str">
        <x:v>SVC000121</x:v>
      </x:c>
      <x:c r="F122" s="6" t="str">
        <x:f>IFERROR(IF(XLOOKUP(C122,'Review Sequence'!C2:C1586,'Review Sequence'!J2:J1586)="Reviewer Complete",XLOOKUP(C122,'Service Identity Queue'!A2:A315,'Service Identity Queue'!L2:L315),""),"")</x:f>
      </x:c>
      <x:c r="G122" s="6" t="str"/>
      <x:c r="H122" s="7" t="str">
        <x:f>IF(F122&lt;&gt;"",XLOOKUP(C122,'Service Identity Queue'!A2:A315,'Service Identity Queue'!N2:N315),"" )</x:f>
      </x:c>
      <x:c r="I122" s="6" t="str">
        <x:f>IF(F122&lt;&gt;"",XLOOKUP(C122,'Service Identity Queue'!A2:A315,'Service Identity Queue'!O2:O315),"" )</x:f>
      </x:c>
      <x:c r="J122" s="6" t="str">
        <x:f>IF(F122&lt;&gt;"",XLOOKUP(C122,'Service Identity Queue'!A2:A315,'Service Identity Queue'!P2:P315),"" )</x:f>
      </x:c>
      <x:c r="K122" s="6" t="str">
        <x:f>IF(F122&lt;&gt;"","Reviewer complete; second-level approval still required","Not eligible yet")</x:f>
        <x:v>Not eligible yet</x:v>
      </x:c>
      <x:c r="L122" s="6" t="str">
        <x:f>IF(P122="Not Eligible","PASS","FAIL")</x:f>
        <x:v>PASS</x:v>
      </x:c>
      <x:c r="M122" s="6" t="str">
        <x:v>Pending</x:v>
      </x:c>
      <x:c r="N122" s="6" t="str"/>
      <x:c r="O122" s="6" t="str"/>
      <x:c r="P122" s="6" t="str">
        <x:v>Not Eligible</x:v>
      </x:c>
      <x:c r="Q122" s="7" t="str"/>
    </x:row>
    <x:row r="123">
      <x:c r="A123" s="6" t="str">
        <x:v>APPR-0122</x:v>
      </x:c>
      <x:c r="B123" s="6" t="str">
        <x:v>Service Identity Queue</x:v>
      </x:c>
      <x:c r="C123" s="6" t="str">
        <x:v>SIDX-0122</x:v>
      </x:c>
      <x:c r="D123" s="6" t="str">
        <x:v>Service</x:v>
      </x:c>
      <x:c r="E123" s="6" t="str">
        <x:v>SVC000122</x:v>
      </x:c>
      <x:c r="F123" s="6" t="str">
        <x:f>IFERROR(IF(XLOOKUP(C123,'Review Sequence'!C2:C1586,'Review Sequence'!J2:J1586)="Reviewer Complete",XLOOKUP(C123,'Service Identity Queue'!A2:A315,'Service Identity Queue'!L2:L315),""),"")</x:f>
      </x:c>
      <x:c r="G123" s="6" t="str"/>
      <x:c r="H123" s="7" t="str">
        <x:f>IF(F123&lt;&gt;"",XLOOKUP(C123,'Service Identity Queue'!A2:A315,'Service Identity Queue'!N2:N315),"" )</x:f>
      </x:c>
      <x:c r="I123" s="6" t="str">
        <x:f>IF(F123&lt;&gt;"",XLOOKUP(C123,'Service Identity Queue'!A2:A315,'Service Identity Queue'!O2:O315),"" )</x:f>
      </x:c>
      <x:c r="J123" s="6" t="str">
        <x:f>IF(F123&lt;&gt;"",XLOOKUP(C123,'Service Identity Queue'!A2:A315,'Service Identity Queue'!P2:P315),"" )</x:f>
      </x:c>
      <x:c r="K123" s="6" t="str">
        <x:f>IF(F123&lt;&gt;"","Reviewer complete; second-level approval still required","Not eligible yet")</x:f>
        <x:v>Not eligible yet</x:v>
      </x:c>
      <x:c r="L123" s="6" t="str">
        <x:f>IF(P123="Not Eligible","PASS","FAIL")</x:f>
        <x:v>PASS</x:v>
      </x:c>
      <x:c r="M123" s="6" t="str">
        <x:v>Pending</x:v>
      </x:c>
      <x:c r="N123" s="6" t="str"/>
      <x:c r="O123" s="6" t="str"/>
      <x:c r="P123" s="6" t="str">
        <x:v>Not Eligible</x:v>
      </x:c>
      <x:c r="Q123" s="7" t="str"/>
    </x:row>
    <x:row r="124">
      <x:c r="A124" s="6" t="str">
        <x:v>APPR-0123</x:v>
      </x:c>
      <x:c r="B124" s="6" t="str">
        <x:v>Service Identity Queue</x:v>
      </x:c>
      <x:c r="C124" s="6" t="str">
        <x:v>SIDX-0123</x:v>
      </x:c>
      <x:c r="D124" s="6" t="str">
        <x:v>Service</x:v>
      </x:c>
      <x:c r="E124" s="6" t="str">
        <x:v>SVC000123</x:v>
      </x:c>
      <x:c r="F124" s="6" t="str">
        <x:f>IFERROR(IF(XLOOKUP(C124,'Review Sequence'!C2:C1586,'Review Sequence'!J2:J1586)="Reviewer Complete",XLOOKUP(C124,'Service Identity Queue'!A2:A315,'Service Identity Queue'!L2:L315),""),"")</x:f>
      </x:c>
      <x:c r="G124" s="6" t="str"/>
      <x:c r="H124" s="7" t="str">
        <x:f>IF(F124&lt;&gt;"",XLOOKUP(C124,'Service Identity Queue'!A2:A315,'Service Identity Queue'!N2:N315),"" )</x:f>
      </x:c>
      <x:c r="I124" s="6" t="str">
        <x:f>IF(F124&lt;&gt;"",XLOOKUP(C124,'Service Identity Queue'!A2:A315,'Service Identity Queue'!O2:O315),"" )</x:f>
      </x:c>
      <x:c r="J124" s="6" t="str">
        <x:f>IF(F124&lt;&gt;"",XLOOKUP(C124,'Service Identity Queue'!A2:A315,'Service Identity Queue'!P2:P315),"" )</x:f>
      </x:c>
      <x:c r="K124" s="6" t="str">
        <x:f>IF(F124&lt;&gt;"","Reviewer complete; second-level approval still required","Not eligible yet")</x:f>
        <x:v>Not eligible yet</x:v>
      </x:c>
      <x:c r="L124" s="6" t="str">
        <x:f>IF(P124="Not Eligible","PASS","FAIL")</x:f>
        <x:v>PASS</x:v>
      </x:c>
      <x:c r="M124" s="6" t="str">
        <x:v>Pending</x:v>
      </x:c>
      <x:c r="N124" s="6" t="str"/>
      <x:c r="O124" s="6" t="str"/>
      <x:c r="P124" s="6" t="str">
        <x:v>Not Eligible</x:v>
      </x:c>
      <x:c r="Q124" s="7" t="str"/>
    </x:row>
    <x:row r="125">
      <x:c r="A125" s="6" t="str">
        <x:v>APPR-0124</x:v>
      </x:c>
      <x:c r="B125" s="6" t="str">
        <x:v>Service Identity Queue</x:v>
      </x:c>
      <x:c r="C125" s="6" t="str">
        <x:v>SIDX-0124</x:v>
      </x:c>
      <x:c r="D125" s="6" t="str">
        <x:v>Service</x:v>
      </x:c>
      <x:c r="E125" s="6" t="str">
        <x:v>SVC000124</x:v>
      </x:c>
      <x:c r="F125" s="6" t="str">
        <x:f>IFERROR(IF(XLOOKUP(C125,'Review Sequence'!C2:C1586,'Review Sequence'!J2:J1586)="Reviewer Complete",XLOOKUP(C125,'Service Identity Queue'!A2:A315,'Service Identity Queue'!L2:L315),""),"")</x:f>
      </x:c>
      <x:c r="G125" s="6" t="str"/>
      <x:c r="H125" s="7" t="str">
        <x:f>IF(F125&lt;&gt;"",XLOOKUP(C125,'Service Identity Queue'!A2:A315,'Service Identity Queue'!N2:N315),"" )</x:f>
      </x:c>
      <x:c r="I125" s="6" t="str">
        <x:f>IF(F125&lt;&gt;"",XLOOKUP(C125,'Service Identity Queue'!A2:A315,'Service Identity Queue'!O2:O315),"" )</x:f>
      </x:c>
      <x:c r="J125" s="6" t="str">
        <x:f>IF(F125&lt;&gt;"",XLOOKUP(C125,'Service Identity Queue'!A2:A315,'Service Identity Queue'!P2:P315),"" )</x:f>
      </x:c>
      <x:c r="K125" s="6" t="str">
        <x:f>IF(F125&lt;&gt;"","Reviewer complete; second-level approval still required","Not eligible yet")</x:f>
        <x:v>Not eligible yet</x:v>
      </x:c>
      <x:c r="L125" s="6" t="str">
        <x:f>IF(P125="Not Eligible","PASS","FAIL")</x:f>
        <x:v>PASS</x:v>
      </x:c>
      <x:c r="M125" s="6" t="str">
        <x:v>Pending</x:v>
      </x:c>
      <x:c r="N125" s="6" t="str"/>
      <x:c r="O125" s="6" t="str"/>
      <x:c r="P125" s="6" t="str">
        <x:v>Not Eligible</x:v>
      </x:c>
      <x:c r="Q125" s="7" t="str"/>
    </x:row>
    <x:row r="126">
      <x:c r="A126" s="6" t="str">
        <x:v>APPR-0125</x:v>
      </x:c>
      <x:c r="B126" s="6" t="str">
        <x:v>Service Identity Queue</x:v>
      </x:c>
      <x:c r="C126" s="6" t="str">
        <x:v>SIDX-0125</x:v>
      </x:c>
      <x:c r="D126" s="6" t="str">
        <x:v>Service</x:v>
      </x:c>
      <x:c r="E126" s="6" t="str">
        <x:v>SVC000125</x:v>
      </x:c>
      <x:c r="F126" s="6" t="str">
        <x:f>IFERROR(IF(XLOOKUP(C126,'Review Sequence'!C2:C1586,'Review Sequence'!J2:J1586)="Reviewer Complete",XLOOKUP(C126,'Service Identity Queue'!A2:A315,'Service Identity Queue'!L2:L315),""),"")</x:f>
      </x:c>
      <x:c r="G126" s="6" t="str"/>
      <x:c r="H126" s="7" t="str">
        <x:f>IF(F126&lt;&gt;"",XLOOKUP(C126,'Service Identity Queue'!A2:A315,'Service Identity Queue'!N2:N315),"" )</x:f>
      </x:c>
      <x:c r="I126" s="6" t="str">
        <x:f>IF(F126&lt;&gt;"",XLOOKUP(C126,'Service Identity Queue'!A2:A315,'Service Identity Queue'!O2:O315),"" )</x:f>
      </x:c>
      <x:c r="J126" s="6" t="str">
        <x:f>IF(F126&lt;&gt;"",XLOOKUP(C126,'Service Identity Queue'!A2:A315,'Service Identity Queue'!P2:P315),"" )</x:f>
      </x:c>
      <x:c r="K126" s="6" t="str">
        <x:f>IF(F126&lt;&gt;"","Reviewer complete; second-level approval still required","Not eligible yet")</x:f>
        <x:v>Not eligible yet</x:v>
      </x:c>
      <x:c r="L126" s="6" t="str">
        <x:f>IF(P126="Not Eligible","PASS","FAIL")</x:f>
        <x:v>PASS</x:v>
      </x:c>
      <x:c r="M126" s="6" t="str">
        <x:v>Pending</x:v>
      </x:c>
      <x:c r="N126" s="6" t="str"/>
      <x:c r="O126" s="6" t="str"/>
      <x:c r="P126" s="6" t="str">
        <x:v>Not Eligible</x:v>
      </x:c>
      <x:c r="Q126" s="7" t="str"/>
    </x:row>
    <x:row r="127">
      <x:c r="A127" s="6" t="str">
        <x:v>APPR-0126</x:v>
      </x:c>
      <x:c r="B127" s="6" t="str">
        <x:v>Service Identity Queue</x:v>
      </x:c>
      <x:c r="C127" s="6" t="str">
        <x:v>SIDX-0126</x:v>
      </x:c>
      <x:c r="D127" s="6" t="str">
        <x:v>Service</x:v>
      </x:c>
      <x:c r="E127" s="6" t="str">
        <x:v>SVC000126</x:v>
      </x:c>
      <x:c r="F127" s="6" t="str">
        <x:f>IFERROR(IF(XLOOKUP(C127,'Review Sequence'!C2:C1586,'Review Sequence'!J2:J1586)="Reviewer Complete",XLOOKUP(C127,'Service Identity Queue'!A2:A315,'Service Identity Queue'!L2:L315),""),"")</x:f>
      </x:c>
      <x:c r="G127" s="6" t="str"/>
      <x:c r="H127" s="7" t="str">
        <x:f>IF(F127&lt;&gt;"",XLOOKUP(C127,'Service Identity Queue'!A2:A315,'Service Identity Queue'!N2:N315),"" )</x:f>
      </x:c>
      <x:c r="I127" s="6" t="str">
        <x:f>IF(F127&lt;&gt;"",XLOOKUP(C127,'Service Identity Queue'!A2:A315,'Service Identity Queue'!O2:O315),"" )</x:f>
      </x:c>
      <x:c r="J127" s="6" t="str">
        <x:f>IF(F127&lt;&gt;"",XLOOKUP(C127,'Service Identity Queue'!A2:A315,'Service Identity Queue'!P2:P315),"" )</x:f>
      </x:c>
      <x:c r="K127" s="6" t="str">
        <x:f>IF(F127&lt;&gt;"","Reviewer complete; second-level approval still required","Not eligible yet")</x:f>
        <x:v>Not eligible yet</x:v>
      </x:c>
      <x:c r="L127" s="6" t="str">
        <x:f>IF(P127="Not Eligible","PASS","FAIL")</x:f>
        <x:v>PASS</x:v>
      </x:c>
      <x:c r="M127" s="6" t="str">
        <x:v>Pending</x:v>
      </x:c>
      <x:c r="N127" s="6" t="str"/>
      <x:c r="O127" s="6" t="str"/>
      <x:c r="P127" s="6" t="str">
        <x:v>Not Eligible</x:v>
      </x:c>
      <x:c r="Q127" s="7" t="str"/>
    </x:row>
    <x:row r="128">
      <x:c r="A128" s="6" t="str">
        <x:v>APPR-0127</x:v>
      </x:c>
      <x:c r="B128" s="6" t="str">
        <x:v>Service Identity Queue</x:v>
      </x:c>
      <x:c r="C128" s="6" t="str">
        <x:v>SIDX-0127</x:v>
      </x:c>
      <x:c r="D128" s="6" t="str">
        <x:v>Service</x:v>
      </x:c>
      <x:c r="E128" s="6" t="str">
        <x:v>SVC000127</x:v>
      </x:c>
      <x:c r="F128" s="6" t="str">
        <x:f>IFERROR(IF(XLOOKUP(C128,'Review Sequence'!C2:C1586,'Review Sequence'!J2:J1586)="Reviewer Complete",XLOOKUP(C128,'Service Identity Queue'!A2:A315,'Service Identity Queue'!L2:L315),""),"")</x:f>
      </x:c>
      <x:c r="G128" s="6" t="str"/>
      <x:c r="H128" s="7" t="str">
        <x:f>IF(F128&lt;&gt;"",XLOOKUP(C128,'Service Identity Queue'!A2:A315,'Service Identity Queue'!N2:N315),"" )</x:f>
      </x:c>
      <x:c r="I128" s="6" t="str">
        <x:f>IF(F128&lt;&gt;"",XLOOKUP(C128,'Service Identity Queue'!A2:A315,'Service Identity Queue'!O2:O315),"" )</x:f>
      </x:c>
      <x:c r="J128" s="6" t="str">
        <x:f>IF(F128&lt;&gt;"",XLOOKUP(C128,'Service Identity Queue'!A2:A315,'Service Identity Queue'!P2:P315),"" )</x:f>
      </x:c>
      <x:c r="K128" s="6" t="str">
        <x:f>IF(F128&lt;&gt;"","Reviewer complete; second-level approval still required","Not eligible yet")</x:f>
        <x:v>Not eligible yet</x:v>
      </x:c>
      <x:c r="L128" s="6" t="str">
        <x:f>IF(P128="Not Eligible","PASS","FAIL")</x:f>
        <x:v>PASS</x:v>
      </x:c>
      <x:c r="M128" s="6" t="str">
        <x:v>Pending</x:v>
      </x:c>
      <x:c r="N128" s="6" t="str"/>
      <x:c r="O128" s="6" t="str"/>
      <x:c r="P128" s="6" t="str">
        <x:v>Not Eligible</x:v>
      </x:c>
      <x:c r="Q128" s="7" t="str"/>
    </x:row>
    <x:row r="129">
      <x:c r="A129" s="6" t="str">
        <x:v>APPR-0128</x:v>
      </x:c>
      <x:c r="B129" s="6" t="str">
        <x:v>Service Identity Queue</x:v>
      </x:c>
      <x:c r="C129" s="6" t="str">
        <x:v>SIDX-0128</x:v>
      </x:c>
      <x:c r="D129" s="6" t="str">
        <x:v>Service</x:v>
      </x:c>
      <x:c r="E129" s="6" t="str">
        <x:v>SVC000128</x:v>
      </x:c>
      <x:c r="F129" s="6" t="str">
        <x:f>IFERROR(IF(XLOOKUP(C129,'Review Sequence'!C2:C1586,'Review Sequence'!J2:J1586)="Reviewer Complete",XLOOKUP(C129,'Service Identity Queue'!A2:A315,'Service Identity Queue'!L2:L315),""),"")</x:f>
      </x:c>
      <x:c r="G129" s="6" t="str"/>
      <x:c r="H129" s="7" t="str">
        <x:f>IF(F129&lt;&gt;"",XLOOKUP(C129,'Service Identity Queue'!A2:A315,'Service Identity Queue'!N2:N315),"" )</x:f>
      </x:c>
      <x:c r="I129" s="6" t="str">
        <x:f>IF(F129&lt;&gt;"",XLOOKUP(C129,'Service Identity Queue'!A2:A315,'Service Identity Queue'!O2:O315),"" )</x:f>
      </x:c>
      <x:c r="J129" s="6" t="str">
        <x:f>IF(F129&lt;&gt;"",XLOOKUP(C129,'Service Identity Queue'!A2:A315,'Service Identity Queue'!P2:P315),"" )</x:f>
      </x:c>
      <x:c r="K129" s="6" t="str">
        <x:f>IF(F129&lt;&gt;"","Reviewer complete; second-level approval still required","Not eligible yet")</x:f>
        <x:v>Not eligible yet</x:v>
      </x:c>
      <x:c r="L129" s="6" t="str">
        <x:f>IF(P129="Not Eligible","PASS","FAIL")</x:f>
        <x:v>PASS</x:v>
      </x:c>
      <x:c r="M129" s="6" t="str">
        <x:v>Pending</x:v>
      </x:c>
      <x:c r="N129" s="6" t="str"/>
      <x:c r="O129" s="6" t="str"/>
      <x:c r="P129" s="6" t="str">
        <x:v>Not Eligible</x:v>
      </x:c>
      <x:c r="Q129" s="7" t="str"/>
    </x:row>
    <x:row r="130">
      <x:c r="A130" s="6" t="str">
        <x:v>APPR-0129</x:v>
      </x:c>
      <x:c r="B130" s="6" t="str">
        <x:v>Service Identity Queue</x:v>
      </x:c>
      <x:c r="C130" s="6" t="str">
        <x:v>SIDX-0129</x:v>
      </x:c>
      <x:c r="D130" s="6" t="str">
        <x:v>Service</x:v>
      </x:c>
      <x:c r="E130" s="6" t="str">
        <x:v>SVC000129</x:v>
      </x:c>
      <x:c r="F130" s="6" t="str">
        <x:f>IFERROR(IF(XLOOKUP(C130,'Review Sequence'!C2:C1586,'Review Sequence'!J2:J1586)="Reviewer Complete",XLOOKUP(C130,'Service Identity Queue'!A2:A315,'Service Identity Queue'!L2:L315),""),"")</x:f>
      </x:c>
      <x:c r="G130" s="6" t="str"/>
      <x:c r="H130" s="7" t="str">
        <x:f>IF(F130&lt;&gt;"",XLOOKUP(C130,'Service Identity Queue'!A2:A315,'Service Identity Queue'!N2:N315),"" )</x:f>
      </x:c>
      <x:c r="I130" s="6" t="str">
        <x:f>IF(F130&lt;&gt;"",XLOOKUP(C130,'Service Identity Queue'!A2:A315,'Service Identity Queue'!O2:O315),"" )</x:f>
      </x:c>
      <x:c r="J130" s="6" t="str">
        <x:f>IF(F130&lt;&gt;"",XLOOKUP(C130,'Service Identity Queue'!A2:A315,'Service Identity Queue'!P2:P315),"" )</x:f>
      </x:c>
      <x:c r="K130" s="6" t="str">
        <x:f>IF(F130&lt;&gt;"","Reviewer complete; second-level approval still required","Not eligible yet")</x:f>
        <x:v>Not eligible yet</x:v>
      </x:c>
      <x:c r="L130" s="6" t="str">
        <x:f>IF(P130="Not Eligible","PASS","FAIL")</x:f>
        <x:v>PASS</x:v>
      </x:c>
      <x:c r="M130" s="6" t="str">
        <x:v>Pending</x:v>
      </x:c>
      <x:c r="N130" s="6" t="str"/>
      <x:c r="O130" s="6" t="str"/>
      <x:c r="P130" s="6" t="str">
        <x:v>Not Eligible</x:v>
      </x:c>
      <x:c r="Q130" s="7" t="str"/>
    </x:row>
    <x:row r="131">
      <x:c r="A131" s="6" t="str">
        <x:v>APPR-0130</x:v>
      </x:c>
      <x:c r="B131" s="6" t="str">
        <x:v>Service Identity Queue</x:v>
      </x:c>
      <x:c r="C131" s="6" t="str">
        <x:v>SIDX-0130</x:v>
      </x:c>
      <x:c r="D131" s="6" t="str">
        <x:v>Service</x:v>
      </x:c>
      <x:c r="E131" s="6" t="str">
        <x:v>SVC000130</x:v>
      </x:c>
      <x:c r="F131" s="6" t="str">
        <x:f>IFERROR(IF(XLOOKUP(C131,'Review Sequence'!C2:C1586,'Review Sequence'!J2:J1586)="Reviewer Complete",XLOOKUP(C131,'Service Identity Queue'!A2:A315,'Service Identity Queue'!L2:L315),""),"")</x:f>
      </x:c>
      <x:c r="G131" s="6" t="str"/>
      <x:c r="H131" s="7" t="str">
        <x:f>IF(F131&lt;&gt;"",XLOOKUP(C131,'Service Identity Queue'!A2:A315,'Service Identity Queue'!N2:N315),"" )</x:f>
      </x:c>
      <x:c r="I131" s="6" t="str">
        <x:f>IF(F131&lt;&gt;"",XLOOKUP(C131,'Service Identity Queue'!A2:A315,'Service Identity Queue'!O2:O315),"" )</x:f>
      </x:c>
      <x:c r="J131" s="6" t="str">
        <x:f>IF(F131&lt;&gt;"",XLOOKUP(C131,'Service Identity Queue'!A2:A315,'Service Identity Queue'!P2:P315),"" )</x:f>
      </x:c>
      <x:c r="K131" s="6" t="str">
        <x:f>IF(F131&lt;&gt;"","Reviewer complete; second-level approval still required","Not eligible yet")</x:f>
        <x:v>Not eligible yet</x:v>
      </x:c>
      <x:c r="L131" s="6" t="str">
        <x:f>IF(P131="Not Eligible","PASS","FAIL")</x:f>
        <x:v>PASS</x:v>
      </x:c>
      <x:c r="M131" s="6" t="str">
        <x:v>Pending</x:v>
      </x:c>
      <x:c r="N131" s="6" t="str"/>
      <x:c r="O131" s="6" t="str"/>
      <x:c r="P131" s="6" t="str">
        <x:v>Not Eligible</x:v>
      </x:c>
      <x:c r="Q131" s="7" t="str"/>
    </x:row>
    <x:row r="132">
      <x:c r="A132" s="6" t="str">
        <x:v>APPR-0131</x:v>
      </x:c>
      <x:c r="B132" s="6" t="str">
        <x:v>Service Identity Queue</x:v>
      </x:c>
      <x:c r="C132" s="6" t="str">
        <x:v>SIDX-0131</x:v>
      </x:c>
      <x:c r="D132" s="6" t="str">
        <x:v>Service</x:v>
      </x:c>
      <x:c r="E132" s="6" t="str">
        <x:v>SVC000131</x:v>
      </x:c>
      <x:c r="F132" s="6" t="str">
        <x:f>IFERROR(IF(XLOOKUP(C132,'Review Sequence'!C2:C1586,'Review Sequence'!J2:J1586)="Reviewer Complete",XLOOKUP(C132,'Service Identity Queue'!A2:A315,'Service Identity Queue'!L2:L315),""),"")</x:f>
      </x:c>
      <x:c r="G132" s="6" t="str"/>
      <x:c r="H132" s="7" t="str">
        <x:f>IF(F132&lt;&gt;"",XLOOKUP(C132,'Service Identity Queue'!A2:A315,'Service Identity Queue'!N2:N315),"" )</x:f>
      </x:c>
      <x:c r="I132" s="6" t="str">
        <x:f>IF(F132&lt;&gt;"",XLOOKUP(C132,'Service Identity Queue'!A2:A315,'Service Identity Queue'!O2:O315),"" )</x:f>
      </x:c>
      <x:c r="J132" s="6" t="str">
        <x:f>IF(F132&lt;&gt;"",XLOOKUP(C132,'Service Identity Queue'!A2:A315,'Service Identity Queue'!P2:P315),"" )</x:f>
      </x:c>
      <x:c r="K132" s="6" t="str">
        <x:f>IF(F132&lt;&gt;"","Reviewer complete; second-level approval still required","Not eligible yet")</x:f>
        <x:v>Not eligible yet</x:v>
      </x:c>
      <x:c r="L132" s="6" t="str">
        <x:f>IF(P132="Not Eligible","PASS","FAIL")</x:f>
        <x:v>PASS</x:v>
      </x:c>
      <x:c r="M132" s="6" t="str">
        <x:v>Pending</x:v>
      </x:c>
      <x:c r="N132" s="6" t="str"/>
      <x:c r="O132" s="6" t="str"/>
      <x:c r="P132" s="6" t="str">
        <x:v>Not Eligible</x:v>
      </x:c>
      <x:c r="Q132" s="7" t="str"/>
    </x:row>
    <x:row r="133">
      <x:c r="A133" s="6" t="str">
        <x:v>APPR-0132</x:v>
      </x:c>
      <x:c r="B133" s="6" t="str">
        <x:v>Service Identity Queue</x:v>
      </x:c>
      <x:c r="C133" s="6" t="str">
        <x:v>SIDX-0132</x:v>
      </x:c>
      <x:c r="D133" s="6" t="str">
        <x:v>Service</x:v>
      </x:c>
      <x:c r="E133" s="6" t="str">
        <x:v>SVC000132</x:v>
      </x:c>
      <x:c r="F133" s="6" t="str">
        <x:f>IFERROR(IF(XLOOKUP(C133,'Review Sequence'!C2:C1586,'Review Sequence'!J2:J1586)="Reviewer Complete",XLOOKUP(C133,'Service Identity Queue'!A2:A315,'Service Identity Queue'!L2:L315),""),"")</x:f>
      </x:c>
      <x:c r="G133" s="6" t="str"/>
      <x:c r="H133" s="7" t="str">
        <x:f>IF(F133&lt;&gt;"",XLOOKUP(C133,'Service Identity Queue'!A2:A315,'Service Identity Queue'!N2:N315),"" )</x:f>
      </x:c>
      <x:c r="I133" s="6" t="str">
        <x:f>IF(F133&lt;&gt;"",XLOOKUP(C133,'Service Identity Queue'!A2:A315,'Service Identity Queue'!O2:O315),"" )</x:f>
      </x:c>
      <x:c r="J133" s="6" t="str">
        <x:f>IF(F133&lt;&gt;"",XLOOKUP(C133,'Service Identity Queue'!A2:A315,'Service Identity Queue'!P2:P315),"" )</x:f>
      </x:c>
      <x:c r="K133" s="6" t="str">
        <x:f>IF(F133&lt;&gt;"","Reviewer complete; second-level approval still required","Not eligible yet")</x:f>
        <x:v>Not eligible yet</x:v>
      </x:c>
      <x:c r="L133" s="6" t="str">
        <x:f>IF(P133="Not Eligible","PASS","FAIL")</x:f>
        <x:v>PASS</x:v>
      </x:c>
      <x:c r="M133" s="6" t="str">
        <x:v>Pending</x:v>
      </x:c>
      <x:c r="N133" s="6" t="str"/>
      <x:c r="O133" s="6" t="str"/>
      <x:c r="P133" s="6" t="str">
        <x:v>Not Eligible</x:v>
      </x:c>
      <x:c r="Q133" s="7" t="str"/>
    </x:row>
    <x:row r="134">
      <x:c r="A134" s="6" t="str">
        <x:v>APPR-0133</x:v>
      </x:c>
      <x:c r="B134" s="6" t="str">
        <x:v>Service Identity Queue</x:v>
      </x:c>
      <x:c r="C134" s="6" t="str">
        <x:v>SIDX-0133</x:v>
      </x:c>
      <x:c r="D134" s="6" t="str">
        <x:v>Service</x:v>
      </x:c>
      <x:c r="E134" s="6" t="str">
        <x:v>SVC000133</x:v>
      </x:c>
      <x:c r="F134" s="6" t="str">
        <x:f>IFERROR(IF(XLOOKUP(C134,'Review Sequence'!C2:C1586,'Review Sequence'!J2:J1586)="Reviewer Complete",XLOOKUP(C134,'Service Identity Queue'!A2:A315,'Service Identity Queue'!L2:L315),""),"")</x:f>
      </x:c>
      <x:c r="G134" s="6" t="str"/>
      <x:c r="H134" s="7" t="str">
        <x:f>IF(F134&lt;&gt;"",XLOOKUP(C134,'Service Identity Queue'!A2:A315,'Service Identity Queue'!N2:N315),"" )</x:f>
      </x:c>
      <x:c r="I134" s="6" t="str">
        <x:f>IF(F134&lt;&gt;"",XLOOKUP(C134,'Service Identity Queue'!A2:A315,'Service Identity Queue'!O2:O315),"" )</x:f>
      </x:c>
      <x:c r="J134" s="6" t="str">
        <x:f>IF(F134&lt;&gt;"",XLOOKUP(C134,'Service Identity Queue'!A2:A315,'Service Identity Queue'!P2:P315),"" )</x:f>
      </x:c>
      <x:c r="K134" s="6" t="str">
        <x:f>IF(F134&lt;&gt;"","Reviewer complete; second-level approval still required","Not eligible yet")</x:f>
        <x:v>Not eligible yet</x:v>
      </x:c>
      <x:c r="L134" s="6" t="str">
        <x:f>IF(P134="Not Eligible","PASS","FAIL")</x:f>
        <x:v>PASS</x:v>
      </x:c>
      <x:c r="M134" s="6" t="str">
        <x:v>Pending</x:v>
      </x:c>
      <x:c r="N134" s="6" t="str"/>
      <x:c r="O134" s="6" t="str"/>
      <x:c r="P134" s="6" t="str">
        <x:v>Not Eligible</x:v>
      </x:c>
      <x:c r="Q134" s="7" t="str"/>
    </x:row>
    <x:row r="135">
      <x:c r="A135" s="6" t="str">
        <x:v>APPR-0134</x:v>
      </x:c>
      <x:c r="B135" s="6" t="str">
        <x:v>Service Identity Queue</x:v>
      </x:c>
      <x:c r="C135" s="6" t="str">
        <x:v>SIDX-0134</x:v>
      </x:c>
      <x:c r="D135" s="6" t="str">
        <x:v>Service</x:v>
      </x:c>
      <x:c r="E135" s="6" t="str">
        <x:v>SVC000134</x:v>
      </x:c>
      <x:c r="F135" s="6" t="str">
        <x:f>IFERROR(IF(XLOOKUP(C135,'Review Sequence'!C2:C1586,'Review Sequence'!J2:J1586)="Reviewer Complete",XLOOKUP(C135,'Service Identity Queue'!A2:A315,'Service Identity Queue'!L2:L315),""),"")</x:f>
      </x:c>
      <x:c r="G135" s="6" t="str"/>
      <x:c r="H135" s="7" t="str">
        <x:f>IF(F135&lt;&gt;"",XLOOKUP(C135,'Service Identity Queue'!A2:A315,'Service Identity Queue'!N2:N315),"" )</x:f>
      </x:c>
      <x:c r="I135" s="6" t="str">
        <x:f>IF(F135&lt;&gt;"",XLOOKUP(C135,'Service Identity Queue'!A2:A315,'Service Identity Queue'!O2:O315),"" )</x:f>
      </x:c>
      <x:c r="J135" s="6" t="str">
        <x:f>IF(F135&lt;&gt;"",XLOOKUP(C135,'Service Identity Queue'!A2:A315,'Service Identity Queue'!P2:P315),"" )</x:f>
      </x:c>
      <x:c r="K135" s="6" t="str">
        <x:f>IF(F135&lt;&gt;"","Reviewer complete; second-level approval still required","Not eligible yet")</x:f>
        <x:v>Not eligible yet</x:v>
      </x:c>
      <x:c r="L135" s="6" t="str">
        <x:f>IF(P135="Not Eligible","PASS","FAIL")</x:f>
        <x:v>PASS</x:v>
      </x:c>
      <x:c r="M135" s="6" t="str">
        <x:v>Pending</x:v>
      </x:c>
      <x:c r="N135" s="6" t="str"/>
      <x:c r="O135" s="6" t="str"/>
      <x:c r="P135" s="6" t="str">
        <x:v>Not Eligible</x:v>
      </x:c>
      <x:c r="Q135" s="7" t="str"/>
    </x:row>
    <x:row r="136">
      <x:c r="A136" s="6" t="str">
        <x:v>APPR-0135</x:v>
      </x:c>
      <x:c r="B136" s="6" t="str">
        <x:v>Service Identity Queue</x:v>
      </x:c>
      <x:c r="C136" s="6" t="str">
        <x:v>SIDX-0135</x:v>
      </x:c>
      <x:c r="D136" s="6" t="str">
        <x:v>Service</x:v>
      </x:c>
      <x:c r="E136" s="6" t="str">
        <x:v>SVC000135</x:v>
      </x:c>
      <x:c r="F136" s="6" t="str">
        <x:f>IFERROR(IF(XLOOKUP(C136,'Review Sequence'!C2:C1586,'Review Sequence'!J2:J1586)="Reviewer Complete",XLOOKUP(C136,'Service Identity Queue'!A2:A315,'Service Identity Queue'!L2:L315),""),"")</x:f>
      </x:c>
      <x:c r="G136" s="6" t="str"/>
      <x:c r="H136" s="7" t="str">
        <x:f>IF(F136&lt;&gt;"",XLOOKUP(C136,'Service Identity Queue'!A2:A315,'Service Identity Queue'!N2:N315),"" )</x:f>
      </x:c>
      <x:c r="I136" s="6" t="str">
        <x:f>IF(F136&lt;&gt;"",XLOOKUP(C136,'Service Identity Queue'!A2:A315,'Service Identity Queue'!O2:O315),"" )</x:f>
      </x:c>
      <x:c r="J136" s="6" t="str">
        <x:f>IF(F136&lt;&gt;"",XLOOKUP(C136,'Service Identity Queue'!A2:A315,'Service Identity Queue'!P2:P315),"" )</x:f>
      </x:c>
      <x:c r="K136" s="6" t="str">
        <x:f>IF(F136&lt;&gt;"","Reviewer complete; second-level approval still required","Not eligible yet")</x:f>
        <x:v>Not eligible yet</x:v>
      </x:c>
      <x:c r="L136" s="6" t="str">
        <x:f>IF(P136="Not Eligible","PASS","FAIL")</x:f>
        <x:v>PASS</x:v>
      </x:c>
      <x:c r="M136" s="6" t="str">
        <x:v>Pending</x:v>
      </x:c>
      <x:c r="N136" s="6" t="str"/>
      <x:c r="O136" s="6" t="str"/>
      <x:c r="P136" s="6" t="str">
        <x:v>Not Eligible</x:v>
      </x:c>
      <x:c r="Q136" s="7" t="str"/>
    </x:row>
    <x:row r="137">
      <x:c r="A137" s="6" t="str">
        <x:v>APPR-0136</x:v>
      </x:c>
      <x:c r="B137" s="6" t="str">
        <x:v>Service Identity Queue</x:v>
      </x:c>
      <x:c r="C137" s="6" t="str">
        <x:v>SIDX-0136</x:v>
      </x:c>
      <x:c r="D137" s="6" t="str">
        <x:v>Service</x:v>
      </x:c>
      <x:c r="E137" s="6" t="str">
        <x:v>SVC000136</x:v>
      </x:c>
      <x:c r="F137" s="6" t="str">
        <x:f>IFERROR(IF(XLOOKUP(C137,'Review Sequence'!C2:C1586,'Review Sequence'!J2:J1586)="Reviewer Complete",XLOOKUP(C137,'Service Identity Queue'!A2:A315,'Service Identity Queue'!L2:L315),""),"")</x:f>
      </x:c>
      <x:c r="G137" s="6" t="str"/>
      <x:c r="H137" s="7" t="str">
        <x:f>IF(F137&lt;&gt;"",XLOOKUP(C137,'Service Identity Queue'!A2:A315,'Service Identity Queue'!N2:N315),"" )</x:f>
      </x:c>
      <x:c r="I137" s="6" t="str">
        <x:f>IF(F137&lt;&gt;"",XLOOKUP(C137,'Service Identity Queue'!A2:A315,'Service Identity Queue'!O2:O315),"" )</x:f>
      </x:c>
      <x:c r="J137" s="6" t="str">
        <x:f>IF(F137&lt;&gt;"",XLOOKUP(C137,'Service Identity Queue'!A2:A315,'Service Identity Queue'!P2:P315),"" )</x:f>
      </x:c>
      <x:c r="K137" s="6" t="str">
        <x:f>IF(F137&lt;&gt;"","Reviewer complete; second-level approval still required","Not eligible yet")</x:f>
        <x:v>Not eligible yet</x:v>
      </x:c>
      <x:c r="L137" s="6" t="str">
        <x:f>IF(P137="Not Eligible","PASS","FAIL")</x:f>
        <x:v>PASS</x:v>
      </x:c>
      <x:c r="M137" s="6" t="str">
        <x:v>Pending</x:v>
      </x:c>
      <x:c r="N137" s="6" t="str"/>
      <x:c r="O137" s="6" t="str"/>
      <x:c r="P137" s="6" t="str">
        <x:v>Not Eligible</x:v>
      </x:c>
      <x:c r="Q137" s="7" t="str"/>
    </x:row>
    <x:row r="138">
      <x:c r="A138" s="6" t="str">
        <x:v>APPR-0137</x:v>
      </x:c>
      <x:c r="B138" s="6" t="str">
        <x:v>Service Identity Queue</x:v>
      </x:c>
      <x:c r="C138" s="6" t="str">
        <x:v>SIDX-0137</x:v>
      </x:c>
      <x:c r="D138" s="6" t="str">
        <x:v>Service</x:v>
      </x:c>
      <x:c r="E138" s="6" t="str">
        <x:v>SVC000137</x:v>
      </x:c>
      <x:c r="F138" s="6" t="str">
        <x:f>IFERROR(IF(XLOOKUP(C138,'Review Sequence'!C2:C1586,'Review Sequence'!J2:J1586)="Reviewer Complete",XLOOKUP(C138,'Service Identity Queue'!A2:A315,'Service Identity Queue'!L2:L315),""),"")</x:f>
      </x:c>
      <x:c r="G138" s="6" t="str"/>
      <x:c r="H138" s="7" t="str">
        <x:f>IF(F138&lt;&gt;"",XLOOKUP(C138,'Service Identity Queue'!A2:A315,'Service Identity Queue'!N2:N315),"" )</x:f>
      </x:c>
      <x:c r="I138" s="6" t="str">
        <x:f>IF(F138&lt;&gt;"",XLOOKUP(C138,'Service Identity Queue'!A2:A315,'Service Identity Queue'!O2:O315),"" )</x:f>
      </x:c>
      <x:c r="J138" s="6" t="str">
        <x:f>IF(F138&lt;&gt;"",XLOOKUP(C138,'Service Identity Queue'!A2:A315,'Service Identity Queue'!P2:P315),"" )</x:f>
      </x:c>
      <x:c r="K138" s="6" t="str">
        <x:f>IF(F138&lt;&gt;"","Reviewer complete; second-level approval still required","Not eligible yet")</x:f>
        <x:v>Not eligible yet</x:v>
      </x:c>
      <x:c r="L138" s="6" t="str">
        <x:f>IF(P138="Not Eligible","PASS","FAIL")</x:f>
        <x:v>PASS</x:v>
      </x:c>
      <x:c r="M138" s="6" t="str">
        <x:v>Pending</x:v>
      </x:c>
      <x:c r="N138" s="6" t="str"/>
      <x:c r="O138" s="6" t="str"/>
      <x:c r="P138" s="6" t="str">
        <x:v>Not Eligible</x:v>
      </x:c>
      <x:c r="Q138" s="7" t="str"/>
    </x:row>
    <x:row r="139">
      <x:c r="A139" s="6" t="str">
        <x:v>APPR-0138</x:v>
      </x:c>
      <x:c r="B139" s="6" t="str">
        <x:v>Service Identity Queue</x:v>
      </x:c>
      <x:c r="C139" s="6" t="str">
        <x:v>SIDX-0138</x:v>
      </x:c>
      <x:c r="D139" s="6" t="str">
        <x:v>Service</x:v>
      </x:c>
      <x:c r="E139" s="6" t="str">
        <x:v>SVC000138</x:v>
      </x:c>
      <x:c r="F139" s="6" t="str">
        <x:f>IFERROR(IF(XLOOKUP(C139,'Review Sequence'!C2:C1586,'Review Sequence'!J2:J1586)="Reviewer Complete",XLOOKUP(C139,'Service Identity Queue'!A2:A315,'Service Identity Queue'!L2:L315),""),"")</x:f>
      </x:c>
      <x:c r="G139" s="6" t="str"/>
      <x:c r="H139" s="7" t="str">
        <x:f>IF(F139&lt;&gt;"",XLOOKUP(C139,'Service Identity Queue'!A2:A315,'Service Identity Queue'!N2:N315),"" )</x:f>
      </x:c>
      <x:c r="I139" s="6" t="str">
        <x:f>IF(F139&lt;&gt;"",XLOOKUP(C139,'Service Identity Queue'!A2:A315,'Service Identity Queue'!O2:O315),"" )</x:f>
      </x:c>
      <x:c r="J139" s="6" t="str">
        <x:f>IF(F139&lt;&gt;"",XLOOKUP(C139,'Service Identity Queue'!A2:A315,'Service Identity Queue'!P2:P315),"" )</x:f>
      </x:c>
      <x:c r="K139" s="6" t="str">
        <x:f>IF(F139&lt;&gt;"","Reviewer complete; second-level approval still required","Not eligible yet")</x:f>
        <x:v>Not eligible yet</x:v>
      </x:c>
      <x:c r="L139" s="6" t="str">
        <x:f>IF(P139="Not Eligible","PASS","FAIL")</x:f>
        <x:v>PASS</x:v>
      </x:c>
      <x:c r="M139" s="6" t="str">
        <x:v>Pending</x:v>
      </x:c>
      <x:c r="N139" s="6" t="str"/>
      <x:c r="O139" s="6" t="str"/>
      <x:c r="P139" s="6" t="str">
        <x:v>Not Eligible</x:v>
      </x:c>
      <x:c r="Q139" s="7" t="str"/>
    </x:row>
    <x:row r="140">
      <x:c r="A140" s="6" t="str">
        <x:v>APPR-0139</x:v>
      </x:c>
      <x:c r="B140" s="6" t="str">
        <x:v>Service Identity Queue</x:v>
      </x:c>
      <x:c r="C140" s="6" t="str">
        <x:v>SIDX-0139</x:v>
      </x:c>
      <x:c r="D140" s="6" t="str">
        <x:v>Service</x:v>
      </x:c>
      <x:c r="E140" s="6" t="str">
        <x:v>SVC000139</x:v>
      </x:c>
      <x:c r="F140" s="6" t="str">
        <x:f>IFERROR(IF(XLOOKUP(C140,'Review Sequence'!C2:C1586,'Review Sequence'!J2:J1586)="Reviewer Complete",XLOOKUP(C140,'Service Identity Queue'!A2:A315,'Service Identity Queue'!L2:L315),""),"")</x:f>
      </x:c>
      <x:c r="G140" s="6" t="str"/>
      <x:c r="H140" s="7" t="str">
        <x:f>IF(F140&lt;&gt;"",XLOOKUP(C140,'Service Identity Queue'!A2:A315,'Service Identity Queue'!N2:N315),"" )</x:f>
      </x:c>
      <x:c r="I140" s="6" t="str">
        <x:f>IF(F140&lt;&gt;"",XLOOKUP(C140,'Service Identity Queue'!A2:A315,'Service Identity Queue'!O2:O315),"" )</x:f>
      </x:c>
      <x:c r="J140" s="6" t="str">
        <x:f>IF(F140&lt;&gt;"",XLOOKUP(C140,'Service Identity Queue'!A2:A315,'Service Identity Queue'!P2:P315),"" )</x:f>
      </x:c>
      <x:c r="K140" s="6" t="str">
        <x:f>IF(F140&lt;&gt;"","Reviewer complete; second-level approval still required","Not eligible yet")</x:f>
        <x:v>Not eligible yet</x:v>
      </x:c>
      <x:c r="L140" s="6" t="str">
        <x:f>IF(P140="Not Eligible","PASS","FAIL")</x:f>
        <x:v>PASS</x:v>
      </x:c>
      <x:c r="M140" s="6" t="str">
        <x:v>Pending</x:v>
      </x:c>
      <x:c r="N140" s="6" t="str"/>
      <x:c r="O140" s="6" t="str"/>
      <x:c r="P140" s="6" t="str">
        <x:v>Not Eligible</x:v>
      </x:c>
      <x:c r="Q140" s="7" t="str"/>
    </x:row>
    <x:row r="141">
      <x:c r="A141" s="6" t="str">
        <x:v>APPR-0140</x:v>
      </x:c>
      <x:c r="B141" s="6" t="str">
        <x:v>Service Identity Queue</x:v>
      </x:c>
      <x:c r="C141" s="6" t="str">
        <x:v>SIDX-0140</x:v>
      </x:c>
      <x:c r="D141" s="6" t="str">
        <x:v>Service</x:v>
      </x:c>
      <x:c r="E141" s="6" t="str">
        <x:v>SVC000140</x:v>
      </x:c>
      <x:c r="F141" s="6" t="str">
        <x:f>IFERROR(IF(XLOOKUP(C141,'Review Sequence'!C2:C1586,'Review Sequence'!J2:J1586)="Reviewer Complete",XLOOKUP(C141,'Service Identity Queue'!A2:A315,'Service Identity Queue'!L2:L315),""),"")</x:f>
      </x:c>
      <x:c r="G141" s="6" t="str"/>
      <x:c r="H141" s="7" t="str">
        <x:f>IF(F141&lt;&gt;"",XLOOKUP(C141,'Service Identity Queue'!A2:A315,'Service Identity Queue'!N2:N315),"" )</x:f>
      </x:c>
      <x:c r="I141" s="6" t="str">
        <x:f>IF(F141&lt;&gt;"",XLOOKUP(C141,'Service Identity Queue'!A2:A315,'Service Identity Queue'!O2:O315),"" )</x:f>
      </x:c>
      <x:c r="J141" s="6" t="str">
        <x:f>IF(F141&lt;&gt;"",XLOOKUP(C141,'Service Identity Queue'!A2:A315,'Service Identity Queue'!P2:P315),"" )</x:f>
      </x:c>
      <x:c r="K141" s="6" t="str">
        <x:f>IF(F141&lt;&gt;"","Reviewer complete; second-level approval still required","Not eligible yet")</x:f>
        <x:v>Not eligible yet</x:v>
      </x:c>
      <x:c r="L141" s="6" t="str">
        <x:f>IF(P141="Not Eligible","PASS","FAIL")</x:f>
        <x:v>PASS</x:v>
      </x:c>
      <x:c r="M141" s="6" t="str">
        <x:v>Pending</x:v>
      </x:c>
      <x:c r="N141" s="6" t="str"/>
      <x:c r="O141" s="6" t="str"/>
      <x:c r="P141" s="6" t="str">
        <x:v>Not Eligible</x:v>
      </x:c>
      <x:c r="Q141" s="7" t="str"/>
    </x:row>
    <x:row r="142">
      <x:c r="A142" s="6" t="str">
        <x:v>APPR-0141</x:v>
      </x:c>
      <x:c r="B142" s="6" t="str">
        <x:v>Service Identity Queue</x:v>
      </x:c>
      <x:c r="C142" s="6" t="str">
        <x:v>SIDX-0141</x:v>
      </x:c>
      <x:c r="D142" s="6" t="str">
        <x:v>Service</x:v>
      </x:c>
      <x:c r="E142" s="6" t="str">
        <x:v>SVC000141</x:v>
      </x:c>
      <x:c r="F142" s="6" t="str">
        <x:f>IFERROR(IF(XLOOKUP(C142,'Review Sequence'!C2:C1586,'Review Sequence'!J2:J1586)="Reviewer Complete",XLOOKUP(C142,'Service Identity Queue'!A2:A315,'Service Identity Queue'!L2:L315),""),"")</x:f>
      </x:c>
      <x:c r="G142" s="6" t="str"/>
      <x:c r="H142" s="7" t="str">
        <x:f>IF(F142&lt;&gt;"",XLOOKUP(C142,'Service Identity Queue'!A2:A315,'Service Identity Queue'!N2:N315),"" )</x:f>
      </x:c>
      <x:c r="I142" s="6" t="str">
        <x:f>IF(F142&lt;&gt;"",XLOOKUP(C142,'Service Identity Queue'!A2:A315,'Service Identity Queue'!O2:O315),"" )</x:f>
      </x:c>
      <x:c r="J142" s="6" t="str">
        <x:f>IF(F142&lt;&gt;"",XLOOKUP(C142,'Service Identity Queue'!A2:A315,'Service Identity Queue'!P2:P315),"" )</x:f>
      </x:c>
      <x:c r="K142" s="6" t="str">
        <x:f>IF(F142&lt;&gt;"","Reviewer complete; second-level approval still required","Not eligible yet")</x:f>
        <x:v>Not eligible yet</x:v>
      </x:c>
      <x:c r="L142" s="6" t="str">
        <x:f>IF(P142="Not Eligible","PASS","FAIL")</x:f>
        <x:v>PASS</x:v>
      </x:c>
      <x:c r="M142" s="6" t="str">
        <x:v>Pending</x:v>
      </x:c>
      <x:c r="N142" s="6" t="str"/>
      <x:c r="O142" s="6" t="str"/>
      <x:c r="P142" s="6" t="str">
        <x:v>Not Eligible</x:v>
      </x:c>
      <x:c r="Q142" s="7" t="str"/>
    </x:row>
    <x:row r="143">
      <x:c r="A143" s="6" t="str">
        <x:v>APPR-0142</x:v>
      </x:c>
      <x:c r="B143" s="6" t="str">
        <x:v>Service Identity Queue</x:v>
      </x:c>
      <x:c r="C143" s="6" t="str">
        <x:v>SIDX-0142</x:v>
      </x:c>
      <x:c r="D143" s="6" t="str">
        <x:v>Service</x:v>
      </x:c>
      <x:c r="E143" s="6" t="str">
        <x:v>SVC000142</x:v>
      </x:c>
      <x:c r="F143" s="6" t="str">
        <x:f>IFERROR(IF(XLOOKUP(C143,'Review Sequence'!C2:C1586,'Review Sequence'!J2:J1586)="Reviewer Complete",XLOOKUP(C143,'Service Identity Queue'!A2:A315,'Service Identity Queue'!L2:L315),""),"")</x:f>
      </x:c>
      <x:c r="G143" s="6" t="str"/>
      <x:c r="H143" s="7" t="str">
        <x:f>IF(F143&lt;&gt;"",XLOOKUP(C143,'Service Identity Queue'!A2:A315,'Service Identity Queue'!N2:N315),"" )</x:f>
      </x:c>
      <x:c r="I143" s="6" t="str">
        <x:f>IF(F143&lt;&gt;"",XLOOKUP(C143,'Service Identity Queue'!A2:A315,'Service Identity Queue'!O2:O315),"" )</x:f>
      </x:c>
      <x:c r="J143" s="6" t="str">
        <x:f>IF(F143&lt;&gt;"",XLOOKUP(C143,'Service Identity Queue'!A2:A315,'Service Identity Queue'!P2:P315),"" )</x:f>
      </x:c>
      <x:c r="K143" s="6" t="str">
        <x:f>IF(F143&lt;&gt;"","Reviewer complete; second-level approval still required","Not eligible yet")</x:f>
        <x:v>Not eligible yet</x:v>
      </x:c>
      <x:c r="L143" s="6" t="str">
        <x:f>IF(P143="Not Eligible","PASS","FAIL")</x:f>
        <x:v>PASS</x:v>
      </x:c>
      <x:c r="M143" s="6" t="str">
        <x:v>Pending</x:v>
      </x:c>
      <x:c r="N143" s="6" t="str"/>
      <x:c r="O143" s="6" t="str"/>
      <x:c r="P143" s="6" t="str">
        <x:v>Not Eligible</x:v>
      </x:c>
      <x:c r="Q143" s="7" t="str"/>
    </x:row>
    <x:row r="144">
      <x:c r="A144" s="6" t="str">
        <x:v>APPR-0143</x:v>
      </x:c>
      <x:c r="B144" s="6" t="str">
        <x:v>Service Identity Queue</x:v>
      </x:c>
      <x:c r="C144" s="6" t="str">
        <x:v>SIDX-0143</x:v>
      </x:c>
      <x:c r="D144" s="6" t="str">
        <x:v>Service</x:v>
      </x:c>
      <x:c r="E144" s="6" t="str">
        <x:v>SVC000143</x:v>
      </x:c>
      <x:c r="F144" s="6" t="str">
        <x:f>IFERROR(IF(XLOOKUP(C144,'Review Sequence'!C2:C1586,'Review Sequence'!J2:J1586)="Reviewer Complete",XLOOKUP(C144,'Service Identity Queue'!A2:A315,'Service Identity Queue'!L2:L315),""),"")</x:f>
      </x:c>
      <x:c r="G144" s="6" t="str"/>
      <x:c r="H144" s="7" t="str">
        <x:f>IF(F144&lt;&gt;"",XLOOKUP(C144,'Service Identity Queue'!A2:A315,'Service Identity Queue'!N2:N315),"" )</x:f>
      </x:c>
      <x:c r="I144" s="6" t="str">
        <x:f>IF(F144&lt;&gt;"",XLOOKUP(C144,'Service Identity Queue'!A2:A315,'Service Identity Queue'!O2:O315),"" )</x:f>
      </x:c>
      <x:c r="J144" s="6" t="str">
        <x:f>IF(F144&lt;&gt;"",XLOOKUP(C144,'Service Identity Queue'!A2:A315,'Service Identity Queue'!P2:P315),"" )</x:f>
      </x:c>
      <x:c r="K144" s="6" t="str">
        <x:f>IF(F144&lt;&gt;"","Reviewer complete; second-level approval still required","Not eligible yet")</x:f>
        <x:v>Not eligible yet</x:v>
      </x:c>
      <x:c r="L144" s="6" t="str">
        <x:f>IF(P144="Not Eligible","PASS","FAIL")</x:f>
        <x:v>PASS</x:v>
      </x:c>
      <x:c r="M144" s="6" t="str">
        <x:v>Pending</x:v>
      </x:c>
      <x:c r="N144" s="6" t="str"/>
      <x:c r="O144" s="6" t="str"/>
      <x:c r="P144" s="6" t="str">
        <x:v>Not Eligible</x:v>
      </x:c>
      <x:c r="Q144" s="7" t="str"/>
    </x:row>
    <x:row r="145">
      <x:c r="A145" s="6" t="str">
        <x:v>APPR-0144</x:v>
      </x:c>
      <x:c r="B145" s="6" t="str">
        <x:v>Service Identity Queue</x:v>
      </x:c>
      <x:c r="C145" s="6" t="str">
        <x:v>SIDX-0144</x:v>
      </x:c>
      <x:c r="D145" s="6" t="str">
        <x:v>Service</x:v>
      </x:c>
      <x:c r="E145" s="6" t="str">
        <x:v>SVC000144</x:v>
      </x:c>
      <x:c r="F145" s="6" t="str">
        <x:f>IFERROR(IF(XLOOKUP(C145,'Review Sequence'!C2:C1586,'Review Sequence'!J2:J1586)="Reviewer Complete",XLOOKUP(C145,'Service Identity Queue'!A2:A315,'Service Identity Queue'!L2:L315),""),"")</x:f>
      </x:c>
      <x:c r="G145" s="6" t="str"/>
      <x:c r="H145" s="7" t="str">
        <x:f>IF(F145&lt;&gt;"",XLOOKUP(C145,'Service Identity Queue'!A2:A315,'Service Identity Queue'!N2:N315),"" )</x:f>
      </x:c>
      <x:c r="I145" s="6" t="str">
        <x:f>IF(F145&lt;&gt;"",XLOOKUP(C145,'Service Identity Queue'!A2:A315,'Service Identity Queue'!O2:O315),"" )</x:f>
      </x:c>
      <x:c r="J145" s="6" t="str">
        <x:f>IF(F145&lt;&gt;"",XLOOKUP(C145,'Service Identity Queue'!A2:A315,'Service Identity Queue'!P2:P315),"" )</x:f>
      </x:c>
      <x:c r="K145" s="6" t="str">
        <x:f>IF(F145&lt;&gt;"","Reviewer complete; second-level approval still required","Not eligible yet")</x:f>
        <x:v>Not eligible yet</x:v>
      </x:c>
      <x:c r="L145" s="6" t="str">
        <x:f>IF(P145="Not Eligible","PASS","FAIL")</x:f>
        <x:v>PASS</x:v>
      </x:c>
      <x:c r="M145" s="6" t="str">
        <x:v>Pending</x:v>
      </x:c>
      <x:c r="N145" s="6" t="str"/>
      <x:c r="O145" s="6" t="str"/>
      <x:c r="P145" s="6" t="str">
        <x:v>Not Eligible</x:v>
      </x:c>
      <x:c r="Q145" s="7" t="str"/>
    </x:row>
    <x:row r="146">
      <x:c r="A146" s="6" t="str">
        <x:v>APPR-0145</x:v>
      </x:c>
      <x:c r="B146" s="6" t="str">
        <x:v>Service Identity Queue</x:v>
      </x:c>
      <x:c r="C146" s="6" t="str">
        <x:v>SIDX-0145</x:v>
      </x:c>
      <x:c r="D146" s="6" t="str">
        <x:v>Service</x:v>
      </x:c>
      <x:c r="E146" s="6" t="str">
        <x:v>SVC000145</x:v>
      </x:c>
      <x:c r="F146" s="6" t="str">
        <x:f>IFERROR(IF(XLOOKUP(C146,'Review Sequence'!C2:C1586,'Review Sequence'!J2:J1586)="Reviewer Complete",XLOOKUP(C146,'Service Identity Queue'!A2:A315,'Service Identity Queue'!L2:L315),""),"")</x:f>
      </x:c>
      <x:c r="G146" s="6" t="str"/>
      <x:c r="H146" s="7" t="str">
        <x:f>IF(F146&lt;&gt;"",XLOOKUP(C146,'Service Identity Queue'!A2:A315,'Service Identity Queue'!N2:N315),"" )</x:f>
      </x:c>
      <x:c r="I146" s="6" t="str">
        <x:f>IF(F146&lt;&gt;"",XLOOKUP(C146,'Service Identity Queue'!A2:A315,'Service Identity Queue'!O2:O315),"" )</x:f>
      </x:c>
      <x:c r="J146" s="6" t="str">
        <x:f>IF(F146&lt;&gt;"",XLOOKUP(C146,'Service Identity Queue'!A2:A315,'Service Identity Queue'!P2:P315),"" )</x:f>
      </x:c>
      <x:c r="K146" s="6" t="str">
        <x:f>IF(F146&lt;&gt;"","Reviewer complete; second-level approval still required","Not eligible yet")</x:f>
        <x:v>Not eligible yet</x:v>
      </x:c>
      <x:c r="L146" s="6" t="str">
        <x:f>IF(P146="Not Eligible","PASS","FAIL")</x:f>
        <x:v>PASS</x:v>
      </x:c>
      <x:c r="M146" s="6" t="str">
        <x:v>Pending</x:v>
      </x:c>
      <x:c r="N146" s="6" t="str"/>
      <x:c r="O146" s="6" t="str"/>
      <x:c r="P146" s="6" t="str">
        <x:v>Not Eligible</x:v>
      </x:c>
      <x:c r="Q146" s="7" t="str"/>
    </x:row>
    <x:row r="147">
      <x:c r="A147" s="6" t="str">
        <x:v>APPR-0146</x:v>
      </x:c>
      <x:c r="B147" s="6" t="str">
        <x:v>Service Identity Queue</x:v>
      </x:c>
      <x:c r="C147" s="6" t="str">
        <x:v>SIDX-0146</x:v>
      </x:c>
      <x:c r="D147" s="6" t="str">
        <x:v>Service</x:v>
      </x:c>
      <x:c r="E147" s="6" t="str">
        <x:v>SVC000146</x:v>
      </x:c>
      <x:c r="F147" s="6" t="str">
        <x:f>IFERROR(IF(XLOOKUP(C147,'Review Sequence'!C2:C1586,'Review Sequence'!J2:J1586)="Reviewer Complete",XLOOKUP(C147,'Service Identity Queue'!A2:A315,'Service Identity Queue'!L2:L315),""),"")</x:f>
      </x:c>
      <x:c r="G147" s="6" t="str"/>
      <x:c r="H147" s="7" t="str">
        <x:f>IF(F147&lt;&gt;"",XLOOKUP(C147,'Service Identity Queue'!A2:A315,'Service Identity Queue'!N2:N315),"" )</x:f>
      </x:c>
      <x:c r="I147" s="6" t="str">
        <x:f>IF(F147&lt;&gt;"",XLOOKUP(C147,'Service Identity Queue'!A2:A315,'Service Identity Queue'!O2:O315),"" )</x:f>
      </x:c>
      <x:c r="J147" s="6" t="str">
        <x:f>IF(F147&lt;&gt;"",XLOOKUP(C147,'Service Identity Queue'!A2:A315,'Service Identity Queue'!P2:P315),"" )</x:f>
      </x:c>
      <x:c r="K147" s="6" t="str">
        <x:f>IF(F147&lt;&gt;"","Reviewer complete; second-level approval still required","Not eligible yet")</x:f>
        <x:v>Not eligible yet</x:v>
      </x:c>
      <x:c r="L147" s="6" t="str">
        <x:f>IF(P147="Not Eligible","PASS","FAIL")</x:f>
        <x:v>PASS</x:v>
      </x:c>
      <x:c r="M147" s="6" t="str">
        <x:v>Pending</x:v>
      </x:c>
      <x:c r="N147" s="6" t="str"/>
      <x:c r="O147" s="6" t="str"/>
      <x:c r="P147" s="6" t="str">
        <x:v>Not Eligible</x:v>
      </x:c>
      <x:c r="Q147" s="7" t="str"/>
    </x:row>
    <x:row r="148">
      <x:c r="A148" s="6" t="str">
        <x:v>APPR-0147</x:v>
      </x:c>
      <x:c r="B148" s="6" t="str">
        <x:v>Service Identity Queue</x:v>
      </x:c>
      <x:c r="C148" s="6" t="str">
        <x:v>SIDX-0147</x:v>
      </x:c>
      <x:c r="D148" s="6" t="str">
        <x:v>Service</x:v>
      </x:c>
      <x:c r="E148" s="6" t="str">
        <x:v>SVC000147</x:v>
      </x:c>
      <x:c r="F148" s="6" t="str">
        <x:f>IFERROR(IF(XLOOKUP(C148,'Review Sequence'!C2:C1586,'Review Sequence'!J2:J1586)="Reviewer Complete",XLOOKUP(C148,'Service Identity Queue'!A2:A315,'Service Identity Queue'!L2:L315),""),"")</x:f>
      </x:c>
      <x:c r="G148" s="6" t="str"/>
      <x:c r="H148" s="7" t="str">
        <x:f>IF(F148&lt;&gt;"",XLOOKUP(C148,'Service Identity Queue'!A2:A315,'Service Identity Queue'!N2:N315),"" )</x:f>
      </x:c>
      <x:c r="I148" s="6" t="str">
        <x:f>IF(F148&lt;&gt;"",XLOOKUP(C148,'Service Identity Queue'!A2:A315,'Service Identity Queue'!O2:O315),"" )</x:f>
      </x:c>
      <x:c r="J148" s="6" t="str">
        <x:f>IF(F148&lt;&gt;"",XLOOKUP(C148,'Service Identity Queue'!A2:A315,'Service Identity Queue'!P2:P315),"" )</x:f>
      </x:c>
      <x:c r="K148" s="6" t="str">
        <x:f>IF(F148&lt;&gt;"","Reviewer complete; second-level approval still required","Not eligible yet")</x:f>
        <x:v>Not eligible yet</x:v>
      </x:c>
      <x:c r="L148" s="6" t="str">
        <x:f>IF(P148="Not Eligible","PASS","FAIL")</x:f>
        <x:v>PASS</x:v>
      </x:c>
      <x:c r="M148" s="6" t="str">
        <x:v>Pending</x:v>
      </x:c>
      <x:c r="N148" s="6" t="str"/>
      <x:c r="O148" s="6" t="str"/>
      <x:c r="P148" s="6" t="str">
        <x:v>Not Eligible</x:v>
      </x:c>
      <x:c r="Q148" s="7" t="str"/>
    </x:row>
    <x:row r="149">
      <x:c r="A149" s="6" t="str">
        <x:v>APPR-0148</x:v>
      </x:c>
      <x:c r="B149" s="6" t="str">
        <x:v>Service Identity Queue</x:v>
      </x:c>
      <x:c r="C149" s="6" t="str">
        <x:v>SIDX-0148</x:v>
      </x:c>
      <x:c r="D149" s="6" t="str">
        <x:v>Service</x:v>
      </x:c>
      <x:c r="E149" s="6" t="str">
        <x:v>SVC000148</x:v>
      </x:c>
      <x:c r="F149" s="6" t="str">
        <x:f>IFERROR(IF(XLOOKUP(C149,'Review Sequence'!C2:C1586,'Review Sequence'!J2:J1586)="Reviewer Complete",XLOOKUP(C149,'Service Identity Queue'!A2:A315,'Service Identity Queue'!L2:L315),""),"")</x:f>
      </x:c>
      <x:c r="G149" s="6" t="str"/>
      <x:c r="H149" s="7" t="str">
        <x:f>IF(F149&lt;&gt;"",XLOOKUP(C149,'Service Identity Queue'!A2:A315,'Service Identity Queue'!N2:N315),"" )</x:f>
      </x:c>
      <x:c r="I149" s="6" t="str">
        <x:f>IF(F149&lt;&gt;"",XLOOKUP(C149,'Service Identity Queue'!A2:A315,'Service Identity Queue'!O2:O315),"" )</x:f>
      </x:c>
      <x:c r="J149" s="6" t="str">
        <x:f>IF(F149&lt;&gt;"",XLOOKUP(C149,'Service Identity Queue'!A2:A315,'Service Identity Queue'!P2:P315),"" )</x:f>
      </x:c>
      <x:c r="K149" s="6" t="str">
        <x:f>IF(F149&lt;&gt;"","Reviewer complete; second-level approval still required","Not eligible yet")</x:f>
        <x:v>Not eligible yet</x:v>
      </x:c>
      <x:c r="L149" s="6" t="str">
        <x:f>IF(P149="Not Eligible","PASS","FAIL")</x:f>
        <x:v>PASS</x:v>
      </x:c>
      <x:c r="M149" s="6" t="str">
        <x:v>Pending</x:v>
      </x:c>
      <x:c r="N149" s="6" t="str"/>
      <x:c r="O149" s="6" t="str"/>
      <x:c r="P149" s="6" t="str">
        <x:v>Not Eligible</x:v>
      </x:c>
      <x:c r="Q149" s="7" t="str"/>
    </x:row>
    <x:row r="150">
      <x:c r="A150" s="6" t="str">
        <x:v>APPR-0149</x:v>
      </x:c>
      <x:c r="B150" s="6" t="str">
        <x:v>Service Identity Queue</x:v>
      </x:c>
      <x:c r="C150" s="6" t="str">
        <x:v>SIDX-0149</x:v>
      </x:c>
      <x:c r="D150" s="6" t="str">
        <x:v>Service</x:v>
      </x:c>
      <x:c r="E150" s="6" t="str">
        <x:v>SVC000149</x:v>
      </x:c>
      <x:c r="F150" s="6" t="str">
        <x:f>IFERROR(IF(XLOOKUP(C150,'Review Sequence'!C2:C1586,'Review Sequence'!J2:J1586)="Reviewer Complete",XLOOKUP(C150,'Service Identity Queue'!A2:A315,'Service Identity Queue'!L2:L315),""),"")</x:f>
      </x:c>
      <x:c r="G150" s="6" t="str"/>
      <x:c r="H150" s="7" t="str">
        <x:f>IF(F150&lt;&gt;"",XLOOKUP(C150,'Service Identity Queue'!A2:A315,'Service Identity Queue'!N2:N315),"" )</x:f>
      </x:c>
      <x:c r="I150" s="6" t="str">
        <x:f>IF(F150&lt;&gt;"",XLOOKUP(C150,'Service Identity Queue'!A2:A315,'Service Identity Queue'!O2:O315),"" )</x:f>
      </x:c>
      <x:c r="J150" s="6" t="str">
        <x:f>IF(F150&lt;&gt;"",XLOOKUP(C150,'Service Identity Queue'!A2:A315,'Service Identity Queue'!P2:P315),"" )</x:f>
      </x:c>
      <x:c r="K150" s="6" t="str">
        <x:f>IF(F150&lt;&gt;"","Reviewer complete; second-level approval still required","Not eligible yet")</x:f>
        <x:v>Not eligible yet</x:v>
      </x:c>
      <x:c r="L150" s="6" t="str">
        <x:f>IF(P150="Not Eligible","PASS","FAIL")</x:f>
        <x:v>PASS</x:v>
      </x:c>
      <x:c r="M150" s="6" t="str">
        <x:v>Pending</x:v>
      </x:c>
      <x:c r="N150" s="6" t="str"/>
      <x:c r="O150" s="6" t="str"/>
      <x:c r="P150" s="6" t="str">
        <x:v>Not Eligible</x:v>
      </x:c>
      <x:c r="Q150" s="7" t="str"/>
    </x:row>
    <x:row r="151">
      <x:c r="A151" s="6" t="str">
        <x:v>APPR-0150</x:v>
      </x:c>
      <x:c r="B151" s="6" t="str">
        <x:v>Service Identity Queue</x:v>
      </x:c>
      <x:c r="C151" s="6" t="str">
        <x:v>SIDX-0150</x:v>
      </x:c>
      <x:c r="D151" s="6" t="str">
        <x:v>Service</x:v>
      </x:c>
      <x:c r="E151" s="6" t="str">
        <x:v>SVC000150</x:v>
      </x:c>
      <x:c r="F151" s="6" t="str">
        <x:f>IFERROR(IF(XLOOKUP(C151,'Review Sequence'!C2:C1586,'Review Sequence'!J2:J1586)="Reviewer Complete",XLOOKUP(C151,'Service Identity Queue'!A2:A315,'Service Identity Queue'!L2:L315),""),"")</x:f>
      </x:c>
      <x:c r="G151" s="6" t="str"/>
      <x:c r="H151" s="7" t="str">
        <x:f>IF(F151&lt;&gt;"",XLOOKUP(C151,'Service Identity Queue'!A2:A315,'Service Identity Queue'!N2:N315),"" )</x:f>
      </x:c>
      <x:c r="I151" s="6" t="str">
        <x:f>IF(F151&lt;&gt;"",XLOOKUP(C151,'Service Identity Queue'!A2:A315,'Service Identity Queue'!O2:O315),"" )</x:f>
      </x:c>
      <x:c r="J151" s="6" t="str">
        <x:f>IF(F151&lt;&gt;"",XLOOKUP(C151,'Service Identity Queue'!A2:A315,'Service Identity Queue'!P2:P315),"" )</x:f>
      </x:c>
      <x:c r="K151" s="6" t="str">
        <x:f>IF(F151&lt;&gt;"","Reviewer complete; second-level approval still required","Not eligible yet")</x:f>
        <x:v>Not eligible yet</x:v>
      </x:c>
      <x:c r="L151" s="6" t="str">
        <x:f>IF(P151="Not Eligible","PASS","FAIL")</x:f>
        <x:v>PASS</x:v>
      </x:c>
      <x:c r="M151" s="6" t="str">
        <x:v>Pending</x:v>
      </x:c>
      <x:c r="N151" s="6" t="str"/>
      <x:c r="O151" s="6" t="str"/>
      <x:c r="P151" s="6" t="str">
        <x:v>Not Eligible</x:v>
      </x:c>
      <x:c r="Q151" s="7" t="str"/>
    </x:row>
    <x:row r="152">
      <x:c r="A152" s="6" t="str">
        <x:v>APPR-0151</x:v>
      </x:c>
      <x:c r="B152" s="6" t="str">
        <x:v>Service Identity Queue</x:v>
      </x:c>
      <x:c r="C152" s="6" t="str">
        <x:v>SIDX-0151</x:v>
      </x:c>
      <x:c r="D152" s="6" t="str">
        <x:v>Service</x:v>
      </x:c>
      <x:c r="E152" s="6" t="str">
        <x:v>SVC000151</x:v>
      </x:c>
      <x:c r="F152" s="6" t="str">
        <x:f>IFERROR(IF(XLOOKUP(C152,'Review Sequence'!C2:C1586,'Review Sequence'!J2:J1586)="Reviewer Complete",XLOOKUP(C152,'Service Identity Queue'!A2:A315,'Service Identity Queue'!L2:L315),""),"")</x:f>
      </x:c>
      <x:c r="G152" s="6" t="str"/>
      <x:c r="H152" s="7" t="str">
        <x:f>IF(F152&lt;&gt;"",XLOOKUP(C152,'Service Identity Queue'!A2:A315,'Service Identity Queue'!N2:N315),"" )</x:f>
      </x:c>
      <x:c r="I152" s="6" t="str">
        <x:f>IF(F152&lt;&gt;"",XLOOKUP(C152,'Service Identity Queue'!A2:A315,'Service Identity Queue'!O2:O315),"" )</x:f>
      </x:c>
      <x:c r="J152" s="6" t="str">
        <x:f>IF(F152&lt;&gt;"",XLOOKUP(C152,'Service Identity Queue'!A2:A315,'Service Identity Queue'!P2:P315),"" )</x:f>
      </x:c>
      <x:c r="K152" s="6" t="str">
        <x:f>IF(F152&lt;&gt;"","Reviewer complete; second-level approval still required","Not eligible yet")</x:f>
        <x:v>Not eligible yet</x:v>
      </x:c>
      <x:c r="L152" s="6" t="str">
        <x:f>IF(P152="Not Eligible","PASS","FAIL")</x:f>
        <x:v>PASS</x:v>
      </x:c>
      <x:c r="M152" s="6" t="str">
        <x:v>Pending</x:v>
      </x:c>
      <x:c r="N152" s="6" t="str"/>
      <x:c r="O152" s="6" t="str"/>
      <x:c r="P152" s="6" t="str">
        <x:v>Not Eligible</x:v>
      </x:c>
      <x:c r="Q152" s="7" t="str"/>
    </x:row>
    <x:row r="153">
      <x:c r="A153" s="6" t="str">
        <x:v>APPR-0152</x:v>
      </x:c>
      <x:c r="B153" s="6" t="str">
        <x:v>Service Identity Queue</x:v>
      </x:c>
      <x:c r="C153" s="6" t="str">
        <x:v>SIDX-0152</x:v>
      </x:c>
      <x:c r="D153" s="6" t="str">
        <x:v>Service</x:v>
      </x:c>
      <x:c r="E153" s="6" t="str">
        <x:v>SVC000152</x:v>
      </x:c>
      <x:c r="F153" s="6" t="str">
        <x:f>IFERROR(IF(XLOOKUP(C153,'Review Sequence'!C2:C1586,'Review Sequence'!J2:J1586)="Reviewer Complete",XLOOKUP(C153,'Service Identity Queue'!A2:A315,'Service Identity Queue'!L2:L315),""),"")</x:f>
      </x:c>
      <x:c r="G153" s="6" t="str"/>
      <x:c r="H153" s="7" t="str">
        <x:f>IF(F153&lt;&gt;"",XLOOKUP(C153,'Service Identity Queue'!A2:A315,'Service Identity Queue'!N2:N315),"" )</x:f>
      </x:c>
      <x:c r="I153" s="6" t="str">
        <x:f>IF(F153&lt;&gt;"",XLOOKUP(C153,'Service Identity Queue'!A2:A315,'Service Identity Queue'!O2:O315),"" )</x:f>
      </x:c>
      <x:c r="J153" s="6" t="str">
        <x:f>IF(F153&lt;&gt;"",XLOOKUP(C153,'Service Identity Queue'!A2:A315,'Service Identity Queue'!P2:P315),"" )</x:f>
      </x:c>
      <x:c r="K153" s="6" t="str">
        <x:f>IF(F153&lt;&gt;"","Reviewer complete; second-level approval still required","Not eligible yet")</x:f>
        <x:v>Not eligible yet</x:v>
      </x:c>
      <x:c r="L153" s="6" t="str">
        <x:f>IF(P153="Not Eligible","PASS","FAIL")</x:f>
        <x:v>PASS</x:v>
      </x:c>
      <x:c r="M153" s="6" t="str">
        <x:v>Pending</x:v>
      </x:c>
      <x:c r="N153" s="6" t="str"/>
      <x:c r="O153" s="6" t="str"/>
      <x:c r="P153" s="6" t="str">
        <x:v>Not Eligible</x:v>
      </x:c>
      <x:c r="Q153" s="7" t="str"/>
    </x:row>
    <x:row r="154">
      <x:c r="A154" s="6" t="str">
        <x:v>APPR-0153</x:v>
      </x:c>
      <x:c r="B154" s="6" t="str">
        <x:v>Service Identity Queue</x:v>
      </x:c>
      <x:c r="C154" s="6" t="str">
        <x:v>SIDX-0153</x:v>
      </x:c>
      <x:c r="D154" s="6" t="str">
        <x:v>Service</x:v>
      </x:c>
      <x:c r="E154" s="6" t="str">
        <x:v>SVC000153</x:v>
      </x:c>
      <x:c r="F154" s="6" t="str">
        <x:f>IFERROR(IF(XLOOKUP(C154,'Review Sequence'!C2:C1586,'Review Sequence'!J2:J1586)="Reviewer Complete",XLOOKUP(C154,'Service Identity Queue'!A2:A315,'Service Identity Queue'!L2:L315),""),"")</x:f>
      </x:c>
      <x:c r="G154" s="6" t="str"/>
      <x:c r="H154" s="7" t="str">
        <x:f>IF(F154&lt;&gt;"",XLOOKUP(C154,'Service Identity Queue'!A2:A315,'Service Identity Queue'!N2:N315),"" )</x:f>
      </x:c>
      <x:c r="I154" s="6" t="str">
        <x:f>IF(F154&lt;&gt;"",XLOOKUP(C154,'Service Identity Queue'!A2:A315,'Service Identity Queue'!O2:O315),"" )</x:f>
      </x:c>
      <x:c r="J154" s="6" t="str">
        <x:f>IF(F154&lt;&gt;"",XLOOKUP(C154,'Service Identity Queue'!A2:A315,'Service Identity Queue'!P2:P315),"" )</x:f>
      </x:c>
      <x:c r="K154" s="6" t="str">
        <x:f>IF(F154&lt;&gt;"","Reviewer complete; second-level approval still required","Not eligible yet")</x:f>
        <x:v>Not eligible yet</x:v>
      </x:c>
      <x:c r="L154" s="6" t="str">
        <x:f>IF(P154="Not Eligible","PASS","FAIL")</x:f>
        <x:v>PASS</x:v>
      </x:c>
      <x:c r="M154" s="6" t="str">
        <x:v>Pending</x:v>
      </x:c>
      <x:c r="N154" s="6" t="str"/>
      <x:c r="O154" s="6" t="str"/>
      <x:c r="P154" s="6" t="str">
        <x:v>Not Eligible</x:v>
      </x:c>
      <x:c r="Q154" s="7" t="str"/>
    </x:row>
    <x:row r="155">
      <x:c r="A155" s="6" t="str">
        <x:v>APPR-0154</x:v>
      </x:c>
      <x:c r="B155" s="6" t="str">
        <x:v>Service Identity Queue</x:v>
      </x:c>
      <x:c r="C155" s="6" t="str">
        <x:v>SIDX-0154</x:v>
      </x:c>
      <x:c r="D155" s="6" t="str">
        <x:v>Service</x:v>
      </x:c>
      <x:c r="E155" s="6" t="str">
        <x:v>SVC000154</x:v>
      </x:c>
      <x:c r="F155" s="6" t="str">
        <x:f>IFERROR(IF(XLOOKUP(C155,'Review Sequence'!C2:C1586,'Review Sequence'!J2:J1586)="Reviewer Complete",XLOOKUP(C155,'Service Identity Queue'!A2:A315,'Service Identity Queue'!L2:L315),""),"")</x:f>
      </x:c>
      <x:c r="G155" s="6" t="str"/>
      <x:c r="H155" s="7" t="str">
        <x:f>IF(F155&lt;&gt;"",XLOOKUP(C155,'Service Identity Queue'!A2:A315,'Service Identity Queue'!N2:N315),"" )</x:f>
      </x:c>
      <x:c r="I155" s="6" t="str">
        <x:f>IF(F155&lt;&gt;"",XLOOKUP(C155,'Service Identity Queue'!A2:A315,'Service Identity Queue'!O2:O315),"" )</x:f>
      </x:c>
      <x:c r="J155" s="6" t="str">
        <x:f>IF(F155&lt;&gt;"",XLOOKUP(C155,'Service Identity Queue'!A2:A315,'Service Identity Queue'!P2:P315),"" )</x:f>
      </x:c>
      <x:c r="K155" s="6" t="str">
        <x:f>IF(F155&lt;&gt;"","Reviewer complete; second-level approval still required","Not eligible yet")</x:f>
        <x:v>Not eligible yet</x:v>
      </x:c>
      <x:c r="L155" s="6" t="str">
        <x:f>IF(P155="Not Eligible","PASS","FAIL")</x:f>
        <x:v>PASS</x:v>
      </x:c>
      <x:c r="M155" s="6" t="str">
        <x:v>Pending</x:v>
      </x:c>
      <x:c r="N155" s="6" t="str"/>
      <x:c r="O155" s="6" t="str"/>
      <x:c r="P155" s="6" t="str">
        <x:v>Not Eligible</x:v>
      </x:c>
      <x:c r="Q155" s="7" t="str"/>
    </x:row>
    <x:row r="156">
      <x:c r="A156" s="6" t="str">
        <x:v>APPR-0155</x:v>
      </x:c>
      <x:c r="B156" s="6" t="str">
        <x:v>Service Identity Queue</x:v>
      </x:c>
      <x:c r="C156" s="6" t="str">
        <x:v>SIDX-0155</x:v>
      </x:c>
      <x:c r="D156" s="6" t="str">
        <x:v>Service</x:v>
      </x:c>
      <x:c r="E156" s="6" t="str">
        <x:v>SVC000155</x:v>
      </x:c>
      <x:c r="F156" s="6" t="str">
        <x:f>IFERROR(IF(XLOOKUP(C156,'Review Sequence'!C2:C1586,'Review Sequence'!J2:J1586)="Reviewer Complete",XLOOKUP(C156,'Service Identity Queue'!A2:A315,'Service Identity Queue'!L2:L315),""),"")</x:f>
      </x:c>
      <x:c r="G156" s="6" t="str"/>
      <x:c r="H156" s="7" t="str">
        <x:f>IF(F156&lt;&gt;"",XLOOKUP(C156,'Service Identity Queue'!A2:A315,'Service Identity Queue'!N2:N315),"" )</x:f>
      </x:c>
      <x:c r="I156" s="6" t="str">
        <x:f>IF(F156&lt;&gt;"",XLOOKUP(C156,'Service Identity Queue'!A2:A315,'Service Identity Queue'!O2:O315),"" )</x:f>
      </x:c>
      <x:c r="J156" s="6" t="str">
        <x:f>IF(F156&lt;&gt;"",XLOOKUP(C156,'Service Identity Queue'!A2:A315,'Service Identity Queue'!P2:P315),"" )</x:f>
      </x:c>
      <x:c r="K156" s="6" t="str">
        <x:f>IF(F156&lt;&gt;"","Reviewer complete; second-level approval still required","Not eligible yet")</x:f>
        <x:v>Not eligible yet</x:v>
      </x:c>
      <x:c r="L156" s="6" t="str">
        <x:f>IF(P156="Not Eligible","PASS","FAIL")</x:f>
        <x:v>PASS</x:v>
      </x:c>
      <x:c r="M156" s="6" t="str">
        <x:v>Pending</x:v>
      </x:c>
      <x:c r="N156" s="6" t="str"/>
      <x:c r="O156" s="6" t="str"/>
      <x:c r="P156" s="6" t="str">
        <x:v>Not Eligible</x:v>
      </x:c>
      <x:c r="Q156" s="7" t="str"/>
    </x:row>
    <x:row r="157">
      <x:c r="A157" s="6" t="str">
        <x:v>APPR-0156</x:v>
      </x:c>
      <x:c r="B157" s="6" t="str">
        <x:v>Service Identity Queue</x:v>
      </x:c>
      <x:c r="C157" s="6" t="str">
        <x:v>SIDX-0156</x:v>
      </x:c>
      <x:c r="D157" s="6" t="str">
        <x:v>Service</x:v>
      </x:c>
      <x:c r="E157" s="6" t="str">
        <x:v>SVC000156</x:v>
      </x:c>
      <x:c r="F157" s="6" t="str">
        <x:f>IFERROR(IF(XLOOKUP(C157,'Review Sequence'!C2:C1586,'Review Sequence'!J2:J1586)="Reviewer Complete",XLOOKUP(C157,'Service Identity Queue'!A2:A315,'Service Identity Queue'!L2:L315),""),"")</x:f>
      </x:c>
      <x:c r="G157" s="6" t="str"/>
      <x:c r="H157" s="7" t="str">
        <x:f>IF(F157&lt;&gt;"",XLOOKUP(C157,'Service Identity Queue'!A2:A315,'Service Identity Queue'!N2:N315),"" )</x:f>
      </x:c>
      <x:c r="I157" s="6" t="str">
        <x:f>IF(F157&lt;&gt;"",XLOOKUP(C157,'Service Identity Queue'!A2:A315,'Service Identity Queue'!O2:O315),"" )</x:f>
      </x:c>
      <x:c r="J157" s="6" t="str">
        <x:f>IF(F157&lt;&gt;"",XLOOKUP(C157,'Service Identity Queue'!A2:A315,'Service Identity Queue'!P2:P315),"" )</x:f>
      </x:c>
      <x:c r="K157" s="6" t="str">
        <x:f>IF(F157&lt;&gt;"","Reviewer complete; second-level approval still required","Not eligible yet")</x:f>
        <x:v>Not eligible yet</x:v>
      </x:c>
      <x:c r="L157" s="6" t="str">
        <x:f>IF(P157="Not Eligible","PASS","FAIL")</x:f>
        <x:v>PASS</x:v>
      </x:c>
      <x:c r="M157" s="6" t="str">
        <x:v>Pending</x:v>
      </x:c>
      <x:c r="N157" s="6" t="str"/>
      <x:c r="O157" s="6" t="str"/>
      <x:c r="P157" s="6" t="str">
        <x:v>Not Eligible</x:v>
      </x:c>
      <x:c r="Q157" s="7" t="str"/>
    </x:row>
    <x:row r="158">
      <x:c r="A158" s="6" t="str">
        <x:v>APPR-0157</x:v>
      </x:c>
      <x:c r="B158" s="6" t="str">
        <x:v>Service Identity Queue</x:v>
      </x:c>
      <x:c r="C158" s="6" t="str">
        <x:v>SIDX-0157</x:v>
      </x:c>
      <x:c r="D158" s="6" t="str">
        <x:v>Service</x:v>
      </x:c>
      <x:c r="E158" s="6" t="str">
        <x:v>SVC000157</x:v>
      </x:c>
      <x:c r="F158" s="6" t="str">
        <x:f>IFERROR(IF(XLOOKUP(C158,'Review Sequence'!C2:C1586,'Review Sequence'!J2:J1586)="Reviewer Complete",XLOOKUP(C158,'Service Identity Queue'!A2:A315,'Service Identity Queue'!L2:L315),""),"")</x:f>
      </x:c>
      <x:c r="G158" s="6" t="str"/>
      <x:c r="H158" s="7" t="str">
        <x:f>IF(F158&lt;&gt;"",XLOOKUP(C158,'Service Identity Queue'!A2:A315,'Service Identity Queue'!N2:N315),"" )</x:f>
      </x:c>
      <x:c r="I158" s="6" t="str">
        <x:f>IF(F158&lt;&gt;"",XLOOKUP(C158,'Service Identity Queue'!A2:A315,'Service Identity Queue'!O2:O315),"" )</x:f>
      </x:c>
      <x:c r="J158" s="6" t="str">
        <x:f>IF(F158&lt;&gt;"",XLOOKUP(C158,'Service Identity Queue'!A2:A315,'Service Identity Queue'!P2:P315),"" )</x:f>
      </x:c>
      <x:c r="K158" s="6" t="str">
        <x:f>IF(F158&lt;&gt;"","Reviewer complete; second-level approval still required","Not eligible yet")</x:f>
        <x:v>Not eligible yet</x:v>
      </x:c>
      <x:c r="L158" s="6" t="str">
        <x:f>IF(P158="Not Eligible","PASS","FAIL")</x:f>
        <x:v>PASS</x:v>
      </x:c>
      <x:c r="M158" s="6" t="str">
        <x:v>Pending</x:v>
      </x:c>
      <x:c r="N158" s="6" t="str"/>
      <x:c r="O158" s="6" t="str"/>
      <x:c r="P158" s="6" t="str">
        <x:v>Not Eligible</x:v>
      </x:c>
      <x:c r="Q158" s="7" t="str"/>
    </x:row>
    <x:row r="159">
      <x:c r="A159" s="6" t="str">
        <x:v>APPR-0158</x:v>
      </x:c>
      <x:c r="B159" s="6" t="str">
        <x:v>Service Identity Queue</x:v>
      </x:c>
      <x:c r="C159" s="6" t="str">
        <x:v>SIDX-0158</x:v>
      </x:c>
      <x:c r="D159" s="6" t="str">
        <x:v>Service</x:v>
      </x:c>
      <x:c r="E159" s="6" t="str">
        <x:v>SVC000158</x:v>
      </x:c>
      <x:c r="F159" s="6" t="str">
        <x:f>IFERROR(IF(XLOOKUP(C159,'Review Sequence'!C2:C1586,'Review Sequence'!J2:J1586)="Reviewer Complete",XLOOKUP(C159,'Service Identity Queue'!A2:A315,'Service Identity Queue'!L2:L315),""),"")</x:f>
      </x:c>
      <x:c r="G159" s="6" t="str"/>
      <x:c r="H159" s="7" t="str">
        <x:f>IF(F159&lt;&gt;"",XLOOKUP(C159,'Service Identity Queue'!A2:A315,'Service Identity Queue'!N2:N315),"" )</x:f>
      </x:c>
      <x:c r="I159" s="6" t="str">
        <x:f>IF(F159&lt;&gt;"",XLOOKUP(C159,'Service Identity Queue'!A2:A315,'Service Identity Queue'!O2:O315),"" )</x:f>
      </x:c>
      <x:c r="J159" s="6" t="str">
        <x:f>IF(F159&lt;&gt;"",XLOOKUP(C159,'Service Identity Queue'!A2:A315,'Service Identity Queue'!P2:P315),"" )</x:f>
      </x:c>
      <x:c r="K159" s="6" t="str">
        <x:f>IF(F159&lt;&gt;"","Reviewer complete; second-level approval still required","Not eligible yet")</x:f>
        <x:v>Not eligible yet</x:v>
      </x:c>
      <x:c r="L159" s="6" t="str">
        <x:f>IF(P159="Not Eligible","PASS","FAIL")</x:f>
        <x:v>PASS</x:v>
      </x:c>
      <x:c r="M159" s="6" t="str">
        <x:v>Pending</x:v>
      </x:c>
      <x:c r="N159" s="6" t="str"/>
      <x:c r="O159" s="6" t="str"/>
      <x:c r="P159" s="6" t="str">
        <x:v>Not Eligible</x:v>
      </x:c>
      <x:c r="Q159" s="7" t="str"/>
    </x:row>
    <x:row r="160">
      <x:c r="A160" s="6" t="str">
        <x:v>APPR-0159</x:v>
      </x:c>
      <x:c r="B160" s="6" t="str">
        <x:v>Service Identity Queue</x:v>
      </x:c>
      <x:c r="C160" s="6" t="str">
        <x:v>SIDX-0159</x:v>
      </x:c>
      <x:c r="D160" s="6" t="str">
        <x:v>Service</x:v>
      </x:c>
      <x:c r="E160" s="6" t="str">
        <x:v>SVC000159</x:v>
      </x:c>
      <x:c r="F160" s="6" t="str">
        <x:f>IFERROR(IF(XLOOKUP(C160,'Review Sequence'!C2:C1586,'Review Sequence'!J2:J1586)="Reviewer Complete",XLOOKUP(C160,'Service Identity Queue'!A2:A315,'Service Identity Queue'!L2:L315),""),"")</x:f>
      </x:c>
      <x:c r="G160" s="6" t="str"/>
      <x:c r="H160" s="7" t="str">
        <x:f>IF(F160&lt;&gt;"",XLOOKUP(C160,'Service Identity Queue'!A2:A315,'Service Identity Queue'!N2:N315),"" )</x:f>
      </x:c>
      <x:c r="I160" s="6" t="str">
        <x:f>IF(F160&lt;&gt;"",XLOOKUP(C160,'Service Identity Queue'!A2:A315,'Service Identity Queue'!O2:O315),"" )</x:f>
      </x:c>
      <x:c r="J160" s="6" t="str">
        <x:f>IF(F160&lt;&gt;"",XLOOKUP(C160,'Service Identity Queue'!A2:A315,'Service Identity Queue'!P2:P315),"" )</x:f>
      </x:c>
      <x:c r="K160" s="6" t="str">
        <x:f>IF(F160&lt;&gt;"","Reviewer complete; second-level approval still required","Not eligible yet")</x:f>
        <x:v>Not eligible yet</x:v>
      </x:c>
      <x:c r="L160" s="6" t="str">
        <x:f>IF(P160="Not Eligible","PASS","FAIL")</x:f>
        <x:v>PASS</x:v>
      </x:c>
      <x:c r="M160" s="6" t="str">
        <x:v>Pending</x:v>
      </x:c>
      <x:c r="N160" s="6" t="str"/>
      <x:c r="O160" s="6" t="str"/>
      <x:c r="P160" s="6" t="str">
        <x:v>Not Eligible</x:v>
      </x:c>
      <x:c r="Q160" s="7" t="str"/>
    </x:row>
    <x:row r="161">
      <x:c r="A161" s="6" t="str">
        <x:v>APPR-0160</x:v>
      </x:c>
      <x:c r="B161" s="6" t="str">
        <x:v>Service Identity Queue</x:v>
      </x:c>
      <x:c r="C161" s="6" t="str">
        <x:v>SIDX-0160</x:v>
      </x:c>
      <x:c r="D161" s="6" t="str">
        <x:v>Service</x:v>
      </x:c>
      <x:c r="E161" s="6" t="str">
        <x:v>SVC000160</x:v>
      </x:c>
      <x:c r="F161" s="6" t="str">
        <x:f>IFERROR(IF(XLOOKUP(C161,'Review Sequence'!C2:C1586,'Review Sequence'!J2:J1586)="Reviewer Complete",XLOOKUP(C161,'Service Identity Queue'!A2:A315,'Service Identity Queue'!L2:L315),""),"")</x:f>
      </x:c>
      <x:c r="G161" s="6" t="str"/>
      <x:c r="H161" s="7" t="str">
        <x:f>IF(F161&lt;&gt;"",XLOOKUP(C161,'Service Identity Queue'!A2:A315,'Service Identity Queue'!N2:N315),"" )</x:f>
      </x:c>
      <x:c r="I161" s="6" t="str">
        <x:f>IF(F161&lt;&gt;"",XLOOKUP(C161,'Service Identity Queue'!A2:A315,'Service Identity Queue'!O2:O315),"" )</x:f>
      </x:c>
      <x:c r="J161" s="6" t="str">
        <x:f>IF(F161&lt;&gt;"",XLOOKUP(C161,'Service Identity Queue'!A2:A315,'Service Identity Queue'!P2:P315),"" )</x:f>
      </x:c>
      <x:c r="K161" s="6" t="str">
        <x:f>IF(F161&lt;&gt;"","Reviewer complete; second-level approval still required","Not eligible yet")</x:f>
        <x:v>Not eligible yet</x:v>
      </x:c>
      <x:c r="L161" s="6" t="str">
        <x:f>IF(P161="Not Eligible","PASS","FAIL")</x:f>
        <x:v>PASS</x:v>
      </x:c>
      <x:c r="M161" s="6" t="str">
        <x:v>Pending</x:v>
      </x:c>
      <x:c r="N161" s="6" t="str"/>
      <x:c r="O161" s="6" t="str"/>
      <x:c r="P161" s="6" t="str">
        <x:v>Not Eligible</x:v>
      </x:c>
      <x:c r="Q161" s="7" t="str"/>
    </x:row>
    <x:row r="162">
      <x:c r="A162" s="6" t="str">
        <x:v>APPR-0161</x:v>
      </x:c>
      <x:c r="B162" s="6" t="str">
        <x:v>Service Identity Queue</x:v>
      </x:c>
      <x:c r="C162" s="6" t="str">
        <x:v>SIDX-0161</x:v>
      </x:c>
      <x:c r="D162" s="6" t="str">
        <x:v>Service</x:v>
      </x:c>
      <x:c r="E162" s="6" t="str">
        <x:v>SVC000161</x:v>
      </x:c>
      <x:c r="F162" s="6" t="str">
        <x:f>IFERROR(IF(XLOOKUP(C162,'Review Sequence'!C2:C1586,'Review Sequence'!J2:J1586)="Reviewer Complete",XLOOKUP(C162,'Service Identity Queue'!A2:A315,'Service Identity Queue'!L2:L315),""),"")</x:f>
      </x:c>
      <x:c r="G162" s="6" t="str"/>
      <x:c r="H162" s="7" t="str">
        <x:f>IF(F162&lt;&gt;"",XLOOKUP(C162,'Service Identity Queue'!A2:A315,'Service Identity Queue'!N2:N315),"" )</x:f>
      </x:c>
      <x:c r="I162" s="6" t="str">
        <x:f>IF(F162&lt;&gt;"",XLOOKUP(C162,'Service Identity Queue'!A2:A315,'Service Identity Queue'!O2:O315),"" )</x:f>
      </x:c>
      <x:c r="J162" s="6" t="str">
        <x:f>IF(F162&lt;&gt;"",XLOOKUP(C162,'Service Identity Queue'!A2:A315,'Service Identity Queue'!P2:P315),"" )</x:f>
      </x:c>
      <x:c r="K162" s="6" t="str">
        <x:f>IF(F162&lt;&gt;"","Reviewer complete; second-level approval still required","Not eligible yet")</x:f>
        <x:v>Not eligible yet</x:v>
      </x:c>
      <x:c r="L162" s="6" t="str">
        <x:f>IF(P162="Not Eligible","PASS","FAIL")</x:f>
        <x:v>PASS</x:v>
      </x:c>
      <x:c r="M162" s="6" t="str">
        <x:v>Pending</x:v>
      </x:c>
      <x:c r="N162" s="6" t="str"/>
      <x:c r="O162" s="6" t="str"/>
      <x:c r="P162" s="6" t="str">
        <x:v>Not Eligible</x:v>
      </x:c>
      <x:c r="Q162" s="7" t="str"/>
    </x:row>
    <x:row r="163">
      <x:c r="A163" s="6" t="str">
        <x:v>APPR-0162</x:v>
      </x:c>
      <x:c r="B163" s="6" t="str">
        <x:v>Service Identity Queue</x:v>
      </x:c>
      <x:c r="C163" s="6" t="str">
        <x:v>SIDX-0162</x:v>
      </x:c>
      <x:c r="D163" s="6" t="str">
        <x:v>Service</x:v>
      </x:c>
      <x:c r="E163" s="6" t="str">
        <x:v>SVC000162</x:v>
      </x:c>
      <x:c r="F163" s="6" t="str">
        <x:f>IFERROR(IF(XLOOKUP(C163,'Review Sequence'!C2:C1586,'Review Sequence'!J2:J1586)="Reviewer Complete",XLOOKUP(C163,'Service Identity Queue'!A2:A315,'Service Identity Queue'!L2:L315),""),"")</x:f>
      </x:c>
      <x:c r="G163" s="6" t="str"/>
      <x:c r="H163" s="7" t="str">
        <x:f>IF(F163&lt;&gt;"",XLOOKUP(C163,'Service Identity Queue'!A2:A315,'Service Identity Queue'!N2:N315),"" )</x:f>
      </x:c>
      <x:c r="I163" s="6" t="str">
        <x:f>IF(F163&lt;&gt;"",XLOOKUP(C163,'Service Identity Queue'!A2:A315,'Service Identity Queue'!O2:O315),"" )</x:f>
      </x:c>
      <x:c r="J163" s="6" t="str">
        <x:f>IF(F163&lt;&gt;"",XLOOKUP(C163,'Service Identity Queue'!A2:A315,'Service Identity Queue'!P2:P315),"" )</x:f>
      </x:c>
      <x:c r="K163" s="6" t="str">
        <x:f>IF(F163&lt;&gt;"","Reviewer complete; second-level approval still required","Not eligible yet")</x:f>
        <x:v>Not eligible yet</x:v>
      </x:c>
      <x:c r="L163" s="6" t="str">
        <x:f>IF(P163="Not Eligible","PASS","FAIL")</x:f>
        <x:v>PASS</x:v>
      </x:c>
      <x:c r="M163" s="6" t="str">
        <x:v>Pending</x:v>
      </x:c>
      <x:c r="N163" s="6" t="str"/>
      <x:c r="O163" s="6" t="str"/>
      <x:c r="P163" s="6" t="str">
        <x:v>Not Eligible</x:v>
      </x:c>
      <x:c r="Q163" s="7" t="str"/>
    </x:row>
    <x:row r="164">
      <x:c r="A164" s="6" t="str">
        <x:v>APPR-0163</x:v>
      </x:c>
      <x:c r="B164" s="6" t="str">
        <x:v>Service Identity Queue</x:v>
      </x:c>
      <x:c r="C164" s="6" t="str">
        <x:v>SIDX-0163</x:v>
      </x:c>
      <x:c r="D164" s="6" t="str">
        <x:v>Service</x:v>
      </x:c>
      <x:c r="E164" s="6" t="str">
        <x:v>SVC000163</x:v>
      </x:c>
      <x:c r="F164" s="6" t="str">
        <x:f>IFERROR(IF(XLOOKUP(C164,'Review Sequence'!C2:C1586,'Review Sequence'!J2:J1586)="Reviewer Complete",XLOOKUP(C164,'Service Identity Queue'!A2:A315,'Service Identity Queue'!L2:L315),""),"")</x:f>
      </x:c>
      <x:c r="G164" s="6" t="str"/>
      <x:c r="H164" s="7" t="str">
        <x:f>IF(F164&lt;&gt;"",XLOOKUP(C164,'Service Identity Queue'!A2:A315,'Service Identity Queue'!N2:N315),"" )</x:f>
      </x:c>
      <x:c r="I164" s="6" t="str">
        <x:f>IF(F164&lt;&gt;"",XLOOKUP(C164,'Service Identity Queue'!A2:A315,'Service Identity Queue'!O2:O315),"" )</x:f>
      </x:c>
      <x:c r="J164" s="6" t="str">
        <x:f>IF(F164&lt;&gt;"",XLOOKUP(C164,'Service Identity Queue'!A2:A315,'Service Identity Queue'!P2:P315),"" )</x:f>
      </x:c>
      <x:c r="K164" s="6" t="str">
        <x:f>IF(F164&lt;&gt;"","Reviewer complete; second-level approval still required","Not eligible yet")</x:f>
        <x:v>Not eligible yet</x:v>
      </x:c>
      <x:c r="L164" s="6" t="str">
        <x:f>IF(P164="Not Eligible","PASS","FAIL")</x:f>
        <x:v>PASS</x:v>
      </x:c>
      <x:c r="M164" s="6" t="str">
        <x:v>Pending</x:v>
      </x:c>
      <x:c r="N164" s="6" t="str"/>
      <x:c r="O164" s="6" t="str"/>
      <x:c r="P164" s="6" t="str">
        <x:v>Not Eligible</x:v>
      </x:c>
      <x:c r="Q164" s="7" t="str"/>
    </x:row>
    <x:row r="165">
      <x:c r="A165" s="6" t="str">
        <x:v>APPR-0164</x:v>
      </x:c>
      <x:c r="B165" s="6" t="str">
        <x:v>Service Identity Queue</x:v>
      </x:c>
      <x:c r="C165" s="6" t="str">
        <x:v>SIDX-0164</x:v>
      </x:c>
      <x:c r="D165" s="6" t="str">
        <x:v>Service</x:v>
      </x:c>
      <x:c r="E165" s="6" t="str">
        <x:v>SVC000164</x:v>
      </x:c>
      <x:c r="F165" s="6" t="str">
        <x:f>IFERROR(IF(XLOOKUP(C165,'Review Sequence'!C2:C1586,'Review Sequence'!J2:J1586)="Reviewer Complete",XLOOKUP(C165,'Service Identity Queue'!A2:A315,'Service Identity Queue'!L2:L315),""),"")</x:f>
      </x:c>
      <x:c r="G165" s="6" t="str"/>
      <x:c r="H165" s="7" t="str">
        <x:f>IF(F165&lt;&gt;"",XLOOKUP(C165,'Service Identity Queue'!A2:A315,'Service Identity Queue'!N2:N315),"" )</x:f>
      </x:c>
      <x:c r="I165" s="6" t="str">
        <x:f>IF(F165&lt;&gt;"",XLOOKUP(C165,'Service Identity Queue'!A2:A315,'Service Identity Queue'!O2:O315),"" )</x:f>
      </x:c>
      <x:c r="J165" s="6" t="str">
        <x:f>IF(F165&lt;&gt;"",XLOOKUP(C165,'Service Identity Queue'!A2:A315,'Service Identity Queue'!P2:P315),"" )</x:f>
      </x:c>
      <x:c r="K165" s="6" t="str">
        <x:f>IF(F165&lt;&gt;"","Reviewer complete; second-level approval still required","Not eligible yet")</x:f>
        <x:v>Not eligible yet</x:v>
      </x:c>
      <x:c r="L165" s="6" t="str">
        <x:f>IF(P165="Not Eligible","PASS","FAIL")</x:f>
        <x:v>PASS</x:v>
      </x:c>
      <x:c r="M165" s="6" t="str">
        <x:v>Pending</x:v>
      </x:c>
      <x:c r="N165" s="6" t="str"/>
      <x:c r="O165" s="6" t="str"/>
      <x:c r="P165" s="6" t="str">
        <x:v>Not Eligible</x:v>
      </x:c>
      <x:c r="Q165" s="7" t="str"/>
    </x:row>
    <x:row r="166">
      <x:c r="A166" s="6" t="str">
        <x:v>APPR-0165</x:v>
      </x:c>
      <x:c r="B166" s="6" t="str">
        <x:v>Service Identity Queue</x:v>
      </x:c>
      <x:c r="C166" s="6" t="str">
        <x:v>SIDX-0165</x:v>
      </x:c>
      <x:c r="D166" s="6" t="str">
        <x:v>Service</x:v>
      </x:c>
      <x:c r="E166" s="6" t="str">
        <x:v>SVC000165</x:v>
      </x:c>
      <x:c r="F166" s="6" t="str">
        <x:f>IFERROR(IF(XLOOKUP(C166,'Review Sequence'!C2:C1586,'Review Sequence'!J2:J1586)="Reviewer Complete",XLOOKUP(C166,'Service Identity Queue'!A2:A315,'Service Identity Queue'!L2:L315),""),"")</x:f>
      </x:c>
      <x:c r="G166" s="6" t="str"/>
      <x:c r="H166" s="7" t="str">
        <x:f>IF(F166&lt;&gt;"",XLOOKUP(C166,'Service Identity Queue'!A2:A315,'Service Identity Queue'!N2:N315),"" )</x:f>
      </x:c>
      <x:c r="I166" s="6" t="str">
        <x:f>IF(F166&lt;&gt;"",XLOOKUP(C166,'Service Identity Queue'!A2:A315,'Service Identity Queue'!O2:O315),"" )</x:f>
      </x:c>
      <x:c r="J166" s="6" t="str">
        <x:f>IF(F166&lt;&gt;"",XLOOKUP(C166,'Service Identity Queue'!A2:A315,'Service Identity Queue'!P2:P315),"" )</x:f>
      </x:c>
      <x:c r="K166" s="6" t="str">
        <x:f>IF(F166&lt;&gt;"","Reviewer complete; second-level approval still required","Not eligible yet")</x:f>
        <x:v>Not eligible yet</x:v>
      </x:c>
      <x:c r="L166" s="6" t="str">
        <x:f>IF(P166="Not Eligible","PASS","FAIL")</x:f>
        <x:v>PASS</x:v>
      </x:c>
      <x:c r="M166" s="6" t="str">
        <x:v>Pending</x:v>
      </x:c>
      <x:c r="N166" s="6" t="str"/>
      <x:c r="O166" s="6" t="str"/>
      <x:c r="P166" s="6" t="str">
        <x:v>Not Eligible</x:v>
      </x:c>
      <x:c r="Q166" s="7" t="str"/>
    </x:row>
    <x:row r="167">
      <x:c r="A167" s="6" t="str">
        <x:v>APPR-0166</x:v>
      </x:c>
      <x:c r="B167" s="6" t="str">
        <x:v>Service Identity Queue</x:v>
      </x:c>
      <x:c r="C167" s="6" t="str">
        <x:v>SIDX-0166</x:v>
      </x:c>
      <x:c r="D167" s="6" t="str">
        <x:v>Service</x:v>
      </x:c>
      <x:c r="E167" s="6" t="str">
        <x:v>SVC000166</x:v>
      </x:c>
      <x:c r="F167" s="6" t="str">
        <x:f>IFERROR(IF(XLOOKUP(C167,'Review Sequence'!C2:C1586,'Review Sequence'!J2:J1586)="Reviewer Complete",XLOOKUP(C167,'Service Identity Queue'!A2:A315,'Service Identity Queue'!L2:L315),""),"")</x:f>
      </x:c>
      <x:c r="G167" s="6" t="str"/>
      <x:c r="H167" s="7" t="str">
        <x:f>IF(F167&lt;&gt;"",XLOOKUP(C167,'Service Identity Queue'!A2:A315,'Service Identity Queue'!N2:N315),"" )</x:f>
      </x:c>
      <x:c r="I167" s="6" t="str">
        <x:f>IF(F167&lt;&gt;"",XLOOKUP(C167,'Service Identity Queue'!A2:A315,'Service Identity Queue'!O2:O315),"" )</x:f>
      </x:c>
      <x:c r="J167" s="6" t="str">
        <x:f>IF(F167&lt;&gt;"",XLOOKUP(C167,'Service Identity Queue'!A2:A315,'Service Identity Queue'!P2:P315),"" )</x:f>
      </x:c>
      <x:c r="K167" s="6" t="str">
        <x:f>IF(F167&lt;&gt;"","Reviewer complete; second-level approval still required","Not eligible yet")</x:f>
        <x:v>Not eligible yet</x:v>
      </x:c>
      <x:c r="L167" s="6" t="str">
        <x:f>IF(P167="Not Eligible","PASS","FAIL")</x:f>
        <x:v>PASS</x:v>
      </x:c>
      <x:c r="M167" s="6" t="str">
        <x:v>Pending</x:v>
      </x:c>
      <x:c r="N167" s="6" t="str"/>
      <x:c r="O167" s="6" t="str"/>
      <x:c r="P167" s="6" t="str">
        <x:v>Not Eligible</x:v>
      </x:c>
      <x:c r="Q167" s="7" t="str"/>
    </x:row>
    <x:row r="168">
      <x:c r="A168" s="6" t="str">
        <x:v>APPR-0167</x:v>
      </x:c>
      <x:c r="B168" s="6" t="str">
        <x:v>Service Identity Queue</x:v>
      </x:c>
      <x:c r="C168" s="6" t="str">
        <x:v>SIDX-0167</x:v>
      </x:c>
      <x:c r="D168" s="6" t="str">
        <x:v>Service</x:v>
      </x:c>
      <x:c r="E168" s="6" t="str">
        <x:v>SVC000167</x:v>
      </x:c>
      <x:c r="F168" s="6" t="str">
        <x:f>IFERROR(IF(XLOOKUP(C168,'Review Sequence'!C2:C1586,'Review Sequence'!J2:J1586)="Reviewer Complete",XLOOKUP(C168,'Service Identity Queue'!A2:A315,'Service Identity Queue'!L2:L315),""),"")</x:f>
      </x:c>
      <x:c r="G168" s="6" t="str"/>
      <x:c r="H168" s="7" t="str">
        <x:f>IF(F168&lt;&gt;"",XLOOKUP(C168,'Service Identity Queue'!A2:A315,'Service Identity Queue'!N2:N315),"" )</x:f>
      </x:c>
      <x:c r="I168" s="6" t="str">
        <x:f>IF(F168&lt;&gt;"",XLOOKUP(C168,'Service Identity Queue'!A2:A315,'Service Identity Queue'!O2:O315),"" )</x:f>
      </x:c>
      <x:c r="J168" s="6" t="str">
        <x:f>IF(F168&lt;&gt;"",XLOOKUP(C168,'Service Identity Queue'!A2:A315,'Service Identity Queue'!P2:P315),"" )</x:f>
      </x:c>
      <x:c r="K168" s="6" t="str">
        <x:f>IF(F168&lt;&gt;"","Reviewer complete; second-level approval still required","Not eligible yet")</x:f>
        <x:v>Not eligible yet</x:v>
      </x:c>
      <x:c r="L168" s="6" t="str">
        <x:f>IF(P168="Not Eligible","PASS","FAIL")</x:f>
        <x:v>PASS</x:v>
      </x:c>
      <x:c r="M168" s="6" t="str">
        <x:v>Pending</x:v>
      </x:c>
      <x:c r="N168" s="6" t="str"/>
      <x:c r="O168" s="6" t="str"/>
      <x:c r="P168" s="6" t="str">
        <x:v>Not Eligible</x:v>
      </x:c>
      <x:c r="Q168" s="7" t="str"/>
    </x:row>
    <x:row r="169">
      <x:c r="A169" s="6" t="str">
        <x:v>APPR-0168</x:v>
      </x:c>
      <x:c r="B169" s="6" t="str">
        <x:v>Service Identity Queue</x:v>
      </x:c>
      <x:c r="C169" s="6" t="str">
        <x:v>SIDX-0168</x:v>
      </x:c>
      <x:c r="D169" s="6" t="str">
        <x:v>Service</x:v>
      </x:c>
      <x:c r="E169" s="6" t="str">
        <x:v>SVC000168</x:v>
      </x:c>
      <x:c r="F169" s="6" t="str">
        <x:f>IFERROR(IF(XLOOKUP(C169,'Review Sequence'!C2:C1586,'Review Sequence'!J2:J1586)="Reviewer Complete",XLOOKUP(C169,'Service Identity Queue'!A2:A315,'Service Identity Queue'!L2:L315),""),"")</x:f>
      </x:c>
      <x:c r="G169" s="6" t="str"/>
      <x:c r="H169" s="7" t="str">
        <x:f>IF(F169&lt;&gt;"",XLOOKUP(C169,'Service Identity Queue'!A2:A315,'Service Identity Queue'!N2:N315),"" )</x:f>
      </x:c>
      <x:c r="I169" s="6" t="str">
        <x:f>IF(F169&lt;&gt;"",XLOOKUP(C169,'Service Identity Queue'!A2:A315,'Service Identity Queue'!O2:O315),"" )</x:f>
      </x:c>
      <x:c r="J169" s="6" t="str">
        <x:f>IF(F169&lt;&gt;"",XLOOKUP(C169,'Service Identity Queue'!A2:A315,'Service Identity Queue'!P2:P315),"" )</x:f>
      </x:c>
      <x:c r="K169" s="6" t="str">
        <x:f>IF(F169&lt;&gt;"","Reviewer complete; second-level approval still required","Not eligible yet")</x:f>
        <x:v>Not eligible yet</x:v>
      </x:c>
      <x:c r="L169" s="6" t="str">
        <x:f>IF(P169="Not Eligible","PASS","FAIL")</x:f>
        <x:v>PASS</x:v>
      </x:c>
      <x:c r="M169" s="6" t="str">
        <x:v>Pending</x:v>
      </x:c>
      <x:c r="N169" s="6" t="str"/>
      <x:c r="O169" s="6" t="str"/>
      <x:c r="P169" s="6" t="str">
        <x:v>Not Eligible</x:v>
      </x:c>
      <x:c r="Q169" s="7" t="str"/>
    </x:row>
    <x:row r="170">
      <x:c r="A170" s="6" t="str">
        <x:v>APPR-0169</x:v>
      </x:c>
      <x:c r="B170" s="6" t="str">
        <x:v>Service Identity Queue</x:v>
      </x:c>
      <x:c r="C170" s="6" t="str">
        <x:v>SIDX-0169</x:v>
      </x:c>
      <x:c r="D170" s="6" t="str">
        <x:v>Service</x:v>
      </x:c>
      <x:c r="E170" s="6" t="str">
        <x:v>SVC000169</x:v>
      </x:c>
      <x:c r="F170" s="6" t="str">
        <x:f>IFERROR(IF(XLOOKUP(C170,'Review Sequence'!C2:C1586,'Review Sequence'!J2:J1586)="Reviewer Complete",XLOOKUP(C170,'Service Identity Queue'!A2:A315,'Service Identity Queue'!L2:L315),""),"")</x:f>
      </x:c>
      <x:c r="G170" s="6" t="str"/>
      <x:c r="H170" s="7" t="str">
        <x:f>IF(F170&lt;&gt;"",XLOOKUP(C170,'Service Identity Queue'!A2:A315,'Service Identity Queue'!N2:N315),"" )</x:f>
      </x:c>
      <x:c r="I170" s="6" t="str">
        <x:f>IF(F170&lt;&gt;"",XLOOKUP(C170,'Service Identity Queue'!A2:A315,'Service Identity Queue'!O2:O315),"" )</x:f>
      </x:c>
      <x:c r="J170" s="6" t="str">
        <x:f>IF(F170&lt;&gt;"",XLOOKUP(C170,'Service Identity Queue'!A2:A315,'Service Identity Queue'!P2:P315),"" )</x:f>
      </x:c>
      <x:c r="K170" s="6" t="str">
        <x:f>IF(F170&lt;&gt;"","Reviewer complete; second-level approval still required","Not eligible yet")</x:f>
        <x:v>Not eligible yet</x:v>
      </x:c>
      <x:c r="L170" s="6" t="str">
        <x:f>IF(P170="Not Eligible","PASS","FAIL")</x:f>
        <x:v>PASS</x:v>
      </x:c>
      <x:c r="M170" s="6" t="str">
        <x:v>Pending</x:v>
      </x:c>
      <x:c r="N170" s="6" t="str"/>
      <x:c r="O170" s="6" t="str"/>
      <x:c r="P170" s="6" t="str">
        <x:v>Not Eligible</x:v>
      </x:c>
      <x:c r="Q170" s="7" t="str"/>
    </x:row>
    <x:row r="171">
      <x:c r="A171" s="6" t="str">
        <x:v>APPR-0170</x:v>
      </x:c>
      <x:c r="B171" s="6" t="str">
        <x:v>Service Identity Queue</x:v>
      </x:c>
      <x:c r="C171" s="6" t="str">
        <x:v>SIDX-0170</x:v>
      </x:c>
      <x:c r="D171" s="6" t="str">
        <x:v>Service</x:v>
      </x:c>
      <x:c r="E171" s="6" t="str">
        <x:v>SVC000170</x:v>
      </x:c>
      <x:c r="F171" s="6" t="str">
        <x:f>IFERROR(IF(XLOOKUP(C171,'Review Sequence'!C2:C1586,'Review Sequence'!J2:J1586)="Reviewer Complete",XLOOKUP(C171,'Service Identity Queue'!A2:A315,'Service Identity Queue'!L2:L315),""),"")</x:f>
      </x:c>
      <x:c r="G171" s="6" t="str"/>
      <x:c r="H171" s="7" t="str">
        <x:f>IF(F171&lt;&gt;"",XLOOKUP(C171,'Service Identity Queue'!A2:A315,'Service Identity Queue'!N2:N315),"" )</x:f>
      </x:c>
      <x:c r="I171" s="6" t="str">
        <x:f>IF(F171&lt;&gt;"",XLOOKUP(C171,'Service Identity Queue'!A2:A315,'Service Identity Queue'!O2:O315),"" )</x:f>
      </x:c>
      <x:c r="J171" s="6" t="str">
        <x:f>IF(F171&lt;&gt;"",XLOOKUP(C171,'Service Identity Queue'!A2:A315,'Service Identity Queue'!P2:P315),"" )</x:f>
      </x:c>
      <x:c r="K171" s="6" t="str">
        <x:f>IF(F171&lt;&gt;"","Reviewer complete; second-level approval still required","Not eligible yet")</x:f>
        <x:v>Not eligible yet</x:v>
      </x:c>
      <x:c r="L171" s="6" t="str">
        <x:f>IF(P171="Not Eligible","PASS","FAIL")</x:f>
        <x:v>PASS</x:v>
      </x:c>
      <x:c r="M171" s="6" t="str">
        <x:v>Pending</x:v>
      </x:c>
      <x:c r="N171" s="6" t="str"/>
      <x:c r="O171" s="6" t="str"/>
      <x:c r="P171" s="6" t="str">
        <x:v>Not Eligible</x:v>
      </x:c>
      <x:c r="Q171" s="7" t="str"/>
    </x:row>
    <x:row r="172">
      <x:c r="A172" s="6" t="str">
        <x:v>APPR-0171</x:v>
      </x:c>
      <x:c r="B172" s="6" t="str">
        <x:v>Service Identity Queue</x:v>
      </x:c>
      <x:c r="C172" s="6" t="str">
        <x:v>SIDX-0171</x:v>
      </x:c>
      <x:c r="D172" s="6" t="str">
        <x:v>Service</x:v>
      </x:c>
      <x:c r="E172" s="6" t="str">
        <x:v>SVC000171</x:v>
      </x:c>
      <x:c r="F172" s="6" t="str">
        <x:f>IFERROR(IF(XLOOKUP(C172,'Review Sequence'!C2:C1586,'Review Sequence'!J2:J1586)="Reviewer Complete",XLOOKUP(C172,'Service Identity Queue'!A2:A315,'Service Identity Queue'!L2:L315),""),"")</x:f>
      </x:c>
      <x:c r="G172" s="6" t="str"/>
      <x:c r="H172" s="7" t="str">
        <x:f>IF(F172&lt;&gt;"",XLOOKUP(C172,'Service Identity Queue'!A2:A315,'Service Identity Queue'!N2:N315),"" )</x:f>
      </x:c>
      <x:c r="I172" s="6" t="str">
        <x:f>IF(F172&lt;&gt;"",XLOOKUP(C172,'Service Identity Queue'!A2:A315,'Service Identity Queue'!O2:O315),"" )</x:f>
      </x:c>
      <x:c r="J172" s="6" t="str">
        <x:f>IF(F172&lt;&gt;"",XLOOKUP(C172,'Service Identity Queue'!A2:A315,'Service Identity Queue'!P2:P315),"" )</x:f>
      </x:c>
      <x:c r="K172" s="6" t="str">
        <x:f>IF(F172&lt;&gt;"","Reviewer complete; second-level approval still required","Not eligible yet")</x:f>
        <x:v>Not eligible yet</x:v>
      </x:c>
      <x:c r="L172" s="6" t="str">
        <x:f>IF(P172="Not Eligible","PASS","FAIL")</x:f>
        <x:v>PASS</x:v>
      </x:c>
      <x:c r="M172" s="6" t="str">
        <x:v>Pending</x:v>
      </x:c>
      <x:c r="N172" s="6" t="str"/>
      <x:c r="O172" s="6" t="str"/>
      <x:c r="P172" s="6" t="str">
        <x:v>Not Eligible</x:v>
      </x:c>
      <x:c r="Q172" s="7" t="str"/>
    </x:row>
    <x:row r="173">
      <x:c r="A173" s="6" t="str">
        <x:v>APPR-0172</x:v>
      </x:c>
      <x:c r="B173" s="6" t="str">
        <x:v>Service Identity Queue</x:v>
      </x:c>
      <x:c r="C173" s="6" t="str">
        <x:v>SIDX-0172</x:v>
      </x:c>
      <x:c r="D173" s="6" t="str">
        <x:v>Service</x:v>
      </x:c>
      <x:c r="E173" s="6" t="str">
        <x:v>SVC000172</x:v>
      </x:c>
      <x:c r="F173" s="6" t="str">
        <x:f>IFERROR(IF(XLOOKUP(C173,'Review Sequence'!C2:C1586,'Review Sequence'!J2:J1586)="Reviewer Complete",XLOOKUP(C173,'Service Identity Queue'!A2:A315,'Service Identity Queue'!L2:L315),""),"")</x:f>
      </x:c>
      <x:c r="G173" s="6" t="str"/>
      <x:c r="H173" s="7" t="str">
        <x:f>IF(F173&lt;&gt;"",XLOOKUP(C173,'Service Identity Queue'!A2:A315,'Service Identity Queue'!N2:N315),"" )</x:f>
      </x:c>
      <x:c r="I173" s="6" t="str">
        <x:f>IF(F173&lt;&gt;"",XLOOKUP(C173,'Service Identity Queue'!A2:A315,'Service Identity Queue'!O2:O315),"" )</x:f>
      </x:c>
      <x:c r="J173" s="6" t="str">
        <x:f>IF(F173&lt;&gt;"",XLOOKUP(C173,'Service Identity Queue'!A2:A315,'Service Identity Queue'!P2:P315),"" )</x:f>
      </x:c>
      <x:c r="K173" s="6" t="str">
        <x:f>IF(F173&lt;&gt;"","Reviewer complete; second-level approval still required","Not eligible yet")</x:f>
        <x:v>Not eligible yet</x:v>
      </x:c>
      <x:c r="L173" s="6" t="str">
        <x:f>IF(P173="Not Eligible","PASS","FAIL")</x:f>
        <x:v>PASS</x:v>
      </x:c>
      <x:c r="M173" s="6" t="str">
        <x:v>Pending</x:v>
      </x:c>
      <x:c r="N173" s="6" t="str"/>
      <x:c r="O173" s="6" t="str"/>
      <x:c r="P173" s="6" t="str">
        <x:v>Not Eligible</x:v>
      </x:c>
      <x:c r="Q173" s="7" t="str"/>
    </x:row>
    <x:row r="174">
      <x:c r="A174" s="6" t="str">
        <x:v>APPR-0173</x:v>
      </x:c>
      <x:c r="B174" s="6" t="str">
        <x:v>Service Identity Queue</x:v>
      </x:c>
      <x:c r="C174" s="6" t="str">
        <x:v>SIDX-0173</x:v>
      </x:c>
      <x:c r="D174" s="6" t="str">
        <x:v>Service</x:v>
      </x:c>
      <x:c r="E174" s="6" t="str">
        <x:v>SVC000173</x:v>
      </x:c>
      <x:c r="F174" s="6" t="str">
        <x:f>IFERROR(IF(XLOOKUP(C174,'Review Sequence'!C2:C1586,'Review Sequence'!J2:J1586)="Reviewer Complete",XLOOKUP(C174,'Service Identity Queue'!A2:A315,'Service Identity Queue'!L2:L315),""),"")</x:f>
      </x:c>
      <x:c r="G174" s="6" t="str"/>
      <x:c r="H174" s="7" t="str">
        <x:f>IF(F174&lt;&gt;"",XLOOKUP(C174,'Service Identity Queue'!A2:A315,'Service Identity Queue'!N2:N315),"" )</x:f>
      </x:c>
      <x:c r="I174" s="6" t="str">
        <x:f>IF(F174&lt;&gt;"",XLOOKUP(C174,'Service Identity Queue'!A2:A315,'Service Identity Queue'!O2:O315),"" )</x:f>
      </x:c>
      <x:c r="J174" s="6" t="str">
        <x:f>IF(F174&lt;&gt;"",XLOOKUP(C174,'Service Identity Queue'!A2:A315,'Service Identity Queue'!P2:P315),"" )</x:f>
      </x:c>
      <x:c r="K174" s="6" t="str">
        <x:f>IF(F174&lt;&gt;"","Reviewer complete; second-level approval still required","Not eligible yet")</x:f>
        <x:v>Not eligible yet</x:v>
      </x:c>
      <x:c r="L174" s="6" t="str">
        <x:f>IF(P174="Not Eligible","PASS","FAIL")</x:f>
        <x:v>PASS</x:v>
      </x:c>
      <x:c r="M174" s="6" t="str">
        <x:v>Pending</x:v>
      </x:c>
      <x:c r="N174" s="6" t="str"/>
      <x:c r="O174" s="6" t="str"/>
      <x:c r="P174" s="6" t="str">
        <x:v>Not Eligible</x:v>
      </x:c>
      <x:c r="Q174" s="7" t="str"/>
    </x:row>
    <x:row r="175">
      <x:c r="A175" s="6" t="str">
        <x:v>APPR-0174</x:v>
      </x:c>
      <x:c r="B175" s="6" t="str">
        <x:v>Service Identity Queue</x:v>
      </x:c>
      <x:c r="C175" s="6" t="str">
        <x:v>SIDX-0174</x:v>
      </x:c>
      <x:c r="D175" s="6" t="str">
        <x:v>Service</x:v>
      </x:c>
      <x:c r="E175" s="6" t="str">
        <x:v>SVC000174</x:v>
      </x:c>
      <x:c r="F175" s="6" t="str">
        <x:f>IFERROR(IF(XLOOKUP(C175,'Review Sequence'!C2:C1586,'Review Sequence'!J2:J1586)="Reviewer Complete",XLOOKUP(C175,'Service Identity Queue'!A2:A315,'Service Identity Queue'!L2:L315),""),"")</x:f>
      </x:c>
      <x:c r="G175" s="6" t="str"/>
      <x:c r="H175" s="7" t="str">
        <x:f>IF(F175&lt;&gt;"",XLOOKUP(C175,'Service Identity Queue'!A2:A315,'Service Identity Queue'!N2:N315),"" )</x:f>
      </x:c>
      <x:c r="I175" s="6" t="str">
        <x:f>IF(F175&lt;&gt;"",XLOOKUP(C175,'Service Identity Queue'!A2:A315,'Service Identity Queue'!O2:O315),"" )</x:f>
      </x:c>
      <x:c r="J175" s="6" t="str">
        <x:f>IF(F175&lt;&gt;"",XLOOKUP(C175,'Service Identity Queue'!A2:A315,'Service Identity Queue'!P2:P315),"" )</x:f>
      </x:c>
      <x:c r="K175" s="6" t="str">
        <x:f>IF(F175&lt;&gt;"","Reviewer complete; second-level approval still required","Not eligible yet")</x:f>
        <x:v>Not eligible yet</x:v>
      </x:c>
      <x:c r="L175" s="6" t="str">
        <x:f>IF(P175="Not Eligible","PASS","FAIL")</x:f>
        <x:v>PASS</x:v>
      </x:c>
      <x:c r="M175" s="6" t="str">
        <x:v>Pending</x:v>
      </x:c>
      <x:c r="N175" s="6" t="str"/>
      <x:c r="O175" s="6" t="str"/>
      <x:c r="P175" s="6" t="str">
        <x:v>Not Eligible</x:v>
      </x:c>
      <x:c r="Q175" s="7" t="str"/>
    </x:row>
    <x:row r="176">
      <x:c r="A176" s="6" t="str">
        <x:v>APPR-0175</x:v>
      </x:c>
      <x:c r="B176" s="6" t="str">
        <x:v>Service Identity Queue</x:v>
      </x:c>
      <x:c r="C176" s="6" t="str">
        <x:v>SIDX-0175</x:v>
      </x:c>
      <x:c r="D176" s="6" t="str">
        <x:v>Service</x:v>
      </x:c>
      <x:c r="E176" s="6" t="str">
        <x:v>SVC000175</x:v>
      </x:c>
      <x:c r="F176" s="6" t="str">
        <x:f>IFERROR(IF(XLOOKUP(C176,'Review Sequence'!C2:C1586,'Review Sequence'!J2:J1586)="Reviewer Complete",XLOOKUP(C176,'Service Identity Queue'!A2:A315,'Service Identity Queue'!L2:L315),""),"")</x:f>
      </x:c>
      <x:c r="G176" s="6" t="str"/>
      <x:c r="H176" s="7" t="str">
        <x:f>IF(F176&lt;&gt;"",XLOOKUP(C176,'Service Identity Queue'!A2:A315,'Service Identity Queue'!N2:N315),"" )</x:f>
      </x:c>
      <x:c r="I176" s="6" t="str">
        <x:f>IF(F176&lt;&gt;"",XLOOKUP(C176,'Service Identity Queue'!A2:A315,'Service Identity Queue'!O2:O315),"" )</x:f>
      </x:c>
      <x:c r="J176" s="6" t="str">
        <x:f>IF(F176&lt;&gt;"",XLOOKUP(C176,'Service Identity Queue'!A2:A315,'Service Identity Queue'!P2:P315),"" )</x:f>
      </x:c>
      <x:c r="K176" s="6" t="str">
        <x:f>IF(F176&lt;&gt;"","Reviewer complete; second-level approval still required","Not eligible yet")</x:f>
        <x:v>Not eligible yet</x:v>
      </x:c>
      <x:c r="L176" s="6" t="str">
        <x:f>IF(P176="Not Eligible","PASS","FAIL")</x:f>
        <x:v>PASS</x:v>
      </x:c>
      <x:c r="M176" s="6" t="str">
        <x:v>Pending</x:v>
      </x:c>
      <x:c r="N176" s="6" t="str"/>
      <x:c r="O176" s="6" t="str"/>
      <x:c r="P176" s="6" t="str">
        <x:v>Not Eligible</x:v>
      </x:c>
      <x:c r="Q176" s="7" t="str"/>
    </x:row>
    <x:row r="177">
      <x:c r="A177" s="6" t="str">
        <x:v>APPR-0176</x:v>
      </x:c>
      <x:c r="B177" s="6" t="str">
        <x:v>Service Identity Queue</x:v>
      </x:c>
      <x:c r="C177" s="6" t="str">
        <x:v>SIDX-0176</x:v>
      </x:c>
      <x:c r="D177" s="6" t="str">
        <x:v>Service</x:v>
      </x:c>
      <x:c r="E177" s="6" t="str">
        <x:v>SVC000176</x:v>
      </x:c>
      <x:c r="F177" s="6" t="str">
        <x:f>IFERROR(IF(XLOOKUP(C177,'Review Sequence'!C2:C1586,'Review Sequence'!J2:J1586)="Reviewer Complete",XLOOKUP(C177,'Service Identity Queue'!A2:A315,'Service Identity Queue'!L2:L315),""),"")</x:f>
      </x:c>
      <x:c r="G177" s="6" t="str"/>
      <x:c r="H177" s="7" t="str">
        <x:f>IF(F177&lt;&gt;"",XLOOKUP(C177,'Service Identity Queue'!A2:A315,'Service Identity Queue'!N2:N315),"" )</x:f>
      </x:c>
      <x:c r="I177" s="6" t="str">
        <x:f>IF(F177&lt;&gt;"",XLOOKUP(C177,'Service Identity Queue'!A2:A315,'Service Identity Queue'!O2:O315),"" )</x:f>
      </x:c>
      <x:c r="J177" s="6" t="str">
        <x:f>IF(F177&lt;&gt;"",XLOOKUP(C177,'Service Identity Queue'!A2:A315,'Service Identity Queue'!P2:P315),"" )</x:f>
      </x:c>
      <x:c r="K177" s="6" t="str">
        <x:f>IF(F177&lt;&gt;"","Reviewer complete; second-level approval still required","Not eligible yet")</x:f>
        <x:v>Not eligible yet</x:v>
      </x:c>
      <x:c r="L177" s="6" t="str">
        <x:f>IF(P177="Not Eligible","PASS","FAIL")</x:f>
        <x:v>PASS</x:v>
      </x:c>
      <x:c r="M177" s="6" t="str">
        <x:v>Pending</x:v>
      </x:c>
      <x:c r="N177" s="6" t="str"/>
      <x:c r="O177" s="6" t="str"/>
      <x:c r="P177" s="6" t="str">
        <x:v>Not Eligible</x:v>
      </x:c>
      <x:c r="Q177" s="7" t="str"/>
    </x:row>
    <x:row r="178">
      <x:c r="A178" s="6" t="str">
        <x:v>APPR-0177</x:v>
      </x:c>
      <x:c r="B178" s="6" t="str">
        <x:v>Service Identity Queue</x:v>
      </x:c>
      <x:c r="C178" s="6" t="str">
        <x:v>SIDX-0177</x:v>
      </x:c>
      <x:c r="D178" s="6" t="str">
        <x:v>Service</x:v>
      </x:c>
      <x:c r="E178" s="6" t="str">
        <x:v>SVC000177</x:v>
      </x:c>
      <x:c r="F178" s="6" t="str">
        <x:f>IFERROR(IF(XLOOKUP(C178,'Review Sequence'!C2:C1586,'Review Sequence'!J2:J1586)="Reviewer Complete",XLOOKUP(C178,'Service Identity Queue'!A2:A315,'Service Identity Queue'!L2:L315),""),"")</x:f>
      </x:c>
      <x:c r="G178" s="6" t="str"/>
      <x:c r="H178" s="7" t="str">
        <x:f>IF(F178&lt;&gt;"",XLOOKUP(C178,'Service Identity Queue'!A2:A315,'Service Identity Queue'!N2:N315),"" )</x:f>
      </x:c>
      <x:c r="I178" s="6" t="str">
        <x:f>IF(F178&lt;&gt;"",XLOOKUP(C178,'Service Identity Queue'!A2:A315,'Service Identity Queue'!O2:O315),"" )</x:f>
      </x:c>
      <x:c r="J178" s="6" t="str">
        <x:f>IF(F178&lt;&gt;"",XLOOKUP(C178,'Service Identity Queue'!A2:A315,'Service Identity Queue'!P2:P315),"" )</x:f>
      </x:c>
      <x:c r="K178" s="6" t="str">
        <x:f>IF(F178&lt;&gt;"","Reviewer complete; second-level approval still required","Not eligible yet")</x:f>
        <x:v>Not eligible yet</x:v>
      </x:c>
      <x:c r="L178" s="6" t="str">
        <x:f>IF(P178="Not Eligible","PASS","FAIL")</x:f>
        <x:v>PASS</x:v>
      </x:c>
      <x:c r="M178" s="6" t="str">
        <x:v>Pending</x:v>
      </x:c>
      <x:c r="N178" s="6" t="str"/>
      <x:c r="O178" s="6" t="str"/>
      <x:c r="P178" s="6" t="str">
        <x:v>Not Eligible</x:v>
      </x:c>
      <x:c r="Q178" s="7" t="str"/>
    </x:row>
    <x:row r="179">
      <x:c r="A179" s="6" t="str">
        <x:v>APPR-0178</x:v>
      </x:c>
      <x:c r="B179" s="6" t="str">
        <x:v>Service Identity Queue</x:v>
      </x:c>
      <x:c r="C179" s="6" t="str">
        <x:v>SIDX-0178</x:v>
      </x:c>
      <x:c r="D179" s="6" t="str">
        <x:v>Service</x:v>
      </x:c>
      <x:c r="E179" s="6" t="str">
        <x:v>SVC000178</x:v>
      </x:c>
      <x:c r="F179" s="6" t="str">
        <x:f>IFERROR(IF(XLOOKUP(C179,'Review Sequence'!C2:C1586,'Review Sequence'!J2:J1586)="Reviewer Complete",XLOOKUP(C179,'Service Identity Queue'!A2:A315,'Service Identity Queue'!L2:L315),""),"")</x:f>
      </x:c>
      <x:c r="G179" s="6" t="str"/>
      <x:c r="H179" s="7" t="str">
        <x:f>IF(F179&lt;&gt;"",XLOOKUP(C179,'Service Identity Queue'!A2:A315,'Service Identity Queue'!N2:N315),"" )</x:f>
      </x:c>
      <x:c r="I179" s="6" t="str">
        <x:f>IF(F179&lt;&gt;"",XLOOKUP(C179,'Service Identity Queue'!A2:A315,'Service Identity Queue'!O2:O315),"" )</x:f>
      </x:c>
      <x:c r="J179" s="6" t="str">
        <x:f>IF(F179&lt;&gt;"",XLOOKUP(C179,'Service Identity Queue'!A2:A315,'Service Identity Queue'!P2:P315),"" )</x:f>
      </x:c>
      <x:c r="K179" s="6" t="str">
        <x:f>IF(F179&lt;&gt;"","Reviewer complete; second-level approval still required","Not eligible yet")</x:f>
        <x:v>Not eligible yet</x:v>
      </x:c>
      <x:c r="L179" s="6" t="str">
        <x:f>IF(P179="Not Eligible","PASS","FAIL")</x:f>
        <x:v>PASS</x:v>
      </x:c>
      <x:c r="M179" s="6" t="str">
        <x:v>Pending</x:v>
      </x:c>
      <x:c r="N179" s="6" t="str"/>
      <x:c r="O179" s="6" t="str"/>
      <x:c r="P179" s="6" t="str">
        <x:v>Not Eligible</x:v>
      </x:c>
      <x:c r="Q179" s="7" t="str"/>
    </x:row>
    <x:row r="180">
      <x:c r="A180" s="6" t="str">
        <x:v>APPR-0179</x:v>
      </x:c>
      <x:c r="B180" s="6" t="str">
        <x:v>Service Identity Queue</x:v>
      </x:c>
      <x:c r="C180" s="6" t="str">
        <x:v>SIDX-0179</x:v>
      </x:c>
      <x:c r="D180" s="6" t="str">
        <x:v>Service</x:v>
      </x:c>
      <x:c r="E180" s="6" t="str">
        <x:v>SVC000179</x:v>
      </x:c>
      <x:c r="F180" s="6" t="str">
        <x:f>IFERROR(IF(XLOOKUP(C180,'Review Sequence'!C2:C1586,'Review Sequence'!J2:J1586)="Reviewer Complete",XLOOKUP(C180,'Service Identity Queue'!A2:A315,'Service Identity Queue'!L2:L315),""),"")</x:f>
      </x:c>
      <x:c r="G180" s="6" t="str"/>
      <x:c r="H180" s="7" t="str">
        <x:f>IF(F180&lt;&gt;"",XLOOKUP(C180,'Service Identity Queue'!A2:A315,'Service Identity Queue'!N2:N315),"" )</x:f>
      </x:c>
      <x:c r="I180" s="6" t="str">
        <x:f>IF(F180&lt;&gt;"",XLOOKUP(C180,'Service Identity Queue'!A2:A315,'Service Identity Queue'!O2:O315),"" )</x:f>
      </x:c>
      <x:c r="J180" s="6" t="str">
        <x:f>IF(F180&lt;&gt;"",XLOOKUP(C180,'Service Identity Queue'!A2:A315,'Service Identity Queue'!P2:P315),"" )</x:f>
      </x:c>
      <x:c r="K180" s="6" t="str">
        <x:f>IF(F180&lt;&gt;"","Reviewer complete; second-level approval still required","Not eligible yet")</x:f>
        <x:v>Not eligible yet</x:v>
      </x:c>
      <x:c r="L180" s="6" t="str">
        <x:f>IF(P180="Not Eligible","PASS","FAIL")</x:f>
        <x:v>PASS</x:v>
      </x:c>
      <x:c r="M180" s="6" t="str">
        <x:v>Pending</x:v>
      </x:c>
      <x:c r="N180" s="6" t="str"/>
      <x:c r="O180" s="6" t="str"/>
      <x:c r="P180" s="6" t="str">
        <x:v>Not Eligible</x:v>
      </x:c>
      <x:c r="Q180" s="7" t="str"/>
    </x:row>
    <x:row r="181">
      <x:c r="A181" s="6" t="str">
        <x:v>APPR-0180</x:v>
      </x:c>
      <x:c r="B181" s="6" t="str">
        <x:v>Service Identity Queue</x:v>
      </x:c>
      <x:c r="C181" s="6" t="str">
        <x:v>SIDX-0180</x:v>
      </x:c>
      <x:c r="D181" s="6" t="str">
        <x:v>Service</x:v>
      </x:c>
      <x:c r="E181" s="6" t="str">
        <x:v>SVC000180</x:v>
      </x:c>
      <x:c r="F181" s="6" t="str">
        <x:f>IFERROR(IF(XLOOKUP(C181,'Review Sequence'!C2:C1586,'Review Sequence'!J2:J1586)="Reviewer Complete",XLOOKUP(C181,'Service Identity Queue'!A2:A315,'Service Identity Queue'!L2:L315),""),"")</x:f>
      </x:c>
      <x:c r="G181" s="6" t="str"/>
      <x:c r="H181" s="7" t="str">
        <x:f>IF(F181&lt;&gt;"",XLOOKUP(C181,'Service Identity Queue'!A2:A315,'Service Identity Queue'!N2:N315),"" )</x:f>
      </x:c>
      <x:c r="I181" s="6" t="str">
        <x:f>IF(F181&lt;&gt;"",XLOOKUP(C181,'Service Identity Queue'!A2:A315,'Service Identity Queue'!O2:O315),"" )</x:f>
      </x:c>
      <x:c r="J181" s="6" t="str">
        <x:f>IF(F181&lt;&gt;"",XLOOKUP(C181,'Service Identity Queue'!A2:A315,'Service Identity Queue'!P2:P315),"" )</x:f>
      </x:c>
      <x:c r="K181" s="6" t="str">
        <x:f>IF(F181&lt;&gt;"","Reviewer complete; second-level approval still required","Not eligible yet")</x:f>
        <x:v>Not eligible yet</x:v>
      </x:c>
      <x:c r="L181" s="6" t="str">
        <x:f>IF(P181="Not Eligible","PASS","FAIL")</x:f>
        <x:v>PASS</x:v>
      </x:c>
      <x:c r="M181" s="6" t="str">
        <x:v>Pending</x:v>
      </x:c>
      <x:c r="N181" s="6" t="str"/>
      <x:c r="O181" s="6" t="str"/>
      <x:c r="P181" s="6" t="str">
        <x:v>Not Eligible</x:v>
      </x:c>
      <x:c r="Q181" s="7" t="str"/>
    </x:row>
    <x:row r="182">
      <x:c r="A182" s="6" t="str">
        <x:v>APPR-0181</x:v>
      </x:c>
      <x:c r="B182" s="6" t="str">
        <x:v>Service Identity Queue</x:v>
      </x:c>
      <x:c r="C182" s="6" t="str">
        <x:v>SIDX-0181</x:v>
      </x:c>
      <x:c r="D182" s="6" t="str">
        <x:v>Service</x:v>
      </x:c>
      <x:c r="E182" s="6" t="str">
        <x:v>SVC000181</x:v>
      </x:c>
      <x:c r="F182" s="6" t="str">
        <x:f>IFERROR(IF(XLOOKUP(C182,'Review Sequence'!C2:C1586,'Review Sequence'!J2:J1586)="Reviewer Complete",XLOOKUP(C182,'Service Identity Queue'!A2:A315,'Service Identity Queue'!L2:L315),""),"")</x:f>
      </x:c>
      <x:c r="G182" s="6" t="str"/>
      <x:c r="H182" s="7" t="str">
        <x:f>IF(F182&lt;&gt;"",XLOOKUP(C182,'Service Identity Queue'!A2:A315,'Service Identity Queue'!N2:N315),"" )</x:f>
      </x:c>
      <x:c r="I182" s="6" t="str">
        <x:f>IF(F182&lt;&gt;"",XLOOKUP(C182,'Service Identity Queue'!A2:A315,'Service Identity Queue'!O2:O315),"" )</x:f>
      </x:c>
      <x:c r="J182" s="6" t="str">
        <x:f>IF(F182&lt;&gt;"",XLOOKUP(C182,'Service Identity Queue'!A2:A315,'Service Identity Queue'!P2:P315),"" )</x:f>
      </x:c>
      <x:c r="K182" s="6" t="str">
        <x:f>IF(F182&lt;&gt;"","Reviewer complete; second-level approval still required","Not eligible yet")</x:f>
        <x:v>Not eligible yet</x:v>
      </x:c>
      <x:c r="L182" s="6" t="str">
        <x:f>IF(P182="Not Eligible","PASS","FAIL")</x:f>
        <x:v>PASS</x:v>
      </x:c>
      <x:c r="M182" s="6" t="str">
        <x:v>Pending</x:v>
      </x:c>
      <x:c r="N182" s="6" t="str"/>
      <x:c r="O182" s="6" t="str"/>
      <x:c r="P182" s="6" t="str">
        <x:v>Not Eligible</x:v>
      </x:c>
      <x:c r="Q182" s="7" t="str"/>
    </x:row>
    <x:row r="183">
      <x:c r="A183" s="6" t="str">
        <x:v>APPR-0182</x:v>
      </x:c>
      <x:c r="B183" s="6" t="str">
        <x:v>Service Identity Queue</x:v>
      </x:c>
      <x:c r="C183" s="6" t="str">
        <x:v>SIDX-0182</x:v>
      </x:c>
      <x:c r="D183" s="6" t="str">
        <x:v>Service</x:v>
      </x:c>
      <x:c r="E183" s="6" t="str">
        <x:v>SVC000182</x:v>
      </x:c>
      <x:c r="F183" s="6" t="str">
        <x:f>IFERROR(IF(XLOOKUP(C183,'Review Sequence'!C2:C1586,'Review Sequence'!J2:J1586)="Reviewer Complete",XLOOKUP(C183,'Service Identity Queue'!A2:A315,'Service Identity Queue'!L2:L315),""),"")</x:f>
      </x:c>
      <x:c r="G183" s="6" t="str"/>
      <x:c r="H183" s="7" t="str">
        <x:f>IF(F183&lt;&gt;"",XLOOKUP(C183,'Service Identity Queue'!A2:A315,'Service Identity Queue'!N2:N315),"" )</x:f>
      </x:c>
      <x:c r="I183" s="6" t="str">
        <x:f>IF(F183&lt;&gt;"",XLOOKUP(C183,'Service Identity Queue'!A2:A315,'Service Identity Queue'!O2:O315),"" )</x:f>
      </x:c>
      <x:c r="J183" s="6" t="str">
        <x:f>IF(F183&lt;&gt;"",XLOOKUP(C183,'Service Identity Queue'!A2:A315,'Service Identity Queue'!P2:P315),"" )</x:f>
      </x:c>
      <x:c r="K183" s="6" t="str">
        <x:f>IF(F183&lt;&gt;"","Reviewer complete; second-level approval still required","Not eligible yet")</x:f>
        <x:v>Not eligible yet</x:v>
      </x:c>
      <x:c r="L183" s="6" t="str">
        <x:f>IF(P183="Not Eligible","PASS","FAIL")</x:f>
        <x:v>PASS</x:v>
      </x:c>
      <x:c r="M183" s="6" t="str">
        <x:v>Pending</x:v>
      </x:c>
      <x:c r="N183" s="6" t="str"/>
      <x:c r="O183" s="6" t="str"/>
      <x:c r="P183" s="6" t="str">
        <x:v>Not Eligible</x:v>
      </x:c>
      <x:c r="Q183" s="7" t="str"/>
    </x:row>
    <x:row r="184">
      <x:c r="A184" s="6" t="str">
        <x:v>APPR-0183</x:v>
      </x:c>
      <x:c r="B184" s="6" t="str">
        <x:v>Service Identity Queue</x:v>
      </x:c>
      <x:c r="C184" s="6" t="str">
        <x:v>SIDX-0183</x:v>
      </x:c>
      <x:c r="D184" s="6" t="str">
        <x:v>Service</x:v>
      </x:c>
      <x:c r="E184" s="6" t="str">
        <x:v>SVC000183</x:v>
      </x:c>
      <x:c r="F184" s="6" t="str">
        <x:f>IFERROR(IF(XLOOKUP(C184,'Review Sequence'!C2:C1586,'Review Sequence'!J2:J1586)="Reviewer Complete",XLOOKUP(C184,'Service Identity Queue'!A2:A315,'Service Identity Queue'!L2:L315),""),"")</x:f>
      </x:c>
      <x:c r="G184" s="6" t="str"/>
      <x:c r="H184" s="7" t="str">
        <x:f>IF(F184&lt;&gt;"",XLOOKUP(C184,'Service Identity Queue'!A2:A315,'Service Identity Queue'!N2:N315),"" )</x:f>
      </x:c>
      <x:c r="I184" s="6" t="str">
        <x:f>IF(F184&lt;&gt;"",XLOOKUP(C184,'Service Identity Queue'!A2:A315,'Service Identity Queue'!O2:O315),"" )</x:f>
      </x:c>
      <x:c r="J184" s="6" t="str">
        <x:f>IF(F184&lt;&gt;"",XLOOKUP(C184,'Service Identity Queue'!A2:A315,'Service Identity Queue'!P2:P315),"" )</x:f>
      </x:c>
      <x:c r="K184" s="6" t="str">
        <x:f>IF(F184&lt;&gt;"","Reviewer complete; second-level approval still required","Not eligible yet")</x:f>
        <x:v>Not eligible yet</x:v>
      </x:c>
      <x:c r="L184" s="6" t="str">
        <x:f>IF(P184="Not Eligible","PASS","FAIL")</x:f>
        <x:v>PASS</x:v>
      </x:c>
      <x:c r="M184" s="6" t="str">
        <x:v>Pending</x:v>
      </x:c>
      <x:c r="N184" s="6" t="str"/>
      <x:c r="O184" s="6" t="str"/>
      <x:c r="P184" s="6" t="str">
        <x:v>Not Eligible</x:v>
      </x:c>
      <x:c r="Q184" s="7" t="str"/>
    </x:row>
    <x:row r="185">
      <x:c r="A185" s="6" t="str">
        <x:v>APPR-0184</x:v>
      </x:c>
      <x:c r="B185" s="6" t="str">
        <x:v>Service Identity Queue</x:v>
      </x:c>
      <x:c r="C185" s="6" t="str">
        <x:v>SIDX-0184</x:v>
      </x:c>
      <x:c r="D185" s="6" t="str">
        <x:v>Service</x:v>
      </x:c>
      <x:c r="E185" s="6" t="str">
        <x:v>SVC000184</x:v>
      </x:c>
      <x:c r="F185" s="6" t="str">
        <x:f>IFERROR(IF(XLOOKUP(C185,'Review Sequence'!C2:C1586,'Review Sequence'!J2:J1586)="Reviewer Complete",XLOOKUP(C185,'Service Identity Queue'!A2:A315,'Service Identity Queue'!L2:L315),""),"")</x:f>
      </x:c>
      <x:c r="G185" s="6" t="str"/>
      <x:c r="H185" s="7" t="str">
        <x:f>IF(F185&lt;&gt;"",XLOOKUP(C185,'Service Identity Queue'!A2:A315,'Service Identity Queue'!N2:N315),"" )</x:f>
      </x:c>
      <x:c r="I185" s="6" t="str">
        <x:f>IF(F185&lt;&gt;"",XLOOKUP(C185,'Service Identity Queue'!A2:A315,'Service Identity Queue'!O2:O315),"" )</x:f>
      </x:c>
      <x:c r="J185" s="6" t="str">
        <x:f>IF(F185&lt;&gt;"",XLOOKUP(C185,'Service Identity Queue'!A2:A315,'Service Identity Queue'!P2:P315),"" )</x:f>
      </x:c>
      <x:c r="K185" s="6" t="str">
        <x:f>IF(F185&lt;&gt;"","Reviewer complete; second-level approval still required","Not eligible yet")</x:f>
        <x:v>Not eligible yet</x:v>
      </x:c>
      <x:c r="L185" s="6" t="str">
        <x:f>IF(P185="Not Eligible","PASS","FAIL")</x:f>
        <x:v>PASS</x:v>
      </x:c>
      <x:c r="M185" s="6" t="str">
        <x:v>Pending</x:v>
      </x:c>
      <x:c r="N185" s="6" t="str"/>
      <x:c r="O185" s="6" t="str"/>
      <x:c r="P185" s="6" t="str">
        <x:v>Not Eligible</x:v>
      </x:c>
      <x:c r="Q185" s="7" t="str"/>
    </x:row>
    <x:row r="186">
      <x:c r="A186" s="6" t="str">
        <x:v>APPR-0185</x:v>
      </x:c>
      <x:c r="B186" s="6" t="str">
        <x:v>Service Identity Queue</x:v>
      </x:c>
      <x:c r="C186" s="6" t="str">
        <x:v>SIDX-0185</x:v>
      </x:c>
      <x:c r="D186" s="6" t="str">
        <x:v>Service</x:v>
      </x:c>
      <x:c r="E186" s="6" t="str">
        <x:v>SVC000185</x:v>
      </x:c>
      <x:c r="F186" s="6" t="str">
        <x:f>IFERROR(IF(XLOOKUP(C186,'Review Sequence'!C2:C1586,'Review Sequence'!J2:J1586)="Reviewer Complete",XLOOKUP(C186,'Service Identity Queue'!A2:A315,'Service Identity Queue'!L2:L315),""),"")</x:f>
      </x:c>
      <x:c r="G186" s="6" t="str"/>
      <x:c r="H186" s="7" t="str">
        <x:f>IF(F186&lt;&gt;"",XLOOKUP(C186,'Service Identity Queue'!A2:A315,'Service Identity Queue'!N2:N315),"" )</x:f>
      </x:c>
      <x:c r="I186" s="6" t="str">
        <x:f>IF(F186&lt;&gt;"",XLOOKUP(C186,'Service Identity Queue'!A2:A315,'Service Identity Queue'!O2:O315),"" )</x:f>
      </x:c>
      <x:c r="J186" s="6" t="str">
        <x:f>IF(F186&lt;&gt;"",XLOOKUP(C186,'Service Identity Queue'!A2:A315,'Service Identity Queue'!P2:P315),"" )</x:f>
      </x:c>
      <x:c r="K186" s="6" t="str">
        <x:f>IF(F186&lt;&gt;"","Reviewer complete; second-level approval still required","Not eligible yet")</x:f>
        <x:v>Not eligible yet</x:v>
      </x:c>
      <x:c r="L186" s="6" t="str">
        <x:f>IF(P186="Not Eligible","PASS","FAIL")</x:f>
        <x:v>PASS</x:v>
      </x:c>
      <x:c r="M186" s="6" t="str">
        <x:v>Pending</x:v>
      </x:c>
      <x:c r="N186" s="6" t="str"/>
      <x:c r="O186" s="6" t="str"/>
      <x:c r="P186" s="6" t="str">
        <x:v>Not Eligible</x:v>
      </x:c>
      <x:c r="Q186" s="7" t="str"/>
    </x:row>
    <x:row r="187">
      <x:c r="A187" s="6" t="str">
        <x:v>APPR-0186</x:v>
      </x:c>
      <x:c r="B187" s="6" t="str">
        <x:v>Service Identity Queue</x:v>
      </x:c>
      <x:c r="C187" s="6" t="str">
        <x:v>SIDX-0186</x:v>
      </x:c>
      <x:c r="D187" s="6" t="str">
        <x:v>Service</x:v>
      </x:c>
      <x:c r="E187" s="6" t="str">
        <x:v>SVC000186</x:v>
      </x:c>
      <x:c r="F187" s="6" t="str">
        <x:f>IFERROR(IF(XLOOKUP(C187,'Review Sequence'!C2:C1586,'Review Sequence'!J2:J1586)="Reviewer Complete",XLOOKUP(C187,'Service Identity Queue'!A2:A315,'Service Identity Queue'!L2:L315),""),"")</x:f>
      </x:c>
      <x:c r="G187" s="6" t="str"/>
      <x:c r="H187" s="7" t="str">
        <x:f>IF(F187&lt;&gt;"",XLOOKUP(C187,'Service Identity Queue'!A2:A315,'Service Identity Queue'!N2:N315),"" )</x:f>
      </x:c>
      <x:c r="I187" s="6" t="str">
        <x:f>IF(F187&lt;&gt;"",XLOOKUP(C187,'Service Identity Queue'!A2:A315,'Service Identity Queue'!O2:O315),"" )</x:f>
      </x:c>
      <x:c r="J187" s="6" t="str">
        <x:f>IF(F187&lt;&gt;"",XLOOKUP(C187,'Service Identity Queue'!A2:A315,'Service Identity Queue'!P2:P315),"" )</x:f>
      </x:c>
      <x:c r="K187" s="6" t="str">
        <x:f>IF(F187&lt;&gt;"","Reviewer complete; second-level approval still required","Not eligible yet")</x:f>
        <x:v>Not eligible yet</x:v>
      </x:c>
      <x:c r="L187" s="6" t="str">
        <x:f>IF(P187="Not Eligible","PASS","FAIL")</x:f>
        <x:v>PASS</x:v>
      </x:c>
      <x:c r="M187" s="6" t="str">
        <x:v>Pending</x:v>
      </x:c>
      <x:c r="N187" s="6" t="str"/>
      <x:c r="O187" s="6" t="str"/>
      <x:c r="P187" s="6" t="str">
        <x:v>Not Eligible</x:v>
      </x:c>
      <x:c r="Q187" s="7" t="str"/>
    </x:row>
    <x:row r="188">
      <x:c r="A188" s="6" t="str">
        <x:v>APPR-0187</x:v>
      </x:c>
      <x:c r="B188" s="6" t="str">
        <x:v>Service Identity Queue</x:v>
      </x:c>
      <x:c r="C188" s="6" t="str">
        <x:v>SIDX-0187</x:v>
      </x:c>
      <x:c r="D188" s="6" t="str">
        <x:v>Service</x:v>
      </x:c>
      <x:c r="E188" s="6" t="str">
        <x:v>SVC000187</x:v>
      </x:c>
      <x:c r="F188" s="6" t="str">
        <x:f>IFERROR(IF(XLOOKUP(C188,'Review Sequence'!C2:C1586,'Review Sequence'!J2:J1586)="Reviewer Complete",XLOOKUP(C188,'Service Identity Queue'!A2:A315,'Service Identity Queue'!L2:L315),""),"")</x:f>
      </x:c>
      <x:c r="G188" s="6" t="str"/>
      <x:c r="H188" s="7" t="str">
        <x:f>IF(F188&lt;&gt;"",XLOOKUP(C188,'Service Identity Queue'!A2:A315,'Service Identity Queue'!N2:N315),"" )</x:f>
      </x:c>
      <x:c r="I188" s="6" t="str">
        <x:f>IF(F188&lt;&gt;"",XLOOKUP(C188,'Service Identity Queue'!A2:A315,'Service Identity Queue'!O2:O315),"" )</x:f>
      </x:c>
      <x:c r="J188" s="6" t="str">
        <x:f>IF(F188&lt;&gt;"",XLOOKUP(C188,'Service Identity Queue'!A2:A315,'Service Identity Queue'!P2:P315),"" )</x:f>
      </x:c>
      <x:c r="K188" s="6" t="str">
        <x:f>IF(F188&lt;&gt;"","Reviewer complete; second-level approval still required","Not eligible yet")</x:f>
        <x:v>Not eligible yet</x:v>
      </x:c>
      <x:c r="L188" s="6" t="str">
        <x:f>IF(P188="Not Eligible","PASS","FAIL")</x:f>
        <x:v>PASS</x:v>
      </x:c>
      <x:c r="M188" s="6" t="str">
        <x:v>Pending</x:v>
      </x:c>
      <x:c r="N188" s="6" t="str"/>
      <x:c r="O188" s="6" t="str"/>
      <x:c r="P188" s="6" t="str">
        <x:v>Not Eligible</x:v>
      </x:c>
      <x:c r="Q188" s="7" t="str"/>
    </x:row>
    <x:row r="189">
      <x:c r="A189" s="6" t="str">
        <x:v>APPR-0188</x:v>
      </x:c>
      <x:c r="B189" s="6" t="str">
        <x:v>Service Identity Queue</x:v>
      </x:c>
      <x:c r="C189" s="6" t="str">
        <x:v>SIDX-0188</x:v>
      </x:c>
      <x:c r="D189" s="6" t="str">
        <x:v>Service</x:v>
      </x:c>
      <x:c r="E189" s="6" t="str">
        <x:v>SVC000188</x:v>
      </x:c>
      <x:c r="F189" s="6" t="str">
        <x:f>IFERROR(IF(XLOOKUP(C189,'Review Sequence'!C2:C1586,'Review Sequence'!J2:J1586)="Reviewer Complete",XLOOKUP(C189,'Service Identity Queue'!A2:A315,'Service Identity Queue'!L2:L315),""),"")</x:f>
      </x:c>
      <x:c r="G189" s="6" t="str"/>
      <x:c r="H189" s="7" t="str">
        <x:f>IF(F189&lt;&gt;"",XLOOKUP(C189,'Service Identity Queue'!A2:A315,'Service Identity Queue'!N2:N315),"" )</x:f>
      </x:c>
      <x:c r="I189" s="6" t="str">
        <x:f>IF(F189&lt;&gt;"",XLOOKUP(C189,'Service Identity Queue'!A2:A315,'Service Identity Queue'!O2:O315),"" )</x:f>
      </x:c>
      <x:c r="J189" s="6" t="str">
        <x:f>IF(F189&lt;&gt;"",XLOOKUP(C189,'Service Identity Queue'!A2:A315,'Service Identity Queue'!P2:P315),"" )</x:f>
      </x:c>
      <x:c r="K189" s="6" t="str">
        <x:f>IF(F189&lt;&gt;"","Reviewer complete; second-level approval still required","Not eligible yet")</x:f>
        <x:v>Not eligible yet</x:v>
      </x:c>
      <x:c r="L189" s="6" t="str">
        <x:f>IF(P189="Not Eligible","PASS","FAIL")</x:f>
        <x:v>PASS</x:v>
      </x:c>
      <x:c r="M189" s="6" t="str">
        <x:v>Pending</x:v>
      </x:c>
      <x:c r="N189" s="6" t="str"/>
      <x:c r="O189" s="6" t="str"/>
      <x:c r="P189" s="6" t="str">
        <x:v>Not Eligible</x:v>
      </x:c>
      <x:c r="Q189" s="7" t="str"/>
    </x:row>
    <x:row r="190">
      <x:c r="A190" s="6" t="str">
        <x:v>APPR-0189</x:v>
      </x:c>
      <x:c r="B190" s="6" t="str">
        <x:v>Service Identity Queue</x:v>
      </x:c>
      <x:c r="C190" s="6" t="str">
        <x:v>SIDX-0189</x:v>
      </x:c>
      <x:c r="D190" s="6" t="str">
        <x:v>Service</x:v>
      </x:c>
      <x:c r="E190" s="6" t="str">
        <x:v>SVC000189</x:v>
      </x:c>
      <x:c r="F190" s="6" t="str">
        <x:f>IFERROR(IF(XLOOKUP(C190,'Review Sequence'!C2:C1586,'Review Sequence'!J2:J1586)="Reviewer Complete",XLOOKUP(C190,'Service Identity Queue'!A2:A315,'Service Identity Queue'!L2:L315),""),"")</x:f>
      </x:c>
      <x:c r="G190" s="6" t="str"/>
      <x:c r="H190" s="7" t="str">
        <x:f>IF(F190&lt;&gt;"",XLOOKUP(C190,'Service Identity Queue'!A2:A315,'Service Identity Queue'!N2:N315),"" )</x:f>
      </x:c>
      <x:c r="I190" s="6" t="str">
        <x:f>IF(F190&lt;&gt;"",XLOOKUP(C190,'Service Identity Queue'!A2:A315,'Service Identity Queue'!O2:O315),"" )</x:f>
      </x:c>
      <x:c r="J190" s="6" t="str">
        <x:f>IF(F190&lt;&gt;"",XLOOKUP(C190,'Service Identity Queue'!A2:A315,'Service Identity Queue'!P2:P315),"" )</x:f>
      </x:c>
      <x:c r="K190" s="6" t="str">
        <x:f>IF(F190&lt;&gt;"","Reviewer complete; second-level approval still required","Not eligible yet")</x:f>
        <x:v>Not eligible yet</x:v>
      </x:c>
      <x:c r="L190" s="6" t="str">
        <x:f>IF(P190="Not Eligible","PASS","FAIL")</x:f>
        <x:v>PASS</x:v>
      </x:c>
      <x:c r="M190" s="6" t="str">
        <x:v>Pending</x:v>
      </x:c>
      <x:c r="N190" s="6" t="str"/>
      <x:c r="O190" s="6" t="str"/>
      <x:c r="P190" s="6" t="str">
        <x:v>Not Eligible</x:v>
      </x:c>
      <x:c r="Q190" s="7" t="str"/>
    </x:row>
    <x:row r="191">
      <x:c r="A191" s="6" t="str">
        <x:v>APPR-0190</x:v>
      </x:c>
      <x:c r="B191" s="6" t="str">
        <x:v>Service Identity Queue</x:v>
      </x:c>
      <x:c r="C191" s="6" t="str">
        <x:v>SIDX-0190</x:v>
      </x:c>
      <x:c r="D191" s="6" t="str">
        <x:v>Service</x:v>
      </x:c>
      <x:c r="E191" s="6" t="str">
        <x:v>SVC000190</x:v>
      </x:c>
      <x:c r="F191" s="6" t="str">
        <x:f>IFERROR(IF(XLOOKUP(C191,'Review Sequence'!C2:C1586,'Review Sequence'!J2:J1586)="Reviewer Complete",XLOOKUP(C191,'Service Identity Queue'!A2:A315,'Service Identity Queue'!L2:L315),""),"")</x:f>
      </x:c>
      <x:c r="G191" s="6" t="str"/>
      <x:c r="H191" s="7" t="str">
        <x:f>IF(F191&lt;&gt;"",XLOOKUP(C191,'Service Identity Queue'!A2:A315,'Service Identity Queue'!N2:N315),"" )</x:f>
      </x:c>
      <x:c r="I191" s="6" t="str">
        <x:f>IF(F191&lt;&gt;"",XLOOKUP(C191,'Service Identity Queue'!A2:A315,'Service Identity Queue'!O2:O315),"" )</x:f>
      </x:c>
      <x:c r="J191" s="6" t="str">
        <x:f>IF(F191&lt;&gt;"",XLOOKUP(C191,'Service Identity Queue'!A2:A315,'Service Identity Queue'!P2:P315),"" )</x:f>
      </x:c>
      <x:c r="K191" s="6" t="str">
        <x:f>IF(F191&lt;&gt;"","Reviewer complete; second-level approval still required","Not eligible yet")</x:f>
        <x:v>Not eligible yet</x:v>
      </x:c>
      <x:c r="L191" s="6" t="str">
        <x:f>IF(P191="Not Eligible","PASS","FAIL")</x:f>
        <x:v>PASS</x:v>
      </x:c>
      <x:c r="M191" s="6" t="str">
        <x:v>Pending</x:v>
      </x:c>
      <x:c r="N191" s="6" t="str"/>
      <x:c r="O191" s="6" t="str"/>
      <x:c r="P191" s="6" t="str">
        <x:v>Not Eligible</x:v>
      </x:c>
      <x:c r="Q191" s="7" t="str"/>
    </x:row>
    <x:row r="192">
      <x:c r="A192" s="6" t="str">
        <x:v>APPR-0191</x:v>
      </x:c>
      <x:c r="B192" s="6" t="str">
        <x:v>Service Identity Queue</x:v>
      </x:c>
      <x:c r="C192" s="6" t="str">
        <x:v>SIDX-0191</x:v>
      </x:c>
      <x:c r="D192" s="6" t="str">
        <x:v>Service</x:v>
      </x:c>
      <x:c r="E192" s="6" t="str">
        <x:v>SVC000191</x:v>
      </x:c>
      <x:c r="F192" s="6" t="str">
        <x:f>IFERROR(IF(XLOOKUP(C192,'Review Sequence'!C2:C1586,'Review Sequence'!J2:J1586)="Reviewer Complete",XLOOKUP(C192,'Service Identity Queue'!A2:A315,'Service Identity Queue'!L2:L315),""),"")</x:f>
      </x:c>
      <x:c r="G192" s="6" t="str"/>
      <x:c r="H192" s="7" t="str">
        <x:f>IF(F192&lt;&gt;"",XLOOKUP(C192,'Service Identity Queue'!A2:A315,'Service Identity Queue'!N2:N315),"" )</x:f>
      </x:c>
      <x:c r="I192" s="6" t="str">
        <x:f>IF(F192&lt;&gt;"",XLOOKUP(C192,'Service Identity Queue'!A2:A315,'Service Identity Queue'!O2:O315),"" )</x:f>
      </x:c>
      <x:c r="J192" s="6" t="str">
        <x:f>IF(F192&lt;&gt;"",XLOOKUP(C192,'Service Identity Queue'!A2:A315,'Service Identity Queue'!P2:P315),"" )</x:f>
      </x:c>
      <x:c r="K192" s="6" t="str">
        <x:f>IF(F192&lt;&gt;"","Reviewer complete; second-level approval still required","Not eligible yet")</x:f>
        <x:v>Not eligible yet</x:v>
      </x:c>
      <x:c r="L192" s="6" t="str">
        <x:f>IF(P192="Not Eligible","PASS","FAIL")</x:f>
        <x:v>PASS</x:v>
      </x:c>
      <x:c r="M192" s="6" t="str">
        <x:v>Pending</x:v>
      </x:c>
      <x:c r="N192" s="6" t="str"/>
      <x:c r="O192" s="6" t="str"/>
      <x:c r="P192" s="6" t="str">
        <x:v>Not Eligible</x:v>
      </x:c>
      <x:c r="Q192" s="7" t="str"/>
    </x:row>
    <x:row r="193">
      <x:c r="A193" s="6" t="str">
        <x:v>APPR-0192</x:v>
      </x:c>
      <x:c r="B193" s="6" t="str">
        <x:v>Service Identity Queue</x:v>
      </x:c>
      <x:c r="C193" s="6" t="str">
        <x:v>SIDX-0192</x:v>
      </x:c>
      <x:c r="D193" s="6" t="str">
        <x:v>Service</x:v>
      </x:c>
      <x:c r="E193" s="6" t="str">
        <x:v>SVC000192</x:v>
      </x:c>
      <x:c r="F193" s="6" t="str">
        <x:f>IFERROR(IF(XLOOKUP(C193,'Review Sequence'!C2:C1586,'Review Sequence'!J2:J1586)="Reviewer Complete",XLOOKUP(C193,'Service Identity Queue'!A2:A315,'Service Identity Queue'!L2:L315),""),"")</x:f>
      </x:c>
      <x:c r="G193" s="6" t="str"/>
      <x:c r="H193" s="7" t="str">
        <x:f>IF(F193&lt;&gt;"",XLOOKUP(C193,'Service Identity Queue'!A2:A315,'Service Identity Queue'!N2:N315),"" )</x:f>
      </x:c>
      <x:c r="I193" s="6" t="str">
        <x:f>IF(F193&lt;&gt;"",XLOOKUP(C193,'Service Identity Queue'!A2:A315,'Service Identity Queue'!O2:O315),"" )</x:f>
      </x:c>
      <x:c r="J193" s="6" t="str">
        <x:f>IF(F193&lt;&gt;"",XLOOKUP(C193,'Service Identity Queue'!A2:A315,'Service Identity Queue'!P2:P315),"" )</x:f>
      </x:c>
      <x:c r="K193" s="6" t="str">
        <x:f>IF(F193&lt;&gt;"","Reviewer complete; second-level approval still required","Not eligible yet")</x:f>
        <x:v>Not eligible yet</x:v>
      </x:c>
      <x:c r="L193" s="6" t="str">
        <x:f>IF(P193="Not Eligible","PASS","FAIL")</x:f>
        <x:v>PASS</x:v>
      </x:c>
      <x:c r="M193" s="6" t="str">
        <x:v>Pending</x:v>
      </x:c>
      <x:c r="N193" s="6" t="str"/>
      <x:c r="O193" s="6" t="str"/>
      <x:c r="P193" s="6" t="str">
        <x:v>Not Eligible</x:v>
      </x:c>
      <x:c r="Q193" s="7" t="str"/>
    </x:row>
    <x:row r="194">
      <x:c r="A194" s="6" t="str">
        <x:v>APPR-0193</x:v>
      </x:c>
      <x:c r="B194" s="6" t="str">
        <x:v>Service Identity Queue</x:v>
      </x:c>
      <x:c r="C194" s="6" t="str">
        <x:v>SIDX-0193</x:v>
      </x:c>
      <x:c r="D194" s="6" t="str">
        <x:v>Service</x:v>
      </x:c>
      <x:c r="E194" s="6" t="str">
        <x:v>SVC000193</x:v>
      </x:c>
      <x:c r="F194" s="6" t="str">
        <x:f>IFERROR(IF(XLOOKUP(C194,'Review Sequence'!C2:C1586,'Review Sequence'!J2:J1586)="Reviewer Complete",XLOOKUP(C194,'Service Identity Queue'!A2:A315,'Service Identity Queue'!L2:L315),""),"")</x:f>
      </x:c>
      <x:c r="G194" s="6" t="str"/>
      <x:c r="H194" s="7" t="str">
        <x:f>IF(F194&lt;&gt;"",XLOOKUP(C194,'Service Identity Queue'!A2:A315,'Service Identity Queue'!N2:N315),"" )</x:f>
      </x:c>
      <x:c r="I194" s="6" t="str">
        <x:f>IF(F194&lt;&gt;"",XLOOKUP(C194,'Service Identity Queue'!A2:A315,'Service Identity Queue'!O2:O315),"" )</x:f>
      </x:c>
      <x:c r="J194" s="6" t="str">
        <x:f>IF(F194&lt;&gt;"",XLOOKUP(C194,'Service Identity Queue'!A2:A315,'Service Identity Queue'!P2:P315),"" )</x:f>
      </x:c>
      <x:c r="K194" s="6" t="str">
        <x:f>IF(F194&lt;&gt;"","Reviewer complete; second-level approval still required","Not eligible yet")</x:f>
        <x:v>Not eligible yet</x:v>
      </x:c>
      <x:c r="L194" s="6" t="str">
        <x:f>IF(P194="Not Eligible","PASS","FAIL")</x:f>
        <x:v>PASS</x:v>
      </x:c>
      <x:c r="M194" s="6" t="str">
        <x:v>Pending</x:v>
      </x:c>
      <x:c r="N194" s="6" t="str"/>
      <x:c r="O194" s="6" t="str"/>
      <x:c r="P194" s="6" t="str">
        <x:v>Not Eligible</x:v>
      </x:c>
      <x:c r="Q194" s="7" t="str"/>
    </x:row>
    <x:row r="195">
      <x:c r="A195" s="6" t="str">
        <x:v>APPR-0194</x:v>
      </x:c>
      <x:c r="B195" s="6" t="str">
        <x:v>Service Identity Queue</x:v>
      </x:c>
      <x:c r="C195" s="6" t="str">
        <x:v>SIDX-0194</x:v>
      </x:c>
      <x:c r="D195" s="6" t="str">
        <x:v>Service</x:v>
      </x:c>
      <x:c r="E195" s="6" t="str">
        <x:v>SVC000194</x:v>
      </x:c>
      <x:c r="F195" s="6" t="str">
        <x:f>IFERROR(IF(XLOOKUP(C195,'Review Sequence'!C2:C1586,'Review Sequence'!J2:J1586)="Reviewer Complete",XLOOKUP(C195,'Service Identity Queue'!A2:A315,'Service Identity Queue'!L2:L315),""),"")</x:f>
      </x:c>
      <x:c r="G195" s="6" t="str"/>
      <x:c r="H195" s="7" t="str">
        <x:f>IF(F195&lt;&gt;"",XLOOKUP(C195,'Service Identity Queue'!A2:A315,'Service Identity Queue'!N2:N315),"" )</x:f>
      </x:c>
      <x:c r="I195" s="6" t="str">
        <x:f>IF(F195&lt;&gt;"",XLOOKUP(C195,'Service Identity Queue'!A2:A315,'Service Identity Queue'!O2:O315),"" )</x:f>
      </x:c>
      <x:c r="J195" s="6" t="str">
        <x:f>IF(F195&lt;&gt;"",XLOOKUP(C195,'Service Identity Queue'!A2:A315,'Service Identity Queue'!P2:P315),"" )</x:f>
      </x:c>
      <x:c r="K195" s="6" t="str">
        <x:f>IF(F195&lt;&gt;"","Reviewer complete; second-level approval still required","Not eligible yet")</x:f>
        <x:v>Not eligible yet</x:v>
      </x:c>
      <x:c r="L195" s="6" t="str">
        <x:f>IF(P195="Not Eligible","PASS","FAIL")</x:f>
        <x:v>PASS</x:v>
      </x:c>
      <x:c r="M195" s="6" t="str">
        <x:v>Pending</x:v>
      </x:c>
      <x:c r="N195" s="6" t="str"/>
      <x:c r="O195" s="6" t="str"/>
      <x:c r="P195" s="6" t="str">
        <x:v>Not Eligible</x:v>
      </x:c>
      <x:c r="Q195" s="7" t="str"/>
    </x:row>
    <x:row r="196">
      <x:c r="A196" s="6" t="str">
        <x:v>APPR-0195</x:v>
      </x:c>
      <x:c r="B196" s="6" t="str">
        <x:v>Service Identity Queue</x:v>
      </x:c>
      <x:c r="C196" s="6" t="str">
        <x:v>SIDX-0195</x:v>
      </x:c>
      <x:c r="D196" s="6" t="str">
        <x:v>Service</x:v>
      </x:c>
      <x:c r="E196" s="6" t="str">
        <x:v>SVC000195</x:v>
      </x:c>
      <x:c r="F196" s="6" t="str">
        <x:f>IFERROR(IF(XLOOKUP(C196,'Review Sequence'!C2:C1586,'Review Sequence'!J2:J1586)="Reviewer Complete",XLOOKUP(C196,'Service Identity Queue'!A2:A315,'Service Identity Queue'!L2:L315),""),"")</x:f>
      </x:c>
      <x:c r="G196" s="6" t="str"/>
      <x:c r="H196" s="7" t="str">
        <x:f>IF(F196&lt;&gt;"",XLOOKUP(C196,'Service Identity Queue'!A2:A315,'Service Identity Queue'!N2:N315),"" )</x:f>
      </x:c>
      <x:c r="I196" s="6" t="str">
        <x:f>IF(F196&lt;&gt;"",XLOOKUP(C196,'Service Identity Queue'!A2:A315,'Service Identity Queue'!O2:O315),"" )</x:f>
      </x:c>
      <x:c r="J196" s="6" t="str">
        <x:f>IF(F196&lt;&gt;"",XLOOKUP(C196,'Service Identity Queue'!A2:A315,'Service Identity Queue'!P2:P315),"" )</x:f>
      </x:c>
      <x:c r="K196" s="6" t="str">
        <x:f>IF(F196&lt;&gt;"","Reviewer complete; second-level approval still required","Not eligible yet")</x:f>
        <x:v>Not eligible yet</x:v>
      </x:c>
      <x:c r="L196" s="6" t="str">
        <x:f>IF(P196="Not Eligible","PASS","FAIL")</x:f>
        <x:v>PASS</x:v>
      </x:c>
      <x:c r="M196" s="6" t="str">
        <x:v>Pending</x:v>
      </x:c>
      <x:c r="N196" s="6" t="str"/>
      <x:c r="O196" s="6" t="str"/>
      <x:c r="P196" s="6" t="str">
        <x:v>Not Eligible</x:v>
      </x:c>
      <x:c r="Q196" s="7" t="str"/>
    </x:row>
    <x:row r="197">
      <x:c r="A197" s="6" t="str">
        <x:v>APPR-0196</x:v>
      </x:c>
      <x:c r="B197" s="6" t="str">
        <x:v>Service Identity Queue</x:v>
      </x:c>
      <x:c r="C197" s="6" t="str">
        <x:v>SIDX-0196</x:v>
      </x:c>
      <x:c r="D197" s="6" t="str">
        <x:v>Service</x:v>
      </x:c>
      <x:c r="E197" s="6" t="str">
        <x:v>SVC000196</x:v>
      </x:c>
      <x:c r="F197" s="6" t="str">
        <x:f>IFERROR(IF(XLOOKUP(C197,'Review Sequence'!C2:C1586,'Review Sequence'!J2:J1586)="Reviewer Complete",XLOOKUP(C197,'Service Identity Queue'!A2:A315,'Service Identity Queue'!L2:L315),""),"")</x:f>
      </x:c>
      <x:c r="G197" s="6" t="str"/>
      <x:c r="H197" s="7" t="str">
        <x:f>IF(F197&lt;&gt;"",XLOOKUP(C197,'Service Identity Queue'!A2:A315,'Service Identity Queue'!N2:N315),"" )</x:f>
      </x:c>
      <x:c r="I197" s="6" t="str">
        <x:f>IF(F197&lt;&gt;"",XLOOKUP(C197,'Service Identity Queue'!A2:A315,'Service Identity Queue'!O2:O315),"" )</x:f>
      </x:c>
      <x:c r="J197" s="6" t="str">
        <x:f>IF(F197&lt;&gt;"",XLOOKUP(C197,'Service Identity Queue'!A2:A315,'Service Identity Queue'!P2:P315),"" )</x:f>
      </x:c>
      <x:c r="K197" s="6" t="str">
        <x:f>IF(F197&lt;&gt;"","Reviewer complete; second-level approval still required","Not eligible yet")</x:f>
        <x:v>Not eligible yet</x:v>
      </x:c>
      <x:c r="L197" s="6" t="str">
        <x:f>IF(P197="Not Eligible","PASS","FAIL")</x:f>
        <x:v>PASS</x:v>
      </x:c>
      <x:c r="M197" s="6" t="str">
        <x:v>Pending</x:v>
      </x:c>
      <x:c r="N197" s="6" t="str"/>
      <x:c r="O197" s="6" t="str"/>
      <x:c r="P197" s="6" t="str">
        <x:v>Not Eligible</x:v>
      </x:c>
      <x:c r="Q197" s="7" t="str"/>
    </x:row>
    <x:row r="198">
      <x:c r="A198" s="6" t="str">
        <x:v>APPR-0197</x:v>
      </x:c>
      <x:c r="B198" s="6" t="str">
        <x:v>Service Identity Queue</x:v>
      </x:c>
      <x:c r="C198" s="6" t="str">
        <x:v>SIDX-0197</x:v>
      </x:c>
      <x:c r="D198" s="6" t="str">
        <x:v>Service</x:v>
      </x:c>
      <x:c r="E198" s="6" t="str">
        <x:v>SVC000197</x:v>
      </x:c>
      <x:c r="F198" s="6" t="str">
        <x:f>IFERROR(IF(XLOOKUP(C198,'Review Sequence'!C2:C1586,'Review Sequence'!J2:J1586)="Reviewer Complete",XLOOKUP(C198,'Service Identity Queue'!A2:A315,'Service Identity Queue'!L2:L315),""),"")</x:f>
      </x:c>
      <x:c r="G198" s="6" t="str"/>
      <x:c r="H198" s="7" t="str">
        <x:f>IF(F198&lt;&gt;"",XLOOKUP(C198,'Service Identity Queue'!A2:A315,'Service Identity Queue'!N2:N315),"" )</x:f>
      </x:c>
      <x:c r="I198" s="6" t="str">
        <x:f>IF(F198&lt;&gt;"",XLOOKUP(C198,'Service Identity Queue'!A2:A315,'Service Identity Queue'!O2:O315),"" )</x:f>
      </x:c>
      <x:c r="J198" s="6" t="str">
        <x:f>IF(F198&lt;&gt;"",XLOOKUP(C198,'Service Identity Queue'!A2:A315,'Service Identity Queue'!P2:P315),"" )</x:f>
      </x:c>
      <x:c r="K198" s="6" t="str">
        <x:f>IF(F198&lt;&gt;"","Reviewer complete; second-level approval still required","Not eligible yet")</x:f>
        <x:v>Not eligible yet</x:v>
      </x:c>
      <x:c r="L198" s="6" t="str">
        <x:f>IF(P198="Not Eligible","PASS","FAIL")</x:f>
        <x:v>PASS</x:v>
      </x:c>
      <x:c r="M198" s="6" t="str">
        <x:v>Pending</x:v>
      </x:c>
      <x:c r="N198" s="6" t="str"/>
      <x:c r="O198" s="6" t="str"/>
      <x:c r="P198" s="6" t="str">
        <x:v>Not Eligible</x:v>
      </x:c>
      <x:c r="Q198" s="7" t="str"/>
    </x:row>
    <x:row r="199">
      <x:c r="A199" s="6" t="str">
        <x:v>APPR-0198</x:v>
      </x:c>
      <x:c r="B199" s="6" t="str">
        <x:v>Service Identity Queue</x:v>
      </x:c>
      <x:c r="C199" s="6" t="str">
        <x:v>SIDX-0198</x:v>
      </x:c>
      <x:c r="D199" s="6" t="str">
        <x:v>Service</x:v>
      </x:c>
      <x:c r="E199" s="6" t="str">
        <x:v>SVC000198</x:v>
      </x:c>
      <x:c r="F199" s="6" t="str">
        <x:f>IFERROR(IF(XLOOKUP(C199,'Review Sequence'!C2:C1586,'Review Sequence'!J2:J1586)="Reviewer Complete",XLOOKUP(C199,'Service Identity Queue'!A2:A315,'Service Identity Queue'!L2:L315),""),"")</x:f>
      </x:c>
      <x:c r="G199" s="6" t="str"/>
      <x:c r="H199" s="7" t="str">
        <x:f>IF(F199&lt;&gt;"",XLOOKUP(C199,'Service Identity Queue'!A2:A315,'Service Identity Queue'!N2:N315),"" )</x:f>
      </x:c>
      <x:c r="I199" s="6" t="str">
        <x:f>IF(F199&lt;&gt;"",XLOOKUP(C199,'Service Identity Queue'!A2:A315,'Service Identity Queue'!O2:O315),"" )</x:f>
      </x:c>
      <x:c r="J199" s="6" t="str">
        <x:f>IF(F199&lt;&gt;"",XLOOKUP(C199,'Service Identity Queue'!A2:A315,'Service Identity Queue'!P2:P315),"" )</x:f>
      </x:c>
      <x:c r="K199" s="6" t="str">
        <x:f>IF(F199&lt;&gt;"","Reviewer complete; second-level approval still required","Not eligible yet")</x:f>
        <x:v>Not eligible yet</x:v>
      </x:c>
      <x:c r="L199" s="6" t="str">
        <x:f>IF(P199="Not Eligible","PASS","FAIL")</x:f>
        <x:v>PASS</x:v>
      </x:c>
      <x:c r="M199" s="6" t="str">
        <x:v>Pending</x:v>
      </x:c>
      <x:c r="N199" s="6" t="str"/>
      <x:c r="O199" s="6" t="str"/>
      <x:c r="P199" s="6" t="str">
        <x:v>Not Eligible</x:v>
      </x:c>
      <x:c r="Q199" s="7" t="str"/>
    </x:row>
    <x:row r="200">
      <x:c r="A200" s="6" t="str">
        <x:v>APPR-0199</x:v>
      </x:c>
      <x:c r="B200" s="6" t="str">
        <x:v>Service Identity Queue</x:v>
      </x:c>
      <x:c r="C200" s="6" t="str">
        <x:v>SIDX-0199</x:v>
      </x:c>
      <x:c r="D200" s="6" t="str">
        <x:v>Service</x:v>
      </x:c>
      <x:c r="E200" s="6" t="str">
        <x:v>SVC000199</x:v>
      </x:c>
      <x:c r="F200" s="6" t="str">
        <x:f>IFERROR(IF(XLOOKUP(C200,'Review Sequence'!C2:C1586,'Review Sequence'!J2:J1586)="Reviewer Complete",XLOOKUP(C200,'Service Identity Queue'!A2:A315,'Service Identity Queue'!L2:L315),""),"")</x:f>
      </x:c>
      <x:c r="G200" s="6" t="str"/>
      <x:c r="H200" s="7" t="str">
        <x:f>IF(F200&lt;&gt;"",XLOOKUP(C200,'Service Identity Queue'!A2:A315,'Service Identity Queue'!N2:N315),"" )</x:f>
      </x:c>
      <x:c r="I200" s="6" t="str">
        <x:f>IF(F200&lt;&gt;"",XLOOKUP(C200,'Service Identity Queue'!A2:A315,'Service Identity Queue'!O2:O315),"" )</x:f>
      </x:c>
      <x:c r="J200" s="6" t="str">
        <x:f>IF(F200&lt;&gt;"",XLOOKUP(C200,'Service Identity Queue'!A2:A315,'Service Identity Queue'!P2:P315),"" )</x:f>
      </x:c>
      <x:c r="K200" s="6" t="str">
        <x:f>IF(F200&lt;&gt;"","Reviewer complete; second-level approval still required","Not eligible yet")</x:f>
        <x:v>Not eligible yet</x:v>
      </x:c>
      <x:c r="L200" s="6" t="str">
        <x:f>IF(P200="Not Eligible","PASS","FAIL")</x:f>
        <x:v>PASS</x:v>
      </x:c>
      <x:c r="M200" s="6" t="str">
        <x:v>Pending</x:v>
      </x:c>
      <x:c r="N200" s="6" t="str"/>
      <x:c r="O200" s="6" t="str"/>
      <x:c r="P200" s="6" t="str">
        <x:v>Not Eligible</x:v>
      </x:c>
      <x:c r="Q200" s="7" t="str"/>
    </x:row>
    <x:row r="201">
      <x:c r="A201" s="6" t="str">
        <x:v>APPR-0200</x:v>
      </x:c>
      <x:c r="B201" s="6" t="str">
        <x:v>Service Identity Queue</x:v>
      </x:c>
      <x:c r="C201" s="6" t="str">
        <x:v>SIDX-0200</x:v>
      </x:c>
      <x:c r="D201" s="6" t="str">
        <x:v>Service</x:v>
      </x:c>
      <x:c r="E201" s="6" t="str">
        <x:v>SVC000200</x:v>
      </x:c>
      <x:c r="F201" s="6" t="str">
        <x:f>IFERROR(IF(XLOOKUP(C201,'Review Sequence'!C2:C1586,'Review Sequence'!J2:J1586)="Reviewer Complete",XLOOKUP(C201,'Service Identity Queue'!A2:A315,'Service Identity Queue'!L2:L315),""),"")</x:f>
      </x:c>
      <x:c r="G201" s="6" t="str"/>
      <x:c r="H201" s="7" t="str">
        <x:f>IF(F201&lt;&gt;"",XLOOKUP(C201,'Service Identity Queue'!A2:A315,'Service Identity Queue'!N2:N315),"" )</x:f>
      </x:c>
      <x:c r="I201" s="6" t="str">
        <x:f>IF(F201&lt;&gt;"",XLOOKUP(C201,'Service Identity Queue'!A2:A315,'Service Identity Queue'!O2:O315),"" )</x:f>
      </x:c>
      <x:c r="J201" s="6" t="str">
        <x:f>IF(F201&lt;&gt;"",XLOOKUP(C201,'Service Identity Queue'!A2:A315,'Service Identity Queue'!P2:P315),"" )</x:f>
      </x:c>
      <x:c r="K201" s="6" t="str">
        <x:f>IF(F201&lt;&gt;"","Reviewer complete; second-level approval still required","Not eligible yet")</x:f>
        <x:v>Not eligible yet</x:v>
      </x:c>
      <x:c r="L201" s="6" t="str">
        <x:f>IF(P201="Not Eligible","PASS","FAIL")</x:f>
        <x:v>PASS</x:v>
      </x:c>
      <x:c r="M201" s="6" t="str">
        <x:v>Pending</x:v>
      </x:c>
      <x:c r="N201" s="6" t="str"/>
      <x:c r="O201" s="6" t="str"/>
      <x:c r="P201" s="6" t="str">
        <x:v>Not Eligible</x:v>
      </x:c>
      <x:c r="Q201" s="7" t="str"/>
    </x:row>
    <x:row r="202">
      <x:c r="A202" s="6" t="str">
        <x:v>APPR-0201</x:v>
      </x:c>
      <x:c r="B202" s="6" t="str">
        <x:v>Service Identity Queue</x:v>
      </x:c>
      <x:c r="C202" s="6" t="str">
        <x:v>SIDX-0201</x:v>
      </x:c>
      <x:c r="D202" s="6" t="str">
        <x:v>Service</x:v>
      </x:c>
      <x:c r="E202" s="6" t="str">
        <x:v>SVC000201</x:v>
      </x:c>
      <x:c r="F202" s="6" t="str">
        <x:f>IFERROR(IF(XLOOKUP(C202,'Review Sequence'!C2:C1586,'Review Sequence'!J2:J1586)="Reviewer Complete",XLOOKUP(C202,'Service Identity Queue'!A2:A315,'Service Identity Queue'!L2:L315),""),"")</x:f>
      </x:c>
      <x:c r="G202" s="6" t="str"/>
      <x:c r="H202" s="7" t="str">
        <x:f>IF(F202&lt;&gt;"",XLOOKUP(C202,'Service Identity Queue'!A2:A315,'Service Identity Queue'!N2:N315),"" )</x:f>
      </x:c>
      <x:c r="I202" s="6" t="str">
        <x:f>IF(F202&lt;&gt;"",XLOOKUP(C202,'Service Identity Queue'!A2:A315,'Service Identity Queue'!O2:O315),"" )</x:f>
      </x:c>
      <x:c r="J202" s="6" t="str">
        <x:f>IF(F202&lt;&gt;"",XLOOKUP(C202,'Service Identity Queue'!A2:A315,'Service Identity Queue'!P2:P315),"" )</x:f>
      </x:c>
      <x:c r="K202" s="6" t="str">
        <x:f>IF(F202&lt;&gt;"","Reviewer complete; second-level approval still required","Not eligible yet")</x:f>
        <x:v>Not eligible yet</x:v>
      </x:c>
      <x:c r="L202" s="6" t="str">
        <x:f>IF(P202="Not Eligible","PASS","FAIL")</x:f>
        <x:v>PASS</x:v>
      </x:c>
      <x:c r="M202" s="6" t="str">
        <x:v>Pending</x:v>
      </x:c>
      <x:c r="N202" s="6" t="str"/>
      <x:c r="O202" s="6" t="str"/>
      <x:c r="P202" s="6" t="str">
        <x:v>Not Eligible</x:v>
      </x:c>
      <x:c r="Q202" s="7" t="str"/>
    </x:row>
    <x:row r="203">
      <x:c r="A203" s="6" t="str">
        <x:v>APPR-0202</x:v>
      </x:c>
      <x:c r="B203" s="6" t="str">
        <x:v>Service Identity Queue</x:v>
      </x:c>
      <x:c r="C203" s="6" t="str">
        <x:v>SIDX-0202</x:v>
      </x:c>
      <x:c r="D203" s="6" t="str">
        <x:v>Service</x:v>
      </x:c>
      <x:c r="E203" s="6" t="str">
        <x:v>SVC000202</x:v>
      </x:c>
      <x:c r="F203" s="6" t="str">
        <x:f>IFERROR(IF(XLOOKUP(C203,'Review Sequence'!C2:C1586,'Review Sequence'!J2:J1586)="Reviewer Complete",XLOOKUP(C203,'Service Identity Queue'!A2:A315,'Service Identity Queue'!L2:L315),""),"")</x:f>
      </x:c>
      <x:c r="G203" s="6" t="str"/>
      <x:c r="H203" s="7" t="str">
        <x:f>IF(F203&lt;&gt;"",XLOOKUP(C203,'Service Identity Queue'!A2:A315,'Service Identity Queue'!N2:N315),"" )</x:f>
      </x:c>
      <x:c r="I203" s="6" t="str">
        <x:f>IF(F203&lt;&gt;"",XLOOKUP(C203,'Service Identity Queue'!A2:A315,'Service Identity Queue'!O2:O315),"" )</x:f>
      </x:c>
      <x:c r="J203" s="6" t="str">
        <x:f>IF(F203&lt;&gt;"",XLOOKUP(C203,'Service Identity Queue'!A2:A315,'Service Identity Queue'!P2:P315),"" )</x:f>
      </x:c>
      <x:c r="K203" s="6" t="str">
        <x:f>IF(F203&lt;&gt;"","Reviewer complete; second-level approval still required","Not eligible yet")</x:f>
        <x:v>Not eligible yet</x:v>
      </x:c>
      <x:c r="L203" s="6" t="str">
        <x:f>IF(P203="Not Eligible","PASS","FAIL")</x:f>
        <x:v>PASS</x:v>
      </x:c>
      <x:c r="M203" s="6" t="str">
        <x:v>Pending</x:v>
      </x:c>
      <x:c r="N203" s="6" t="str"/>
      <x:c r="O203" s="6" t="str"/>
      <x:c r="P203" s="6" t="str">
        <x:v>Not Eligible</x:v>
      </x:c>
      <x:c r="Q203" s="7" t="str"/>
    </x:row>
    <x:row r="204">
      <x:c r="A204" s="6" t="str">
        <x:v>APPR-0203</x:v>
      </x:c>
      <x:c r="B204" s="6" t="str">
        <x:v>Service Identity Queue</x:v>
      </x:c>
      <x:c r="C204" s="6" t="str">
        <x:v>SIDX-0203</x:v>
      </x:c>
      <x:c r="D204" s="6" t="str">
        <x:v>Service</x:v>
      </x:c>
      <x:c r="E204" s="6" t="str">
        <x:v>SVC000203</x:v>
      </x:c>
      <x:c r="F204" s="6" t="str">
        <x:f>IFERROR(IF(XLOOKUP(C204,'Review Sequence'!C2:C1586,'Review Sequence'!J2:J1586)="Reviewer Complete",XLOOKUP(C204,'Service Identity Queue'!A2:A315,'Service Identity Queue'!L2:L315),""),"")</x:f>
      </x:c>
      <x:c r="G204" s="6" t="str"/>
      <x:c r="H204" s="7" t="str">
        <x:f>IF(F204&lt;&gt;"",XLOOKUP(C204,'Service Identity Queue'!A2:A315,'Service Identity Queue'!N2:N315),"" )</x:f>
      </x:c>
      <x:c r="I204" s="6" t="str">
        <x:f>IF(F204&lt;&gt;"",XLOOKUP(C204,'Service Identity Queue'!A2:A315,'Service Identity Queue'!O2:O315),"" )</x:f>
      </x:c>
      <x:c r="J204" s="6" t="str">
        <x:f>IF(F204&lt;&gt;"",XLOOKUP(C204,'Service Identity Queue'!A2:A315,'Service Identity Queue'!P2:P315),"" )</x:f>
      </x:c>
      <x:c r="K204" s="6" t="str">
        <x:f>IF(F204&lt;&gt;"","Reviewer complete; second-level approval still required","Not eligible yet")</x:f>
        <x:v>Not eligible yet</x:v>
      </x:c>
      <x:c r="L204" s="6" t="str">
        <x:f>IF(P204="Not Eligible","PASS","FAIL")</x:f>
        <x:v>PASS</x:v>
      </x:c>
      <x:c r="M204" s="6" t="str">
        <x:v>Pending</x:v>
      </x:c>
      <x:c r="N204" s="6" t="str"/>
      <x:c r="O204" s="6" t="str"/>
      <x:c r="P204" s="6" t="str">
        <x:v>Not Eligible</x:v>
      </x:c>
      <x:c r="Q204" s="7" t="str"/>
    </x:row>
    <x:row r="205">
      <x:c r="A205" s="6" t="str">
        <x:v>APPR-0204</x:v>
      </x:c>
      <x:c r="B205" s="6" t="str">
        <x:v>Service Identity Queue</x:v>
      </x:c>
      <x:c r="C205" s="6" t="str">
        <x:v>SIDX-0204</x:v>
      </x:c>
      <x:c r="D205" s="6" t="str">
        <x:v>Service</x:v>
      </x:c>
      <x:c r="E205" s="6" t="str">
        <x:v>SVC000204</x:v>
      </x:c>
      <x:c r="F205" s="6" t="str">
        <x:f>IFERROR(IF(XLOOKUP(C205,'Review Sequence'!C2:C1586,'Review Sequence'!J2:J1586)="Reviewer Complete",XLOOKUP(C205,'Service Identity Queue'!A2:A315,'Service Identity Queue'!L2:L315),""),"")</x:f>
      </x:c>
      <x:c r="G205" s="6" t="str"/>
      <x:c r="H205" s="7" t="str">
        <x:f>IF(F205&lt;&gt;"",XLOOKUP(C205,'Service Identity Queue'!A2:A315,'Service Identity Queue'!N2:N315),"" )</x:f>
      </x:c>
      <x:c r="I205" s="6" t="str">
        <x:f>IF(F205&lt;&gt;"",XLOOKUP(C205,'Service Identity Queue'!A2:A315,'Service Identity Queue'!O2:O315),"" )</x:f>
      </x:c>
      <x:c r="J205" s="6" t="str">
        <x:f>IF(F205&lt;&gt;"",XLOOKUP(C205,'Service Identity Queue'!A2:A315,'Service Identity Queue'!P2:P315),"" )</x:f>
      </x:c>
      <x:c r="K205" s="6" t="str">
        <x:f>IF(F205&lt;&gt;"","Reviewer complete; second-level approval still required","Not eligible yet")</x:f>
        <x:v>Not eligible yet</x:v>
      </x:c>
      <x:c r="L205" s="6" t="str">
        <x:f>IF(P205="Not Eligible","PASS","FAIL")</x:f>
        <x:v>PASS</x:v>
      </x:c>
      <x:c r="M205" s="6" t="str">
        <x:v>Pending</x:v>
      </x:c>
      <x:c r="N205" s="6" t="str"/>
      <x:c r="O205" s="6" t="str"/>
      <x:c r="P205" s="6" t="str">
        <x:v>Not Eligible</x:v>
      </x:c>
      <x:c r="Q205" s="7" t="str"/>
    </x:row>
    <x:row r="206">
      <x:c r="A206" s="6" t="str">
        <x:v>APPR-0205</x:v>
      </x:c>
      <x:c r="B206" s="6" t="str">
        <x:v>Service Identity Queue</x:v>
      </x:c>
      <x:c r="C206" s="6" t="str">
        <x:v>SIDX-0205</x:v>
      </x:c>
      <x:c r="D206" s="6" t="str">
        <x:v>Service</x:v>
      </x:c>
      <x:c r="E206" s="6" t="str">
        <x:v>SVC000205</x:v>
      </x:c>
      <x:c r="F206" s="6" t="str">
        <x:f>IFERROR(IF(XLOOKUP(C206,'Review Sequence'!C2:C1586,'Review Sequence'!J2:J1586)="Reviewer Complete",XLOOKUP(C206,'Service Identity Queue'!A2:A315,'Service Identity Queue'!L2:L315),""),"")</x:f>
      </x:c>
      <x:c r="G206" s="6" t="str"/>
      <x:c r="H206" s="7" t="str">
        <x:f>IF(F206&lt;&gt;"",XLOOKUP(C206,'Service Identity Queue'!A2:A315,'Service Identity Queue'!N2:N315),"" )</x:f>
      </x:c>
      <x:c r="I206" s="6" t="str">
        <x:f>IF(F206&lt;&gt;"",XLOOKUP(C206,'Service Identity Queue'!A2:A315,'Service Identity Queue'!O2:O315),"" )</x:f>
      </x:c>
      <x:c r="J206" s="6" t="str">
        <x:f>IF(F206&lt;&gt;"",XLOOKUP(C206,'Service Identity Queue'!A2:A315,'Service Identity Queue'!P2:P315),"" )</x:f>
      </x:c>
      <x:c r="K206" s="6" t="str">
        <x:f>IF(F206&lt;&gt;"","Reviewer complete; second-level approval still required","Not eligible yet")</x:f>
        <x:v>Not eligible yet</x:v>
      </x:c>
      <x:c r="L206" s="6" t="str">
        <x:f>IF(P206="Not Eligible","PASS","FAIL")</x:f>
        <x:v>PASS</x:v>
      </x:c>
      <x:c r="M206" s="6" t="str">
        <x:v>Pending</x:v>
      </x:c>
      <x:c r="N206" s="6" t="str"/>
      <x:c r="O206" s="6" t="str"/>
      <x:c r="P206" s="6" t="str">
        <x:v>Not Eligible</x:v>
      </x:c>
      <x:c r="Q206" s="7" t="str"/>
    </x:row>
    <x:row r="207">
      <x:c r="A207" s="6" t="str">
        <x:v>APPR-0206</x:v>
      </x:c>
      <x:c r="B207" s="6" t="str">
        <x:v>Service Identity Queue</x:v>
      </x:c>
      <x:c r="C207" s="6" t="str">
        <x:v>SIDX-0206</x:v>
      </x:c>
      <x:c r="D207" s="6" t="str">
        <x:v>Service</x:v>
      </x:c>
      <x:c r="E207" s="6" t="str">
        <x:v>SVC000206</x:v>
      </x:c>
      <x:c r="F207" s="6" t="str">
        <x:f>IFERROR(IF(XLOOKUP(C207,'Review Sequence'!C2:C1586,'Review Sequence'!J2:J1586)="Reviewer Complete",XLOOKUP(C207,'Service Identity Queue'!A2:A315,'Service Identity Queue'!L2:L315),""),"")</x:f>
      </x:c>
      <x:c r="G207" s="6" t="str"/>
      <x:c r="H207" s="7" t="str">
        <x:f>IF(F207&lt;&gt;"",XLOOKUP(C207,'Service Identity Queue'!A2:A315,'Service Identity Queue'!N2:N315),"" )</x:f>
      </x:c>
      <x:c r="I207" s="6" t="str">
        <x:f>IF(F207&lt;&gt;"",XLOOKUP(C207,'Service Identity Queue'!A2:A315,'Service Identity Queue'!O2:O315),"" )</x:f>
      </x:c>
      <x:c r="J207" s="6" t="str">
        <x:f>IF(F207&lt;&gt;"",XLOOKUP(C207,'Service Identity Queue'!A2:A315,'Service Identity Queue'!P2:P315),"" )</x:f>
      </x:c>
      <x:c r="K207" s="6" t="str">
        <x:f>IF(F207&lt;&gt;"","Reviewer complete; second-level approval still required","Not eligible yet")</x:f>
        <x:v>Not eligible yet</x:v>
      </x:c>
      <x:c r="L207" s="6" t="str">
        <x:f>IF(P207="Not Eligible","PASS","FAIL")</x:f>
        <x:v>PASS</x:v>
      </x:c>
      <x:c r="M207" s="6" t="str">
        <x:v>Pending</x:v>
      </x:c>
      <x:c r="N207" s="6" t="str"/>
      <x:c r="O207" s="6" t="str"/>
      <x:c r="P207" s="6" t="str">
        <x:v>Not Eligible</x:v>
      </x:c>
      <x:c r="Q207" s="7" t="str"/>
    </x:row>
    <x:row r="208">
      <x:c r="A208" s="6" t="str">
        <x:v>APPR-0207</x:v>
      </x:c>
      <x:c r="B208" s="6" t="str">
        <x:v>Service Identity Queue</x:v>
      </x:c>
      <x:c r="C208" s="6" t="str">
        <x:v>SIDX-0207</x:v>
      </x:c>
      <x:c r="D208" s="6" t="str">
        <x:v>Service</x:v>
      </x:c>
      <x:c r="E208" s="6" t="str">
        <x:v>SVC000207</x:v>
      </x:c>
      <x:c r="F208" s="6" t="str">
        <x:f>IFERROR(IF(XLOOKUP(C208,'Review Sequence'!C2:C1586,'Review Sequence'!J2:J1586)="Reviewer Complete",XLOOKUP(C208,'Service Identity Queue'!A2:A315,'Service Identity Queue'!L2:L315),""),"")</x:f>
      </x:c>
      <x:c r="G208" s="6" t="str"/>
      <x:c r="H208" s="7" t="str">
        <x:f>IF(F208&lt;&gt;"",XLOOKUP(C208,'Service Identity Queue'!A2:A315,'Service Identity Queue'!N2:N315),"" )</x:f>
      </x:c>
      <x:c r="I208" s="6" t="str">
        <x:f>IF(F208&lt;&gt;"",XLOOKUP(C208,'Service Identity Queue'!A2:A315,'Service Identity Queue'!O2:O315),"" )</x:f>
      </x:c>
      <x:c r="J208" s="6" t="str">
        <x:f>IF(F208&lt;&gt;"",XLOOKUP(C208,'Service Identity Queue'!A2:A315,'Service Identity Queue'!P2:P315),"" )</x:f>
      </x:c>
      <x:c r="K208" s="6" t="str">
        <x:f>IF(F208&lt;&gt;"","Reviewer complete; second-level approval still required","Not eligible yet")</x:f>
        <x:v>Not eligible yet</x:v>
      </x:c>
      <x:c r="L208" s="6" t="str">
        <x:f>IF(P208="Not Eligible","PASS","FAIL")</x:f>
        <x:v>PASS</x:v>
      </x:c>
      <x:c r="M208" s="6" t="str">
        <x:v>Pending</x:v>
      </x:c>
      <x:c r="N208" s="6" t="str"/>
      <x:c r="O208" s="6" t="str"/>
      <x:c r="P208" s="6" t="str">
        <x:v>Not Eligible</x:v>
      </x:c>
      <x:c r="Q208" s="7" t="str"/>
    </x:row>
    <x:row r="209">
      <x:c r="A209" s="6" t="str">
        <x:v>APPR-0208</x:v>
      </x:c>
      <x:c r="B209" s="6" t="str">
        <x:v>Service Identity Queue</x:v>
      </x:c>
      <x:c r="C209" s="6" t="str">
        <x:v>SIDX-0208</x:v>
      </x:c>
      <x:c r="D209" s="6" t="str">
        <x:v>Service</x:v>
      </x:c>
      <x:c r="E209" s="6" t="str">
        <x:v>SVC000208</x:v>
      </x:c>
      <x:c r="F209" s="6" t="str">
        <x:f>IFERROR(IF(XLOOKUP(C209,'Review Sequence'!C2:C1586,'Review Sequence'!J2:J1586)="Reviewer Complete",XLOOKUP(C209,'Service Identity Queue'!A2:A315,'Service Identity Queue'!L2:L315),""),"")</x:f>
      </x:c>
      <x:c r="G209" s="6" t="str"/>
      <x:c r="H209" s="7" t="str">
        <x:f>IF(F209&lt;&gt;"",XLOOKUP(C209,'Service Identity Queue'!A2:A315,'Service Identity Queue'!N2:N315),"" )</x:f>
      </x:c>
      <x:c r="I209" s="6" t="str">
        <x:f>IF(F209&lt;&gt;"",XLOOKUP(C209,'Service Identity Queue'!A2:A315,'Service Identity Queue'!O2:O315),"" )</x:f>
      </x:c>
      <x:c r="J209" s="6" t="str">
        <x:f>IF(F209&lt;&gt;"",XLOOKUP(C209,'Service Identity Queue'!A2:A315,'Service Identity Queue'!P2:P315),"" )</x:f>
      </x:c>
      <x:c r="K209" s="6" t="str">
        <x:f>IF(F209&lt;&gt;"","Reviewer complete; second-level approval still required","Not eligible yet")</x:f>
        <x:v>Not eligible yet</x:v>
      </x:c>
      <x:c r="L209" s="6" t="str">
        <x:f>IF(P209="Not Eligible","PASS","FAIL")</x:f>
        <x:v>PASS</x:v>
      </x:c>
      <x:c r="M209" s="6" t="str">
        <x:v>Pending</x:v>
      </x:c>
      <x:c r="N209" s="6" t="str"/>
      <x:c r="O209" s="6" t="str"/>
      <x:c r="P209" s="6" t="str">
        <x:v>Not Eligible</x:v>
      </x:c>
      <x:c r="Q209" s="7" t="str"/>
    </x:row>
    <x:row r="210">
      <x:c r="A210" s="6" t="str">
        <x:v>APPR-0209</x:v>
      </x:c>
      <x:c r="B210" s="6" t="str">
        <x:v>Service Identity Queue</x:v>
      </x:c>
      <x:c r="C210" s="6" t="str">
        <x:v>SIDX-0209</x:v>
      </x:c>
      <x:c r="D210" s="6" t="str">
        <x:v>Service</x:v>
      </x:c>
      <x:c r="E210" s="6" t="str">
        <x:v>SVC000209</x:v>
      </x:c>
      <x:c r="F210" s="6" t="str">
        <x:f>IFERROR(IF(XLOOKUP(C210,'Review Sequence'!C2:C1586,'Review Sequence'!J2:J1586)="Reviewer Complete",XLOOKUP(C210,'Service Identity Queue'!A2:A315,'Service Identity Queue'!L2:L315),""),"")</x:f>
      </x:c>
      <x:c r="G210" s="6" t="str"/>
      <x:c r="H210" s="7" t="str">
        <x:f>IF(F210&lt;&gt;"",XLOOKUP(C210,'Service Identity Queue'!A2:A315,'Service Identity Queue'!N2:N315),"" )</x:f>
      </x:c>
      <x:c r="I210" s="6" t="str">
        <x:f>IF(F210&lt;&gt;"",XLOOKUP(C210,'Service Identity Queue'!A2:A315,'Service Identity Queue'!O2:O315),"" )</x:f>
      </x:c>
      <x:c r="J210" s="6" t="str">
        <x:f>IF(F210&lt;&gt;"",XLOOKUP(C210,'Service Identity Queue'!A2:A315,'Service Identity Queue'!P2:P315),"" )</x:f>
      </x:c>
      <x:c r="K210" s="6" t="str">
        <x:f>IF(F210&lt;&gt;"","Reviewer complete; second-level approval still required","Not eligible yet")</x:f>
        <x:v>Not eligible yet</x:v>
      </x:c>
      <x:c r="L210" s="6" t="str">
        <x:f>IF(P210="Not Eligible","PASS","FAIL")</x:f>
        <x:v>PASS</x:v>
      </x:c>
      <x:c r="M210" s="6" t="str">
        <x:v>Pending</x:v>
      </x:c>
      <x:c r="N210" s="6" t="str"/>
      <x:c r="O210" s="6" t="str"/>
      <x:c r="P210" s="6" t="str">
        <x:v>Not Eligible</x:v>
      </x:c>
      <x:c r="Q210" s="7" t="str"/>
    </x:row>
    <x:row r="211">
      <x:c r="A211" s="6" t="str">
        <x:v>APPR-0210</x:v>
      </x:c>
      <x:c r="B211" s="6" t="str">
        <x:v>Service Identity Queue</x:v>
      </x:c>
      <x:c r="C211" s="6" t="str">
        <x:v>SIDX-0210</x:v>
      </x:c>
      <x:c r="D211" s="6" t="str">
        <x:v>Service</x:v>
      </x:c>
      <x:c r="E211" s="6" t="str">
        <x:v>SVC000210</x:v>
      </x:c>
      <x:c r="F211" s="6" t="str">
        <x:f>IFERROR(IF(XLOOKUP(C211,'Review Sequence'!C2:C1586,'Review Sequence'!J2:J1586)="Reviewer Complete",XLOOKUP(C211,'Service Identity Queue'!A2:A315,'Service Identity Queue'!L2:L315),""),"")</x:f>
      </x:c>
      <x:c r="G211" s="6" t="str"/>
      <x:c r="H211" s="7" t="str">
        <x:f>IF(F211&lt;&gt;"",XLOOKUP(C211,'Service Identity Queue'!A2:A315,'Service Identity Queue'!N2:N315),"" )</x:f>
      </x:c>
      <x:c r="I211" s="6" t="str">
        <x:f>IF(F211&lt;&gt;"",XLOOKUP(C211,'Service Identity Queue'!A2:A315,'Service Identity Queue'!O2:O315),"" )</x:f>
      </x:c>
      <x:c r="J211" s="6" t="str">
        <x:f>IF(F211&lt;&gt;"",XLOOKUP(C211,'Service Identity Queue'!A2:A315,'Service Identity Queue'!P2:P315),"" )</x:f>
      </x:c>
      <x:c r="K211" s="6" t="str">
        <x:f>IF(F211&lt;&gt;"","Reviewer complete; second-level approval still required","Not eligible yet")</x:f>
        <x:v>Not eligible yet</x:v>
      </x:c>
      <x:c r="L211" s="6" t="str">
        <x:f>IF(P211="Not Eligible","PASS","FAIL")</x:f>
        <x:v>PASS</x:v>
      </x:c>
      <x:c r="M211" s="6" t="str">
        <x:v>Pending</x:v>
      </x:c>
      <x:c r="N211" s="6" t="str"/>
      <x:c r="O211" s="6" t="str"/>
      <x:c r="P211" s="6" t="str">
        <x:v>Not Eligible</x:v>
      </x:c>
      <x:c r="Q211" s="7" t="str"/>
    </x:row>
    <x:row r="212">
      <x:c r="A212" s="6" t="str">
        <x:v>APPR-0211</x:v>
      </x:c>
      <x:c r="B212" s="6" t="str">
        <x:v>Service Identity Queue</x:v>
      </x:c>
      <x:c r="C212" s="6" t="str">
        <x:v>SIDX-0211</x:v>
      </x:c>
      <x:c r="D212" s="6" t="str">
        <x:v>Service</x:v>
      </x:c>
      <x:c r="E212" s="6" t="str">
        <x:v>SVC000211</x:v>
      </x:c>
      <x:c r="F212" s="6" t="str">
        <x:f>IFERROR(IF(XLOOKUP(C212,'Review Sequence'!C2:C1586,'Review Sequence'!J2:J1586)="Reviewer Complete",XLOOKUP(C212,'Service Identity Queue'!A2:A315,'Service Identity Queue'!L2:L315),""),"")</x:f>
      </x:c>
      <x:c r="G212" s="6" t="str"/>
      <x:c r="H212" s="7" t="str">
        <x:f>IF(F212&lt;&gt;"",XLOOKUP(C212,'Service Identity Queue'!A2:A315,'Service Identity Queue'!N2:N315),"" )</x:f>
      </x:c>
      <x:c r="I212" s="6" t="str">
        <x:f>IF(F212&lt;&gt;"",XLOOKUP(C212,'Service Identity Queue'!A2:A315,'Service Identity Queue'!O2:O315),"" )</x:f>
      </x:c>
      <x:c r="J212" s="6" t="str">
        <x:f>IF(F212&lt;&gt;"",XLOOKUP(C212,'Service Identity Queue'!A2:A315,'Service Identity Queue'!P2:P315),"" )</x:f>
      </x:c>
      <x:c r="K212" s="6" t="str">
        <x:f>IF(F212&lt;&gt;"","Reviewer complete; second-level approval still required","Not eligible yet")</x:f>
        <x:v>Not eligible yet</x:v>
      </x:c>
      <x:c r="L212" s="6" t="str">
        <x:f>IF(P212="Not Eligible","PASS","FAIL")</x:f>
        <x:v>PASS</x:v>
      </x:c>
      <x:c r="M212" s="6" t="str">
        <x:v>Pending</x:v>
      </x:c>
      <x:c r="N212" s="6" t="str"/>
      <x:c r="O212" s="6" t="str"/>
      <x:c r="P212" s="6" t="str">
        <x:v>Not Eligible</x:v>
      </x:c>
      <x:c r="Q212" s="7" t="str"/>
    </x:row>
    <x:row r="213">
      <x:c r="A213" s="6" t="str">
        <x:v>APPR-0212</x:v>
      </x:c>
      <x:c r="B213" s="6" t="str">
        <x:v>Service Identity Queue</x:v>
      </x:c>
      <x:c r="C213" s="6" t="str">
        <x:v>SIDX-0212</x:v>
      </x:c>
      <x:c r="D213" s="6" t="str">
        <x:v>Service</x:v>
      </x:c>
      <x:c r="E213" s="6" t="str">
        <x:v>SVC000212</x:v>
      </x:c>
      <x:c r="F213" s="6" t="str">
        <x:f>IFERROR(IF(XLOOKUP(C213,'Review Sequence'!C2:C1586,'Review Sequence'!J2:J1586)="Reviewer Complete",XLOOKUP(C213,'Service Identity Queue'!A2:A315,'Service Identity Queue'!L2:L315),""),"")</x:f>
      </x:c>
      <x:c r="G213" s="6" t="str"/>
      <x:c r="H213" s="7" t="str">
        <x:f>IF(F213&lt;&gt;"",XLOOKUP(C213,'Service Identity Queue'!A2:A315,'Service Identity Queue'!N2:N315),"" )</x:f>
      </x:c>
      <x:c r="I213" s="6" t="str">
        <x:f>IF(F213&lt;&gt;"",XLOOKUP(C213,'Service Identity Queue'!A2:A315,'Service Identity Queue'!O2:O315),"" )</x:f>
      </x:c>
      <x:c r="J213" s="6" t="str">
        <x:f>IF(F213&lt;&gt;"",XLOOKUP(C213,'Service Identity Queue'!A2:A315,'Service Identity Queue'!P2:P315),"" )</x:f>
      </x:c>
      <x:c r="K213" s="6" t="str">
        <x:f>IF(F213&lt;&gt;"","Reviewer complete; second-level approval still required","Not eligible yet")</x:f>
        <x:v>Not eligible yet</x:v>
      </x:c>
      <x:c r="L213" s="6" t="str">
        <x:f>IF(P213="Not Eligible","PASS","FAIL")</x:f>
        <x:v>PASS</x:v>
      </x:c>
      <x:c r="M213" s="6" t="str">
        <x:v>Pending</x:v>
      </x:c>
      <x:c r="N213" s="6" t="str"/>
      <x:c r="O213" s="6" t="str"/>
      <x:c r="P213" s="6" t="str">
        <x:v>Not Eligible</x:v>
      </x:c>
      <x:c r="Q213" s="7" t="str"/>
    </x:row>
    <x:row r="214">
      <x:c r="A214" s="6" t="str">
        <x:v>APPR-0213</x:v>
      </x:c>
      <x:c r="B214" s="6" t="str">
        <x:v>Service Identity Queue</x:v>
      </x:c>
      <x:c r="C214" s="6" t="str">
        <x:v>SIDX-0213</x:v>
      </x:c>
      <x:c r="D214" s="6" t="str">
        <x:v>Service</x:v>
      </x:c>
      <x:c r="E214" s="6" t="str">
        <x:v>SVC000213</x:v>
      </x:c>
      <x:c r="F214" s="6" t="str">
        <x:f>IFERROR(IF(XLOOKUP(C214,'Review Sequence'!C2:C1586,'Review Sequence'!J2:J1586)="Reviewer Complete",XLOOKUP(C214,'Service Identity Queue'!A2:A315,'Service Identity Queue'!L2:L315),""),"")</x:f>
      </x:c>
      <x:c r="G214" s="6" t="str"/>
      <x:c r="H214" s="7" t="str">
        <x:f>IF(F214&lt;&gt;"",XLOOKUP(C214,'Service Identity Queue'!A2:A315,'Service Identity Queue'!N2:N315),"" )</x:f>
      </x:c>
      <x:c r="I214" s="6" t="str">
        <x:f>IF(F214&lt;&gt;"",XLOOKUP(C214,'Service Identity Queue'!A2:A315,'Service Identity Queue'!O2:O315),"" )</x:f>
      </x:c>
      <x:c r="J214" s="6" t="str">
        <x:f>IF(F214&lt;&gt;"",XLOOKUP(C214,'Service Identity Queue'!A2:A315,'Service Identity Queue'!P2:P315),"" )</x:f>
      </x:c>
      <x:c r="K214" s="6" t="str">
        <x:f>IF(F214&lt;&gt;"","Reviewer complete; second-level approval still required","Not eligible yet")</x:f>
        <x:v>Not eligible yet</x:v>
      </x:c>
      <x:c r="L214" s="6" t="str">
        <x:f>IF(P214="Not Eligible","PASS","FAIL")</x:f>
        <x:v>PASS</x:v>
      </x:c>
      <x:c r="M214" s="6" t="str">
        <x:v>Pending</x:v>
      </x:c>
      <x:c r="N214" s="6" t="str"/>
      <x:c r="O214" s="6" t="str"/>
      <x:c r="P214" s="6" t="str">
        <x:v>Not Eligible</x:v>
      </x:c>
      <x:c r="Q214" s="7" t="str"/>
    </x:row>
    <x:row r="215">
      <x:c r="A215" s="6" t="str">
        <x:v>APPR-0214</x:v>
      </x:c>
      <x:c r="B215" s="6" t="str">
        <x:v>Service Identity Queue</x:v>
      </x:c>
      <x:c r="C215" s="6" t="str">
        <x:v>SIDX-0214</x:v>
      </x:c>
      <x:c r="D215" s="6" t="str">
        <x:v>Service</x:v>
      </x:c>
      <x:c r="E215" s="6" t="str">
        <x:v>SVC000214</x:v>
      </x:c>
      <x:c r="F215" s="6" t="str">
        <x:f>IFERROR(IF(XLOOKUP(C215,'Review Sequence'!C2:C1586,'Review Sequence'!J2:J1586)="Reviewer Complete",XLOOKUP(C215,'Service Identity Queue'!A2:A315,'Service Identity Queue'!L2:L315),""),"")</x:f>
      </x:c>
      <x:c r="G215" s="6" t="str"/>
      <x:c r="H215" s="7" t="str">
        <x:f>IF(F215&lt;&gt;"",XLOOKUP(C215,'Service Identity Queue'!A2:A315,'Service Identity Queue'!N2:N315),"" )</x:f>
      </x:c>
      <x:c r="I215" s="6" t="str">
        <x:f>IF(F215&lt;&gt;"",XLOOKUP(C215,'Service Identity Queue'!A2:A315,'Service Identity Queue'!O2:O315),"" )</x:f>
      </x:c>
      <x:c r="J215" s="6" t="str">
        <x:f>IF(F215&lt;&gt;"",XLOOKUP(C215,'Service Identity Queue'!A2:A315,'Service Identity Queue'!P2:P315),"" )</x:f>
      </x:c>
      <x:c r="K215" s="6" t="str">
        <x:f>IF(F215&lt;&gt;"","Reviewer complete; second-level approval still required","Not eligible yet")</x:f>
        <x:v>Not eligible yet</x:v>
      </x:c>
      <x:c r="L215" s="6" t="str">
        <x:f>IF(P215="Not Eligible","PASS","FAIL")</x:f>
        <x:v>PASS</x:v>
      </x:c>
      <x:c r="M215" s="6" t="str">
        <x:v>Pending</x:v>
      </x:c>
      <x:c r="N215" s="6" t="str"/>
      <x:c r="O215" s="6" t="str"/>
      <x:c r="P215" s="6" t="str">
        <x:v>Not Eligible</x:v>
      </x:c>
      <x:c r="Q215" s="7" t="str"/>
    </x:row>
    <x:row r="216">
      <x:c r="A216" s="6" t="str">
        <x:v>APPR-0215</x:v>
      </x:c>
      <x:c r="B216" s="6" t="str">
        <x:v>Service Identity Queue</x:v>
      </x:c>
      <x:c r="C216" s="6" t="str">
        <x:v>SIDX-0215</x:v>
      </x:c>
      <x:c r="D216" s="6" t="str">
        <x:v>Service</x:v>
      </x:c>
      <x:c r="E216" s="6" t="str">
        <x:v>SVC000215</x:v>
      </x:c>
      <x:c r="F216" s="6" t="str">
        <x:f>IFERROR(IF(XLOOKUP(C216,'Review Sequence'!C2:C1586,'Review Sequence'!J2:J1586)="Reviewer Complete",XLOOKUP(C216,'Service Identity Queue'!A2:A315,'Service Identity Queue'!L2:L315),""),"")</x:f>
      </x:c>
      <x:c r="G216" s="6" t="str"/>
      <x:c r="H216" s="7" t="str">
        <x:f>IF(F216&lt;&gt;"",XLOOKUP(C216,'Service Identity Queue'!A2:A315,'Service Identity Queue'!N2:N315),"" )</x:f>
      </x:c>
      <x:c r="I216" s="6" t="str">
        <x:f>IF(F216&lt;&gt;"",XLOOKUP(C216,'Service Identity Queue'!A2:A315,'Service Identity Queue'!O2:O315),"" )</x:f>
      </x:c>
      <x:c r="J216" s="6" t="str">
        <x:f>IF(F216&lt;&gt;"",XLOOKUP(C216,'Service Identity Queue'!A2:A315,'Service Identity Queue'!P2:P315),"" )</x:f>
      </x:c>
      <x:c r="K216" s="6" t="str">
        <x:f>IF(F216&lt;&gt;"","Reviewer complete; second-level approval still required","Not eligible yet")</x:f>
        <x:v>Not eligible yet</x:v>
      </x:c>
      <x:c r="L216" s="6" t="str">
        <x:f>IF(P216="Not Eligible","PASS","FAIL")</x:f>
        <x:v>PASS</x:v>
      </x:c>
      <x:c r="M216" s="6" t="str">
        <x:v>Pending</x:v>
      </x:c>
      <x:c r="N216" s="6" t="str"/>
      <x:c r="O216" s="6" t="str"/>
      <x:c r="P216" s="6" t="str">
        <x:v>Not Eligible</x:v>
      </x:c>
      <x:c r="Q216" s="7" t="str"/>
    </x:row>
    <x:row r="217">
      <x:c r="A217" s="6" t="str">
        <x:v>APPR-0216</x:v>
      </x:c>
      <x:c r="B217" s="6" t="str">
        <x:v>Service Identity Queue</x:v>
      </x:c>
      <x:c r="C217" s="6" t="str">
        <x:v>SIDX-0216</x:v>
      </x:c>
      <x:c r="D217" s="6" t="str">
        <x:v>Service</x:v>
      </x:c>
      <x:c r="E217" s="6" t="str">
        <x:v>SVC000216</x:v>
      </x:c>
      <x:c r="F217" s="6" t="str">
        <x:f>IFERROR(IF(XLOOKUP(C217,'Review Sequence'!C2:C1586,'Review Sequence'!J2:J1586)="Reviewer Complete",XLOOKUP(C217,'Service Identity Queue'!A2:A315,'Service Identity Queue'!L2:L315),""),"")</x:f>
      </x:c>
      <x:c r="G217" s="6" t="str"/>
      <x:c r="H217" s="7" t="str">
        <x:f>IF(F217&lt;&gt;"",XLOOKUP(C217,'Service Identity Queue'!A2:A315,'Service Identity Queue'!N2:N315),"" )</x:f>
      </x:c>
      <x:c r="I217" s="6" t="str">
        <x:f>IF(F217&lt;&gt;"",XLOOKUP(C217,'Service Identity Queue'!A2:A315,'Service Identity Queue'!O2:O315),"" )</x:f>
      </x:c>
      <x:c r="J217" s="6" t="str">
        <x:f>IF(F217&lt;&gt;"",XLOOKUP(C217,'Service Identity Queue'!A2:A315,'Service Identity Queue'!P2:P315),"" )</x:f>
      </x:c>
      <x:c r="K217" s="6" t="str">
        <x:f>IF(F217&lt;&gt;"","Reviewer complete; second-level approval still required","Not eligible yet")</x:f>
        <x:v>Not eligible yet</x:v>
      </x:c>
      <x:c r="L217" s="6" t="str">
        <x:f>IF(P217="Not Eligible","PASS","FAIL")</x:f>
        <x:v>PASS</x:v>
      </x:c>
      <x:c r="M217" s="6" t="str">
        <x:v>Pending</x:v>
      </x:c>
      <x:c r="N217" s="6" t="str"/>
      <x:c r="O217" s="6" t="str"/>
      <x:c r="P217" s="6" t="str">
        <x:v>Not Eligible</x:v>
      </x:c>
      <x:c r="Q217" s="7" t="str"/>
    </x:row>
    <x:row r="218">
      <x:c r="A218" s="6" t="str">
        <x:v>APPR-0217</x:v>
      </x:c>
      <x:c r="B218" s="6" t="str">
        <x:v>Service Identity Queue</x:v>
      </x:c>
      <x:c r="C218" s="6" t="str">
        <x:v>SIDX-0217</x:v>
      </x:c>
      <x:c r="D218" s="6" t="str">
        <x:v>Service</x:v>
      </x:c>
      <x:c r="E218" s="6" t="str">
        <x:v>SVC000217</x:v>
      </x:c>
      <x:c r="F218" s="6" t="str">
        <x:f>IFERROR(IF(XLOOKUP(C218,'Review Sequence'!C2:C1586,'Review Sequence'!J2:J1586)="Reviewer Complete",XLOOKUP(C218,'Service Identity Queue'!A2:A315,'Service Identity Queue'!L2:L315),""),"")</x:f>
      </x:c>
      <x:c r="G218" s="6" t="str"/>
      <x:c r="H218" s="7" t="str">
        <x:f>IF(F218&lt;&gt;"",XLOOKUP(C218,'Service Identity Queue'!A2:A315,'Service Identity Queue'!N2:N315),"" )</x:f>
      </x:c>
      <x:c r="I218" s="6" t="str">
        <x:f>IF(F218&lt;&gt;"",XLOOKUP(C218,'Service Identity Queue'!A2:A315,'Service Identity Queue'!O2:O315),"" )</x:f>
      </x:c>
      <x:c r="J218" s="6" t="str">
        <x:f>IF(F218&lt;&gt;"",XLOOKUP(C218,'Service Identity Queue'!A2:A315,'Service Identity Queue'!P2:P315),"" )</x:f>
      </x:c>
      <x:c r="K218" s="6" t="str">
        <x:f>IF(F218&lt;&gt;"","Reviewer complete; second-level approval still required","Not eligible yet")</x:f>
        <x:v>Not eligible yet</x:v>
      </x:c>
      <x:c r="L218" s="6" t="str">
        <x:f>IF(P218="Not Eligible","PASS","FAIL")</x:f>
        <x:v>PASS</x:v>
      </x:c>
      <x:c r="M218" s="6" t="str">
        <x:v>Pending</x:v>
      </x:c>
      <x:c r="N218" s="6" t="str"/>
      <x:c r="O218" s="6" t="str"/>
      <x:c r="P218" s="6" t="str">
        <x:v>Not Eligible</x:v>
      </x:c>
      <x:c r="Q218" s="7" t="str"/>
    </x:row>
    <x:row r="219">
      <x:c r="A219" s="6" t="str">
        <x:v>APPR-0218</x:v>
      </x:c>
      <x:c r="B219" s="6" t="str">
        <x:v>Service Identity Queue</x:v>
      </x:c>
      <x:c r="C219" s="6" t="str">
        <x:v>SIDX-0218</x:v>
      </x:c>
      <x:c r="D219" s="6" t="str">
        <x:v>Service</x:v>
      </x:c>
      <x:c r="E219" s="6" t="str">
        <x:v>SVC000218</x:v>
      </x:c>
      <x:c r="F219" s="6" t="str">
        <x:f>IFERROR(IF(XLOOKUP(C219,'Review Sequence'!C2:C1586,'Review Sequence'!J2:J1586)="Reviewer Complete",XLOOKUP(C219,'Service Identity Queue'!A2:A315,'Service Identity Queue'!L2:L315),""),"")</x:f>
      </x:c>
      <x:c r="G219" s="6" t="str"/>
      <x:c r="H219" s="7" t="str">
        <x:f>IF(F219&lt;&gt;"",XLOOKUP(C219,'Service Identity Queue'!A2:A315,'Service Identity Queue'!N2:N315),"" )</x:f>
      </x:c>
      <x:c r="I219" s="6" t="str">
        <x:f>IF(F219&lt;&gt;"",XLOOKUP(C219,'Service Identity Queue'!A2:A315,'Service Identity Queue'!O2:O315),"" )</x:f>
      </x:c>
      <x:c r="J219" s="6" t="str">
        <x:f>IF(F219&lt;&gt;"",XLOOKUP(C219,'Service Identity Queue'!A2:A315,'Service Identity Queue'!P2:P315),"" )</x:f>
      </x:c>
      <x:c r="K219" s="6" t="str">
        <x:f>IF(F219&lt;&gt;"","Reviewer complete; second-level approval still required","Not eligible yet")</x:f>
        <x:v>Not eligible yet</x:v>
      </x:c>
      <x:c r="L219" s="6" t="str">
        <x:f>IF(P219="Not Eligible","PASS","FAIL")</x:f>
        <x:v>PASS</x:v>
      </x:c>
      <x:c r="M219" s="6" t="str">
        <x:v>Pending</x:v>
      </x:c>
      <x:c r="N219" s="6" t="str"/>
      <x:c r="O219" s="6" t="str"/>
      <x:c r="P219" s="6" t="str">
        <x:v>Not Eligible</x:v>
      </x:c>
      <x:c r="Q219" s="7" t="str"/>
    </x:row>
    <x:row r="220">
      <x:c r="A220" s="6" t="str">
        <x:v>APPR-0219</x:v>
      </x:c>
      <x:c r="B220" s="6" t="str">
        <x:v>Service Identity Queue</x:v>
      </x:c>
      <x:c r="C220" s="6" t="str">
        <x:v>SIDX-0219</x:v>
      </x:c>
      <x:c r="D220" s="6" t="str">
        <x:v>Service</x:v>
      </x:c>
      <x:c r="E220" s="6" t="str">
        <x:v>SVC000219</x:v>
      </x:c>
      <x:c r="F220" s="6" t="str">
        <x:f>IFERROR(IF(XLOOKUP(C220,'Review Sequence'!C2:C1586,'Review Sequence'!J2:J1586)="Reviewer Complete",XLOOKUP(C220,'Service Identity Queue'!A2:A315,'Service Identity Queue'!L2:L315),""),"")</x:f>
      </x:c>
      <x:c r="G220" s="6" t="str"/>
      <x:c r="H220" s="7" t="str">
        <x:f>IF(F220&lt;&gt;"",XLOOKUP(C220,'Service Identity Queue'!A2:A315,'Service Identity Queue'!N2:N315),"" )</x:f>
      </x:c>
      <x:c r="I220" s="6" t="str">
        <x:f>IF(F220&lt;&gt;"",XLOOKUP(C220,'Service Identity Queue'!A2:A315,'Service Identity Queue'!O2:O315),"" )</x:f>
      </x:c>
      <x:c r="J220" s="6" t="str">
        <x:f>IF(F220&lt;&gt;"",XLOOKUP(C220,'Service Identity Queue'!A2:A315,'Service Identity Queue'!P2:P315),"" )</x:f>
      </x:c>
      <x:c r="K220" s="6" t="str">
        <x:f>IF(F220&lt;&gt;"","Reviewer complete; second-level approval still required","Not eligible yet")</x:f>
        <x:v>Not eligible yet</x:v>
      </x:c>
      <x:c r="L220" s="6" t="str">
        <x:f>IF(P220="Not Eligible","PASS","FAIL")</x:f>
        <x:v>PASS</x:v>
      </x:c>
      <x:c r="M220" s="6" t="str">
        <x:v>Pending</x:v>
      </x:c>
      <x:c r="N220" s="6" t="str"/>
      <x:c r="O220" s="6" t="str"/>
      <x:c r="P220" s="6" t="str">
        <x:v>Not Eligible</x:v>
      </x:c>
      <x:c r="Q220" s="7" t="str"/>
    </x:row>
    <x:row r="221">
      <x:c r="A221" s="6" t="str">
        <x:v>APPR-0220</x:v>
      </x:c>
      <x:c r="B221" s="6" t="str">
        <x:v>Service Identity Queue</x:v>
      </x:c>
      <x:c r="C221" s="6" t="str">
        <x:v>SIDX-0220</x:v>
      </x:c>
      <x:c r="D221" s="6" t="str">
        <x:v>Service</x:v>
      </x:c>
      <x:c r="E221" s="6" t="str">
        <x:v>SVC000220</x:v>
      </x:c>
      <x:c r="F221" s="6" t="str">
        <x:f>IFERROR(IF(XLOOKUP(C221,'Review Sequence'!C2:C1586,'Review Sequence'!J2:J1586)="Reviewer Complete",XLOOKUP(C221,'Service Identity Queue'!A2:A315,'Service Identity Queue'!L2:L315),""),"")</x:f>
      </x:c>
      <x:c r="G221" s="6" t="str"/>
      <x:c r="H221" s="7" t="str">
        <x:f>IF(F221&lt;&gt;"",XLOOKUP(C221,'Service Identity Queue'!A2:A315,'Service Identity Queue'!N2:N315),"" )</x:f>
      </x:c>
      <x:c r="I221" s="6" t="str">
        <x:f>IF(F221&lt;&gt;"",XLOOKUP(C221,'Service Identity Queue'!A2:A315,'Service Identity Queue'!O2:O315),"" )</x:f>
      </x:c>
      <x:c r="J221" s="6" t="str">
        <x:f>IF(F221&lt;&gt;"",XLOOKUP(C221,'Service Identity Queue'!A2:A315,'Service Identity Queue'!P2:P315),"" )</x:f>
      </x:c>
      <x:c r="K221" s="6" t="str">
        <x:f>IF(F221&lt;&gt;"","Reviewer complete; second-level approval still required","Not eligible yet")</x:f>
        <x:v>Not eligible yet</x:v>
      </x:c>
      <x:c r="L221" s="6" t="str">
        <x:f>IF(P221="Not Eligible","PASS","FAIL")</x:f>
        <x:v>PASS</x:v>
      </x:c>
      <x:c r="M221" s="6" t="str">
        <x:v>Pending</x:v>
      </x:c>
      <x:c r="N221" s="6" t="str"/>
      <x:c r="O221" s="6" t="str"/>
      <x:c r="P221" s="6" t="str">
        <x:v>Not Eligible</x:v>
      </x:c>
      <x:c r="Q221" s="7" t="str"/>
    </x:row>
    <x:row r="222">
      <x:c r="A222" s="6" t="str">
        <x:v>APPR-0221</x:v>
      </x:c>
      <x:c r="B222" s="6" t="str">
        <x:v>Service Identity Queue</x:v>
      </x:c>
      <x:c r="C222" s="6" t="str">
        <x:v>SIDX-0221</x:v>
      </x:c>
      <x:c r="D222" s="6" t="str">
        <x:v>Service</x:v>
      </x:c>
      <x:c r="E222" s="6" t="str">
        <x:v>SVC000221</x:v>
      </x:c>
      <x:c r="F222" s="6" t="str">
        <x:f>IFERROR(IF(XLOOKUP(C222,'Review Sequence'!C2:C1586,'Review Sequence'!J2:J1586)="Reviewer Complete",XLOOKUP(C222,'Service Identity Queue'!A2:A315,'Service Identity Queue'!L2:L315),""),"")</x:f>
      </x:c>
      <x:c r="G222" s="6" t="str"/>
      <x:c r="H222" s="7" t="str">
        <x:f>IF(F222&lt;&gt;"",XLOOKUP(C222,'Service Identity Queue'!A2:A315,'Service Identity Queue'!N2:N315),"" )</x:f>
      </x:c>
      <x:c r="I222" s="6" t="str">
        <x:f>IF(F222&lt;&gt;"",XLOOKUP(C222,'Service Identity Queue'!A2:A315,'Service Identity Queue'!O2:O315),"" )</x:f>
      </x:c>
      <x:c r="J222" s="6" t="str">
        <x:f>IF(F222&lt;&gt;"",XLOOKUP(C222,'Service Identity Queue'!A2:A315,'Service Identity Queue'!P2:P315),"" )</x:f>
      </x:c>
      <x:c r="K222" s="6" t="str">
        <x:f>IF(F222&lt;&gt;"","Reviewer complete; second-level approval still required","Not eligible yet")</x:f>
        <x:v>Not eligible yet</x:v>
      </x:c>
      <x:c r="L222" s="6" t="str">
        <x:f>IF(P222="Not Eligible","PASS","FAIL")</x:f>
        <x:v>PASS</x:v>
      </x:c>
      <x:c r="M222" s="6" t="str">
        <x:v>Pending</x:v>
      </x:c>
      <x:c r="N222" s="6" t="str"/>
      <x:c r="O222" s="6" t="str"/>
      <x:c r="P222" s="6" t="str">
        <x:v>Not Eligible</x:v>
      </x:c>
      <x:c r="Q222" s="7" t="str"/>
    </x:row>
    <x:row r="223">
      <x:c r="A223" s="6" t="str">
        <x:v>APPR-0222</x:v>
      </x:c>
      <x:c r="B223" s="6" t="str">
        <x:v>Service Identity Queue</x:v>
      </x:c>
      <x:c r="C223" s="6" t="str">
        <x:v>SIDX-0222</x:v>
      </x:c>
      <x:c r="D223" s="6" t="str">
        <x:v>Service</x:v>
      </x:c>
      <x:c r="E223" s="6" t="str">
        <x:v>SVC000222</x:v>
      </x:c>
      <x:c r="F223" s="6" t="str">
        <x:f>IFERROR(IF(XLOOKUP(C223,'Review Sequence'!C2:C1586,'Review Sequence'!J2:J1586)="Reviewer Complete",XLOOKUP(C223,'Service Identity Queue'!A2:A315,'Service Identity Queue'!L2:L315),""),"")</x:f>
      </x:c>
      <x:c r="G223" s="6" t="str"/>
      <x:c r="H223" s="7" t="str">
        <x:f>IF(F223&lt;&gt;"",XLOOKUP(C223,'Service Identity Queue'!A2:A315,'Service Identity Queue'!N2:N315),"" )</x:f>
      </x:c>
      <x:c r="I223" s="6" t="str">
        <x:f>IF(F223&lt;&gt;"",XLOOKUP(C223,'Service Identity Queue'!A2:A315,'Service Identity Queue'!O2:O315),"" )</x:f>
      </x:c>
      <x:c r="J223" s="6" t="str">
        <x:f>IF(F223&lt;&gt;"",XLOOKUP(C223,'Service Identity Queue'!A2:A315,'Service Identity Queue'!P2:P315),"" )</x:f>
      </x:c>
      <x:c r="K223" s="6" t="str">
        <x:f>IF(F223&lt;&gt;"","Reviewer complete; second-level approval still required","Not eligible yet")</x:f>
        <x:v>Not eligible yet</x:v>
      </x:c>
      <x:c r="L223" s="6" t="str">
        <x:f>IF(P223="Not Eligible","PASS","FAIL")</x:f>
        <x:v>PASS</x:v>
      </x:c>
      <x:c r="M223" s="6" t="str">
        <x:v>Pending</x:v>
      </x:c>
      <x:c r="N223" s="6" t="str"/>
      <x:c r="O223" s="6" t="str"/>
      <x:c r="P223" s="6" t="str">
        <x:v>Not Eligible</x:v>
      </x:c>
      <x:c r="Q223" s="7" t="str"/>
    </x:row>
    <x:row r="224">
      <x:c r="A224" s="6" t="str">
        <x:v>APPR-0223</x:v>
      </x:c>
      <x:c r="B224" s="6" t="str">
        <x:v>Service Identity Queue</x:v>
      </x:c>
      <x:c r="C224" s="6" t="str">
        <x:v>SIDX-0223</x:v>
      </x:c>
      <x:c r="D224" s="6" t="str">
        <x:v>Service</x:v>
      </x:c>
      <x:c r="E224" s="6" t="str">
        <x:v>SVC000223</x:v>
      </x:c>
      <x:c r="F224" s="6" t="str">
        <x:f>IFERROR(IF(XLOOKUP(C224,'Review Sequence'!C2:C1586,'Review Sequence'!J2:J1586)="Reviewer Complete",XLOOKUP(C224,'Service Identity Queue'!A2:A315,'Service Identity Queue'!L2:L315),""),"")</x:f>
      </x:c>
      <x:c r="G224" s="6" t="str"/>
      <x:c r="H224" s="7" t="str">
        <x:f>IF(F224&lt;&gt;"",XLOOKUP(C224,'Service Identity Queue'!A2:A315,'Service Identity Queue'!N2:N315),"" )</x:f>
      </x:c>
      <x:c r="I224" s="6" t="str">
        <x:f>IF(F224&lt;&gt;"",XLOOKUP(C224,'Service Identity Queue'!A2:A315,'Service Identity Queue'!O2:O315),"" )</x:f>
      </x:c>
      <x:c r="J224" s="6" t="str">
        <x:f>IF(F224&lt;&gt;"",XLOOKUP(C224,'Service Identity Queue'!A2:A315,'Service Identity Queue'!P2:P315),"" )</x:f>
      </x:c>
      <x:c r="K224" s="6" t="str">
        <x:f>IF(F224&lt;&gt;"","Reviewer complete; second-level approval still required","Not eligible yet")</x:f>
        <x:v>Not eligible yet</x:v>
      </x:c>
      <x:c r="L224" s="6" t="str">
        <x:f>IF(P224="Not Eligible","PASS","FAIL")</x:f>
        <x:v>PASS</x:v>
      </x:c>
      <x:c r="M224" s="6" t="str">
        <x:v>Pending</x:v>
      </x:c>
      <x:c r="N224" s="6" t="str"/>
      <x:c r="O224" s="6" t="str"/>
      <x:c r="P224" s="6" t="str">
        <x:v>Not Eligible</x:v>
      </x:c>
      <x:c r="Q224" s="7" t="str"/>
    </x:row>
    <x:row r="225">
      <x:c r="A225" s="6" t="str">
        <x:v>APPR-0224</x:v>
      </x:c>
      <x:c r="B225" s="6" t="str">
        <x:v>Service Identity Queue</x:v>
      </x:c>
      <x:c r="C225" s="6" t="str">
        <x:v>SIDX-0224</x:v>
      </x:c>
      <x:c r="D225" s="6" t="str">
        <x:v>Service</x:v>
      </x:c>
      <x:c r="E225" s="6" t="str">
        <x:v>SVC000224</x:v>
      </x:c>
      <x:c r="F225" s="6" t="str">
        <x:f>IFERROR(IF(XLOOKUP(C225,'Review Sequence'!C2:C1586,'Review Sequence'!J2:J1586)="Reviewer Complete",XLOOKUP(C225,'Service Identity Queue'!A2:A315,'Service Identity Queue'!L2:L315),""),"")</x:f>
      </x:c>
      <x:c r="G225" s="6" t="str"/>
      <x:c r="H225" s="7" t="str">
        <x:f>IF(F225&lt;&gt;"",XLOOKUP(C225,'Service Identity Queue'!A2:A315,'Service Identity Queue'!N2:N315),"" )</x:f>
      </x:c>
      <x:c r="I225" s="6" t="str">
        <x:f>IF(F225&lt;&gt;"",XLOOKUP(C225,'Service Identity Queue'!A2:A315,'Service Identity Queue'!O2:O315),"" )</x:f>
      </x:c>
      <x:c r="J225" s="6" t="str">
        <x:f>IF(F225&lt;&gt;"",XLOOKUP(C225,'Service Identity Queue'!A2:A315,'Service Identity Queue'!P2:P315),"" )</x:f>
      </x:c>
      <x:c r="K225" s="6" t="str">
        <x:f>IF(F225&lt;&gt;"","Reviewer complete; second-level approval still required","Not eligible yet")</x:f>
        <x:v>Not eligible yet</x:v>
      </x:c>
      <x:c r="L225" s="6" t="str">
        <x:f>IF(P225="Not Eligible","PASS","FAIL")</x:f>
        <x:v>PASS</x:v>
      </x:c>
      <x:c r="M225" s="6" t="str">
        <x:v>Pending</x:v>
      </x:c>
      <x:c r="N225" s="6" t="str"/>
      <x:c r="O225" s="6" t="str"/>
      <x:c r="P225" s="6" t="str">
        <x:v>Not Eligible</x:v>
      </x:c>
      <x:c r="Q225" s="7" t="str"/>
    </x:row>
    <x:row r="226">
      <x:c r="A226" s="6" t="str">
        <x:v>APPR-0225</x:v>
      </x:c>
      <x:c r="B226" s="6" t="str">
        <x:v>Service Identity Queue</x:v>
      </x:c>
      <x:c r="C226" s="6" t="str">
        <x:v>SIDX-0225</x:v>
      </x:c>
      <x:c r="D226" s="6" t="str">
        <x:v>Service</x:v>
      </x:c>
      <x:c r="E226" s="6" t="str">
        <x:v>SVC000225</x:v>
      </x:c>
      <x:c r="F226" s="6" t="str">
        <x:f>IFERROR(IF(XLOOKUP(C226,'Review Sequence'!C2:C1586,'Review Sequence'!J2:J1586)="Reviewer Complete",XLOOKUP(C226,'Service Identity Queue'!A2:A315,'Service Identity Queue'!L2:L315),""),"")</x:f>
      </x:c>
      <x:c r="G226" s="6" t="str"/>
      <x:c r="H226" s="7" t="str">
        <x:f>IF(F226&lt;&gt;"",XLOOKUP(C226,'Service Identity Queue'!A2:A315,'Service Identity Queue'!N2:N315),"" )</x:f>
      </x:c>
      <x:c r="I226" s="6" t="str">
        <x:f>IF(F226&lt;&gt;"",XLOOKUP(C226,'Service Identity Queue'!A2:A315,'Service Identity Queue'!O2:O315),"" )</x:f>
      </x:c>
      <x:c r="J226" s="6" t="str">
        <x:f>IF(F226&lt;&gt;"",XLOOKUP(C226,'Service Identity Queue'!A2:A315,'Service Identity Queue'!P2:P315),"" )</x:f>
      </x:c>
      <x:c r="K226" s="6" t="str">
        <x:f>IF(F226&lt;&gt;"","Reviewer complete; second-level approval still required","Not eligible yet")</x:f>
        <x:v>Not eligible yet</x:v>
      </x:c>
      <x:c r="L226" s="6" t="str">
        <x:f>IF(P226="Not Eligible","PASS","FAIL")</x:f>
        <x:v>PASS</x:v>
      </x:c>
      <x:c r="M226" s="6" t="str">
        <x:v>Pending</x:v>
      </x:c>
      <x:c r="N226" s="6" t="str"/>
      <x:c r="O226" s="6" t="str"/>
      <x:c r="P226" s="6" t="str">
        <x:v>Not Eligible</x:v>
      </x:c>
      <x:c r="Q226" s="7" t="str"/>
    </x:row>
    <x:row r="227">
      <x:c r="A227" s="6" t="str">
        <x:v>APPR-0226</x:v>
      </x:c>
      <x:c r="B227" s="6" t="str">
        <x:v>Service Identity Queue</x:v>
      </x:c>
      <x:c r="C227" s="6" t="str">
        <x:v>SIDX-0226</x:v>
      </x:c>
      <x:c r="D227" s="6" t="str">
        <x:v>Service</x:v>
      </x:c>
      <x:c r="E227" s="6" t="str">
        <x:v>SVC000226</x:v>
      </x:c>
      <x:c r="F227" s="6" t="str">
        <x:f>IFERROR(IF(XLOOKUP(C227,'Review Sequence'!C2:C1586,'Review Sequence'!J2:J1586)="Reviewer Complete",XLOOKUP(C227,'Service Identity Queue'!A2:A315,'Service Identity Queue'!L2:L315),""),"")</x:f>
      </x:c>
      <x:c r="G227" s="6" t="str"/>
      <x:c r="H227" s="7" t="str">
        <x:f>IF(F227&lt;&gt;"",XLOOKUP(C227,'Service Identity Queue'!A2:A315,'Service Identity Queue'!N2:N315),"" )</x:f>
      </x:c>
      <x:c r="I227" s="6" t="str">
        <x:f>IF(F227&lt;&gt;"",XLOOKUP(C227,'Service Identity Queue'!A2:A315,'Service Identity Queue'!O2:O315),"" )</x:f>
      </x:c>
      <x:c r="J227" s="6" t="str">
        <x:f>IF(F227&lt;&gt;"",XLOOKUP(C227,'Service Identity Queue'!A2:A315,'Service Identity Queue'!P2:P315),"" )</x:f>
      </x:c>
      <x:c r="K227" s="6" t="str">
        <x:f>IF(F227&lt;&gt;"","Reviewer complete; second-level approval still required","Not eligible yet")</x:f>
        <x:v>Not eligible yet</x:v>
      </x:c>
      <x:c r="L227" s="6" t="str">
        <x:f>IF(P227="Not Eligible","PASS","FAIL")</x:f>
        <x:v>PASS</x:v>
      </x:c>
      <x:c r="M227" s="6" t="str">
        <x:v>Pending</x:v>
      </x:c>
      <x:c r="N227" s="6" t="str"/>
      <x:c r="O227" s="6" t="str"/>
      <x:c r="P227" s="6" t="str">
        <x:v>Not Eligible</x:v>
      </x:c>
      <x:c r="Q227" s="7" t="str"/>
    </x:row>
    <x:row r="228">
      <x:c r="A228" s="6" t="str">
        <x:v>APPR-0227</x:v>
      </x:c>
      <x:c r="B228" s="6" t="str">
        <x:v>Service Identity Queue</x:v>
      </x:c>
      <x:c r="C228" s="6" t="str">
        <x:v>SIDX-0227</x:v>
      </x:c>
      <x:c r="D228" s="6" t="str">
        <x:v>Service</x:v>
      </x:c>
      <x:c r="E228" s="6" t="str">
        <x:v>SVC000227</x:v>
      </x:c>
      <x:c r="F228" s="6" t="str">
        <x:f>IFERROR(IF(XLOOKUP(C228,'Review Sequence'!C2:C1586,'Review Sequence'!J2:J1586)="Reviewer Complete",XLOOKUP(C228,'Service Identity Queue'!A2:A315,'Service Identity Queue'!L2:L315),""),"")</x:f>
      </x:c>
      <x:c r="G228" s="6" t="str"/>
      <x:c r="H228" s="7" t="str">
        <x:f>IF(F228&lt;&gt;"",XLOOKUP(C228,'Service Identity Queue'!A2:A315,'Service Identity Queue'!N2:N315),"" )</x:f>
      </x:c>
      <x:c r="I228" s="6" t="str">
        <x:f>IF(F228&lt;&gt;"",XLOOKUP(C228,'Service Identity Queue'!A2:A315,'Service Identity Queue'!O2:O315),"" )</x:f>
      </x:c>
      <x:c r="J228" s="6" t="str">
        <x:f>IF(F228&lt;&gt;"",XLOOKUP(C228,'Service Identity Queue'!A2:A315,'Service Identity Queue'!P2:P315),"" )</x:f>
      </x:c>
      <x:c r="K228" s="6" t="str">
        <x:f>IF(F228&lt;&gt;"","Reviewer complete; second-level approval still required","Not eligible yet")</x:f>
        <x:v>Not eligible yet</x:v>
      </x:c>
      <x:c r="L228" s="6" t="str">
        <x:f>IF(P228="Not Eligible","PASS","FAIL")</x:f>
        <x:v>PASS</x:v>
      </x:c>
      <x:c r="M228" s="6" t="str">
        <x:v>Pending</x:v>
      </x:c>
      <x:c r="N228" s="6" t="str"/>
      <x:c r="O228" s="6" t="str"/>
      <x:c r="P228" s="6" t="str">
        <x:v>Not Eligible</x:v>
      </x:c>
      <x:c r="Q228" s="7" t="str"/>
    </x:row>
    <x:row r="229">
      <x:c r="A229" s="6" t="str">
        <x:v>APPR-0228</x:v>
      </x:c>
      <x:c r="B229" s="6" t="str">
        <x:v>Service Identity Queue</x:v>
      </x:c>
      <x:c r="C229" s="6" t="str">
        <x:v>SIDX-0228</x:v>
      </x:c>
      <x:c r="D229" s="6" t="str">
        <x:v>Service</x:v>
      </x:c>
      <x:c r="E229" s="6" t="str">
        <x:v>SVC000228</x:v>
      </x:c>
      <x:c r="F229" s="6" t="str">
        <x:f>IFERROR(IF(XLOOKUP(C229,'Review Sequence'!C2:C1586,'Review Sequence'!J2:J1586)="Reviewer Complete",XLOOKUP(C229,'Service Identity Queue'!A2:A315,'Service Identity Queue'!L2:L315),""),"")</x:f>
      </x:c>
      <x:c r="G229" s="6" t="str"/>
      <x:c r="H229" s="7" t="str">
        <x:f>IF(F229&lt;&gt;"",XLOOKUP(C229,'Service Identity Queue'!A2:A315,'Service Identity Queue'!N2:N315),"" )</x:f>
      </x:c>
      <x:c r="I229" s="6" t="str">
        <x:f>IF(F229&lt;&gt;"",XLOOKUP(C229,'Service Identity Queue'!A2:A315,'Service Identity Queue'!O2:O315),"" )</x:f>
      </x:c>
      <x:c r="J229" s="6" t="str">
        <x:f>IF(F229&lt;&gt;"",XLOOKUP(C229,'Service Identity Queue'!A2:A315,'Service Identity Queue'!P2:P315),"" )</x:f>
      </x:c>
      <x:c r="K229" s="6" t="str">
        <x:f>IF(F229&lt;&gt;"","Reviewer complete; second-level approval still required","Not eligible yet")</x:f>
        <x:v>Not eligible yet</x:v>
      </x:c>
      <x:c r="L229" s="6" t="str">
        <x:f>IF(P229="Not Eligible","PASS","FAIL")</x:f>
        <x:v>PASS</x:v>
      </x:c>
      <x:c r="M229" s="6" t="str">
        <x:v>Pending</x:v>
      </x:c>
      <x:c r="N229" s="6" t="str"/>
      <x:c r="O229" s="6" t="str"/>
      <x:c r="P229" s="6" t="str">
        <x:v>Not Eligible</x:v>
      </x:c>
      <x:c r="Q229" s="7" t="str"/>
    </x:row>
    <x:row r="230">
      <x:c r="A230" s="6" t="str">
        <x:v>APPR-0229</x:v>
      </x:c>
      <x:c r="B230" s="6" t="str">
        <x:v>Service Identity Queue</x:v>
      </x:c>
      <x:c r="C230" s="6" t="str">
        <x:v>SIDX-0229</x:v>
      </x:c>
      <x:c r="D230" s="6" t="str">
        <x:v>Service</x:v>
      </x:c>
      <x:c r="E230" s="6" t="str">
        <x:v>SVC000229</x:v>
      </x:c>
      <x:c r="F230" s="6" t="str">
        <x:f>IFERROR(IF(XLOOKUP(C230,'Review Sequence'!C2:C1586,'Review Sequence'!J2:J1586)="Reviewer Complete",XLOOKUP(C230,'Service Identity Queue'!A2:A315,'Service Identity Queue'!L2:L315),""),"")</x:f>
      </x:c>
      <x:c r="G230" s="6" t="str"/>
      <x:c r="H230" s="7" t="str">
        <x:f>IF(F230&lt;&gt;"",XLOOKUP(C230,'Service Identity Queue'!A2:A315,'Service Identity Queue'!N2:N315),"" )</x:f>
      </x:c>
      <x:c r="I230" s="6" t="str">
        <x:f>IF(F230&lt;&gt;"",XLOOKUP(C230,'Service Identity Queue'!A2:A315,'Service Identity Queue'!O2:O315),"" )</x:f>
      </x:c>
      <x:c r="J230" s="6" t="str">
        <x:f>IF(F230&lt;&gt;"",XLOOKUP(C230,'Service Identity Queue'!A2:A315,'Service Identity Queue'!P2:P315),"" )</x:f>
      </x:c>
      <x:c r="K230" s="6" t="str">
        <x:f>IF(F230&lt;&gt;"","Reviewer complete; second-level approval still required","Not eligible yet")</x:f>
        <x:v>Not eligible yet</x:v>
      </x:c>
      <x:c r="L230" s="6" t="str">
        <x:f>IF(P230="Not Eligible","PASS","FAIL")</x:f>
        <x:v>PASS</x:v>
      </x:c>
      <x:c r="M230" s="6" t="str">
        <x:v>Pending</x:v>
      </x:c>
      <x:c r="N230" s="6" t="str"/>
      <x:c r="O230" s="6" t="str"/>
      <x:c r="P230" s="6" t="str">
        <x:v>Not Eligible</x:v>
      </x:c>
      <x:c r="Q230" s="7" t="str"/>
    </x:row>
    <x:row r="231">
      <x:c r="A231" s="6" t="str">
        <x:v>APPR-0230</x:v>
      </x:c>
      <x:c r="B231" s="6" t="str">
        <x:v>Service Identity Queue</x:v>
      </x:c>
      <x:c r="C231" s="6" t="str">
        <x:v>SIDX-0230</x:v>
      </x:c>
      <x:c r="D231" s="6" t="str">
        <x:v>Service</x:v>
      </x:c>
      <x:c r="E231" s="6" t="str">
        <x:v>SVC000230</x:v>
      </x:c>
      <x:c r="F231" s="6" t="str">
        <x:f>IFERROR(IF(XLOOKUP(C231,'Review Sequence'!C2:C1586,'Review Sequence'!J2:J1586)="Reviewer Complete",XLOOKUP(C231,'Service Identity Queue'!A2:A315,'Service Identity Queue'!L2:L315),""),"")</x:f>
      </x:c>
      <x:c r="G231" s="6" t="str"/>
      <x:c r="H231" s="7" t="str">
        <x:f>IF(F231&lt;&gt;"",XLOOKUP(C231,'Service Identity Queue'!A2:A315,'Service Identity Queue'!N2:N315),"" )</x:f>
      </x:c>
      <x:c r="I231" s="6" t="str">
        <x:f>IF(F231&lt;&gt;"",XLOOKUP(C231,'Service Identity Queue'!A2:A315,'Service Identity Queue'!O2:O315),"" )</x:f>
      </x:c>
      <x:c r="J231" s="6" t="str">
        <x:f>IF(F231&lt;&gt;"",XLOOKUP(C231,'Service Identity Queue'!A2:A315,'Service Identity Queue'!P2:P315),"" )</x:f>
      </x:c>
      <x:c r="K231" s="6" t="str">
        <x:f>IF(F231&lt;&gt;"","Reviewer complete; second-level approval still required","Not eligible yet")</x:f>
        <x:v>Not eligible yet</x:v>
      </x:c>
      <x:c r="L231" s="6" t="str">
        <x:f>IF(P231="Not Eligible","PASS","FAIL")</x:f>
        <x:v>PASS</x:v>
      </x:c>
      <x:c r="M231" s="6" t="str">
        <x:v>Pending</x:v>
      </x:c>
      <x:c r="N231" s="6" t="str"/>
      <x:c r="O231" s="6" t="str"/>
      <x:c r="P231" s="6" t="str">
        <x:v>Not Eligible</x:v>
      </x:c>
      <x:c r="Q231" s="7" t="str"/>
    </x:row>
    <x:row r="232">
      <x:c r="A232" s="6" t="str">
        <x:v>APPR-0231</x:v>
      </x:c>
      <x:c r="B232" s="6" t="str">
        <x:v>Service Identity Queue</x:v>
      </x:c>
      <x:c r="C232" s="6" t="str">
        <x:v>SIDX-0231</x:v>
      </x:c>
      <x:c r="D232" s="6" t="str">
        <x:v>Service</x:v>
      </x:c>
      <x:c r="E232" s="6" t="str">
        <x:v>SVC000231</x:v>
      </x:c>
      <x:c r="F232" s="6" t="str">
        <x:f>IFERROR(IF(XLOOKUP(C232,'Review Sequence'!C2:C1586,'Review Sequence'!J2:J1586)="Reviewer Complete",XLOOKUP(C232,'Service Identity Queue'!A2:A315,'Service Identity Queue'!L2:L315),""),"")</x:f>
      </x:c>
      <x:c r="G232" s="6" t="str"/>
      <x:c r="H232" s="7" t="str">
        <x:f>IF(F232&lt;&gt;"",XLOOKUP(C232,'Service Identity Queue'!A2:A315,'Service Identity Queue'!N2:N315),"" )</x:f>
      </x:c>
      <x:c r="I232" s="6" t="str">
        <x:f>IF(F232&lt;&gt;"",XLOOKUP(C232,'Service Identity Queue'!A2:A315,'Service Identity Queue'!O2:O315),"" )</x:f>
      </x:c>
      <x:c r="J232" s="6" t="str">
        <x:f>IF(F232&lt;&gt;"",XLOOKUP(C232,'Service Identity Queue'!A2:A315,'Service Identity Queue'!P2:P315),"" )</x:f>
      </x:c>
      <x:c r="K232" s="6" t="str">
        <x:f>IF(F232&lt;&gt;"","Reviewer complete; second-level approval still required","Not eligible yet")</x:f>
        <x:v>Not eligible yet</x:v>
      </x:c>
      <x:c r="L232" s="6" t="str">
        <x:f>IF(P232="Not Eligible","PASS","FAIL")</x:f>
        <x:v>PASS</x:v>
      </x:c>
      <x:c r="M232" s="6" t="str">
        <x:v>Pending</x:v>
      </x:c>
      <x:c r="N232" s="6" t="str"/>
      <x:c r="O232" s="6" t="str"/>
      <x:c r="P232" s="6" t="str">
        <x:v>Not Eligible</x:v>
      </x:c>
      <x:c r="Q232" s="7" t="str"/>
    </x:row>
    <x:row r="233">
      <x:c r="A233" s="6" t="str">
        <x:v>APPR-0232</x:v>
      </x:c>
      <x:c r="B233" s="6" t="str">
        <x:v>Service Identity Queue</x:v>
      </x:c>
      <x:c r="C233" s="6" t="str">
        <x:v>SIDX-0232</x:v>
      </x:c>
      <x:c r="D233" s="6" t="str">
        <x:v>Service</x:v>
      </x:c>
      <x:c r="E233" s="6" t="str">
        <x:v>SVC000232</x:v>
      </x:c>
      <x:c r="F233" s="6" t="str">
        <x:f>IFERROR(IF(XLOOKUP(C233,'Review Sequence'!C2:C1586,'Review Sequence'!J2:J1586)="Reviewer Complete",XLOOKUP(C233,'Service Identity Queue'!A2:A315,'Service Identity Queue'!L2:L315),""),"")</x:f>
      </x:c>
      <x:c r="G233" s="6" t="str"/>
      <x:c r="H233" s="7" t="str">
        <x:f>IF(F233&lt;&gt;"",XLOOKUP(C233,'Service Identity Queue'!A2:A315,'Service Identity Queue'!N2:N315),"" )</x:f>
      </x:c>
      <x:c r="I233" s="6" t="str">
        <x:f>IF(F233&lt;&gt;"",XLOOKUP(C233,'Service Identity Queue'!A2:A315,'Service Identity Queue'!O2:O315),"" )</x:f>
      </x:c>
      <x:c r="J233" s="6" t="str">
        <x:f>IF(F233&lt;&gt;"",XLOOKUP(C233,'Service Identity Queue'!A2:A315,'Service Identity Queue'!P2:P315),"" )</x:f>
      </x:c>
      <x:c r="K233" s="6" t="str">
        <x:f>IF(F233&lt;&gt;"","Reviewer complete; second-level approval still required","Not eligible yet")</x:f>
        <x:v>Not eligible yet</x:v>
      </x:c>
      <x:c r="L233" s="6" t="str">
        <x:f>IF(P233="Not Eligible","PASS","FAIL")</x:f>
        <x:v>PASS</x:v>
      </x:c>
      <x:c r="M233" s="6" t="str">
        <x:v>Pending</x:v>
      </x:c>
      <x:c r="N233" s="6" t="str"/>
      <x:c r="O233" s="6" t="str"/>
      <x:c r="P233" s="6" t="str">
        <x:v>Not Eligible</x:v>
      </x:c>
      <x:c r="Q233" s="7" t="str"/>
    </x:row>
    <x:row r="234">
      <x:c r="A234" s="6" t="str">
        <x:v>APPR-0233</x:v>
      </x:c>
      <x:c r="B234" s="6" t="str">
        <x:v>Service Identity Queue</x:v>
      </x:c>
      <x:c r="C234" s="6" t="str">
        <x:v>SIDX-0233</x:v>
      </x:c>
      <x:c r="D234" s="6" t="str">
        <x:v>Service</x:v>
      </x:c>
      <x:c r="E234" s="6" t="str">
        <x:v>SVC000233</x:v>
      </x:c>
      <x:c r="F234" s="6" t="str">
        <x:f>IFERROR(IF(XLOOKUP(C234,'Review Sequence'!C2:C1586,'Review Sequence'!J2:J1586)="Reviewer Complete",XLOOKUP(C234,'Service Identity Queue'!A2:A315,'Service Identity Queue'!L2:L315),""),"")</x:f>
      </x:c>
      <x:c r="G234" s="6" t="str"/>
      <x:c r="H234" s="7" t="str">
        <x:f>IF(F234&lt;&gt;"",XLOOKUP(C234,'Service Identity Queue'!A2:A315,'Service Identity Queue'!N2:N315),"" )</x:f>
      </x:c>
      <x:c r="I234" s="6" t="str">
        <x:f>IF(F234&lt;&gt;"",XLOOKUP(C234,'Service Identity Queue'!A2:A315,'Service Identity Queue'!O2:O315),"" )</x:f>
      </x:c>
      <x:c r="J234" s="6" t="str">
        <x:f>IF(F234&lt;&gt;"",XLOOKUP(C234,'Service Identity Queue'!A2:A315,'Service Identity Queue'!P2:P315),"" )</x:f>
      </x:c>
      <x:c r="K234" s="6" t="str">
        <x:f>IF(F234&lt;&gt;"","Reviewer complete; second-level approval still required","Not eligible yet")</x:f>
        <x:v>Not eligible yet</x:v>
      </x:c>
      <x:c r="L234" s="6" t="str">
        <x:f>IF(P234="Not Eligible","PASS","FAIL")</x:f>
        <x:v>PASS</x:v>
      </x:c>
      <x:c r="M234" s="6" t="str">
        <x:v>Pending</x:v>
      </x:c>
      <x:c r="N234" s="6" t="str"/>
      <x:c r="O234" s="6" t="str"/>
      <x:c r="P234" s="6" t="str">
        <x:v>Not Eligible</x:v>
      </x:c>
      <x:c r="Q234" s="7" t="str"/>
    </x:row>
    <x:row r="235">
      <x:c r="A235" s="6" t="str">
        <x:v>APPR-0234</x:v>
      </x:c>
      <x:c r="B235" s="6" t="str">
        <x:v>Service Identity Queue</x:v>
      </x:c>
      <x:c r="C235" s="6" t="str">
        <x:v>SIDX-0234</x:v>
      </x:c>
      <x:c r="D235" s="6" t="str">
        <x:v>Service</x:v>
      </x:c>
      <x:c r="E235" s="6" t="str">
        <x:v>SVC000234</x:v>
      </x:c>
      <x:c r="F235" s="6" t="str">
        <x:f>IFERROR(IF(XLOOKUP(C235,'Review Sequence'!C2:C1586,'Review Sequence'!J2:J1586)="Reviewer Complete",XLOOKUP(C235,'Service Identity Queue'!A2:A315,'Service Identity Queue'!L2:L315),""),"")</x:f>
      </x:c>
      <x:c r="G235" s="6" t="str"/>
      <x:c r="H235" s="7" t="str">
        <x:f>IF(F235&lt;&gt;"",XLOOKUP(C235,'Service Identity Queue'!A2:A315,'Service Identity Queue'!N2:N315),"" )</x:f>
      </x:c>
      <x:c r="I235" s="6" t="str">
        <x:f>IF(F235&lt;&gt;"",XLOOKUP(C235,'Service Identity Queue'!A2:A315,'Service Identity Queue'!O2:O315),"" )</x:f>
      </x:c>
      <x:c r="J235" s="6" t="str">
        <x:f>IF(F235&lt;&gt;"",XLOOKUP(C235,'Service Identity Queue'!A2:A315,'Service Identity Queue'!P2:P315),"" )</x:f>
      </x:c>
      <x:c r="K235" s="6" t="str">
        <x:f>IF(F235&lt;&gt;"","Reviewer complete; second-level approval still required","Not eligible yet")</x:f>
        <x:v>Not eligible yet</x:v>
      </x:c>
      <x:c r="L235" s="6" t="str">
        <x:f>IF(P235="Not Eligible","PASS","FAIL")</x:f>
        <x:v>PASS</x:v>
      </x:c>
      <x:c r="M235" s="6" t="str">
        <x:v>Pending</x:v>
      </x:c>
      <x:c r="N235" s="6" t="str"/>
      <x:c r="O235" s="6" t="str"/>
      <x:c r="P235" s="6" t="str">
        <x:v>Not Eligible</x:v>
      </x:c>
      <x:c r="Q235" s="7" t="str"/>
    </x:row>
    <x:row r="236">
      <x:c r="A236" s="6" t="str">
        <x:v>APPR-0235</x:v>
      </x:c>
      <x:c r="B236" s="6" t="str">
        <x:v>Service Identity Queue</x:v>
      </x:c>
      <x:c r="C236" s="6" t="str">
        <x:v>SIDX-0235</x:v>
      </x:c>
      <x:c r="D236" s="6" t="str">
        <x:v>Service</x:v>
      </x:c>
      <x:c r="E236" s="6" t="str">
        <x:v>SVC000235</x:v>
      </x:c>
      <x:c r="F236" s="6" t="str">
        <x:f>IFERROR(IF(XLOOKUP(C236,'Review Sequence'!C2:C1586,'Review Sequence'!J2:J1586)="Reviewer Complete",XLOOKUP(C236,'Service Identity Queue'!A2:A315,'Service Identity Queue'!L2:L315),""),"")</x:f>
      </x:c>
      <x:c r="G236" s="6" t="str"/>
      <x:c r="H236" s="7" t="str">
        <x:f>IF(F236&lt;&gt;"",XLOOKUP(C236,'Service Identity Queue'!A2:A315,'Service Identity Queue'!N2:N315),"" )</x:f>
      </x:c>
      <x:c r="I236" s="6" t="str">
        <x:f>IF(F236&lt;&gt;"",XLOOKUP(C236,'Service Identity Queue'!A2:A315,'Service Identity Queue'!O2:O315),"" )</x:f>
      </x:c>
      <x:c r="J236" s="6" t="str">
        <x:f>IF(F236&lt;&gt;"",XLOOKUP(C236,'Service Identity Queue'!A2:A315,'Service Identity Queue'!P2:P315),"" )</x:f>
      </x:c>
      <x:c r="K236" s="6" t="str">
        <x:f>IF(F236&lt;&gt;"","Reviewer complete; second-level approval still required","Not eligible yet")</x:f>
        <x:v>Not eligible yet</x:v>
      </x:c>
      <x:c r="L236" s="6" t="str">
        <x:f>IF(P236="Not Eligible","PASS","FAIL")</x:f>
        <x:v>PASS</x:v>
      </x:c>
      <x:c r="M236" s="6" t="str">
        <x:v>Pending</x:v>
      </x:c>
      <x:c r="N236" s="6" t="str"/>
      <x:c r="O236" s="6" t="str"/>
      <x:c r="P236" s="6" t="str">
        <x:v>Not Eligible</x:v>
      </x:c>
      <x:c r="Q236" s="7" t="str"/>
    </x:row>
    <x:row r="237">
      <x:c r="A237" s="6" t="str">
        <x:v>APPR-0236</x:v>
      </x:c>
      <x:c r="B237" s="6" t="str">
        <x:v>Service Identity Queue</x:v>
      </x:c>
      <x:c r="C237" s="6" t="str">
        <x:v>SIDX-0236</x:v>
      </x:c>
      <x:c r="D237" s="6" t="str">
        <x:v>Service</x:v>
      </x:c>
      <x:c r="E237" s="6" t="str">
        <x:v>SVC000236</x:v>
      </x:c>
      <x:c r="F237" s="6" t="str">
        <x:f>IFERROR(IF(XLOOKUP(C237,'Review Sequence'!C2:C1586,'Review Sequence'!J2:J1586)="Reviewer Complete",XLOOKUP(C237,'Service Identity Queue'!A2:A315,'Service Identity Queue'!L2:L315),""),"")</x:f>
      </x:c>
      <x:c r="G237" s="6" t="str"/>
      <x:c r="H237" s="7" t="str">
        <x:f>IF(F237&lt;&gt;"",XLOOKUP(C237,'Service Identity Queue'!A2:A315,'Service Identity Queue'!N2:N315),"" )</x:f>
      </x:c>
      <x:c r="I237" s="6" t="str">
        <x:f>IF(F237&lt;&gt;"",XLOOKUP(C237,'Service Identity Queue'!A2:A315,'Service Identity Queue'!O2:O315),"" )</x:f>
      </x:c>
      <x:c r="J237" s="6" t="str">
        <x:f>IF(F237&lt;&gt;"",XLOOKUP(C237,'Service Identity Queue'!A2:A315,'Service Identity Queue'!P2:P315),"" )</x:f>
      </x:c>
      <x:c r="K237" s="6" t="str">
        <x:f>IF(F237&lt;&gt;"","Reviewer complete; second-level approval still required","Not eligible yet")</x:f>
        <x:v>Not eligible yet</x:v>
      </x:c>
      <x:c r="L237" s="6" t="str">
        <x:f>IF(P237="Not Eligible","PASS","FAIL")</x:f>
        <x:v>PASS</x:v>
      </x:c>
      <x:c r="M237" s="6" t="str">
        <x:v>Pending</x:v>
      </x:c>
      <x:c r="N237" s="6" t="str"/>
      <x:c r="O237" s="6" t="str"/>
      <x:c r="P237" s="6" t="str">
        <x:v>Not Eligible</x:v>
      </x:c>
      <x:c r="Q237" s="7" t="str"/>
    </x:row>
    <x:row r="238">
      <x:c r="A238" s="6" t="str">
        <x:v>APPR-0237</x:v>
      </x:c>
      <x:c r="B238" s="6" t="str">
        <x:v>Service Identity Queue</x:v>
      </x:c>
      <x:c r="C238" s="6" t="str">
        <x:v>SIDX-0237</x:v>
      </x:c>
      <x:c r="D238" s="6" t="str">
        <x:v>Service</x:v>
      </x:c>
      <x:c r="E238" s="6" t="str">
        <x:v>SVC000237</x:v>
      </x:c>
      <x:c r="F238" s="6" t="str">
        <x:f>IFERROR(IF(XLOOKUP(C238,'Review Sequence'!C2:C1586,'Review Sequence'!J2:J1586)="Reviewer Complete",XLOOKUP(C238,'Service Identity Queue'!A2:A315,'Service Identity Queue'!L2:L315),""),"")</x:f>
      </x:c>
      <x:c r="G238" s="6" t="str"/>
      <x:c r="H238" s="7" t="str">
        <x:f>IF(F238&lt;&gt;"",XLOOKUP(C238,'Service Identity Queue'!A2:A315,'Service Identity Queue'!N2:N315),"" )</x:f>
      </x:c>
      <x:c r="I238" s="6" t="str">
        <x:f>IF(F238&lt;&gt;"",XLOOKUP(C238,'Service Identity Queue'!A2:A315,'Service Identity Queue'!O2:O315),"" )</x:f>
      </x:c>
      <x:c r="J238" s="6" t="str">
        <x:f>IF(F238&lt;&gt;"",XLOOKUP(C238,'Service Identity Queue'!A2:A315,'Service Identity Queue'!P2:P315),"" )</x:f>
      </x:c>
      <x:c r="K238" s="6" t="str">
        <x:f>IF(F238&lt;&gt;"","Reviewer complete; second-level approval still required","Not eligible yet")</x:f>
        <x:v>Not eligible yet</x:v>
      </x:c>
      <x:c r="L238" s="6" t="str">
        <x:f>IF(P238="Not Eligible","PASS","FAIL")</x:f>
        <x:v>PASS</x:v>
      </x:c>
      <x:c r="M238" s="6" t="str">
        <x:v>Pending</x:v>
      </x:c>
      <x:c r="N238" s="6" t="str"/>
      <x:c r="O238" s="6" t="str"/>
      <x:c r="P238" s="6" t="str">
        <x:v>Not Eligible</x:v>
      </x:c>
      <x:c r="Q238" s="7" t="str"/>
    </x:row>
    <x:row r="239">
      <x:c r="A239" s="6" t="str">
        <x:v>APPR-0238</x:v>
      </x:c>
      <x:c r="B239" s="6" t="str">
        <x:v>Service Identity Queue</x:v>
      </x:c>
      <x:c r="C239" s="6" t="str">
        <x:v>SIDX-0238</x:v>
      </x:c>
      <x:c r="D239" s="6" t="str">
        <x:v>Service</x:v>
      </x:c>
      <x:c r="E239" s="6" t="str">
        <x:v>SVC000238</x:v>
      </x:c>
      <x:c r="F239" s="6" t="str">
        <x:f>IFERROR(IF(XLOOKUP(C239,'Review Sequence'!C2:C1586,'Review Sequence'!J2:J1586)="Reviewer Complete",XLOOKUP(C239,'Service Identity Queue'!A2:A315,'Service Identity Queue'!L2:L315),""),"")</x:f>
      </x:c>
      <x:c r="G239" s="6" t="str"/>
      <x:c r="H239" s="7" t="str">
        <x:f>IF(F239&lt;&gt;"",XLOOKUP(C239,'Service Identity Queue'!A2:A315,'Service Identity Queue'!N2:N315),"" )</x:f>
      </x:c>
      <x:c r="I239" s="6" t="str">
        <x:f>IF(F239&lt;&gt;"",XLOOKUP(C239,'Service Identity Queue'!A2:A315,'Service Identity Queue'!O2:O315),"" )</x:f>
      </x:c>
      <x:c r="J239" s="6" t="str">
        <x:f>IF(F239&lt;&gt;"",XLOOKUP(C239,'Service Identity Queue'!A2:A315,'Service Identity Queue'!P2:P315),"" )</x:f>
      </x:c>
      <x:c r="K239" s="6" t="str">
        <x:f>IF(F239&lt;&gt;"","Reviewer complete; second-level approval still required","Not eligible yet")</x:f>
        <x:v>Not eligible yet</x:v>
      </x:c>
      <x:c r="L239" s="6" t="str">
        <x:f>IF(P239="Not Eligible","PASS","FAIL")</x:f>
        <x:v>PASS</x:v>
      </x:c>
      <x:c r="M239" s="6" t="str">
        <x:v>Pending</x:v>
      </x:c>
      <x:c r="N239" s="6" t="str"/>
      <x:c r="O239" s="6" t="str"/>
      <x:c r="P239" s="6" t="str">
        <x:v>Not Eligible</x:v>
      </x:c>
      <x:c r="Q239" s="7" t="str"/>
    </x:row>
    <x:row r="240">
      <x:c r="A240" s="6" t="str">
        <x:v>APPR-0239</x:v>
      </x:c>
      <x:c r="B240" s="6" t="str">
        <x:v>Service Identity Queue</x:v>
      </x:c>
      <x:c r="C240" s="6" t="str">
        <x:v>SIDX-0239</x:v>
      </x:c>
      <x:c r="D240" s="6" t="str">
        <x:v>Service</x:v>
      </x:c>
      <x:c r="E240" s="6" t="str">
        <x:v>SVC000239</x:v>
      </x:c>
      <x:c r="F240" s="6" t="str">
        <x:f>IFERROR(IF(XLOOKUP(C240,'Review Sequence'!C2:C1586,'Review Sequence'!J2:J1586)="Reviewer Complete",XLOOKUP(C240,'Service Identity Queue'!A2:A315,'Service Identity Queue'!L2:L315),""),"")</x:f>
      </x:c>
      <x:c r="G240" s="6" t="str"/>
      <x:c r="H240" s="7" t="str">
        <x:f>IF(F240&lt;&gt;"",XLOOKUP(C240,'Service Identity Queue'!A2:A315,'Service Identity Queue'!N2:N315),"" )</x:f>
      </x:c>
      <x:c r="I240" s="6" t="str">
        <x:f>IF(F240&lt;&gt;"",XLOOKUP(C240,'Service Identity Queue'!A2:A315,'Service Identity Queue'!O2:O315),"" )</x:f>
      </x:c>
      <x:c r="J240" s="6" t="str">
        <x:f>IF(F240&lt;&gt;"",XLOOKUP(C240,'Service Identity Queue'!A2:A315,'Service Identity Queue'!P2:P315),"" )</x:f>
      </x:c>
      <x:c r="K240" s="6" t="str">
        <x:f>IF(F240&lt;&gt;"","Reviewer complete; second-level approval still required","Not eligible yet")</x:f>
        <x:v>Not eligible yet</x:v>
      </x:c>
      <x:c r="L240" s="6" t="str">
        <x:f>IF(P240="Not Eligible","PASS","FAIL")</x:f>
        <x:v>PASS</x:v>
      </x:c>
      <x:c r="M240" s="6" t="str">
        <x:v>Pending</x:v>
      </x:c>
      <x:c r="N240" s="6" t="str"/>
      <x:c r="O240" s="6" t="str"/>
      <x:c r="P240" s="6" t="str">
        <x:v>Not Eligible</x:v>
      </x:c>
      <x:c r="Q240" s="7" t="str"/>
    </x:row>
    <x:row r="241">
      <x:c r="A241" s="6" t="str">
        <x:v>APPR-0240</x:v>
      </x:c>
      <x:c r="B241" s="6" t="str">
        <x:v>Service Identity Queue</x:v>
      </x:c>
      <x:c r="C241" s="6" t="str">
        <x:v>SIDX-0240</x:v>
      </x:c>
      <x:c r="D241" s="6" t="str">
        <x:v>Service</x:v>
      </x:c>
      <x:c r="E241" s="6" t="str">
        <x:v>SVC000240</x:v>
      </x:c>
      <x:c r="F241" s="6" t="str">
        <x:f>IFERROR(IF(XLOOKUP(C241,'Review Sequence'!C2:C1586,'Review Sequence'!J2:J1586)="Reviewer Complete",XLOOKUP(C241,'Service Identity Queue'!A2:A315,'Service Identity Queue'!L2:L315),""),"")</x:f>
      </x:c>
      <x:c r="G241" s="6" t="str"/>
      <x:c r="H241" s="7" t="str">
        <x:f>IF(F241&lt;&gt;"",XLOOKUP(C241,'Service Identity Queue'!A2:A315,'Service Identity Queue'!N2:N315),"" )</x:f>
      </x:c>
      <x:c r="I241" s="6" t="str">
        <x:f>IF(F241&lt;&gt;"",XLOOKUP(C241,'Service Identity Queue'!A2:A315,'Service Identity Queue'!O2:O315),"" )</x:f>
      </x:c>
      <x:c r="J241" s="6" t="str">
        <x:f>IF(F241&lt;&gt;"",XLOOKUP(C241,'Service Identity Queue'!A2:A315,'Service Identity Queue'!P2:P315),"" )</x:f>
      </x:c>
      <x:c r="K241" s="6" t="str">
        <x:f>IF(F241&lt;&gt;"","Reviewer complete; second-level approval still required","Not eligible yet")</x:f>
        <x:v>Not eligible yet</x:v>
      </x:c>
      <x:c r="L241" s="6" t="str">
        <x:f>IF(P241="Not Eligible","PASS","FAIL")</x:f>
        <x:v>PASS</x:v>
      </x:c>
      <x:c r="M241" s="6" t="str">
        <x:v>Pending</x:v>
      </x:c>
      <x:c r="N241" s="6" t="str"/>
      <x:c r="O241" s="6" t="str"/>
      <x:c r="P241" s="6" t="str">
        <x:v>Not Eligible</x:v>
      </x:c>
      <x:c r="Q241" s="7" t="str"/>
    </x:row>
    <x:row r="242">
      <x:c r="A242" s="6" t="str">
        <x:v>APPR-0241</x:v>
      </x:c>
      <x:c r="B242" s="6" t="str">
        <x:v>Service Identity Queue</x:v>
      </x:c>
      <x:c r="C242" s="6" t="str">
        <x:v>SIDX-0241</x:v>
      </x:c>
      <x:c r="D242" s="6" t="str">
        <x:v>Service</x:v>
      </x:c>
      <x:c r="E242" s="6" t="str">
        <x:v>SVC000241</x:v>
      </x:c>
      <x:c r="F242" s="6" t="str">
        <x:f>IFERROR(IF(XLOOKUP(C242,'Review Sequence'!C2:C1586,'Review Sequence'!J2:J1586)="Reviewer Complete",XLOOKUP(C242,'Service Identity Queue'!A2:A315,'Service Identity Queue'!L2:L315),""),"")</x:f>
      </x:c>
      <x:c r="G242" s="6" t="str"/>
      <x:c r="H242" s="7" t="str">
        <x:f>IF(F242&lt;&gt;"",XLOOKUP(C242,'Service Identity Queue'!A2:A315,'Service Identity Queue'!N2:N315),"" )</x:f>
      </x:c>
      <x:c r="I242" s="6" t="str">
        <x:f>IF(F242&lt;&gt;"",XLOOKUP(C242,'Service Identity Queue'!A2:A315,'Service Identity Queue'!O2:O315),"" )</x:f>
      </x:c>
      <x:c r="J242" s="6" t="str">
        <x:f>IF(F242&lt;&gt;"",XLOOKUP(C242,'Service Identity Queue'!A2:A315,'Service Identity Queue'!P2:P315),"" )</x:f>
      </x:c>
      <x:c r="K242" s="6" t="str">
        <x:f>IF(F242&lt;&gt;"","Reviewer complete; second-level approval still required","Not eligible yet")</x:f>
        <x:v>Not eligible yet</x:v>
      </x:c>
      <x:c r="L242" s="6" t="str">
        <x:f>IF(P242="Not Eligible","PASS","FAIL")</x:f>
        <x:v>PASS</x:v>
      </x:c>
      <x:c r="M242" s="6" t="str">
        <x:v>Pending</x:v>
      </x:c>
      <x:c r="N242" s="6" t="str"/>
      <x:c r="O242" s="6" t="str"/>
      <x:c r="P242" s="6" t="str">
        <x:v>Not Eligible</x:v>
      </x:c>
      <x:c r="Q242" s="7" t="str"/>
    </x:row>
    <x:row r="243">
      <x:c r="A243" s="6" t="str">
        <x:v>APPR-0242</x:v>
      </x:c>
      <x:c r="B243" s="6" t="str">
        <x:v>Service Identity Queue</x:v>
      </x:c>
      <x:c r="C243" s="6" t="str">
        <x:v>SIDX-0242</x:v>
      </x:c>
      <x:c r="D243" s="6" t="str">
        <x:v>Service</x:v>
      </x:c>
      <x:c r="E243" s="6" t="str">
        <x:v>SVC000242</x:v>
      </x:c>
      <x:c r="F243" s="6" t="str">
        <x:f>IFERROR(IF(XLOOKUP(C243,'Review Sequence'!C2:C1586,'Review Sequence'!J2:J1586)="Reviewer Complete",XLOOKUP(C243,'Service Identity Queue'!A2:A315,'Service Identity Queue'!L2:L315),""),"")</x:f>
      </x:c>
      <x:c r="G243" s="6" t="str"/>
      <x:c r="H243" s="7" t="str">
        <x:f>IF(F243&lt;&gt;"",XLOOKUP(C243,'Service Identity Queue'!A2:A315,'Service Identity Queue'!N2:N315),"" )</x:f>
      </x:c>
      <x:c r="I243" s="6" t="str">
        <x:f>IF(F243&lt;&gt;"",XLOOKUP(C243,'Service Identity Queue'!A2:A315,'Service Identity Queue'!O2:O315),"" )</x:f>
      </x:c>
      <x:c r="J243" s="6" t="str">
        <x:f>IF(F243&lt;&gt;"",XLOOKUP(C243,'Service Identity Queue'!A2:A315,'Service Identity Queue'!P2:P315),"" )</x:f>
      </x:c>
      <x:c r="K243" s="6" t="str">
        <x:f>IF(F243&lt;&gt;"","Reviewer complete; second-level approval still required","Not eligible yet")</x:f>
        <x:v>Not eligible yet</x:v>
      </x:c>
      <x:c r="L243" s="6" t="str">
        <x:f>IF(P243="Not Eligible","PASS","FAIL")</x:f>
        <x:v>PASS</x:v>
      </x:c>
      <x:c r="M243" s="6" t="str">
        <x:v>Pending</x:v>
      </x:c>
      <x:c r="N243" s="6" t="str"/>
      <x:c r="O243" s="6" t="str"/>
      <x:c r="P243" s="6" t="str">
        <x:v>Not Eligible</x:v>
      </x:c>
      <x:c r="Q243" s="7" t="str"/>
    </x:row>
    <x:row r="244">
      <x:c r="A244" s="6" t="str">
        <x:v>APPR-0243</x:v>
      </x:c>
      <x:c r="B244" s="6" t="str">
        <x:v>Service Identity Queue</x:v>
      </x:c>
      <x:c r="C244" s="6" t="str">
        <x:v>SIDX-0243</x:v>
      </x:c>
      <x:c r="D244" s="6" t="str">
        <x:v>Service</x:v>
      </x:c>
      <x:c r="E244" s="6" t="str">
        <x:v>SVC000243</x:v>
      </x:c>
      <x:c r="F244" s="6" t="str">
        <x:f>IFERROR(IF(XLOOKUP(C244,'Review Sequence'!C2:C1586,'Review Sequence'!J2:J1586)="Reviewer Complete",XLOOKUP(C244,'Service Identity Queue'!A2:A315,'Service Identity Queue'!L2:L315),""),"")</x:f>
      </x:c>
      <x:c r="G244" s="6" t="str"/>
      <x:c r="H244" s="7" t="str">
        <x:f>IF(F244&lt;&gt;"",XLOOKUP(C244,'Service Identity Queue'!A2:A315,'Service Identity Queue'!N2:N315),"" )</x:f>
      </x:c>
      <x:c r="I244" s="6" t="str">
        <x:f>IF(F244&lt;&gt;"",XLOOKUP(C244,'Service Identity Queue'!A2:A315,'Service Identity Queue'!O2:O315),"" )</x:f>
      </x:c>
      <x:c r="J244" s="6" t="str">
        <x:f>IF(F244&lt;&gt;"",XLOOKUP(C244,'Service Identity Queue'!A2:A315,'Service Identity Queue'!P2:P315),"" )</x:f>
      </x:c>
      <x:c r="K244" s="6" t="str">
        <x:f>IF(F244&lt;&gt;"","Reviewer complete; second-level approval still required","Not eligible yet")</x:f>
        <x:v>Not eligible yet</x:v>
      </x:c>
      <x:c r="L244" s="6" t="str">
        <x:f>IF(P244="Not Eligible","PASS","FAIL")</x:f>
        <x:v>PASS</x:v>
      </x:c>
      <x:c r="M244" s="6" t="str">
        <x:v>Pending</x:v>
      </x:c>
      <x:c r="N244" s="6" t="str"/>
      <x:c r="O244" s="6" t="str"/>
      <x:c r="P244" s="6" t="str">
        <x:v>Not Eligible</x:v>
      </x:c>
      <x:c r="Q244" s="7" t="str"/>
    </x:row>
    <x:row r="245">
      <x:c r="A245" s="6" t="str">
        <x:v>APPR-0244</x:v>
      </x:c>
      <x:c r="B245" s="6" t="str">
        <x:v>Service Identity Queue</x:v>
      </x:c>
      <x:c r="C245" s="6" t="str">
        <x:v>SIDX-0244</x:v>
      </x:c>
      <x:c r="D245" s="6" t="str">
        <x:v>Service</x:v>
      </x:c>
      <x:c r="E245" s="6" t="str">
        <x:v>SVC000244</x:v>
      </x:c>
      <x:c r="F245" s="6" t="str">
        <x:f>IFERROR(IF(XLOOKUP(C245,'Review Sequence'!C2:C1586,'Review Sequence'!J2:J1586)="Reviewer Complete",XLOOKUP(C245,'Service Identity Queue'!A2:A315,'Service Identity Queue'!L2:L315),""),"")</x:f>
      </x:c>
      <x:c r="G245" s="6" t="str"/>
      <x:c r="H245" s="7" t="str">
        <x:f>IF(F245&lt;&gt;"",XLOOKUP(C245,'Service Identity Queue'!A2:A315,'Service Identity Queue'!N2:N315),"" )</x:f>
      </x:c>
      <x:c r="I245" s="6" t="str">
        <x:f>IF(F245&lt;&gt;"",XLOOKUP(C245,'Service Identity Queue'!A2:A315,'Service Identity Queue'!O2:O315),"" )</x:f>
      </x:c>
      <x:c r="J245" s="6" t="str">
        <x:f>IF(F245&lt;&gt;"",XLOOKUP(C245,'Service Identity Queue'!A2:A315,'Service Identity Queue'!P2:P315),"" )</x:f>
      </x:c>
      <x:c r="K245" s="6" t="str">
        <x:f>IF(F245&lt;&gt;"","Reviewer complete; second-level approval still required","Not eligible yet")</x:f>
        <x:v>Not eligible yet</x:v>
      </x:c>
      <x:c r="L245" s="6" t="str">
        <x:f>IF(P245="Not Eligible","PASS","FAIL")</x:f>
        <x:v>PASS</x:v>
      </x:c>
      <x:c r="M245" s="6" t="str">
        <x:v>Pending</x:v>
      </x:c>
      <x:c r="N245" s="6" t="str"/>
      <x:c r="O245" s="6" t="str"/>
      <x:c r="P245" s="6" t="str">
        <x:v>Not Eligible</x:v>
      </x:c>
      <x:c r="Q245" s="7" t="str"/>
    </x:row>
    <x:row r="246">
      <x:c r="A246" s="6" t="str">
        <x:v>APPR-0245</x:v>
      </x:c>
      <x:c r="B246" s="6" t="str">
        <x:v>Service Identity Queue</x:v>
      </x:c>
      <x:c r="C246" s="6" t="str">
        <x:v>SIDX-0245</x:v>
      </x:c>
      <x:c r="D246" s="6" t="str">
        <x:v>Service</x:v>
      </x:c>
      <x:c r="E246" s="6" t="str">
        <x:v>SVC000245</x:v>
      </x:c>
      <x:c r="F246" s="6" t="str">
        <x:f>IFERROR(IF(XLOOKUP(C246,'Review Sequence'!C2:C1586,'Review Sequence'!J2:J1586)="Reviewer Complete",XLOOKUP(C246,'Service Identity Queue'!A2:A315,'Service Identity Queue'!L2:L315),""),"")</x:f>
      </x:c>
      <x:c r="G246" s="6" t="str"/>
      <x:c r="H246" s="7" t="str">
        <x:f>IF(F246&lt;&gt;"",XLOOKUP(C246,'Service Identity Queue'!A2:A315,'Service Identity Queue'!N2:N315),"" )</x:f>
      </x:c>
      <x:c r="I246" s="6" t="str">
        <x:f>IF(F246&lt;&gt;"",XLOOKUP(C246,'Service Identity Queue'!A2:A315,'Service Identity Queue'!O2:O315),"" )</x:f>
      </x:c>
      <x:c r="J246" s="6" t="str">
        <x:f>IF(F246&lt;&gt;"",XLOOKUP(C246,'Service Identity Queue'!A2:A315,'Service Identity Queue'!P2:P315),"" )</x:f>
      </x:c>
      <x:c r="K246" s="6" t="str">
        <x:f>IF(F246&lt;&gt;"","Reviewer complete; second-level approval still required","Not eligible yet")</x:f>
        <x:v>Not eligible yet</x:v>
      </x:c>
      <x:c r="L246" s="6" t="str">
        <x:f>IF(P246="Not Eligible","PASS","FAIL")</x:f>
        <x:v>PASS</x:v>
      </x:c>
      <x:c r="M246" s="6" t="str">
        <x:v>Pending</x:v>
      </x:c>
      <x:c r="N246" s="6" t="str"/>
      <x:c r="O246" s="6" t="str"/>
      <x:c r="P246" s="6" t="str">
        <x:v>Not Eligible</x:v>
      </x:c>
      <x:c r="Q246" s="7" t="str"/>
    </x:row>
    <x:row r="247">
      <x:c r="A247" s="6" t="str">
        <x:v>APPR-0246</x:v>
      </x:c>
      <x:c r="B247" s="6" t="str">
        <x:v>Service Identity Queue</x:v>
      </x:c>
      <x:c r="C247" s="6" t="str">
        <x:v>SIDX-0246</x:v>
      </x:c>
      <x:c r="D247" s="6" t="str">
        <x:v>Service</x:v>
      </x:c>
      <x:c r="E247" s="6" t="str">
        <x:v>SVC000246</x:v>
      </x:c>
      <x:c r="F247" s="6" t="str">
        <x:f>IFERROR(IF(XLOOKUP(C247,'Review Sequence'!C2:C1586,'Review Sequence'!J2:J1586)="Reviewer Complete",XLOOKUP(C247,'Service Identity Queue'!A2:A315,'Service Identity Queue'!L2:L315),""),"")</x:f>
      </x:c>
      <x:c r="G247" s="6" t="str"/>
      <x:c r="H247" s="7" t="str">
        <x:f>IF(F247&lt;&gt;"",XLOOKUP(C247,'Service Identity Queue'!A2:A315,'Service Identity Queue'!N2:N315),"" )</x:f>
      </x:c>
      <x:c r="I247" s="6" t="str">
        <x:f>IF(F247&lt;&gt;"",XLOOKUP(C247,'Service Identity Queue'!A2:A315,'Service Identity Queue'!O2:O315),"" )</x:f>
      </x:c>
      <x:c r="J247" s="6" t="str">
        <x:f>IF(F247&lt;&gt;"",XLOOKUP(C247,'Service Identity Queue'!A2:A315,'Service Identity Queue'!P2:P315),"" )</x:f>
      </x:c>
      <x:c r="K247" s="6" t="str">
        <x:f>IF(F247&lt;&gt;"","Reviewer complete; second-level approval still required","Not eligible yet")</x:f>
        <x:v>Not eligible yet</x:v>
      </x:c>
      <x:c r="L247" s="6" t="str">
        <x:f>IF(P247="Not Eligible","PASS","FAIL")</x:f>
        <x:v>PASS</x:v>
      </x:c>
      <x:c r="M247" s="6" t="str">
        <x:v>Pending</x:v>
      </x:c>
      <x:c r="N247" s="6" t="str"/>
      <x:c r="O247" s="6" t="str"/>
      <x:c r="P247" s="6" t="str">
        <x:v>Not Eligible</x:v>
      </x:c>
      <x:c r="Q247" s="7" t="str"/>
    </x:row>
    <x:row r="248">
      <x:c r="A248" s="6" t="str">
        <x:v>APPR-0247</x:v>
      </x:c>
      <x:c r="B248" s="6" t="str">
        <x:v>Service Identity Queue</x:v>
      </x:c>
      <x:c r="C248" s="6" t="str">
        <x:v>SIDX-0247</x:v>
      </x:c>
      <x:c r="D248" s="6" t="str">
        <x:v>Service</x:v>
      </x:c>
      <x:c r="E248" s="6" t="str">
        <x:v>SVC000247</x:v>
      </x:c>
      <x:c r="F248" s="6" t="str">
        <x:f>IFERROR(IF(XLOOKUP(C248,'Review Sequence'!C2:C1586,'Review Sequence'!J2:J1586)="Reviewer Complete",XLOOKUP(C248,'Service Identity Queue'!A2:A315,'Service Identity Queue'!L2:L315),""),"")</x:f>
      </x:c>
      <x:c r="G248" s="6" t="str"/>
      <x:c r="H248" s="7" t="str">
        <x:f>IF(F248&lt;&gt;"",XLOOKUP(C248,'Service Identity Queue'!A2:A315,'Service Identity Queue'!N2:N315),"" )</x:f>
      </x:c>
      <x:c r="I248" s="6" t="str">
        <x:f>IF(F248&lt;&gt;"",XLOOKUP(C248,'Service Identity Queue'!A2:A315,'Service Identity Queue'!O2:O315),"" )</x:f>
      </x:c>
      <x:c r="J248" s="6" t="str">
        <x:f>IF(F248&lt;&gt;"",XLOOKUP(C248,'Service Identity Queue'!A2:A315,'Service Identity Queue'!P2:P315),"" )</x:f>
      </x:c>
      <x:c r="K248" s="6" t="str">
        <x:f>IF(F248&lt;&gt;"","Reviewer complete; second-level approval still required","Not eligible yet")</x:f>
        <x:v>Not eligible yet</x:v>
      </x:c>
      <x:c r="L248" s="6" t="str">
        <x:f>IF(P248="Not Eligible","PASS","FAIL")</x:f>
        <x:v>PASS</x:v>
      </x:c>
      <x:c r="M248" s="6" t="str">
        <x:v>Pending</x:v>
      </x:c>
      <x:c r="N248" s="6" t="str"/>
      <x:c r="O248" s="6" t="str"/>
      <x:c r="P248" s="6" t="str">
        <x:v>Not Eligible</x:v>
      </x:c>
      <x:c r="Q248" s="7" t="str"/>
    </x:row>
    <x:row r="249">
      <x:c r="A249" s="6" t="str">
        <x:v>APPR-0248</x:v>
      </x:c>
      <x:c r="B249" s="6" t="str">
        <x:v>Service Identity Queue</x:v>
      </x:c>
      <x:c r="C249" s="6" t="str">
        <x:v>SIDX-0248</x:v>
      </x:c>
      <x:c r="D249" s="6" t="str">
        <x:v>Service</x:v>
      </x:c>
      <x:c r="E249" s="6" t="str">
        <x:v>SVC000248</x:v>
      </x:c>
      <x:c r="F249" s="6" t="str">
        <x:f>IFERROR(IF(XLOOKUP(C249,'Review Sequence'!C2:C1586,'Review Sequence'!J2:J1586)="Reviewer Complete",XLOOKUP(C249,'Service Identity Queue'!A2:A315,'Service Identity Queue'!L2:L315),""),"")</x:f>
      </x:c>
      <x:c r="G249" s="6" t="str"/>
      <x:c r="H249" s="7" t="str">
        <x:f>IF(F249&lt;&gt;"",XLOOKUP(C249,'Service Identity Queue'!A2:A315,'Service Identity Queue'!N2:N315),"" )</x:f>
      </x:c>
      <x:c r="I249" s="6" t="str">
        <x:f>IF(F249&lt;&gt;"",XLOOKUP(C249,'Service Identity Queue'!A2:A315,'Service Identity Queue'!O2:O315),"" )</x:f>
      </x:c>
      <x:c r="J249" s="6" t="str">
        <x:f>IF(F249&lt;&gt;"",XLOOKUP(C249,'Service Identity Queue'!A2:A315,'Service Identity Queue'!P2:P315),"" )</x:f>
      </x:c>
      <x:c r="K249" s="6" t="str">
        <x:f>IF(F249&lt;&gt;"","Reviewer complete; second-level approval still required","Not eligible yet")</x:f>
        <x:v>Not eligible yet</x:v>
      </x:c>
      <x:c r="L249" s="6" t="str">
        <x:f>IF(P249="Not Eligible","PASS","FAIL")</x:f>
        <x:v>PASS</x:v>
      </x:c>
      <x:c r="M249" s="6" t="str">
        <x:v>Pending</x:v>
      </x:c>
      <x:c r="N249" s="6" t="str"/>
      <x:c r="O249" s="6" t="str"/>
      <x:c r="P249" s="6" t="str">
        <x:v>Not Eligible</x:v>
      </x:c>
      <x:c r="Q249" s="7" t="str"/>
    </x:row>
    <x:row r="250">
      <x:c r="A250" s="6" t="str">
        <x:v>APPR-0249</x:v>
      </x:c>
      <x:c r="B250" s="6" t="str">
        <x:v>Service Identity Queue</x:v>
      </x:c>
      <x:c r="C250" s="6" t="str">
        <x:v>SIDX-0249</x:v>
      </x:c>
      <x:c r="D250" s="6" t="str">
        <x:v>Service</x:v>
      </x:c>
      <x:c r="E250" s="6" t="str">
        <x:v>SVC000249</x:v>
      </x:c>
      <x:c r="F250" s="6" t="str">
        <x:f>IFERROR(IF(XLOOKUP(C250,'Review Sequence'!C2:C1586,'Review Sequence'!J2:J1586)="Reviewer Complete",XLOOKUP(C250,'Service Identity Queue'!A2:A315,'Service Identity Queue'!L2:L315),""),"")</x:f>
      </x:c>
      <x:c r="G250" s="6" t="str"/>
      <x:c r="H250" s="7" t="str">
        <x:f>IF(F250&lt;&gt;"",XLOOKUP(C250,'Service Identity Queue'!A2:A315,'Service Identity Queue'!N2:N315),"" )</x:f>
      </x:c>
      <x:c r="I250" s="6" t="str">
        <x:f>IF(F250&lt;&gt;"",XLOOKUP(C250,'Service Identity Queue'!A2:A315,'Service Identity Queue'!O2:O315),"" )</x:f>
      </x:c>
      <x:c r="J250" s="6" t="str">
        <x:f>IF(F250&lt;&gt;"",XLOOKUP(C250,'Service Identity Queue'!A2:A315,'Service Identity Queue'!P2:P315),"" )</x:f>
      </x:c>
      <x:c r="K250" s="6" t="str">
        <x:f>IF(F250&lt;&gt;"","Reviewer complete; second-level approval still required","Not eligible yet")</x:f>
        <x:v>Not eligible yet</x:v>
      </x:c>
      <x:c r="L250" s="6" t="str">
        <x:f>IF(P250="Not Eligible","PASS","FAIL")</x:f>
        <x:v>PASS</x:v>
      </x:c>
      <x:c r="M250" s="6" t="str">
        <x:v>Pending</x:v>
      </x:c>
      <x:c r="N250" s="6" t="str"/>
      <x:c r="O250" s="6" t="str"/>
      <x:c r="P250" s="6" t="str">
        <x:v>Not Eligible</x:v>
      </x:c>
      <x:c r="Q250" s="7" t="str"/>
    </x:row>
    <x:row r="251">
      <x:c r="A251" s="6" t="str">
        <x:v>APPR-0250</x:v>
      </x:c>
      <x:c r="B251" s="6" t="str">
        <x:v>Service Identity Queue</x:v>
      </x:c>
      <x:c r="C251" s="6" t="str">
        <x:v>SIDX-0250</x:v>
      </x:c>
      <x:c r="D251" s="6" t="str">
        <x:v>Service</x:v>
      </x:c>
      <x:c r="E251" s="6" t="str">
        <x:v>SVC000250</x:v>
      </x:c>
      <x:c r="F251" s="6" t="str">
        <x:f>IFERROR(IF(XLOOKUP(C251,'Review Sequence'!C2:C1586,'Review Sequence'!J2:J1586)="Reviewer Complete",XLOOKUP(C251,'Service Identity Queue'!A2:A315,'Service Identity Queue'!L2:L315),""),"")</x:f>
      </x:c>
      <x:c r="G251" s="6" t="str"/>
      <x:c r="H251" s="7" t="str">
        <x:f>IF(F251&lt;&gt;"",XLOOKUP(C251,'Service Identity Queue'!A2:A315,'Service Identity Queue'!N2:N315),"" )</x:f>
      </x:c>
      <x:c r="I251" s="6" t="str">
        <x:f>IF(F251&lt;&gt;"",XLOOKUP(C251,'Service Identity Queue'!A2:A315,'Service Identity Queue'!O2:O315),"" )</x:f>
      </x:c>
      <x:c r="J251" s="6" t="str">
        <x:f>IF(F251&lt;&gt;"",XLOOKUP(C251,'Service Identity Queue'!A2:A315,'Service Identity Queue'!P2:P315),"" )</x:f>
      </x:c>
      <x:c r="K251" s="6" t="str">
        <x:f>IF(F251&lt;&gt;"","Reviewer complete; second-level approval still required","Not eligible yet")</x:f>
        <x:v>Not eligible yet</x:v>
      </x:c>
      <x:c r="L251" s="6" t="str">
        <x:f>IF(P251="Not Eligible","PASS","FAIL")</x:f>
        <x:v>PASS</x:v>
      </x:c>
      <x:c r="M251" s="6" t="str">
        <x:v>Pending</x:v>
      </x:c>
      <x:c r="N251" s="6" t="str"/>
      <x:c r="O251" s="6" t="str"/>
      <x:c r="P251" s="6" t="str">
        <x:v>Not Eligible</x:v>
      </x:c>
      <x:c r="Q251" s="7" t="str"/>
    </x:row>
    <x:row r="252">
      <x:c r="A252" s="6" t="str">
        <x:v>APPR-0251</x:v>
      </x:c>
      <x:c r="B252" s="6" t="str">
        <x:v>Service Identity Queue</x:v>
      </x:c>
      <x:c r="C252" s="6" t="str">
        <x:v>SIDX-0251</x:v>
      </x:c>
      <x:c r="D252" s="6" t="str">
        <x:v>Service</x:v>
      </x:c>
      <x:c r="E252" s="6" t="str">
        <x:v>SVC000251</x:v>
      </x:c>
      <x:c r="F252" s="6" t="str">
        <x:f>IFERROR(IF(XLOOKUP(C252,'Review Sequence'!C2:C1586,'Review Sequence'!J2:J1586)="Reviewer Complete",XLOOKUP(C252,'Service Identity Queue'!A2:A315,'Service Identity Queue'!L2:L315),""),"")</x:f>
      </x:c>
      <x:c r="G252" s="6" t="str"/>
      <x:c r="H252" s="7" t="str">
        <x:f>IF(F252&lt;&gt;"",XLOOKUP(C252,'Service Identity Queue'!A2:A315,'Service Identity Queue'!N2:N315),"" )</x:f>
      </x:c>
      <x:c r="I252" s="6" t="str">
        <x:f>IF(F252&lt;&gt;"",XLOOKUP(C252,'Service Identity Queue'!A2:A315,'Service Identity Queue'!O2:O315),"" )</x:f>
      </x:c>
      <x:c r="J252" s="6" t="str">
        <x:f>IF(F252&lt;&gt;"",XLOOKUP(C252,'Service Identity Queue'!A2:A315,'Service Identity Queue'!P2:P315),"" )</x:f>
      </x:c>
      <x:c r="K252" s="6" t="str">
        <x:f>IF(F252&lt;&gt;"","Reviewer complete; second-level approval still required","Not eligible yet")</x:f>
        <x:v>Not eligible yet</x:v>
      </x:c>
      <x:c r="L252" s="6" t="str">
        <x:f>IF(P252="Not Eligible","PASS","FAIL")</x:f>
        <x:v>PASS</x:v>
      </x:c>
      <x:c r="M252" s="6" t="str">
        <x:v>Pending</x:v>
      </x:c>
      <x:c r="N252" s="6" t="str"/>
      <x:c r="O252" s="6" t="str"/>
      <x:c r="P252" s="6" t="str">
        <x:v>Not Eligible</x:v>
      </x:c>
      <x:c r="Q252" s="7" t="str"/>
    </x:row>
    <x:row r="253">
      <x:c r="A253" s="6" t="str">
        <x:v>APPR-0252</x:v>
      </x:c>
      <x:c r="B253" s="6" t="str">
        <x:v>Service Identity Queue</x:v>
      </x:c>
      <x:c r="C253" s="6" t="str">
        <x:v>SIDX-0252</x:v>
      </x:c>
      <x:c r="D253" s="6" t="str">
        <x:v>Service</x:v>
      </x:c>
      <x:c r="E253" s="6" t="str">
        <x:v>SVC000252</x:v>
      </x:c>
      <x:c r="F253" s="6" t="str">
        <x:f>IFERROR(IF(XLOOKUP(C253,'Review Sequence'!C2:C1586,'Review Sequence'!J2:J1586)="Reviewer Complete",XLOOKUP(C253,'Service Identity Queue'!A2:A315,'Service Identity Queue'!L2:L315),""),"")</x:f>
      </x:c>
      <x:c r="G253" s="6" t="str"/>
      <x:c r="H253" s="7" t="str">
        <x:f>IF(F253&lt;&gt;"",XLOOKUP(C253,'Service Identity Queue'!A2:A315,'Service Identity Queue'!N2:N315),"" )</x:f>
      </x:c>
      <x:c r="I253" s="6" t="str">
        <x:f>IF(F253&lt;&gt;"",XLOOKUP(C253,'Service Identity Queue'!A2:A315,'Service Identity Queue'!O2:O315),"" )</x:f>
      </x:c>
      <x:c r="J253" s="6" t="str">
        <x:f>IF(F253&lt;&gt;"",XLOOKUP(C253,'Service Identity Queue'!A2:A315,'Service Identity Queue'!P2:P315),"" )</x:f>
      </x:c>
      <x:c r="K253" s="6" t="str">
        <x:f>IF(F253&lt;&gt;"","Reviewer complete; second-level approval still required","Not eligible yet")</x:f>
        <x:v>Not eligible yet</x:v>
      </x:c>
      <x:c r="L253" s="6" t="str">
        <x:f>IF(P253="Not Eligible","PASS","FAIL")</x:f>
        <x:v>PASS</x:v>
      </x:c>
      <x:c r="M253" s="6" t="str">
        <x:v>Pending</x:v>
      </x:c>
      <x:c r="N253" s="6" t="str"/>
      <x:c r="O253" s="6" t="str"/>
      <x:c r="P253" s="6" t="str">
        <x:v>Not Eligible</x:v>
      </x:c>
      <x:c r="Q253" s="7" t="str"/>
    </x:row>
    <x:row r="254">
      <x:c r="A254" s="6" t="str">
        <x:v>APPR-0253</x:v>
      </x:c>
      <x:c r="B254" s="6" t="str">
        <x:v>Service Identity Queue</x:v>
      </x:c>
      <x:c r="C254" s="6" t="str">
        <x:v>SIDX-0253</x:v>
      </x:c>
      <x:c r="D254" s="6" t="str">
        <x:v>Service</x:v>
      </x:c>
      <x:c r="E254" s="6" t="str">
        <x:v>SVC000253</x:v>
      </x:c>
      <x:c r="F254" s="6" t="str">
        <x:f>IFERROR(IF(XLOOKUP(C254,'Review Sequence'!C2:C1586,'Review Sequence'!J2:J1586)="Reviewer Complete",XLOOKUP(C254,'Service Identity Queue'!A2:A315,'Service Identity Queue'!L2:L315),""),"")</x:f>
      </x:c>
      <x:c r="G254" s="6" t="str"/>
      <x:c r="H254" s="7" t="str">
        <x:f>IF(F254&lt;&gt;"",XLOOKUP(C254,'Service Identity Queue'!A2:A315,'Service Identity Queue'!N2:N315),"" )</x:f>
      </x:c>
      <x:c r="I254" s="6" t="str">
        <x:f>IF(F254&lt;&gt;"",XLOOKUP(C254,'Service Identity Queue'!A2:A315,'Service Identity Queue'!O2:O315),"" )</x:f>
      </x:c>
      <x:c r="J254" s="6" t="str">
        <x:f>IF(F254&lt;&gt;"",XLOOKUP(C254,'Service Identity Queue'!A2:A315,'Service Identity Queue'!P2:P315),"" )</x:f>
      </x:c>
      <x:c r="K254" s="6" t="str">
        <x:f>IF(F254&lt;&gt;"","Reviewer complete; second-level approval still required","Not eligible yet")</x:f>
        <x:v>Not eligible yet</x:v>
      </x:c>
      <x:c r="L254" s="6" t="str">
        <x:f>IF(P254="Not Eligible","PASS","FAIL")</x:f>
        <x:v>PASS</x:v>
      </x:c>
      <x:c r="M254" s="6" t="str">
        <x:v>Pending</x:v>
      </x:c>
      <x:c r="N254" s="6" t="str"/>
      <x:c r="O254" s="6" t="str"/>
      <x:c r="P254" s="6" t="str">
        <x:v>Not Eligible</x:v>
      </x:c>
      <x:c r="Q254" s="7" t="str"/>
    </x:row>
    <x:row r="255">
      <x:c r="A255" s="6" t="str">
        <x:v>APPR-0254</x:v>
      </x:c>
      <x:c r="B255" s="6" t="str">
        <x:v>Service Identity Queue</x:v>
      </x:c>
      <x:c r="C255" s="6" t="str">
        <x:v>SIDX-0254</x:v>
      </x:c>
      <x:c r="D255" s="6" t="str">
        <x:v>Service</x:v>
      </x:c>
      <x:c r="E255" s="6" t="str">
        <x:v>SVC000254</x:v>
      </x:c>
      <x:c r="F255" s="6" t="str">
        <x:f>IFERROR(IF(XLOOKUP(C255,'Review Sequence'!C2:C1586,'Review Sequence'!J2:J1586)="Reviewer Complete",XLOOKUP(C255,'Service Identity Queue'!A2:A315,'Service Identity Queue'!L2:L315),""),"")</x:f>
      </x:c>
      <x:c r="G255" s="6" t="str"/>
      <x:c r="H255" s="7" t="str">
        <x:f>IF(F255&lt;&gt;"",XLOOKUP(C255,'Service Identity Queue'!A2:A315,'Service Identity Queue'!N2:N315),"" )</x:f>
      </x:c>
      <x:c r="I255" s="6" t="str">
        <x:f>IF(F255&lt;&gt;"",XLOOKUP(C255,'Service Identity Queue'!A2:A315,'Service Identity Queue'!O2:O315),"" )</x:f>
      </x:c>
      <x:c r="J255" s="6" t="str">
        <x:f>IF(F255&lt;&gt;"",XLOOKUP(C255,'Service Identity Queue'!A2:A315,'Service Identity Queue'!P2:P315),"" )</x:f>
      </x:c>
      <x:c r="K255" s="6" t="str">
        <x:f>IF(F255&lt;&gt;"","Reviewer complete; second-level approval still required","Not eligible yet")</x:f>
        <x:v>Not eligible yet</x:v>
      </x:c>
      <x:c r="L255" s="6" t="str">
        <x:f>IF(P255="Not Eligible","PASS","FAIL")</x:f>
        <x:v>PASS</x:v>
      </x:c>
      <x:c r="M255" s="6" t="str">
        <x:v>Pending</x:v>
      </x:c>
      <x:c r="N255" s="6" t="str"/>
      <x:c r="O255" s="6" t="str"/>
      <x:c r="P255" s="6" t="str">
        <x:v>Not Eligible</x:v>
      </x:c>
      <x:c r="Q255" s="7" t="str"/>
    </x:row>
    <x:row r="256">
      <x:c r="A256" s="6" t="str">
        <x:v>APPR-0255</x:v>
      </x:c>
      <x:c r="B256" s="6" t="str">
        <x:v>Service Identity Queue</x:v>
      </x:c>
      <x:c r="C256" s="6" t="str">
        <x:v>SIDX-0255</x:v>
      </x:c>
      <x:c r="D256" s="6" t="str">
        <x:v>Service</x:v>
      </x:c>
      <x:c r="E256" s="6" t="str">
        <x:v>SVC000255</x:v>
      </x:c>
      <x:c r="F256" s="6" t="str">
        <x:f>IFERROR(IF(XLOOKUP(C256,'Review Sequence'!C2:C1586,'Review Sequence'!J2:J1586)="Reviewer Complete",XLOOKUP(C256,'Service Identity Queue'!A2:A315,'Service Identity Queue'!L2:L315),""),"")</x:f>
      </x:c>
      <x:c r="G256" s="6" t="str"/>
      <x:c r="H256" s="7" t="str">
        <x:f>IF(F256&lt;&gt;"",XLOOKUP(C256,'Service Identity Queue'!A2:A315,'Service Identity Queue'!N2:N315),"" )</x:f>
      </x:c>
      <x:c r="I256" s="6" t="str">
        <x:f>IF(F256&lt;&gt;"",XLOOKUP(C256,'Service Identity Queue'!A2:A315,'Service Identity Queue'!O2:O315),"" )</x:f>
      </x:c>
      <x:c r="J256" s="6" t="str">
        <x:f>IF(F256&lt;&gt;"",XLOOKUP(C256,'Service Identity Queue'!A2:A315,'Service Identity Queue'!P2:P315),"" )</x:f>
      </x:c>
      <x:c r="K256" s="6" t="str">
        <x:f>IF(F256&lt;&gt;"","Reviewer complete; second-level approval still required","Not eligible yet")</x:f>
        <x:v>Not eligible yet</x:v>
      </x:c>
      <x:c r="L256" s="6" t="str">
        <x:f>IF(P256="Not Eligible","PASS","FAIL")</x:f>
        <x:v>PASS</x:v>
      </x:c>
      <x:c r="M256" s="6" t="str">
        <x:v>Pending</x:v>
      </x:c>
      <x:c r="N256" s="6" t="str"/>
      <x:c r="O256" s="6" t="str"/>
      <x:c r="P256" s="6" t="str">
        <x:v>Not Eligible</x:v>
      </x:c>
      <x:c r="Q256" s="7" t="str"/>
    </x:row>
    <x:row r="257">
      <x:c r="A257" s="6" t="str">
        <x:v>APPR-0256</x:v>
      </x:c>
      <x:c r="B257" s="6" t="str">
        <x:v>Service Identity Queue</x:v>
      </x:c>
      <x:c r="C257" s="6" t="str">
        <x:v>SIDX-0256</x:v>
      </x:c>
      <x:c r="D257" s="6" t="str">
        <x:v>Service</x:v>
      </x:c>
      <x:c r="E257" s="6" t="str">
        <x:v>SVC000256</x:v>
      </x:c>
      <x:c r="F257" s="6" t="str">
        <x:f>IFERROR(IF(XLOOKUP(C257,'Review Sequence'!C2:C1586,'Review Sequence'!J2:J1586)="Reviewer Complete",XLOOKUP(C257,'Service Identity Queue'!A2:A315,'Service Identity Queue'!L2:L315),""),"")</x:f>
      </x:c>
      <x:c r="G257" s="6" t="str"/>
      <x:c r="H257" s="7" t="str">
        <x:f>IF(F257&lt;&gt;"",XLOOKUP(C257,'Service Identity Queue'!A2:A315,'Service Identity Queue'!N2:N315),"" )</x:f>
      </x:c>
      <x:c r="I257" s="6" t="str">
        <x:f>IF(F257&lt;&gt;"",XLOOKUP(C257,'Service Identity Queue'!A2:A315,'Service Identity Queue'!O2:O315),"" )</x:f>
      </x:c>
      <x:c r="J257" s="6" t="str">
        <x:f>IF(F257&lt;&gt;"",XLOOKUP(C257,'Service Identity Queue'!A2:A315,'Service Identity Queue'!P2:P315),"" )</x:f>
      </x:c>
      <x:c r="K257" s="6" t="str">
        <x:f>IF(F257&lt;&gt;"","Reviewer complete; second-level approval still required","Not eligible yet")</x:f>
        <x:v>Not eligible yet</x:v>
      </x:c>
      <x:c r="L257" s="6" t="str">
        <x:f>IF(P257="Not Eligible","PASS","FAIL")</x:f>
        <x:v>PASS</x:v>
      </x:c>
      <x:c r="M257" s="6" t="str">
        <x:v>Pending</x:v>
      </x:c>
      <x:c r="N257" s="6" t="str"/>
      <x:c r="O257" s="6" t="str"/>
      <x:c r="P257" s="6" t="str">
        <x:v>Not Eligible</x:v>
      </x:c>
      <x:c r="Q257" s="7" t="str"/>
    </x:row>
    <x:row r="258">
      <x:c r="A258" s="6" t="str">
        <x:v>APPR-0257</x:v>
      </x:c>
      <x:c r="B258" s="6" t="str">
        <x:v>Service Identity Queue</x:v>
      </x:c>
      <x:c r="C258" s="6" t="str">
        <x:v>SIDX-0257</x:v>
      </x:c>
      <x:c r="D258" s="6" t="str">
        <x:v>Service</x:v>
      </x:c>
      <x:c r="E258" s="6" t="str">
        <x:v>SVC000257</x:v>
      </x:c>
      <x:c r="F258" s="6" t="str">
        <x:f>IFERROR(IF(XLOOKUP(C258,'Review Sequence'!C2:C1586,'Review Sequence'!J2:J1586)="Reviewer Complete",XLOOKUP(C258,'Service Identity Queue'!A2:A315,'Service Identity Queue'!L2:L315),""),"")</x:f>
      </x:c>
      <x:c r="G258" s="6" t="str"/>
      <x:c r="H258" s="7" t="str">
        <x:f>IF(F258&lt;&gt;"",XLOOKUP(C258,'Service Identity Queue'!A2:A315,'Service Identity Queue'!N2:N315),"" )</x:f>
      </x:c>
      <x:c r="I258" s="6" t="str">
        <x:f>IF(F258&lt;&gt;"",XLOOKUP(C258,'Service Identity Queue'!A2:A315,'Service Identity Queue'!O2:O315),"" )</x:f>
      </x:c>
      <x:c r="J258" s="6" t="str">
        <x:f>IF(F258&lt;&gt;"",XLOOKUP(C258,'Service Identity Queue'!A2:A315,'Service Identity Queue'!P2:P315),"" )</x:f>
      </x:c>
      <x:c r="K258" s="6" t="str">
        <x:f>IF(F258&lt;&gt;"","Reviewer complete; second-level approval still required","Not eligible yet")</x:f>
        <x:v>Not eligible yet</x:v>
      </x:c>
      <x:c r="L258" s="6" t="str">
        <x:f>IF(P258="Not Eligible","PASS","FAIL")</x:f>
        <x:v>PASS</x:v>
      </x:c>
      <x:c r="M258" s="6" t="str">
        <x:v>Pending</x:v>
      </x:c>
      <x:c r="N258" s="6" t="str"/>
      <x:c r="O258" s="6" t="str"/>
      <x:c r="P258" s="6" t="str">
        <x:v>Not Eligible</x:v>
      </x:c>
      <x:c r="Q258" s="7" t="str"/>
    </x:row>
    <x:row r="259">
      <x:c r="A259" s="6" t="str">
        <x:v>APPR-0258</x:v>
      </x:c>
      <x:c r="B259" s="6" t="str">
        <x:v>Service Identity Queue</x:v>
      </x:c>
      <x:c r="C259" s="6" t="str">
        <x:v>SIDX-0258</x:v>
      </x:c>
      <x:c r="D259" s="6" t="str">
        <x:v>Service</x:v>
      </x:c>
      <x:c r="E259" s="6" t="str">
        <x:v>SVC000258</x:v>
      </x:c>
      <x:c r="F259" s="6" t="str">
        <x:f>IFERROR(IF(XLOOKUP(C259,'Review Sequence'!C2:C1586,'Review Sequence'!J2:J1586)="Reviewer Complete",XLOOKUP(C259,'Service Identity Queue'!A2:A315,'Service Identity Queue'!L2:L315),""),"")</x:f>
      </x:c>
      <x:c r="G259" s="6" t="str"/>
      <x:c r="H259" s="7" t="str">
        <x:f>IF(F259&lt;&gt;"",XLOOKUP(C259,'Service Identity Queue'!A2:A315,'Service Identity Queue'!N2:N315),"" )</x:f>
      </x:c>
      <x:c r="I259" s="6" t="str">
        <x:f>IF(F259&lt;&gt;"",XLOOKUP(C259,'Service Identity Queue'!A2:A315,'Service Identity Queue'!O2:O315),"" )</x:f>
      </x:c>
      <x:c r="J259" s="6" t="str">
        <x:f>IF(F259&lt;&gt;"",XLOOKUP(C259,'Service Identity Queue'!A2:A315,'Service Identity Queue'!P2:P315),"" )</x:f>
      </x:c>
      <x:c r="K259" s="6" t="str">
        <x:f>IF(F259&lt;&gt;"","Reviewer complete; second-level approval still required","Not eligible yet")</x:f>
        <x:v>Not eligible yet</x:v>
      </x:c>
      <x:c r="L259" s="6" t="str">
        <x:f>IF(P259="Not Eligible","PASS","FAIL")</x:f>
        <x:v>PASS</x:v>
      </x:c>
      <x:c r="M259" s="6" t="str">
        <x:v>Pending</x:v>
      </x:c>
      <x:c r="N259" s="6" t="str"/>
      <x:c r="O259" s="6" t="str"/>
      <x:c r="P259" s="6" t="str">
        <x:v>Not Eligible</x:v>
      </x:c>
      <x:c r="Q259" s="7" t="str"/>
    </x:row>
    <x:row r="260">
      <x:c r="A260" s="6" t="str">
        <x:v>APPR-0259</x:v>
      </x:c>
      <x:c r="B260" s="6" t="str">
        <x:v>Service Identity Queue</x:v>
      </x:c>
      <x:c r="C260" s="6" t="str">
        <x:v>SIDX-0259</x:v>
      </x:c>
      <x:c r="D260" s="6" t="str">
        <x:v>Service</x:v>
      </x:c>
      <x:c r="E260" s="6" t="str">
        <x:v>SVC000259</x:v>
      </x:c>
      <x:c r="F260" s="6" t="str">
        <x:f>IFERROR(IF(XLOOKUP(C260,'Review Sequence'!C2:C1586,'Review Sequence'!J2:J1586)="Reviewer Complete",XLOOKUP(C260,'Service Identity Queue'!A2:A315,'Service Identity Queue'!L2:L315),""),"")</x:f>
      </x:c>
      <x:c r="G260" s="6" t="str"/>
      <x:c r="H260" s="7" t="str">
        <x:f>IF(F260&lt;&gt;"",XLOOKUP(C260,'Service Identity Queue'!A2:A315,'Service Identity Queue'!N2:N315),"" )</x:f>
      </x:c>
      <x:c r="I260" s="6" t="str">
        <x:f>IF(F260&lt;&gt;"",XLOOKUP(C260,'Service Identity Queue'!A2:A315,'Service Identity Queue'!O2:O315),"" )</x:f>
      </x:c>
      <x:c r="J260" s="6" t="str">
        <x:f>IF(F260&lt;&gt;"",XLOOKUP(C260,'Service Identity Queue'!A2:A315,'Service Identity Queue'!P2:P315),"" )</x:f>
      </x:c>
      <x:c r="K260" s="6" t="str">
        <x:f>IF(F260&lt;&gt;"","Reviewer complete; second-level approval still required","Not eligible yet")</x:f>
        <x:v>Not eligible yet</x:v>
      </x:c>
      <x:c r="L260" s="6" t="str">
        <x:f>IF(P260="Not Eligible","PASS","FAIL")</x:f>
        <x:v>PASS</x:v>
      </x:c>
      <x:c r="M260" s="6" t="str">
        <x:v>Pending</x:v>
      </x:c>
      <x:c r="N260" s="6" t="str"/>
      <x:c r="O260" s="6" t="str"/>
      <x:c r="P260" s="6" t="str">
        <x:v>Not Eligible</x:v>
      </x:c>
      <x:c r="Q260" s="7" t="str"/>
    </x:row>
    <x:row r="261">
      <x:c r="A261" s="6" t="str">
        <x:v>APPR-0260</x:v>
      </x:c>
      <x:c r="B261" s="6" t="str">
        <x:v>Service Identity Queue</x:v>
      </x:c>
      <x:c r="C261" s="6" t="str">
        <x:v>SIDX-0260</x:v>
      </x:c>
      <x:c r="D261" s="6" t="str">
        <x:v>Service</x:v>
      </x:c>
      <x:c r="E261" s="6" t="str">
        <x:v>SVC000260</x:v>
      </x:c>
      <x:c r="F261" s="6" t="str">
        <x:f>IFERROR(IF(XLOOKUP(C261,'Review Sequence'!C2:C1586,'Review Sequence'!J2:J1586)="Reviewer Complete",XLOOKUP(C261,'Service Identity Queue'!A2:A315,'Service Identity Queue'!L2:L315),""),"")</x:f>
      </x:c>
      <x:c r="G261" s="6" t="str"/>
      <x:c r="H261" s="7" t="str">
        <x:f>IF(F261&lt;&gt;"",XLOOKUP(C261,'Service Identity Queue'!A2:A315,'Service Identity Queue'!N2:N315),"" )</x:f>
      </x:c>
      <x:c r="I261" s="6" t="str">
        <x:f>IF(F261&lt;&gt;"",XLOOKUP(C261,'Service Identity Queue'!A2:A315,'Service Identity Queue'!O2:O315),"" )</x:f>
      </x:c>
      <x:c r="J261" s="6" t="str">
        <x:f>IF(F261&lt;&gt;"",XLOOKUP(C261,'Service Identity Queue'!A2:A315,'Service Identity Queue'!P2:P315),"" )</x:f>
      </x:c>
      <x:c r="K261" s="6" t="str">
        <x:f>IF(F261&lt;&gt;"","Reviewer complete; second-level approval still required","Not eligible yet")</x:f>
        <x:v>Not eligible yet</x:v>
      </x:c>
      <x:c r="L261" s="6" t="str">
        <x:f>IF(P261="Not Eligible","PASS","FAIL")</x:f>
        <x:v>PASS</x:v>
      </x:c>
      <x:c r="M261" s="6" t="str">
        <x:v>Pending</x:v>
      </x:c>
      <x:c r="N261" s="6" t="str"/>
      <x:c r="O261" s="6" t="str"/>
      <x:c r="P261" s="6" t="str">
        <x:v>Not Eligible</x:v>
      </x:c>
      <x:c r="Q261" s="7" t="str"/>
    </x:row>
    <x:row r="262">
      <x:c r="A262" s="6" t="str">
        <x:v>APPR-0261</x:v>
      </x:c>
      <x:c r="B262" s="6" t="str">
        <x:v>Service Identity Queue</x:v>
      </x:c>
      <x:c r="C262" s="6" t="str">
        <x:v>SIDX-0261</x:v>
      </x:c>
      <x:c r="D262" s="6" t="str">
        <x:v>Service</x:v>
      </x:c>
      <x:c r="E262" s="6" t="str">
        <x:v>SVC000261</x:v>
      </x:c>
      <x:c r="F262" s="6" t="str">
        <x:f>IFERROR(IF(XLOOKUP(C262,'Review Sequence'!C2:C1586,'Review Sequence'!J2:J1586)="Reviewer Complete",XLOOKUP(C262,'Service Identity Queue'!A2:A315,'Service Identity Queue'!L2:L315),""),"")</x:f>
      </x:c>
      <x:c r="G262" s="6" t="str"/>
      <x:c r="H262" s="7" t="str">
        <x:f>IF(F262&lt;&gt;"",XLOOKUP(C262,'Service Identity Queue'!A2:A315,'Service Identity Queue'!N2:N315),"" )</x:f>
      </x:c>
      <x:c r="I262" s="6" t="str">
        <x:f>IF(F262&lt;&gt;"",XLOOKUP(C262,'Service Identity Queue'!A2:A315,'Service Identity Queue'!O2:O315),"" )</x:f>
      </x:c>
      <x:c r="J262" s="6" t="str">
        <x:f>IF(F262&lt;&gt;"",XLOOKUP(C262,'Service Identity Queue'!A2:A315,'Service Identity Queue'!P2:P315),"" )</x:f>
      </x:c>
      <x:c r="K262" s="6" t="str">
        <x:f>IF(F262&lt;&gt;"","Reviewer complete; second-level approval still required","Not eligible yet")</x:f>
        <x:v>Not eligible yet</x:v>
      </x:c>
      <x:c r="L262" s="6" t="str">
        <x:f>IF(P262="Not Eligible","PASS","FAIL")</x:f>
        <x:v>PASS</x:v>
      </x:c>
      <x:c r="M262" s="6" t="str">
        <x:v>Pending</x:v>
      </x:c>
      <x:c r="N262" s="6" t="str"/>
      <x:c r="O262" s="6" t="str"/>
      <x:c r="P262" s="6" t="str">
        <x:v>Not Eligible</x:v>
      </x:c>
      <x:c r="Q262" s="7" t="str"/>
    </x:row>
    <x:row r="263">
      <x:c r="A263" s="6" t="str">
        <x:v>APPR-0262</x:v>
      </x:c>
      <x:c r="B263" s="6" t="str">
        <x:v>Service Identity Queue</x:v>
      </x:c>
      <x:c r="C263" s="6" t="str">
        <x:v>SIDX-0262</x:v>
      </x:c>
      <x:c r="D263" s="6" t="str">
        <x:v>Service</x:v>
      </x:c>
      <x:c r="E263" s="6" t="str">
        <x:v>SVC000262</x:v>
      </x:c>
      <x:c r="F263" s="6" t="str">
        <x:f>IFERROR(IF(XLOOKUP(C263,'Review Sequence'!C2:C1586,'Review Sequence'!J2:J1586)="Reviewer Complete",XLOOKUP(C263,'Service Identity Queue'!A2:A315,'Service Identity Queue'!L2:L315),""),"")</x:f>
      </x:c>
      <x:c r="G263" s="6" t="str"/>
      <x:c r="H263" s="7" t="str">
        <x:f>IF(F263&lt;&gt;"",XLOOKUP(C263,'Service Identity Queue'!A2:A315,'Service Identity Queue'!N2:N315),"" )</x:f>
      </x:c>
      <x:c r="I263" s="6" t="str">
        <x:f>IF(F263&lt;&gt;"",XLOOKUP(C263,'Service Identity Queue'!A2:A315,'Service Identity Queue'!O2:O315),"" )</x:f>
      </x:c>
      <x:c r="J263" s="6" t="str">
        <x:f>IF(F263&lt;&gt;"",XLOOKUP(C263,'Service Identity Queue'!A2:A315,'Service Identity Queue'!P2:P315),"" )</x:f>
      </x:c>
      <x:c r="K263" s="6" t="str">
        <x:f>IF(F263&lt;&gt;"","Reviewer complete; second-level approval still required","Not eligible yet")</x:f>
        <x:v>Not eligible yet</x:v>
      </x:c>
      <x:c r="L263" s="6" t="str">
        <x:f>IF(P263="Not Eligible","PASS","FAIL")</x:f>
        <x:v>PASS</x:v>
      </x:c>
      <x:c r="M263" s="6" t="str">
        <x:v>Pending</x:v>
      </x:c>
      <x:c r="N263" s="6" t="str"/>
      <x:c r="O263" s="6" t="str"/>
      <x:c r="P263" s="6" t="str">
        <x:v>Not Eligible</x:v>
      </x:c>
      <x:c r="Q263" s="7" t="str"/>
    </x:row>
    <x:row r="264">
      <x:c r="A264" s="6" t="str">
        <x:v>APPR-0263</x:v>
      </x:c>
      <x:c r="B264" s="6" t="str">
        <x:v>Service Identity Queue</x:v>
      </x:c>
      <x:c r="C264" s="6" t="str">
        <x:v>SIDX-0263</x:v>
      </x:c>
      <x:c r="D264" s="6" t="str">
        <x:v>Service</x:v>
      </x:c>
      <x:c r="E264" s="6" t="str">
        <x:v>SVC000263</x:v>
      </x:c>
      <x:c r="F264" s="6" t="str">
        <x:f>IFERROR(IF(XLOOKUP(C264,'Review Sequence'!C2:C1586,'Review Sequence'!J2:J1586)="Reviewer Complete",XLOOKUP(C264,'Service Identity Queue'!A2:A315,'Service Identity Queue'!L2:L315),""),"")</x:f>
      </x:c>
      <x:c r="G264" s="6" t="str"/>
      <x:c r="H264" s="7" t="str">
        <x:f>IF(F264&lt;&gt;"",XLOOKUP(C264,'Service Identity Queue'!A2:A315,'Service Identity Queue'!N2:N315),"" )</x:f>
      </x:c>
      <x:c r="I264" s="6" t="str">
        <x:f>IF(F264&lt;&gt;"",XLOOKUP(C264,'Service Identity Queue'!A2:A315,'Service Identity Queue'!O2:O315),"" )</x:f>
      </x:c>
      <x:c r="J264" s="6" t="str">
        <x:f>IF(F264&lt;&gt;"",XLOOKUP(C264,'Service Identity Queue'!A2:A315,'Service Identity Queue'!P2:P315),"" )</x:f>
      </x:c>
      <x:c r="K264" s="6" t="str">
        <x:f>IF(F264&lt;&gt;"","Reviewer complete; second-level approval still required","Not eligible yet")</x:f>
        <x:v>Not eligible yet</x:v>
      </x:c>
      <x:c r="L264" s="6" t="str">
        <x:f>IF(P264="Not Eligible","PASS","FAIL")</x:f>
        <x:v>PASS</x:v>
      </x:c>
      <x:c r="M264" s="6" t="str">
        <x:v>Pending</x:v>
      </x:c>
      <x:c r="N264" s="6" t="str"/>
      <x:c r="O264" s="6" t="str"/>
      <x:c r="P264" s="6" t="str">
        <x:v>Not Eligible</x:v>
      </x:c>
      <x:c r="Q264" s="7" t="str"/>
    </x:row>
    <x:row r="265">
      <x:c r="A265" s="6" t="str">
        <x:v>APPR-0264</x:v>
      </x:c>
      <x:c r="B265" s="6" t="str">
        <x:v>Service Identity Queue</x:v>
      </x:c>
      <x:c r="C265" s="6" t="str">
        <x:v>SIDX-0264</x:v>
      </x:c>
      <x:c r="D265" s="6" t="str">
        <x:v>Service</x:v>
      </x:c>
      <x:c r="E265" s="6" t="str">
        <x:v>SVC000264</x:v>
      </x:c>
      <x:c r="F265" s="6" t="str">
        <x:f>IFERROR(IF(XLOOKUP(C265,'Review Sequence'!C2:C1586,'Review Sequence'!J2:J1586)="Reviewer Complete",XLOOKUP(C265,'Service Identity Queue'!A2:A315,'Service Identity Queue'!L2:L315),""),"")</x:f>
      </x:c>
      <x:c r="G265" s="6" t="str"/>
      <x:c r="H265" s="7" t="str">
        <x:f>IF(F265&lt;&gt;"",XLOOKUP(C265,'Service Identity Queue'!A2:A315,'Service Identity Queue'!N2:N315),"" )</x:f>
      </x:c>
      <x:c r="I265" s="6" t="str">
        <x:f>IF(F265&lt;&gt;"",XLOOKUP(C265,'Service Identity Queue'!A2:A315,'Service Identity Queue'!O2:O315),"" )</x:f>
      </x:c>
      <x:c r="J265" s="6" t="str">
        <x:f>IF(F265&lt;&gt;"",XLOOKUP(C265,'Service Identity Queue'!A2:A315,'Service Identity Queue'!P2:P315),"" )</x:f>
      </x:c>
      <x:c r="K265" s="6" t="str">
        <x:f>IF(F265&lt;&gt;"","Reviewer complete; second-level approval still required","Not eligible yet")</x:f>
        <x:v>Not eligible yet</x:v>
      </x:c>
      <x:c r="L265" s="6" t="str">
        <x:f>IF(P265="Not Eligible","PASS","FAIL")</x:f>
        <x:v>PASS</x:v>
      </x:c>
      <x:c r="M265" s="6" t="str">
        <x:v>Pending</x:v>
      </x:c>
      <x:c r="N265" s="6" t="str"/>
      <x:c r="O265" s="6" t="str"/>
      <x:c r="P265" s="6" t="str">
        <x:v>Not Eligible</x:v>
      </x:c>
      <x:c r="Q265" s="7" t="str"/>
    </x:row>
    <x:row r="266">
      <x:c r="A266" s="6" t="str">
        <x:v>APPR-0265</x:v>
      </x:c>
      <x:c r="B266" s="6" t="str">
        <x:v>Service Identity Queue</x:v>
      </x:c>
      <x:c r="C266" s="6" t="str">
        <x:v>SIDX-0265</x:v>
      </x:c>
      <x:c r="D266" s="6" t="str">
        <x:v>Service</x:v>
      </x:c>
      <x:c r="E266" s="6" t="str">
        <x:v>SVC000265</x:v>
      </x:c>
      <x:c r="F266" s="6" t="str">
        <x:f>IFERROR(IF(XLOOKUP(C266,'Review Sequence'!C2:C1586,'Review Sequence'!J2:J1586)="Reviewer Complete",XLOOKUP(C266,'Service Identity Queue'!A2:A315,'Service Identity Queue'!L2:L315),""),"")</x:f>
      </x:c>
      <x:c r="G266" s="6" t="str"/>
      <x:c r="H266" s="7" t="str">
        <x:f>IF(F266&lt;&gt;"",XLOOKUP(C266,'Service Identity Queue'!A2:A315,'Service Identity Queue'!N2:N315),"" )</x:f>
      </x:c>
      <x:c r="I266" s="6" t="str">
        <x:f>IF(F266&lt;&gt;"",XLOOKUP(C266,'Service Identity Queue'!A2:A315,'Service Identity Queue'!O2:O315),"" )</x:f>
      </x:c>
      <x:c r="J266" s="6" t="str">
        <x:f>IF(F266&lt;&gt;"",XLOOKUP(C266,'Service Identity Queue'!A2:A315,'Service Identity Queue'!P2:P315),"" )</x:f>
      </x:c>
      <x:c r="K266" s="6" t="str">
        <x:f>IF(F266&lt;&gt;"","Reviewer complete; second-level approval still required","Not eligible yet")</x:f>
        <x:v>Not eligible yet</x:v>
      </x:c>
      <x:c r="L266" s="6" t="str">
        <x:f>IF(P266="Not Eligible","PASS","FAIL")</x:f>
        <x:v>PASS</x:v>
      </x:c>
      <x:c r="M266" s="6" t="str">
        <x:v>Pending</x:v>
      </x:c>
      <x:c r="N266" s="6" t="str"/>
      <x:c r="O266" s="6" t="str"/>
      <x:c r="P266" s="6" t="str">
        <x:v>Not Eligible</x:v>
      </x:c>
      <x:c r="Q266" s="7" t="str"/>
    </x:row>
    <x:row r="267">
      <x:c r="A267" s="6" t="str">
        <x:v>APPR-0266</x:v>
      </x:c>
      <x:c r="B267" s="6" t="str">
        <x:v>Service Identity Queue</x:v>
      </x:c>
      <x:c r="C267" s="6" t="str">
        <x:v>SIDX-0266</x:v>
      </x:c>
      <x:c r="D267" s="6" t="str">
        <x:v>Service</x:v>
      </x:c>
      <x:c r="E267" s="6" t="str">
        <x:v>SVC000266</x:v>
      </x:c>
      <x:c r="F267" s="6" t="str">
        <x:f>IFERROR(IF(XLOOKUP(C267,'Review Sequence'!C2:C1586,'Review Sequence'!J2:J1586)="Reviewer Complete",XLOOKUP(C267,'Service Identity Queue'!A2:A315,'Service Identity Queue'!L2:L315),""),"")</x:f>
      </x:c>
      <x:c r="G267" s="6" t="str"/>
      <x:c r="H267" s="7" t="str">
        <x:f>IF(F267&lt;&gt;"",XLOOKUP(C267,'Service Identity Queue'!A2:A315,'Service Identity Queue'!N2:N315),"" )</x:f>
      </x:c>
      <x:c r="I267" s="6" t="str">
        <x:f>IF(F267&lt;&gt;"",XLOOKUP(C267,'Service Identity Queue'!A2:A315,'Service Identity Queue'!O2:O315),"" )</x:f>
      </x:c>
      <x:c r="J267" s="6" t="str">
        <x:f>IF(F267&lt;&gt;"",XLOOKUP(C267,'Service Identity Queue'!A2:A315,'Service Identity Queue'!P2:P315),"" )</x:f>
      </x:c>
      <x:c r="K267" s="6" t="str">
        <x:f>IF(F267&lt;&gt;"","Reviewer complete; second-level approval still required","Not eligible yet")</x:f>
        <x:v>Not eligible yet</x:v>
      </x:c>
      <x:c r="L267" s="6" t="str">
        <x:f>IF(P267="Not Eligible","PASS","FAIL")</x:f>
        <x:v>PASS</x:v>
      </x:c>
      <x:c r="M267" s="6" t="str">
        <x:v>Pending</x:v>
      </x:c>
      <x:c r="N267" s="6" t="str"/>
      <x:c r="O267" s="6" t="str"/>
      <x:c r="P267" s="6" t="str">
        <x:v>Not Eligible</x:v>
      </x:c>
      <x:c r="Q267" s="7" t="str"/>
    </x:row>
    <x:row r="268">
      <x:c r="A268" s="6" t="str">
        <x:v>APPR-0267</x:v>
      </x:c>
      <x:c r="B268" s="6" t="str">
        <x:v>Service Identity Queue</x:v>
      </x:c>
      <x:c r="C268" s="6" t="str">
        <x:v>SIDX-0267</x:v>
      </x:c>
      <x:c r="D268" s="6" t="str">
        <x:v>Service</x:v>
      </x:c>
      <x:c r="E268" s="6" t="str">
        <x:v>SVC000267</x:v>
      </x:c>
      <x:c r="F268" s="6" t="str">
        <x:f>IFERROR(IF(XLOOKUP(C268,'Review Sequence'!C2:C1586,'Review Sequence'!J2:J1586)="Reviewer Complete",XLOOKUP(C268,'Service Identity Queue'!A2:A315,'Service Identity Queue'!L2:L315),""),"")</x:f>
      </x:c>
      <x:c r="G268" s="6" t="str"/>
      <x:c r="H268" s="7" t="str">
        <x:f>IF(F268&lt;&gt;"",XLOOKUP(C268,'Service Identity Queue'!A2:A315,'Service Identity Queue'!N2:N315),"" )</x:f>
      </x:c>
      <x:c r="I268" s="6" t="str">
        <x:f>IF(F268&lt;&gt;"",XLOOKUP(C268,'Service Identity Queue'!A2:A315,'Service Identity Queue'!O2:O315),"" )</x:f>
      </x:c>
      <x:c r="J268" s="6" t="str">
        <x:f>IF(F268&lt;&gt;"",XLOOKUP(C268,'Service Identity Queue'!A2:A315,'Service Identity Queue'!P2:P315),"" )</x:f>
      </x:c>
      <x:c r="K268" s="6" t="str">
        <x:f>IF(F268&lt;&gt;"","Reviewer complete; second-level approval still required","Not eligible yet")</x:f>
        <x:v>Not eligible yet</x:v>
      </x:c>
      <x:c r="L268" s="6" t="str">
        <x:f>IF(P268="Not Eligible","PASS","FAIL")</x:f>
        <x:v>PASS</x:v>
      </x:c>
      <x:c r="M268" s="6" t="str">
        <x:v>Pending</x:v>
      </x:c>
      <x:c r="N268" s="6" t="str"/>
      <x:c r="O268" s="6" t="str"/>
      <x:c r="P268" s="6" t="str">
        <x:v>Not Eligible</x:v>
      </x:c>
      <x:c r="Q268" s="7" t="str"/>
    </x:row>
    <x:row r="269">
      <x:c r="A269" s="6" t="str">
        <x:v>APPR-0268</x:v>
      </x:c>
      <x:c r="B269" s="6" t="str">
        <x:v>Service Identity Queue</x:v>
      </x:c>
      <x:c r="C269" s="6" t="str">
        <x:v>SIDX-0268</x:v>
      </x:c>
      <x:c r="D269" s="6" t="str">
        <x:v>Service</x:v>
      </x:c>
      <x:c r="E269" s="6" t="str">
        <x:v>SVC000268</x:v>
      </x:c>
      <x:c r="F269" s="6" t="str">
        <x:f>IFERROR(IF(XLOOKUP(C269,'Review Sequence'!C2:C1586,'Review Sequence'!J2:J1586)="Reviewer Complete",XLOOKUP(C269,'Service Identity Queue'!A2:A315,'Service Identity Queue'!L2:L315),""),"")</x:f>
      </x:c>
      <x:c r="G269" s="6" t="str"/>
      <x:c r="H269" s="7" t="str">
        <x:f>IF(F269&lt;&gt;"",XLOOKUP(C269,'Service Identity Queue'!A2:A315,'Service Identity Queue'!N2:N315),"" )</x:f>
      </x:c>
      <x:c r="I269" s="6" t="str">
        <x:f>IF(F269&lt;&gt;"",XLOOKUP(C269,'Service Identity Queue'!A2:A315,'Service Identity Queue'!O2:O315),"" )</x:f>
      </x:c>
      <x:c r="J269" s="6" t="str">
        <x:f>IF(F269&lt;&gt;"",XLOOKUP(C269,'Service Identity Queue'!A2:A315,'Service Identity Queue'!P2:P315),"" )</x:f>
      </x:c>
      <x:c r="K269" s="6" t="str">
        <x:f>IF(F269&lt;&gt;"","Reviewer complete; second-level approval still required","Not eligible yet")</x:f>
        <x:v>Not eligible yet</x:v>
      </x:c>
      <x:c r="L269" s="6" t="str">
        <x:f>IF(P269="Not Eligible","PASS","FAIL")</x:f>
        <x:v>PASS</x:v>
      </x:c>
      <x:c r="M269" s="6" t="str">
        <x:v>Pending</x:v>
      </x:c>
      <x:c r="N269" s="6" t="str"/>
      <x:c r="O269" s="6" t="str"/>
      <x:c r="P269" s="6" t="str">
        <x:v>Not Eligible</x:v>
      </x:c>
      <x:c r="Q269" s="7" t="str"/>
    </x:row>
    <x:row r="270">
      <x:c r="A270" s="6" t="str">
        <x:v>APPR-0269</x:v>
      </x:c>
      <x:c r="B270" s="6" t="str">
        <x:v>Service Identity Queue</x:v>
      </x:c>
      <x:c r="C270" s="6" t="str">
        <x:v>SIDX-0269</x:v>
      </x:c>
      <x:c r="D270" s="6" t="str">
        <x:v>Service</x:v>
      </x:c>
      <x:c r="E270" s="6" t="str">
        <x:v>SVC000269</x:v>
      </x:c>
      <x:c r="F270" s="6" t="str">
        <x:f>IFERROR(IF(XLOOKUP(C270,'Review Sequence'!C2:C1586,'Review Sequence'!J2:J1586)="Reviewer Complete",XLOOKUP(C270,'Service Identity Queue'!A2:A315,'Service Identity Queue'!L2:L315),""),"")</x:f>
      </x:c>
      <x:c r="G270" s="6" t="str"/>
      <x:c r="H270" s="7" t="str">
        <x:f>IF(F270&lt;&gt;"",XLOOKUP(C270,'Service Identity Queue'!A2:A315,'Service Identity Queue'!N2:N315),"" )</x:f>
      </x:c>
      <x:c r="I270" s="6" t="str">
        <x:f>IF(F270&lt;&gt;"",XLOOKUP(C270,'Service Identity Queue'!A2:A315,'Service Identity Queue'!O2:O315),"" )</x:f>
      </x:c>
      <x:c r="J270" s="6" t="str">
        <x:f>IF(F270&lt;&gt;"",XLOOKUP(C270,'Service Identity Queue'!A2:A315,'Service Identity Queue'!P2:P315),"" )</x:f>
      </x:c>
      <x:c r="K270" s="6" t="str">
        <x:f>IF(F270&lt;&gt;"","Reviewer complete; second-level approval still required","Not eligible yet")</x:f>
        <x:v>Not eligible yet</x:v>
      </x:c>
      <x:c r="L270" s="6" t="str">
        <x:f>IF(P270="Not Eligible","PASS","FAIL")</x:f>
        <x:v>PASS</x:v>
      </x:c>
      <x:c r="M270" s="6" t="str">
        <x:v>Pending</x:v>
      </x:c>
      <x:c r="N270" s="6" t="str"/>
      <x:c r="O270" s="6" t="str"/>
      <x:c r="P270" s="6" t="str">
        <x:v>Not Eligible</x:v>
      </x:c>
      <x:c r="Q270" s="7" t="str"/>
    </x:row>
    <x:row r="271">
      <x:c r="A271" s="6" t="str">
        <x:v>APPR-0270</x:v>
      </x:c>
      <x:c r="B271" s="6" t="str">
        <x:v>Service Identity Queue</x:v>
      </x:c>
      <x:c r="C271" s="6" t="str">
        <x:v>SIDX-0270</x:v>
      </x:c>
      <x:c r="D271" s="6" t="str">
        <x:v>Service</x:v>
      </x:c>
      <x:c r="E271" s="6" t="str">
        <x:v>SVC000270</x:v>
      </x:c>
      <x:c r="F271" s="6" t="str">
        <x:f>IFERROR(IF(XLOOKUP(C271,'Review Sequence'!C2:C1586,'Review Sequence'!J2:J1586)="Reviewer Complete",XLOOKUP(C271,'Service Identity Queue'!A2:A315,'Service Identity Queue'!L2:L315),""),"")</x:f>
      </x:c>
      <x:c r="G271" s="6" t="str"/>
      <x:c r="H271" s="7" t="str">
        <x:f>IF(F271&lt;&gt;"",XLOOKUP(C271,'Service Identity Queue'!A2:A315,'Service Identity Queue'!N2:N315),"" )</x:f>
      </x:c>
      <x:c r="I271" s="6" t="str">
        <x:f>IF(F271&lt;&gt;"",XLOOKUP(C271,'Service Identity Queue'!A2:A315,'Service Identity Queue'!O2:O315),"" )</x:f>
      </x:c>
      <x:c r="J271" s="6" t="str">
        <x:f>IF(F271&lt;&gt;"",XLOOKUP(C271,'Service Identity Queue'!A2:A315,'Service Identity Queue'!P2:P315),"" )</x:f>
      </x:c>
      <x:c r="K271" s="6" t="str">
        <x:f>IF(F271&lt;&gt;"","Reviewer complete; second-level approval still required","Not eligible yet")</x:f>
        <x:v>Not eligible yet</x:v>
      </x:c>
      <x:c r="L271" s="6" t="str">
        <x:f>IF(P271="Not Eligible","PASS","FAIL")</x:f>
        <x:v>PASS</x:v>
      </x:c>
      <x:c r="M271" s="6" t="str">
        <x:v>Pending</x:v>
      </x:c>
      <x:c r="N271" s="6" t="str"/>
      <x:c r="O271" s="6" t="str"/>
      <x:c r="P271" s="6" t="str">
        <x:v>Not Eligible</x:v>
      </x:c>
      <x:c r="Q271" s="7" t="str"/>
    </x:row>
    <x:row r="272">
      <x:c r="A272" s="6" t="str">
        <x:v>APPR-0271</x:v>
      </x:c>
      <x:c r="B272" s="6" t="str">
        <x:v>Service Identity Queue</x:v>
      </x:c>
      <x:c r="C272" s="6" t="str">
        <x:v>SIDX-0271</x:v>
      </x:c>
      <x:c r="D272" s="6" t="str">
        <x:v>Service</x:v>
      </x:c>
      <x:c r="E272" s="6" t="str">
        <x:v>SVC000271</x:v>
      </x:c>
      <x:c r="F272" s="6" t="str">
        <x:f>IFERROR(IF(XLOOKUP(C272,'Review Sequence'!C2:C1586,'Review Sequence'!J2:J1586)="Reviewer Complete",XLOOKUP(C272,'Service Identity Queue'!A2:A315,'Service Identity Queue'!L2:L315),""),"")</x:f>
      </x:c>
      <x:c r="G272" s="6" t="str"/>
      <x:c r="H272" s="7" t="str">
        <x:f>IF(F272&lt;&gt;"",XLOOKUP(C272,'Service Identity Queue'!A2:A315,'Service Identity Queue'!N2:N315),"" )</x:f>
      </x:c>
      <x:c r="I272" s="6" t="str">
        <x:f>IF(F272&lt;&gt;"",XLOOKUP(C272,'Service Identity Queue'!A2:A315,'Service Identity Queue'!O2:O315),"" )</x:f>
      </x:c>
      <x:c r="J272" s="6" t="str">
        <x:f>IF(F272&lt;&gt;"",XLOOKUP(C272,'Service Identity Queue'!A2:A315,'Service Identity Queue'!P2:P315),"" )</x:f>
      </x:c>
      <x:c r="K272" s="6" t="str">
        <x:f>IF(F272&lt;&gt;"","Reviewer complete; second-level approval still required","Not eligible yet")</x:f>
        <x:v>Not eligible yet</x:v>
      </x:c>
      <x:c r="L272" s="6" t="str">
        <x:f>IF(P272="Not Eligible","PASS","FAIL")</x:f>
        <x:v>PASS</x:v>
      </x:c>
      <x:c r="M272" s="6" t="str">
        <x:v>Pending</x:v>
      </x:c>
      <x:c r="N272" s="6" t="str"/>
      <x:c r="O272" s="6" t="str"/>
      <x:c r="P272" s="6" t="str">
        <x:v>Not Eligible</x:v>
      </x:c>
      <x:c r="Q272" s="7" t="str"/>
    </x:row>
    <x:row r="273">
      <x:c r="A273" s="6" t="str">
        <x:v>APPR-0272</x:v>
      </x:c>
      <x:c r="B273" s="6" t="str">
        <x:v>Service Identity Queue</x:v>
      </x:c>
      <x:c r="C273" s="6" t="str">
        <x:v>SIDX-0272</x:v>
      </x:c>
      <x:c r="D273" s="6" t="str">
        <x:v>Service</x:v>
      </x:c>
      <x:c r="E273" s="6" t="str">
        <x:v>SVC000272</x:v>
      </x:c>
      <x:c r="F273" s="6" t="str">
        <x:f>IFERROR(IF(XLOOKUP(C273,'Review Sequence'!C2:C1586,'Review Sequence'!J2:J1586)="Reviewer Complete",XLOOKUP(C273,'Service Identity Queue'!A2:A315,'Service Identity Queue'!L2:L315),""),"")</x:f>
      </x:c>
      <x:c r="G273" s="6" t="str"/>
      <x:c r="H273" s="7" t="str">
        <x:f>IF(F273&lt;&gt;"",XLOOKUP(C273,'Service Identity Queue'!A2:A315,'Service Identity Queue'!N2:N315),"" )</x:f>
      </x:c>
      <x:c r="I273" s="6" t="str">
        <x:f>IF(F273&lt;&gt;"",XLOOKUP(C273,'Service Identity Queue'!A2:A315,'Service Identity Queue'!O2:O315),"" )</x:f>
      </x:c>
      <x:c r="J273" s="6" t="str">
        <x:f>IF(F273&lt;&gt;"",XLOOKUP(C273,'Service Identity Queue'!A2:A315,'Service Identity Queue'!P2:P315),"" )</x:f>
      </x:c>
      <x:c r="K273" s="6" t="str">
        <x:f>IF(F273&lt;&gt;"","Reviewer complete; second-level approval still required","Not eligible yet")</x:f>
        <x:v>Not eligible yet</x:v>
      </x:c>
      <x:c r="L273" s="6" t="str">
        <x:f>IF(P273="Not Eligible","PASS","FAIL")</x:f>
        <x:v>PASS</x:v>
      </x:c>
      <x:c r="M273" s="6" t="str">
        <x:v>Pending</x:v>
      </x:c>
      <x:c r="N273" s="6" t="str"/>
      <x:c r="O273" s="6" t="str"/>
      <x:c r="P273" s="6" t="str">
        <x:v>Not Eligible</x:v>
      </x:c>
      <x:c r="Q273" s="7" t="str"/>
    </x:row>
    <x:row r="274">
      <x:c r="A274" s="6" t="str">
        <x:v>APPR-0273</x:v>
      </x:c>
      <x:c r="B274" s="6" t="str">
        <x:v>Service Identity Queue</x:v>
      </x:c>
      <x:c r="C274" s="6" t="str">
        <x:v>SIDX-0273</x:v>
      </x:c>
      <x:c r="D274" s="6" t="str">
        <x:v>Service</x:v>
      </x:c>
      <x:c r="E274" s="6" t="str">
        <x:v>SVC000273</x:v>
      </x:c>
      <x:c r="F274" s="6" t="str">
        <x:f>IFERROR(IF(XLOOKUP(C274,'Review Sequence'!C2:C1586,'Review Sequence'!J2:J1586)="Reviewer Complete",XLOOKUP(C274,'Service Identity Queue'!A2:A315,'Service Identity Queue'!L2:L315),""),"")</x:f>
      </x:c>
      <x:c r="G274" s="6" t="str"/>
      <x:c r="H274" s="7" t="str">
        <x:f>IF(F274&lt;&gt;"",XLOOKUP(C274,'Service Identity Queue'!A2:A315,'Service Identity Queue'!N2:N315),"" )</x:f>
      </x:c>
      <x:c r="I274" s="6" t="str">
        <x:f>IF(F274&lt;&gt;"",XLOOKUP(C274,'Service Identity Queue'!A2:A315,'Service Identity Queue'!O2:O315),"" )</x:f>
      </x:c>
      <x:c r="J274" s="6" t="str">
        <x:f>IF(F274&lt;&gt;"",XLOOKUP(C274,'Service Identity Queue'!A2:A315,'Service Identity Queue'!P2:P315),"" )</x:f>
      </x:c>
      <x:c r="K274" s="6" t="str">
        <x:f>IF(F274&lt;&gt;"","Reviewer complete; second-level approval still required","Not eligible yet")</x:f>
        <x:v>Not eligible yet</x:v>
      </x:c>
      <x:c r="L274" s="6" t="str">
        <x:f>IF(P274="Not Eligible","PASS","FAIL")</x:f>
        <x:v>PASS</x:v>
      </x:c>
      <x:c r="M274" s="6" t="str">
        <x:v>Pending</x:v>
      </x:c>
      <x:c r="N274" s="6" t="str"/>
      <x:c r="O274" s="6" t="str"/>
      <x:c r="P274" s="6" t="str">
        <x:v>Not Eligible</x:v>
      </x:c>
      <x:c r="Q274" s="7" t="str"/>
    </x:row>
    <x:row r="275">
      <x:c r="A275" s="6" t="str">
        <x:v>APPR-0274</x:v>
      </x:c>
      <x:c r="B275" s="6" t="str">
        <x:v>Service Identity Queue</x:v>
      </x:c>
      <x:c r="C275" s="6" t="str">
        <x:v>SIDX-0274</x:v>
      </x:c>
      <x:c r="D275" s="6" t="str">
        <x:v>Service</x:v>
      </x:c>
      <x:c r="E275" s="6" t="str">
        <x:v>SVC000274</x:v>
      </x:c>
      <x:c r="F275" s="6" t="str">
        <x:f>IFERROR(IF(XLOOKUP(C275,'Review Sequence'!C2:C1586,'Review Sequence'!J2:J1586)="Reviewer Complete",XLOOKUP(C275,'Service Identity Queue'!A2:A315,'Service Identity Queue'!L2:L315),""),"")</x:f>
      </x:c>
      <x:c r="G275" s="6" t="str"/>
      <x:c r="H275" s="7" t="str">
        <x:f>IF(F275&lt;&gt;"",XLOOKUP(C275,'Service Identity Queue'!A2:A315,'Service Identity Queue'!N2:N315),"" )</x:f>
      </x:c>
      <x:c r="I275" s="6" t="str">
        <x:f>IF(F275&lt;&gt;"",XLOOKUP(C275,'Service Identity Queue'!A2:A315,'Service Identity Queue'!O2:O315),"" )</x:f>
      </x:c>
      <x:c r="J275" s="6" t="str">
        <x:f>IF(F275&lt;&gt;"",XLOOKUP(C275,'Service Identity Queue'!A2:A315,'Service Identity Queue'!P2:P315),"" )</x:f>
      </x:c>
      <x:c r="K275" s="6" t="str">
        <x:f>IF(F275&lt;&gt;"","Reviewer complete; second-level approval still required","Not eligible yet")</x:f>
        <x:v>Not eligible yet</x:v>
      </x:c>
      <x:c r="L275" s="6" t="str">
        <x:f>IF(P275="Not Eligible","PASS","FAIL")</x:f>
        <x:v>PASS</x:v>
      </x:c>
      <x:c r="M275" s="6" t="str">
        <x:v>Pending</x:v>
      </x:c>
      <x:c r="N275" s="6" t="str"/>
      <x:c r="O275" s="6" t="str"/>
      <x:c r="P275" s="6" t="str">
        <x:v>Not Eligible</x:v>
      </x:c>
      <x:c r="Q275" s="7" t="str"/>
    </x:row>
    <x:row r="276">
      <x:c r="A276" s="6" t="str">
        <x:v>APPR-0275</x:v>
      </x:c>
      <x:c r="B276" s="6" t="str">
        <x:v>Service Identity Queue</x:v>
      </x:c>
      <x:c r="C276" s="6" t="str">
        <x:v>SIDX-0275</x:v>
      </x:c>
      <x:c r="D276" s="6" t="str">
        <x:v>Service</x:v>
      </x:c>
      <x:c r="E276" s="6" t="str">
        <x:v>SVC000275</x:v>
      </x:c>
      <x:c r="F276" s="6" t="str">
        <x:f>IFERROR(IF(XLOOKUP(C276,'Review Sequence'!C2:C1586,'Review Sequence'!J2:J1586)="Reviewer Complete",XLOOKUP(C276,'Service Identity Queue'!A2:A315,'Service Identity Queue'!L2:L315),""),"")</x:f>
      </x:c>
      <x:c r="G276" s="6" t="str"/>
      <x:c r="H276" s="7" t="str">
        <x:f>IF(F276&lt;&gt;"",XLOOKUP(C276,'Service Identity Queue'!A2:A315,'Service Identity Queue'!N2:N315),"" )</x:f>
      </x:c>
      <x:c r="I276" s="6" t="str">
        <x:f>IF(F276&lt;&gt;"",XLOOKUP(C276,'Service Identity Queue'!A2:A315,'Service Identity Queue'!O2:O315),"" )</x:f>
      </x:c>
      <x:c r="J276" s="6" t="str">
        <x:f>IF(F276&lt;&gt;"",XLOOKUP(C276,'Service Identity Queue'!A2:A315,'Service Identity Queue'!P2:P315),"" )</x:f>
      </x:c>
      <x:c r="K276" s="6" t="str">
        <x:f>IF(F276&lt;&gt;"","Reviewer complete; second-level approval still required","Not eligible yet")</x:f>
        <x:v>Not eligible yet</x:v>
      </x:c>
      <x:c r="L276" s="6" t="str">
        <x:f>IF(P276="Not Eligible","PASS","FAIL")</x:f>
        <x:v>PASS</x:v>
      </x:c>
      <x:c r="M276" s="6" t="str">
        <x:v>Pending</x:v>
      </x:c>
      <x:c r="N276" s="6" t="str"/>
      <x:c r="O276" s="6" t="str"/>
      <x:c r="P276" s="6" t="str">
        <x:v>Not Eligible</x:v>
      </x:c>
      <x:c r="Q276" s="7" t="str"/>
    </x:row>
    <x:row r="277">
      <x:c r="A277" s="6" t="str">
        <x:v>APPR-0276</x:v>
      </x:c>
      <x:c r="B277" s="6" t="str">
        <x:v>Service Identity Queue</x:v>
      </x:c>
      <x:c r="C277" s="6" t="str">
        <x:v>SIDX-0276</x:v>
      </x:c>
      <x:c r="D277" s="6" t="str">
        <x:v>Service</x:v>
      </x:c>
      <x:c r="E277" s="6" t="str">
        <x:v>SVC000276</x:v>
      </x:c>
      <x:c r="F277" s="6" t="str">
        <x:f>IFERROR(IF(XLOOKUP(C277,'Review Sequence'!C2:C1586,'Review Sequence'!J2:J1586)="Reviewer Complete",XLOOKUP(C277,'Service Identity Queue'!A2:A315,'Service Identity Queue'!L2:L315),""),"")</x:f>
      </x:c>
      <x:c r="G277" s="6" t="str"/>
      <x:c r="H277" s="7" t="str">
        <x:f>IF(F277&lt;&gt;"",XLOOKUP(C277,'Service Identity Queue'!A2:A315,'Service Identity Queue'!N2:N315),"" )</x:f>
      </x:c>
      <x:c r="I277" s="6" t="str">
        <x:f>IF(F277&lt;&gt;"",XLOOKUP(C277,'Service Identity Queue'!A2:A315,'Service Identity Queue'!O2:O315),"" )</x:f>
      </x:c>
      <x:c r="J277" s="6" t="str">
        <x:f>IF(F277&lt;&gt;"",XLOOKUP(C277,'Service Identity Queue'!A2:A315,'Service Identity Queue'!P2:P315),"" )</x:f>
      </x:c>
      <x:c r="K277" s="6" t="str">
        <x:f>IF(F277&lt;&gt;"","Reviewer complete; second-level approval still required","Not eligible yet")</x:f>
        <x:v>Not eligible yet</x:v>
      </x:c>
      <x:c r="L277" s="6" t="str">
        <x:f>IF(P277="Not Eligible","PASS","FAIL")</x:f>
        <x:v>PASS</x:v>
      </x:c>
      <x:c r="M277" s="6" t="str">
        <x:v>Pending</x:v>
      </x:c>
      <x:c r="N277" s="6" t="str"/>
      <x:c r="O277" s="6" t="str"/>
      <x:c r="P277" s="6" t="str">
        <x:v>Not Eligible</x:v>
      </x:c>
      <x:c r="Q277" s="7" t="str"/>
    </x:row>
    <x:row r="278">
      <x:c r="A278" s="6" t="str">
        <x:v>APPR-0277</x:v>
      </x:c>
      <x:c r="B278" s="6" t="str">
        <x:v>Service Identity Queue</x:v>
      </x:c>
      <x:c r="C278" s="6" t="str">
        <x:v>SIDX-0277</x:v>
      </x:c>
      <x:c r="D278" s="6" t="str">
        <x:v>Service</x:v>
      </x:c>
      <x:c r="E278" s="6" t="str">
        <x:v>SVC000277</x:v>
      </x:c>
      <x:c r="F278" s="6" t="str">
        <x:f>IFERROR(IF(XLOOKUP(C278,'Review Sequence'!C2:C1586,'Review Sequence'!J2:J1586)="Reviewer Complete",XLOOKUP(C278,'Service Identity Queue'!A2:A315,'Service Identity Queue'!L2:L315),""),"")</x:f>
      </x:c>
      <x:c r="G278" s="6" t="str"/>
      <x:c r="H278" s="7" t="str">
        <x:f>IF(F278&lt;&gt;"",XLOOKUP(C278,'Service Identity Queue'!A2:A315,'Service Identity Queue'!N2:N315),"" )</x:f>
      </x:c>
      <x:c r="I278" s="6" t="str">
        <x:f>IF(F278&lt;&gt;"",XLOOKUP(C278,'Service Identity Queue'!A2:A315,'Service Identity Queue'!O2:O315),"" )</x:f>
      </x:c>
      <x:c r="J278" s="6" t="str">
        <x:f>IF(F278&lt;&gt;"",XLOOKUP(C278,'Service Identity Queue'!A2:A315,'Service Identity Queue'!P2:P315),"" )</x:f>
      </x:c>
      <x:c r="K278" s="6" t="str">
        <x:f>IF(F278&lt;&gt;"","Reviewer complete; second-level approval still required","Not eligible yet")</x:f>
        <x:v>Not eligible yet</x:v>
      </x:c>
      <x:c r="L278" s="6" t="str">
        <x:f>IF(P278="Not Eligible","PASS","FAIL")</x:f>
        <x:v>PASS</x:v>
      </x:c>
      <x:c r="M278" s="6" t="str">
        <x:v>Pending</x:v>
      </x:c>
      <x:c r="N278" s="6" t="str"/>
      <x:c r="O278" s="6" t="str"/>
      <x:c r="P278" s="6" t="str">
        <x:v>Not Eligible</x:v>
      </x:c>
      <x:c r="Q278" s="7" t="str"/>
    </x:row>
    <x:row r="279">
      <x:c r="A279" s="6" t="str">
        <x:v>APPR-0278</x:v>
      </x:c>
      <x:c r="B279" s="6" t="str">
        <x:v>Service Identity Queue</x:v>
      </x:c>
      <x:c r="C279" s="6" t="str">
        <x:v>SIDX-0278</x:v>
      </x:c>
      <x:c r="D279" s="6" t="str">
        <x:v>Service</x:v>
      </x:c>
      <x:c r="E279" s="6" t="str">
        <x:v>SVC000278</x:v>
      </x:c>
      <x:c r="F279" s="6" t="str">
        <x:f>IFERROR(IF(XLOOKUP(C279,'Review Sequence'!C2:C1586,'Review Sequence'!J2:J1586)="Reviewer Complete",XLOOKUP(C279,'Service Identity Queue'!A2:A315,'Service Identity Queue'!L2:L315),""),"")</x:f>
      </x:c>
      <x:c r="G279" s="6" t="str"/>
      <x:c r="H279" s="7" t="str">
        <x:f>IF(F279&lt;&gt;"",XLOOKUP(C279,'Service Identity Queue'!A2:A315,'Service Identity Queue'!N2:N315),"" )</x:f>
      </x:c>
      <x:c r="I279" s="6" t="str">
        <x:f>IF(F279&lt;&gt;"",XLOOKUP(C279,'Service Identity Queue'!A2:A315,'Service Identity Queue'!O2:O315),"" )</x:f>
      </x:c>
      <x:c r="J279" s="6" t="str">
        <x:f>IF(F279&lt;&gt;"",XLOOKUP(C279,'Service Identity Queue'!A2:A315,'Service Identity Queue'!P2:P315),"" )</x:f>
      </x:c>
      <x:c r="K279" s="6" t="str">
        <x:f>IF(F279&lt;&gt;"","Reviewer complete; second-level approval still required","Not eligible yet")</x:f>
        <x:v>Not eligible yet</x:v>
      </x:c>
      <x:c r="L279" s="6" t="str">
        <x:f>IF(P279="Not Eligible","PASS","FAIL")</x:f>
        <x:v>PASS</x:v>
      </x:c>
      <x:c r="M279" s="6" t="str">
        <x:v>Pending</x:v>
      </x:c>
      <x:c r="N279" s="6" t="str"/>
      <x:c r="O279" s="6" t="str"/>
      <x:c r="P279" s="6" t="str">
        <x:v>Not Eligible</x:v>
      </x:c>
      <x:c r="Q279" s="7" t="str"/>
    </x:row>
    <x:row r="280">
      <x:c r="A280" s="6" t="str">
        <x:v>APPR-0279</x:v>
      </x:c>
      <x:c r="B280" s="6" t="str">
        <x:v>Service Identity Queue</x:v>
      </x:c>
      <x:c r="C280" s="6" t="str">
        <x:v>SIDX-0279</x:v>
      </x:c>
      <x:c r="D280" s="6" t="str">
        <x:v>Service</x:v>
      </x:c>
      <x:c r="E280" s="6" t="str">
        <x:v>SVC000279</x:v>
      </x:c>
      <x:c r="F280" s="6" t="str">
        <x:f>IFERROR(IF(XLOOKUP(C280,'Review Sequence'!C2:C1586,'Review Sequence'!J2:J1586)="Reviewer Complete",XLOOKUP(C280,'Service Identity Queue'!A2:A315,'Service Identity Queue'!L2:L315),""),"")</x:f>
      </x:c>
      <x:c r="G280" s="6" t="str"/>
      <x:c r="H280" s="7" t="str">
        <x:f>IF(F280&lt;&gt;"",XLOOKUP(C280,'Service Identity Queue'!A2:A315,'Service Identity Queue'!N2:N315),"" )</x:f>
      </x:c>
      <x:c r="I280" s="6" t="str">
        <x:f>IF(F280&lt;&gt;"",XLOOKUP(C280,'Service Identity Queue'!A2:A315,'Service Identity Queue'!O2:O315),"" )</x:f>
      </x:c>
      <x:c r="J280" s="6" t="str">
        <x:f>IF(F280&lt;&gt;"",XLOOKUP(C280,'Service Identity Queue'!A2:A315,'Service Identity Queue'!P2:P315),"" )</x:f>
      </x:c>
      <x:c r="K280" s="6" t="str">
        <x:f>IF(F280&lt;&gt;"","Reviewer complete; second-level approval still required","Not eligible yet")</x:f>
        <x:v>Not eligible yet</x:v>
      </x:c>
      <x:c r="L280" s="6" t="str">
        <x:f>IF(P280="Not Eligible","PASS","FAIL")</x:f>
        <x:v>PASS</x:v>
      </x:c>
      <x:c r="M280" s="6" t="str">
        <x:v>Pending</x:v>
      </x:c>
      <x:c r="N280" s="6" t="str"/>
      <x:c r="O280" s="6" t="str"/>
      <x:c r="P280" s="6" t="str">
        <x:v>Not Eligible</x:v>
      </x:c>
      <x:c r="Q280" s="7" t="str"/>
    </x:row>
    <x:row r="281">
      <x:c r="A281" s="6" t="str">
        <x:v>APPR-0280</x:v>
      </x:c>
      <x:c r="B281" s="6" t="str">
        <x:v>Service Identity Queue</x:v>
      </x:c>
      <x:c r="C281" s="6" t="str">
        <x:v>SIDX-0280</x:v>
      </x:c>
      <x:c r="D281" s="6" t="str">
        <x:v>Service</x:v>
      </x:c>
      <x:c r="E281" s="6" t="str">
        <x:v>SVC000280</x:v>
      </x:c>
      <x:c r="F281" s="6" t="str">
        <x:f>IFERROR(IF(XLOOKUP(C281,'Review Sequence'!C2:C1586,'Review Sequence'!J2:J1586)="Reviewer Complete",XLOOKUP(C281,'Service Identity Queue'!A2:A315,'Service Identity Queue'!L2:L315),""),"")</x:f>
      </x:c>
      <x:c r="G281" s="6" t="str"/>
      <x:c r="H281" s="7" t="str">
        <x:f>IF(F281&lt;&gt;"",XLOOKUP(C281,'Service Identity Queue'!A2:A315,'Service Identity Queue'!N2:N315),"" )</x:f>
      </x:c>
      <x:c r="I281" s="6" t="str">
        <x:f>IF(F281&lt;&gt;"",XLOOKUP(C281,'Service Identity Queue'!A2:A315,'Service Identity Queue'!O2:O315),"" )</x:f>
      </x:c>
      <x:c r="J281" s="6" t="str">
        <x:f>IF(F281&lt;&gt;"",XLOOKUP(C281,'Service Identity Queue'!A2:A315,'Service Identity Queue'!P2:P315),"" )</x:f>
      </x:c>
      <x:c r="K281" s="6" t="str">
        <x:f>IF(F281&lt;&gt;"","Reviewer complete; second-level approval still required","Not eligible yet")</x:f>
        <x:v>Not eligible yet</x:v>
      </x:c>
      <x:c r="L281" s="6" t="str">
        <x:f>IF(P281="Not Eligible","PASS","FAIL")</x:f>
        <x:v>PASS</x:v>
      </x:c>
      <x:c r="M281" s="6" t="str">
        <x:v>Pending</x:v>
      </x:c>
      <x:c r="N281" s="6" t="str"/>
      <x:c r="O281" s="6" t="str"/>
      <x:c r="P281" s="6" t="str">
        <x:v>Not Eligible</x:v>
      </x:c>
      <x:c r="Q281" s="7" t="str"/>
    </x:row>
    <x:row r="282">
      <x:c r="A282" s="6" t="str">
        <x:v>APPR-0281</x:v>
      </x:c>
      <x:c r="B282" s="6" t="str">
        <x:v>Service Identity Queue</x:v>
      </x:c>
      <x:c r="C282" s="6" t="str">
        <x:v>SIDX-0281</x:v>
      </x:c>
      <x:c r="D282" s="6" t="str">
        <x:v>Service</x:v>
      </x:c>
      <x:c r="E282" s="6" t="str">
        <x:v>SVC000281</x:v>
      </x:c>
      <x:c r="F282" s="6" t="str">
        <x:f>IFERROR(IF(XLOOKUP(C282,'Review Sequence'!C2:C1586,'Review Sequence'!J2:J1586)="Reviewer Complete",XLOOKUP(C282,'Service Identity Queue'!A2:A315,'Service Identity Queue'!L2:L315),""),"")</x:f>
      </x:c>
      <x:c r="G282" s="6" t="str"/>
      <x:c r="H282" s="7" t="str">
        <x:f>IF(F282&lt;&gt;"",XLOOKUP(C282,'Service Identity Queue'!A2:A315,'Service Identity Queue'!N2:N315),"" )</x:f>
      </x:c>
      <x:c r="I282" s="6" t="str">
        <x:f>IF(F282&lt;&gt;"",XLOOKUP(C282,'Service Identity Queue'!A2:A315,'Service Identity Queue'!O2:O315),"" )</x:f>
      </x:c>
      <x:c r="J282" s="6" t="str">
        <x:f>IF(F282&lt;&gt;"",XLOOKUP(C282,'Service Identity Queue'!A2:A315,'Service Identity Queue'!P2:P315),"" )</x:f>
      </x:c>
      <x:c r="K282" s="6" t="str">
        <x:f>IF(F282&lt;&gt;"","Reviewer complete; second-level approval still required","Not eligible yet")</x:f>
        <x:v>Not eligible yet</x:v>
      </x:c>
      <x:c r="L282" s="6" t="str">
        <x:f>IF(P282="Not Eligible","PASS","FAIL")</x:f>
        <x:v>PASS</x:v>
      </x:c>
      <x:c r="M282" s="6" t="str">
        <x:v>Pending</x:v>
      </x:c>
      <x:c r="N282" s="6" t="str"/>
      <x:c r="O282" s="6" t="str"/>
      <x:c r="P282" s="6" t="str">
        <x:v>Not Eligible</x:v>
      </x:c>
      <x:c r="Q282" s="7" t="str"/>
    </x:row>
    <x:row r="283">
      <x:c r="A283" s="6" t="str">
        <x:v>APPR-0282</x:v>
      </x:c>
      <x:c r="B283" s="6" t="str">
        <x:v>Service Identity Queue</x:v>
      </x:c>
      <x:c r="C283" s="6" t="str">
        <x:v>SIDX-0282</x:v>
      </x:c>
      <x:c r="D283" s="6" t="str">
        <x:v>Service</x:v>
      </x:c>
      <x:c r="E283" s="6" t="str">
        <x:v>SVC000282</x:v>
      </x:c>
      <x:c r="F283" s="6" t="str">
        <x:f>IFERROR(IF(XLOOKUP(C283,'Review Sequence'!C2:C1586,'Review Sequence'!J2:J1586)="Reviewer Complete",XLOOKUP(C283,'Service Identity Queue'!A2:A315,'Service Identity Queue'!L2:L315),""),"")</x:f>
      </x:c>
      <x:c r="G283" s="6" t="str"/>
      <x:c r="H283" s="7" t="str">
        <x:f>IF(F283&lt;&gt;"",XLOOKUP(C283,'Service Identity Queue'!A2:A315,'Service Identity Queue'!N2:N315),"" )</x:f>
      </x:c>
      <x:c r="I283" s="6" t="str">
        <x:f>IF(F283&lt;&gt;"",XLOOKUP(C283,'Service Identity Queue'!A2:A315,'Service Identity Queue'!O2:O315),"" )</x:f>
      </x:c>
      <x:c r="J283" s="6" t="str">
        <x:f>IF(F283&lt;&gt;"",XLOOKUP(C283,'Service Identity Queue'!A2:A315,'Service Identity Queue'!P2:P315),"" )</x:f>
      </x:c>
      <x:c r="K283" s="6" t="str">
        <x:f>IF(F283&lt;&gt;"","Reviewer complete; second-level approval still required","Not eligible yet")</x:f>
        <x:v>Not eligible yet</x:v>
      </x:c>
      <x:c r="L283" s="6" t="str">
        <x:f>IF(P283="Not Eligible","PASS","FAIL")</x:f>
        <x:v>PASS</x:v>
      </x:c>
      <x:c r="M283" s="6" t="str">
        <x:v>Pending</x:v>
      </x:c>
      <x:c r="N283" s="6" t="str"/>
      <x:c r="O283" s="6" t="str"/>
      <x:c r="P283" s="6" t="str">
        <x:v>Not Eligible</x:v>
      </x:c>
      <x:c r="Q283" s="7" t="str"/>
    </x:row>
    <x:row r="284">
      <x:c r="A284" s="6" t="str">
        <x:v>APPR-0283</x:v>
      </x:c>
      <x:c r="B284" s="6" t="str">
        <x:v>Service Identity Queue</x:v>
      </x:c>
      <x:c r="C284" s="6" t="str">
        <x:v>SIDX-0283</x:v>
      </x:c>
      <x:c r="D284" s="6" t="str">
        <x:v>Service</x:v>
      </x:c>
      <x:c r="E284" s="6" t="str">
        <x:v>SVC000283</x:v>
      </x:c>
      <x:c r="F284" s="6" t="str">
        <x:f>IFERROR(IF(XLOOKUP(C284,'Review Sequence'!C2:C1586,'Review Sequence'!J2:J1586)="Reviewer Complete",XLOOKUP(C284,'Service Identity Queue'!A2:A315,'Service Identity Queue'!L2:L315),""),"")</x:f>
      </x:c>
      <x:c r="G284" s="6" t="str"/>
      <x:c r="H284" s="7" t="str">
        <x:f>IF(F284&lt;&gt;"",XLOOKUP(C284,'Service Identity Queue'!A2:A315,'Service Identity Queue'!N2:N315),"" )</x:f>
      </x:c>
      <x:c r="I284" s="6" t="str">
        <x:f>IF(F284&lt;&gt;"",XLOOKUP(C284,'Service Identity Queue'!A2:A315,'Service Identity Queue'!O2:O315),"" )</x:f>
      </x:c>
      <x:c r="J284" s="6" t="str">
        <x:f>IF(F284&lt;&gt;"",XLOOKUP(C284,'Service Identity Queue'!A2:A315,'Service Identity Queue'!P2:P315),"" )</x:f>
      </x:c>
      <x:c r="K284" s="6" t="str">
        <x:f>IF(F284&lt;&gt;"","Reviewer complete; second-level approval still required","Not eligible yet")</x:f>
        <x:v>Not eligible yet</x:v>
      </x:c>
      <x:c r="L284" s="6" t="str">
        <x:f>IF(P284="Not Eligible","PASS","FAIL")</x:f>
        <x:v>PASS</x:v>
      </x:c>
      <x:c r="M284" s="6" t="str">
        <x:v>Pending</x:v>
      </x:c>
      <x:c r="N284" s="6" t="str"/>
      <x:c r="O284" s="6" t="str"/>
      <x:c r="P284" s="6" t="str">
        <x:v>Not Eligible</x:v>
      </x:c>
      <x:c r="Q284" s="7" t="str"/>
    </x:row>
    <x:row r="285">
      <x:c r="A285" s="6" t="str">
        <x:v>APPR-0284</x:v>
      </x:c>
      <x:c r="B285" s="6" t="str">
        <x:v>Service Identity Queue</x:v>
      </x:c>
      <x:c r="C285" s="6" t="str">
        <x:v>SIDX-0284</x:v>
      </x:c>
      <x:c r="D285" s="6" t="str">
        <x:v>Service</x:v>
      </x:c>
      <x:c r="E285" s="6" t="str">
        <x:v>SVC000284</x:v>
      </x:c>
      <x:c r="F285" s="6" t="str">
        <x:f>IFERROR(IF(XLOOKUP(C285,'Review Sequence'!C2:C1586,'Review Sequence'!J2:J1586)="Reviewer Complete",XLOOKUP(C285,'Service Identity Queue'!A2:A315,'Service Identity Queue'!L2:L315),""),"")</x:f>
      </x:c>
      <x:c r="G285" s="6" t="str"/>
      <x:c r="H285" s="7" t="str">
        <x:f>IF(F285&lt;&gt;"",XLOOKUP(C285,'Service Identity Queue'!A2:A315,'Service Identity Queue'!N2:N315),"" )</x:f>
      </x:c>
      <x:c r="I285" s="6" t="str">
        <x:f>IF(F285&lt;&gt;"",XLOOKUP(C285,'Service Identity Queue'!A2:A315,'Service Identity Queue'!O2:O315),"" )</x:f>
      </x:c>
      <x:c r="J285" s="6" t="str">
        <x:f>IF(F285&lt;&gt;"",XLOOKUP(C285,'Service Identity Queue'!A2:A315,'Service Identity Queue'!P2:P315),"" )</x:f>
      </x:c>
      <x:c r="K285" s="6" t="str">
        <x:f>IF(F285&lt;&gt;"","Reviewer complete; second-level approval still required","Not eligible yet")</x:f>
        <x:v>Not eligible yet</x:v>
      </x:c>
      <x:c r="L285" s="6" t="str">
        <x:f>IF(P285="Not Eligible","PASS","FAIL")</x:f>
        <x:v>PASS</x:v>
      </x:c>
      <x:c r="M285" s="6" t="str">
        <x:v>Pending</x:v>
      </x:c>
      <x:c r="N285" s="6" t="str"/>
      <x:c r="O285" s="6" t="str"/>
      <x:c r="P285" s="6" t="str">
        <x:v>Not Eligible</x:v>
      </x:c>
      <x:c r="Q285" s="7" t="str"/>
    </x:row>
    <x:row r="286">
      <x:c r="A286" s="6" t="str">
        <x:v>APPR-0285</x:v>
      </x:c>
      <x:c r="B286" s="6" t="str">
        <x:v>Service Identity Queue</x:v>
      </x:c>
      <x:c r="C286" s="6" t="str">
        <x:v>SIDX-0285</x:v>
      </x:c>
      <x:c r="D286" s="6" t="str">
        <x:v>Service</x:v>
      </x:c>
      <x:c r="E286" s="6" t="str">
        <x:v>SVC000285</x:v>
      </x:c>
      <x:c r="F286" s="6" t="str">
        <x:f>IFERROR(IF(XLOOKUP(C286,'Review Sequence'!C2:C1586,'Review Sequence'!J2:J1586)="Reviewer Complete",XLOOKUP(C286,'Service Identity Queue'!A2:A315,'Service Identity Queue'!L2:L315),""),"")</x:f>
      </x:c>
      <x:c r="G286" s="6" t="str"/>
      <x:c r="H286" s="7" t="str">
        <x:f>IF(F286&lt;&gt;"",XLOOKUP(C286,'Service Identity Queue'!A2:A315,'Service Identity Queue'!N2:N315),"" )</x:f>
      </x:c>
      <x:c r="I286" s="6" t="str">
        <x:f>IF(F286&lt;&gt;"",XLOOKUP(C286,'Service Identity Queue'!A2:A315,'Service Identity Queue'!O2:O315),"" )</x:f>
      </x:c>
      <x:c r="J286" s="6" t="str">
        <x:f>IF(F286&lt;&gt;"",XLOOKUP(C286,'Service Identity Queue'!A2:A315,'Service Identity Queue'!P2:P315),"" )</x:f>
      </x:c>
      <x:c r="K286" s="6" t="str">
        <x:f>IF(F286&lt;&gt;"","Reviewer complete; second-level approval still required","Not eligible yet")</x:f>
        <x:v>Not eligible yet</x:v>
      </x:c>
      <x:c r="L286" s="6" t="str">
        <x:f>IF(P286="Not Eligible","PASS","FAIL")</x:f>
        <x:v>PASS</x:v>
      </x:c>
      <x:c r="M286" s="6" t="str">
        <x:v>Pending</x:v>
      </x:c>
      <x:c r="N286" s="6" t="str"/>
      <x:c r="O286" s="6" t="str"/>
      <x:c r="P286" s="6" t="str">
        <x:v>Not Eligible</x:v>
      </x:c>
      <x:c r="Q286" s="7" t="str"/>
    </x:row>
    <x:row r="287">
      <x:c r="A287" s="6" t="str">
        <x:v>APPR-0286</x:v>
      </x:c>
      <x:c r="B287" s="6" t="str">
        <x:v>Service Identity Queue</x:v>
      </x:c>
      <x:c r="C287" s="6" t="str">
        <x:v>SIDX-0286</x:v>
      </x:c>
      <x:c r="D287" s="6" t="str">
        <x:v>Service</x:v>
      </x:c>
      <x:c r="E287" s="6" t="str">
        <x:v>SVC000286</x:v>
      </x:c>
      <x:c r="F287" s="6" t="str">
        <x:f>IFERROR(IF(XLOOKUP(C287,'Review Sequence'!C2:C1586,'Review Sequence'!J2:J1586)="Reviewer Complete",XLOOKUP(C287,'Service Identity Queue'!A2:A315,'Service Identity Queue'!L2:L315),""),"")</x:f>
      </x:c>
      <x:c r="G287" s="6" t="str"/>
      <x:c r="H287" s="7" t="str">
        <x:f>IF(F287&lt;&gt;"",XLOOKUP(C287,'Service Identity Queue'!A2:A315,'Service Identity Queue'!N2:N315),"" )</x:f>
      </x:c>
      <x:c r="I287" s="6" t="str">
        <x:f>IF(F287&lt;&gt;"",XLOOKUP(C287,'Service Identity Queue'!A2:A315,'Service Identity Queue'!O2:O315),"" )</x:f>
      </x:c>
      <x:c r="J287" s="6" t="str">
        <x:f>IF(F287&lt;&gt;"",XLOOKUP(C287,'Service Identity Queue'!A2:A315,'Service Identity Queue'!P2:P315),"" )</x:f>
      </x:c>
      <x:c r="K287" s="6" t="str">
        <x:f>IF(F287&lt;&gt;"","Reviewer complete; second-level approval still required","Not eligible yet")</x:f>
        <x:v>Not eligible yet</x:v>
      </x:c>
      <x:c r="L287" s="6" t="str">
        <x:f>IF(P287="Not Eligible","PASS","FAIL")</x:f>
        <x:v>PASS</x:v>
      </x:c>
      <x:c r="M287" s="6" t="str">
        <x:v>Pending</x:v>
      </x:c>
      <x:c r="N287" s="6" t="str"/>
      <x:c r="O287" s="6" t="str"/>
      <x:c r="P287" s="6" t="str">
        <x:v>Not Eligible</x:v>
      </x:c>
      <x:c r="Q287" s="7" t="str"/>
    </x:row>
    <x:row r="288">
      <x:c r="A288" s="6" t="str">
        <x:v>APPR-0287</x:v>
      </x:c>
      <x:c r="B288" s="6" t="str">
        <x:v>Service Identity Queue</x:v>
      </x:c>
      <x:c r="C288" s="6" t="str">
        <x:v>SIDX-0287</x:v>
      </x:c>
      <x:c r="D288" s="6" t="str">
        <x:v>Service</x:v>
      </x:c>
      <x:c r="E288" s="6" t="str">
        <x:v>SVC000287</x:v>
      </x:c>
      <x:c r="F288" s="6" t="str">
        <x:f>IFERROR(IF(XLOOKUP(C288,'Review Sequence'!C2:C1586,'Review Sequence'!J2:J1586)="Reviewer Complete",XLOOKUP(C288,'Service Identity Queue'!A2:A315,'Service Identity Queue'!L2:L315),""),"")</x:f>
      </x:c>
      <x:c r="G288" s="6" t="str"/>
      <x:c r="H288" s="7" t="str">
        <x:f>IF(F288&lt;&gt;"",XLOOKUP(C288,'Service Identity Queue'!A2:A315,'Service Identity Queue'!N2:N315),"" )</x:f>
      </x:c>
      <x:c r="I288" s="6" t="str">
        <x:f>IF(F288&lt;&gt;"",XLOOKUP(C288,'Service Identity Queue'!A2:A315,'Service Identity Queue'!O2:O315),"" )</x:f>
      </x:c>
      <x:c r="J288" s="6" t="str">
        <x:f>IF(F288&lt;&gt;"",XLOOKUP(C288,'Service Identity Queue'!A2:A315,'Service Identity Queue'!P2:P315),"" )</x:f>
      </x:c>
      <x:c r="K288" s="6" t="str">
        <x:f>IF(F288&lt;&gt;"","Reviewer complete; second-level approval still required","Not eligible yet")</x:f>
        <x:v>Not eligible yet</x:v>
      </x:c>
      <x:c r="L288" s="6" t="str">
        <x:f>IF(P288="Not Eligible","PASS","FAIL")</x:f>
        <x:v>PASS</x:v>
      </x:c>
      <x:c r="M288" s="6" t="str">
        <x:v>Pending</x:v>
      </x:c>
      <x:c r="N288" s="6" t="str"/>
      <x:c r="O288" s="6" t="str"/>
      <x:c r="P288" s="6" t="str">
        <x:v>Not Eligible</x:v>
      </x:c>
      <x:c r="Q288" s="7" t="str"/>
    </x:row>
    <x:row r="289">
      <x:c r="A289" s="6" t="str">
        <x:v>APPR-0288</x:v>
      </x:c>
      <x:c r="B289" s="6" t="str">
        <x:v>Service Identity Queue</x:v>
      </x:c>
      <x:c r="C289" s="6" t="str">
        <x:v>SIDX-0288</x:v>
      </x:c>
      <x:c r="D289" s="6" t="str">
        <x:v>Service</x:v>
      </x:c>
      <x:c r="E289" s="6" t="str">
        <x:v>SVC000288</x:v>
      </x:c>
      <x:c r="F289" s="6" t="str">
        <x:f>IFERROR(IF(XLOOKUP(C289,'Review Sequence'!C2:C1586,'Review Sequence'!J2:J1586)="Reviewer Complete",XLOOKUP(C289,'Service Identity Queue'!A2:A315,'Service Identity Queue'!L2:L315),""),"")</x:f>
      </x:c>
      <x:c r="G289" s="6" t="str"/>
      <x:c r="H289" s="7" t="str">
        <x:f>IF(F289&lt;&gt;"",XLOOKUP(C289,'Service Identity Queue'!A2:A315,'Service Identity Queue'!N2:N315),"" )</x:f>
      </x:c>
      <x:c r="I289" s="6" t="str">
        <x:f>IF(F289&lt;&gt;"",XLOOKUP(C289,'Service Identity Queue'!A2:A315,'Service Identity Queue'!O2:O315),"" )</x:f>
      </x:c>
      <x:c r="J289" s="6" t="str">
        <x:f>IF(F289&lt;&gt;"",XLOOKUP(C289,'Service Identity Queue'!A2:A315,'Service Identity Queue'!P2:P315),"" )</x:f>
      </x:c>
      <x:c r="K289" s="6" t="str">
        <x:f>IF(F289&lt;&gt;"","Reviewer complete; second-level approval still required","Not eligible yet")</x:f>
        <x:v>Not eligible yet</x:v>
      </x:c>
      <x:c r="L289" s="6" t="str">
        <x:f>IF(P289="Not Eligible","PASS","FAIL")</x:f>
        <x:v>PASS</x:v>
      </x:c>
      <x:c r="M289" s="6" t="str">
        <x:v>Pending</x:v>
      </x:c>
      <x:c r="N289" s="6" t="str"/>
      <x:c r="O289" s="6" t="str"/>
      <x:c r="P289" s="6" t="str">
        <x:v>Not Eligible</x:v>
      </x:c>
      <x:c r="Q289" s="7" t="str"/>
    </x:row>
    <x:row r="290">
      <x:c r="A290" s="6" t="str">
        <x:v>APPR-0289</x:v>
      </x:c>
      <x:c r="B290" s="6" t="str">
        <x:v>Service Identity Queue</x:v>
      </x:c>
      <x:c r="C290" s="6" t="str">
        <x:v>SIDX-0289</x:v>
      </x:c>
      <x:c r="D290" s="6" t="str">
        <x:v>Service</x:v>
      </x:c>
      <x:c r="E290" s="6" t="str">
        <x:v>SVC000289</x:v>
      </x:c>
      <x:c r="F290" s="6" t="str">
        <x:f>IFERROR(IF(XLOOKUP(C290,'Review Sequence'!C2:C1586,'Review Sequence'!J2:J1586)="Reviewer Complete",XLOOKUP(C290,'Service Identity Queue'!A2:A315,'Service Identity Queue'!L2:L315),""),"")</x:f>
      </x:c>
      <x:c r="G290" s="6" t="str"/>
      <x:c r="H290" s="7" t="str">
        <x:f>IF(F290&lt;&gt;"",XLOOKUP(C290,'Service Identity Queue'!A2:A315,'Service Identity Queue'!N2:N315),"" )</x:f>
      </x:c>
      <x:c r="I290" s="6" t="str">
        <x:f>IF(F290&lt;&gt;"",XLOOKUP(C290,'Service Identity Queue'!A2:A315,'Service Identity Queue'!O2:O315),"" )</x:f>
      </x:c>
      <x:c r="J290" s="6" t="str">
        <x:f>IF(F290&lt;&gt;"",XLOOKUP(C290,'Service Identity Queue'!A2:A315,'Service Identity Queue'!P2:P315),"" )</x:f>
      </x:c>
      <x:c r="K290" s="6" t="str">
        <x:f>IF(F290&lt;&gt;"","Reviewer complete; second-level approval still required","Not eligible yet")</x:f>
        <x:v>Not eligible yet</x:v>
      </x:c>
      <x:c r="L290" s="6" t="str">
        <x:f>IF(P290="Not Eligible","PASS","FAIL")</x:f>
        <x:v>PASS</x:v>
      </x:c>
      <x:c r="M290" s="6" t="str">
        <x:v>Pending</x:v>
      </x:c>
      <x:c r="N290" s="6" t="str"/>
      <x:c r="O290" s="6" t="str"/>
      <x:c r="P290" s="6" t="str">
        <x:v>Not Eligible</x:v>
      </x:c>
      <x:c r="Q290" s="7" t="str"/>
    </x:row>
    <x:row r="291">
      <x:c r="A291" s="6" t="str">
        <x:v>APPR-0290</x:v>
      </x:c>
      <x:c r="B291" s="6" t="str">
        <x:v>Service Identity Queue</x:v>
      </x:c>
      <x:c r="C291" s="6" t="str">
        <x:v>SIDX-0290</x:v>
      </x:c>
      <x:c r="D291" s="6" t="str">
        <x:v>Service</x:v>
      </x:c>
      <x:c r="E291" s="6" t="str">
        <x:v>SVC000290</x:v>
      </x:c>
      <x:c r="F291" s="6" t="str">
        <x:f>IFERROR(IF(XLOOKUP(C291,'Review Sequence'!C2:C1586,'Review Sequence'!J2:J1586)="Reviewer Complete",XLOOKUP(C291,'Service Identity Queue'!A2:A315,'Service Identity Queue'!L2:L315),""),"")</x:f>
      </x:c>
      <x:c r="G291" s="6" t="str"/>
      <x:c r="H291" s="7" t="str">
        <x:f>IF(F291&lt;&gt;"",XLOOKUP(C291,'Service Identity Queue'!A2:A315,'Service Identity Queue'!N2:N315),"" )</x:f>
      </x:c>
      <x:c r="I291" s="6" t="str">
        <x:f>IF(F291&lt;&gt;"",XLOOKUP(C291,'Service Identity Queue'!A2:A315,'Service Identity Queue'!O2:O315),"" )</x:f>
      </x:c>
      <x:c r="J291" s="6" t="str">
        <x:f>IF(F291&lt;&gt;"",XLOOKUP(C291,'Service Identity Queue'!A2:A315,'Service Identity Queue'!P2:P315),"" )</x:f>
      </x:c>
      <x:c r="K291" s="6" t="str">
        <x:f>IF(F291&lt;&gt;"","Reviewer complete; second-level approval still required","Not eligible yet")</x:f>
        <x:v>Not eligible yet</x:v>
      </x:c>
      <x:c r="L291" s="6" t="str">
        <x:f>IF(P291="Not Eligible","PASS","FAIL")</x:f>
        <x:v>PASS</x:v>
      </x:c>
      <x:c r="M291" s="6" t="str">
        <x:v>Pending</x:v>
      </x:c>
      <x:c r="N291" s="6" t="str"/>
      <x:c r="O291" s="6" t="str"/>
      <x:c r="P291" s="6" t="str">
        <x:v>Not Eligible</x:v>
      </x:c>
      <x:c r="Q291" s="7" t="str"/>
    </x:row>
    <x:row r="292">
      <x:c r="A292" s="6" t="str">
        <x:v>APPR-0291</x:v>
      </x:c>
      <x:c r="B292" s="6" t="str">
        <x:v>Service Identity Queue</x:v>
      </x:c>
      <x:c r="C292" s="6" t="str">
        <x:v>SIDX-0291</x:v>
      </x:c>
      <x:c r="D292" s="6" t="str">
        <x:v>Service</x:v>
      </x:c>
      <x:c r="E292" s="6" t="str">
        <x:v>SVC000291</x:v>
      </x:c>
      <x:c r="F292" s="6" t="str">
        <x:f>IFERROR(IF(XLOOKUP(C292,'Review Sequence'!C2:C1586,'Review Sequence'!J2:J1586)="Reviewer Complete",XLOOKUP(C292,'Service Identity Queue'!A2:A315,'Service Identity Queue'!L2:L315),""),"")</x:f>
      </x:c>
      <x:c r="G292" s="6" t="str"/>
      <x:c r="H292" s="7" t="str">
        <x:f>IF(F292&lt;&gt;"",XLOOKUP(C292,'Service Identity Queue'!A2:A315,'Service Identity Queue'!N2:N315),"" )</x:f>
      </x:c>
      <x:c r="I292" s="6" t="str">
        <x:f>IF(F292&lt;&gt;"",XLOOKUP(C292,'Service Identity Queue'!A2:A315,'Service Identity Queue'!O2:O315),"" )</x:f>
      </x:c>
      <x:c r="J292" s="6" t="str">
        <x:f>IF(F292&lt;&gt;"",XLOOKUP(C292,'Service Identity Queue'!A2:A315,'Service Identity Queue'!P2:P315),"" )</x:f>
      </x:c>
      <x:c r="K292" s="6" t="str">
        <x:f>IF(F292&lt;&gt;"","Reviewer complete; second-level approval still required","Not eligible yet")</x:f>
        <x:v>Not eligible yet</x:v>
      </x:c>
      <x:c r="L292" s="6" t="str">
        <x:f>IF(P292="Not Eligible","PASS","FAIL")</x:f>
        <x:v>PASS</x:v>
      </x:c>
      <x:c r="M292" s="6" t="str">
        <x:v>Pending</x:v>
      </x:c>
      <x:c r="N292" s="6" t="str"/>
      <x:c r="O292" s="6" t="str"/>
      <x:c r="P292" s="6" t="str">
        <x:v>Not Eligible</x:v>
      </x:c>
      <x:c r="Q292" s="7" t="str"/>
    </x:row>
    <x:row r="293">
      <x:c r="A293" s="6" t="str">
        <x:v>APPR-0292</x:v>
      </x:c>
      <x:c r="B293" s="6" t="str">
        <x:v>Service Identity Queue</x:v>
      </x:c>
      <x:c r="C293" s="6" t="str">
        <x:v>SIDX-0292</x:v>
      </x:c>
      <x:c r="D293" s="6" t="str">
        <x:v>Service</x:v>
      </x:c>
      <x:c r="E293" s="6" t="str">
        <x:v>SVC000292</x:v>
      </x:c>
      <x:c r="F293" s="6" t="str">
        <x:f>IFERROR(IF(XLOOKUP(C293,'Review Sequence'!C2:C1586,'Review Sequence'!J2:J1586)="Reviewer Complete",XLOOKUP(C293,'Service Identity Queue'!A2:A315,'Service Identity Queue'!L2:L315),""),"")</x:f>
      </x:c>
      <x:c r="G293" s="6" t="str"/>
      <x:c r="H293" s="7" t="str">
        <x:f>IF(F293&lt;&gt;"",XLOOKUP(C293,'Service Identity Queue'!A2:A315,'Service Identity Queue'!N2:N315),"" )</x:f>
      </x:c>
      <x:c r="I293" s="6" t="str">
        <x:f>IF(F293&lt;&gt;"",XLOOKUP(C293,'Service Identity Queue'!A2:A315,'Service Identity Queue'!O2:O315),"" )</x:f>
      </x:c>
      <x:c r="J293" s="6" t="str">
        <x:f>IF(F293&lt;&gt;"",XLOOKUP(C293,'Service Identity Queue'!A2:A315,'Service Identity Queue'!P2:P315),"" )</x:f>
      </x:c>
      <x:c r="K293" s="6" t="str">
        <x:f>IF(F293&lt;&gt;"","Reviewer complete; second-level approval still required","Not eligible yet")</x:f>
        <x:v>Not eligible yet</x:v>
      </x:c>
      <x:c r="L293" s="6" t="str">
        <x:f>IF(P293="Not Eligible","PASS","FAIL")</x:f>
        <x:v>PASS</x:v>
      </x:c>
      <x:c r="M293" s="6" t="str">
        <x:v>Pending</x:v>
      </x:c>
      <x:c r="N293" s="6" t="str"/>
      <x:c r="O293" s="6" t="str"/>
      <x:c r="P293" s="6" t="str">
        <x:v>Not Eligible</x:v>
      </x:c>
      <x:c r="Q293" s="7" t="str"/>
    </x:row>
    <x:row r="294">
      <x:c r="A294" s="6" t="str">
        <x:v>APPR-0293</x:v>
      </x:c>
      <x:c r="B294" s="6" t="str">
        <x:v>Service Identity Queue</x:v>
      </x:c>
      <x:c r="C294" s="6" t="str">
        <x:v>SIDX-0293</x:v>
      </x:c>
      <x:c r="D294" s="6" t="str">
        <x:v>Service</x:v>
      </x:c>
      <x:c r="E294" s="6" t="str">
        <x:v>SVC000293</x:v>
      </x:c>
      <x:c r="F294" s="6" t="str">
        <x:f>IFERROR(IF(XLOOKUP(C294,'Review Sequence'!C2:C1586,'Review Sequence'!J2:J1586)="Reviewer Complete",XLOOKUP(C294,'Service Identity Queue'!A2:A315,'Service Identity Queue'!L2:L315),""),"")</x:f>
      </x:c>
      <x:c r="G294" s="6" t="str"/>
      <x:c r="H294" s="7" t="str">
        <x:f>IF(F294&lt;&gt;"",XLOOKUP(C294,'Service Identity Queue'!A2:A315,'Service Identity Queue'!N2:N315),"" )</x:f>
      </x:c>
      <x:c r="I294" s="6" t="str">
        <x:f>IF(F294&lt;&gt;"",XLOOKUP(C294,'Service Identity Queue'!A2:A315,'Service Identity Queue'!O2:O315),"" )</x:f>
      </x:c>
      <x:c r="J294" s="6" t="str">
        <x:f>IF(F294&lt;&gt;"",XLOOKUP(C294,'Service Identity Queue'!A2:A315,'Service Identity Queue'!P2:P315),"" )</x:f>
      </x:c>
      <x:c r="K294" s="6" t="str">
        <x:f>IF(F294&lt;&gt;"","Reviewer complete; second-level approval still required","Not eligible yet")</x:f>
        <x:v>Not eligible yet</x:v>
      </x:c>
      <x:c r="L294" s="6" t="str">
        <x:f>IF(P294="Not Eligible","PASS","FAIL")</x:f>
        <x:v>PASS</x:v>
      </x:c>
      <x:c r="M294" s="6" t="str">
        <x:v>Pending</x:v>
      </x:c>
      <x:c r="N294" s="6" t="str"/>
      <x:c r="O294" s="6" t="str"/>
      <x:c r="P294" s="6" t="str">
        <x:v>Not Eligible</x:v>
      </x:c>
      <x:c r="Q294" s="7" t="str"/>
    </x:row>
    <x:row r="295">
      <x:c r="A295" s="6" t="str">
        <x:v>APPR-0294</x:v>
      </x:c>
      <x:c r="B295" s="6" t="str">
        <x:v>Service Identity Queue</x:v>
      </x:c>
      <x:c r="C295" s="6" t="str">
        <x:v>SIDX-0294</x:v>
      </x:c>
      <x:c r="D295" s="6" t="str">
        <x:v>Service</x:v>
      </x:c>
      <x:c r="E295" s="6" t="str">
        <x:v>SVC000294</x:v>
      </x:c>
      <x:c r="F295" s="6" t="str">
        <x:f>IFERROR(IF(XLOOKUP(C295,'Review Sequence'!C2:C1586,'Review Sequence'!J2:J1586)="Reviewer Complete",XLOOKUP(C295,'Service Identity Queue'!A2:A315,'Service Identity Queue'!L2:L315),""),"")</x:f>
      </x:c>
      <x:c r="G295" s="6" t="str"/>
      <x:c r="H295" s="7" t="str">
        <x:f>IF(F295&lt;&gt;"",XLOOKUP(C295,'Service Identity Queue'!A2:A315,'Service Identity Queue'!N2:N315),"" )</x:f>
      </x:c>
      <x:c r="I295" s="6" t="str">
        <x:f>IF(F295&lt;&gt;"",XLOOKUP(C295,'Service Identity Queue'!A2:A315,'Service Identity Queue'!O2:O315),"" )</x:f>
      </x:c>
      <x:c r="J295" s="6" t="str">
        <x:f>IF(F295&lt;&gt;"",XLOOKUP(C295,'Service Identity Queue'!A2:A315,'Service Identity Queue'!P2:P315),"" )</x:f>
      </x:c>
      <x:c r="K295" s="6" t="str">
        <x:f>IF(F295&lt;&gt;"","Reviewer complete; second-level approval still required","Not eligible yet")</x:f>
        <x:v>Not eligible yet</x:v>
      </x:c>
      <x:c r="L295" s="6" t="str">
        <x:f>IF(P295="Not Eligible","PASS","FAIL")</x:f>
        <x:v>PASS</x:v>
      </x:c>
      <x:c r="M295" s="6" t="str">
        <x:v>Pending</x:v>
      </x:c>
      <x:c r="N295" s="6" t="str"/>
      <x:c r="O295" s="6" t="str"/>
      <x:c r="P295" s="6" t="str">
        <x:v>Not Eligible</x:v>
      </x:c>
      <x:c r="Q295" s="7" t="str"/>
    </x:row>
    <x:row r="296">
      <x:c r="A296" s="6" t="str">
        <x:v>APPR-0295</x:v>
      </x:c>
      <x:c r="B296" s="6" t="str">
        <x:v>Service Identity Queue</x:v>
      </x:c>
      <x:c r="C296" s="6" t="str">
        <x:v>SIDX-0295</x:v>
      </x:c>
      <x:c r="D296" s="6" t="str">
        <x:v>Service</x:v>
      </x:c>
      <x:c r="E296" s="6" t="str">
        <x:v>SVC000295</x:v>
      </x:c>
      <x:c r="F296" s="6" t="str">
        <x:f>IFERROR(IF(XLOOKUP(C296,'Review Sequence'!C2:C1586,'Review Sequence'!J2:J1586)="Reviewer Complete",XLOOKUP(C296,'Service Identity Queue'!A2:A315,'Service Identity Queue'!L2:L315),""),"")</x:f>
      </x:c>
      <x:c r="G296" s="6" t="str"/>
      <x:c r="H296" s="7" t="str">
        <x:f>IF(F296&lt;&gt;"",XLOOKUP(C296,'Service Identity Queue'!A2:A315,'Service Identity Queue'!N2:N315),"" )</x:f>
      </x:c>
      <x:c r="I296" s="6" t="str">
        <x:f>IF(F296&lt;&gt;"",XLOOKUP(C296,'Service Identity Queue'!A2:A315,'Service Identity Queue'!O2:O315),"" )</x:f>
      </x:c>
      <x:c r="J296" s="6" t="str">
        <x:f>IF(F296&lt;&gt;"",XLOOKUP(C296,'Service Identity Queue'!A2:A315,'Service Identity Queue'!P2:P315),"" )</x:f>
      </x:c>
      <x:c r="K296" s="6" t="str">
        <x:f>IF(F296&lt;&gt;"","Reviewer complete; second-level approval still required","Not eligible yet")</x:f>
        <x:v>Not eligible yet</x:v>
      </x:c>
      <x:c r="L296" s="6" t="str">
        <x:f>IF(P296="Not Eligible","PASS","FAIL")</x:f>
        <x:v>PASS</x:v>
      </x:c>
      <x:c r="M296" s="6" t="str">
        <x:v>Pending</x:v>
      </x:c>
      <x:c r="N296" s="6" t="str"/>
      <x:c r="O296" s="6" t="str"/>
      <x:c r="P296" s="6" t="str">
        <x:v>Not Eligible</x:v>
      </x:c>
      <x:c r="Q296" s="7" t="str"/>
    </x:row>
    <x:row r="297">
      <x:c r="A297" s="6" t="str">
        <x:v>APPR-0296</x:v>
      </x:c>
      <x:c r="B297" s="6" t="str">
        <x:v>Service Identity Queue</x:v>
      </x:c>
      <x:c r="C297" s="6" t="str">
        <x:v>SIDX-0296</x:v>
      </x:c>
      <x:c r="D297" s="6" t="str">
        <x:v>Service</x:v>
      </x:c>
      <x:c r="E297" s="6" t="str">
        <x:v>SVC000296</x:v>
      </x:c>
      <x:c r="F297" s="6" t="str">
        <x:f>IFERROR(IF(XLOOKUP(C297,'Review Sequence'!C2:C1586,'Review Sequence'!J2:J1586)="Reviewer Complete",XLOOKUP(C297,'Service Identity Queue'!A2:A315,'Service Identity Queue'!L2:L315),""),"")</x:f>
      </x:c>
      <x:c r="G297" s="6" t="str"/>
      <x:c r="H297" s="7" t="str">
        <x:f>IF(F297&lt;&gt;"",XLOOKUP(C297,'Service Identity Queue'!A2:A315,'Service Identity Queue'!N2:N315),"" )</x:f>
      </x:c>
      <x:c r="I297" s="6" t="str">
        <x:f>IF(F297&lt;&gt;"",XLOOKUP(C297,'Service Identity Queue'!A2:A315,'Service Identity Queue'!O2:O315),"" )</x:f>
      </x:c>
      <x:c r="J297" s="6" t="str">
        <x:f>IF(F297&lt;&gt;"",XLOOKUP(C297,'Service Identity Queue'!A2:A315,'Service Identity Queue'!P2:P315),"" )</x:f>
      </x:c>
      <x:c r="K297" s="6" t="str">
        <x:f>IF(F297&lt;&gt;"","Reviewer complete; second-level approval still required","Not eligible yet")</x:f>
        <x:v>Not eligible yet</x:v>
      </x:c>
      <x:c r="L297" s="6" t="str">
        <x:f>IF(P297="Not Eligible","PASS","FAIL")</x:f>
        <x:v>PASS</x:v>
      </x:c>
      <x:c r="M297" s="6" t="str">
        <x:v>Pending</x:v>
      </x:c>
      <x:c r="N297" s="6" t="str"/>
      <x:c r="O297" s="6" t="str"/>
      <x:c r="P297" s="6" t="str">
        <x:v>Not Eligible</x:v>
      </x:c>
      <x:c r="Q297" s="7" t="str"/>
    </x:row>
    <x:row r="298">
      <x:c r="A298" s="6" t="str">
        <x:v>APPR-0297</x:v>
      </x:c>
      <x:c r="B298" s="6" t="str">
        <x:v>Service Identity Queue</x:v>
      </x:c>
      <x:c r="C298" s="6" t="str">
        <x:v>SIDX-0297</x:v>
      </x:c>
      <x:c r="D298" s="6" t="str">
        <x:v>Service</x:v>
      </x:c>
      <x:c r="E298" s="6" t="str">
        <x:v>SVC000297</x:v>
      </x:c>
      <x:c r="F298" s="6" t="str">
        <x:f>IFERROR(IF(XLOOKUP(C298,'Review Sequence'!C2:C1586,'Review Sequence'!J2:J1586)="Reviewer Complete",XLOOKUP(C298,'Service Identity Queue'!A2:A315,'Service Identity Queue'!L2:L315),""),"")</x:f>
      </x:c>
      <x:c r="G298" s="6" t="str"/>
      <x:c r="H298" s="7" t="str">
        <x:f>IF(F298&lt;&gt;"",XLOOKUP(C298,'Service Identity Queue'!A2:A315,'Service Identity Queue'!N2:N315),"" )</x:f>
      </x:c>
      <x:c r="I298" s="6" t="str">
        <x:f>IF(F298&lt;&gt;"",XLOOKUP(C298,'Service Identity Queue'!A2:A315,'Service Identity Queue'!O2:O315),"" )</x:f>
      </x:c>
      <x:c r="J298" s="6" t="str">
        <x:f>IF(F298&lt;&gt;"",XLOOKUP(C298,'Service Identity Queue'!A2:A315,'Service Identity Queue'!P2:P315),"" )</x:f>
      </x:c>
      <x:c r="K298" s="6" t="str">
        <x:f>IF(F298&lt;&gt;"","Reviewer complete; second-level approval still required","Not eligible yet")</x:f>
        <x:v>Not eligible yet</x:v>
      </x:c>
      <x:c r="L298" s="6" t="str">
        <x:f>IF(P298="Not Eligible","PASS","FAIL")</x:f>
        <x:v>PASS</x:v>
      </x:c>
      <x:c r="M298" s="6" t="str">
        <x:v>Pending</x:v>
      </x:c>
      <x:c r="N298" s="6" t="str"/>
      <x:c r="O298" s="6" t="str"/>
      <x:c r="P298" s="6" t="str">
        <x:v>Not Eligible</x:v>
      </x:c>
      <x:c r="Q298" s="7" t="str"/>
    </x:row>
    <x:row r="299">
      <x:c r="A299" s="6" t="str">
        <x:v>APPR-0298</x:v>
      </x:c>
      <x:c r="B299" s="6" t="str">
        <x:v>Service Identity Queue</x:v>
      </x:c>
      <x:c r="C299" s="6" t="str">
        <x:v>SIDX-0298</x:v>
      </x:c>
      <x:c r="D299" s="6" t="str">
        <x:v>Service</x:v>
      </x:c>
      <x:c r="E299" s="6" t="str">
        <x:v>SVC000298</x:v>
      </x:c>
      <x:c r="F299" s="6" t="str">
        <x:f>IFERROR(IF(XLOOKUP(C299,'Review Sequence'!C2:C1586,'Review Sequence'!J2:J1586)="Reviewer Complete",XLOOKUP(C299,'Service Identity Queue'!A2:A315,'Service Identity Queue'!L2:L315),""),"")</x:f>
      </x:c>
      <x:c r="G299" s="6" t="str"/>
      <x:c r="H299" s="7" t="str">
        <x:f>IF(F299&lt;&gt;"",XLOOKUP(C299,'Service Identity Queue'!A2:A315,'Service Identity Queue'!N2:N315),"" )</x:f>
      </x:c>
      <x:c r="I299" s="6" t="str">
        <x:f>IF(F299&lt;&gt;"",XLOOKUP(C299,'Service Identity Queue'!A2:A315,'Service Identity Queue'!O2:O315),"" )</x:f>
      </x:c>
      <x:c r="J299" s="6" t="str">
        <x:f>IF(F299&lt;&gt;"",XLOOKUP(C299,'Service Identity Queue'!A2:A315,'Service Identity Queue'!P2:P315),"" )</x:f>
      </x:c>
      <x:c r="K299" s="6" t="str">
        <x:f>IF(F299&lt;&gt;"","Reviewer complete; second-level approval still required","Not eligible yet")</x:f>
        <x:v>Not eligible yet</x:v>
      </x:c>
      <x:c r="L299" s="6" t="str">
        <x:f>IF(P299="Not Eligible","PASS","FAIL")</x:f>
        <x:v>PASS</x:v>
      </x:c>
      <x:c r="M299" s="6" t="str">
        <x:v>Pending</x:v>
      </x:c>
      <x:c r="N299" s="6" t="str"/>
      <x:c r="O299" s="6" t="str"/>
      <x:c r="P299" s="6" t="str">
        <x:v>Not Eligible</x:v>
      </x:c>
      <x:c r="Q299" s="7" t="str"/>
    </x:row>
    <x:row r="300">
      <x:c r="A300" s="6" t="str">
        <x:v>APPR-0299</x:v>
      </x:c>
      <x:c r="B300" s="6" t="str">
        <x:v>Service Identity Queue</x:v>
      </x:c>
      <x:c r="C300" s="6" t="str">
        <x:v>SIDX-0299</x:v>
      </x:c>
      <x:c r="D300" s="6" t="str">
        <x:v>Service</x:v>
      </x:c>
      <x:c r="E300" s="6" t="str">
        <x:v>SVC000299</x:v>
      </x:c>
      <x:c r="F300" s="6" t="str">
        <x:f>IFERROR(IF(XLOOKUP(C300,'Review Sequence'!C2:C1586,'Review Sequence'!J2:J1586)="Reviewer Complete",XLOOKUP(C300,'Service Identity Queue'!A2:A315,'Service Identity Queue'!L2:L315),""),"")</x:f>
      </x:c>
      <x:c r="G300" s="6" t="str"/>
      <x:c r="H300" s="7" t="str">
        <x:f>IF(F300&lt;&gt;"",XLOOKUP(C300,'Service Identity Queue'!A2:A315,'Service Identity Queue'!N2:N315),"" )</x:f>
      </x:c>
      <x:c r="I300" s="6" t="str">
        <x:f>IF(F300&lt;&gt;"",XLOOKUP(C300,'Service Identity Queue'!A2:A315,'Service Identity Queue'!O2:O315),"" )</x:f>
      </x:c>
      <x:c r="J300" s="6" t="str">
        <x:f>IF(F300&lt;&gt;"",XLOOKUP(C300,'Service Identity Queue'!A2:A315,'Service Identity Queue'!P2:P315),"" )</x:f>
      </x:c>
      <x:c r="K300" s="6" t="str">
        <x:f>IF(F300&lt;&gt;"","Reviewer complete; second-level approval still required","Not eligible yet")</x:f>
        <x:v>Not eligible yet</x:v>
      </x:c>
      <x:c r="L300" s="6" t="str">
        <x:f>IF(P300="Not Eligible","PASS","FAIL")</x:f>
        <x:v>PASS</x:v>
      </x:c>
      <x:c r="M300" s="6" t="str">
        <x:v>Pending</x:v>
      </x:c>
      <x:c r="N300" s="6" t="str"/>
      <x:c r="O300" s="6" t="str"/>
      <x:c r="P300" s="6" t="str">
        <x:v>Not Eligible</x:v>
      </x:c>
      <x:c r="Q300" s="7" t="str"/>
    </x:row>
    <x:row r="301">
      <x:c r="A301" s="6" t="str">
        <x:v>APPR-0300</x:v>
      </x:c>
      <x:c r="B301" s="6" t="str">
        <x:v>Service Identity Queue</x:v>
      </x:c>
      <x:c r="C301" s="6" t="str">
        <x:v>SIDX-0300</x:v>
      </x:c>
      <x:c r="D301" s="6" t="str">
        <x:v>Service</x:v>
      </x:c>
      <x:c r="E301" s="6" t="str">
        <x:v>SVC000300</x:v>
      </x:c>
      <x:c r="F301" s="6" t="str">
        <x:f>IFERROR(IF(XLOOKUP(C301,'Review Sequence'!C2:C1586,'Review Sequence'!J2:J1586)="Reviewer Complete",XLOOKUP(C301,'Service Identity Queue'!A2:A315,'Service Identity Queue'!L2:L315),""),"")</x:f>
      </x:c>
      <x:c r="G301" s="6" t="str"/>
      <x:c r="H301" s="7" t="str">
        <x:f>IF(F301&lt;&gt;"",XLOOKUP(C301,'Service Identity Queue'!A2:A315,'Service Identity Queue'!N2:N315),"" )</x:f>
      </x:c>
      <x:c r="I301" s="6" t="str">
        <x:f>IF(F301&lt;&gt;"",XLOOKUP(C301,'Service Identity Queue'!A2:A315,'Service Identity Queue'!O2:O315),"" )</x:f>
      </x:c>
      <x:c r="J301" s="6" t="str">
        <x:f>IF(F301&lt;&gt;"",XLOOKUP(C301,'Service Identity Queue'!A2:A315,'Service Identity Queue'!P2:P315),"" )</x:f>
      </x:c>
      <x:c r="K301" s="6" t="str">
        <x:f>IF(F301&lt;&gt;"","Reviewer complete; second-level approval still required","Not eligible yet")</x:f>
        <x:v>Not eligible yet</x:v>
      </x:c>
      <x:c r="L301" s="6" t="str">
        <x:f>IF(P301="Not Eligible","PASS","FAIL")</x:f>
        <x:v>PASS</x:v>
      </x:c>
      <x:c r="M301" s="6" t="str">
        <x:v>Pending</x:v>
      </x:c>
      <x:c r="N301" s="6" t="str"/>
      <x:c r="O301" s="6" t="str"/>
      <x:c r="P301" s="6" t="str">
        <x:v>Not Eligible</x:v>
      </x:c>
      <x:c r="Q301" s="7" t="str"/>
    </x:row>
    <x:row r="302">
      <x:c r="A302" s="6" t="str">
        <x:v>APPR-0301</x:v>
      </x:c>
      <x:c r="B302" s="6" t="str">
        <x:v>Service Identity Queue</x:v>
      </x:c>
      <x:c r="C302" s="6" t="str">
        <x:v>SIDX-0301</x:v>
      </x:c>
      <x:c r="D302" s="6" t="str">
        <x:v>Service</x:v>
      </x:c>
      <x:c r="E302" s="6" t="str">
        <x:v>SVC000301</x:v>
      </x:c>
      <x:c r="F302" s="6" t="str">
        <x:f>IFERROR(IF(XLOOKUP(C302,'Review Sequence'!C2:C1586,'Review Sequence'!J2:J1586)="Reviewer Complete",XLOOKUP(C302,'Service Identity Queue'!A2:A315,'Service Identity Queue'!L2:L315),""),"")</x:f>
      </x:c>
      <x:c r="G302" s="6" t="str"/>
      <x:c r="H302" s="7" t="str">
        <x:f>IF(F302&lt;&gt;"",XLOOKUP(C302,'Service Identity Queue'!A2:A315,'Service Identity Queue'!N2:N315),"" )</x:f>
      </x:c>
      <x:c r="I302" s="6" t="str">
        <x:f>IF(F302&lt;&gt;"",XLOOKUP(C302,'Service Identity Queue'!A2:A315,'Service Identity Queue'!O2:O315),"" )</x:f>
      </x:c>
      <x:c r="J302" s="6" t="str">
        <x:f>IF(F302&lt;&gt;"",XLOOKUP(C302,'Service Identity Queue'!A2:A315,'Service Identity Queue'!P2:P315),"" )</x:f>
      </x:c>
      <x:c r="K302" s="6" t="str">
        <x:f>IF(F302&lt;&gt;"","Reviewer complete; second-level approval still required","Not eligible yet")</x:f>
        <x:v>Not eligible yet</x:v>
      </x:c>
      <x:c r="L302" s="6" t="str">
        <x:f>IF(P302="Not Eligible","PASS","FAIL")</x:f>
        <x:v>PASS</x:v>
      </x:c>
      <x:c r="M302" s="6" t="str">
        <x:v>Pending</x:v>
      </x:c>
      <x:c r="N302" s="6" t="str"/>
      <x:c r="O302" s="6" t="str"/>
      <x:c r="P302" s="6" t="str">
        <x:v>Not Eligible</x:v>
      </x:c>
      <x:c r="Q302" s="7" t="str"/>
    </x:row>
    <x:row r="303">
      <x:c r="A303" s="6" t="str">
        <x:v>APPR-0302</x:v>
      </x:c>
      <x:c r="B303" s="6" t="str">
        <x:v>Service Identity Queue</x:v>
      </x:c>
      <x:c r="C303" s="6" t="str">
        <x:v>SIDX-0302</x:v>
      </x:c>
      <x:c r="D303" s="6" t="str">
        <x:v>Service</x:v>
      </x:c>
      <x:c r="E303" s="6" t="str">
        <x:v>SVC000302</x:v>
      </x:c>
      <x:c r="F303" s="6" t="str">
        <x:f>IFERROR(IF(XLOOKUP(C303,'Review Sequence'!C2:C1586,'Review Sequence'!J2:J1586)="Reviewer Complete",XLOOKUP(C303,'Service Identity Queue'!A2:A315,'Service Identity Queue'!L2:L315),""),"")</x:f>
      </x:c>
      <x:c r="G303" s="6" t="str"/>
      <x:c r="H303" s="7" t="str">
        <x:f>IF(F303&lt;&gt;"",XLOOKUP(C303,'Service Identity Queue'!A2:A315,'Service Identity Queue'!N2:N315),"" )</x:f>
      </x:c>
      <x:c r="I303" s="6" t="str">
        <x:f>IF(F303&lt;&gt;"",XLOOKUP(C303,'Service Identity Queue'!A2:A315,'Service Identity Queue'!O2:O315),"" )</x:f>
      </x:c>
      <x:c r="J303" s="6" t="str">
        <x:f>IF(F303&lt;&gt;"",XLOOKUP(C303,'Service Identity Queue'!A2:A315,'Service Identity Queue'!P2:P315),"" )</x:f>
      </x:c>
      <x:c r="K303" s="6" t="str">
        <x:f>IF(F303&lt;&gt;"","Reviewer complete; second-level approval still required","Not eligible yet")</x:f>
        <x:v>Not eligible yet</x:v>
      </x:c>
      <x:c r="L303" s="6" t="str">
        <x:f>IF(P303="Not Eligible","PASS","FAIL")</x:f>
        <x:v>PASS</x:v>
      </x:c>
      <x:c r="M303" s="6" t="str">
        <x:v>Pending</x:v>
      </x:c>
      <x:c r="N303" s="6" t="str"/>
      <x:c r="O303" s="6" t="str"/>
      <x:c r="P303" s="6" t="str">
        <x:v>Not Eligible</x:v>
      </x:c>
      <x:c r="Q303" s="7" t="str"/>
    </x:row>
    <x:row r="304">
      <x:c r="A304" s="6" t="str">
        <x:v>APPR-0303</x:v>
      </x:c>
      <x:c r="B304" s="6" t="str">
        <x:v>Service Identity Queue</x:v>
      </x:c>
      <x:c r="C304" s="6" t="str">
        <x:v>SIDX-0303</x:v>
      </x:c>
      <x:c r="D304" s="6" t="str">
        <x:v>Service</x:v>
      </x:c>
      <x:c r="E304" s="6" t="str">
        <x:v>SVC000303</x:v>
      </x:c>
      <x:c r="F304" s="6" t="str">
        <x:f>IFERROR(IF(XLOOKUP(C304,'Review Sequence'!C2:C1586,'Review Sequence'!J2:J1586)="Reviewer Complete",XLOOKUP(C304,'Service Identity Queue'!A2:A315,'Service Identity Queue'!L2:L315),""),"")</x:f>
      </x:c>
      <x:c r="G304" s="6" t="str"/>
      <x:c r="H304" s="7" t="str">
        <x:f>IF(F304&lt;&gt;"",XLOOKUP(C304,'Service Identity Queue'!A2:A315,'Service Identity Queue'!N2:N315),"" )</x:f>
      </x:c>
      <x:c r="I304" s="6" t="str">
        <x:f>IF(F304&lt;&gt;"",XLOOKUP(C304,'Service Identity Queue'!A2:A315,'Service Identity Queue'!O2:O315),"" )</x:f>
      </x:c>
      <x:c r="J304" s="6" t="str">
        <x:f>IF(F304&lt;&gt;"",XLOOKUP(C304,'Service Identity Queue'!A2:A315,'Service Identity Queue'!P2:P315),"" )</x:f>
      </x:c>
      <x:c r="K304" s="6" t="str">
        <x:f>IF(F304&lt;&gt;"","Reviewer complete; second-level approval still required","Not eligible yet")</x:f>
        <x:v>Not eligible yet</x:v>
      </x:c>
      <x:c r="L304" s="6" t="str">
        <x:f>IF(P304="Not Eligible","PASS","FAIL")</x:f>
        <x:v>PASS</x:v>
      </x:c>
      <x:c r="M304" s="6" t="str">
        <x:v>Pending</x:v>
      </x:c>
      <x:c r="N304" s="6" t="str"/>
      <x:c r="O304" s="6" t="str"/>
      <x:c r="P304" s="6" t="str">
        <x:v>Not Eligible</x:v>
      </x:c>
      <x:c r="Q304" s="7" t="str"/>
    </x:row>
    <x:row r="305">
      <x:c r="A305" s="6" t="str">
        <x:v>APPR-0304</x:v>
      </x:c>
      <x:c r="B305" s="6" t="str">
        <x:v>Service Identity Queue</x:v>
      </x:c>
      <x:c r="C305" s="6" t="str">
        <x:v>SIDX-0304</x:v>
      </x:c>
      <x:c r="D305" s="6" t="str">
        <x:v>Service</x:v>
      </x:c>
      <x:c r="E305" s="6" t="str">
        <x:v>SVC000304</x:v>
      </x:c>
      <x:c r="F305" s="6" t="str">
        <x:f>IFERROR(IF(XLOOKUP(C305,'Review Sequence'!C2:C1586,'Review Sequence'!J2:J1586)="Reviewer Complete",XLOOKUP(C305,'Service Identity Queue'!A2:A315,'Service Identity Queue'!L2:L315),""),"")</x:f>
      </x:c>
      <x:c r="G305" s="6" t="str"/>
      <x:c r="H305" s="7" t="str">
        <x:f>IF(F305&lt;&gt;"",XLOOKUP(C305,'Service Identity Queue'!A2:A315,'Service Identity Queue'!N2:N315),"" )</x:f>
      </x:c>
      <x:c r="I305" s="6" t="str">
        <x:f>IF(F305&lt;&gt;"",XLOOKUP(C305,'Service Identity Queue'!A2:A315,'Service Identity Queue'!O2:O315),"" )</x:f>
      </x:c>
      <x:c r="J305" s="6" t="str">
        <x:f>IF(F305&lt;&gt;"",XLOOKUP(C305,'Service Identity Queue'!A2:A315,'Service Identity Queue'!P2:P315),"" )</x:f>
      </x:c>
      <x:c r="K305" s="6" t="str">
        <x:f>IF(F305&lt;&gt;"","Reviewer complete; second-level approval still required","Not eligible yet")</x:f>
        <x:v>Not eligible yet</x:v>
      </x:c>
      <x:c r="L305" s="6" t="str">
        <x:f>IF(P305="Not Eligible","PASS","FAIL")</x:f>
        <x:v>PASS</x:v>
      </x:c>
      <x:c r="M305" s="6" t="str">
        <x:v>Pending</x:v>
      </x:c>
      <x:c r="N305" s="6" t="str"/>
      <x:c r="O305" s="6" t="str"/>
      <x:c r="P305" s="6" t="str">
        <x:v>Not Eligible</x:v>
      </x:c>
      <x:c r="Q305" s="7" t="str"/>
    </x:row>
    <x:row r="306">
      <x:c r="A306" s="6" t="str">
        <x:v>APPR-0305</x:v>
      </x:c>
      <x:c r="B306" s="6" t="str">
        <x:v>Service Identity Queue</x:v>
      </x:c>
      <x:c r="C306" s="6" t="str">
        <x:v>SIDX-0305</x:v>
      </x:c>
      <x:c r="D306" s="6" t="str">
        <x:v>Service</x:v>
      </x:c>
      <x:c r="E306" s="6" t="str">
        <x:v>SVC000305</x:v>
      </x:c>
      <x:c r="F306" s="6" t="str">
        <x:f>IFERROR(IF(XLOOKUP(C306,'Review Sequence'!C2:C1586,'Review Sequence'!J2:J1586)="Reviewer Complete",XLOOKUP(C306,'Service Identity Queue'!A2:A315,'Service Identity Queue'!L2:L315),""),"")</x:f>
      </x:c>
      <x:c r="G306" s="6" t="str"/>
      <x:c r="H306" s="7" t="str">
        <x:f>IF(F306&lt;&gt;"",XLOOKUP(C306,'Service Identity Queue'!A2:A315,'Service Identity Queue'!N2:N315),"" )</x:f>
      </x:c>
      <x:c r="I306" s="6" t="str">
        <x:f>IF(F306&lt;&gt;"",XLOOKUP(C306,'Service Identity Queue'!A2:A315,'Service Identity Queue'!O2:O315),"" )</x:f>
      </x:c>
      <x:c r="J306" s="6" t="str">
        <x:f>IF(F306&lt;&gt;"",XLOOKUP(C306,'Service Identity Queue'!A2:A315,'Service Identity Queue'!P2:P315),"" )</x:f>
      </x:c>
      <x:c r="K306" s="6" t="str">
        <x:f>IF(F306&lt;&gt;"","Reviewer complete; second-level approval still required","Not eligible yet")</x:f>
        <x:v>Not eligible yet</x:v>
      </x:c>
      <x:c r="L306" s="6" t="str">
        <x:f>IF(P306="Not Eligible","PASS","FAIL")</x:f>
        <x:v>PASS</x:v>
      </x:c>
      <x:c r="M306" s="6" t="str">
        <x:v>Pending</x:v>
      </x:c>
      <x:c r="N306" s="6" t="str"/>
      <x:c r="O306" s="6" t="str"/>
      <x:c r="P306" s="6" t="str">
        <x:v>Not Eligible</x:v>
      </x:c>
      <x:c r="Q306" s="7" t="str"/>
    </x:row>
    <x:row r="307">
      <x:c r="A307" s="6" t="str">
        <x:v>APPR-0306</x:v>
      </x:c>
      <x:c r="B307" s="6" t="str">
        <x:v>Service Identity Queue</x:v>
      </x:c>
      <x:c r="C307" s="6" t="str">
        <x:v>SIDX-0306</x:v>
      </x:c>
      <x:c r="D307" s="6" t="str">
        <x:v>Service</x:v>
      </x:c>
      <x:c r="E307" s="6" t="str">
        <x:v>SVC000306</x:v>
      </x:c>
      <x:c r="F307" s="6" t="str">
        <x:f>IFERROR(IF(XLOOKUP(C307,'Review Sequence'!C2:C1586,'Review Sequence'!J2:J1586)="Reviewer Complete",XLOOKUP(C307,'Service Identity Queue'!A2:A315,'Service Identity Queue'!L2:L315),""),"")</x:f>
      </x:c>
      <x:c r="G307" s="6" t="str"/>
      <x:c r="H307" s="7" t="str">
        <x:f>IF(F307&lt;&gt;"",XLOOKUP(C307,'Service Identity Queue'!A2:A315,'Service Identity Queue'!N2:N315),"" )</x:f>
      </x:c>
      <x:c r="I307" s="6" t="str">
        <x:f>IF(F307&lt;&gt;"",XLOOKUP(C307,'Service Identity Queue'!A2:A315,'Service Identity Queue'!O2:O315),"" )</x:f>
      </x:c>
      <x:c r="J307" s="6" t="str">
        <x:f>IF(F307&lt;&gt;"",XLOOKUP(C307,'Service Identity Queue'!A2:A315,'Service Identity Queue'!P2:P315),"" )</x:f>
      </x:c>
      <x:c r="K307" s="6" t="str">
        <x:f>IF(F307&lt;&gt;"","Reviewer complete; second-level approval still required","Not eligible yet")</x:f>
        <x:v>Not eligible yet</x:v>
      </x:c>
      <x:c r="L307" s="6" t="str">
        <x:f>IF(P307="Not Eligible","PASS","FAIL")</x:f>
        <x:v>PASS</x:v>
      </x:c>
      <x:c r="M307" s="6" t="str">
        <x:v>Pending</x:v>
      </x:c>
      <x:c r="N307" s="6" t="str"/>
      <x:c r="O307" s="6" t="str"/>
      <x:c r="P307" s="6" t="str">
        <x:v>Not Eligible</x:v>
      </x:c>
      <x:c r="Q307" s="7" t="str"/>
    </x:row>
    <x:row r="308">
      <x:c r="A308" s="6" t="str">
        <x:v>APPR-0307</x:v>
      </x:c>
      <x:c r="B308" s="6" t="str">
        <x:v>Service Identity Queue</x:v>
      </x:c>
      <x:c r="C308" s="6" t="str">
        <x:v>SIDX-0307</x:v>
      </x:c>
      <x:c r="D308" s="6" t="str">
        <x:v>Service</x:v>
      </x:c>
      <x:c r="E308" s="6" t="str">
        <x:v>SVC000307</x:v>
      </x:c>
      <x:c r="F308" s="6" t="str">
        <x:f>IFERROR(IF(XLOOKUP(C308,'Review Sequence'!C2:C1586,'Review Sequence'!J2:J1586)="Reviewer Complete",XLOOKUP(C308,'Service Identity Queue'!A2:A315,'Service Identity Queue'!L2:L315),""),"")</x:f>
      </x:c>
      <x:c r="G308" s="6" t="str"/>
      <x:c r="H308" s="7" t="str">
        <x:f>IF(F308&lt;&gt;"",XLOOKUP(C308,'Service Identity Queue'!A2:A315,'Service Identity Queue'!N2:N315),"" )</x:f>
      </x:c>
      <x:c r="I308" s="6" t="str">
        <x:f>IF(F308&lt;&gt;"",XLOOKUP(C308,'Service Identity Queue'!A2:A315,'Service Identity Queue'!O2:O315),"" )</x:f>
      </x:c>
      <x:c r="J308" s="6" t="str">
        <x:f>IF(F308&lt;&gt;"",XLOOKUP(C308,'Service Identity Queue'!A2:A315,'Service Identity Queue'!P2:P315),"" )</x:f>
      </x:c>
      <x:c r="K308" s="6" t="str">
        <x:f>IF(F308&lt;&gt;"","Reviewer complete; second-level approval still required","Not eligible yet")</x:f>
        <x:v>Not eligible yet</x:v>
      </x:c>
      <x:c r="L308" s="6" t="str">
        <x:f>IF(P308="Not Eligible","PASS","FAIL")</x:f>
        <x:v>PASS</x:v>
      </x:c>
      <x:c r="M308" s="6" t="str">
        <x:v>Pending</x:v>
      </x:c>
      <x:c r="N308" s="6" t="str"/>
      <x:c r="O308" s="6" t="str"/>
      <x:c r="P308" s="6" t="str">
        <x:v>Not Eligible</x:v>
      </x:c>
      <x:c r="Q308" s="7" t="str"/>
    </x:row>
    <x:row r="309">
      <x:c r="A309" s="6" t="str">
        <x:v>APPR-0308</x:v>
      </x:c>
      <x:c r="B309" s="6" t="str">
        <x:v>Service Identity Queue</x:v>
      </x:c>
      <x:c r="C309" s="6" t="str">
        <x:v>SIDX-0308</x:v>
      </x:c>
      <x:c r="D309" s="6" t="str">
        <x:v>Service</x:v>
      </x:c>
      <x:c r="E309" s="6" t="str">
        <x:v>SVC000308</x:v>
      </x:c>
      <x:c r="F309" s="6" t="str">
        <x:f>IFERROR(IF(XLOOKUP(C309,'Review Sequence'!C2:C1586,'Review Sequence'!J2:J1586)="Reviewer Complete",XLOOKUP(C309,'Service Identity Queue'!A2:A315,'Service Identity Queue'!L2:L315),""),"")</x:f>
      </x:c>
      <x:c r="G309" s="6" t="str"/>
      <x:c r="H309" s="7" t="str">
        <x:f>IF(F309&lt;&gt;"",XLOOKUP(C309,'Service Identity Queue'!A2:A315,'Service Identity Queue'!N2:N315),"" )</x:f>
      </x:c>
      <x:c r="I309" s="6" t="str">
        <x:f>IF(F309&lt;&gt;"",XLOOKUP(C309,'Service Identity Queue'!A2:A315,'Service Identity Queue'!O2:O315),"" )</x:f>
      </x:c>
      <x:c r="J309" s="6" t="str">
        <x:f>IF(F309&lt;&gt;"",XLOOKUP(C309,'Service Identity Queue'!A2:A315,'Service Identity Queue'!P2:P315),"" )</x:f>
      </x:c>
      <x:c r="K309" s="6" t="str">
        <x:f>IF(F309&lt;&gt;"","Reviewer complete; second-level approval still required","Not eligible yet")</x:f>
        <x:v>Not eligible yet</x:v>
      </x:c>
      <x:c r="L309" s="6" t="str">
        <x:f>IF(P309="Not Eligible","PASS","FAIL")</x:f>
        <x:v>PASS</x:v>
      </x:c>
      <x:c r="M309" s="6" t="str">
        <x:v>Pending</x:v>
      </x:c>
      <x:c r="N309" s="6" t="str"/>
      <x:c r="O309" s="6" t="str"/>
      <x:c r="P309" s="6" t="str">
        <x:v>Not Eligible</x:v>
      </x:c>
      <x:c r="Q309" s="7" t="str"/>
    </x:row>
    <x:row r="310">
      <x:c r="A310" s="6" t="str">
        <x:v>APPR-0309</x:v>
      </x:c>
      <x:c r="B310" s="6" t="str">
        <x:v>Service Identity Queue</x:v>
      </x:c>
      <x:c r="C310" s="6" t="str">
        <x:v>SIDX-0309</x:v>
      </x:c>
      <x:c r="D310" s="6" t="str">
        <x:v>Service</x:v>
      </x:c>
      <x:c r="E310" s="6" t="str">
        <x:v>SVC000309</x:v>
      </x:c>
      <x:c r="F310" s="6" t="str">
        <x:f>IFERROR(IF(XLOOKUP(C310,'Review Sequence'!C2:C1586,'Review Sequence'!J2:J1586)="Reviewer Complete",XLOOKUP(C310,'Service Identity Queue'!A2:A315,'Service Identity Queue'!L2:L315),""),"")</x:f>
      </x:c>
      <x:c r="G310" s="6" t="str"/>
      <x:c r="H310" s="7" t="str">
        <x:f>IF(F310&lt;&gt;"",XLOOKUP(C310,'Service Identity Queue'!A2:A315,'Service Identity Queue'!N2:N315),"" )</x:f>
      </x:c>
      <x:c r="I310" s="6" t="str">
        <x:f>IF(F310&lt;&gt;"",XLOOKUP(C310,'Service Identity Queue'!A2:A315,'Service Identity Queue'!O2:O315),"" )</x:f>
      </x:c>
      <x:c r="J310" s="6" t="str">
        <x:f>IF(F310&lt;&gt;"",XLOOKUP(C310,'Service Identity Queue'!A2:A315,'Service Identity Queue'!P2:P315),"" )</x:f>
      </x:c>
      <x:c r="K310" s="6" t="str">
        <x:f>IF(F310&lt;&gt;"","Reviewer complete; second-level approval still required","Not eligible yet")</x:f>
        <x:v>Not eligible yet</x:v>
      </x:c>
      <x:c r="L310" s="6" t="str">
        <x:f>IF(P310="Not Eligible","PASS","FAIL")</x:f>
        <x:v>PASS</x:v>
      </x:c>
      <x:c r="M310" s="6" t="str">
        <x:v>Pending</x:v>
      </x:c>
      <x:c r="N310" s="6" t="str"/>
      <x:c r="O310" s="6" t="str"/>
      <x:c r="P310" s="6" t="str">
        <x:v>Not Eligible</x:v>
      </x:c>
      <x:c r="Q310" s="7" t="str"/>
    </x:row>
    <x:row r="311">
      <x:c r="A311" s="6" t="str">
        <x:v>APPR-0310</x:v>
      </x:c>
      <x:c r="B311" s="6" t="str">
        <x:v>Service Identity Queue</x:v>
      </x:c>
      <x:c r="C311" s="6" t="str">
        <x:v>SIDX-0310</x:v>
      </x:c>
      <x:c r="D311" s="6" t="str">
        <x:v>Service</x:v>
      </x:c>
      <x:c r="E311" s="6" t="str">
        <x:v>SVC000310</x:v>
      </x:c>
      <x:c r="F311" s="6" t="str">
        <x:f>IFERROR(IF(XLOOKUP(C311,'Review Sequence'!C2:C1586,'Review Sequence'!J2:J1586)="Reviewer Complete",XLOOKUP(C311,'Service Identity Queue'!A2:A315,'Service Identity Queue'!L2:L315),""),"")</x:f>
      </x:c>
      <x:c r="G311" s="6" t="str"/>
      <x:c r="H311" s="7" t="str">
        <x:f>IF(F311&lt;&gt;"",XLOOKUP(C311,'Service Identity Queue'!A2:A315,'Service Identity Queue'!N2:N315),"" )</x:f>
      </x:c>
      <x:c r="I311" s="6" t="str">
        <x:f>IF(F311&lt;&gt;"",XLOOKUP(C311,'Service Identity Queue'!A2:A315,'Service Identity Queue'!O2:O315),"" )</x:f>
      </x:c>
      <x:c r="J311" s="6" t="str">
        <x:f>IF(F311&lt;&gt;"",XLOOKUP(C311,'Service Identity Queue'!A2:A315,'Service Identity Queue'!P2:P315),"" )</x:f>
      </x:c>
      <x:c r="K311" s="6" t="str">
        <x:f>IF(F311&lt;&gt;"","Reviewer complete; second-level approval still required","Not eligible yet")</x:f>
        <x:v>Not eligible yet</x:v>
      </x:c>
      <x:c r="L311" s="6" t="str">
        <x:f>IF(P311="Not Eligible","PASS","FAIL")</x:f>
        <x:v>PASS</x:v>
      </x:c>
      <x:c r="M311" s="6" t="str">
        <x:v>Pending</x:v>
      </x:c>
      <x:c r="N311" s="6" t="str"/>
      <x:c r="O311" s="6" t="str"/>
      <x:c r="P311" s="6" t="str">
        <x:v>Not Eligible</x:v>
      </x:c>
      <x:c r="Q311" s="7" t="str"/>
    </x:row>
    <x:row r="312">
      <x:c r="A312" s="6" t="str">
        <x:v>APPR-0311</x:v>
      </x:c>
      <x:c r="B312" s="6" t="str">
        <x:v>Service Identity Queue</x:v>
      </x:c>
      <x:c r="C312" s="6" t="str">
        <x:v>SIDX-0311</x:v>
      </x:c>
      <x:c r="D312" s="6" t="str">
        <x:v>Service</x:v>
      </x:c>
      <x:c r="E312" s="6" t="str">
        <x:v>SVC000311</x:v>
      </x:c>
      <x:c r="F312" s="6" t="str">
        <x:f>IFERROR(IF(XLOOKUP(C312,'Review Sequence'!C2:C1586,'Review Sequence'!J2:J1586)="Reviewer Complete",XLOOKUP(C312,'Service Identity Queue'!A2:A315,'Service Identity Queue'!L2:L315),""),"")</x:f>
      </x:c>
      <x:c r="G312" s="6" t="str"/>
      <x:c r="H312" s="7" t="str">
        <x:f>IF(F312&lt;&gt;"",XLOOKUP(C312,'Service Identity Queue'!A2:A315,'Service Identity Queue'!N2:N315),"" )</x:f>
      </x:c>
      <x:c r="I312" s="6" t="str">
        <x:f>IF(F312&lt;&gt;"",XLOOKUP(C312,'Service Identity Queue'!A2:A315,'Service Identity Queue'!O2:O315),"" )</x:f>
      </x:c>
      <x:c r="J312" s="6" t="str">
        <x:f>IF(F312&lt;&gt;"",XLOOKUP(C312,'Service Identity Queue'!A2:A315,'Service Identity Queue'!P2:P315),"" )</x:f>
      </x:c>
      <x:c r="K312" s="6" t="str">
        <x:f>IF(F312&lt;&gt;"","Reviewer complete; second-level approval still required","Not eligible yet")</x:f>
        <x:v>Not eligible yet</x:v>
      </x:c>
      <x:c r="L312" s="6" t="str">
        <x:f>IF(P312="Not Eligible","PASS","FAIL")</x:f>
        <x:v>PASS</x:v>
      </x:c>
      <x:c r="M312" s="6" t="str">
        <x:v>Pending</x:v>
      </x:c>
      <x:c r="N312" s="6" t="str"/>
      <x:c r="O312" s="6" t="str"/>
      <x:c r="P312" s="6" t="str">
        <x:v>Not Eligible</x:v>
      </x:c>
      <x:c r="Q312" s="7" t="str"/>
    </x:row>
    <x:row r="313">
      <x:c r="A313" s="6" t="str">
        <x:v>APPR-0312</x:v>
      </x:c>
      <x:c r="B313" s="6" t="str">
        <x:v>Service Identity Queue</x:v>
      </x:c>
      <x:c r="C313" s="6" t="str">
        <x:v>SIDX-0312</x:v>
      </x:c>
      <x:c r="D313" s="6" t="str">
        <x:v>Service</x:v>
      </x:c>
      <x:c r="E313" s="6" t="str">
        <x:v>SVC000312</x:v>
      </x:c>
      <x:c r="F313" s="6" t="str">
        <x:f>IFERROR(IF(XLOOKUP(C313,'Review Sequence'!C2:C1586,'Review Sequence'!J2:J1586)="Reviewer Complete",XLOOKUP(C313,'Service Identity Queue'!A2:A315,'Service Identity Queue'!L2:L315),""),"")</x:f>
      </x:c>
      <x:c r="G313" s="6" t="str"/>
      <x:c r="H313" s="7" t="str">
        <x:f>IF(F313&lt;&gt;"",XLOOKUP(C313,'Service Identity Queue'!A2:A315,'Service Identity Queue'!N2:N315),"" )</x:f>
      </x:c>
      <x:c r="I313" s="6" t="str">
        <x:f>IF(F313&lt;&gt;"",XLOOKUP(C313,'Service Identity Queue'!A2:A315,'Service Identity Queue'!O2:O315),"" )</x:f>
      </x:c>
      <x:c r="J313" s="6" t="str">
        <x:f>IF(F313&lt;&gt;"",XLOOKUP(C313,'Service Identity Queue'!A2:A315,'Service Identity Queue'!P2:P315),"" )</x:f>
      </x:c>
      <x:c r="K313" s="6" t="str">
        <x:f>IF(F313&lt;&gt;"","Reviewer complete; second-level approval still required","Not eligible yet")</x:f>
        <x:v>Not eligible yet</x:v>
      </x:c>
      <x:c r="L313" s="6" t="str">
        <x:f>IF(P313="Not Eligible","PASS","FAIL")</x:f>
        <x:v>PASS</x:v>
      </x:c>
      <x:c r="M313" s="6" t="str">
        <x:v>Pending</x:v>
      </x:c>
      <x:c r="N313" s="6" t="str"/>
      <x:c r="O313" s="6" t="str"/>
      <x:c r="P313" s="6" t="str">
        <x:v>Not Eligible</x:v>
      </x:c>
      <x:c r="Q313" s="7" t="str"/>
    </x:row>
    <x:row r="314">
      <x:c r="A314" s="6" t="str">
        <x:v>APPR-0313</x:v>
      </x:c>
      <x:c r="B314" s="6" t="str">
        <x:v>Service Identity Queue</x:v>
      </x:c>
      <x:c r="C314" s="6" t="str">
        <x:v>SIDX-0313</x:v>
      </x:c>
      <x:c r="D314" s="6" t="str">
        <x:v>Service</x:v>
      </x:c>
      <x:c r="E314" s="6" t="str">
        <x:v>SVC000313</x:v>
      </x:c>
      <x:c r="F314" s="6" t="str">
        <x:f>IFERROR(IF(XLOOKUP(C314,'Review Sequence'!C2:C1586,'Review Sequence'!J2:J1586)="Reviewer Complete",XLOOKUP(C314,'Service Identity Queue'!A2:A315,'Service Identity Queue'!L2:L315),""),"")</x:f>
      </x:c>
      <x:c r="G314" s="6" t="str"/>
      <x:c r="H314" s="7" t="str">
        <x:f>IF(F314&lt;&gt;"",XLOOKUP(C314,'Service Identity Queue'!A2:A315,'Service Identity Queue'!N2:N315),"" )</x:f>
      </x:c>
      <x:c r="I314" s="6" t="str">
        <x:f>IF(F314&lt;&gt;"",XLOOKUP(C314,'Service Identity Queue'!A2:A315,'Service Identity Queue'!O2:O315),"" )</x:f>
      </x:c>
      <x:c r="J314" s="6" t="str">
        <x:f>IF(F314&lt;&gt;"",XLOOKUP(C314,'Service Identity Queue'!A2:A315,'Service Identity Queue'!P2:P315),"" )</x:f>
      </x:c>
      <x:c r="K314" s="6" t="str">
        <x:f>IF(F314&lt;&gt;"","Reviewer complete; second-level approval still required","Not eligible yet")</x:f>
        <x:v>Not eligible yet</x:v>
      </x:c>
      <x:c r="L314" s="6" t="str">
        <x:f>IF(P314="Not Eligible","PASS","FAIL")</x:f>
        <x:v>PASS</x:v>
      </x:c>
      <x:c r="M314" s="6" t="str">
        <x:v>Pending</x:v>
      </x:c>
      <x:c r="N314" s="6" t="str"/>
      <x:c r="O314" s="6" t="str"/>
      <x:c r="P314" s="6" t="str">
        <x:v>Not Eligible</x:v>
      </x:c>
      <x:c r="Q314" s="7" t="str"/>
    </x:row>
    <x:row r="315">
      <x:c r="A315" s="6" t="str">
        <x:v>APPR-0314</x:v>
      </x:c>
      <x:c r="B315" s="6" t="str">
        <x:v>Service Identity Queue</x:v>
      </x:c>
      <x:c r="C315" s="6" t="str">
        <x:v>SIDX-0314</x:v>
      </x:c>
      <x:c r="D315" s="6" t="str">
        <x:v>Service</x:v>
      </x:c>
      <x:c r="E315" s="6" t="str">
        <x:v>SVC000314</x:v>
      </x:c>
      <x:c r="F315" s="6" t="str">
        <x:f>IFERROR(IF(XLOOKUP(C315,'Review Sequence'!C2:C1586,'Review Sequence'!J2:J1586)="Reviewer Complete",XLOOKUP(C315,'Service Identity Queue'!A2:A315,'Service Identity Queue'!L2:L315),""),"")</x:f>
      </x:c>
      <x:c r="G315" s="6" t="str"/>
      <x:c r="H315" s="7" t="str">
        <x:f>IF(F315&lt;&gt;"",XLOOKUP(C315,'Service Identity Queue'!A2:A315,'Service Identity Queue'!N2:N315),"" )</x:f>
      </x:c>
      <x:c r="I315" s="6" t="str">
        <x:f>IF(F315&lt;&gt;"",XLOOKUP(C315,'Service Identity Queue'!A2:A315,'Service Identity Queue'!O2:O315),"" )</x:f>
      </x:c>
      <x:c r="J315" s="6" t="str">
        <x:f>IF(F315&lt;&gt;"",XLOOKUP(C315,'Service Identity Queue'!A2:A315,'Service Identity Queue'!P2:P315),"" )</x:f>
      </x:c>
      <x:c r="K315" s="6" t="str">
        <x:f>IF(F315&lt;&gt;"","Reviewer complete; second-level approval still required","Not eligible yet")</x:f>
        <x:v>Not eligible yet</x:v>
      </x:c>
      <x:c r="L315" s="6" t="str">
        <x:f>IF(P315="Not Eligible","PASS","FAIL")</x:f>
        <x:v>PASS</x:v>
      </x:c>
      <x:c r="M315" s="6" t="str">
        <x:v>Pending</x:v>
      </x:c>
      <x:c r="N315" s="6" t="str"/>
      <x:c r="O315" s="6" t="str"/>
      <x:c r="P315" s="6" t="str">
        <x:v>Not Eligible</x:v>
      </x:c>
      <x:c r="Q315" s="7" t="str"/>
    </x:row>
  </x:sheetData>
  <x:dataValidations count="3">
    <x:dataValidation type="list" sqref="M2:M315">
      <x:formula1>"Pending,Approved,Rejected,Escalated,Not Approved"</x:formula1>
    </x:dataValidation>
    <x:dataValidation type="list" sqref="P2:P315">
      <x:formula1>"Not Eligible"</x:formula1>
    </x:dataValidation>
    <x:dataValidation type="list" sqref="E2:E315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66b285926242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25" hidden="0" customWidth="1"/>
    <x:col min="3" max="3" width="16.3799991607666" hidden="0" customWidth="1"/>
    <x:col min="4" max="4" width="10.75" hidden="0" customWidth="1"/>
    <x:col min="5" max="5" width="17.5" hidden="0" customWidth="1"/>
    <x:col min="6" max="6" width="17.8799991607666" hidden="0" customWidth="1"/>
    <x:col min="7" max="7" width="14.130000114440918" hidden="0" customWidth="1"/>
    <x:col min="8" max="8" width="15.630000114440918" hidden="0" customWidth="1"/>
    <x:col min="9" max="9" width="18.25" hidden="0" customWidth="1"/>
  </x:cols>
  <x:sheetData>
    <x:row r="1">
      <x:c r="A1" s="5" t="str">
        <x:v>Blocked Item ID</x:v>
      </x:c>
      <x:c r="B1" s="5" t="str">
        <x:v>Source Queue</x:v>
      </x:c>
      <x:c r="C1" s="5" t="str">
        <x:v>Execution Item ID</x:v>
      </x:c>
      <x:c r="D1" s="5" t="str">
        <x:v>Service ID</x:v>
      </x:c>
      <x:c r="E1" s="5" t="str">
        <x:v>Duplicate Group ID</x:v>
      </x:c>
      <x:c r="F1" s="5" t="str">
        <x:v>Dependency Status</x:v>
      </x:c>
      <x:c r="G1" s="5" t="str">
        <x:v>Current Status</x:v>
      </x:c>
      <x:c r="H1" s="5" t="str">
        <x:v>Blocking Reason</x:v>
      </x:c>
      <x:c r="I1" s="5" t="str">
        <x:v>Escalation Required</x:v>
      </x:c>
    </x:row>
    <x:row r="2">
      <x:c r="A2" s="6" t="str">
        <x:v>BLK-0001</x:v>
      </x:c>
      <x:c r="B2" s="6" t="str">
        <x:v>Duplicate Group</x:v>
      </x:c>
      <x:c r="C2" s="6" t="str">
        <x:v>DUPX-0001</x:v>
      </x:c>
      <x:c r="D2" s="6" t="str"/>
      <x:c r="E2" s="6" t="str">
        <x:v>DUP000001</x:v>
      </x:c>
      <x:c r="F2" s="6" t="str">
        <x:f>IFERROR(XLOOKUP(C2,'Review Sequence'!C2:C1586,'Review Sequence'!I2:I1586),"")</x:f>
        <x:v>No upstream dependency</x:v>
      </x:c>
      <x:c r="G2" s="6" t="str">
        <x:f>IFERROR(XLOOKUP(C2,'Review Sequence'!C2:C1586,'Review Sequence'!J2:J1586),"")</x:f>
        <x:v>Not Started</x:v>
      </x:c>
      <x:c r="H2" s="7" t="str">
        <x:f>IFERROR(XLOOKUP(C2,'Review Sequence'!C2:C1586,'Review Sequence'!O2:O1586),"")</x:f>
      </x:c>
      <x:c r="I2" s="6" t="str">
        <x:f>IFERROR(XLOOKUP(C2,'Review Sequence'!C2:C1586,'Review Sequence'!P2:P1586),"")</x:f>
        <x:v>No</x:v>
      </x:c>
    </x:row>
    <x:row r="3">
      <x:c r="A3" s="6" t="str">
        <x:v>BLK-0002</x:v>
      </x:c>
      <x:c r="B3" s="6" t="str">
        <x:v>Duplicate Group</x:v>
      </x:c>
      <x:c r="C3" s="6" t="str">
        <x:v>DUPX-0002</x:v>
      </x:c>
      <x:c r="D3" s="6" t="str"/>
      <x:c r="E3" s="6" t="str">
        <x:v>DUP000002</x:v>
      </x:c>
      <x:c r="F3" s="6" t="str">
        <x:f>IFERROR(XLOOKUP(C3,'Review Sequence'!C2:C1586,'Review Sequence'!I2:I1586),"")</x:f>
        <x:v>No upstream dependency</x:v>
      </x:c>
      <x:c r="G3" s="6" t="str">
        <x:f>IFERROR(XLOOKUP(C3,'Review Sequence'!C2:C1586,'Review Sequence'!J2:J1586),"")</x:f>
        <x:v>Not Started</x:v>
      </x:c>
      <x:c r="H3" s="7" t="str">
        <x:f>IFERROR(XLOOKUP(C3,'Review Sequence'!C2:C1586,'Review Sequence'!O2:O1586),"")</x:f>
      </x:c>
      <x:c r="I3" s="6" t="str">
        <x:f>IFERROR(XLOOKUP(C3,'Review Sequence'!C2:C1586,'Review Sequence'!P2:P1586),"")</x:f>
        <x:v>No</x:v>
      </x:c>
    </x:row>
    <x:row r="4">
      <x:c r="A4" s="6" t="str">
        <x:v>BLK-0003</x:v>
      </x:c>
      <x:c r="B4" s="6" t="str">
        <x:v>Duplicate Group</x:v>
      </x:c>
      <x:c r="C4" s="6" t="str">
        <x:v>DUPX-0003</x:v>
      </x:c>
      <x:c r="D4" s="6" t="str"/>
      <x:c r="E4" s="6" t="str">
        <x:v>DUP000003</x:v>
      </x:c>
      <x:c r="F4" s="6" t="str">
        <x:f>IFERROR(XLOOKUP(C4,'Review Sequence'!C2:C1586,'Review Sequence'!I2:I1586),"")</x:f>
        <x:v>No upstream dependency</x:v>
      </x:c>
      <x:c r="G4" s="6" t="str">
        <x:f>IFERROR(XLOOKUP(C4,'Review Sequence'!C2:C1586,'Review Sequence'!J2:J1586),"")</x:f>
        <x:v>Not Started</x:v>
      </x:c>
      <x:c r="H4" s="7" t="str">
        <x:f>IFERROR(XLOOKUP(C4,'Review Sequence'!C2:C1586,'Review Sequence'!O2:O1586),"")</x:f>
      </x:c>
      <x:c r="I4" s="6" t="str">
        <x:f>IFERROR(XLOOKUP(C4,'Review Sequence'!C2:C1586,'Review Sequence'!P2:P1586),"")</x:f>
        <x:v>No</x:v>
      </x:c>
    </x:row>
    <x:row r="5">
      <x:c r="A5" s="6" t="str">
        <x:v>BLK-0004</x:v>
      </x:c>
      <x:c r="B5" s="6" t="str">
        <x:v>Duplicate Group</x:v>
      </x:c>
      <x:c r="C5" s="6" t="str">
        <x:v>DUPX-0004</x:v>
      </x:c>
      <x:c r="D5" s="6" t="str"/>
      <x:c r="E5" s="6" t="str">
        <x:v>DUP000004</x:v>
      </x:c>
      <x:c r="F5" s="6" t="str">
        <x:f>IFERROR(XLOOKUP(C5,'Review Sequence'!C2:C1586,'Review Sequence'!I2:I1586),"")</x:f>
        <x:v>No upstream dependency</x:v>
      </x:c>
      <x:c r="G5" s="6" t="str">
        <x:f>IFERROR(XLOOKUP(C5,'Review Sequence'!C2:C1586,'Review Sequence'!J2:J1586),"")</x:f>
        <x:v>Not Started</x:v>
      </x:c>
      <x:c r="H5" s="7" t="str">
        <x:f>IFERROR(XLOOKUP(C5,'Review Sequence'!C2:C1586,'Review Sequence'!O2:O1586),"")</x:f>
      </x:c>
      <x:c r="I5" s="6" t="str">
        <x:f>IFERROR(XLOOKUP(C5,'Review Sequence'!C2:C1586,'Review Sequence'!P2:P1586),"")</x:f>
        <x:v>No</x:v>
      </x:c>
    </x:row>
    <x:row r="6">
      <x:c r="A6" s="6" t="str">
        <x:v>BLK-0005</x:v>
      </x:c>
      <x:c r="B6" s="6" t="str">
        <x:v>Duplicate Group</x:v>
      </x:c>
      <x:c r="C6" s="6" t="str">
        <x:v>DUPX-0005</x:v>
      </x:c>
      <x:c r="D6" s="6" t="str"/>
      <x:c r="E6" s="6" t="str">
        <x:v>DUP000005</x:v>
      </x:c>
      <x:c r="F6" s="6" t="str">
        <x:f>IFERROR(XLOOKUP(C6,'Review Sequence'!C2:C1586,'Review Sequence'!I2:I1586),"")</x:f>
        <x:v>No upstream dependency</x:v>
      </x:c>
      <x:c r="G6" s="6" t="str">
        <x:f>IFERROR(XLOOKUP(C6,'Review Sequence'!C2:C1586,'Review Sequence'!J2:J1586),"")</x:f>
        <x:v>Not Started</x:v>
      </x:c>
      <x:c r="H6" s="7" t="str">
        <x:f>IFERROR(XLOOKUP(C6,'Review Sequence'!C2:C1586,'Review Sequence'!O2:O1586),"")</x:f>
      </x:c>
      <x:c r="I6" s="6" t="str">
        <x:f>IFERROR(XLOOKUP(C6,'Review Sequence'!C2:C1586,'Review Sequence'!P2:P1586),"")</x:f>
        <x:v>No</x:v>
      </x:c>
    </x:row>
    <x:row r="7">
      <x:c r="A7" s="6" t="str">
        <x:v>BLK-0006</x:v>
      </x:c>
      <x:c r="B7" s="6" t="str">
        <x:v>Duplicate Group</x:v>
      </x:c>
      <x:c r="C7" s="6" t="str">
        <x:v>DUPX-0006</x:v>
      </x:c>
      <x:c r="D7" s="6" t="str"/>
      <x:c r="E7" s="6" t="str">
        <x:v>DUP000006</x:v>
      </x:c>
      <x:c r="F7" s="6" t="str">
        <x:f>IFERROR(XLOOKUP(C7,'Review Sequence'!C2:C1586,'Review Sequence'!I2:I1586),"")</x:f>
        <x:v>No upstream dependency</x:v>
      </x:c>
      <x:c r="G7" s="6" t="str">
        <x:f>IFERROR(XLOOKUP(C7,'Review Sequence'!C2:C1586,'Review Sequence'!J2:J1586),"")</x:f>
        <x:v>Not Started</x:v>
      </x:c>
      <x:c r="H7" s="7" t="str">
        <x:f>IFERROR(XLOOKUP(C7,'Review Sequence'!C2:C1586,'Review Sequence'!O2:O1586),"")</x:f>
      </x:c>
      <x:c r="I7" s="6" t="str">
        <x:f>IFERROR(XLOOKUP(C7,'Review Sequence'!C2:C1586,'Review Sequence'!P2:P1586),"")</x:f>
        <x:v>No</x:v>
      </x:c>
    </x:row>
    <x:row r="8">
      <x:c r="A8" s="6" t="str">
        <x:v>BLK-0007</x:v>
      </x:c>
      <x:c r="B8" s="6" t="str">
        <x:v>Duplicate Group</x:v>
      </x:c>
      <x:c r="C8" s="6" t="str">
        <x:v>DUPX-0007</x:v>
      </x:c>
      <x:c r="D8" s="6" t="str"/>
      <x:c r="E8" s="6" t="str">
        <x:v>DUP000007</x:v>
      </x:c>
      <x:c r="F8" s="6" t="str">
        <x:f>IFERROR(XLOOKUP(C8,'Review Sequence'!C2:C1586,'Review Sequence'!I2:I1586),"")</x:f>
        <x:v>No upstream dependency</x:v>
      </x:c>
      <x:c r="G8" s="6" t="str">
        <x:f>IFERROR(XLOOKUP(C8,'Review Sequence'!C2:C1586,'Review Sequence'!J2:J1586),"")</x:f>
        <x:v>Not Started</x:v>
      </x:c>
      <x:c r="H8" s="7" t="str">
        <x:f>IFERROR(XLOOKUP(C8,'Review Sequence'!C2:C1586,'Review Sequence'!O2:O1586),"")</x:f>
      </x:c>
      <x:c r="I8" s="6" t="str">
        <x:f>IFERROR(XLOOKUP(C8,'Review Sequence'!C2:C1586,'Review Sequence'!P2:P1586),"")</x:f>
        <x:v>No</x:v>
      </x:c>
    </x:row>
    <x:row r="9">
      <x:c r="A9" s="6" t="str">
        <x:v>BLK-0008</x:v>
      </x:c>
      <x:c r="B9" s="6" t="str">
        <x:v>Duplicate Group</x:v>
      </x:c>
      <x:c r="C9" s="6" t="str">
        <x:v>DUPX-0008</x:v>
      </x:c>
      <x:c r="D9" s="6" t="str"/>
      <x:c r="E9" s="6" t="str">
        <x:v>DUP000008</x:v>
      </x:c>
      <x:c r="F9" s="6" t="str">
        <x:f>IFERROR(XLOOKUP(C9,'Review Sequence'!C2:C1586,'Review Sequence'!I2:I1586),"")</x:f>
        <x:v>No upstream dependency</x:v>
      </x:c>
      <x:c r="G9" s="6" t="str">
        <x:f>IFERROR(XLOOKUP(C9,'Review Sequence'!C2:C1586,'Review Sequence'!J2:J1586),"")</x:f>
        <x:v>Not Started</x:v>
      </x:c>
      <x:c r="H9" s="7" t="str">
        <x:f>IFERROR(XLOOKUP(C9,'Review Sequence'!C2:C1586,'Review Sequence'!O2:O1586),"")</x:f>
      </x:c>
      <x:c r="I9" s="6" t="str">
        <x:f>IFERROR(XLOOKUP(C9,'Review Sequence'!C2:C1586,'Review Sequence'!P2:P1586),"")</x:f>
        <x:v>No</x:v>
      </x:c>
    </x:row>
    <x:row r="10">
      <x:c r="A10" s="6" t="str">
        <x:v>BLK-0009</x:v>
      </x:c>
      <x:c r="B10" s="6" t="str">
        <x:v>Duplicate Group</x:v>
      </x:c>
      <x:c r="C10" s="6" t="str">
        <x:v>DUPX-0009</x:v>
      </x:c>
      <x:c r="D10" s="6" t="str"/>
      <x:c r="E10" s="6" t="str">
        <x:v>DUP000009</x:v>
      </x:c>
      <x:c r="F10" s="6" t="str">
        <x:f>IFERROR(XLOOKUP(C10,'Review Sequence'!C2:C1586,'Review Sequence'!I2:I1586),"")</x:f>
        <x:v>No upstream dependency</x:v>
      </x:c>
      <x:c r="G10" s="6" t="str">
        <x:f>IFERROR(XLOOKUP(C10,'Review Sequence'!C2:C1586,'Review Sequence'!J2:J1586),"")</x:f>
        <x:v>Not Started</x:v>
      </x:c>
      <x:c r="H10" s="7" t="str">
        <x:f>IFERROR(XLOOKUP(C10,'Review Sequence'!C2:C1586,'Review Sequence'!O2:O1586),"")</x:f>
      </x:c>
      <x:c r="I10" s="6" t="str">
        <x:f>IFERROR(XLOOKUP(C10,'Review Sequence'!C2:C1586,'Review Sequence'!P2:P1586),"")</x:f>
        <x:v>No</x:v>
      </x:c>
    </x:row>
    <x:row r="11">
      <x:c r="A11" s="6" t="str">
        <x:v>BLK-0010</x:v>
      </x:c>
      <x:c r="B11" s="6" t="str">
        <x:v>Duplicate Group</x:v>
      </x:c>
      <x:c r="C11" s="6" t="str">
        <x:v>DUPX-0010</x:v>
      </x:c>
      <x:c r="D11" s="6" t="str"/>
      <x:c r="E11" s="6" t="str">
        <x:v>DUP000010</x:v>
      </x:c>
      <x:c r="F11" s="6" t="str">
        <x:f>IFERROR(XLOOKUP(C11,'Review Sequence'!C2:C1586,'Review Sequence'!I2:I1586),"")</x:f>
        <x:v>No upstream dependency</x:v>
      </x:c>
      <x:c r="G11" s="6" t="str">
        <x:f>IFERROR(XLOOKUP(C11,'Review Sequence'!C2:C1586,'Review Sequence'!J2:J1586),"")</x:f>
        <x:v>Not Started</x:v>
      </x:c>
      <x:c r="H11" s="7" t="str">
        <x:f>IFERROR(XLOOKUP(C11,'Review Sequence'!C2:C1586,'Review Sequence'!O2:O1586),"")</x:f>
      </x:c>
      <x:c r="I11" s="6" t="str">
        <x:f>IFERROR(XLOOKUP(C11,'Review Sequence'!C2:C1586,'Review Sequence'!P2:P1586),"")</x:f>
        <x:v>No</x:v>
      </x:c>
    </x:row>
    <x:row r="12">
      <x:c r="A12" s="6" t="str">
        <x:v>BLK-0011</x:v>
      </x:c>
      <x:c r="B12" s="6" t="str">
        <x:v>Duplicate Group</x:v>
      </x:c>
      <x:c r="C12" s="6" t="str">
        <x:v>DUPX-0011</x:v>
      </x:c>
      <x:c r="D12" s="6" t="str"/>
      <x:c r="E12" s="6" t="str">
        <x:v>DUP000011</x:v>
      </x:c>
      <x:c r="F12" s="6" t="str">
        <x:f>IFERROR(XLOOKUP(C12,'Review Sequence'!C2:C1586,'Review Sequence'!I2:I1586),"")</x:f>
        <x:v>No upstream dependency</x:v>
      </x:c>
      <x:c r="G12" s="6" t="str">
        <x:f>IFERROR(XLOOKUP(C12,'Review Sequence'!C2:C1586,'Review Sequence'!J2:J1586),"")</x:f>
        <x:v>Not Started</x:v>
      </x:c>
      <x:c r="H12" s="7" t="str">
        <x:f>IFERROR(XLOOKUP(C12,'Review Sequence'!C2:C1586,'Review Sequence'!O2:O1586),"")</x:f>
      </x:c>
      <x:c r="I12" s="6" t="str">
        <x:f>IFERROR(XLOOKUP(C12,'Review Sequence'!C2:C1586,'Review Sequence'!P2:P1586),"")</x:f>
        <x:v>No</x:v>
      </x:c>
    </x:row>
    <x:row r="13">
      <x:c r="A13" s="6" t="str">
        <x:v>BLK-0012</x:v>
      </x:c>
      <x:c r="B13" s="6" t="str">
        <x:v>Duplicate Group</x:v>
      </x:c>
      <x:c r="C13" s="6" t="str">
        <x:v>DUPX-0012</x:v>
      </x:c>
      <x:c r="D13" s="6" t="str"/>
      <x:c r="E13" s="6" t="str">
        <x:v>DUP000012</x:v>
      </x:c>
      <x:c r="F13" s="6" t="str">
        <x:f>IFERROR(XLOOKUP(C13,'Review Sequence'!C2:C1586,'Review Sequence'!I2:I1586),"")</x:f>
        <x:v>No upstream dependency</x:v>
      </x:c>
      <x:c r="G13" s="6" t="str">
        <x:f>IFERROR(XLOOKUP(C13,'Review Sequence'!C2:C1586,'Review Sequence'!J2:J1586),"")</x:f>
        <x:v>Not Started</x:v>
      </x:c>
      <x:c r="H13" s="7" t="str">
        <x:f>IFERROR(XLOOKUP(C13,'Review Sequence'!C2:C1586,'Review Sequence'!O2:O1586),"")</x:f>
      </x:c>
      <x:c r="I13" s="6" t="str">
        <x:f>IFERROR(XLOOKUP(C13,'Review Sequence'!C2:C1586,'Review Sequence'!P2:P1586),"")</x:f>
        <x:v>No</x:v>
      </x:c>
    </x:row>
    <x:row r="14">
      <x:c r="A14" s="6" t="str">
        <x:v>BLK-0013</x:v>
      </x:c>
      <x:c r="B14" s="6" t="str">
        <x:v>Duplicate Group</x:v>
      </x:c>
      <x:c r="C14" s="6" t="str">
        <x:v>DUPX-0013</x:v>
      </x:c>
      <x:c r="D14" s="6" t="str"/>
      <x:c r="E14" s="6" t="str">
        <x:v>DUP000013</x:v>
      </x:c>
      <x:c r="F14" s="6" t="str">
        <x:f>IFERROR(XLOOKUP(C14,'Review Sequence'!C2:C1586,'Review Sequence'!I2:I1586),"")</x:f>
        <x:v>No upstream dependency</x:v>
      </x:c>
      <x:c r="G14" s="6" t="str">
        <x:f>IFERROR(XLOOKUP(C14,'Review Sequence'!C2:C1586,'Review Sequence'!J2:J1586),"")</x:f>
        <x:v>Not Started</x:v>
      </x:c>
      <x:c r="H14" s="7" t="str">
        <x:f>IFERROR(XLOOKUP(C14,'Review Sequence'!C2:C1586,'Review Sequence'!O2:O1586),"")</x:f>
      </x:c>
      <x:c r="I14" s="6" t="str">
        <x:f>IFERROR(XLOOKUP(C14,'Review Sequence'!C2:C1586,'Review Sequence'!P2:P1586),"")</x:f>
        <x:v>No</x:v>
      </x:c>
    </x:row>
    <x:row r="15">
      <x:c r="A15" s="6" t="str">
        <x:v>BLK-0014</x:v>
      </x:c>
      <x:c r="B15" s="6" t="str">
        <x:v>Duplicate Group</x:v>
      </x:c>
      <x:c r="C15" s="6" t="str">
        <x:v>DUPX-0014</x:v>
      </x:c>
      <x:c r="D15" s="6" t="str"/>
      <x:c r="E15" s="6" t="str">
        <x:v>DUP000014</x:v>
      </x:c>
      <x:c r="F15" s="6" t="str">
        <x:f>IFERROR(XLOOKUP(C15,'Review Sequence'!C2:C1586,'Review Sequence'!I2:I1586),"")</x:f>
        <x:v>No upstream dependency</x:v>
      </x:c>
      <x:c r="G15" s="6" t="str">
        <x:f>IFERROR(XLOOKUP(C15,'Review Sequence'!C2:C1586,'Review Sequence'!J2:J1586),"")</x:f>
        <x:v>Not Started</x:v>
      </x:c>
      <x:c r="H15" s="7" t="str">
        <x:f>IFERROR(XLOOKUP(C15,'Review Sequence'!C2:C1586,'Review Sequence'!O2:O1586),"")</x:f>
      </x:c>
      <x:c r="I15" s="6" t="str">
        <x:f>IFERROR(XLOOKUP(C15,'Review Sequence'!C2:C1586,'Review Sequence'!P2:P1586),"")</x:f>
        <x:v>No</x:v>
      </x:c>
    </x:row>
    <x:row r="16">
      <x:c r="A16" s="6" t="str">
        <x:v>BLK-0015</x:v>
      </x:c>
      <x:c r="B16" s="6" t="str">
        <x:v>Duplicate Group</x:v>
      </x:c>
      <x:c r="C16" s="6" t="str">
        <x:v>DUPX-0015</x:v>
      </x:c>
      <x:c r="D16" s="6" t="str"/>
      <x:c r="E16" s="6" t="str">
        <x:v>DUP000015</x:v>
      </x:c>
      <x:c r="F16" s="6" t="str">
        <x:f>IFERROR(XLOOKUP(C16,'Review Sequence'!C2:C1586,'Review Sequence'!I2:I1586),"")</x:f>
        <x:v>No upstream dependency</x:v>
      </x:c>
      <x:c r="G16" s="6" t="str">
        <x:f>IFERROR(XLOOKUP(C16,'Review Sequence'!C2:C1586,'Review Sequence'!J2:J1586),"")</x:f>
        <x:v>Not Started</x:v>
      </x:c>
      <x:c r="H16" s="7" t="str">
        <x:f>IFERROR(XLOOKUP(C16,'Review Sequence'!C2:C1586,'Review Sequence'!O2:O1586),"")</x:f>
      </x:c>
      <x:c r="I16" s="6" t="str">
        <x:f>IFERROR(XLOOKUP(C16,'Review Sequence'!C2:C1586,'Review Sequence'!P2:P1586),"")</x:f>
        <x:v>No</x:v>
      </x:c>
    </x:row>
    <x:row r="17">
      <x:c r="A17" s="6" t="str">
        <x:v>BLK-0016</x:v>
      </x:c>
      <x:c r="B17" s="6" t="str">
        <x:v>Service Identity</x:v>
      </x:c>
      <x:c r="C17" s="6" t="str">
        <x:v>SIDX-0001</x:v>
      </x:c>
      <x:c r="D17" s="6" t="str">
        <x:v>SVC000001</x:v>
      </x:c>
      <x:c r="E17" s="6" t="str"/>
      <x:c r="F17" s="6" t="str">
        <x:f>IFERROR(XLOOKUP(C17,'Review Sequence'!C2:C1586,'Review Sequence'!I2:I1586),"")</x:f>
        <x:v>No upstream dependency</x:v>
      </x:c>
      <x:c r="G17" s="6" t="str">
        <x:f>IFERROR(XLOOKUP(C17,'Review Sequence'!C2:C1586,'Review Sequence'!J2:J1586),"")</x:f>
        <x:v>Not Started</x:v>
      </x:c>
      <x:c r="H17" s="7" t="str">
        <x:f>IFERROR(XLOOKUP(C17,'Review Sequence'!C2:C1586,'Review Sequence'!O2:O1586),"")</x:f>
      </x:c>
      <x:c r="I17" s="6" t="str">
        <x:f>IFERROR(XLOOKUP(C17,'Review Sequence'!C2:C1586,'Review Sequence'!P2:P1586),"")</x:f>
        <x:v>No</x:v>
      </x:c>
    </x:row>
    <x:row r="18">
      <x:c r="A18" s="6" t="str">
        <x:v>BLK-0017</x:v>
      </x:c>
      <x:c r="B18" s="6" t="str">
        <x:v>Service Identity</x:v>
      </x:c>
      <x:c r="C18" s="6" t="str">
        <x:v>SIDX-0002</x:v>
      </x:c>
      <x:c r="D18" s="6" t="str">
        <x:v>SVC000002</x:v>
      </x:c>
      <x:c r="E18" s="6" t="str"/>
      <x:c r="F18" s="6" t="str">
        <x:f>IFERROR(XLOOKUP(C18,'Review Sequence'!C2:C1586,'Review Sequence'!I2:I1586),"")</x:f>
        <x:v>No upstream dependency</x:v>
      </x:c>
      <x:c r="G18" s="6" t="str">
        <x:f>IFERROR(XLOOKUP(C18,'Review Sequence'!C2:C1586,'Review Sequence'!J2:J1586),"")</x:f>
        <x:v>Not Started</x:v>
      </x:c>
      <x:c r="H18" s="7" t="str">
        <x:f>IFERROR(XLOOKUP(C18,'Review Sequence'!C2:C1586,'Review Sequence'!O2:O1586),"")</x:f>
      </x:c>
      <x:c r="I18" s="6" t="str">
        <x:f>IFERROR(XLOOKUP(C18,'Review Sequence'!C2:C1586,'Review Sequence'!P2:P1586),"")</x:f>
        <x:v>No</x:v>
      </x:c>
    </x:row>
    <x:row r="19">
      <x:c r="A19" s="6" t="str">
        <x:v>BLK-0018</x:v>
      </x:c>
      <x:c r="B19" s="6" t="str">
        <x:v>Service Identity</x:v>
      </x:c>
      <x:c r="C19" s="6" t="str">
        <x:v>SIDX-0003</x:v>
      </x:c>
      <x:c r="D19" s="6" t="str">
        <x:v>SVC000003</x:v>
      </x:c>
      <x:c r="E19" s="6" t="str"/>
      <x:c r="F19" s="6" t="str">
        <x:f>IFERROR(XLOOKUP(C19,'Review Sequence'!C2:C1586,'Review Sequence'!I2:I1586),"")</x:f>
        <x:v>No upstream dependency</x:v>
      </x:c>
      <x:c r="G19" s="6" t="str">
        <x:f>IFERROR(XLOOKUP(C19,'Review Sequence'!C2:C1586,'Review Sequence'!J2:J1586),"")</x:f>
        <x:v>Not Started</x:v>
      </x:c>
      <x:c r="H19" s="7" t="str">
        <x:f>IFERROR(XLOOKUP(C19,'Review Sequence'!C2:C1586,'Review Sequence'!O2:O1586),"")</x:f>
      </x:c>
      <x:c r="I19" s="6" t="str">
        <x:f>IFERROR(XLOOKUP(C19,'Review Sequence'!C2:C1586,'Review Sequence'!P2:P1586),"")</x:f>
        <x:v>No</x:v>
      </x:c>
    </x:row>
    <x:row r="20">
      <x:c r="A20" s="6" t="str">
        <x:v>BLK-0019</x:v>
      </x:c>
      <x:c r="B20" s="6" t="str">
        <x:v>Service Identity</x:v>
      </x:c>
      <x:c r="C20" s="6" t="str">
        <x:v>SIDX-0004</x:v>
      </x:c>
      <x:c r="D20" s="6" t="str">
        <x:v>SVC000004</x:v>
      </x:c>
      <x:c r="E20" s="6" t="str"/>
      <x:c r="F20" s="6" t="str">
        <x:f>IFERROR(XLOOKUP(C20,'Review Sequence'!C2:C1586,'Review Sequence'!I2:I1586),"")</x:f>
        <x:v>No upstream dependency</x:v>
      </x:c>
      <x:c r="G20" s="6" t="str">
        <x:f>IFERROR(XLOOKUP(C20,'Review Sequence'!C2:C1586,'Review Sequence'!J2:J1586),"")</x:f>
        <x:v>Not Started</x:v>
      </x:c>
      <x:c r="H20" s="7" t="str">
        <x:f>IFERROR(XLOOKUP(C20,'Review Sequence'!C2:C1586,'Review Sequence'!O2:O1586),"")</x:f>
      </x:c>
      <x:c r="I20" s="6" t="str">
        <x:f>IFERROR(XLOOKUP(C20,'Review Sequence'!C2:C1586,'Review Sequence'!P2:P1586),"")</x:f>
        <x:v>No</x:v>
      </x:c>
    </x:row>
    <x:row r="21">
      <x:c r="A21" s="6" t="str">
        <x:v>BLK-0020</x:v>
      </x:c>
      <x:c r="B21" s="6" t="str">
        <x:v>Service Identity</x:v>
      </x:c>
      <x:c r="C21" s="6" t="str">
        <x:v>SIDX-0005</x:v>
      </x:c>
      <x:c r="D21" s="6" t="str">
        <x:v>SVC000005</x:v>
      </x:c>
      <x:c r="E21" s="6" t="str"/>
      <x:c r="F21" s="6" t="str">
        <x:f>IFERROR(XLOOKUP(C21,'Review Sequence'!C2:C1586,'Review Sequence'!I2:I1586),"")</x:f>
        <x:v>No upstream dependency</x:v>
      </x:c>
      <x:c r="G21" s="6" t="str">
        <x:f>IFERROR(XLOOKUP(C21,'Review Sequence'!C2:C1586,'Review Sequence'!J2:J1586),"")</x:f>
        <x:v>Not Started</x:v>
      </x:c>
      <x:c r="H21" s="7" t="str">
        <x:f>IFERROR(XLOOKUP(C21,'Review Sequence'!C2:C1586,'Review Sequence'!O2:O1586),"")</x:f>
      </x:c>
      <x:c r="I21" s="6" t="str">
        <x:f>IFERROR(XLOOKUP(C21,'Review Sequence'!C2:C1586,'Review Sequence'!P2:P1586),"")</x:f>
        <x:v>No</x:v>
      </x:c>
    </x:row>
    <x:row r="22">
      <x:c r="A22" s="6" t="str">
        <x:v>BLK-0021</x:v>
      </x:c>
      <x:c r="B22" s="6" t="str">
        <x:v>Service Identity</x:v>
      </x:c>
      <x:c r="C22" s="6" t="str">
        <x:v>SIDX-0006</x:v>
      </x:c>
      <x:c r="D22" s="6" t="str">
        <x:v>SVC000006</x:v>
      </x:c>
      <x:c r="E22" s="6" t="str"/>
      <x:c r="F22" s="6" t="str">
        <x:f>IFERROR(XLOOKUP(C22,'Review Sequence'!C2:C1586,'Review Sequence'!I2:I1586),"")</x:f>
        <x:v>No upstream dependency</x:v>
      </x:c>
      <x:c r="G22" s="6" t="str">
        <x:f>IFERROR(XLOOKUP(C22,'Review Sequence'!C2:C1586,'Review Sequence'!J2:J1586),"")</x:f>
        <x:v>Not Started</x:v>
      </x:c>
      <x:c r="H22" s="7" t="str">
        <x:f>IFERROR(XLOOKUP(C22,'Review Sequence'!C2:C1586,'Review Sequence'!O2:O1586),"")</x:f>
      </x:c>
      <x:c r="I22" s="6" t="str">
        <x:f>IFERROR(XLOOKUP(C22,'Review Sequence'!C2:C1586,'Review Sequence'!P2:P1586),"")</x:f>
        <x:v>No</x:v>
      </x:c>
    </x:row>
    <x:row r="23">
      <x:c r="A23" s="6" t="str">
        <x:v>BLK-0022</x:v>
      </x:c>
      <x:c r="B23" s="6" t="str">
        <x:v>Service Identity</x:v>
      </x:c>
      <x:c r="C23" s="6" t="str">
        <x:v>SIDX-0007</x:v>
      </x:c>
      <x:c r="D23" s="6" t="str">
        <x:v>SVC000007</x:v>
      </x:c>
      <x:c r="E23" s="6" t="str"/>
      <x:c r="F23" s="6" t="str">
        <x:f>IFERROR(XLOOKUP(C23,'Review Sequence'!C2:C1586,'Review Sequence'!I2:I1586),"")</x:f>
        <x:v>No upstream dependency</x:v>
      </x:c>
      <x:c r="G23" s="6" t="str">
        <x:f>IFERROR(XLOOKUP(C23,'Review Sequence'!C2:C1586,'Review Sequence'!J2:J1586),"")</x:f>
        <x:v>Not Started</x:v>
      </x:c>
      <x:c r="H23" s="7" t="str">
        <x:f>IFERROR(XLOOKUP(C23,'Review Sequence'!C2:C1586,'Review Sequence'!O2:O1586),"")</x:f>
      </x:c>
      <x:c r="I23" s="6" t="str">
        <x:f>IFERROR(XLOOKUP(C23,'Review Sequence'!C2:C1586,'Review Sequence'!P2:P1586),"")</x:f>
        <x:v>No</x:v>
      </x:c>
    </x:row>
    <x:row r="24">
      <x:c r="A24" s="6" t="str">
        <x:v>BLK-0023</x:v>
      </x:c>
      <x:c r="B24" s="6" t="str">
        <x:v>Service Identity</x:v>
      </x:c>
      <x:c r="C24" s="6" t="str">
        <x:v>SIDX-0008</x:v>
      </x:c>
      <x:c r="D24" s="6" t="str">
        <x:v>SVC000008</x:v>
      </x:c>
      <x:c r="E24" s="6" t="str">
        <x:v>DUP000001</x:v>
      </x:c>
      <x:c r="F24" s="6" t="str">
        <x:f>IFERROR(XLOOKUP(C24,'Review Sequence'!C2:C1586,'Review Sequence'!I2:I1586),"")</x:f>
        <x:v>Not Started</x:v>
      </x:c>
      <x:c r="G24" s="6" t="str">
        <x:f>IFERROR(XLOOKUP(C24,'Review Sequence'!C2:C1586,'Review Sequence'!J2:J1586),"")</x:f>
        <x:v>Not Started</x:v>
      </x:c>
      <x:c r="H24" s="7" t="str">
        <x:f>IFERROR(XLOOKUP(C24,'Review Sequence'!C2:C1586,'Review Sequence'!O2:O1586),"")</x:f>
      </x:c>
      <x:c r="I24" s="6" t="str">
        <x:f>IFERROR(XLOOKUP(C24,'Review Sequence'!C2:C1586,'Review Sequence'!P2:P1586),"")</x:f>
        <x:v>Yes</x:v>
      </x:c>
    </x:row>
    <x:row r="25">
      <x:c r="A25" s="6" t="str">
        <x:v>BLK-0024</x:v>
      </x:c>
      <x:c r="B25" s="6" t="str">
        <x:v>Service Identity</x:v>
      </x:c>
      <x:c r="C25" s="6" t="str">
        <x:v>SIDX-0009</x:v>
      </x:c>
      <x:c r="D25" s="6" t="str">
        <x:v>SVC000009</x:v>
      </x:c>
      <x:c r="E25" s="6" t="str">
        <x:v>DUP000002</x:v>
      </x:c>
      <x:c r="F25" s="6" t="str">
        <x:f>IFERROR(XLOOKUP(C25,'Review Sequence'!C2:C1586,'Review Sequence'!I2:I1586),"")</x:f>
        <x:v>Not Started</x:v>
      </x:c>
      <x:c r="G25" s="6" t="str">
        <x:f>IFERROR(XLOOKUP(C25,'Review Sequence'!C2:C1586,'Review Sequence'!J2:J1586),"")</x:f>
        <x:v>Not Started</x:v>
      </x:c>
      <x:c r="H25" s="7" t="str">
        <x:f>IFERROR(XLOOKUP(C25,'Review Sequence'!C2:C1586,'Review Sequence'!O2:O1586),"")</x:f>
      </x:c>
      <x:c r="I25" s="6" t="str">
        <x:f>IFERROR(XLOOKUP(C25,'Review Sequence'!C2:C1586,'Review Sequence'!P2:P1586),"")</x:f>
        <x:v>Yes</x:v>
      </x:c>
    </x:row>
    <x:row r="26">
      <x:c r="A26" s="6" t="str">
        <x:v>BLK-0025</x:v>
      </x:c>
      <x:c r="B26" s="6" t="str">
        <x:v>Service Identity</x:v>
      </x:c>
      <x:c r="C26" s="6" t="str">
        <x:v>SIDX-0010</x:v>
      </x:c>
      <x:c r="D26" s="6" t="str">
        <x:v>SVC000010</x:v>
      </x:c>
      <x:c r="E26" s="6" t="str"/>
      <x:c r="F26" s="6" t="str">
        <x:f>IFERROR(XLOOKUP(C26,'Review Sequence'!C2:C1586,'Review Sequence'!I2:I1586),"")</x:f>
        <x:v>No upstream dependency</x:v>
      </x:c>
      <x:c r="G26" s="6" t="str">
        <x:f>IFERROR(XLOOKUP(C26,'Review Sequence'!C2:C1586,'Review Sequence'!J2:J1586),"")</x:f>
        <x:v>Not Started</x:v>
      </x:c>
      <x:c r="H26" s="7" t="str">
        <x:f>IFERROR(XLOOKUP(C26,'Review Sequence'!C2:C1586,'Review Sequence'!O2:O1586),"")</x:f>
      </x:c>
      <x:c r="I26" s="6" t="str">
        <x:f>IFERROR(XLOOKUP(C26,'Review Sequence'!C2:C1586,'Review Sequence'!P2:P1586),"")</x:f>
        <x:v>No</x:v>
      </x:c>
    </x:row>
    <x:row r="27">
      <x:c r="A27" s="6" t="str">
        <x:v>BLK-0026</x:v>
      </x:c>
      <x:c r="B27" s="6" t="str">
        <x:v>Service Identity</x:v>
      </x:c>
      <x:c r="C27" s="6" t="str">
        <x:v>SIDX-0011</x:v>
      </x:c>
      <x:c r="D27" s="6" t="str">
        <x:v>SVC000011</x:v>
      </x:c>
      <x:c r="E27" s="6" t="str"/>
      <x:c r="F27" s="6" t="str">
        <x:f>IFERROR(XLOOKUP(C27,'Review Sequence'!C2:C1586,'Review Sequence'!I2:I1586),"")</x:f>
        <x:v>No upstream dependency</x:v>
      </x:c>
      <x:c r="G27" s="6" t="str">
        <x:f>IFERROR(XLOOKUP(C27,'Review Sequence'!C2:C1586,'Review Sequence'!J2:J1586),"")</x:f>
        <x:v>Not Started</x:v>
      </x:c>
      <x:c r="H27" s="7" t="str">
        <x:f>IFERROR(XLOOKUP(C27,'Review Sequence'!C2:C1586,'Review Sequence'!O2:O1586),"")</x:f>
      </x:c>
      <x:c r="I27" s="6" t="str">
        <x:f>IFERROR(XLOOKUP(C27,'Review Sequence'!C2:C1586,'Review Sequence'!P2:P1586),"")</x:f>
        <x:v>No</x:v>
      </x:c>
    </x:row>
    <x:row r="28">
      <x:c r="A28" s="6" t="str">
        <x:v>BLK-0027</x:v>
      </x:c>
      <x:c r="B28" s="6" t="str">
        <x:v>Service Identity</x:v>
      </x:c>
      <x:c r="C28" s="6" t="str">
        <x:v>SIDX-0012</x:v>
      </x:c>
      <x:c r="D28" s="6" t="str">
        <x:v>SVC000012</x:v>
      </x:c>
      <x:c r="E28" s="6" t="str"/>
      <x:c r="F28" s="6" t="str">
        <x:f>IFERROR(XLOOKUP(C28,'Review Sequence'!C2:C1586,'Review Sequence'!I2:I1586),"")</x:f>
        <x:v>No upstream dependency</x:v>
      </x:c>
      <x:c r="G28" s="6" t="str">
        <x:f>IFERROR(XLOOKUP(C28,'Review Sequence'!C2:C1586,'Review Sequence'!J2:J1586),"")</x:f>
        <x:v>Not Started</x:v>
      </x:c>
      <x:c r="H28" s="7" t="str">
        <x:f>IFERROR(XLOOKUP(C28,'Review Sequence'!C2:C1586,'Review Sequence'!O2:O1586),"")</x:f>
      </x:c>
      <x:c r="I28" s="6" t="str">
        <x:f>IFERROR(XLOOKUP(C28,'Review Sequence'!C2:C1586,'Review Sequence'!P2:P1586),"")</x:f>
        <x:v>No</x:v>
      </x:c>
    </x:row>
    <x:row r="29">
      <x:c r="A29" s="6" t="str">
        <x:v>BLK-0028</x:v>
      </x:c>
      <x:c r="B29" s="6" t="str">
        <x:v>Service Identity</x:v>
      </x:c>
      <x:c r="C29" s="6" t="str">
        <x:v>SIDX-0013</x:v>
      </x:c>
      <x:c r="D29" s="6" t="str">
        <x:v>SVC000013</x:v>
      </x:c>
      <x:c r="E29" s="6" t="str"/>
      <x:c r="F29" s="6" t="str">
        <x:f>IFERROR(XLOOKUP(C29,'Review Sequence'!C2:C1586,'Review Sequence'!I2:I1586),"")</x:f>
        <x:v>No upstream dependency</x:v>
      </x:c>
      <x:c r="G29" s="6" t="str">
        <x:f>IFERROR(XLOOKUP(C29,'Review Sequence'!C2:C1586,'Review Sequence'!J2:J1586),"")</x:f>
        <x:v>Not Started</x:v>
      </x:c>
      <x:c r="H29" s="7" t="str">
        <x:f>IFERROR(XLOOKUP(C29,'Review Sequence'!C2:C1586,'Review Sequence'!O2:O1586),"")</x:f>
      </x:c>
      <x:c r="I29" s="6" t="str">
        <x:f>IFERROR(XLOOKUP(C29,'Review Sequence'!C2:C1586,'Review Sequence'!P2:P1586),"")</x:f>
        <x:v>No</x:v>
      </x:c>
    </x:row>
    <x:row r="30">
      <x:c r="A30" s="6" t="str">
        <x:v>BLK-0029</x:v>
      </x:c>
      <x:c r="B30" s="6" t="str">
        <x:v>Service Identity</x:v>
      </x:c>
      <x:c r="C30" s="6" t="str">
        <x:v>SIDX-0014</x:v>
      </x:c>
      <x:c r="D30" s="6" t="str">
        <x:v>SVC000014</x:v>
      </x:c>
      <x:c r="E30" s="6" t="str"/>
      <x:c r="F30" s="6" t="str">
        <x:f>IFERROR(XLOOKUP(C30,'Review Sequence'!C2:C1586,'Review Sequence'!I2:I1586),"")</x:f>
        <x:v>No upstream dependency</x:v>
      </x:c>
      <x:c r="G30" s="6" t="str">
        <x:f>IFERROR(XLOOKUP(C30,'Review Sequence'!C2:C1586,'Review Sequence'!J2:J1586),"")</x:f>
        <x:v>Not Started</x:v>
      </x:c>
      <x:c r="H30" s="7" t="str">
        <x:f>IFERROR(XLOOKUP(C30,'Review Sequence'!C2:C1586,'Review Sequence'!O2:O1586),"")</x:f>
      </x:c>
      <x:c r="I30" s="6" t="str">
        <x:f>IFERROR(XLOOKUP(C30,'Review Sequence'!C2:C1586,'Review Sequence'!P2:P1586),"")</x:f>
        <x:v>No</x:v>
      </x:c>
    </x:row>
    <x:row r="31">
      <x:c r="A31" s="6" t="str">
        <x:v>BLK-0030</x:v>
      </x:c>
      <x:c r="B31" s="6" t="str">
        <x:v>Service Identity</x:v>
      </x:c>
      <x:c r="C31" s="6" t="str">
        <x:v>SIDX-0015</x:v>
      </x:c>
      <x:c r="D31" s="6" t="str">
        <x:v>SVC000015</x:v>
      </x:c>
      <x:c r="E31" s="6" t="str"/>
      <x:c r="F31" s="6" t="str">
        <x:f>IFERROR(XLOOKUP(C31,'Review Sequence'!C2:C1586,'Review Sequence'!I2:I1586),"")</x:f>
        <x:v>No upstream dependency</x:v>
      </x:c>
      <x:c r="G31" s="6" t="str">
        <x:f>IFERROR(XLOOKUP(C31,'Review Sequence'!C2:C1586,'Review Sequence'!J2:J1586),"")</x:f>
        <x:v>Not Started</x:v>
      </x:c>
      <x:c r="H31" s="7" t="str">
        <x:f>IFERROR(XLOOKUP(C31,'Review Sequence'!C2:C1586,'Review Sequence'!O2:O1586),"")</x:f>
      </x:c>
      <x:c r="I31" s="6" t="str">
        <x:f>IFERROR(XLOOKUP(C31,'Review Sequence'!C2:C1586,'Review Sequence'!P2:P1586),"")</x:f>
        <x:v>No</x:v>
      </x:c>
    </x:row>
    <x:row r="32">
      <x:c r="A32" s="6" t="str">
        <x:v>BLK-0031</x:v>
      </x:c>
      <x:c r="B32" s="6" t="str">
        <x:v>Service Identity</x:v>
      </x:c>
      <x:c r="C32" s="6" t="str">
        <x:v>SIDX-0016</x:v>
      </x:c>
      <x:c r="D32" s="6" t="str">
        <x:v>SVC000016</x:v>
      </x:c>
      <x:c r="E32" s="6" t="str"/>
      <x:c r="F32" s="6" t="str">
        <x:f>IFERROR(XLOOKUP(C32,'Review Sequence'!C2:C1586,'Review Sequence'!I2:I1586),"")</x:f>
        <x:v>No upstream dependency</x:v>
      </x:c>
      <x:c r="G32" s="6" t="str">
        <x:f>IFERROR(XLOOKUP(C32,'Review Sequence'!C2:C1586,'Review Sequence'!J2:J1586),"")</x:f>
        <x:v>Not Started</x:v>
      </x:c>
      <x:c r="H32" s="7" t="str">
        <x:f>IFERROR(XLOOKUP(C32,'Review Sequence'!C2:C1586,'Review Sequence'!O2:O1586),"")</x:f>
      </x:c>
      <x:c r="I32" s="6" t="str">
        <x:f>IFERROR(XLOOKUP(C32,'Review Sequence'!C2:C1586,'Review Sequence'!P2:P1586),"")</x:f>
        <x:v>No</x:v>
      </x:c>
    </x:row>
    <x:row r="33">
      <x:c r="A33" s="6" t="str">
        <x:v>BLK-0032</x:v>
      </x:c>
      <x:c r="B33" s="6" t="str">
        <x:v>Service Identity</x:v>
      </x:c>
      <x:c r="C33" s="6" t="str">
        <x:v>SIDX-0017</x:v>
      </x:c>
      <x:c r="D33" s="6" t="str">
        <x:v>SVC000017</x:v>
      </x:c>
      <x:c r="E33" s="6" t="str"/>
      <x:c r="F33" s="6" t="str">
        <x:f>IFERROR(XLOOKUP(C33,'Review Sequence'!C2:C1586,'Review Sequence'!I2:I1586),"")</x:f>
        <x:v>No upstream dependency</x:v>
      </x:c>
      <x:c r="G33" s="6" t="str">
        <x:f>IFERROR(XLOOKUP(C33,'Review Sequence'!C2:C1586,'Review Sequence'!J2:J1586),"")</x:f>
        <x:v>Not Started</x:v>
      </x:c>
      <x:c r="H33" s="7" t="str">
        <x:f>IFERROR(XLOOKUP(C33,'Review Sequence'!C2:C1586,'Review Sequence'!O2:O1586),"")</x:f>
      </x:c>
      <x:c r="I33" s="6" t="str">
        <x:f>IFERROR(XLOOKUP(C33,'Review Sequence'!C2:C1586,'Review Sequence'!P2:P1586),"")</x:f>
        <x:v>No</x:v>
      </x:c>
    </x:row>
    <x:row r="34">
      <x:c r="A34" s="6" t="str">
        <x:v>BLK-0033</x:v>
      </x:c>
      <x:c r="B34" s="6" t="str">
        <x:v>Service Identity</x:v>
      </x:c>
      <x:c r="C34" s="6" t="str">
        <x:v>SIDX-0018</x:v>
      </x:c>
      <x:c r="D34" s="6" t="str">
        <x:v>SVC000018</x:v>
      </x:c>
      <x:c r="E34" s="6" t="str"/>
      <x:c r="F34" s="6" t="str">
        <x:f>IFERROR(XLOOKUP(C34,'Review Sequence'!C2:C1586,'Review Sequence'!I2:I1586),"")</x:f>
        <x:v>No upstream dependency</x:v>
      </x:c>
      <x:c r="G34" s="6" t="str">
        <x:f>IFERROR(XLOOKUP(C34,'Review Sequence'!C2:C1586,'Review Sequence'!J2:J1586),"")</x:f>
        <x:v>Not Started</x:v>
      </x:c>
      <x:c r="H34" s="7" t="str">
        <x:f>IFERROR(XLOOKUP(C34,'Review Sequence'!C2:C1586,'Review Sequence'!O2:O1586),"")</x:f>
      </x:c>
      <x:c r="I34" s="6" t="str">
        <x:f>IFERROR(XLOOKUP(C34,'Review Sequence'!C2:C1586,'Review Sequence'!P2:P1586),"")</x:f>
        <x:v>No</x:v>
      </x:c>
    </x:row>
    <x:row r="35">
      <x:c r="A35" s="6" t="str">
        <x:v>BLK-0034</x:v>
      </x:c>
      <x:c r="B35" s="6" t="str">
        <x:v>Service Identity</x:v>
      </x:c>
      <x:c r="C35" s="6" t="str">
        <x:v>SIDX-0019</x:v>
      </x:c>
      <x:c r="D35" s="6" t="str">
        <x:v>SVC000019</x:v>
      </x:c>
      <x:c r="E35" s="6" t="str"/>
      <x:c r="F35" s="6" t="str">
        <x:f>IFERROR(XLOOKUP(C35,'Review Sequence'!C2:C1586,'Review Sequence'!I2:I1586),"")</x:f>
        <x:v>No upstream dependency</x:v>
      </x:c>
      <x:c r="G35" s="6" t="str">
        <x:f>IFERROR(XLOOKUP(C35,'Review Sequence'!C2:C1586,'Review Sequence'!J2:J1586),"")</x:f>
        <x:v>Not Started</x:v>
      </x:c>
      <x:c r="H35" s="7" t="str">
        <x:f>IFERROR(XLOOKUP(C35,'Review Sequence'!C2:C1586,'Review Sequence'!O2:O1586),"")</x:f>
      </x:c>
      <x:c r="I35" s="6" t="str">
        <x:f>IFERROR(XLOOKUP(C35,'Review Sequence'!C2:C1586,'Review Sequence'!P2:P1586),"")</x:f>
        <x:v>No</x:v>
      </x:c>
    </x:row>
    <x:row r="36">
      <x:c r="A36" s="6" t="str">
        <x:v>BLK-0035</x:v>
      </x:c>
      <x:c r="B36" s="6" t="str">
        <x:v>Service Identity</x:v>
      </x:c>
      <x:c r="C36" s="6" t="str">
        <x:v>SIDX-0020</x:v>
      </x:c>
      <x:c r="D36" s="6" t="str">
        <x:v>SVC000020</x:v>
      </x:c>
      <x:c r="E36" s="6" t="str"/>
      <x:c r="F36" s="6" t="str">
        <x:f>IFERROR(XLOOKUP(C36,'Review Sequence'!C2:C1586,'Review Sequence'!I2:I1586),"")</x:f>
        <x:v>No upstream dependency</x:v>
      </x:c>
      <x:c r="G36" s="6" t="str">
        <x:f>IFERROR(XLOOKUP(C36,'Review Sequence'!C2:C1586,'Review Sequence'!J2:J1586),"")</x:f>
        <x:v>Not Started</x:v>
      </x:c>
      <x:c r="H36" s="7" t="str">
        <x:f>IFERROR(XLOOKUP(C36,'Review Sequence'!C2:C1586,'Review Sequence'!O2:O1586),"")</x:f>
      </x:c>
      <x:c r="I36" s="6" t="str">
        <x:f>IFERROR(XLOOKUP(C36,'Review Sequence'!C2:C1586,'Review Sequence'!P2:P1586),"")</x:f>
        <x:v>No</x:v>
      </x:c>
    </x:row>
    <x:row r="37">
      <x:c r="A37" s="6" t="str">
        <x:v>BLK-0036</x:v>
      </x:c>
      <x:c r="B37" s="6" t="str">
        <x:v>Service Identity</x:v>
      </x:c>
      <x:c r="C37" s="6" t="str">
        <x:v>SIDX-0021</x:v>
      </x:c>
      <x:c r="D37" s="6" t="str">
        <x:v>SVC000021</x:v>
      </x:c>
      <x:c r="E37" s="6" t="str"/>
      <x:c r="F37" s="6" t="str">
        <x:f>IFERROR(XLOOKUP(C37,'Review Sequence'!C2:C1586,'Review Sequence'!I2:I1586),"")</x:f>
        <x:v>No upstream dependency</x:v>
      </x:c>
      <x:c r="G37" s="6" t="str">
        <x:f>IFERROR(XLOOKUP(C37,'Review Sequence'!C2:C1586,'Review Sequence'!J2:J1586),"")</x:f>
        <x:v>Not Started</x:v>
      </x:c>
      <x:c r="H37" s="7" t="str">
        <x:f>IFERROR(XLOOKUP(C37,'Review Sequence'!C2:C1586,'Review Sequence'!O2:O1586),"")</x:f>
      </x:c>
      <x:c r="I37" s="6" t="str">
        <x:f>IFERROR(XLOOKUP(C37,'Review Sequence'!C2:C1586,'Review Sequence'!P2:P1586),"")</x:f>
        <x:v>No</x:v>
      </x:c>
    </x:row>
    <x:row r="38">
      <x:c r="A38" s="6" t="str">
        <x:v>BLK-0037</x:v>
      </x:c>
      <x:c r="B38" s="6" t="str">
        <x:v>Service Identity</x:v>
      </x:c>
      <x:c r="C38" s="6" t="str">
        <x:v>SIDX-0022</x:v>
      </x:c>
      <x:c r="D38" s="6" t="str">
        <x:v>SVC000022</x:v>
      </x:c>
      <x:c r="E38" s="6" t="str"/>
      <x:c r="F38" s="6" t="str">
        <x:f>IFERROR(XLOOKUP(C38,'Review Sequence'!C2:C1586,'Review Sequence'!I2:I1586),"")</x:f>
        <x:v>No upstream dependency</x:v>
      </x:c>
      <x:c r="G38" s="6" t="str">
        <x:f>IFERROR(XLOOKUP(C38,'Review Sequence'!C2:C1586,'Review Sequence'!J2:J1586),"")</x:f>
        <x:v>Not Started</x:v>
      </x:c>
      <x:c r="H38" s="7" t="str">
        <x:f>IFERROR(XLOOKUP(C38,'Review Sequence'!C2:C1586,'Review Sequence'!O2:O1586),"")</x:f>
      </x:c>
      <x:c r="I38" s="6" t="str">
        <x:f>IFERROR(XLOOKUP(C38,'Review Sequence'!C2:C1586,'Review Sequence'!P2:P1586),"")</x:f>
        <x:v>No</x:v>
      </x:c>
    </x:row>
    <x:row r="39">
      <x:c r="A39" s="6" t="str">
        <x:v>BLK-0038</x:v>
      </x:c>
      <x:c r="B39" s="6" t="str">
        <x:v>Service Identity</x:v>
      </x:c>
      <x:c r="C39" s="6" t="str">
        <x:v>SIDX-0023</x:v>
      </x:c>
      <x:c r="D39" s="6" t="str">
        <x:v>SVC000023</x:v>
      </x:c>
      <x:c r="E39" s="6" t="str"/>
      <x:c r="F39" s="6" t="str">
        <x:f>IFERROR(XLOOKUP(C39,'Review Sequence'!C2:C1586,'Review Sequence'!I2:I1586),"")</x:f>
        <x:v>No upstream dependency</x:v>
      </x:c>
      <x:c r="G39" s="6" t="str">
        <x:f>IFERROR(XLOOKUP(C39,'Review Sequence'!C2:C1586,'Review Sequence'!J2:J1586),"")</x:f>
        <x:v>Not Started</x:v>
      </x:c>
      <x:c r="H39" s="7" t="str">
        <x:f>IFERROR(XLOOKUP(C39,'Review Sequence'!C2:C1586,'Review Sequence'!O2:O1586),"")</x:f>
      </x:c>
      <x:c r="I39" s="6" t="str">
        <x:f>IFERROR(XLOOKUP(C39,'Review Sequence'!C2:C1586,'Review Sequence'!P2:P1586),"")</x:f>
        <x:v>No</x:v>
      </x:c>
    </x:row>
    <x:row r="40">
      <x:c r="A40" s="6" t="str">
        <x:v>BLK-0039</x:v>
      </x:c>
      <x:c r="B40" s="6" t="str">
        <x:v>Service Identity</x:v>
      </x:c>
      <x:c r="C40" s="6" t="str">
        <x:v>SIDX-0024</x:v>
      </x:c>
      <x:c r="D40" s="6" t="str">
        <x:v>SVC000024</x:v>
      </x:c>
      <x:c r="E40" s="6" t="str"/>
      <x:c r="F40" s="6" t="str">
        <x:f>IFERROR(XLOOKUP(C40,'Review Sequence'!C2:C1586,'Review Sequence'!I2:I1586),"")</x:f>
        <x:v>No upstream dependency</x:v>
      </x:c>
      <x:c r="G40" s="6" t="str">
        <x:f>IFERROR(XLOOKUP(C40,'Review Sequence'!C2:C1586,'Review Sequence'!J2:J1586),"")</x:f>
        <x:v>Not Started</x:v>
      </x:c>
      <x:c r="H40" s="7" t="str">
        <x:f>IFERROR(XLOOKUP(C40,'Review Sequence'!C2:C1586,'Review Sequence'!O2:O1586),"")</x:f>
      </x:c>
      <x:c r="I40" s="6" t="str">
        <x:f>IFERROR(XLOOKUP(C40,'Review Sequence'!C2:C1586,'Review Sequence'!P2:P1586),"")</x:f>
        <x:v>No</x:v>
      </x:c>
    </x:row>
    <x:row r="41">
      <x:c r="A41" s="6" t="str">
        <x:v>BLK-0040</x:v>
      </x:c>
      <x:c r="B41" s="6" t="str">
        <x:v>Service Identity</x:v>
      </x:c>
      <x:c r="C41" s="6" t="str">
        <x:v>SIDX-0025</x:v>
      </x:c>
      <x:c r="D41" s="6" t="str">
        <x:v>SVC000025</x:v>
      </x:c>
      <x:c r="E41" s="6" t="str"/>
      <x:c r="F41" s="6" t="str">
        <x:f>IFERROR(XLOOKUP(C41,'Review Sequence'!C2:C1586,'Review Sequence'!I2:I1586),"")</x:f>
        <x:v>No upstream dependency</x:v>
      </x:c>
      <x:c r="G41" s="6" t="str">
        <x:f>IFERROR(XLOOKUP(C41,'Review Sequence'!C2:C1586,'Review Sequence'!J2:J1586),"")</x:f>
        <x:v>Not Started</x:v>
      </x:c>
      <x:c r="H41" s="7" t="str">
        <x:f>IFERROR(XLOOKUP(C41,'Review Sequence'!C2:C1586,'Review Sequence'!O2:O1586),"")</x:f>
      </x:c>
      <x:c r="I41" s="6" t="str">
        <x:f>IFERROR(XLOOKUP(C41,'Review Sequence'!C2:C1586,'Review Sequence'!P2:P1586),"")</x:f>
        <x:v>No</x:v>
      </x:c>
    </x:row>
    <x:row r="42">
      <x:c r="A42" s="6" t="str">
        <x:v>BLK-0041</x:v>
      </x:c>
      <x:c r="B42" s="6" t="str">
        <x:v>Service Identity</x:v>
      </x:c>
      <x:c r="C42" s="6" t="str">
        <x:v>SIDX-0026</x:v>
      </x:c>
      <x:c r="D42" s="6" t="str">
        <x:v>SVC000026</x:v>
      </x:c>
      <x:c r="E42" s="6" t="str"/>
      <x:c r="F42" s="6" t="str">
        <x:f>IFERROR(XLOOKUP(C42,'Review Sequence'!C2:C1586,'Review Sequence'!I2:I1586),"")</x:f>
        <x:v>No upstream dependency</x:v>
      </x:c>
      <x:c r="G42" s="6" t="str">
        <x:f>IFERROR(XLOOKUP(C42,'Review Sequence'!C2:C1586,'Review Sequence'!J2:J1586),"")</x:f>
        <x:v>Not Started</x:v>
      </x:c>
      <x:c r="H42" s="7" t="str">
        <x:f>IFERROR(XLOOKUP(C42,'Review Sequence'!C2:C1586,'Review Sequence'!O2:O1586),"")</x:f>
      </x:c>
      <x:c r="I42" s="6" t="str">
        <x:f>IFERROR(XLOOKUP(C42,'Review Sequence'!C2:C1586,'Review Sequence'!P2:P1586),"")</x:f>
        <x:v>No</x:v>
      </x:c>
    </x:row>
    <x:row r="43">
      <x:c r="A43" s="6" t="str">
        <x:v>BLK-0042</x:v>
      </x:c>
      <x:c r="B43" s="6" t="str">
        <x:v>Service Identity</x:v>
      </x:c>
      <x:c r="C43" s="6" t="str">
        <x:v>SIDX-0027</x:v>
      </x:c>
      <x:c r="D43" s="6" t="str">
        <x:v>SVC000027</x:v>
      </x:c>
      <x:c r="E43" s="6" t="str"/>
      <x:c r="F43" s="6" t="str">
        <x:f>IFERROR(XLOOKUP(C43,'Review Sequence'!C2:C1586,'Review Sequence'!I2:I1586),"")</x:f>
        <x:v>No upstream dependency</x:v>
      </x:c>
      <x:c r="G43" s="6" t="str">
        <x:f>IFERROR(XLOOKUP(C43,'Review Sequence'!C2:C1586,'Review Sequence'!J2:J1586),"")</x:f>
        <x:v>Not Started</x:v>
      </x:c>
      <x:c r="H43" s="7" t="str">
        <x:f>IFERROR(XLOOKUP(C43,'Review Sequence'!C2:C1586,'Review Sequence'!O2:O1586),"")</x:f>
      </x:c>
      <x:c r="I43" s="6" t="str">
        <x:f>IFERROR(XLOOKUP(C43,'Review Sequence'!C2:C1586,'Review Sequence'!P2:P1586),"")</x:f>
        <x:v>No</x:v>
      </x:c>
    </x:row>
    <x:row r="44">
      <x:c r="A44" s="6" t="str">
        <x:v>BLK-0043</x:v>
      </x:c>
      <x:c r="B44" s="6" t="str">
        <x:v>Service Identity</x:v>
      </x:c>
      <x:c r="C44" s="6" t="str">
        <x:v>SIDX-0028</x:v>
      </x:c>
      <x:c r="D44" s="6" t="str">
        <x:v>SVC000028</x:v>
      </x:c>
      <x:c r="E44" s="6" t="str"/>
      <x:c r="F44" s="6" t="str">
        <x:f>IFERROR(XLOOKUP(C44,'Review Sequence'!C2:C1586,'Review Sequence'!I2:I1586),"")</x:f>
        <x:v>No upstream dependency</x:v>
      </x:c>
      <x:c r="G44" s="6" t="str">
        <x:f>IFERROR(XLOOKUP(C44,'Review Sequence'!C2:C1586,'Review Sequence'!J2:J1586),"")</x:f>
        <x:v>Not Started</x:v>
      </x:c>
      <x:c r="H44" s="7" t="str">
        <x:f>IFERROR(XLOOKUP(C44,'Review Sequence'!C2:C1586,'Review Sequence'!O2:O1586),"")</x:f>
      </x:c>
      <x:c r="I44" s="6" t="str">
        <x:f>IFERROR(XLOOKUP(C44,'Review Sequence'!C2:C1586,'Review Sequence'!P2:P1586),"")</x:f>
        <x:v>No</x:v>
      </x:c>
    </x:row>
    <x:row r="45">
      <x:c r="A45" s="6" t="str">
        <x:v>BLK-0044</x:v>
      </x:c>
      <x:c r="B45" s="6" t="str">
        <x:v>Service Identity</x:v>
      </x:c>
      <x:c r="C45" s="6" t="str">
        <x:v>SIDX-0029</x:v>
      </x:c>
      <x:c r="D45" s="6" t="str">
        <x:v>SVC000029</x:v>
      </x:c>
      <x:c r="E45" s="6" t="str"/>
      <x:c r="F45" s="6" t="str">
        <x:f>IFERROR(XLOOKUP(C45,'Review Sequence'!C2:C1586,'Review Sequence'!I2:I1586),"")</x:f>
        <x:v>No upstream dependency</x:v>
      </x:c>
      <x:c r="G45" s="6" t="str">
        <x:f>IFERROR(XLOOKUP(C45,'Review Sequence'!C2:C1586,'Review Sequence'!J2:J1586),"")</x:f>
        <x:v>Not Started</x:v>
      </x:c>
      <x:c r="H45" s="7" t="str">
        <x:f>IFERROR(XLOOKUP(C45,'Review Sequence'!C2:C1586,'Review Sequence'!O2:O1586),"")</x:f>
      </x:c>
      <x:c r="I45" s="6" t="str">
        <x:f>IFERROR(XLOOKUP(C45,'Review Sequence'!C2:C1586,'Review Sequence'!P2:P1586),"")</x:f>
        <x:v>No</x:v>
      </x:c>
    </x:row>
    <x:row r="46">
      <x:c r="A46" s="6" t="str">
        <x:v>BLK-0045</x:v>
      </x:c>
      <x:c r="B46" s="6" t="str">
        <x:v>Service Identity</x:v>
      </x:c>
      <x:c r="C46" s="6" t="str">
        <x:v>SIDX-0030</x:v>
      </x:c>
      <x:c r="D46" s="6" t="str">
        <x:v>SVC000030</x:v>
      </x:c>
      <x:c r="E46" s="6" t="str"/>
      <x:c r="F46" s="6" t="str">
        <x:f>IFERROR(XLOOKUP(C46,'Review Sequence'!C2:C1586,'Review Sequence'!I2:I1586),"")</x:f>
        <x:v>No upstream dependency</x:v>
      </x:c>
      <x:c r="G46" s="6" t="str">
        <x:f>IFERROR(XLOOKUP(C46,'Review Sequence'!C2:C1586,'Review Sequence'!J2:J1586),"")</x:f>
        <x:v>Not Started</x:v>
      </x:c>
      <x:c r="H46" s="7" t="str">
        <x:f>IFERROR(XLOOKUP(C46,'Review Sequence'!C2:C1586,'Review Sequence'!O2:O1586),"")</x:f>
      </x:c>
      <x:c r="I46" s="6" t="str">
        <x:f>IFERROR(XLOOKUP(C46,'Review Sequence'!C2:C1586,'Review Sequence'!P2:P1586),"")</x:f>
        <x:v>No</x:v>
      </x:c>
    </x:row>
    <x:row r="47">
      <x:c r="A47" s="6" t="str">
        <x:v>BLK-0046</x:v>
      </x:c>
      <x:c r="B47" s="6" t="str">
        <x:v>Service Identity</x:v>
      </x:c>
      <x:c r="C47" s="6" t="str">
        <x:v>SIDX-0031</x:v>
      </x:c>
      <x:c r="D47" s="6" t="str">
        <x:v>SVC000031</x:v>
      </x:c>
      <x:c r="E47" s="6" t="str"/>
      <x:c r="F47" s="6" t="str">
        <x:f>IFERROR(XLOOKUP(C47,'Review Sequence'!C2:C1586,'Review Sequence'!I2:I1586),"")</x:f>
        <x:v>No upstream dependency</x:v>
      </x:c>
      <x:c r="G47" s="6" t="str">
        <x:f>IFERROR(XLOOKUP(C47,'Review Sequence'!C2:C1586,'Review Sequence'!J2:J1586),"")</x:f>
        <x:v>Not Started</x:v>
      </x:c>
      <x:c r="H47" s="7" t="str">
        <x:f>IFERROR(XLOOKUP(C47,'Review Sequence'!C2:C1586,'Review Sequence'!O2:O1586),"")</x:f>
      </x:c>
      <x:c r="I47" s="6" t="str">
        <x:f>IFERROR(XLOOKUP(C47,'Review Sequence'!C2:C1586,'Review Sequence'!P2:P1586),"")</x:f>
        <x:v>No</x:v>
      </x:c>
    </x:row>
    <x:row r="48">
      <x:c r="A48" s="6" t="str">
        <x:v>BLK-0047</x:v>
      </x:c>
      <x:c r="B48" s="6" t="str">
        <x:v>Service Identity</x:v>
      </x:c>
      <x:c r="C48" s="6" t="str">
        <x:v>SIDX-0032</x:v>
      </x:c>
      <x:c r="D48" s="6" t="str">
        <x:v>SVC000032</x:v>
      </x:c>
      <x:c r="E48" s="6" t="str"/>
      <x:c r="F48" s="6" t="str">
        <x:f>IFERROR(XLOOKUP(C48,'Review Sequence'!C2:C1586,'Review Sequence'!I2:I1586),"")</x:f>
        <x:v>No upstream dependency</x:v>
      </x:c>
      <x:c r="G48" s="6" t="str">
        <x:f>IFERROR(XLOOKUP(C48,'Review Sequence'!C2:C1586,'Review Sequence'!J2:J1586),"")</x:f>
        <x:v>Not Started</x:v>
      </x:c>
      <x:c r="H48" s="7" t="str">
        <x:f>IFERROR(XLOOKUP(C48,'Review Sequence'!C2:C1586,'Review Sequence'!O2:O1586),"")</x:f>
      </x:c>
      <x:c r="I48" s="6" t="str">
        <x:f>IFERROR(XLOOKUP(C48,'Review Sequence'!C2:C1586,'Review Sequence'!P2:P1586),"")</x:f>
        <x:v>No</x:v>
      </x:c>
    </x:row>
    <x:row r="49">
      <x:c r="A49" s="6" t="str">
        <x:v>BLK-0048</x:v>
      </x:c>
      <x:c r="B49" s="6" t="str">
        <x:v>Service Identity</x:v>
      </x:c>
      <x:c r="C49" s="6" t="str">
        <x:v>SIDX-0033</x:v>
      </x:c>
      <x:c r="D49" s="6" t="str">
        <x:v>SVC000033</x:v>
      </x:c>
      <x:c r="E49" s="6" t="str"/>
      <x:c r="F49" s="6" t="str">
        <x:f>IFERROR(XLOOKUP(C49,'Review Sequence'!C2:C1586,'Review Sequence'!I2:I1586),"")</x:f>
        <x:v>No upstream dependency</x:v>
      </x:c>
      <x:c r="G49" s="6" t="str">
        <x:f>IFERROR(XLOOKUP(C49,'Review Sequence'!C2:C1586,'Review Sequence'!J2:J1586),"")</x:f>
        <x:v>Not Started</x:v>
      </x:c>
      <x:c r="H49" s="7" t="str">
        <x:f>IFERROR(XLOOKUP(C49,'Review Sequence'!C2:C1586,'Review Sequence'!O2:O1586),"")</x:f>
      </x:c>
      <x:c r="I49" s="6" t="str">
        <x:f>IFERROR(XLOOKUP(C49,'Review Sequence'!C2:C1586,'Review Sequence'!P2:P1586),"")</x:f>
        <x:v>No</x:v>
      </x:c>
    </x:row>
    <x:row r="50">
      <x:c r="A50" s="6" t="str">
        <x:v>BLK-0049</x:v>
      </x:c>
      <x:c r="B50" s="6" t="str">
        <x:v>Service Identity</x:v>
      </x:c>
      <x:c r="C50" s="6" t="str">
        <x:v>SIDX-0034</x:v>
      </x:c>
      <x:c r="D50" s="6" t="str">
        <x:v>SVC000034</x:v>
      </x:c>
      <x:c r="E50" s="6" t="str"/>
      <x:c r="F50" s="6" t="str">
        <x:f>IFERROR(XLOOKUP(C50,'Review Sequence'!C2:C1586,'Review Sequence'!I2:I1586),"")</x:f>
        <x:v>No upstream dependency</x:v>
      </x:c>
      <x:c r="G50" s="6" t="str">
        <x:f>IFERROR(XLOOKUP(C50,'Review Sequence'!C2:C1586,'Review Sequence'!J2:J1586),"")</x:f>
        <x:v>Not Started</x:v>
      </x:c>
      <x:c r="H50" s="7" t="str">
        <x:f>IFERROR(XLOOKUP(C50,'Review Sequence'!C2:C1586,'Review Sequence'!O2:O1586),"")</x:f>
      </x:c>
      <x:c r="I50" s="6" t="str">
        <x:f>IFERROR(XLOOKUP(C50,'Review Sequence'!C2:C1586,'Review Sequence'!P2:P1586),"")</x:f>
        <x:v>No</x:v>
      </x:c>
    </x:row>
    <x:row r="51">
      <x:c r="A51" s="6" t="str">
        <x:v>BLK-0050</x:v>
      </x:c>
      <x:c r="B51" s="6" t="str">
        <x:v>Service Identity</x:v>
      </x:c>
      <x:c r="C51" s="6" t="str">
        <x:v>SIDX-0035</x:v>
      </x:c>
      <x:c r="D51" s="6" t="str">
        <x:v>SVC000035</x:v>
      </x:c>
      <x:c r="E51" s="6" t="str"/>
      <x:c r="F51" s="6" t="str">
        <x:f>IFERROR(XLOOKUP(C51,'Review Sequence'!C2:C1586,'Review Sequence'!I2:I1586),"")</x:f>
        <x:v>No upstream dependency</x:v>
      </x:c>
      <x:c r="G51" s="6" t="str">
        <x:f>IFERROR(XLOOKUP(C51,'Review Sequence'!C2:C1586,'Review Sequence'!J2:J1586),"")</x:f>
        <x:v>Not Started</x:v>
      </x:c>
      <x:c r="H51" s="7" t="str">
        <x:f>IFERROR(XLOOKUP(C51,'Review Sequence'!C2:C1586,'Review Sequence'!O2:O1586),"")</x:f>
      </x:c>
      <x:c r="I51" s="6" t="str">
        <x:f>IFERROR(XLOOKUP(C51,'Review Sequence'!C2:C1586,'Review Sequence'!P2:P1586),"")</x:f>
        <x:v>No</x:v>
      </x:c>
    </x:row>
    <x:row r="52">
      <x:c r="A52" s="6" t="str">
        <x:v>BLK-0051</x:v>
      </x:c>
      <x:c r="B52" s="6" t="str">
        <x:v>Service Identity</x:v>
      </x:c>
      <x:c r="C52" s="6" t="str">
        <x:v>SIDX-0036</x:v>
      </x:c>
      <x:c r="D52" s="6" t="str">
        <x:v>SVC000036</x:v>
      </x:c>
      <x:c r="E52" s="6" t="str"/>
      <x:c r="F52" s="6" t="str">
        <x:f>IFERROR(XLOOKUP(C52,'Review Sequence'!C2:C1586,'Review Sequence'!I2:I1586),"")</x:f>
        <x:v>No upstream dependency</x:v>
      </x:c>
      <x:c r="G52" s="6" t="str">
        <x:f>IFERROR(XLOOKUP(C52,'Review Sequence'!C2:C1586,'Review Sequence'!J2:J1586),"")</x:f>
        <x:v>Not Started</x:v>
      </x:c>
      <x:c r="H52" s="7" t="str">
        <x:f>IFERROR(XLOOKUP(C52,'Review Sequence'!C2:C1586,'Review Sequence'!O2:O1586),"")</x:f>
      </x:c>
      <x:c r="I52" s="6" t="str">
        <x:f>IFERROR(XLOOKUP(C52,'Review Sequence'!C2:C1586,'Review Sequence'!P2:P1586),"")</x:f>
        <x:v>No</x:v>
      </x:c>
    </x:row>
    <x:row r="53">
      <x:c r="A53" s="6" t="str">
        <x:v>BLK-0052</x:v>
      </x:c>
      <x:c r="B53" s="6" t="str">
        <x:v>Service Identity</x:v>
      </x:c>
      <x:c r="C53" s="6" t="str">
        <x:v>SIDX-0037</x:v>
      </x:c>
      <x:c r="D53" s="6" t="str">
        <x:v>SVC000037</x:v>
      </x:c>
      <x:c r="E53" s="6" t="str"/>
      <x:c r="F53" s="6" t="str">
        <x:f>IFERROR(XLOOKUP(C53,'Review Sequence'!C2:C1586,'Review Sequence'!I2:I1586),"")</x:f>
        <x:v>No upstream dependency</x:v>
      </x:c>
      <x:c r="G53" s="6" t="str">
        <x:f>IFERROR(XLOOKUP(C53,'Review Sequence'!C2:C1586,'Review Sequence'!J2:J1586),"")</x:f>
        <x:v>Not Started</x:v>
      </x:c>
      <x:c r="H53" s="7" t="str">
        <x:f>IFERROR(XLOOKUP(C53,'Review Sequence'!C2:C1586,'Review Sequence'!O2:O1586),"")</x:f>
      </x:c>
      <x:c r="I53" s="6" t="str">
        <x:f>IFERROR(XLOOKUP(C53,'Review Sequence'!C2:C1586,'Review Sequence'!P2:P1586),"")</x:f>
        <x:v>No</x:v>
      </x:c>
    </x:row>
    <x:row r="54">
      <x:c r="A54" s="6" t="str">
        <x:v>BLK-0053</x:v>
      </x:c>
      <x:c r="B54" s="6" t="str">
        <x:v>Service Identity</x:v>
      </x:c>
      <x:c r="C54" s="6" t="str">
        <x:v>SIDX-0038</x:v>
      </x:c>
      <x:c r="D54" s="6" t="str">
        <x:v>SVC000038</x:v>
      </x:c>
      <x:c r="E54" s="6" t="str"/>
      <x:c r="F54" s="6" t="str">
        <x:f>IFERROR(XLOOKUP(C54,'Review Sequence'!C2:C1586,'Review Sequence'!I2:I1586),"")</x:f>
        <x:v>No upstream dependency</x:v>
      </x:c>
      <x:c r="G54" s="6" t="str">
        <x:f>IFERROR(XLOOKUP(C54,'Review Sequence'!C2:C1586,'Review Sequence'!J2:J1586),"")</x:f>
        <x:v>Not Started</x:v>
      </x:c>
      <x:c r="H54" s="7" t="str">
        <x:f>IFERROR(XLOOKUP(C54,'Review Sequence'!C2:C1586,'Review Sequence'!O2:O1586),"")</x:f>
      </x:c>
      <x:c r="I54" s="6" t="str">
        <x:f>IFERROR(XLOOKUP(C54,'Review Sequence'!C2:C1586,'Review Sequence'!P2:P1586),"")</x:f>
        <x:v>No</x:v>
      </x:c>
    </x:row>
    <x:row r="55">
      <x:c r="A55" s="6" t="str">
        <x:v>BLK-0054</x:v>
      </x:c>
      <x:c r="B55" s="6" t="str">
        <x:v>Service Identity</x:v>
      </x:c>
      <x:c r="C55" s="6" t="str">
        <x:v>SIDX-0039</x:v>
      </x:c>
      <x:c r="D55" s="6" t="str">
        <x:v>SVC000039</x:v>
      </x:c>
      <x:c r="E55" s="6" t="str"/>
      <x:c r="F55" s="6" t="str">
        <x:f>IFERROR(XLOOKUP(C55,'Review Sequence'!C2:C1586,'Review Sequence'!I2:I1586),"")</x:f>
        <x:v>No upstream dependency</x:v>
      </x:c>
      <x:c r="G55" s="6" t="str">
        <x:f>IFERROR(XLOOKUP(C55,'Review Sequence'!C2:C1586,'Review Sequence'!J2:J1586),"")</x:f>
        <x:v>Not Started</x:v>
      </x:c>
      <x:c r="H55" s="7" t="str">
        <x:f>IFERROR(XLOOKUP(C55,'Review Sequence'!C2:C1586,'Review Sequence'!O2:O1586),"")</x:f>
      </x:c>
      <x:c r="I55" s="6" t="str">
        <x:f>IFERROR(XLOOKUP(C55,'Review Sequence'!C2:C1586,'Review Sequence'!P2:P1586),"")</x:f>
        <x:v>No</x:v>
      </x:c>
    </x:row>
    <x:row r="56">
      <x:c r="A56" s="6" t="str">
        <x:v>BLK-0055</x:v>
      </x:c>
      <x:c r="B56" s="6" t="str">
        <x:v>Service Identity</x:v>
      </x:c>
      <x:c r="C56" s="6" t="str">
        <x:v>SIDX-0040</x:v>
      </x:c>
      <x:c r="D56" s="6" t="str">
        <x:v>SVC000040</x:v>
      </x:c>
      <x:c r="E56" s="6" t="str"/>
      <x:c r="F56" s="6" t="str">
        <x:f>IFERROR(XLOOKUP(C56,'Review Sequence'!C2:C1586,'Review Sequence'!I2:I1586),"")</x:f>
        <x:v>No upstream dependency</x:v>
      </x:c>
      <x:c r="G56" s="6" t="str">
        <x:f>IFERROR(XLOOKUP(C56,'Review Sequence'!C2:C1586,'Review Sequence'!J2:J1586),"")</x:f>
        <x:v>Not Started</x:v>
      </x:c>
      <x:c r="H56" s="7" t="str">
        <x:f>IFERROR(XLOOKUP(C56,'Review Sequence'!C2:C1586,'Review Sequence'!O2:O1586),"")</x:f>
      </x:c>
      <x:c r="I56" s="6" t="str">
        <x:f>IFERROR(XLOOKUP(C56,'Review Sequence'!C2:C1586,'Review Sequence'!P2:P1586),"")</x:f>
        <x:v>No</x:v>
      </x:c>
    </x:row>
    <x:row r="57">
      <x:c r="A57" s="6" t="str">
        <x:v>BLK-0056</x:v>
      </x:c>
      <x:c r="B57" s="6" t="str">
        <x:v>Service Identity</x:v>
      </x:c>
      <x:c r="C57" s="6" t="str">
        <x:v>SIDX-0041</x:v>
      </x:c>
      <x:c r="D57" s="6" t="str">
        <x:v>SVC000041</x:v>
      </x:c>
      <x:c r="E57" s="6" t="str"/>
      <x:c r="F57" s="6" t="str">
        <x:f>IFERROR(XLOOKUP(C57,'Review Sequence'!C2:C1586,'Review Sequence'!I2:I1586),"")</x:f>
        <x:v>No upstream dependency</x:v>
      </x:c>
      <x:c r="G57" s="6" t="str">
        <x:f>IFERROR(XLOOKUP(C57,'Review Sequence'!C2:C1586,'Review Sequence'!J2:J1586),"")</x:f>
        <x:v>Not Started</x:v>
      </x:c>
      <x:c r="H57" s="7" t="str">
        <x:f>IFERROR(XLOOKUP(C57,'Review Sequence'!C2:C1586,'Review Sequence'!O2:O1586),"")</x:f>
      </x:c>
      <x:c r="I57" s="6" t="str">
        <x:f>IFERROR(XLOOKUP(C57,'Review Sequence'!C2:C1586,'Review Sequence'!P2:P1586),"")</x:f>
        <x:v>No</x:v>
      </x:c>
    </x:row>
    <x:row r="58">
      <x:c r="A58" s="6" t="str">
        <x:v>BLK-0057</x:v>
      </x:c>
      <x:c r="B58" s="6" t="str">
        <x:v>Service Identity</x:v>
      </x:c>
      <x:c r="C58" s="6" t="str">
        <x:v>SIDX-0042</x:v>
      </x:c>
      <x:c r="D58" s="6" t="str">
        <x:v>SVC000042</x:v>
      </x:c>
      <x:c r="E58" s="6" t="str"/>
      <x:c r="F58" s="6" t="str">
        <x:f>IFERROR(XLOOKUP(C58,'Review Sequence'!C2:C1586,'Review Sequence'!I2:I1586),"")</x:f>
        <x:v>No upstream dependency</x:v>
      </x:c>
      <x:c r="G58" s="6" t="str">
        <x:f>IFERROR(XLOOKUP(C58,'Review Sequence'!C2:C1586,'Review Sequence'!J2:J1586),"")</x:f>
        <x:v>Not Started</x:v>
      </x:c>
      <x:c r="H58" s="7" t="str">
        <x:f>IFERROR(XLOOKUP(C58,'Review Sequence'!C2:C1586,'Review Sequence'!O2:O1586),"")</x:f>
      </x:c>
      <x:c r="I58" s="6" t="str">
        <x:f>IFERROR(XLOOKUP(C58,'Review Sequence'!C2:C1586,'Review Sequence'!P2:P1586),"")</x:f>
        <x:v>No</x:v>
      </x:c>
    </x:row>
    <x:row r="59">
      <x:c r="A59" s="6" t="str">
        <x:v>BLK-0058</x:v>
      </x:c>
      <x:c r="B59" s="6" t="str">
        <x:v>Service Identity</x:v>
      </x:c>
      <x:c r="C59" s="6" t="str">
        <x:v>SIDX-0043</x:v>
      </x:c>
      <x:c r="D59" s="6" t="str">
        <x:v>SVC000043</x:v>
      </x:c>
      <x:c r="E59" s="6" t="str"/>
      <x:c r="F59" s="6" t="str">
        <x:f>IFERROR(XLOOKUP(C59,'Review Sequence'!C2:C1586,'Review Sequence'!I2:I1586),"")</x:f>
        <x:v>No upstream dependency</x:v>
      </x:c>
      <x:c r="G59" s="6" t="str">
        <x:f>IFERROR(XLOOKUP(C59,'Review Sequence'!C2:C1586,'Review Sequence'!J2:J1586),"")</x:f>
        <x:v>Not Started</x:v>
      </x:c>
      <x:c r="H59" s="7" t="str">
        <x:f>IFERROR(XLOOKUP(C59,'Review Sequence'!C2:C1586,'Review Sequence'!O2:O1586),"")</x:f>
      </x:c>
      <x:c r="I59" s="6" t="str">
        <x:f>IFERROR(XLOOKUP(C59,'Review Sequence'!C2:C1586,'Review Sequence'!P2:P1586),"")</x:f>
        <x:v>No</x:v>
      </x:c>
    </x:row>
    <x:row r="60">
      <x:c r="A60" s="6" t="str">
        <x:v>BLK-0059</x:v>
      </x:c>
      <x:c r="B60" s="6" t="str">
        <x:v>Service Identity</x:v>
      </x:c>
      <x:c r="C60" s="6" t="str">
        <x:v>SIDX-0044</x:v>
      </x:c>
      <x:c r="D60" s="6" t="str">
        <x:v>SVC000044</x:v>
      </x:c>
      <x:c r="E60" s="6" t="str"/>
      <x:c r="F60" s="6" t="str">
        <x:f>IFERROR(XLOOKUP(C60,'Review Sequence'!C2:C1586,'Review Sequence'!I2:I1586),"")</x:f>
        <x:v>No upstream dependency</x:v>
      </x:c>
      <x:c r="G60" s="6" t="str">
        <x:f>IFERROR(XLOOKUP(C60,'Review Sequence'!C2:C1586,'Review Sequence'!J2:J1586),"")</x:f>
        <x:v>Not Started</x:v>
      </x:c>
      <x:c r="H60" s="7" t="str">
        <x:f>IFERROR(XLOOKUP(C60,'Review Sequence'!C2:C1586,'Review Sequence'!O2:O1586),"")</x:f>
      </x:c>
      <x:c r="I60" s="6" t="str">
        <x:f>IFERROR(XLOOKUP(C60,'Review Sequence'!C2:C1586,'Review Sequence'!P2:P1586),"")</x:f>
        <x:v>No</x:v>
      </x:c>
    </x:row>
    <x:row r="61">
      <x:c r="A61" s="6" t="str">
        <x:v>BLK-0060</x:v>
      </x:c>
      <x:c r="B61" s="6" t="str">
        <x:v>Service Identity</x:v>
      </x:c>
      <x:c r="C61" s="6" t="str">
        <x:v>SIDX-0045</x:v>
      </x:c>
      <x:c r="D61" s="6" t="str">
        <x:v>SVC000045</x:v>
      </x:c>
      <x:c r="E61" s="6" t="str"/>
      <x:c r="F61" s="6" t="str">
        <x:f>IFERROR(XLOOKUP(C61,'Review Sequence'!C2:C1586,'Review Sequence'!I2:I1586),"")</x:f>
        <x:v>No upstream dependency</x:v>
      </x:c>
      <x:c r="G61" s="6" t="str">
        <x:f>IFERROR(XLOOKUP(C61,'Review Sequence'!C2:C1586,'Review Sequence'!J2:J1586),"")</x:f>
        <x:v>Not Started</x:v>
      </x:c>
      <x:c r="H61" s="7" t="str">
        <x:f>IFERROR(XLOOKUP(C61,'Review Sequence'!C2:C1586,'Review Sequence'!O2:O1586),"")</x:f>
      </x:c>
      <x:c r="I61" s="6" t="str">
        <x:f>IFERROR(XLOOKUP(C61,'Review Sequence'!C2:C1586,'Review Sequence'!P2:P1586),"")</x:f>
        <x:v>No</x:v>
      </x:c>
    </x:row>
    <x:row r="62">
      <x:c r="A62" s="6" t="str">
        <x:v>BLK-0061</x:v>
      </x:c>
      <x:c r="B62" s="6" t="str">
        <x:v>Service Identity</x:v>
      </x:c>
      <x:c r="C62" s="6" t="str">
        <x:v>SIDX-0046</x:v>
      </x:c>
      <x:c r="D62" s="6" t="str">
        <x:v>SVC000046</x:v>
      </x:c>
      <x:c r="E62" s="6" t="str"/>
      <x:c r="F62" s="6" t="str">
        <x:f>IFERROR(XLOOKUP(C62,'Review Sequence'!C2:C1586,'Review Sequence'!I2:I1586),"")</x:f>
        <x:v>No upstream dependency</x:v>
      </x:c>
      <x:c r="G62" s="6" t="str">
        <x:f>IFERROR(XLOOKUP(C62,'Review Sequence'!C2:C1586,'Review Sequence'!J2:J1586),"")</x:f>
        <x:v>Not Started</x:v>
      </x:c>
      <x:c r="H62" s="7" t="str">
        <x:f>IFERROR(XLOOKUP(C62,'Review Sequence'!C2:C1586,'Review Sequence'!O2:O1586),"")</x:f>
      </x:c>
      <x:c r="I62" s="6" t="str">
        <x:f>IFERROR(XLOOKUP(C62,'Review Sequence'!C2:C1586,'Review Sequence'!P2:P1586),"")</x:f>
        <x:v>No</x:v>
      </x:c>
    </x:row>
    <x:row r="63">
      <x:c r="A63" s="6" t="str">
        <x:v>BLK-0062</x:v>
      </x:c>
      <x:c r="B63" s="6" t="str">
        <x:v>Service Identity</x:v>
      </x:c>
      <x:c r="C63" s="6" t="str">
        <x:v>SIDX-0047</x:v>
      </x:c>
      <x:c r="D63" s="6" t="str">
        <x:v>SVC000047</x:v>
      </x:c>
      <x:c r="E63" s="6" t="str"/>
      <x:c r="F63" s="6" t="str">
        <x:f>IFERROR(XLOOKUP(C63,'Review Sequence'!C2:C1586,'Review Sequence'!I2:I1586),"")</x:f>
        <x:v>No upstream dependency</x:v>
      </x:c>
      <x:c r="G63" s="6" t="str">
        <x:f>IFERROR(XLOOKUP(C63,'Review Sequence'!C2:C1586,'Review Sequence'!J2:J1586),"")</x:f>
        <x:v>Not Started</x:v>
      </x:c>
      <x:c r="H63" s="7" t="str">
        <x:f>IFERROR(XLOOKUP(C63,'Review Sequence'!C2:C1586,'Review Sequence'!O2:O1586),"")</x:f>
      </x:c>
      <x:c r="I63" s="6" t="str">
        <x:f>IFERROR(XLOOKUP(C63,'Review Sequence'!C2:C1586,'Review Sequence'!P2:P1586),"")</x:f>
        <x:v>No</x:v>
      </x:c>
    </x:row>
    <x:row r="64">
      <x:c r="A64" s="6" t="str">
        <x:v>BLK-0063</x:v>
      </x:c>
      <x:c r="B64" s="6" t="str">
        <x:v>Service Identity</x:v>
      </x:c>
      <x:c r="C64" s="6" t="str">
        <x:v>SIDX-0048</x:v>
      </x:c>
      <x:c r="D64" s="6" t="str">
        <x:v>SVC000048</x:v>
      </x:c>
      <x:c r="E64" s="6" t="str"/>
      <x:c r="F64" s="6" t="str">
        <x:f>IFERROR(XLOOKUP(C64,'Review Sequence'!C2:C1586,'Review Sequence'!I2:I1586),"")</x:f>
        <x:v>No upstream dependency</x:v>
      </x:c>
      <x:c r="G64" s="6" t="str">
        <x:f>IFERROR(XLOOKUP(C64,'Review Sequence'!C2:C1586,'Review Sequence'!J2:J1586),"")</x:f>
        <x:v>Not Started</x:v>
      </x:c>
      <x:c r="H64" s="7" t="str">
        <x:f>IFERROR(XLOOKUP(C64,'Review Sequence'!C2:C1586,'Review Sequence'!O2:O1586),"")</x:f>
      </x:c>
      <x:c r="I64" s="6" t="str">
        <x:f>IFERROR(XLOOKUP(C64,'Review Sequence'!C2:C1586,'Review Sequence'!P2:P1586),"")</x:f>
        <x:v>No</x:v>
      </x:c>
    </x:row>
    <x:row r="65">
      <x:c r="A65" s="6" t="str">
        <x:v>BLK-0064</x:v>
      </x:c>
      <x:c r="B65" s="6" t="str">
        <x:v>Service Identity</x:v>
      </x:c>
      <x:c r="C65" s="6" t="str">
        <x:v>SIDX-0049</x:v>
      </x:c>
      <x:c r="D65" s="6" t="str">
        <x:v>SVC000049</x:v>
      </x:c>
      <x:c r="E65" s="6" t="str"/>
      <x:c r="F65" s="6" t="str">
        <x:f>IFERROR(XLOOKUP(C65,'Review Sequence'!C2:C1586,'Review Sequence'!I2:I1586),"")</x:f>
        <x:v>No upstream dependency</x:v>
      </x:c>
      <x:c r="G65" s="6" t="str">
        <x:f>IFERROR(XLOOKUP(C65,'Review Sequence'!C2:C1586,'Review Sequence'!J2:J1586),"")</x:f>
        <x:v>Not Started</x:v>
      </x:c>
      <x:c r="H65" s="7" t="str">
        <x:f>IFERROR(XLOOKUP(C65,'Review Sequence'!C2:C1586,'Review Sequence'!O2:O1586),"")</x:f>
      </x:c>
      <x:c r="I65" s="6" t="str">
        <x:f>IFERROR(XLOOKUP(C65,'Review Sequence'!C2:C1586,'Review Sequence'!P2:P1586),"")</x:f>
        <x:v>No</x:v>
      </x:c>
    </x:row>
    <x:row r="66">
      <x:c r="A66" s="6" t="str">
        <x:v>BLK-0065</x:v>
      </x:c>
      <x:c r="B66" s="6" t="str">
        <x:v>Service Identity</x:v>
      </x:c>
      <x:c r="C66" s="6" t="str">
        <x:v>SIDX-0050</x:v>
      </x:c>
      <x:c r="D66" s="6" t="str">
        <x:v>SVC000050</x:v>
      </x:c>
      <x:c r="E66" s="6" t="str"/>
      <x:c r="F66" s="6" t="str">
        <x:f>IFERROR(XLOOKUP(C66,'Review Sequence'!C2:C1586,'Review Sequence'!I2:I1586),"")</x:f>
        <x:v>No upstream dependency</x:v>
      </x:c>
      <x:c r="G66" s="6" t="str">
        <x:f>IFERROR(XLOOKUP(C66,'Review Sequence'!C2:C1586,'Review Sequence'!J2:J1586),"")</x:f>
        <x:v>Not Started</x:v>
      </x:c>
      <x:c r="H66" s="7" t="str">
        <x:f>IFERROR(XLOOKUP(C66,'Review Sequence'!C2:C1586,'Review Sequence'!O2:O1586),"")</x:f>
      </x:c>
      <x:c r="I66" s="6" t="str">
        <x:f>IFERROR(XLOOKUP(C66,'Review Sequence'!C2:C1586,'Review Sequence'!P2:P1586),"")</x:f>
        <x:v>No</x:v>
      </x:c>
    </x:row>
    <x:row r="67">
      <x:c r="A67" s="6" t="str">
        <x:v>BLK-0066</x:v>
      </x:c>
      <x:c r="B67" s="6" t="str">
        <x:v>Service Identity</x:v>
      </x:c>
      <x:c r="C67" s="6" t="str">
        <x:v>SIDX-0051</x:v>
      </x:c>
      <x:c r="D67" s="6" t="str">
        <x:v>SVC000051</x:v>
      </x:c>
      <x:c r="E67" s="6" t="str"/>
      <x:c r="F67" s="6" t="str">
        <x:f>IFERROR(XLOOKUP(C67,'Review Sequence'!C2:C1586,'Review Sequence'!I2:I1586),"")</x:f>
        <x:v>No upstream dependency</x:v>
      </x:c>
      <x:c r="G67" s="6" t="str">
        <x:f>IFERROR(XLOOKUP(C67,'Review Sequence'!C2:C1586,'Review Sequence'!J2:J1586),"")</x:f>
        <x:v>Not Started</x:v>
      </x:c>
      <x:c r="H67" s="7" t="str">
        <x:f>IFERROR(XLOOKUP(C67,'Review Sequence'!C2:C1586,'Review Sequence'!O2:O1586),"")</x:f>
      </x:c>
      <x:c r="I67" s="6" t="str">
        <x:f>IFERROR(XLOOKUP(C67,'Review Sequence'!C2:C1586,'Review Sequence'!P2:P1586),"")</x:f>
        <x:v>No</x:v>
      </x:c>
    </x:row>
    <x:row r="68">
      <x:c r="A68" s="6" t="str">
        <x:v>BLK-0067</x:v>
      </x:c>
      <x:c r="B68" s="6" t="str">
        <x:v>Service Identity</x:v>
      </x:c>
      <x:c r="C68" s="6" t="str">
        <x:v>SIDX-0052</x:v>
      </x:c>
      <x:c r="D68" s="6" t="str">
        <x:v>SVC000052</x:v>
      </x:c>
      <x:c r="E68" s="6" t="str"/>
      <x:c r="F68" s="6" t="str">
        <x:f>IFERROR(XLOOKUP(C68,'Review Sequence'!C2:C1586,'Review Sequence'!I2:I1586),"")</x:f>
        <x:v>No upstream dependency</x:v>
      </x:c>
      <x:c r="G68" s="6" t="str">
        <x:f>IFERROR(XLOOKUP(C68,'Review Sequence'!C2:C1586,'Review Sequence'!J2:J1586),"")</x:f>
        <x:v>Not Started</x:v>
      </x:c>
      <x:c r="H68" s="7" t="str">
        <x:f>IFERROR(XLOOKUP(C68,'Review Sequence'!C2:C1586,'Review Sequence'!O2:O1586),"")</x:f>
      </x:c>
      <x:c r="I68" s="6" t="str">
        <x:f>IFERROR(XLOOKUP(C68,'Review Sequence'!C2:C1586,'Review Sequence'!P2:P1586),"")</x:f>
        <x:v>No</x:v>
      </x:c>
    </x:row>
    <x:row r="69">
      <x:c r="A69" s="6" t="str">
        <x:v>BLK-0068</x:v>
      </x:c>
      <x:c r="B69" s="6" t="str">
        <x:v>Service Identity</x:v>
      </x:c>
      <x:c r="C69" s="6" t="str">
        <x:v>SIDX-0053</x:v>
      </x:c>
      <x:c r="D69" s="6" t="str">
        <x:v>SVC000053</x:v>
      </x:c>
      <x:c r="E69" s="6" t="str"/>
      <x:c r="F69" s="6" t="str">
        <x:f>IFERROR(XLOOKUP(C69,'Review Sequence'!C2:C1586,'Review Sequence'!I2:I1586),"")</x:f>
        <x:v>No upstream dependency</x:v>
      </x:c>
      <x:c r="G69" s="6" t="str">
        <x:f>IFERROR(XLOOKUP(C69,'Review Sequence'!C2:C1586,'Review Sequence'!J2:J1586),"")</x:f>
        <x:v>Not Started</x:v>
      </x:c>
      <x:c r="H69" s="7" t="str">
        <x:f>IFERROR(XLOOKUP(C69,'Review Sequence'!C2:C1586,'Review Sequence'!O2:O1586),"")</x:f>
      </x:c>
      <x:c r="I69" s="6" t="str">
        <x:f>IFERROR(XLOOKUP(C69,'Review Sequence'!C2:C1586,'Review Sequence'!P2:P1586),"")</x:f>
        <x:v>No</x:v>
      </x:c>
    </x:row>
    <x:row r="70">
      <x:c r="A70" s="6" t="str">
        <x:v>BLK-0069</x:v>
      </x:c>
      <x:c r="B70" s="6" t="str">
        <x:v>Service Identity</x:v>
      </x:c>
      <x:c r="C70" s="6" t="str">
        <x:v>SIDX-0054</x:v>
      </x:c>
      <x:c r="D70" s="6" t="str">
        <x:v>SVC000054</x:v>
      </x:c>
      <x:c r="E70" s="6" t="str"/>
      <x:c r="F70" s="6" t="str">
        <x:f>IFERROR(XLOOKUP(C70,'Review Sequence'!C2:C1586,'Review Sequence'!I2:I1586),"")</x:f>
        <x:v>No upstream dependency</x:v>
      </x:c>
      <x:c r="G70" s="6" t="str">
        <x:f>IFERROR(XLOOKUP(C70,'Review Sequence'!C2:C1586,'Review Sequence'!J2:J1586),"")</x:f>
        <x:v>Not Started</x:v>
      </x:c>
      <x:c r="H70" s="7" t="str">
        <x:f>IFERROR(XLOOKUP(C70,'Review Sequence'!C2:C1586,'Review Sequence'!O2:O1586),"")</x:f>
      </x:c>
      <x:c r="I70" s="6" t="str">
        <x:f>IFERROR(XLOOKUP(C70,'Review Sequence'!C2:C1586,'Review Sequence'!P2:P1586),"")</x:f>
        <x:v>No</x:v>
      </x:c>
    </x:row>
    <x:row r="71">
      <x:c r="A71" s="6" t="str">
        <x:v>BLK-0070</x:v>
      </x:c>
      <x:c r="B71" s="6" t="str">
        <x:v>Service Identity</x:v>
      </x:c>
      <x:c r="C71" s="6" t="str">
        <x:v>SIDX-0055</x:v>
      </x:c>
      <x:c r="D71" s="6" t="str">
        <x:v>SVC000055</x:v>
      </x:c>
      <x:c r="E71" s="6" t="str"/>
      <x:c r="F71" s="6" t="str">
        <x:f>IFERROR(XLOOKUP(C71,'Review Sequence'!C2:C1586,'Review Sequence'!I2:I1586),"")</x:f>
        <x:v>No upstream dependency</x:v>
      </x:c>
      <x:c r="G71" s="6" t="str">
        <x:f>IFERROR(XLOOKUP(C71,'Review Sequence'!C2:C1586,'Review Sequence'!J2:J1586),"")</x:f>
        <x:v>Not Started</x:v>
      </x:c>
      <x:c r="H71" s="7" t="str">
        <x:f>IFERROR(XLOOKUP(C71,'Review Sequence'!C2:C1586,'Review Sequence'!O2:O1586),"")</x:f>
      </x:c>
      <x:c r="I71" s="6" t="str">
        <x:f>IFERROR(XLOOKUP(C71,'Review Sequence'!C2:C1586,'Review Sequence'!P2:P1586),"")</x:f>
        <x:v>No</x:v>
      </x:c>
    </x:row>
    <x:row r="72">
      <x:c r="A72" s="6" t="str">
        <x:v>BLK-0071</x:v>
      </x:c>
      <x:c r="B72" s="6" t="str">
        <x:v>Service Identity</x:v>
      </x:c>
      <x:c r="C72" s="6" t="str">
        <x:v>SIDX-0056</x:v>
      </x:c>
      <x:c r="D72" s="6" t="str">
        <x:v>SVC000056</x:v>
      </x:c>
      <x:c r="E72" s="6" t="str"/>
      <x:c r="F72" s="6" t="str">
        <x:f>IFERROR(XLOOKUP(C72,'Review Sequence'!C2:C1586,'Review Sequence'!I2:I1586),"")</x:f>
        <x:v>No upstream dependency</x:v>
      </x:c>
      <x:c r="G72" s="6" t="str">
        <x:f>IFERROR(XLOOKUP(C72,'Review Sequence'!C2:C1586,'Review Sequence'!J2:J1586),"")</x:f>
        <x:v>Not Started</x:v>
      </x:c>
      <x:c r="H72" s="7" t="str">
        <x:f>IFERROR(XLOOKUP(C72,'Review Sequence'!C2:C1586,'Review Sequence'!O2:O1586),"")</x:f>
      </x:c>
      <x:c r="I72" s="6" t="str">
        <x:f>IFERROR(XLOOKUP(C72,'Review Sequence'!C2:C1586,'Review Sequence'!P2:P1586),"")</x:f>
        <x:v>No</x:v>
      </x:c>
    </x:row>
    <x:row r="73">
      <x:c r="A73" s="6" t="str">
        <x:v>BLK-0072</x:v>
      </x:c>
      <x:c r="B73" s="6" t="str">
        <x:v>Service Identity</x:v>
      </x:c>
      <x:c r="C73" s="6" t="str">
        <x:v>SIDX-0057</x:v>
      </x:c>
      <x:c r="D73" s="6" t="str">
        <x:v>SVC000057</x:v>
      </x:c>
      <x:c r="E73" s="6" t="str"/>
      <x:c r="F73" s="6" t="str">
        <x:f>IFERROR(XLOOKUP(C73,'Review Sequence'!C2:C1586,'Review Sequence'!I2:I1586),"")</x:f>
        <x:v>No upstream dependency</x:v>
      </x:c>
      <x:c r="G73" s="6" t="str">
        <x:f>IFERROR(XLOOKUP(C73,'Review Sequence'!C2:C1586,'Review Sequence'!J2:J1586),"")</x:f>
        <x:v>Not Started</x:v>
      </x:c>
      <x:c r="H73" s="7" t="str">
        <x:f>IFERROR(XLOOKUP(C73,'Review Sequence'!C2:C1586,'Review Sequence'!O2:O1586),"")</x:f>
      </x:c>
      <x:c r="I73" s="6" t="str">
        <x:f>IFERROR(XLOOKUP(C73,'Review Sequence'!C2:C1586,'Review Sequence'!P2:P1586),"")</x:f>
        <x:v>No</x:v>
      </x:c>
    </x:row>
    <x:row r="74">
      <x:c r="A74" s="6" t="str">
        <x:v>BLK-0073</x:v>
      </x:c>
      <x:c r="B74" s="6" t="str">
        <x:v>Service Identity</x:v>
      </x:c>
      <x:c r="C74" s="6" t="str">
        <x:v>SIDX-0058</x:v>
      </x:c>
      <x:c r="D74" s="6" t="str">
        <x:v>SVC000058</x:v>
      </x:c>
      <x:c r="E74" s="6" t="str"/>
      <x:c r="F74" s="6" t="str">
        <x:f>IFERROR(XLOOKUP(C74,'Review Sequence'!C2:C1586,'Review Sequence'!I2:I1586),"")</x:f>
        <x:v>No upstream dependency</x:v>
      </x:c>
      <x:c r="G74" s="6" t="str">
        <x:f>IFERROR(XLOOKUP(C74,'Review Sequence'!C2:C1586,'Review Sequence'!J2:J1586),"")</x:f>
        <x:v>Not Started</x:v>
      </x:c>
      <x:c r="H74" s="7" t="str">
        <x:f>IFERROR(XLOOKUP(C74,'Review Sequence'!C2:C1586,'Review Sequence'!O2:O1586),"")</x:f>
      </x:c>
      <x:c r="I74" s="6" t="str">
        <x:f>IFERROR(XLOOKUP(C74,'Review Sequence'!C2:C1586,'Review Sequence'!P2:P1586),"")</x:f>
        <x:v>No</x:v>
      </x:c>
    </x:row>
    <x:row r="75">
      <x:c r="A75" s="6" t="str">
        <x:v>BLK-0074</x:v>
      </x:c>
      <x:c r="B75" s="6" t="str">
        <x:v>Service Identity</x:v>
      </x:c>
      <x:c r="C75" s="6" t="str">
        <x:v>SIDX-0059</x:v>
      </x:c>
      <x:c r="D75" s="6" t="str">
        <x:v>SVC000059</x:v>
      </x:c>
      <x:c r="E75" s="6" t="str"/>
      <x:c r="F75" s="6" t="str">
        <x:f>IFERROR(XLOOKUP(C75,'Review Sequence'!C2:C1586,'Review Sequence'!I2:I1586),"")</x:f>
        <x:v>No upstream dependency</x:v>
      </x:c>
      <x:c r="G75" s="6" t="str">
        <x:f>IFERROR(XLOOKUP(C75,'Review Sequence'!C2:C1586,'Review Sequence'!J2:J1586),"")</x:f>
        <x:v>Not Started</x:v>
      </x:c>
      <x:c r="H75" s="7" t="str">
        <x:f>IFERROR(XLOOKUP(C75,'Review Sequence'!C2:C1586,'Review Sequence'!O2:O1586),"")</x:f>
      </x:c>
      <x:c r="I75" s="6" t="str">
        <x:f>IFERROR(XLOOKUP(C75,'Review Sequence'!C2:C1586,'Review Sequence'!P2:P1586),"")</x:f>
        <x:v>No</x:v>
      </x:c>
    </x:row>
    <x:row r="76">
      <x:c r="A76" s="6" t="str">
        <x:v>BLK-0075</x:v>
      </x:c>
      <x:c r="B76" s="6" t="str">
        <x:v>Service Identity</x:v>
      </x:c>
      <x:c r="C76" s="6" t="str">
        <x:v>SIDX-0060</x:v>
      </x:c>
      <x:c r="D76" s="6" t="str">
        <x:v>SVC000060</x:v>
      </x:c>
      <x:c r="E76" s="6" t="str"/>
      <x:c r="F76" s="6" t="str">
        <x:f>IFERROR(XLOOKUP(C76,'Review Sequence'!C2:C1586,'Review Sequence'!I2:I1586),"")</x:f>
        <x:v>No upstream dependency</x:v>
      </x:c>
      <x:c r="G76" s="6" t="str">
        <x:f>IFERROR(XLOOKUP(C76,'Review Sequence'!C2:C1586,'Review Sequence'!J2:J1586),"")</x:f>
        <x:v>Not Started</x:v>
      </x:c>
      <x:c r="H76" s="7" t="str">
        <x:f>IFERROR(XLOOKUP(C76,'Review Sequence'!C2:C1586,'Review Sequence'!O2:O1586),"")</x:f>
      </x:c>
      <x:c r="I76" s="6" t="str">
        <x:f>IFERROR(XLOOKUP(C76,'Review Sequence'!C2:C1586,'Review Sequence'!P2:P1586),"")</x:f>
        <x:v>No</x:v>
      </x:c>
    </x:row>
    <x:row r="77">
      <x:c r="A77" s="6" t="str">
        <x:v>BLK-0076</x:v>
      </x:c>
      <x:c r="B77" s="6" t="str">
        <x:v>Service Identity</x:v>
      </x:c>
      <x:c r="C77" s="6" t="str">
        <x:v>SIDX-0061</x:v>
      </x:c>
      <x:c r="D77" s="6" t="str">
        <x:v>SVC000061</x:v>
      </x:c>
      <x:c r="E77" s="6" t="str"/>
      <x:c r="F77" s="6" t="str">
        <x:f>IFERROR(XLOOKUP(C77,'Review Sequence'!C2:C1586,'Review Sequence'!I2:I1586),"")</x:f>
        <x:v>No upstream dependency</x:v>
      </x:c>
      <x:c r="G77" s="6" t="str">
        <x:f>IFERROR(XLOOKUP(C77,'Review Sequence'!C2:C1586,'Review Sequence'!J2:J1586),"")</x:f>
        <x:v>Not Started</x:v>
      </x:c>
      <x:c r="H77" s="7" t="str">
        <x:f>IFERROR(XLOOKUP(C77,'Review Sequence'!C2:C1586,'Review Sequence'!O2:O1586),"")</x:f>
      </x:c>
      <x:c r="I77" s="6" t="str">
        <x:f>IFERROR(XLOOKUP(C77,'Review Sequence'!C2:C1586,'Review Sequence'!P2:P1586),"")</x:f>
        <x:v>No</x:v>
      </x:c>
    </x:row>
    <x:row r="78">
      <x:c r="A78" s="6" t="str">
        <x:v>BLK-0077</x:v>
      </x:c>
      <x:c r="B78" s="6" t="str">
        <x:v>Service Identity</x:v>
      </x:c>
      <x:c r="C78" s="6" t="str">
        <x:v>SIDX-0062</x:v>
      </x:c>
      <x:c r="D78" s="6" t="str">
        <x:v>SVC000062</x:v>
      </x:c>
      <x:c r="E78" s="6" t="str"/>
      <x:c r="F78" s="6" t="str">
        <x:f>IFERROR(XLOOKUP(C78,'Review Sequence'!C2:C1586,'Review Sequence'!I2:I1586),"")</x:f>
        <x:v>No upstream dependency</x:v>
      </x:c>
      <x:c r="G78" s="6" t="str">
        <x:f>IFERROR(XLOOKUP(C78,'Review Sequence'!C2:C1586,'Review Sequence'!J2:J1586),"")</x:f>
        <x:v>Not Started</x:v>
      </x:c>
      <x:c r="H78" s="7" t="str">
        <x:f>IFERROR(XLOOKUP(C78,'Review Sequence'!C2:C1586,'Review Sequence'!O2:O1586),"")</x:f>
      </x:c>
      <x:c r="I78" s="6" t="str">
        <x:f>IFERROR(XLOOKUP(C78,'Review Sequence'!C2:C1586,'Review Sequence'!P2:P1586),"")</x:f>
        <x:v>No</x:v>
      </x:c>
    </x:row>
    <x:row r="79">
      <x:c r="A79" s="6" t="str">
        <x:v>BLK-0078</x:v>
      </x:c>
      <x:c r="B79" s="6" t="str">
        <x:v>Service Identity</x:v>
      </x:c>
      <x:c r="C79" s="6" t="str">
        <x:v>SIDX-0063</x:v>
      </x:c>
      <x:c r="D79" s="6" t="str">
        <x:v>SVC000063</x:v>
      </x:c>
      <x:c r="E79" s="6" t="str"/>
      <x:c r="F79" s="6" t="str">
        <x:f>IFERROR(XLOOKUP(C79,'Review Sequence'!C2:C1586,'Review Sequence'!I2:I1586),"")</x:f>
        <x:v>No upstream dependency</x:v>
      </x:c>
      <x:c r="G79" s="6" t="str">
        <x:f>IFERROR(XLOOKUP(C79,'Review Sequence'!C2:C1586,'Review Sequence'!J2:J1586),"")</x:f>
        <x:v>Not Started</x:v>
      </x:c>
      <x:c r="H79" s="7" t="str">
        <x:f>IFERROR(XLOOKUP(C79,'Review Sequence'!C2:C1586,'Review Sequence'!O2:O1586),"")</x:f>
      </x:c>
      <x:c r="I79" s="6" t="str">
        <x:f>IFERROR(XLOOKUP(C79,'Review Sequence'!C2:C1586,'Review Sequence'!P2:P1586),"")</x:f>
        <x:v>No</x:v>
      </x:c>
    </x:row>
    <x:row r="80">
      <x:c r="A80" s="6" t="str">
        <x:v>BLK-0079</x:v>
      </x:c>
      <x:c r="B80" s="6" t="str">
        <x:v>Service Identity</x:v>
      </x:c>
      <x:c r="C80" s="6" t="str">
        <x:v>SIDX-0064</x:v>
      </x:c>
      <x:c r="D80" s="6" t="str">
        <x:v>SVC000064</x:v>
      </x:c>
      <x:c r="E80" s="6" t="str"/>
      <x:c r="F80" s="6" t="str">
        <x:f>IFERROR(XLOOKUP(C80,'Review Sequence'!C2:C1586,'Review Sequence'!I2:I1586),"")</x:f>
        <x:v>No upstream dependency</x:v>
      </x:c>
      <x:c r="G80" s="6" t="str">
        <x:f>IFERROR(XLOOKUP(C80,'Review Sequence'!C2:C1586,'Review Sequence'!J2:J1586),"")</x:f>
        <x:v>Not Started</x:v>
      </x:c>
      <x:c r="H80" s="7" t="str">
        <x:f>IFERROR(XLOOKUP(C80,'Review Sequence'!C2:C1586,'Review Sequence'!O2:O1586),"")</x:f>
      </x:c>
      <x:c r="I80" s="6" t="str">
        <x:f>IFERROR(XLOOKUP(C80,'Review Sequence'!C2:C1586,'Review Sequence'!P2:P1586),"")</x:f>
        <x:v>No</x:v>
      </x:c>
    </x:row>
    <x:row r="81">
      <x:c r="A81" s="6" t="str">
        <x:v>BLK-0080</x:v>
      </x:c>
      <x:c r="B81" s="6" t="str">
        <x:v>Service Identity</x:v>
      </x:c>
      <x:c r="C81" s="6" t="str">
        <x:v>SIDX-0065</x:v>
      </x:c>
      <x:c r="D81" s="6" t="str">
        <x:v>SVC000065</x:v>
      </x:c>
      <x:c r="E81" s="6" t="str"/>
      <x:c r="F81" s="6" t="str">
        <x:f>IFERROR(XLOOKUP(C81,'Review Sequence'!C2:C1586,'Review Sequence'!I2:I1586),"")</x:f>
        <x:v>No upstream dependency</x:v>
      </x:c>
      <x:c r="G81" s="6" t="str">
        <x:f>IFERROR(XLOOKUP(C81,'Review Sequence'!C2:C1586,'Review Sequence'!J2:J1586),"")</x:f>
        <x:v>Not Started</x:v>
      </x:c>
      <x:c r="H81" s="7" t="str">
        <x:f>IFERROR(XLOOKUP(C81,'Review Sequence'!C2:C1586,'Review Sequence'!O2:O1586),"")</x:f>
      </x:c>
      <x:c r="I81" s="6" t="str">
        <x:f>IFERROR(XLOOKUP(C81,'Review Sequence'!C2:C1586,'Review Sequence'!P2:P1586),"")</x:f>
        <x:v>No</x:v>
      </x:c>
    </x:row>
    <x:row r="82">
      <x:c r="A82" s="6" t="str">
        <x:v>BLK-0081</x:v>
      </x:c>
      <x:c r="B82" s="6" t="str">
        <x:v>Service Identity</x:v>
      </x:c>
      <x:c r="C82" s="6" t="str">
        <x:v>SIDX-0066</x:v>
      </x:c>
      <x:c r="D82" s="6" t="str">
        <x:v>SVC000066</x:v>
      </x:c>
      <x:c r="E82" s="6" t="str"/>
      <x:c r="F82" s="6" t="str">
        <x:f>IFERROR(XLOOKUP(C82,'Review Sequence'!C2:C1586,'Review Sequence'!I2:I1586),"")</x:f>
        <x:v>No upstream dependency</x:v>
      </x:c>
      <x:c r="G82" s="6" t="str">
        <x:f>IFERROR(XLOOKUP(C82,'Review Sequence'!C2:C1586,'Review Sequence'!J2:J1586),"")</x:f>
        <x:v>Not Started</x:v>
      </x:c>
      <x:c r="H82" s="7" t="str">
        <x:f>IFERROR(XLOOKUP(C82,'Review Sequence'!C2:C1586,'Review Sequence'!O2:O1586),"")</x:f>
      </x:c>
      <x:c r="I82" s="6" t="str">
        <x:f>IFERROR(XLOOKUP(C82,'Review Sequence'!C2:C1586,'Review Sequence'!P2:P1586),"")</x:f>
        <x:v>No</x:v>
      </x:c>
    </x:row>
    <x:row r="83">
      <x:c r="A83" s="6" t="str">
        <x:v>BLK-0082</x:v>
      </x:c>
      <x:c r="B83" s="6" t="str">
        <x:v>Service Identity</x:v>
      </x:c>
      <x:c r="C83" s="6" t="str">
        <x:v>SIDX-0067</x:v>
      </x:c>
      <x:c r="D83" s="6" t="str">
        <x:v>SVC000067</x:v>
      </x:c>
      <x:c r="E83" s="6" t="str"/>
      <x:c r="F83" s="6" t="str">
        <x:f>IFERROR(XLOOKUP(C83,'Review Sequence'!C2:C1586,'Review Sequence'!I2:I1586),"")</x:f>
        <x:v>No upstream dependency</x:v>
      </x:c>
      <x:c r="G83" s="6" t="str">
        <x:f>IFERROR(XLOOKUP(C83,'Review Sequence'!C2:C1586,'Review Sequence'!J2:J1586),"")</x:f>
        <x:v>Not Started</x:v>
      </x:c>
      <x:c r="H83" s="7" t="str">
        <x:f>IFERROR(XLOOKUP(C83,'Review Sequence'!C2:C1586,'Review Sequence'!O2:O1586),"")</x:f>
      </x:c>
      <x:c r="I83" s="6" t="str">
        <x:f>IFERROR(XLOOKUP(C83,'Review Sequence'!C2:C1586,'Review Sequence'!P2:P1586),"")</x:f>
        <x:v>No</x:v>
      </x:c>
    </x:row>
    <x:row r="84">
      <x:c r="A84" s="6" t="str">
        <x:v>BLK-0083</x:v>
      </x:c>
      <x:c r="B84" s="6" t="str">
        <x:v>Service Identity</x:v>
      </x:c>
      <x:c r="C84" s="6" t="str">
        <x:v>SIDX-0068</x:v>
      </x:c>
      <x:c r="D84" s="6" t="str">
        <x:v>SVC000068</x:v>
      </x:c>
      <x:c r="E84" s="6" t="str"/>
      <x:c r="F84" s="6" t="str">
        <x:f>IFERROR(XLOOKUP(C84,'Review Sequence'!C2:C1586,'Review Sequence'!I2:I1586),"")</x:f>
        <x:v>No upstream dependency</x:v>
      </x:c>
      <x:c r="G84" s="6" t="str">
        <x:f>IFERROR(XLOOKUP(C84,'Review Sequence'!C2:C1586,'Review Sequence'!J2:J1586),"")</x:f>
        <x:v>Not Started</x:v>
      </x:c>
      <x:c r="H84" s="7" t="str">
        <x:f>IFERROR(XLOOKUP(C84,'Review Sequence'!C2:C1586,'Review Sequence'!O2:O1586),"")</x:f>
      </x:c>
      <x:c r="I84" s="6" t="str">
        <x:f>IFERROR(XLOOKUP(C84,'Review Sequence'!C2:C1586,'Review Sequence'!P2:P1586),"")</x:f>
        <x:v>No</x:v>
      </x:c>
    </x:row>
    <x:row r="85">
      <x:c r="A85" s="6" t="str">
        <x:v>BLK-0084</x:v>
      </x:c>
      <x:c r="B85" s="6" t="str">
        <x:v>Service Identity</x:v>
      </x:c>
      <x:c r="C85" s="6" t="str">
        <x:v>SIDX-0069</x:v>
      </x:c>
      <x:c r="D85" s="6" t="str">
        <x:v>SVC000069</x:v>
      </x:c>
      <x:c r="E85" s="6" t="str"/>
      <x:c r="F85" s="6" t="str">
        <x:f>IFERROR(XLOOKUP(C85,'Review Sequence'!C2:C1586,'Review Sequence'!I2:I1586),"")</x:f>
        <x:v>No upstream dependency</x:v>
      </x:c>
      <x:c r="G85" s="6" t="str">
        <x:f>IFERROR(XLOOKUP(C85,'Review Sequence'!C2:C1586,'Review Sequence'!J2:J1586),"")</x:f>
        <x:v>Not Started</x:v>
      </x:c>
      <x:c r="H85" s="7" t="str">
        <x:f>IFERROR(XLOOKUP(C85,'Review Sequence'!C2:C1586,'Review Sequence'!O2:O1586),"")</x:f>
      </x:c>
      <x:c r="I85" s="6" t="str">
        <x:f>IFERROR(XLOOKUP(C85,'Review Sequence'!C2:C1586,'Review Sequence'!P2:P1586),"")</x:f>
        <x:v>No</x:v>
      </x:c>
    </x:row>
    <x:row r="86">
      <x:c r="A86" s="6" t="str">
        <x:v>BLK-0085</x:v>
      </x:c>
      <x:c r="B86" s="6" t="str">
        <x:v>Service Identity</x:v>
      </x:c>
      <x:c r="C86" s="6" t="str">
        <x:v>SIDX-0070</x:v>
      </x:c>
      <x:c r="D86" s="6" t="str">
        <x:v>SVC000070</x:v>
      </x:c>
      <x:c r="E86" s="6" t="str"/>
      <x:c r="F86" s="6" t="str">
        <x:f>IFERROR(XLOOKUP(C86,'Review Sequence'!C2:C1586,'Review Sequence'!I2:I1586),"")</x:f>
        <x:v>No upstream dependency</x:v>
      </x:c>
      <x:c r="G86" s="6" t="str">
        <x:f>IFERROR(XLOOKUP(C86,'Review Sequence'!C2:C1586,'Review Sequence'!J2:J1586),"")</x:f>
        <x:v>Not Started</x:v>
      </x:c>
      <x:c r="H86" s="7" t="str">
        <x:f>IFERROR(XLOOKUP(C86,'Review Sequence'!C2:C1586,'Review Sequence'!O2:O1586),"")</x:f>
      </x:c>
      <x:c r="I86" s="6" t="str">
        <x:f>IFERROR(XLOOKUP(C86,'Review Sequence'!C2:C1586,'Review Sequence'!P2:P1586),"")</x:f>
        <x:v>No</x:v>
      </x:c>
    </x:row>
    <x:row r="87">
      <x:c r="A87" s="6" t="str">
        <x:v>BLK-0086</x:v>
      </x:c>
      <x:c r="B87" s="6" t="str">
        <x:v>Service Identity</x:v>
      </x:c>
      <x:c r="C87" s="6" t="str">
        <x:v>SIDX-0071</x:v>
      </x:c>
      <x:c r="D87" s="6" t="str">
        <x:v>SVC000071</x:v>
      </x:c>
      <x:c r="E87" s="6" t="str"/>
      <x:c r="F87" s="6" t="str">
        <x:f>IFERROR(XLOOKUP(C87,'Review Sequence'!C2:C1586,'Review Sequence'!I2:I1586),"")</x:f>
        <x:v>No upstream dependency</x:v>
      </x:c>
      <x:c r="G87" s="6" t="str">
        <x:f>IFERROR(XLOOKUP(C87,'Review Sequence'!C2:C1586,'Review Sequence'!J2:J1586),"")</x:f>
        <x:v>Not Started</x:v>
      </x:c>
      <x:c r="H87" s="7" t="str">
        <x:f>IFERROR(XLOOKUP(C87,'Review Sequence'!C2:C1586,'Review Sequence'!O2:O1586),"")</x:f>
      </x:c>
      <x:c r="I87" s="6" t="str">
        <x:f>IFERROR(XLOOKUP(C87,'Review Sequence'!C2:C1586,'Review Sequence'!P2:P1586),"")</x:f>
        <x:v>No</x:v>
      </x:c>
    </x:row>
    <x:row r="88">
      <x:c r="A88" s="6" t="str">
        <x:v>BLK-0087</x:v>
      </x:c>
      <x:c r="B88" s="6" t="str">
        <x:v>Service Identity</x:v>
      </x:c>
      <x:c r="C88" s="6" t="str">
        <x:v>SIDX-0072</x:v>
      </x:c>
      <x:c r="D88" s="6" t="str">
        <x:v>SVC000072</x:v>
      </x:c>
      <x:c r="E88" s="6" t="str"/>
      <x:c r="F88" s="6" t="str">
        <x:f>IFERROR(XLOOKUP(C88,'Review Sequence'!C2:C1586,'Review Sequence'!I2:I1586),"")</x:f>
        <x:v>No upstream dependency</x:v>
      </x:c>
      <x:c r="G88" s="6" t="str">
        <x:f>IFERROR(XLOOKUP(C88,'Review Sequence'!C2:C1586,'Review Sequence'!J2:J1586),"")</x:f>
        <x:v>Not Started</x:v>
      </x:c>
      <x:c r="H88" s="7" t="str">
        <x:f>IFERROR(XLOOKUP(C88,'Review Sequence'!C2:C1586,'Review Sequence'!O2:O1586),"")</x:f>
      </x:c>
      <x:c r="I88" s="6" t="str">
        <x:f>IFERROR(XLOOKUP(C88,'Review Sequence'!C2:C1586,'Review Sequence'!P2:P1586),"")</x:f>
        <x:v>No</x:v>
      </x:c>
    </x:row>
    <x:row r="89">
      <x:c r="A89" s="6" t="str">
        <x:v>BLK-0088</x:v>
      </x:c>
      <x:c r="B89" s="6" t="str">
        <x:v>Service Identity</x:v>
      </x:c>
      <x:c r="C89" s="6" t="str">
        <x:v>SIDX-0073</x:v>
      </x:c>
      <x:c r="D89" s="6" t="str">
        <x:v>SVC000073</x:v>
      </x:c>
      <x:c r="E89" s="6" t="str"/>
      <x:c r="F89" s="6" t="str">
        <x:f>IFERROR(XLOOKUP(C89,'Review Sequence'!C2:C1586,'Review Sequence'!I2:I1586),"")</x:f>
        <x:v>No upstream dependency</x:v>
      </x:c>
      <x:c r="G89" s="6" t="str">
        <x:f>IFERROR(XLOOKUP(C89,'Review Sequence'!C2:C1586,'Review Sequence'!J2:J1586),"")</x:f>
        <x:v>Not Started</x:v>
      </x:c>
      <x:c r="H89" s="7" t="str">
        <x:f>IFERROR(XLOOKUP(C89,'Review Sequence'!C2:C1586,'Review Sequence'!O2:O1586),"")</x:f>
      </x:c>
      <x:c r="I89" s="6" t="str">
        <x:f>IFERROR(XLOOKUP(C89,'Review Sequence'!C2:C1586,'Review Sequence'!P2:P1586),"")</x:f>
        <x:v>No</x:v>
      </x:c>
    </x:row>
    <x:row r="90">
      <x:c r="A90" s="6" t="str">
        <x:v>BLK-0089</x:v>
      </x:c>
      <x:c r="B90" s="6" t="str">
        <x:v>Service Identity</x:v>
      </x:c>
      <x:c r="C90" s="6" t="str">
        <x:v>SIDX-0074</x:v>
      </x:c>
      <x:c r="D90" s="6" t="str">
        <x:v>SVC000074</x:v>
      </x:c>
      <x:c r="E90" s="6" t="str"/>
      <x:c r="F90" s="6" t="str">
        <x:f>IFERROR(XLOOKUP(C90,'Review Sequence'!C2:C1586,'Review Sequence'!I2:I1586),"")</x:f>
        <x:v>No upstream dependency</x:v>
      </x:c>
      <x:c r="G90" s="6" t="str">
        <x:f>IFERROR(XLOOKUP(C90,'Review Sequence'!C2:C1586,'Review Sequence'!J2:J1586),"")</x:f>
        <x:v>Not Started</x:v>
      </x:c>
      <x:c r="H90" s="7" t="str">
        <x:f>IFERROR(XLOOKUP(C90,'Review Sequence'!C2:C1586,'Review Sequence'!O2:O1586),"")</x:f>
      </x:c>
      <x:c r="I90" s="6" t="str">
        <x:f>IFERROR(XLOOKUP(C90,'Review Sequence'!C2:C1586,'Review Sequence'!P2:P1586),"")</x:f>
        <x:v>No</x:v>
      </x:c>
    </x:row>
    <x:row r="91">
      <x:c r="A91" s="6" t="str">
        <x:v>BLK-0090</x:v>
      </x:c>
      <x:c r="B91" s="6" t="str">
        <x:v>Service Identity</x:v>
      </x:c>
      <x:c r="C91" s="6" t="str">
        <x:v>SIDX-0075</x:v>
      </x:c>
      <x:c r="D91" s="6" t="str">
        <x:v>SVC000075</x:v>
      </x:c>
      <x:c r="E91" s="6" t="str"/>
      <x:c r="F91" s="6" t="str">
        <x:f>IFERROR(XLOOKUP(C91,'Review Sequence'!C2:C1586,'Review Sequence'!I2:I1586),"")</x:f>
        <x:v>No upstream dependency</x:v>
      </x:c>
      <x:c r="G91" s="6" t="str">
        <x:f>IFERROR(XLOOKUP(C91,'Review Sequence'!C2:C1586,'Review Sequence'!J2:J1586),"")</x:f>
        <x:v>Not Started</x:v>
      </x:c>
      <x:c r="H91" s="7" t="str">
        <x:f>IFERROR(XLOOKUP(C91,'Review Sequence'!C2:C1586,'Review Sequence'!O2:O1586),"")</x:f>
      </x:c>
      <x:c r="I91" s="6" t="str">
        <x:f>IFERROR(XLOOKUP(C91,'Review Sequence'!C2:C1586,'Review Sequence'!P2:P1586),"")</x:f>
        <x:v>No</x:v>
      </x:c>
    </x:row>
    <x:row r="92">
      <x:c r="A92" s="6" t="str">
        <x:v>BLK-0091</x:v>
      </x:c>
      <x:c r="B92" s="6" t="str">
        <x:v>Service Identity</x:v>
      </x:c>
      <x:c r="C92" s="6" t="str">
        <x:v>SIDX-0076</x:v>
      </x:c>
      <x:c r="D92" s="6" t="str">
        <x:v>SVC000076</x:v>
      </x:c>
      <x:c r="E92" s="6" t="str"/>
      <x:c r="F92" s="6" t="str">
        <x:f>IFERROR(XLOOKUP(C92,'Review Sequence'!C2:C1586,'Review Sequence'!I2:I1586),"")</x:f>
        <x:v>No upstream dependency</x:v>
      </x:c>
      <x:c r="G92" s="6" t="str">
        <x:f>IFERROR(XLOOKUP(C92,'Review Sequence'!C2:C1586,'Review Sequence'!J2:J1586),"")</x:f>
        <x:v>Not Started</x:v>
      </x:c>
      <x:c r="H92" s="7" t="str">
        <x:f>IFERROR(XLOOKUP(C92,'Review Sequence'!C2:C1586,'Review Sequence'!O2:O1586),"")</x:f>
      </x:c>
      <x:c r="I92" s="6" t="str">
        <x:f>IFERROR(XLOOKUP(C92,'Review Sequence'!C2:C1586,'Review Sequence'!P2:P1586),"")</x:f>
        <x:v>No</x:v>
      </x:c>
    </x:row>
    <x:row r="93">
      <x:c r="A93" s="6" t="str">
        <x:v>BLK-0092</x:v>
      </x:c>
      <x:c r="B93" s="6" t="str">
        <x:v>Service Identity</x:v>
      </x:c>
      <x:c r="C93" s="6" t="str">
        <x:v>SIDX-0077</x:v>
      </x:c>
      <x:c r="D93" s="6" t="str">
        <x:v>SVC000077</x:v>
      </x:c>
      <x:c r="E93" s="6" t="str"/>
      <x:c r="F93" s="6" t="str">
        <x:f>IFERROR(XLOOKUP(C93,'Review Sequence'!C2:C1586,'Review Sequence'!I2:I1586),"")</x:f>
        <x:v>No upstream dependency</x:v>
      </x:c>
      <x:c r="G93" s="6" t="str">
        <x:f>IFERROR(XLOOKUP(C93,'Review Sequence'!C2:C1586,'Review Sequence'!J2:J1586),"")</x:f>
        <x:v>Not Started</x:v>
      </x:c>
      <x:c r="H93" s="7" t="str">
        <x:f>IFERROR(XLOOKUP(C93,'Review Sequence'!C2:C1586,'Review Sequence'!O2:O1586),"")</x:f>
      </x:c>
      <x:c r="I93" s="6" t="str">
        <x:f>IFERROR(XLOOKUP(C93,'Review Sequence'!C2:C1586,'Review Sequence'!P2:P1586),"")</x:f>
        <x:v>No</x:v>
      </x:c>
    </x:row>
    <x:row r="94">
      <x:c r="A94" s="6" t="str">
        <x:v>BLK-0093</x:v>
      </x:c>
      <x:c r="B94" s="6" t="str">
        <x:v>Service Identity</x:v>
      </x:c>
      <x:c r="C94" s="6" t="str">
        <x:v>SIDX-0078</x:v>
      </x:c>
      <x:c r="D94" s="6" t="str">
        <x:v>SVC000078</x:v>
      </x:c>
      <x:c r="E94" s="6" t="str"/>
      <x:c r="F94" s="6" t="str">
        <x:f>IFERROR(XLOOKUP(C94,'Review Sequence'!C2:C1586,'Review Sequence'!I2:I1586),"")</x:f>
        <x:v>No upstream dependency</x:v>
      </x:c>
      <x:c r="G94" s="6" t="str">
        <x:f>IFERROR(XLOOKUP(C94,'Review Sequence'!C2:C1586,'Review Sequence'!J2:J1586),"")</x:f>
        <x:v>Not Started</x:v>
      </x:c>
      <x:c r="H94" s="7" t="str">
        <x:f>IFERROR(XLOOKUP(C94,'Review Sequence'!C2:C1586,'Review Sequence'!O2:O1586),"")</x:f>
      </x:c>
      <x:c r="I94" s="6" t="str">
        <x:f>IFERROR(XLOOKUP(C94,'Review Sequence'!C2:C1586,'Review Sequence'!P2:P1586),"")</x:f>
        <x:v>No</x:v>
      </x:c>
    </x:row>
    <x:row r="95">
      <x:c r="A95" s="6" t="str">
        <x:v>BLK-0094</x:v>
      </x:c>
      <x:c r="B95" s="6" t="str">
        <x:v>Service Identity</x:v>
      </x:c>
      <x:c r="C95" s="6" t="str">
        <x:v>SIDX-0079</x:v>
      </x:c>
      <x:c r="D95" s="6" t="str">
        <x:v>SVC000079</x:v>
      </x:c>
      <x:c r="E95" s="6" t="str"/>
      <x:c r="F95" s="6" t="str">
        <x:f>IFERROR(XLOOKUP(C95,'Review Sequence'!C2:C1586,'Review Sequence'!I2:I1586),"")</x:f>
        <x:v>No upstream dependency</x:v>
      </x:c>
      <x:c r="G95" s="6" t="str">
        <x:f>IFERROR(XLOOKUP(C95,'Review Sequence'!C2:C1586,'Review Sequence'!J2:J1586),"")</x:f>
        <x:v>Not Started</x:v>
      </x:c>
      <x:c r="H95" s="7" t="str">
        <x:f>IFERROR(XLOOKUP(C95,'Review Sequence'!C2:C1586,'Review Sequence'!O2:O1586),"")</x:f>
      </x:c>
      <x:c r="I95" s="6" t="str">
        <x:f>IFERROR(XLOOKUP(C95,'Review Sequence'!C2:C1586,'Review Sequence'!P2:P1586),"")</x:f>
        <x:v>No</x:v>
      </x:c>
    </x:row>
    <x:row r="96">
      <x:c r="A96" s="6" t="str">
        <x:v>BLK-0095</x:v>
      </x:c>
      <x:c r="B96" s="6" t="str">
        <x:v>Service Identity</x:v>
      </x:c>
      <x:c r="C96" s="6" t="str">
        <x:v>SIDX-0080</x:v>
      </x:c>
      <x:c r="D96" s="6" t="str">
        <x:v>SVC000080</x:v>
      </x:c>
      <x:c r="E96" s="6" t="str"/>
      <x:c r="F96" s="6" t="str">
        <x:f>IFERROR(XLOOKUP(C96,'Review Sequence'!C2:C1586,'Review Sequence'!I2:I1586),"")</x:f>
        <x:v>No upstream dependency</x:v>
      </x:c>
      <x:c r="G96" s="6" t="str">
        <x:f>IFERROR(XLOOKUP(C96,'Review Sequence'!C2:C1586,'Review Sequence'!J2:J1586),"")</x:f>
        <x:v>Not Started</x:v>
      </x:c>
      <x:c r="H96" s="7" t="str">
        <x:f>IFERROR(XLOOKUP(C96,'Review Sequence'!C2:C1586,'Review Sequence'!O2:O1586),"")</x:f>
      </x:c>
      <x:c r="I96" s="6" t="str">
        <x:f>IFERROR(XLOOKUP(C96,'Review Sequence'!C2:C1586,'Review Sequence'!P2:P1586),"")</x:f>
        <x:v>No</x:v>
      </x:c>
    </x:row>
    <x:row r="97">
      <x:c r="A97" s="6" t="str">
        <x:v>BLK-0096</x:v>
      </x:c>
      <x:c r="B97" s="6" t="str">
        <x:v>Service Identity</x:v>
      </x:c>
      <x:c r="C97" s="6" t="str">
        <x:v>SIDX-0081</x:v>
      </x:c>
      <x:c r="D97" s="6" t="str">
        <x:v>SVC000081</x:v>
      </x:c>
      <x:c r="E97" s="6" t="str"/>
      <x:c r="F97" s="6" t="str">
        <x:f>IFERROR(XLOOKUP(C97,'Review Sequence'!C2:C1586,'Review Sequence'!I2:I1586),"")</x:f>
        <x:v>No upstream dependency</x:v>
      </x:c>
      <x:c r="G97" s="6" t="str">
        <x:f>IFERROR(XLOOKUP(C97,'Review Sequence'!C2:C1586,'Review Sequence'!J2:J1586),"")</x:f>
        <x:v>Not Started</x:v>
      </x:c>
      <x:c r="H97" s="7" t="str">
        <x:f>IFERROR(XLOOKUP(C97,'Review Sequence'!C2:C1586,'Review Sequence'!O2:O1586),"")</x:f>
      </x:c>
      <x:c r="I97" s="6" t="str">
        <x:f>IFERROR(XLOOKUP(C97,'Review Sequence'!C2:C1586,'Review Sequence'!P2:P1586),"")</x:f>
        <x:v>No</x:v>
      </x:c>
    </x:row>
    <x:row r="98">
      <x:c r="A98" s="6" t="str">
        <x:v>BLK-0097</x:v>
      </x:c>
      <x:c r="B98" s="6" t="str">
        <x:v>Service Identity</x:v>
      </x:c>
      <x:c r="C98" s="6" t="str">
        <x:v>SIDX-0082</x:v>
      </x:c>
      <x:c r="D98" s="6" t="str">
        <x:v>SVC000082</x:v>
      </x:c>
      <x:c r="E98" s="6" t="str"/>
      <x:c r="F98" s="6" t="str">
        <x:f>IFERROR(XLOOKUP(C98,'Review Sequence'!C2:C1586,'Review Sequence'!I2:I1586),"")</x:f>
        <x:v>No upstream dependency</x:v>
      </x:c>
      <x:c r="G98" s="6" t="str">
        <x:f>IFERROR(XLOOKUP(C98,'Review Sequence'!C2:C1586,'Review Sequence'!J2:J1586),"")</x:f>
        <x:v>Not Started</x:v>
      </x:c>
      <x:c r="H98" s="7" t="str">
        <x:f>IFERROR(XLOOKUP(C98,'Review Sequence'!C2:C1586,'Review Sequence'!O2:O1586),"")</x:f>
      </x:c>
      <x:c r="I98" s="6" t="str">
        <x:f>IFERROR(XLOOKUP(C98,'Review Sequence'!C2:C1586,'Review Sequence'!P2:P1586),"")</x:f>
        <x:v>No</x:v>
      </x:c>
    </x:row>
    <x:row r="99">
      <x:c r="A99" s="6" t="str">
        <x:v>BLK-0098</x:v>
      </x:c>
      <x:c r="B99" s="6" t="str">
        <x:v>Service Identity</x:v>
      </x:c>
      <x:c r="C99" s="6" t="str">
        <x:v>SIDX-0083</x:v>
      </x:c>
      <x:c r="D99" s="6" t="str">
        <x:v>SVC000083</x:v>
      </x:c>
      <x:c r="E99" s="6" t="str"/>
      <x:c r="F99" s="6" t="str">
        <x:f>IFERROR(XLOOKUP(C99,'Review Sequence'!C2:C1586,'Review Sequence'!I2:I1586),"")</x:f>
        <x:v>No upstream dependency</x:v>
      </x:c>
      <x:c r="G99" s="6" t="str">
        <x:f>IFERROR(XLOOKUP(C99,'Review Sequence'!C2:C1586,'Review Sequence'!J2:J1586),"")</x:f>
        <x:v>Not Started</x:v>
      </x:c>
      <x:c r="H99" s="7" t="str">
        <x:f>IFERROR(XLOOKUP(C99,'Review Sequence'!C2:C1586,'Review Sequence'!O2:O1586),"")</x:f>
      </x:c>
      <x:c r="I99" s="6" t="str">
        <x:f>IFERROR(XLOOKUP(C99,'Review Sequence'!C2:C1586,'Review Sequence'!P2:P1586),"")</x:f>
        <x:v>No</x:v>
      </x:c>
    </x:row>
    <x:row r="100">
      <x:c r="A100" s="6" t="str">
        <x:v>BLK-0099</x:v>
      </x:c>
      <x:c r="B100" s="6" t="str">
        <x:v>Service Identity</x:v>
      </x:c>
      <x:c r="C100" s="6" t="str">
        <x:v>SIDX-0084</x:v>
      </x:c>
      <x:c r="D100" s="6" t="str">
        <x:v>SVC000084</x:v>
      </x:c>
      <x:c r="E100" s="6" t="str"/>
      <x:c r="F100" s="6" t="str">
        <x:f>IFERROR(XLOOKUP(C100,'Review Sequence'!C2:C1586,'Review Sequence'!I2:I1586),"")</x:f>
        <x:v>No upstream dependency</x:v>
      </x:c>
      <x:c r="G100" s="6" t="str">
        <x:f>IFERROR(XLOOKUP(C100,'Review Sequence'!C2:C1586,'Review Sequence'!J2:J1586),"")</x:f>
        <x:v>Not Started</x:v>
      </x:c>
      <x:c r="H100" s="7" t="str">
        <x:f>IFERROR(XLOOKUP(C100,'Review Sequence'!C2:C1586,'Review Sequence'!O2:O1586),"")</x:f>
      </x:c>
      <x:c r="I100" s="6" t="str">
        <x:f>IFERROR(XLOOKUP(C100,'Review Sequence'!C2:C1586,'Review Sequence'!P2:P1586),"")</x:f>
        <x:v>No</x:v>
      </x:c>
    </x:row>
    <x:row r="101">
      <x:c r="A101" s="6" t="str">
        <x:v>BLK-0100</x:v>
      </x:c>
      <x:c r="B101" s="6" t="str">
        <x:v>Service Identity</x:v>
      </x:c>
      <x:c r="C101" s="6" t="str">
        <x:v>SIDX-0085</x:v>
      </x:c>
      <x:c r="D101" s="6" t="str">
        <x:v>SVC000085</x:v>
      </x:c>
      <x:c r="E101" s="6" t="str"/>
      <x:c r="F101" s="6" t="str">
        <x:f>IFERROR(XLOOKUP(C101,'Review Sequence'!C2:C1586,'Review Sequence'!I2:I1586),"")</x:f>
        <x:v>No upstream dependency</x:v>
      </x:c>
      <x:c r="G101" s="6" t="str">
        <x:f>IFERROR(XLOOKUP(C101,'Review Sequence'!C2:C1586,'Review Sequence'!J2:J1586),"")</x:f>
        <x:v>Not Started</x:v>
      </x:c>
      <x:c r="H101" s="7" t="str">
        <x:f>IFERROR(XLOOKUP(C101,'Review Sequence'!C2:C1586,'Review Sequence'!O2:O1586),"")</x:f>
      </x:c>
      <x:c r="I101" s="6" t="str">
        <x:f>IFERROR(XLOOKUP(C101,'Review Sequence'!C2:C1586,'Review Sequence'!P2:P1586),"")</x:f>
        <x:v>No</x:v>
      </x:c>
    </x:row>
    <x:row r="102">
      <x:c r="A102" s="6" t="str">
        <x:v>BLK-0101</x:v>
      </x:c>
      <x:c r="B102" s="6" t="str">
        <x:v>Service Identity</x:v>
      </x:c>
      <x:c r="C102" s="6" t="str">
        <x:v>SIDX-0086</x:v>
      </x:c>
      <x:c r="D102" s="6" t="str">
        <x:v>SVC000086</x:v>
      </x:c>
      <x:c r="E102" s="6" t="str">
        <x:v>DUP000001</x:v>
      </x:c>
      <x:c r="F102" s="6" t="str">
        <x:f>IFERROR(XLOOKUP(C102,'Review Sequence'!C2:C1586,'Review Sequence'!I2:I1586),"")</x:f>
        <x:v>Not Started</x:v>
      </x:c>
      <x:c r="G102" s="6" t="str">
        <x:f>IFERROR(XLOOKUP(C102,'Review Sequence'!C2:C1586,'Review Sequence'!J2:J1586),"")</x:f>
        <x:v>Not Started</x:v>
      </x:c>
      <x:c r="H102" s="7" t="str">
        <x:f>IFERROR(XLOOKUP(C102,'Review Sequence'!C2:C1586,'Review Sequence'!O2:O1586),"")</x:f>
      </x:c>
      <x:c r="I102" s="6" t="str">
        <x:f>IFERROR(XLOOKUP(C102,'Review Sequence'!C2:C1586,'Review Sequence'!P2:P1586),"")</x:f>
        <x:v>Yes</x:v>
      </x:c>
    </x:row>
    <x:row r="103">
      <x:c r="A103" s="6" t="str">
        <x:v>BLK-0102</x:v>
      </x:c>
      <x:c r="B103" s="6" t="str">
        <x:v>Service Identity</x:v>
      </x:c>
      <x:c r="C103" s="6" t="str">
        <x:v>SIDX-0087</x:v>
      </x:c>
      <x:c r="D103" s="6" t="str">
        <x:v>SVC000087</x:v>
      </x:c>
      <x:c r="E103" s="6" t="str">
        <x:v>DUP000001</x:v>
      </x:c>
      <x:c r="F103" s="6" t="str">
        <x:f>IFERROR(XLOOKUP(C103,'Review Sequence'!C2:C1586,'Review Sequence'!I2:I1586),"")</x:f>
        <x:v>Not Started</x:v>
      </x:c>
      <x:c r="G103" s="6" t="str">
        <x:f>IFERROR(XLOOKUP(C103,'Review Sequence'!C2:C1586,'Review Sequence'!J2:J1586),"")</x:f>
        <x:v>Not Started</x:v>
      </x:c>
      <x:c r="H103" s="7" t="str">
        <x:f>IFERROR(XLOOKUP(C103,'Review Sequence'!C2:C1586,'Review Sequence'!O2:O1586),"")</x:f>
      </x:c>
      <x:c r="I103" s="6" t="str">
        <x:f>IFERROR(XLOOKUP(C103,'Review Sequence'!C2:C1586,'Review Sequence'!P2:P1586),"")</x:f>
        <x:v>Yes</x:v>
      </x:c>
    </x:row>
    <x:row r="104">
      <x:c r="A104" s="6" t="str">
        <x:v>BLK-0103</x:v>
      </x:c>
      <x:c r="B104" s="6" t="str">
        <x:v>Service Identity</x:v>
      </x:c>
      <x:c r="C104" s="6" t="str">
        <x:v>SIDX-0088</x:v>
      </x:c>
      <x:c r="D104" s="6" t="str">
        <x:v>SVC000088</x:v>
      </x:c>
      <x:c r="E104" s="6" t="str">
        <x:v>DUP000002</x:v>
      </x:c>
      <x:c r="F104" s="6" t="str">
        <x:f>IFERROR(XLOOKUP(C104,'Review Sequence'!C2:C1586,'Review Sequence'!I2:I1586),"")</x:f>
        <x:v>Not Started</x:v>
      </x:c>
      <x:c r="G104" s="6" t="str">
        <x:f>IFERROR(XLOOKUP(C104,'Review Sequence'!C2:C1586,'Review Sequence'!J2:J1586),"")</x:f>
        <x:v>Not Started</x:v>
      </x:c>
      <x:c r="H104" s="7" t="str">
        <x:f>IFERROR(XLOOKUP(C104,'Review Sequence'!C2:C1586,'Review Sequence'!O2:O1586),"")</x:f>
      </x:c>
      <x:c r="I104" s="6" t="str">
        <x:f>IFERROR(XLOOKUP(C104,'Review Sequence'!C2:C1586,'Review Sequence'!P2:P1586),"")</x:f>
        <x:v>Yes</x:v>
      </x:c>
    </x:row>
    <x:row r="105">
      <x:c r="A105" s="6" t="str">
        <x:v>BLK-0104</x:v>
      </x:c>
      <x:c r="B105" s="6" t="str">
        <x:v>Service Identity</x:v>
      </x:c>
      <x:c r="C105" s="6" t="str">
        <x:v>SIDX-0089</x:v>
      </x:c>
      <x:c r="D105" s="6" t="str">
        <x:v>SVC000089</x:v>
      </x:c>
      <x:c r="E105" s="6" t="str">
        <x:v>DUP000002</x:v>
      </x:c>
      <x:c r="F105" s="6" t="str">
        <x:f>IFERROR(XLOOKUP(C105,'Review Sequence'!C2:C1586,'Review Sequence'!I2:I1586),"")</x:f>
        <x:v>Not Started</x:v>
      </x:c>
      <x:c r="G105" s="6" t="str">
        <x:f>IFERROR(XLOOKUP(C105,'Review Sequence'!C2:C1586,'Review Sequence'!J2:J1586),"")</x:f>
        <x:v>Not Started</x:v>
      </x:c>
      <x:c r="H105" s="7" t="str">
        <x:f>IFERROR(XLOOKUP(C105,'Review Sequence'!C2:C1586,'Review Sequence'!O2:O1586),"")</x:f>
      </x:c>
      <x:c r="I105" s="6" t="str">
        <x:f>IFERROR(XLOOKUP(C105,'Review Sequence'!C2:C1586,'Review Sequence'!P2:P1586),"")</x:f>
        <x:v>Yes</x:v>
      </x:c>
    </x:row>
    <x:row r="106">
      <x:c r="A106" s="6" t="str">
        <x:v>BLK-0105</x:v>
      </x:c>
      <x:c r="B106" s="6" t="str">
        <x:v>Service Identity</x:v>
      </x:c>
      <x:c r="C106" s="6" t="str">
        <x:v>SIDX-0090</x:v>
      </x:c>
      <x:c r="D106" s="6" t="str">
        <x:v>SVC000090</x:v>
      </x:c>
      <x:c r="E106" s="6" t="str">
        <x:v>DUP000003</x:v>
      </x:c>
      <x:c r="F106" s="6" t="str">
        <x:f>IFERROR(XLOOKUP(C106,'Review Sequence'!C2:C1586,'Review Sequence'!I2:I1586),"")</x:f>
        <x:v>Not Started</x:v>
      </x:c>
      <x:c r="G106" s="6" t="str">
        <x:f>IFERROR(XLOOKUP(C106,'Review Sequence'!C2:C1586,'Review Sequence'!J2:J1586),"")</x:f>
        <x:v>Not Started</x:v>
      </x:c>
      <x:c r="H106" s="7" t="str">
        <x:f>IFERROR(XLOOKUP(C106,'Review Sequence'!C2:C1586,'Review Sequence'!O2:O1586),"")</x:f>
      </x:c>
      <x:c r="I106" s="6" t="str">
        <x:f>IFERROR(XLOOKUP(C106,'Review Sequence'!C2:C1586,'Review Sequence'!P2:P1586),"")</x:f>
        <x:v>Yes</x:v>
      </x:c>
    </x:row>
    <x:row r="107">
      <x:c r="A107" s="6" t="str">
        <x:v>BLK-0106</x:v>
      </x:c>
      <x:c r="B107" s="6" t="str">
        <x:v>Service Identity</x:v>
      </x:c>
      <x:c r="C107" s="6" t="str">
        <x:v>SIDX-0091</x:v>
      </x:c>
      <x:c r="D107" s="6" t="str">
        <x:v>SVC000091</x:v>
      </x:c>
      <x:c r="E107" s="6" t="str">
        <x:v>DUP000003</x:v>
      </x:c>
      <x:c r="F107" s="6" t="str">
        <x:f>IFERROR(XLOOKUP(C107,'Review Sequence'!C2:C1586,'Review Sequence'!I2:I1586),"")</x:f>
        <x:v>Not Started</x:v>
      </x:c>
      <x:c r="G107" s="6" t="str">
        <x:f>IFERROR(XLOOKUP(C107,'Review Sequence'!C2:C1586,'Review Sequence'!J2:J1586),"")</x:f>
        <x:v>Not Started</x:v>
      </x:c>
      <x:c r="H107" s="7" t="str">
        <x:f>IFERROR(XLOOKUP(C107,'Review Sequence'!C2:C1586,'Review Sequence'!O2:O1586),"")</x:f>
      </x:c>
      <x:c r="I107" s="6" t="str">
        <x:f>IFERROR(XLOOKUP(C107,'Review Sequence'!C2:C1586,'Review Sequence'!P2:P1586),"")</x:f>
        <x:v>Yes</x:v>
      </x:c>
    </x:row>
    <x:row r="108">
      <x:c r="A108" s="6" t="str">
        <x:v>BLK-0107</x:v>
      </x:c>
      <x:c r="B108" s="6" t="str">
        <x:v>Service Identity</x:v>
      </x:c>
      <x:c r="C108" s="6" t="str">
        <x:v>SIDX-0092</x:v>
      </x:c>
      <x:c r="D108" s="6" t="str">
        <x:v>SVC000092</x:v>
      </x:c>
      <x:c r="E108" s="6" t="str">
        <x:v>DUP000004</x:v>
      </x:c>
      <x:c r="F108" s="6" t="str">
        <x:f>IFERROR(XLOOKUP(C108,'Review Sequence'!C2:C1586,'Review Sequence'!I2:I1586),"")</x:f>
        <x:v>Not Started</x:v>
      </x:c>
      <x:c r="G108" s="6" t="str">
        <x:f>IFERROR(XLOOKUP(C108,'Review Sequence'!C2:C1586,'Review Sequence'!J2:J1586),"")</x:f>
        <x:v>Not Started</x:v>
      </x:c>
      <x:c r="H108" s="7" t="str">
        <x:f>IFERROR(XLOOKUP(C108,'Review Sequence'!C2:C1586,'Review Sequence'!O2:O1586),"")</x:f>
      </x:c>
      <x:c r="I108" s="6" t="str">
        <x:f>IFERROR(XLOOKUP(C108,'Review Sequence'!C2:C1586,'Review Sequence'!P2:P1586),"")</x:f>
        <x:v>Yes</x:v>
      </x:c>
    </x:row>
    <x:row r="109">
      <x:c r="A109" s="6" t="str">
        <x:v>BLK-0108</x:v>
      </x:c>
      <x:c r="B109" s="6" t="str">
        <x:v>Service Identity</x:v>
      </x:c>
      <x:c r="C109" s="6" t="str">
        <x:v>SIDX-0093</x:v>
      </x:c>
      <x:c r="D109" s="6" t="str">
        <x:v>SVC000093</x:v>
      </x:c>
      <x:c r="E109" s="6" t="str">
        <x:v>DUP000004</x:v>
      </x:c>
      <x:c r="F109" s="6" t="str">
        <x:f>IFERROR(XLOOKUP(C109,'Review Sequence'!C2:C1586,'Review Sequence'!I2:I1586),"")</x:f>
        <x:v>Not Started</x:v>
      </x:c>
      <x:c r="G109" s="6" t="str">
        <x:f>IFERROR(XLOOKUP(C109,'Review Sequence'!C2:C1586,'Review Sequence'!J2:J1586),"")</x:f>
        <x:v>Not Started</x:v>
      </x:c>
      <x:c r="H109" s="7" t="str">
        <x:f>IFERROR(XLOOKUP(C109,'Review Sequence'!C2:C1586,'Review Sequence'!O2:O1586),"")</x:f>
      </x:c>
      <x:c r="I109" s="6" t="str">
        <x:f>IFERROR(XLOOKUP(C109,'Review Sequence'!C2:C1586,'Review Sequence'!P2:P1586),"")</x:f>
        <x:v>Yes</x:v>
      </x:c>
    </x:row>
    <x:row r="110">
      <x:c r="A110" s="6" t="str">
        <x:v>BLK-0109</x:v>
      </x:c>
      <x:c r="B110" s="6" t="str">
        <x:v>Service Identity</x:v>
      </x:c>
      <x:c r="C110" s="6" t="str">
        <x:v>SIDX-0094</x:v>
      </x:c>
      <x:c r="D110" s="6" t="str">
        <x:v>SVC000094</x:v>
      </x:c>
      <x:c r="E110" s="6" t="str"/>
      <x:c r="F110" s="6" t="str">
        <x:f>IFERROR(XLOOKUP(C110,'Review Sequence'!C2:C1586,'Review Sequence'!I2:I1586),"")</x:f>
        <x:v>No upstream dependency</x:v>
      </x:c>
      <x:c r="G110" s="6" t="str">
        <x:f>IFERROR(XLOOKUP(C110,'Review Sequence'!C2:C1586,'Review Sequence'!J2:J1586),"")</x:f>
        <x:v>Not Started</x:v>
      </x:c>
      <x:c r="H110" s="7" t="str">
        <x:f>IFERROR(XLOOKUP(C110,'Review Sequence'!C2:C1586,'Review Sequence'!O2:O1586),"")</x:f>
      </x:c>
      <x:c r="I110" s="6" t="str">
        <x:f>IFERROR(XLOOKUP(C110,'Review Sequence'!C2:C1586,'Review Sequence'!P2:P1586),"")</x:f>
        <x:v>No</x:v>
      </x:c>
    </x:row>
    <x:row r="111">
      <x:c r="A111" s="6" t="str">
        <x:v>BLK-0110</x:v>
      </x:c>
      <x:c r="B111" s="6" t="str">
        <x:v>Service Identity</x:v>
      </x:c>
      <x:c r="C111" s="6" t="str">
        <x:v>SIDX-0095</x:v>
      </x:c>
      <x:c r="D111" s="6" t="str">
        <x:v>SVC000095</x:v>
      </x:c>
      <x:c r="E111" s="6" t="str"/>
      <x:c r="F111" s="6" t="str">
        <x:f>IFERROR(XLOOKUP(C111,'Review Sequence'!C2:C1586,'Review Sequence'!I2:I1586),"")</x:f>
        <x:v>No upstream dependency</x:v>
      </x:c>
      <x:c r="G111" s="6" t="str">
        <x:f>IFERROR(XLOOKUP(C111,'Review Sequence'!C2:C1586,'Review Sequence'!J2:J1586),"")</x:f>
        <x:v>Not Started</x:v>
      </x:c>
      <x:c r="H111" s="7" t="str">
        <x:f>IFERROR(XLOOKUP(C111,'Review Sequence'!C2:C1586,'Review Sequence'!O2:O1586),"")</x:f>
      </x:c>
      <x:c r="I111" s="6" t="str">
        <x:f>IFERROR(XLOOKUP(C111,'Review Sequence'!C2:C1586,'Review Sequence'!P2:P1586),"")</x:f>
        <x:v>No</x:v>
      </x:c>
    </x:row>
    <x:row r="112">
      <x:c r="A112" s="6" t="str">
        <x:v>BLK-0111</x:v>
      </x:c>
      <x:c r="B112" s="6" t="str">
        <x:v>Service Identity</x:v>
      </x:c>
      <x:c r="C112" s="6" t="str">
        <x:v>SIDX-0096</x:v>
      </x:c>
      <x:c r="D112" s="6" t="str">
        <x:v>SVC000096</x:v>
      </x:c>
      <x:c r="E112" s="6" t="str"/>
      <x:c r="F112" s="6" t="str">
        <x:f>IFERROR(XLOOKUP(C112,'Review Sequence'!C2:C1586,'Review Sequence'!I2:I1586),"")</x:f>
        <x:v>No upstream dependency</x:v>
      </x:c>
      <x:c r="G112" s="6" t="str">
        <x:f>IFERROR(XLOOKUP(C112,'Review Sequence'!C2:C1586,'Review Sequence'!J2:J1586),"")</x:f>
        <x:v>Not Started</x:v>
      </x:c>
      <x:c r="H112" s="7" t="str">
        <x:f>IFERROR(XLOOKUP(C112,'Review Sequence'!C2:C1586,'Review Sequence'!O2:O1586),"")</x:f>
      </x:c>
      <x:c r="I112" s="6" t="str">
        <x:f>IFERROR(XLOOKUP(C112,'Review Sequence'!C2:C1586,'Review Sequence'!P2:P1586),"")</x:f>
        <x:v>No</x:v>
      </x:c>
    </x:row>
    <x:row r="113">
      <x:c r="A113" s="6" t="str">
        <x:v>BLK-0112</x:v>
      </x:c>
      <x:c r="B113" s="6" t="str">
        <x:v>Service Identity</x:v>
      </x:c>
      <x:c r="C113" s="6" t="str">
        <x:v>SIDX-0097</x:v>
      </x:c>
      <x:c r="D113" s="6" t="str">
        <x:v>SVC000097</x:v>
      </x:c>
      <x:c r="E113" s="6" t="str"/>
      <x:c r="F113" s="6" t="str">
        <x:f>IFERROR(XLOOKUP(C113,'Review Sequence'!C2:C1586,'Review Sequence'!I2:I1586),"")</x:f>
        <x:v>No upstream dependency</x:v>
      </x:c>
      <x:c r="G113" s="6" t="str">
        <x:f>IFERROR(XLOOKUP(C113,'Review Sequence'!C2:C1586,'Review Sequence'!J2:J1586),"")</x:f>
        <x:v>Not Started</x:v>
      </x:c>
      <x:c r="H113" s="7" t="str">
        <x:f>IFERROR(XLOOKUP(C113,'Review Sequence'!C2:C1586,'Review Sequence'!O2:O1586),"")</x:f>
      </x:c>
      <x:c r="I113" s="6" t="str">
        <x:f>IFERROR(XLOOKUP(C113,'Review Sequence'!C2:C1586,'Review Sequence'!P2:P1586),"")</x:f>
        <x:v>No</x:v>
      </x:c>
    </x:row>
    <x:row r="114">
      <x:c r="A114" s="6" t="str">
        <x:v>BLK-0113</x:v>
      </x:c>
      <x:c r="B114" s="6" t="str">
        <x:v>Service Identity</x:v>
      </x:c>
      <x:c r="C114" s="6" t="str">
        <x:v>SIDX-0098</x:v>
      </x:c>
      <x:c r="D114" s="6" t="str">
        <x:v>SVC000098</x:v>
      </x:c>
      <x:c r="E114" s="6" t="str"/>
      <x:c r="F114" s="6" t="str">
        <x:f>IFERROR(XLOOKUP(C114,'Review Sequence'!C2:C1586,'Review Sequence'!I2:I1586),"")</x:f>
        <x:v>No upstream dependency</x:v>
      </x:c>
      <x:c r="G114" s="6" t="str">
        <x:f>IFERROR(XLOOKUP(C114,'Review Sequence'!C2:C1586,'Review Sequence'!J2:J1586),"")</x:f>
        <x:v>Not Started</x:v>
      </x:c>
      <x:c r="H114" s="7" t="str">
        <x:f>IFERROR(XLOOKUP(C114,'Review Sequence'!C2:C1586,'Review Sequence'!O2:O1586),"")</x:f>
      </x:c>
      <x:c r="I114" s="6" t="str">
        <x:f>IFERROR(XLOOKUP(C114,'Review Sequence'!C2:C1586,'Review Sequence'!P2:P1586),"")</x:f>
        <x:v>No</x:v>
      </x:c>
    </x:row>
    <x:row r="115">
      <x:c r="A115" s="6" t="str">
        <x:v>BLK-0114</x:v>
      </x:c>
      <x:c r="B115" s="6" t="str">
        <x:v>Service Identity</x:v>
      </x:c>
      <x:c r="C115" s="6" t="str">
        <x:v>SIDX-0099</x:v>
      </x:c>
      <x:c r="D115" s="6" t="str">
        <x:v>SVC000099</x:v>
      </x:c>
      <x:c r="E115" s="6" t="str"/>
      <x:c r="F115" s="6" t="str">
        <x:f>IFERROR(XLOOKUP(C115,'Review Sequence'!C2:C1586,'Review Sequence'!I2:I1586),"")</x:f>
        <x:v>No upstream dependency</x:v>
      </x:c>
      <x:c r="G115" s="6" t="str">
        <x:f>IFERROR(XLOOKUP(C115,'Review Sequence'!C2:C1586,'Review Sequence'!J2:J1586),"")</x:f>
        <x:v>Not Started</x:v>
      </x:c>
      <x:c r="H115" s="7" t="str">
        <x:f>IFERROR(XLOOKUP(C115,'Review Sequence'!C2:C1586,'Review Sequence'!O2:O1586),"")</x:f>
      </x:c>
      <x:c r="I115" s="6" t="str">
        <x:f>IFERROR(XLOOKUP(C115,'Review Sequence'!C2:C1586,'Review Sequence'!P2:P1586),"")</x:f>
        <x:v>No</x:v>
      </x:c>
    </x:row>
    <x:row r="116">
      <x:c r="A116" s="6" t="str">
        <x:v>BLK-0115</x:v>
      </x:c>
      <x:c r="B116" s="6" t="str">
        <x:v>Service Identity</x:v>
      </x:c>
      <x:c r="C116" s="6" t="str">
        <x:v>SIDX-0100</x:v>
      </x:c>
      <x:c r="D116" s="6" t="str">
        <x:v>SVC000100</x:v>
      </x:c>
      <x:c r="E116" s="6" t="str"/>
      <x:c r="F116" s="6" t="str">
        <x:f>IFERROR(XLOOKUP(C116,'Review Sequence'!C2:C1586,'Review Sequence'!I2:I1586),"")</x:f>
        <x:v>No upstream dependency</x:v>
      </x:c>
      <x:c r="G116" s="6" t="str">
        <x:f>IFERROR(XLOOKUP(C116,'Review Sequence'!C2:C1586,'Review Sequence'!J2:J1586),"")</x:f>
        <x:v>Not Started</x:v>
      </x:c>
      <x:c r="H116" s="7" t="str">
        <x:f>IFERROR(XLOOKUP(C116,'Review Sequence'!C2:C1586,'Review Sequence'!O2:O1586),"")</x:f>
      </x:c>
      <x:c r="I116" s="6" t="str">
        <x:f>IFERROR(XLOOKUP(C116,'Review Sequence'!C2:C1586,'Review Sequence'!P2:P1586),"")</x:f>
        <x:v>No</x:v>
      </x:c>
    </x:row>
    <x:row r="117">
      <x:c r="A117" s="6" t="str">
        <x:v>BLK-0116</x:v>
      </x:c>
      <x:c r="B117" s="6" t="str">
        <x:v>Service Identity</x:v>
      </x:c>
      <x:c r="C117" s="6" t="str">
        <x:v>SIDX-0101</x:v>
      </x:c>
      <x:c r="D117" s="6" t="str">
        <x:v>SVC000101</x:v>
      </x:c>
      <x:c r="E117" s="6" t="str">
        <x:v>DUP000005</x:v>
      </x:c>
      <x:c r="F117" s="6" t="str">
        <x:f>IFERROR(XLOOKUP(C117,'Review Sequence'!C2:C1586,'Review Sequence'!I2:I1586),"")</x:f>
        <x:v>Not Started</x:v>
      </x:c>
      <x:c r="G117" s="6" t="str">
        <x:f>IFERROR(XLOOKUP(C117,'Review Sequence'!C2:C1586,'Review Sequence'!J2:J1586),"")</x:f>
        <x:v>Not Started</x:v>
      </x:c>
      <x:c r="H117" s="7" t="str">
        <x:f>IFERROR(XLOOKUP(C117,'Review Sequence'!C2:C1586,'Review Sequence'!O2:O1586),"")</x:f>
      </x:c>
      <x:c r="I117" s="6" t="str">
        <x:f>IFERROR(XLOOKUP(C117,'Review Sequence'!C2:C1586,'Review Sequence'!P2:P1586),"")</x:f>
        <x:v>Yes</x:v>
      </x:c>
    </x:row>
    <x:row r="118">
      <x:c r="A118" s="6" t="str">
        <x:v>BLK-0117</x:v>
      </x:c>
      <x:c r="B118" s="6" t="str">
        <x:v>Service Identity</x:v>
      </x:c>
      <x:c r="C118" s="6" t="str">
        <x:v>SIDX-0102</x:v>
      </x:c>
      <x:c r="D118" s="6" t="str">
        <x:v>SVC000102</x:v>
      </x:c>
      <x:c r="E118" s="6" t="str">
        <x:v>DUP000005</x:v>
      </x:c>
      <x:c r="F118" s="6" t="str">
        <x:f>IFERROR(XLOOKUP(C118,'Review Sequence'!C2:C1586,'Review Sequence'!I2:I1586),"")</x:f>
        <x:v>Not Started</x:v>
      </x:c>
      <x:c r="G118" s="6" t="str">
        <x:f>IFERROR(XLOOKUP(C118,'Review Sequence'!C2:C1586,'Review Sequence'!J2:J1586),"")</x:f>
        <x:v>Not Started</x:v>
      </x:c>
      <x:c r="H118" s="7" t="str">
        <x:f>IFERROR(XLOOKUP(C118,'Review Sequence'!C2:C1586,'Review Sequence'!O2:O1586),"")</x:f>
      </x:c>
      <x:c r="I118" s="6" t="str">
        <x:f>IFERROR(XLOOKUP(C118,'Review Sequence'!C2:C1586,'Review Sequence'!P2:P1586),"")</x:f>
        <x:v>Yes</x:v>
      </x:c>
    </x:row>
    <x:row r="119">
      <x:c r="A119" s="6" t="str">
        <x:v>BLK-0118</x:v>
      </x:c>
      <x:c r="B119" s="6" t="str">
        <x:v>Service Identity</x:v>
      </x:c>
      <x:c r="C119" s="6" t="str">
        <x:v>SIDX-0103</x:v>
      </x:c>
      <x:c r="D119" s="6" t="str">
        <x:v>SVC000103</x:v>
      </x:c>
      <x:c r="E119" s="6" t="str">
        <x:v>DUP000005</x:v>
      </x:c>
      <x:c r="F119" s="6" t="str">
        <x:f>IFERROR(XLOOKUP(C119,'Review Sequence'!C2:C1586,'Review Sequence'!I2:I1586),"")</x:f>
        <x:v>Not Started</x:v>
      </x:c>
      <x:c r="G119" s="6" t="str">
        <x:f>IFERROR(XLOOKUP(C119,'Review Sequence'!C2:C1586,'Review Sequence'!J2:J1586),"")</x:f>
        <x:v>Not Started</x:v>
      </x:c>
      <x:c r="H119" s="7" t="str">
        <x:f>IFERROR(XLOOKUP(C119,'Review Sequence'!C2:C1586,'Review Sequence'!O2:O1586),"")</x:f>
      </x:c>
      <x:c r="I119" s="6" t="str">
        <x:f>IFERROR(XLOOKUP(C119,'Review Sequence'!C2:C1586,'Review Sequence'!P2:P1586),"")</x:f>
        <x:v>Yes</x:v>
      </x:c>
    </x:row>
    <x:row r="120">
      <x:c r="A120" s="6" t="str">
        <x:v>BLK-0119</x:v>
      </x:c>
      <x:c r="B120" s="6" t="str">
        <x:v>Service Identity</x:v>
      </x:c>
      <x:c r="C120" s="6" t="str">
        <x:v>SIDX-0104</x:v>
      </x:c>
      <x:c r="D120" s="6" t="str">
        <x:v>SVC000104</x:v>
      </x:c>
      <x:c r="E120" s="6" t="str"/>
      <x:c r="F120" s="6" t="str">
        <x:f>IFERROR(XLOOKUP(C120,'Review Sequence'!C2:C1586,'Review Sequence'!I2:I1586),"")</x:f>
        <x:v>No upstream dependency</x:v>
      </x:c>
      <x:c r="G120" s="6" t="str">
        <x:f>IFERROR(XLOOKUP(C120,'Review Sequence'!C2:C1586,'Review Sequence'!J2:J1586),"")</x:f>
        <x:v>Not Started</x:v>
      </x:c>
      <x:c r="H120" s="7" t="str">
        <x:f>IFERROR(XLOOKUP(C120,'Review Sequence'!C2:C1586,'Review Sequence'!O2:O1586),"")</x:f>
      </x:c>
      <x:c r="I120" s="6" t="str">
        <x:f>IFERROR(XLOOKUP(C120,'Review Sequence'!C2:C1586,'Review Sequence'!P2:P1586),"")</x:f>
        <x:v>No</x:v>
      </x:c>
    </x:row>
    <x:row r="121">
      <x:c r="A121" s="6" t="str">
        <x:v>BLK-0120</x:v>
      </x:c>
      <x:c r="B121" s="6" t="str">
        <x:v>Service Identity</x:v>
      </x:c>
      <x:c r="C121" s="6" t="str">
        <x:v>SIDX-0105</x:v>
      </x:c>
      <x:c r="D121" s="6" t="str">
        <x:v>SVC000105</x:v>
      </x:c>
      <x:c r="E121" s="6" t="str"/>
      <x:c r="F121" s="6" t="str">
        <x:f>IFERROR(XLOOKUP(C121,'Review Sequence'!C2:C1586,'Review Sequence'!I2:I1586),"")</x:f>
        <x:v>No upstream dependency</x:v>
      </x:c>
      <x:c r="G121" s="6" t="str">
        <x:f>IFERROR(XLOOKUP(C121,'Review Sequence'!C2:C1586,'Review Sequence'!J2:J1586),"")</x:f>
        <x:v>Not Started</x:v>
      </x:c>
      <x:c r="H121" s="7" t="str">
        <x:f>IFERROR(XLOOKUP(C121,'Review Sequence'!C2:C1586,'Review Sequence'!O2:O1586),"")</x:f>
      </x:c>
      <x:c r="I121" s="6" t="str">
        <x:f>IFERROR(XLOOKUP(C121,'Review Sequence'!C2:C1586,'Review Sequence'!P2:P1586),"")</x:f>
        <x:v>No</x:v>
      </x:c>
    </x:row>
    <x:row r="122">
      <x:c r="A122" s="6" t="str">
        <x:v>BLK-0121</x:v>
      </x:c>
      <x:c r="B122" s="6" t="str">
        <x:v>Service Identity</x:v>
      </x:c>
      <x:c r="C122" s="6" t="str">
        <x:v>SIDX-0106</x:v>
      </x:c>
      <x:c r="D122" s="6" t="str">
        <x:v>SVC000106</x:v>
      </x:c>
      <x:c r="E122" s="6" t="str"/>
      <x:c r="F122" s="6" t="str">
        <x:f>IFERROR(XLOOKUP(C122,'Review Sequence'!C2:C1586,'Review Sequence'!I2:I1586),"")</x:f>
        <x:v>No upstream dependency</x:v>
      </x:c>
      <x:c r="G122" s="6" t="str">
        <x:f>IFERROR(XLOOKUP(C122,'Review Sequence'!C2:C1586,'Review Sequence'!J2:J1586),"")</x:f>
        <x:v>Not Started</x:v>
      </x:c>
      <x:c r="H122" s="7" t="str">
        <x:f>IFERROR(XLOOKUP(C122,'Review Sequence'!C2:C1586,'Review Sequence'!O2:O1586),"")</x:f>
      </x:c>
      <x:c r="I122" s="6" t="str">
        <x:f>IFERROR(XLOOKUP(C122,'Review Sequence'!C2:C1586,'Review Sequence'!P2:P1586),"")</x:f>
        <x:v>No</x:v>
      </x:c>
    </x:row>
    <x:row r="123">
      <x:c r="A123" s="6" t="str">
        <x:v>BLK-0122</x:v>
      </x:c>
      <x:c r="B123" s="6" t="str">
        <x:v>Service Identity</x:v>
      </x:c>
      <x:c r="C123" s="6" t="str">
        <x:v>SIDX-0107</x:v>
      </x:c>
      <x:c r="D123" s="6" t="str">
        <x:v>SVC000107</x:v>
      </x:c>
      <x:c r="E123" s="6" t="str"/>
      <x:c r="F123" s="6" t="str">
        <x:f>IFERROR(XLOOKUP(C123,'Review Sequence'!C2:C1586,'Review Sequence'!I2:I1586),"")</x:f>
        <x:v>No upstream dependency</x:v>
      </x:c>
      <x:c r="G123" s="6" t="str">
        <x:f>IFERROR(XLOOKUP(C123,'Review Sequence'!C2:C1586,'Review Sequence'!J2:J1586),"")</x:f>
        <x:v>Not Started</x:v>
      </x:c>
      <x:c r="H123" s="7" t="str">
        <x:f>IFERROR(XLOOKUP(C123,'Review Sequence'!C2:C1586,'Review Sequence'!O2:O1586),"")</x:f>
      </x:c>
      <x:c r="I123" s="6" t="str">
        <x:f>IFERROR(XLOOKUP(C123,'Review Sequence'!C2:C1586,'Review Sequence'!P2:P1586),"")</x:f>
        <x:v>No</x:v>
      </x:c>
    </x:row>
    <x:row r="124">
      <x:c r="A124" s="6" t="str">
        <x:v>BLK-0123</x:v>
      </x:c>
      <x:c r="B124" s="6" t="str">
        <x:v>Service Identity</x:v>
      </x:c>
      <x:c r="C124" s="6" t="str">
        <x:v>SIDX-0108</x:v>
      </x:c>
      <x:c r="D124" s="6" t="str">
        <x:v>SVC000108</x:v>
      </x:c>
      <x:c r="E124" s="6" t="str"/>
      <x:c r="F124" s="6" t="str">
        <x:f>IFERROR(XLOOKUP(C124,'Review Sequence'!C2:C1586,'Review Sequence'!I2:I1586),"")</x:f>
        <x:v>No upstream dependency</x:v>
      </x:c>
      <x:c r="G124" s="6" t="str">
        <x:f>IFERROR(XLOOKUP(C124,'Review Sequence'!C2:C1586,'Review Sequence'!J2:J1586),"")</x:f>
        <x:v>Not Started</x:v>
      </x:c>
      <x:c r="H124" s="7" t="str">
        <x:f>IFERROR(XLOOKUP(C124,'Review Sequence'!C2:C1586,'Review Sequence'!O2:O1586),"")</x:f>
      </x:c>
      <x:c r="I124" s="6" t="str">
        <x:f>IFERROR(XLOOKUP(C124,'Review Sequence'!C2:C1586,'Review Sequence'!P2:P1586),"")</x:f>
        <x:v>No</x:v>
      </x:c>
    </x:row>
    <x:row r="125">
      <x:c r="A125" s="6" t="str">
        <x:v>BLK-0124</x:v>
      </x:c>
      <x:c r="B125" s="6" t="str">
        <x:v>Service Identity</x:v>
      </x:c>
      <x:c r="C125" s="6" t="str">
        <x:v>SIDX-0109</x:v>
      </x:c>
      <x:c r="D125" s="6" t="str">
        <x:v>SVC000109</x:v>
      </x:c>
      <x:c r="E125" s="6" t="str"/>
      <x:c r="F125" s="6" t="str">
        <x:f>IFERROR(XLOOKUP(C125,'Review Sequence'!C2:C1586,'Review Sequence'!I2:I1586),"")</x:f>
        <x:v>No upstream dependency</x:v>
      </x:c>
      <x:c r="G125" s="6" t="str">
        <x:f>IFERROR(XLOOKUP(C125,'Review Sequence'!C2:C1586,'Review Sequence'!J2:J1586),"")</x:f>
        <x:v>Not Started</x:v>
      </x:c>
      <x:c r="H125" s="7" t="str">
        <x:f>IFERROR(XLOOKUP(C125,'Review Sequence'!C2:C1586,'Review Sequence'!O2:O1586),"")</x:f>
      </x:c>
      <x:c r="I125" s="6" t="str">
        <x:f>IFERROR(XLOOKUP(C125,'Review Sequence'!C2:C1586,'Review Sequence'!P2:P1586),"")</x:f>
        <x:v>No</x:v>
      </x:c>
    </x:row>
    <x:row r="126">
      <x:c r="A126" s="6" t="str">
        <x:v>BLK-0125</x:v>
      </x:c>
      <x:c r="B126" s="6" t="str">
        <x:v>Service Identity</x:v>
      </x:c>
      <x:c r="C126" s="6" t="str">
        <x:v>SIDX-0110</x:v>
      </x:c>
      <x:c r="D126" s="6" t="str">
        <x:v>SVC000110</x:v>
      </x:c>
      <x:c r="E126" s="6" t="str"/>
      <x:c r="F126" s="6" t="str">
        <x:f>IFERROR(XLOOKUP(C126,'Review Sequence'!C2:C1586,'Review Sequence'!I2:I1586),"")</x:f>
        <x:v>No upstream dependency</x:v>
      </x:c>
      <x:c r="G126" s="6" t="str">
        <x:f>IFERROR(XLOOKUP(C126,'Review Sequence'!C2:C1586,'Review Sequence'!J2:J1586),"")</x:f>
        <x:v>Not Started</x:v>
      </x:c>
      <x:c r="H126" s="7" t="str">
        <x:f>IFERROR(XLOOKUP(C126,'Review Sequence'!C2:C1586,'Review Sequence'!O2:O1586),"")</x:f>
      </x:c>
      <x:c r="I126" s="6" t="str">
        <x:f>IFERROR(XLOOKUP(C126,'Review Sequence'!C2:C1586,'Review Sequence'!P2:P1586),"")</x:f>
        <x:v>No</x:v>
      </x:c>
    </x:row>
    <x:row r="127">
      <x:c r="A127" s="6" t="str">
        <x:v>BLK-0126</x:v>
      </x:c>
      <x:c r="B127" s="6" t="str">
        <x:v>Service Identity</x:v>
      </x:c>
      <x:c r="C127" s="6" t="str">
        <x:v>SIDX-0111</x:v>
      </x:c>
      <x:c r="D127" s="6" t="str">
        <x:v>SVC000111</x:v>
      </x:c>
      <x:c r="E127" s="6" t="str"/>
      <x:c r="F127" s="6" t="str">
        <x:f>IFERROR(XLOOKUP(C127,'Review Sequence'!C2:C1586,'Review Sequence'!I2:I1586),"")</x:f>
        <x:v>No upstream dependency</x:v>
      </x:c>
      <x:c r="G127" s="6" t="str">
        <x:f>IFERROR(XLOOKUP(C127,'Review Sequence'!C2:C1586,'Review Sequence'!J2:J1586),"")</x:f>
        <x:v>Not Started</x:v>
      </x:c>
      <x:c r="H127" s="7" t="str">
        <x:f>IFERROR(XLOOKUP(C127,'Review Sequence'!C2:C1586,'Review Sequence'!O2:O1586),"")</x:f>
      </x:c>
      <x:c r="I127" s="6" t="str">
        <x:f>IFERROR(XLOOKUP(C127,'Review Sequence'!C2:C1586,'Review Sequence'!P2:P1586),"")</x:f>
        <x:v>No</x:v>
      </x:c>
    </x:row>
    <x:row r="128">
      <x:c r="A128" s="6" t="str">
        <x:v>BLK-0127</x:v>
      </x:c>
      <x:c r="B128" s="6" t="str">
        <x:v>Service Identity</x:v>
      </x:c>
      <x:c r="C128" s="6" t="str">
        <x:v>SIDX-0112</x:v>
      </x:c>
      <x:c r="D128" s="6" t="str">
        <x:v>SVC000112</x:v>
      </x:c>
      <x:c r="E128" s="6" t="str"/>
      <x:c r="F128" s="6" t="str">
        <x:f>IFERROR(XLOOKUP(C128,'Review Sequence'!C2:C1586,'Review Sequence'!I2:I1586),"")</x:f>
        <x:v>No upstream dependency</x:v>
      </x:c>
      <x:c r="G128" s="6" t="str">
        <x:f>IFERROR(XLOOKUP(C128,'Review Sequence'!C2:C1586,'Review Sequence'!J2:J1586),"")</x:f>
        <x:v>Not Started</x:v>
      </x:c>
      <x:c r="H128" s="7" t="str">
        <x:f>IFERROR(XLOOKUP(C128,'Review Sequence'!C2:C1586,'Review Sequence'!O2:O1586),"")</x:f>
      </x:c>
      <x:c r="I128" s="6" t="str">
        <x:f>IFERROR(XLOOKUP(C128,'Review Sequence'!C2:C1586,'Review Sequence'!P2:P1586),"")</x:f>
        <x:v>No</x:v>
      </x:c>
    </x:row>
    <x:row r="129">
      <x:c r="A129" s="6" t="str">
        <x:v>BLK-0128</x:v>
      </x:c>
      <x:c r="B129" s="6" t="str">
        <x:v>Service Identity</x:v>
      </x:c>
      <x:c r="C129" s="6" t="str">
        <x:v>SIDX-0113</x:v>
      </x:c>
      <x:c r="D129" s="6" t="str">
        <x:v>SVC000113</x:v>
      </x:c>
      <x:c r="E129" s="6" t="str"/>
      <x:c r="F129" s="6" t="str">
        <x:f>IFERROR(XLOOKUP(C129,'Review Sequence'!C2:C1586,'Review Sequence'!I2:I1586),"")</x:f>
        <x:v>No upstream dependency</x:v>
      </x:c>
      <x:c r="G129" s="6" t="str">
        <x:f>IFERROR(XLOOKUP(C129,'Review Sequence'!C2:C1586,'Review Sequence'!J2:J1586),"")</x:f>
        <x:v>Not Started</x:v>
      </x:c>
      <x:c r="H129" s="7" t="str">
        <x:f>IFERROR(XLOOKUP(C129,'Review Sequence'!C2:C1586,'Review Sequence'!O2:O1586),"")</x:f>
      </x:c>
      <x:c r="I129" s="6" t="str">
        <x:f>IFERROR(XLOOKUP(C129,'Review Sequence'!C2:C1586,'Review Sequence'!P2:P1586),"")</x:f>
        <x:v>No</x:v>
      </x:c>
    </x:row>
    <x:row r="130">
      <x:c r="A130" s="6" t="str">
        <x:v>BLK-0129</x:v>
      </x:c>
      <x:c r="B130" s="6" t="str">
        <x:v>Service Identity</x:v>
      </x:c>
      <x:c r="C130" s="6" t="str">
        <x:v>SIDX-0114</x:v>
      </x:c>
      <x:c r="D130" s="6" t="str">
        <x:v>SVC000114</x:v>
      </x:c>
      <x:c r="E130" s="6" t="str"/>
      <x:c r="F130" s="6" t="str">
        <x:f>IFERROR(XLOOKUP(C130,'Review Sequence'!C2:C1586,'Review Sequence'!I2:I1586),"")</x:f>
        <x:v>No upstream dependency</x:v>
      </x:c>
      <x:c r="G130" s="6" t="str">
        <x:f>IFERROR(XLOOKUP(C130,'Review Sequence'!C2:C1586,'Review Sequence'!J2:J1586),"")</x:f>
        <x:v>Not Started</x:v>
      </x:c>
      <x:c r="H130" s="7" t="str">
        <x:f>IFERROR(XLOOKUP(C130,'Review Sequence'!C2:C1586,'Review Sequence'!O2:O1586),"")</x:f>
      </x:c>
      <x:c r="I130" s="6" t="str">
        <x:f>IFERROR(XLOOKUP(C130,'Review Sequence'!C2:C1586,'Review Sequence'!P2:P1586),"")</x:f>
        <x:v>No</x:v>
      </x:c>
    </x:row>
    <x:row r="131">
      <x:c r="A131" s="6" t="str">
        <x:v>BLK-0130</x:v>
      </x:c>
      <x:c r="B131" s="6" t="str">
        <x:v>Service Identity</x:v>
      </x:c>
      <x:c r="C131" s="6" t="str">
        <x:v>SIDX-0115</x:v>
      </x:c>
      <x:c r="D131" s="6" t="str">
        <x:v>SVC000115</x:v>
      </x:c>
      <x:c r="E131" s="6" t="str"/>
      <x:c r="F131" s="6" t="str">
        <x:f>IFERROR(XLOOKUP(C131,'Review Sequence'!C2:C1586,'Review Sequence'!I2:I1586),"")</x:f>
        <x:v>No upstream dependency</x:v>
      </x:c>
      <x:c r="G131" s="6" t="str">
        <x:f>IFERROR(XLOOKUP(C131,'Review Sequence'!C2:C1586,'Review Sequence'!J2:J1586),"")</x:f>
        <x:v>Not Started</x:v>
      </x:c>
      <x:c r="H131" s="7" t="str">
        <x:f>IFERROR(XLOOKUP(C131,'Review Sequence'!C2:C1586,'Review Sequence'!O2:O1586),"")</x:f>
      </x:c>
      <x:c r="I131" s="6" t="str">
        <x:f>IFERROR(XLOOKUP(C131,'Review Sequence'!C2:C1586,'Review Sequence'!P2:P1586),"")</x:f>
        <x:v>No</x:v>
      </x:c>
    </x:row>
    <x:row r="132">
      <x:c r="A132" s="6" t="str">
        <x:v>BLK-0131</x:v>
      </x:c>
      <x:c r="B132" s="6" t="str">
        <x:v>Service Identity</x:v>
      </x:c>
      <x:c r="C132" s="6" t="str">
        <x:v>SIDX-0116</x:v>
      </x:c>
      <x:c r="D132" s="6" t="str">
        <x:v>SVC000116</x:v>
      </x:c>
      <x:c r="E132" s="6" t="str"/>
      <x:c r="F132" s="6" t="str">
        <x:f>IFERROR(XLOOKUP(C132,'Review Sequence'!C2:C1586,'Review Sequence'!I2:I1586),"")</x:f>
        <x:v>No upstream dependency</x:v>
      </x:c>
      <x:c r="G132" s="6" t="str">
        <x:f>IFERROR(XLOOKUP(C132,'Review Sequence'!C2:C1586,'Review Sequence'!J2:J1586),"")</x:f>
        <x:v>Not Started</x:v>
      </x:c>
      <x:c r="H132" s="7" t="str">
        <x:f>IFERROR(XLOOKUP(C132,'Review Sequence'!C2:C1586,'Review Sequence'!O2:O1586),"")</x:f>
      </x:c>
      <x:c r="I132" s="6" t="str">
        <x:f>IFERROR(XLOOKUP(C132,'Review Sequence'!C2:C1586,'Review Sequence'!P2:P1586),"")</x:f>
        <x:v>No</x:v>
      </x:c>
    </x:row>
    <x:row r="133">
      <x:c r="A133" s="6" t="str">
        <x:v>BLK-0132</x:v>
      </x:c>
      <x:c r="B133" s="6" t="str">
        <x:v>Service Identity</x:v>
      </x:c>
      <x:c r="C133" s="6" t="str">
        <x:v>SIDX-0117</x:v>
      </x:c>
      <x:c r="D133" s="6" t="str">
        <x:v>SVC000117</x:v>
      </x:c>
      <x:c r="E133" s="6" t="str"/>
      <x:c r="F133" s="6" t="str">
        <x:f>IFERROR(XLOOKUP(C133,'Review Sequence'!C2:C1586,'Review Sequence'!I2:I1586),"")</x:f>
        <x:v>No upstream dependency</x:v>
      </x:c>
      <x:c r="G133" s="6" t="str">
        <x:f>IFERROR(XLOOKUP(C133,'Review Sequence'!C2:C1586,'Review Sequence'!J2:J1586),"")</x:f>
        <x:v>Not Started</x:v>
      </x:c>
      <x:c r="H133" s="7" t="str">
        <x:f>IFERROR(XLOOKUP(C133,'Review Sequence'!C2:C1586,'Review Sequence'!O2:O1586),"")</x:f>
      </x:c>
      <x:c r="I133" s="6" t="str">
        <x:f>IFERROR(XLOOKUP(C133,'Review Sequence'!C2:C1586,'Review Sequence'!P2:P1586),"")</x:f>
        <x:v>No</x:v>
      </x:c>
    </x:row>
    <x:row r="134">
      <x:c r="A134" s="6" t="str">
        <x:v>BLK-0133</x:v>
      </x:c>
      <x:c r="B134" s="6" t="str">
        <x:v>Service Identity</x:v>
      </x:c>
      <x:c r="C134" s="6" t="str">
        <x:v>SIDX-0118</x:v>
      </x:c>
      <x:c r="D134" s="6" t="str">
        <x:v>SVC000118</x:v>
      </x:c>
      <x:c r="E134" s="6" t="str"/>
      <x:c r="F134" s="6" t="str">
        <x:f>IFERROR(XLOOKUP(C134,'Review Sequence'!C2:C1586,'Review Sequence'!I2:I1586),"")</x:f>
        <x:v>No upstream dependency</x:v>
      </x:c>
      <x:c r="G134" s="6" t="str">
        <x:f>IFERROR(XLOOKUP(C134,'Review Sequence'!C2:C1586,'Review Sequence'!J2:J1586),"")</x:f>
        <x:v>Not Started</x:v>
      </x:c>
      <x:c r="H134" s="7" t="str">
        <x:f>IFERROR(XLOOKUP(C134,'Review Sequence'!C2:C1586,'Review Sequence'!O2:O1586),"")</x:f>
      </x:c>
      <x:c r="I134" s="6" t="str">
        <x:f>IFERROR(XLOOKUP(C134,'Review Sequence'!C2:C1586,'Review Sequence'!P2:P1586),"")</x:f>
        <x:v>No</x:v>
      </x:c>
    </x:row>
    <x:row r="135">
      <x:c r="A135" s="6" t="str">
        <x:v>BLK-0134</x:v>
      </x:c>
      <x:c r="B135" s="6" t="str">
        <x:v>Service Identity</x:v>
      </x:c>
      <x:c r="C135" s="6" t="str">
        <x:v>SIDX-0119</x:v>
      </x:c>
      <x:c r="D135" s="6" t="str">
        <x:v>SVC000119</x:v>
      </x:c>
      <x:c r="E135" s="6" t="str"/>
      <x:c r="F135" s="6" t="str">
        <x:f>IFERROR(XLOOKUP(C135,'Review Sequence'!C2:C1586,'Review Sequence'!I2:I1586),"")</x:f>
        <x:v>No upstream dependency</x:v>
      </x:c>
      <x:c r="G135" s="6" t="str">
        <x:f>IFERROR(XLOOKUP(C135,'Review Sequence'!C2:C1586,'Review Sequence'!J2:J1586),"")</x:f>
        <x:v>Not Started</x:v>
      </x:c>
      <x:c r="H135" s="7" t="str">
        <x:f>IFERROR(XLOOKUP(C135,'Review Sequence'!C2:C1586,'Review Sequence'!O2:O1586),"")</x:f>
      </x:c>
      <x:c r="I135" s="6" t="str">
        <x:f>IFERROR(XLOOKUP(C135,'Review Sequence'!C2:C1586,'Review Sequence'!P2:P1586),"")</x:f>
        <x:v>No</x:v>
      </x:c>
    </x:row>
    <x:row r="136">
      <x:c r="A136" s="6" t="str">
        <x:v>BLK-0135</x:v>
      </x:c>
      <x:c r="B136" s="6" t="str">
        <x:v>Service Identity</x:v>
      </x:c>
      <x:c r="C136" s="6" t="str">
        <x:v>SIDX-0120</x:v>
      </x:c>
      <x:c r="D136" s="6" t="str">
        <x:v>SVC000120</x:v>
      </x:c>
      <x:c r="E136" s="6" t="str"/>
      <x:c r="F136" s="6" t="str">
        <x:f>IFERROR(XLOOKUP(C136,'Review Sequence'!C2:C1586,'Review Sequence'!I2:I1586),"")</x:f>
        <x:v>No upstream dependency</x:v>
      </x:c>
      <x:c r="G136" s="6" t="str">
        <x:f>IFERROR(XLOOKUP(C136,'Review Sequence'!C2:C1586,'Review Sequence'!J2:J1586),"")</x:f>
        <x:v>Not Started</x:v>
      </x:c>
      <x:c r="H136" s="7" t="str">
        <x:f>IFERROR(XLOOKUP(C136,'Review Sequence'!C2:C1586,'Review Sequence'!O2:O1586),"")</x:f>
      </x:c>
      <x:c r="I136" s="6" t="str">
        <x:f>IFERROR(XLOOKUP(C136,'Review Sequence'!C2:C1586,'Review Sequence'!P2:P1586),"")</x:f>
        <x:v>No</x:v>
      </x:c>
    </x:row>
    <x:row r="137">
      <x:c r="A137" s="6" t="str">
        <x:v>BLK-0136</x:v>
      </x:c>
      <x:c r="B137" s="6" t="str">
        <x:v>Service Identity</x:v>
      </x:c>
      <x:c r="C137" s="6" t="str">
        <x:v>SIDX-0121</x:v>
      </x:c>
      <x:c r="D137" s="6" t="str">
        <x:v>SVC000121</x:v>
      </x:c>
      <x:c r="E137" s="6" t="str"/>
      <x:c r="F137" s="6" t="str">
        <x:f>IFERROR(XLOOKUP(C137,'Review Sequence'!C2:C1586,'Review Sequence'!I2:I1586),"")</x:f>
        <x:v>No upstream dependency</x:v>
      </x:c>
      <x:c r="G137" s="6" t="str">
        <x:f>IFERROR(XLOOKUP(C137,'Review Sequence'!C2:C1586,'Review Sequence'!J2:J1586),"")</x:f>
        <x:v>Not Started</x:v>
      </x:c>
      <x:c r="H137" s="7" t="str">
        <x:f>IFERROR(XLOOKUP(C137,'Review Sequence'!C2:C1586,'Review Sequence'!O2:O1586),"")</x:f>
      </x:c>
      <x:c r="I137" s="6" t="str">
        <x:f>IFERROR(XLOOKUP(C137,'Review Sequence'!C2:C1586,'Review Sequence'!P2:P1586),"")</x:f>
        <x:v>No</x:v>
      </x:c>
    </x:row>
    <x:row r="138">
      <x:c r="A138" s="6" t="str">
        <x:v>BLK-0137</x:v>
      </x:c>
      <x:c r="B138" s="6" t="str">
        <x:v>Service Identity</x:v>
      </x:c>
      <x:c r="C138" s="6" t="str">
        <x:v>SIDX-0122</x:v>
      </x:c>
      <x:c r="D138" s="6" t="str">
        <x:v>SVC000122</x:v>
      </x:c>
      <x:c r="E138" s="6" t="str"/>
      <x:c r="F138" s="6" t="str">
        <x:f>IFERROR(XLOOKUP(C138,'Review Sequence'!C2:C1586,'Review Sequence'!I2:I1586),"")</x:f>
        <x:v>No upstream dependency</x:v>
      </x:c>
      <x:c r="G138" s="6" t="str">
        <x:f>IFERROR(XLOOKUP(C138,'Review Sequence'!C2:C1586,'Review Sequence'!J2:J1586),"")</x:f>
        <x:v>Not Started</x:v>
      </x:c>
      <x:c r="H138" s="7" t="str">
        <x:f>IFERROR(XLOOKUP(C138,'Review Sequence'!C2:C1586,'Review Sequence'!O2:O1586),"")</x:f>
      </x:c>
      <x:c r="I138" s="6" t="str">
        <x:f>IFERROR(XLOOKUP(C138,'Review Sequence'!C2:C1586,'Review Sequence'!P2:P1586),"")</x:f>
        <x:v>No</x:v>
      </x:c>
    </x:row>
    <x:row r="139">
      <x:c r="A139" s="6" t="str">
        <x:v>BLK-0138</x:v>
      </x:c>
      <x:c r="B139" s="6" t="str">
        <x:v>Service Identity</x:v>
      </x:c>
      <x:c r="C139" s="6" t="str">
        <x:v>SIDX-0123</x:v>
      </x:c>
      <x:c r="D139" s="6" t="str">
        <x:v>SVC000123</x:v>
      </x:c>
      <x:c r="E139" s="6" t="str"/>
      <x:c r="F139" s="6" t="str">
        <x:f>IFERROR(XLOOKUP(C139,'Review Sequence'!C2:C1586,'Review Sequence'!I2:I1586),"")</x:f>
        <x:v>No upstream dependency</x:v>
      </x:c>
      <x:c r="G139" s="6" t="str">
        <x:f>IFERROR(XLOOKUP(C139,'Review Sequence'!C2:C1586,'Review Sequence'!J2:J1586),"")</x:f>
        <x:v>Not Started</x:v>
      </x:c>
      <x:c r="H139" s="7" t="str">
        <x:f>IFERROR(XLOOKUP(C139,'Review Sequence'!C2:C1586,'Review Sequence'!O2:O1586),"")</x:f>
      </x:c>
      <x:c r="I139" s="6" t="str">
        <x:f>IFERROR(XLOOKUP(C139,'Review Sequence'!C2:C1586,'Review Sequence'!P2:P1586),"")</x:f>
        <x:v>No</x:v>
      </x:c>
    </x:row>
    <x:row r="140">
      <x:c r="A140" s="6" t="str">
        <x:v>BLK-0139</x:v>
      </x:c>
      <x:c r="B140" s="6" t="str">
        <x:v>Service Identity</x:v>
      </x:c>
      <x:c r="C140" s="6" t="str">
        <x:v>SIDX-0124</x:v>
      </x:c>
      <x:c r="D140" s="6" t="str">
        <x:v>SVC000124</x:v>
      </x:c>
      <x:c r="E140" s="6" t="str"/>
      <x:c r="F140" s="6" t="str">
        <x:f>IFERROR(XLOOKUP(C140,'Review Sequence'!C2:C1586,'Review Sequence'!I2:I1586),"")</x:f>
        <x:v>No upstream dependency</x:v>
      </x:c>
      <x:c r="G140" s="6" t="str">
        <x:f>IFERROR(XLOOKUP(C140,'Review Sequence'!C2:C1586,'Review Sequence'!J2:J1586),"")</x:f>
        <x:v>Not Started</x:v>
      </x:c>
      <x:c r="H140" s="7" t="str">
        <x:f>IFERROR(XLOOKUP(C140,'Review Sequence'!C2:C1586,'Review Sequence'!O2:O1586),"")</x:f>
      </x:c>
      <x:c r="I140" s="6" t="str">
        <x:f>IFERROR(XLOOKUP(C140,'Review Sequence'!C2:C1586,'Review Sequence'!P2:P1586),"")</x:f>
        <x:v>No</x:v>
      </x:c>
    </x:row>
    <x:row r="141">
      <x:c r="A141" s="6" t="str">
        <x:v>BLK-0140</x:v>
      </x:c>
      <x:c r="B141" s="6" t="str">
        <x:v>Service Identity</x:v>
      </x:c>
      <x:c r="C141" s="6" t="str">
        <x:v>SIDX-0125</x:v>
      </x:c>
      <x:c r="D141" s="6" t="str">
        <x:v>SVC000125</x:v>
      </x:c>
      <x:c r="E141" s="6" t="str"/>
      <x:c r="F141" s="6" t="str">
        <x:f>IFERROR(XLOOKUP(C141,'Review Sequence'!C2:C1586,'Review Sequence'!I2:I1586),"")</x:f>
        <x:v>No upstream dependency</x:v>
      </x:c>
      <x:c r="G141" s="6" t="str">
        <x:f>IFERROR(XLOOKUP(C141,'Review Sequence'!C2:C1586,'Review Sequence'!J2:J1586),"")</x:f>
        <x:v>Not Started</x:v>
      </x:c>
      <x:c r="H141" s="7" t="str">
        <x:f>IFERROR(XLOOKUP(C141,'Review Sequence'!C2:C1586,'Review Sequence'!O2:O1586),"")</x:f>
      </x:c>
      <x:c r="I141" s="6" t="str">
        <x:f>IFERROR(XLOOKUP(C141,'Review Sequence'!C2:C1586,'Review Sequence'!P2:P1586),"")</x:f>
        <x:v>No</x:v>
      </x:c>
    </x:row>
    <x:row r="142">
      <x:c r="A142" s="6" t="str">
        <x:v>BLK-0141</x:v>
      </x:c>
      <x:c r="B142" s="6" t="str">
        <x:v>Service Identity</x:v>
      </x:c>
      <x:c r="C142" s="6" t="str">
        <x:v>SIDX-0126</x:v>
      </x:c>
      <x:c r="D142" s="6" t="str">
        <x:v>SVC000126</x:v>
      </x:c>
      <x:c r="E142" s="6" t="str"/>
      <x:c r="F142" s="6" t="str">
        <x:f>IFERROR(XLOOKUP(C142,'Review Sequence'!C2:C1586,'Review Sequence'!I2:I1586),"")</x:f>
        <x:v>No upstream dependency</x:v>
      </x:c>
      <x:c r="G142" s="6" t="str">
        <x:f>IFERROR(XLOOKUP(C142,'Review Sequence'!C2:C1586,'Review Sequence'!J2:J1586),"")</x:f>
        <x:v>Not Started</x:v>
      </x:c>
      <x:c r="H142" s="7" t="str">
        <x:f>IFERROR(XLOOKUP(C142,'Review Sequence'!C2:C1586,'Review Sequence'!O2:O1586),"")</x:f>
      </x:c>
      <x:c r="I142" s="6" t="str">
        <x:f>IFERROR(XLOOKUP(C142,'Review Sequence'!C2:C1586,'Review Sequence'!P2:P1586),"")</x:f>
        <x:v>No</x:v>
      </x:c>
    </x:row>
    <x:row r="143">
      <x:c r="A143" s="6" t="str">
        <x:v>BLK-0142</x:v>
      </x:c>
      <x:c r="B143" s="6" t="str">
        <x:v>Service Identity</x:v>
      </x:c>
      <x:c r="C143" s="6" t="str">
        <x:v>SIDX-0127</x:v>
      </x:c>
      <x:c r="D143" s="6" t="str">
        <x:v>SVC000127</x:v>
      </x:c>
      <x:c r="E143" s="6" t="str"/>
      <x:c r="F143" s="6" t="str">
        <x:f>IFERROR(XLOOKUP(C143,'Review Sequence'!C2:C1586,'Review Sequence'!I2:I1586),"")</x:f>
        <x:v>No upstream dependency</x:v>
      </x:c>
      <x:c r="G143" s="6" t="str">
        <x:f>IFERROR(XLOOKUP(C143,'Review Sequence'!C2:C1586,'Review Sequence'!J2:J1586),"")</x:f>
        <x:v>Not Started</x:v>
      </x:c>
      <x:c r="H143" s="7" t="str">
        <x:f>IFERROR(XLOOKUP(C143,'Review Sequence'!C2:C1586,'Review Sequence'!O2:O1586),"")</x:f>
      </x:c>
      <x:c r="I143" s="6" t="str">
        <x:f>IFERROR(XLOOKUP(C143,'Review Sequence'!C2:C1586,'Review Sequence'!P2:P1586),"")</x:f>
        <x:v>No</x:v>
      </x:c>
    </x:row>
    <x:row r="144">
      <x:c r="A144" s="6" t="str">
        <x:v>BLK-0143</x:v>
      </x:c>
      <x:c r="B144" s="6" t="str">
        <x:v>Service Identity</x:v>
      </x:c>
      <x:c r="C144" s="6" t="str">
        <x:v>SIDX-0128</x:v>
      </x:c>
      <x:c r="D144" s="6" t="str">
        <x:v>SVC000128</x:v>
      </x:c>
      <x:c r="E144" s="6" t="str"/>
      <x:c r="F144" s="6" t="str">
        <x:f>IFERROR(XLOOKUP(C144,'Review Sequence'!C2:C1586,'Review Sequence'!I2:I1586),"")</x:f>
        <x:v>No upstream dependency</x:v>
      </x:c>
      <x:c r="G144" s="6" t="str">
        <x:f>IFERROR(XLOOKUP(C144,'Review Sequence'!C2:C1586,'Review Sequence'!J2:J1586),"")</x:f>
        <x:v>Not Started</x:v>
      </x:c>
      <x:c r="H144" s="7" t="str">
        <x:f>IFERROR(XLOOKUP(C144,'Review Sequence'!C2:C1586,'Review Sequence'!O2:O1586),"")</x:f>
      </x:c>
      <x:c r="I144" s="6" t="str">
        <x:f>IFERROR(XLOOKUP(C144,'Review Sequence'!C2:C1586,'Review Sequence'!P2:P1586),"")</x:f>
        <x:v>No</x:v>
      </x:c>
    </x:row>
    <x:row r="145">
      <x:c r="A145" s="6" t="str">
        <x:v>BLK-0144</x:v>
      </x:c>
      <x:c r="B145" s="6" t="str">
        <x:v>Service Identity</x:v>
      </x:c>
      <x:c r="C145" s="6" t="str">
        <x:v>SIDX-0129</x:v>
      </x:c>
      <x:c r="D145" s="6" t="str">
        <x:v>SVC000129</x:v>
      </x:c>
      <x:c r="E145" s="6" t="str"/>
      <x:c r="F145" s="6" t="str">
        <x:f>IFERROR(XLOOKUP(C145,'Review Sequence'!C2:C1586,'Review Sequence'!I2:I1586),"")</x:f>
        <x:v>No upstream dependency</x:v>
      </x:c>
      <x:c r="G145" s="6" t="str">
        <x:f>IFERROR(XLOOKUP(C145,'Review Sequence'!C2:C1586,'Review Sequence'!J2:J1586),"")</x:f>
        <x:v>Not Started</x:v>
      </x:c>
      <x:c r="H145" s="7" t="str">
        <x:f>IFERROR(XLOOKUP(C145,'Review Sequence'!C2:C1586,'Review Sequence'!O2:O1586),"")</x:f>
      </x:c>
      <x:c r="I145" s="6" t="str">
        <x:f>IFERROR(XLOOKUP(C145,'Review Sequence'!C2:C1586,'Review Sequence'!P2:P1586),"")</x:f>
        <x:v>No</x:v>
      </x:c>
    </x:row>
    <x:row r="146">
      <x:c r="A146" s="6" t="str">
        <x:v>BLK-0145</x:v>
      </x:c>
      <x:c r="B146" s="6" t="str">
        <x:v>Service Identity</x:v>
      </x:c>
      <x:c r="C146" s="6" t="str">
        <x:v>SIDX-0130</x:v>
      </x:c>
      <x:c r="D146" s="6" t="str">
        <x:v>SVC000130</x:v>
      </x:c>
      <x:c r="E146" s="6" t="str"/>
      <x:c r="F146" s="6" t="str">
        <x:f>IFERROR(XLOOKUP(C146,'Review Sequence'!C2:C1586,'Review Sequence'!I2:I1586),"")</x:f>
        <x:v>No upstream dependency</x:v>
      </x:c>
      <x:c r="G146" s="6" t="str">
        <x:f>IFERROR(XLOOKUP(C146,'Review Sequence'!C2:C1586,'Review Sequence'!J2:J1586),"")</x:f>
        <x:v>Not Started</x:v>
      </x:c>
      <x:c r="H146" s="7" t="str">
        <x:f>IFERROR(XLOOKUP(C146,'Review Sequence'!C2:C1586,'Review Sequence'!O2:O1586),"")</x:f>
      </x:c>
      <x:c r="I146" s="6" t="str">
        <x:f>IFERROR(XLOOKUP(C146,'Review Sequence'!C2:C1586,'Review Sequence'!P2:P1586),"")</x:f>
        <x:v>No</x:v>
      </x:c>
    </x:row>
    <x:row r="147">
      <x:c r="A147" s="6" t="str">
        <x:v>BLK-0146</x:v>
      </x:c>
      <x:c r="B147" s="6" t="str">
        <x:v>Service Identity</x:v>
      </x:c>
      <x:c r="C147" s="6" t="str">
        <x:v>SIDX-0131</x:v>
      </x:c>
      <x:c r="D147" s="6" t="str">
        <x:v>SVC000131</x:v>
      </x:c>
      <x:c r="E147" s="6" t="str"/>
      <x:c r="F147" s="6" t="str">
        <x:f>IFERROR(XLOOKUP(C147,'Review Sequence'!C2:C1586,'Review Sequence'!I2:I1586),"")</x:f>
        <x:v>No upstream dependency</x:v>
      </x:c>
      <x:c r="G147" s="6" t="str">
        <x:f>IFERROR(XLOOKUP(C147,'Review Sequence'!C2:C1586,'Review Sequence'!J2:J1586),"")</x:f>
        <x:v>Not Started</x:v>
      </x:c>
      <x:c r="H147" s="7" t="str">
        <x:f>IFERROR(XLOOKUP(C147,'Review Sequence'!C2:C1586,'Review Sequence'!O2:O1586),"")</x:f>
      </x:c>
      <x:c r="I147" s="6" t="str">
        <x:f>IFERROR(XLOOKUP(C147,'Review Sequence'!C2:C1586,'Review Sequence'!P2:P1586),"")</x:f>
        <x:v>No</x:v>
      </x:c>
    </x:row>
    <x:row r="148">
      <x:c r="A148" s="6" t="str">
        <x:v>BLK-0147</x:v>
      </x:c>
      <x:c r="B148" s="6" t="str">
        <x:v>Service Identity</x:v>
      </x:c>
      <x:c r="C148" s="6" t="str">
        <x:v>SIDX-0132</x:v>
      </x:c>
      <x:c r="D148" s="6" t="str">
        <x:v>SVC000132</x:v>
      </x:c>
      <x:c r="E148" s="6" t="str"/>
      <x:c r="F148" s="6" t="str">
        <x:f>IFERROR(XLOOKUP(C148,'Review Sequence'!C2:C1586,'Review Sequence'!I2:I1586),"")</x:f>
        <x:v>No upstream dependency</x:v>
      </x:c>
      <x:c r="G148" s="6" t="str">
        <x:f>IFERROR(XLOOKUP(C148,'Review Sequence'!C2:C1586,'Review Sequence'!J2:J1586),"")</x:f>
        <x:v>Not Started</x:v>
      </x:c>
      <x:c r="H148" s="7" t="str">
        <x:f>IFERROR(XLOOKUP(C148,'Review Sequence'!C2:C1586,'Review Sequence'!O2:O1586),"")</x:f>
      </x:c>
      <x:c r="I148" s="6" t="str">
        <x:f>IFERROR(XLOOKUP(C148,'Review Sequence'!C2:C1586,'Review Sequence'!P2:P1586),"")</x:f>
        <x:v>No</x:v>
      </x:c>
    </x:row>
    <x:row r="149">
      <x:c r="A149" s="6" t="str">
        <x:v>BLK-0148</x:v>
      </x:c>
      <x:c r="B149" s="6" t="str">
        <x:v>Service Identity</x:v>
      </x:c>
      <x:c r="C149" s="6" t="str">
        <x:v>SIDX-0133</x:v>
      </x:c>
      <x:c r="D149" s="6" t="str">
        <x:v>SVC000133</x:v>
      </x:c>
      <x:c r="E149" s="6" t="str"/>
      <x:c r="F149" s="6" t="str">
        <x:f>IFERROR(XLOOKUP(C149,'Review Sequence'!C2:C1586,'Review Sequence'!I2:I1586),"")</x:f>
        <x:v>No upstream dependency</x:v>
      </x:c>
      <x:c r="G149" s="6" t="str">
        <x:f>IFERROR(XLOOKUP(C149,'Review Sequence'!C2:C1586,'Review Sequence'!J2:J1586),"")</x:f>
        <x:v>Not Started</x:v>
      </x:c>
      <x:c r="H149" s="7" t="str">
        <x:f>IFERROR(XLOOKUP(C149,'Review Sequence'!C2:C1586,'Review Sequence'!O2:O1586),"")</x:f>
      </x:c>
      <x:c r="I149" s="6" t="str">
        <x:f>IFERROR(XLOOKUP(C149,'Review Sequence'!C2:C1586,'Review Sequence'!P2:P1586),"")</x:f>
        <x:v>No</x:v>
      </x:c>
    </x:row>
    <x:row r="150">
      <x:c r="A150" s="6" t="str">
        <x:v>BLK-0149</x:v>
      </x:c>
      <x:c r="B150" s="6" t="str">
        <x:v>Service Identity</x:v>
      </x:c>
      <x:c r="C150" s="6" t="str">
        <x:v>SIDX-0134</x:v>
      </x:c>
      <x:c r="D150" s="6" t="str">
        <x:v>SVC000134</x:v>
      </x:c>
      <x:c r="E150" s="6" t="str"/>
      <x:c r="F150" s="6" t="str">
        <x:f>IFERROR(XLOOKUP(C150,'Review Sequence'!C2:C1586,'Review Sequence'!I2:I1586),"")</x:f>
        <x:v>No upstream dependency</x:v>
      </x:c>
      <x:c r="G150" s="6" t="str">
        <x:f>IFERROR(XLOOKUP(C150,'Review Sequence'!C2:C1586,'Review Sequence'!J2:J1586),"")</x:f>
        <x:v>Not Started</x:v>
      </x:c>
      <x:c r="H150" s="7" t="str">
        <x:f>IFERROR(XLOOKUP(C150,'Review Sequence'!C2:C1586,'Review Sequence'!O2:O1586),"")</x:f>
      </x:c>
      <x:c r="I150" s="6" t="str">
        <x:f>IFERROR(XLOOKUP(C150,'Review Sequence'!C2:C1586,'Review Sequence'!P2:P1586),"")</x:f>
        <x:v>No</x:v>
      </x:c>
    </x:row>
    <x:row r="151">
      <x:c r="A151" s="6" t="str">
        <x:v>BLK-0150</x:v>
      </x:c>
      <x:c r="B151" s="6" t="str">
        <x:v>Service Identity</x:v>
      </x:c>
      <x:c r="C151" s="6" t="str">
        <x:v>SIDX-0135</x:v>
      </x:c>
      <x:c r="D151" s="6" t="str">
        <x:v>SVC000135</x:v>
      </x:c>
      <x:c r="E151" s="6" t="str"/>
      <x:c r="F151" s="6" t="str">
        <x:f>IFERROR(XLOOKUP(C151,'Review Sequence'!C2:C1586,'Review Sequence'!I2:I1586),"")</x:f>
        <x:v>No upstream dependency</x:v>
      </x:c>
      <x:c r="G151" s="6" t="str">
        <x:f>IFERROR(XLOOKUP(C151,'Review Sequence'!C2:C1586,'Review Sequence'!J2:J1586),"")</x:f>
        <x:v>Not Started</x:v>
      </x:c>
      <x:c r="H151" s="7" t="str">
        <x:f>IFERROR(XLOOKUP(C151,'Review Sequence'!C2:C1586,'Review Sequence'!O2:O1586),"")</x:f>
      </x:c>
      <x:c r="I151" s="6" t="str">
        <x:f>IFERROR(XLOOKUP(C151,'Review Sequence'!C2:C1586,'Review Sequence'!P2:P1586),"")</x:f>
        <x:v>No</x:v>
      </x:c>
    </x:row>
    <x:row r="152">
      <x:c r="A152" s="6" t="str">
        <x:v>BLK-0151</x:v>
      </x:c>
      <x:c r="B152" s="6" t="str">
        <x:v>Service Identity</x:v>
      </x:c>
      <x:c r="C152" s="6" t="str">
        <x:v>SIDX-0136</x:v>
      </x:c>
      <x:c r="D152" s="6" t="str">
        <x:v>SVC000136</x:v>
      </x:c>
      <x:c r="E152" s="6" t="str"/>
      <x:c r="F152" s="6" t="str">
        <x:f>IFERROR(XLOOKUP(C152,'Review Sequence'!C2:C1586,'Review Sequence'!I2:I1586),"")</x:f>
        <x:v>No upstream dependency</x:v>
      </x:c>
      <x:c r="G152" s="6" t="str">
        <x:f>IFERROR(XLOOKUP(C152,'Review Sequence'!C2:C1586,'Review Sequence'!J2:J1586),"")</x:f>
        <x:v>Not Started</x:v>
      </x:c>
      <x:c r="H152" s="7" t="str">
        <x:f>IFERROR(XLOOKUP(C152,'Review Sequence'!C2:C1586,'Review Sequence'!O2:O1586),"")</x:f>
      </x:c>
      <x:c r="I152" s="6" t="str">
        <x:f>IFERROR(XLOOKUP(C152,'Review Sequence'!C2:C1586,'Review Sequence'!P2:P1586),"")</x:f>
        <x:v>No</x:v>
      </x:c>
    </x:row>
    <x:row r="153">
      <x:c r="A153" s="6" t="str">
        <x:v>BLK-0152</x:v>
      </x:c>
      <x:c r="B153" s="6" t="str">
        <x:v>Service Identity</x:v>
      </x:c>
      <x:c r="C153" s="6" t="str">
        <x:v>SIDX-0137</x:v>
      </x:c>
      <x:c r="D153" s="6" t="str">
        <x:v>SVC000137</x:v>
      </x:c>
      <x:c r="E153" s="6" t="str"/>
      <x:c r="F153" s="6" t="str">
        <x:f>IFERROR(XLOOKUP(C153,'Review Sequence'!C2:C1586,'Review Sequence'!I2:I1586),"")</x:f>
        <x:v>No upstream dependency</x:v>
      </x:c>
      <x:c r="G153" s="6" t="str">
        <x:f>IFERROR(XLOOKUP(C153,'Review Sequence'!C2:C1586,'Review Sequence'!J2:J1586),"")</x:f>
        <x:v>Not Started</x:v>
      </x:c>
      <x:c r="H153" s="7" t="str">
        <x:f>IFERROR(XLOOKUP(C153,'Review Sequence'!C2:C1586,'Review Sequence'!O2:O1586),"")</x:f>
      </x:c>
      <x:c r="I153" s="6" t="str">
        <x:f>IFERROR(XLOOKUP(C153,'Review Sequence'!C2:C1586,'Review Sequence'!P2:P1586),"")</x:f>
        <x:v>No</x:v>
      </x:c>
    </x:row>
    <x:row r="154">
      <x:c r="A154" s="6" t="str">
        <x:v>BLK-0153</x:v>
      </x:c>
      <x:c r="B154" s="6" t="str">
        <x:v>Service Identity</x:v>
      </x:c>
      <x:c r="C154" s="6" t="str">
        <x:v>SIDX-0138</x:v>
      </x:c>
      <x:c r="D154" s="6" t="str">
        <x:v>SVC000138</x:v>
      </x:c>
      <x:c r="E154" s="6" t="str"/>
      <x:c r="F154" s="6" t="str">
        <x:f>IFERROR(XLOOKUP(C154,'Review Sequence'!C2:C1586,'Review Sequence'!I2:I1586),"")</x:f>
        <x:v>No upstream dependency</x:v>
      </x:c>
      <x:c r="G154" s="6" t="str">
        <x:f>IFERROR(XLOOKUP(C154,'Review Sequence'!C2:C1586,'Review Sequence'!J2:J1586),"")</x:f>
        <x:v>Not Started</x:v>
      </x:c>
      <x:c r="H154" s="7" t="str">
        <x:f>IFERROR(XLOOKUP(C154,'Review Sequence'!C2:C1586,'Review Sequence'!O2:O1586),"")</x:f>
      </x:c>
      <x:c r="I154" s="6" t="str">
        <x:f>IFERROR(XLOOKUP(C154,'Review Sequence'!C2:C1586,'Review Sequence'!P2:P1586),"")</x:f>
        <x:v>No</x:v>
      </x:c>
    </x:row>
    <x:row r="155">
      <x:c r="A155" s="6" t="str">
        <x:v>BLK-0154</x:v>
      </x:c>
      <x:c r="B155" s="6" t="str">
        <x:v>Service Identity</x:v>
      </x:c>
      <x:c r="C155" s="6" t="str">
        <x:v>SIDX-0139</x:v>
      </x:c>
      <x:c r="D155" s="6" t="str">
        <x:v>SVC000139</x:v>
      </x:c>
      <x:c r="E155" s="6" t="str"/>
      <x:c r="F155" s="6" t="str">
        <x:f>IFERROR(XLOOKUP(C155,'Review Sequence'!C2:C1586,'Review Sequence'!I2:I1586),"")</x:f>
        <x:v>No upstream dependency</x:v>
      </x:c>
      <x:c r="G155" s="6" t="str">
        <x:f>IFERROR(XLOOKUP(C155,'Review Sequence'!C2:C1586,'Review Sequence'!J2:J1586),"")</x:f>
        <x:v>Not Started</x:v>
      </x:c>
      <x:c r="H155" s="7" t="str">
        <x:f>IFERROR(XLOOKUP(C155,'Review Sequence'!C2:C1586,'Review Sequence'!O2:O1586),"")</x:f>
      </x:c>
      <x:c r="I155" s="6" t="str">
        <x:f>IFERROR(XLOOKUP(C155,'Review Sequence'!C2:C1586,'Review Sequence'!P2:P1586),"")</x:f>
        <x:v>No</x:v>
      </x:c>
    </x:row>
    <x:row r="156">
      <x:c r="A156" s="6" t="str">
        <x:v>BLK-0155</x:v>
      </x:c>
      <x:c r="B156" s="6" t="str">
        <x:v>Service Identity</x:v>
      </x:c>
      <x:c r="C156" s="6" t="str">
        <x:v>SIDX-0140</x:v>
      </x:c>
      <x:c r="D156" s="6" t="str">
        <x:v>SVC000140</x:v>
      </x:c>
      <x:c r="E156" s="6" t="str"/>
      <x:c r="F156" s="6" t="str">
        <x:f>IFERROR(XLOOKUP(C156,'Review Sequence'!C2:C1586,'Review Sequence'!I2:I1586),"")</x:f>
        <x:v>No upstream dependency</x:v>
      </x:c>
      <x:c r="G156" s="6" t="str">
        <x:f>IFERROR(XLOOKUP(C156,'Review Sequence'!C2:C1586,'Review Sequence'!J2:J1586),"")</x:f>
        <x:v>Not Started</x:v>
      </x:c>
      <x:c r="H156" s="7" t="str">
        <x:f>IFERROR(XLOOKUP(C156,'Review Sequence'!C2:C1586,'Review Sequence'!O2:O1586),"")</x:f>
      </x:c>
      <x:c r="I156" s="6" t="str">
        <x:f>IFERROR(XLOOKUP(C156,'Review Sequence'!C2:C1586,'Review Sequence'!P2:P1586),"")</x:f>
        <x:v>No</x:v>
      </x:c>
    </x:row>
    <x:row r="157">
      <x:c r="A157" s="6" t="str">
        <x:v>BLK-0156</x:v>
      </x:c>
      <x:c r="B157" s="6" t="str">
        <x:v>Service Identity</x:v>
      </x:c>
      <x:c r="C157" s="6" t="str">
        <x:v>SIDX-0141</x:v>
      </x:c>
      <x:c r="D157" s="6" t="str">
        <x:v>SVC000141</x:v>
      </x:c>
      <x:c r="E157" s="6" t="str"/>
      <x:c r="F157" s="6" t="str">
        <x:f>IFERROR(XLOOKUP(C157,'Review Sequence'!C2:C1586,'Review Sequence'!I2:I1586),"")</x:f>
        <x:v>No upstream dependency</x:v>
      </x:c>
      <x:c r="G157" s="6" t="str">
        <x:f>IFERROR(XLOOKUP(C157,'Review Sequence'!C2:C1586,'Review Sequence'!J2:J1586),"")</x:f>
        <x:v>Not Started</x:v>
      </x:c>
      <x:c r="H157" s="7" t="str">
        <x:f>IFERROR(XLOOKUP(C157,'Review Sequence'!C2:C1586,'Review Sequence'!O2:O1586),"")</x:f>
      </x:c>
      <x:c r="I157" s="6" t="str">
        <x:f>IFERROR(XLOOKUP(C157,'Review Sequence'!C2:C1586,'Review Sequence'!P2:P1586),"")</x:f>
        <x:v>No</x:v>
      </x:c>
    </x:row>
    <x:row r="158">
      <x:c r="A158" s="6" t="str">
        <x:v>BLK-0157</x:v>
      </x:c>
      <x:c r="B158" s="6" t="str">
        <x:v>Service Identity</x:v>
      </x:c>
      <x:c r="C158" s="6" t="str">
        <x:v>SIDX-0142</x:v>
      </x:c>
      <x:c r="D158" s="6" t="str">
        <x:v>SVC000142</x:v>
      </x:c>
      <x:c r="E158" s="6" t="str"/>
      <x:c r="F158" s="6" t="str">
        <x:f>IFERROR(XLOOKUP(C158,'Review Sequence'!C2:C1586,'Review Sequence'!I2:I1586),"")</x:f>
        <x:v>No upstream dependency</x:v>
      </x:c>
      <x:c r="G158" s="6" t="str">
        <x:f>IFERROR(XLOOKUP(C158,'Review Sequence'!C2:C1586,'Review Sequence'!J2:J1586),"")</x:f>
        <x:v>Not Started</x:v>
      </x:c>
      <x:c r="H158" s="7" t="str">
        <x:f>IFERROR(XLOOKUP(C158,'Review Sequence'!C2:C1586,'Review Sequence'!O2:O1586),"")</x:f>
      </x:c>
      <x:c r="I158" s="6" t="str">
        <x:f>IFERROR(XLOOKUP(C158,'Review Sequence'!C2:C1586,'Review Sequence'!P2:P1586),"")</x:f>
        <x:v>No</x:v>
      </x:c>
    </x:row>
    <x:row r="159">
      <x:c r="A159" s="6" t="str">
        <x:v>BLK-0158</x:v>
      </x:c>
      <x:c r="B159" s="6" t="str">
        <x:v>Service Identity</x:v>
      </x:c>
      <x:c r="C159" s="6" t="str">
        <x:v>SIDX-0143</x:v>
      </x:c>
      <x:c r="D159" s="6" t="str">
        <x:v>SVC000143</x:v>
      </x:c>
      <x:c r="E159" s="6" t="str"/>
      <x:c r="F159" s="6" t="str">
        <x:f>IFERROR(XLOOKUP(C159,'Review Sequence'!C2:C1586,'Review Sequence'!I2:I1586),"")</x:f>
        <x:v>No upstream dependency</x:v>
      </x:c>
      <x:c r="G159" s="6" t="str">
        <x:f>IFERROR(XLOOKUP(C159,'Review Sequence'!C2:C1586,'Review Sequence'!J2:J1586),"")</x:f>
        <x:v>Not Started</x:v>
      </x:c>
      <x:c r="H159" s="7" t="str">
        <x:f>IFERROR(XLOOKUP(C159,'Review Sequence'!C2:C1586,'Review Sequence'!O2:O1586),"")</x:f>
      </x:c>
      <x:c r="I159" s="6" t="str">
        <x:f>IFERROR(XLOOKUP(C159,'Review Sequence'!C2:C1586,'Review Sequence'!P2:P1586),"")</x:f>
        <x:v>No</x:v>
      </x:c>
    </x:row>
    <x:row r="160">
      <x:c r="A160" s="6" t="str">
        <x:v>BLK-0159</x:v>
      </x:c>
      <x:c r="B160" s="6" t="str">
        <x:v>Service Identity</x:v>
      </x:c>
      <x:c r="C160" s="6" t="str">
        <x:v>SIDX-0144</x:v>
      </x:c>
      <x:c r="D160" s="6" t="str">
        <x:v>SVC000144</x:v>
      </x:c>
      <x:c r="E160" s="6" t="str"/>
      <x:c r="F160" s="6" t="str">
        <x:f>IFERROR(XLOOKUP(C160,'Review Sequence'!C2:C1586,'Review Sequence'!I2:I1586),"")</x:f>
        <x:v>No upstream dependency</x:v>
      </x:c>
      <x:c r="G160" s="6" t="str">
        <x:f>IFERROR(XLOOKUP(C160,'Review Sequence'!C2:C1586,'Review Sequence'!J2:J1586),"")</x:f>
        <x:v>Not Started</x:v>
      </x:c>
      <x:c r="H160" s="7" t="str">
        <x:f>IFERROR(XLOOKUP(C160,'Review Sequence'!C2:C1586,'Review Sequence'!O2:O1586),"")</x:f>
      </x:c>
      <x:c r="I160" s="6" t="str">
        <x:f>IFERROR(XLOOKUP(C160,'Review Sequence'!C2:C1586,'Review Sequence'!P2:P1586),"")</x:f>
        <x:v>No</x:v>
      </x:c>
    </x:row>
    <x:row r="161">
      <x:c r="A161" s="6" t="str">
        <x:v>BLK-0160</x:v>
      </x:c>
      <x:c r="B161" s="6" t="str">
        <x:v>Service Identity</x:v>
      </x:c>
      <x:c r="C161" s="6" t="str">
        <x:v>SIDX-0145</x:v>
      </x:c>
      <x:c r="D161" s="6" t="str">
        <x:v>SVC000145</x:v>
      </x:c>
      <x:c r="E161" s="6" t="str"/>
      <x:c r="F161" s="6" t="str">
        <x:f>IFERROR(XLOOKUP(C161,'Review Sequence'!C2:C1586,'Review Sequence'!I2:I1586),"")</x:f>
        <x:v>No upstream dependency</x:v>
      </x:c>
      <x:c r="G161" s="6" t="str">
        <x:f>IFERROR(XLOOKUP(C161,'Review Sequence'!C2:C1586,'Review Sequence'!J2:J1586),"")</x:f>
        <x:v>Not Started</x:v>
      </x:c>
      <x:c r="H161" s="7" t="str">
        <x:f>IFERROR(XLOOKUP(C161,'Review Sequence'!C2:C1586,'Review Sequence'!O2:O1586),"")</x:f>
      </x:c>
      <x:c r="I161" s="6" t="str">
        <x:f>IFERROR(XLOOKUP(C161,'Review Sequence'!C2:C1586,'Review Sequence'!P2:P1586),"")</x:f>
        <x:v>No</x:v>
      </x:c>
    </x:row>
    <x:row r="162">
      <x:c r="A162" s="6" t="str">
        <x:v>BLK-0161</x:v>
      </x:c>
      <x:c r="B162" s="6" t="str">
        <x:v>Service Identity</x:v>
      </x:c>
      <x:c r="C162" s="6" t="str">
        <x:v>SIDX-0146</x:v>
      </x:c>
      <x:c r="D162" s="6" t="str">
        <x:v>SVC000146</x:v>
      </x:c>
      <x:c r="E162" s="6" t="str"/>
      <x:c r="F162" s="6" t="str">
        <x:f>IFERROR(XLOOKUP(C162,'Review Sequence'!C2:C1586,'Review Sequence'!I2:I1586),"")</x:f>
        <x:v>No upstream dependency</x:v>
      </x:c>
      <x:c r="G162" s="6" t="str">
        <x:f>IFERROR(XLOOKUP(C162,'Review Sequence'!C2:C1586,'Review Sequence'!J2:J1586),"")</x:f>
        <x:v>Not Started</x:v>
      </x:c>
      <x:c r="H162" s="7" t="str">
        <x:f>IFERROR(XLOOKUP(C162,'Review Sequence'!C2:C1586,'Review Sequence'!O2:O1586),"")</x:f>
      </x:c>
      <x:c r="I162" s="6" t="str">
        <x:f>IFERROR(XLOOKUP(C162,'Review Sequence'!C2:C1586,'Review Sequence'!P2:P1586),"")</x:f>
        <x:v>No</x:v>
      </x:c>
    </x:row>
    <x:row r="163">
      <x:c r="A163" s="6" t="str">
        <x:v>BLK-0162</x:v>
      </x:c>
      <x:c r="B163" s="6" t="str">
        <x:v>Service Identity</x:v>
      </x:c>
      <x:c r="C163" s="6" t="str">
        <x:v>SIDX-0147</x:v>
      </x:c>
      <x:c r="D163" s="6" t="str">
        <x:v>SVC000147</x:v>
      </x:c>
      <x:c r="E163" s="6" t="str"/>
      <x:c r="F163" s="6" t="str">
        <x:f>IFERROR(XLOOKUP(C163,'Review Sequence'!C2:C1586,'Review Sequence'!I2:I1586),"")</x:f>
        <x:v>No upstream dependency</x:v>
      </x:c>
      <x:c r="G163" s="6" t="str">
        <x:f>IFERROR(XLOOKUP(C163,'Review Sequence'!C2:C1586,'Review Sequence'!J2:J1586),"")</x:f>
        <x:v>Not Started</x:v>
      </x:c>
      <x:c r="H163" s="7" t="str">
        <x:f>IFERROR(XLOOKUP(C163,'Review Sequence'!C2:C1586,'Review Sequence'!O2:O1586),"")</x:f>
      </x:c>
      <x:c r="I163" s="6" t="str">
        <x:f>IFERROR(XLOOKUP(C163,'Review Sequence'!C2:C1586,'Review Sequence'!P2:P1586),"")</x:f>
        <x:v>No</x:v>
      </x:c>
    </x:row>
    <x:row r="164">
      <x:c r="A164" s="6" t="str">
        <x:v>BLK-0163</x:v>
      </x:c>
      <x:c r="B164" s="6" t="str">
        <x:v>Service Identity</x:v>
      </x:c>
      <x:c r="C164" s="6" t="str">
        <x:v>SIDX-0148</x:v>
      </x:c>
      <x:c r="D164" s="6" t="str">
        <x:v>SVC000148</x:v>
      </x:c>
      <x:c r="E164" s="6" t="str"/>
      <x:c r="F164" s="6" t="str">
        <x:f>IFERROR(XLOOKUP(C164,'Review Sequence'!C2:C1586,'Review Sequence'!I2:I1586),"")</x:f>
        <x:v>No upstream dependency</x:v>
      </x:c>
      <x:c r="G164" s="6" t="str">
        <x:f>IFERROR(XLOOKUP(C164,'Review Sequence'!C2:C1586,'Review Sequence'!J2:J1586),"")</x:f>
        <x:v>Not Started</x:v>
      </x:c>
      <x:c r="H164" s="7" t="str">
        <x:f>IFERROR(XLOOKUP(C164,'Review Sequence'!C2:C1586,'Review Sequence'!O2:O1586),"")</x:f>
      </x:c>
      <x:c r="I164" s="6" t="str">
        <x:f>IFERROR(XLOOKUP(C164,'Review Sequence'!C2:C1586,'Review Sequence'!P2:P1586),"")</x:f>
        <x:v>No</x:v>
      </x:c>
    </x:row>
    <x:row r="165">
      <x:c r="A165" s="6" t="str">
        <x:v>BLK-0164</x:v>
      </x:c>
      <x:c r="B165" s="6" t="str">
        <x:v>Service Identity</x:v>
      </x:c>
      <x:c r="C165" s="6" t="str">
        <x:v>SIDX-0149</x:v>
      </x:c>
      <x:c r="D165" s="6" t="str">
        <x:v>SVC000149</x:v>
      </x:c>
      <x:c r="E165" s="6" t="str"/>
      <x:c r="F165" s="6" t="str">
        <x:f>IFERROR(XLOOKUP(C165,'Review Sequence'!C2:C1586,'Review Sequence'!I2:I1586),"")</x:f>
        <x:v>No upstream dependency</x:v>
      </x:c>
      <x:c r="G165" s="6" t="str">
        <x:f>IFERROR(XLOOKUP(C165,'Review Sequence'!C2:C1586,'Review Sequence'!J2:J1586),"")</x:f>
        <x:v>Not Started</x:v>
      </x:c>
      <x:c r="H165" s="7" t="str">
        <x:f>IFERROR(XLOOKUP(C165,'Review Sequence'!C2:C1586,'Review Sequence'!O2:O1586),"")</x:f>
      </x:c>
      <x:c r="I165" s="6" t="str">
        <x:f>IFERROR(XLOOKUP(C165,'Review Sequence'!C2:C1586,'Review Sequence'!P2:P1586),"")</x:f>
        <x:v>No</x:v>
      </x:c>
    </x:row>
    <x:row r="166">
      <x:c r="A166" s="6" t="str">
        <x:v>BLK-0165</x:v>
      </x:c>
      <x:c r="B166" s="6" t="str">
        <x:v>Service Identity</x:v>
      </x:c>
      <x:c r="C166" s="6" t="str">
        <x:v>SIDX-0150</x:v>
      </x:c>
      <x:c r="D166" s="6" t="str">
        <x:v>SVC000150</x:v>
      </x:c>
      <x:c r="E166" s="6" t="str"/>
      <x:c r="F166" s="6" t="str">
        <x:f>IFERROR(XLOOKUP(C166,'Review Sequence'!C2:C1586,'Review Sequence'!I2:I1586),"")</x:f>
        <x:v>No upstream dependency</x:v>
      </x:c>
      <x:c r="G166" s="6" t="str">
        <x:f>IFERROR(XLOOKUP(C166,'Review Sequence'!C2:C1586,'Review Sequence'!J2:J1586),"")</x:f>
        <x:v>Not Started</x:v>
      </x:c>
      <x:c r="H166" s="7" t="str">
        <x:f>IFERROR(XLOOKUP(C166,'Review Sequence'!C2:C1586,'Review Sequence'!O2:O1586),"")</x:f>
      </x:c>
      <x:c r="I166" s="6" t="str">
        <x:f>IFERROR(XLOOKUP(C166,'Review Sequence'!C2:C1586,'Review Sequence'!P2:P1586),"")</x:f>
        <x:v>No</x:v>
      </x:c>
    </x:row>
    <x:row r="167">
      <x:c r="A167" s="6" t="str">
        <x:v>BLK-0166</x:v>
      </x:c>
      <x:c r="B167" s="6" t="str">
        <x:v>Service Identity</x:v>
      </x:c>
      <x:c r="C167" s="6" t="str">
        <x:v>SIDX-0151</x:v>
      </x:c>
      <x:c r="D167" s="6" t="str">
        <x:v>SVC000151</x:v>
      </x:c>
      <x:c r="E167" s="6" t="str"/>
      <x:c r="F167" s="6" t="str">
        <x:f>IFERROR(XLOOKUP(C167,'Review Sequence'!C2:C1586,'Review Sequence'!I2:I1586),"")</x:f>
        <x:v>No upstream dependency</x:v>
      </x:c>
      <x:c r="G167" s="6" t="str">
        <x:f>IFERROR(XLOOKUP(C167,'Review Sequence'!C2:C1586,'Review Sequence'!J2:J1586),"")</x:f>
        <x:v>Not Started</x:v>
      </x:c>
      <x:c r="H167" s="7" t="str">
        <x:f>IFERROR(XLOOKUP(C167,'Review Sequence'!C2:C1586,'Review Sequence'!O2:O1586),"")</x:f>
      </x:c>
      <x:c r="I167" s="6" t="str">
        <x:f>IFERROR(XLOOKUP(C167,'Review Sequence'!C2:C1586,'Review Sequence'!P2:P1586),"")</x:f>
        <x:v>No</x:v>
      </x:c>
    </x:row>
    <x:row r="168">
      <x:c r="A168" s="6" t="str">
        <x:v>BLK-0167</x:v>
      </x:c>
      <x:c r="B168" s="6" t="str">
        <x:v>Service Identity</x:v>
      </x:c>
      <x:c r="C168" s="6" t="str">
        <x:v>SIDX-0152</x:v>
      </x:c>
      <x:c r="D168" s="6" t="str">
        <x:v>SVC000152</x:v>
      </x:c>
      <x:c r="E168" s="6" t="str"/>
      <x:c r="F168" s="6" t="str">
        <x:f>IFERROR(XLOOKUP(C168,'Review Sequence'!C2:C1586,'Review Sequence'!I2:I1586),"")</x:f>
        <x:v>No upstream dependency</x:v>
      </x:c>
      <x:c r="G168" s="6" t="str">
        <x:f>IFERROR(XLOOKUP(C168,'Review Sequence'!C2:C1586,'Review Sequence'!J2:J1586),"")</x:f>
        <x:v>Not Started</x:v>
      </x:c>
      <x:c r="H168" s="7" t="str">
        <x:f>IFERROR(XLOOKUP(C168,'Review Sequence'!C2:C1586,'Review Sequence'!O2:O1586),"")</x:f>
      </x:c>
      <x:c r="I168" s="6" t="str">
        <x:f>IFERROR(XLOOKUP(C168,'Review Sequence'!C2:C1586,'Review Sequence'!P2:P1586),"")</x:f>
        <x:v>No</x:v>
      </x:c>
    </x:row>
    <x:row r="169">
      <x:c r="A169" s="6" t="str">
        <x:v>BLK-0168</x:v>
      </x:c>
      <x:c r="B169" s="6" t="str">
        <x:v>Service Identity</x:v>
      </x:c>
      <x:c r="C169" s="6" t="str">
        <x:v>SIDX-0153</x:v>
      </x:c>
      <x:c r="D169" s="6" t="str">
        <x:v>SVC000153</x:v>
      </x:c>
      <x:c r="E169" s="6" t="str"/>
      <x:c r="F169" s="6" t="str">
        <x:f>IFERROR(XLOOKUP(C169,'Review Sequence'!C2:C1586,'Review Sequence'!I2:I1586),"")</x:f>
        <x:v>No upstream dependency</x:v>
      </x:c>
      <x:c r="G169" s="6" t="str">
        <x:f>IFERROR(XLOOKUP(C169,'Review Sequence'!C2:C1586,'Review Sequence'!J2:J1586),"")</x:f>
        <x:v>Not Started</x:v>
      </x:c>
      <x:c r="H169" s="7" t="str">
        <x:f>IFERROR(XLOOKUP(C169,'Review Sequence'!C2:C1586,'Review Sequence'!O2:O1586),"")</x:f>
      </x:c>
      <x:c r="I169" s="6" t="str">
        <x:f>IFERROR(XLOOKUP(C169,'Review Sequence'!C2:C1586,'Review Sequence'!P2:P1586),"")</x:f>
        <x:v>No</x:v>
      </x:c>
    </x:row>
    <x:row r="170">
      <x:c r="A170" s="6" t="str">
        <x:v>BLK-0169</x:v>
      </x:c>
      <x:c r="B170" s="6" t="str">
        <x:v>Service Identity</x:v>
      </x:c>
      <x:c r="C170" s="6" t="str">
        <x:v>SIDX-0154</x:v>
      </x:c>
      <x:c r="D170" s="6" t="str">
        <x:v>SVC000154</x:v>
      </x:c>
      <x:c r="E170" s="6" t="str"/>
      <x:c r="F170" s="6" t="str">
        <x:f>IFERROR(XLOOKUP(C170,'Review Sequence'!C2:C1586,'Review Sequence'!I2:I1586),"")</x:f>
        <x:v>No upstream dependency</x:v>
      </x:c>
      <x:c r="G170" s="6" t="str">
        <x:f>IFERROR(XLOOKUP(C170,'Review Sequence'!C2:C1586,'Review Sequence'!J2:J1586),"")</x:f>
        <x:v>Not Started</x:v>
      </x:c>
      <x:c r="H170" s="7" t="str">
        <x:f>IFERROR(XLOOKUP(C170,'Review Sequence'!C2:C1586,'Review Sequence'!O2:O1586),"")</x:f>
      </x:c>
      <x:c r="I170" s="6" t="str">
        <x:f>IFERROR(XLOOKUP(C170,'Review Sequence'!C2:C1586,'Review Sequence'!P2:P1586),"")</x:f>
        <x:v>No</x:v>
      </x:c>
    </x:row>
    <x:row r="171">
      <x:c r="A171" s="6" t="str">
        <x:v>BLK-0170</x:v>
      </x:c>
      <x:c r="B171" s="6" t="str">
        <x:v>Service Identity</x:v>
      </x:c>
      <x:c r="C171" s="6" t="str">
        <x:v>SIDX-0155</x:v>
      </x:c>
      <x:c r="D171" s="6" t="str">
        <x:v>SVC000155</x:v>
      </x:c>
      <x:c r="E171" s="6" t="str"/>
      <x:c r="F171" s="6" t="str">
        <x:f>IFERROR(XLOOKUP(C171,'Review Sequence'!C2:C1586,'Review Sequence'!I2:I1586),"")</x:f>
        <x:v>No upstream dependency</x:v>
      </x:c>
      <x:c r="G171" s="6" t="str">
        <x:f>IFERROR(XLOOKUP(C171,'Review Sequence'!C2:C1586,'Review Sequence'!J2:J1586),"")</x:f>
        <x:v>Not Started</x:v>
      </x:c>
      <x:c r="H171" s="7" t="str">
        <x:f>IFERROR(XLOOKUP(C171,'Review Sequence'!C2:C1586,'Review Sequence'!O2:O1586),"")</x:f>
      </x:c>
      <x:c r="I171" s="6" t="str">
        <x:f>IFERROR(XLOOKUP(C171,'Review Sequence'!C2:C1586,'Review Sequence'!P2:P1586),"")</x:f>
        <x:v>No</x:v>
      </x:c>
    </x:row>
    <x:row r="172">
      <x:c r="A172" s="6" t="str">
        <x:v>BLK-0171</x:v>
      </x:c>
      <x:c r="B172" s="6" t="str">
        <x:v>Service Identity</x:v>
      </x:c>
      <x:c r="C172" s="6" t="str">
        <x:v>SIDX-0156</x:v>
      </x:c>
      <x:c r="D172" s="6" t="str">
        <x:v>SVC000156</x:v>
      </x:c>
      <x:c r="E172" s="6" t="str"/>
      <x:c r="F172" s="6" t="str">
        <x:f>IFERROR(XLOOKUP(C172,'Review Sequence'!C2:C1586,'Review Sequence'!I2:I1586),"")</x:f>
        <x:v>No upstream dependency</x:v>
      </x:c>
      <x:c r="G172" s="6" t="str">
        <x:f>IFERROR(XLOOKUP(C172,'Review Sequence'!C2:C1586,'Review Sequence'!J2:J1586),"")</x:f>
        <x:v>Not Started</x:v>
      </x:c>
      <x:c r="H172" s="7" t="str">
        <x:f>IFERROR(XLOOKUP(C172,'Review Sequence'!C2:C1586,'Review Sequence'!O2:O1586),"")</x:f>
      </x:c>
      <x:c r="I172" s="6" t="str">
        <x:f>IFERROR(XLOOKUP(C172,'Review Sequence'!C2:C1586,'Review Sequence'!P2:P1586),"")</x:f>
        <x:v>No</x:v>
      </x:c>
    </x:row>
    <x:row r="173">
      <x:c r="A173" s="6" t="str">
        <x:v>BLK-0172</x:v>
      </x:c>
      <x:c r="B173" s="6" t="str">
        <x:v>Service Identity</x:v>
      </x:c>
      <x:c r="C173" s="6" t="str">
        <x:v>SIDX-0157</x:v>
      </x:c>
      <x:c r="D173" s="6" t="str">
        <x:v>SVC000157</x:v>
      </x:c>
      <x:c r="E173" s="6" t="str"/>
      <x:c r="F173" s="6" t="str">
        <x:f>IFERROR(XLOOKUP(C173,'Review Sequence'!C2:C1586,'Review Sequence'!I2:I1586),"")</x:f>
        <x:v>No upstream dependency</x:v>
      </x:c>
      <x:c r="G173" s="6" t="str">
        <x:f>IFERROR(XLOOKUP(C173,'Review Sequence'!C2:C1586,'Review Sequence'!J2:J1586),"")</x:f>
        <x:v>Not Started</x:v>
      </x:c>
      <x:c r="H173" s="7" t="str">
        <x:f>IFERROR(XLOOKUP(C173,'Review Sequence'!C2:C1586,'Review Sequence'!O2:O1586),"")</x:f>
      </x:c>
      <x:c r="I173" s="6" t="str">
        <x:f>IFERROR(XLOOKUP(C173,'Review Sequence'!C2:C1586,'Review Sequence'!P2:P1586),"")</x:f>
        <x:v>No</x:v>
      </x:c>
    </x:row>
    <x:row r="174">
      <x:c r="A174" s="6" t="str">
        <x:v>BLK-0173</x:v>
      </x:c>
      <x:c r="B174" s="6" t="str">
        <x:v>Service Identity</x:v>
      </x:c>
      <x:c r="C174" s="6" t="str">
        <x:v>SIDX-0158</x:v>
      </x:c>
      <x:c r="D174" s="6" t="str">
        <x:v>SVC000158</x:v>
      </x:c>
      <x:c r="E174" s="6" t="str"/>
      <x:c r="F174" s="6" t="str">
        <x:f>IFERROR(XLOOKUP(C174,'Review Sequence'!C2:C1586,'Review Sequence'!I2:I1586),"")</x:f>
        <x:v>No upstream dependency</x:v>
      </x:c>
      <x:c r="G174" s="6" t="str">
        <x:f>IFERROR(XLOOKUP(C174,'Review Sequence'!C2:C1586,'Review Sequence'!J2:J1586),"")</x:f>
        <x:v>Not Started</x:v>
      </x:c>
      <x:c r="H174" s="7" t="str">
        <x:f>IFERROR(XLOOKUP(C174,'Review Sequence'!C2:C1586,'Review Sequence'!O2:O1586),"")</x:f>
      </x:c>
      <x:c r="I174" s="6" t="str">
        <x:f>IFERROR(XLOOKUP(C174,'Review Sequence'!C2:C1586,'Review Sequence'!P2:P1586),"")</x:f>
        <x:v>No</x:v>
      </x:c>
    </x:row>
    <x:row r="175">
      <x:c r="A175" s="6" t="str">
        <x:v>BLK-0174</x:v>
      </x:c>
      <x:c r="B175" s="6" t="str">
        <x:v>Service Identity</x:v>
      </x:c>
      <x:c r="C175" s="6" t="str">
        <x:v>SIDX-0159</x:v>
      </x:c>
      <x:c r="D175" s="6" t="str">
        <x:v>SVC000159</x:v>
      </x:c>
      <x:c r="E175" s="6" t="str"/>
      <x:c r="F175" s="6" t="str">
        <x:f>IFERROR(XLOOKUP(C175,'Review Sequence'!C2:C1586,'Review Sequence'!I2:I1586),"")</x:f>
        <x:v>No upstream dependency</x:v>
      </x:c>
      <x:c r="G175" s="6" t="str">
        <x:f>IFERROR(XLOOKUP(C175,'Review Sequence'!C2:C1586,'Review Sequence'!J2:J1586),"")</x:f>
        <x:v>Not Started</x:v>
      </x:c>
      <x:c r="H175" s="7" t="str">
        <x:f>IFERROR(XLOOKUP(C175,'Review Sequence'!C2:C1586,'Review Sequence'!O2:O1586),"")</x:f>
      </x:c>
      <x:c r="I175" s="6" t="str">
        <x:f>IFERROR(XLOOKUP(C175,'Review Sequence'!C2:C1586,'Review Sequence'!P2:P1586),"")</x:f>
        <x:v>No</x:v>
      </x:c>
    </x:row>
    <x:row r="176">
      <x:c r="A176" s="6" t="str">
        <x:v>BLK-0175</x:v>
      </x:c>
      <x:c r="B176" s="6" t="str">
        <x:v>Service Identity</x:v>
      </x:c>
      <x:c r="C176" s="6" t="str">
        <x:v>SIDX-0160</x:v>
      </x:c>
      <x:c r="D176" s="6" t="str">
        <x:v>SVC000160</x:v>
      </x:c>
      <x:c r="E176" s="6" t="str"/>
      <x:c r="F176" s="6" t="str">
        <x:f>IFERROR(XLOOKUP(C176,'Review Sequence'!C2:C1586,'Review Sequence'!I2:I1586),"")</x:f>
        <x:v>No upstream dependency</x:v>
      </x:c>
      <x:c r="G176" s="6" t="str">
        <x:f>IFERROR(XLOOKUP(C176,'Review Sequence'!C2:C1586,'Review Sequence'!J2:J1586),"")</x:f>
        <x:v>Not Started</x:v>
      </x:c>
      <x:c r="H176" s="7" t="str">
        <x:f>IFERROR(XLOOKUP(C176,'Review Sequence'!C2:C1586,'Review Sequence'!O2:O1586),"")</x:f>
      </x:c>
      <x:c r="I176" s="6" t="str">
        <x:f>IFERROR(XLOOKUP(C176,'Review Sequence'!C2:C1586,'Review Sequence'!P2:P1586),"")</x:f>
        <x:v>No</x:v>
      </x:c>
    </x:row>
    <x:row r="177">
      <x:c r="A177" s="6" t="str">
        <x:v>BLK-0176</x:v>
      </x:c>
      <x:c r="B177" s="6" t="str">
        <x:v>Service Identity</x:v>
      </x:c>
      <x:c r="C177" s="6" t="str">
        <x:v>SIDX-0161</x:v>
      </x:c>
      <x:c r="D177" s="6" t="str">
        <x:v>SVC000161</x:v>
      </x:c>
      <x:c r="E177" s="6" t="str"/>
      <x:c r="F177" s="6" t="str">
        <x:f>IFERROR(XLOOKUP(C177,'Review Sequence'!C2:C1586,'Review Sequence'!I2:I1586),"")</x:f>
        <x:v>No upstream dependency</x:v>
      </x:c>
      <x:c r="G177" s="6" t="str">
        <x:f>IFERROR(XLOOKUP(C177,'Review Sequence'!C2:C1586,'Review Sequence'!J2:J1586),"")</x:f>
        <x:v>Not Started</x:v>
      </x:c>
      <x:c r="H177" s="7" t="str">
        <x:f>IFERROR(XLOOKUP(C177,'Review Sequence'!C2:C1586,'Review Sequence'!O2:O1586),"")</x:f>
      </x:c>
      <x:c r="I177" s="6" t="str">
        <x:f>IFERROR(XLOOKUP(C177,'Review Sequence'!C2:C1586,'Review Sequence'!P2:P1586),"")</x:f>
        <x:v>No</x:v>
      </x:c>
    </x:row>
    <x:row r="178">
      <x:c r="A178" s="6" t="str">
        <x:v>BLK-0177</x:v>
      </x:c>
      <x:c r="B178" s="6" t="str">
        <x:v>Service Identity</x:v>
      </x:c>
      <x:c r="C178" s="6" t="str">
        <x:v>SIDX-0162</x:v>
      </x:c>
      <x:c r="D178" s="6" t="str">
        <x:v>SVC000162</x:v>
      </x:c>
      <x:c r="E178" s="6" t="str"/>
      <x:c r="F178" s="6" t="str">
        <x:f>IFERROR(XLOOKUP(C178,'Review Sequence'!C2:C1586,'Review Sequence'!I2:I1586),"")</x:f>
        <x:v>No upstream dependency</x:v>
      </x:c>
      <x:c r="G178" s="6" t="str">
        <x:f>IFERROR(XLOOKUP(C178,'Review Sequence'!C2:C1586,'Review Sequence'!J2:J1586),"")</x:f>
        <x:v>Not Started</x:v>
      </x:c>
      <x:c r="H178" s="7" t="str">
        <x:f>IFERROR(XLOOKUP(C178,'Review Sequence'!C2:C1586,'Review Sequence'!O2:O1586),"")</x:f>
      </x:c>
      <x:c r="I178" s="6" t="str">
        <x:f>IFERROR(XLOOKUP(C178,'Review Sequence'!C2:C1586,'Review Sequence'!P2:P1586),"")</x:f>
        <x:v>No</x:v>
      </x:c>
    </x:row>
    <x:row r="179">
      <x:c r="A179" s="6" t="str">
        <x:v>BLK-0178</x:v>
      </x:c>
      <x:c r="B179" s="6" t="str">
        <x:v>Service Identity</x:v>
      </x:c>
      <x:c r="C179" s="6" t="str">
        <x:v>SIDX-0163</x:v>
      </x:c>
      <x:c r="D179" s="6" t="str">
        <x:v>SVC000163</x:v>
      </x:c>
      <x:c r="E179" s="6" t="str"/>
      <x:c r="F179" s="6" t="str">
        <x:f>IFERROR(XLOOKUP(C179,'Review Sequence'!C2:C1586,'Review Sequence'!I2:I1586),"")</x:f>
        <x:v>No upstream dependency</x:v>
      </x:c>
      <x:c r="G179" s="6" t="str">
        <x:f>IFERROR(XLOOKUP(C179,'Review Sequence'!C2:C1586,'Review Sequence'!J2:J1586),"")</x:f>
        <x:v>Not Started</x:v>
      </x:c>
      <x:c r="H179" s="7" t="str">
        <x:f>IFERROR(XLOOKUP(C179,'Review Sequence'!C2:C1586,'Review Sequence'!O2:O1586),"")</x:f>
      </x:c>
      <x:c r="I179" s="6" t="str">
        <x:f>IFERROR(XLOOKUP(C179,'Review Sequence'!C2:C1586,'Review Sequence'!P2:P1586),"")</x:f>
        <x:v>No</x:v>
      </x:c>
    </x:row>
    <x:row r="180">
      <x:c r="A180" s="6" t="str">
        <x:v>BLK-0179</x:v>
      </x:c>
      <x:c r="B180" s="6" t="str">
        <x:v>Service Identity</x:v>
      </x:c>
      <x:c r="C180" s="6" t="str">
        <x:v>SIDX-0164</x:v>
      </x:c>
      <x:c r="D180" s="6" t="str">
        <x:v>SVC000164</x:v>
      </x:c>
      <x:c r="E180" s="6" t="str"/>
      <x:c r="F180" s="6" t="str">
        <x:f>IFERROR(XLOOKUP(C180,'Review Sequence'!C2:C1586,'Review Sequence'!I2:I1586),"")</x:f>
        <x:v>No upstream dependency</x:v>
      </x:c>
      <x:c r="G180" s="6" t="str">
        <x:f>IFERROR(XLOOKUP(C180,'Review Sequence'!C2:C1586,'Review Sequence'!J2:J1586),"")</x:f>
        <x:v>Not Started</x:v>
      </x:c>
      <x:c r="H180" s="7" t="str">
        <x:f>IFERROR(XLOOKUP(C180,'Review Sequence'!C2:C1586,'Review Sequence'!O2:O1586),"")</x:f>
      </x:c>
      <x:c r="I180" s="6" t="str">
        <x:f>IFERROR(XLOOKUP(C180,'Review Sequence'!C2:C1586,'Review Sequence'!P2:P1586),"")</x:f>
        <x:v>No</x:v>
      </x:c>
    </x:row>
    <x:row r="181">
      <x:c r="A181" s="6" t="str">
        <x:v>BLK-0180</x:v>
      </x:c>
      <x:c r="B181" s="6" t="str">
        <x:v>Service Identity</x:v>
      </x:c>
      <x:c r="C181" s="6" t="str">
        <x:v>SIDX-0165</x:v>
      </x:c>
      <x:c r="D181" s="6" t="str">
        <x:v>SVC000165</x:v>
      </x:c>
      <x:c r="E181" s="6" t="str"/>
      <x:c r="F181" s="6" t="str">
        <x:f>IFERROR(XLOOKUP(C181,'Review Sequence'!C2:C1586,'Review Sequence'!I2:I1586),"")</x:f>
        <x:v>No upstream dependency</x:v>
      </x:c>
      <x:c r="G181" s="6" t="str">
        <x:f>IFERROR(XLOOKUP(C181,'Review Sequence'!C2:C1586,'Review Sequence'!J2:J1586),"")</x:f>
        <x:v>Not Started</x:v>
      </x:c>
      <x:c r="H181" s="7" t="str">
        <x:f>IFERROR(XLOOKUP(C181,'Review Sequence'!C2:C1586,'Review Sequence'!O2:O1586),"")</x:f>
      </x:c>
      <x:c r="I181" s="6" t="str">
        <x:f>IFERROR(XLOOKUP(C181,'Review Sequence'!C2:C1586,'Review Sequence'!P2:P1586),"")</x:f>
        <x:v>No</x:v>
      </x:c>
    </x:row>
    <x:row r="182">
      <x:c r="A182" s="6" t="str">
        <x:v>BLK-0181</x:v>
      </x:c>
      <x:c r="B182" s="6" t="str">
        <x:v>Service Identity</x:v>
      </x:c>
      <x:c r="C182" s="6" t="str">
        <x:v>SIDX-0166</x:v>
      </x:c>
      <x:c r="D182" s="6" t="str">
        <x:v>SVC000166</x:v>
      </x:c>
      <x:c r="E182" s="6" t="str"/>
      <x:c r="F182" s="6" t="str">
        <x:f>IFERROR(XLOOKUP(C182,'Review Sequence'!C2:C1586,'Review Sequence'!I2:I1586),"")</x:f>
        <x:v>No upstream dependency</x:v>
      </x:c>
      <x:c r="G182" s="6" t="str">
        <x:f>IFERROR(XLOOKUP(C182,'Review Sequence'!C2:C1586,'Review Sequence'!J2:J1586),"")</x:f>
        <x:v>Not Started</x:v>
      </x:c>
      <x:c r="H182" s="7" t="str">
        <x:f>IFERROR(XLOOKUP(C182,'Review Sequence'!C2:C1586,'Review Sequence'!O2:O1586),"")</x:f>
      </x:c>
      <x:c r="I182" s="6" t="str">
        <x:f>IFERROR(XLOOKUP(C182,'Review Sequence'!C2:C1586,'Review Sequence'!P2:P1586),"")</x:f>
        <x:v>No</x:v>
      </x:c>
    </x:row>
    <x:row r="183">
      <x:c r="A183" s="6" t="str">
        <x:v>BLK-0182</x:v>
      </x:c>
      <x:c r="B183" s="6" t="str">
        <x:v>Service Identity</x:v>
      </x:c>
      <x:c r="C183" s="6" t="str">
        <x:v>SIDX-0167</x:v>
      </x:c>
      <x:c r="D183" s="6" t="str">
        <x:v>SVC000167</x:v>
      </x:c>
      <x:c r="E183" s="6" t="str">
        <x:v>DUP000006</x:v>
      </x:c>
      <x:c r="F183" s="6" t="str">
        <x:f>IFERROR(XLOOKUP(C183,'Review Sequence'!C2:C1586,'Review Sequence'!I2:I1586),"")</x:f>
        <x:v>Not Started</x:v>
      </x:c>
      <x:c r="G183" s="6" t="str">
        <x:f>IFERROR(XLOOKUP(C183,'Review Sequence'!C2:C1586,'Review Sequence'!J2:J1586),"")</x:f>
        <x:v>Not Started</x:v>
      </x:c>
      <x:c r="H183" s="7" t="str">
        <x:f>IFERROR(XLOOKUP(C183,'Review Sequence'!C2:C1586,'Review Sequence'!O2:O1586),"")</x:f>
      </x:c>
      <x:c r="I183" s="6" t="str">
        <x:f>IFERROR(XLOOKUP(C183,'Review Sequence'!C2:C1586,'Review Sequence'!P2:P1586),"")</x:f>
        <x:v>Yes</x:v>
      </x:c>
    </x:row>
    <x:row r="184">
      <x:c r="A184" s="6" t="str">
        <x:v>BLK-0183</x:v>
      </x:c>
      <x:c r="B184" s="6" t="str">
        <x:v>Service Identity</x:v>
      </x:c>
      <x:c r="C184" s="6" t="str">
        <x:v>SIDX-0168</x:v>
      </x:c>
      <x:c r="D184" s="6" t="str">
        <x:v>SVC000168</x:v>
      </x:c>
      <x:c r="E184" s="6" t="str"/>
      <x:c r="F184" s="6" t="str">
        <x:f>IFERROR(XLOOKUP(C184,'Review Sequence'!C2:C1586,'Review Sequence'!I2:I1586),"")</x:f>
        <x:v>No upstream dependency</x:v>
      </x:c>
      <x:c r="G184" s="6" t="str">
        <x:f>IFERROR(XLOOKUP(C184,'Review Sequence'!C2:C1586,'Review Sequence'!J2:J1586),"")</x:f>
        <x:v>Not Started</x:v>
      </x:c>
      <x:c r="H184" s="7" t="str">
        <x:f>IFERROR(XLOOKUP(C184,'Review Sequence'!C2:C1586,'Review Sequence'!O2:O1586),"")</x:f>
      </x:c>
      <x:c r="I184" s="6" t="str">
        <x:f>IFERROR(XLOOKUP(C184,'Review Sequence'!C2:C1586,'Review Sequence'!P2:P1586),"")</x:f>
        <x:v>No</x:v>
      </x:c>
    </x:row>
    <x:row r="185">
      <x:c r="A185" s="6" t="str">
        <x:v>BLK-0184</x:v>
      </x:c>
      <x:c r="B185" s="6" t="str">
        <x:v>Service Identity</x:v>
      </x:c>
      <x:c r="C185" s="6" t="str">
        <x:v>SIDX-0169</x:v>
      </x:c>
      <x:c r="D185" s="6" t="str">
        <x:v>SVC000169</x:v>
      </x:c>
      <x:c r="E185" s="6" t="str"/>
      <x:c r="F185" s="6" t="str">
        <x:f>IFERROR(XLOOKUP(C185,'Review Sequence'!C2:C1586,'Review Sequence'!I2:I1586),"")</x:f>
        <x:v>No upstream dependency</x:v>
      </x:c>
      <x:c r="G185" s="6" t="str">
        <x:f>IFERROR(XLOOKUP(C185,'Review Sequence'!C2:C1586,'Review Sequence'!J2:J1586),"")</x:f>
        <x:v>Not Started</x:v>
      </x:c>
      <x:c r="H185" s="7" t="str">
        <x:f>IFERROR(XLOOKUP(C185,'Review Sequence'!C2:C1586,'Review Sequence'!O2:O1586),"")</x:f>
      </x:c>
      <x:c r="I185" s="6" t="str">
        <x:f>IFERROR(XLOOKUP(C185,'Review Sequence'!C2:C1586,'Review Sequence'!P2:P1586),"")</x:f>
        <x:v>No</x:v>
      </x:c>
    </x:row>
    <x:row r="186">
      <x:c r="A186" s="6" t="str">
        <x:v>BLK-0185</x:v>
      </x:c>
      <x:c r="B186" s="6" t="str">
        <x:v>Service Identity</x:v>
      </x:c>
      <x:c r="C186" s="6" t="str">
        <x:v>SIDX-0170</x:v>
      </x:c>
      <x:c r="D186" s="6" t="str">
        <x:v>SVC000170</x:v>
      </x:c>
      <x:c r="E186" s="6" t="str">
        <x:v>DUP000007</x:v>
      </x:c>
      <x:c r="F186" s="6" t="str">
        <x:f>IFERROR(XLOOKUP(C186,'Review Sequence'!C2:C1586,'Review Sequence'!I2:I1586),"")</x:f>
        <x:v>Not Started</x:v>
      </x:c>
      <x:c r="G186" s="6" t="str">
        <x:f>IFERROR(XLOOKUP(C186,'Review Sequence'!C2:C1586,'Review Sequence'!J2:J1586),"")</x:f>
        <x:v>Not Started</x:v>
      </x:c>
      <x:c r="H186" s="7" t="str">
        <x:f>IFERROR(XLOOKUP(C186,'Review Sequence'!C2:C1586,'Review Sequence'!O2:O1586),"")</x:f>
      </x:c>
      <x:c r="I186" s="6" t="str">
        <x:f>IFERROR(XLOOKUP(C186,'Review Sequence'!C2:C1586,'Review Sequence'!P2:P1586),"")</x:f>
        <x:v>Yes</x:v>
      </x:c>
    </x:row>
    <x:row r="187">
      <x:c r="A187" s="6" t="str">
        <x:v>BLK-0186</x:v>
      </x:c>
      <x:c r="B187" s="6" t="str">
        <x:v>Service Identity</x:v>
      </x:c>
      <x:c r="C187" s="6" t="str">
        <x:v>SIDX-0171</x:v>
      </x:c>
      <x:c r="D187" s="6" t="str">
        <x:v>SVC000171</x:v>
      </x:c>
      <x:c r="E187" s="6" t="str"/>
      <x:c r="F187" s="6" t="str">
        <x:f>IFERROR(XLOOKUP(C187,'Review Sequence'!C2:C1586,'Review Sequence'!I2:I1586),"")</x:f>
        <x:v>No upstream dependency</x:v>
      </x:c>
      <x:c r="G187" s="6" t="str">
        <x:f>IFERROR(XLOOKUP(C187,'Review Sequence'!C2:C1586,'Review Sequence'!J2:J1586),"")</x:f>
        <x:v>Not Started</x:v>
      </x:c>
      <x:c r="H187" s="7" t="str">
        <x:f>IFERROR(XLOOKUP(C187,'Review Sequence'!C2:C1586,'Review Sequence'!O2:O1586),"")</x:f>
      </x:c>
      <x:c r="I187" s="6" t="str">
        <x:f>IFERROR(XLOOKUP(C187,'Review Sequence'!C2:C1586,'Review Sequence'!P2:P1586),"")</x:f>
        <x:v>No</x:v>
      </x:c>
    </x:row>
    <x:row r="188">
      <x:c r="A188" s="6" t="str">
        <x:v>BLK-0187</x:v>
      </x:c>
      <x:c r="B188" s="6" t="str">
        <x:v>Service Identity</x:v>
      </x:c>
      <x:c r="C188" s="6" t="str">
        <x:v>SIDX-0172</x:v>
      </x:c>
      <x:c r="D188" s="6" t="str">
        <x:v>SVC000172</x:v>
      </x:c>
      <x:c r="E188" s="6" t="str"/>
      <x:c r="F188" s="6" t="str">
        <x:f>IFERROR(XLOOKUP(C188,'Review Sequence'!C2:C1586,'Review Sequence'!I2:I1586),"")</x:f>
        <x:v>No upstream dependency</x:v>
      </x:c>
      <x:c r="G188" s="6" t="str">
        <x:f>IFERROR(XLOOKUP(C188,'Review Sequence'!C2:C1586,'Review Sequence'!J2:J1586),"")</x:f>
        <x:v>Not Started</x:v>
      </x:c>
      <x:c r="H188" s="7" t="str">
        <x:f>IFERROR(XLOOKUP(C188,'Review Sequence'!C2:C1586,'Review Sequence'!O2:O1586),"")</x:f>
      </x:c>
      <x:c r="I188" s="6" t="str">
        <x:f>IFERROR(XLOOKUP(C188,'Review Sequence'!C2:C1586,'Review Sequence'!P2:P1586),"")</x:f>
        <x:v>No</x:v>
      </x:c>
    </x:row>
    <x:row r="189">
      <x:c r="A189" s="6" t="str">
        <x:v>BLK-0188</x:v>
      </x:c>
      <x:c r="B189" s="6" t="str">
        <x:v>Service Identity</x:v>
      </x:c>
      <x:c r="C189" s="6" t="str">
        <x:v>SIDX-0173</x:v>
      </x:c>
      <x:c r="D189" s="6" t="str">
        <x:v>SVC000173</x:v>
      </x:c>
      <x:c r="E189" s="6" t="str">
        <x:v>DUP000008</x:v>
      </x:c>
      <x:c r="F189" s="6" t="str">
        <x:f>IFERROR(XLOOKUP(C189,'Review Sequence'!C2:C1586,'Review Sequence'!I2:I1586),"")</x:f>
        <x:v>Not Started</x:v>
      </x:c>
      <x:c r="G189" s="6" t="str">
        <x:f>IFERROR(XLOOKUP(C189,'Review Sequence'!C2:C1586,'Review Sequence'!J2:J1586),"")</x:f>
        <x:v>Not Started</x:v>
      </x:c>
      <x:c r="H189" s="7" t="str">
        <x:f>IFERROR(XLOOKUP(C189,'Review Sequence'!C2:C1586,'Review Sequence'!O2:O1586),"")</x:f>
      </x:c>
      <x:c r="I189" s="6" t="str">
        <x:f>IFERROR(XLOOKUP(C189,'Review Sequence'!C2:C1586,'Review Sequence'!P2:P1586),"")</x:f>
        <x:v>Yes</x:v>
      </x:c>
    </x:row>
    <x:row r="190">
      <x:c r="A190" s="6" t="str">
        <x:v>BLK-0189</x:v>
      </x:c>
      <x:c r="B190" s="6" t="str">
        <x:v>Service Identity</x:v>
      </x:c>
      <x:c r="C190" s="6" t="str">
        <x:v>SIDX-0174</x:v>
      </x:c>
      <x:c r="D190" s="6" t="str">
        <x:v>SVC000174</x:v>
      </x:c>
      <x:c r="E190" s="6" t="str">
        <x:v>DUP000009</x:v>
      </x:c>
      <x:c r="F190" s="6" t="str">
        <x:f>IFERROR(XLOOKUP(C190,'Review Sequence'!C2:C1586,'Review Sequence'!I2:I1586),"")</x:f>
        <x:v>Not Started</x:v>
      </x:c>
      <x:c r="G190" s="6" t="str">
        <x:f>IFERROR(XLOOKUP(C190,'Review Sequence'!C2:C1586,'Review Sequence'!J2:J1586),"")</x:f>
        <x:v>Not Started</x:v>
      </x:c>
      <x:c r="H190" s="7" t="str">
        <x:f>IFERROR(XLOOKUP(C190,'Review Sequence'!C2:C1586,'Review Sequence'!O2:O1586),"")</x:f>
      </x:c>
      <x:c r="I190" s="6" t="str">
        <x:f>IFERROR(XLOOKUP(C190,'Review Sequence'!C2:C1586,'Review Sequence'!P2:P1586),"")</x:f>
        <x:v>Yes</x:v>
      </x:c>
    </x:row>
    <x:row r="191">
      <x:c r="A191" s="6" t="str">
        <x:v>BLK-0190</x:v>
      </x:c>
      <x:c r="B191" s="6" t="str">
        <x:v>Service Identity</x:v>
      </x:c>
      <x:c r="C191" s="6" t="str">
        <x:v>SIDX-0175</x:v>
      </x:c>
      <x:c r="D191" s="6" t="str">
        <x:v>SVC000175</x:v>
      </x:c>
      <x:c r="E191" s="6" t="str">
        <x:v>DUP000008</x:v>
      </x:c>
      <x:c r="F191" s="6" t="str">
        <x:f>IFERROR(XLOOKUP(C191,'Review Sequence'!C2:C1586,'Review Sequence'!I2:I1586),"")</x:f>
        <x:v>Not Started</x:v>
      </x:c>
      <x:c r="G191" s="6" t="str">
        <x:f>IFERROR(XLOOKUP(C191,'Review Sequence'!C2:C1586,'Review Sequence'!J2:J1586),"")</x:f>
        <x:v>Not Started</x:v>
      </x:c>
      <x:c r="H191" s="7" t="str">
        <x:f>IFERROR(XLOOKUP(C191,'Review Sequence'!C2:C1586,'Review Sequence'!O2:O1586),"")</x:f>
      </x:c>
      <x:c r="I191" s="6" t="str">
        <x:f>IFERROR(XLOOKUP(C191,'Review Sequence'!C2:C1586,'Review Sequence'!P2:P1586),"")</x:f>
        <x:v>Yes</x:v>
      </x:c>
    </x:row>
    <x:row r="192">
      <x:c r="A192" s="6" t="str">
        <x:v>BLK-0191</x:v>
      </x:c>
      <x:c r="B192" s="6" t="str">
        <x:v>Service Identity</x:v>
      </x:c>
      <x:c r="C192" s="6" t="str">
        <x:v>SIDX-0176</x:v>
      </x:c>
      <x:c r="D192" s="6" t="str">
        <x:v>SVC000176</x:v>
      </x:c>
      <x:c r="E192" s="6" t="str">
        <x:v>DUP000009</x:v>
      </x:c>
      <x:c r="F192" s="6" t="str">
        <x:f>IFERROR(XLOOKUP(C192,'Review Sequence'!C2:C1586,'Review Sequence'!I2:I1586),"")</x:f>
        <x:v>Not Started</x:v>
      </x:c>
      <x:c r="G192" s="6" t="str">
        <x:f>IFERROR(XLOOKUP(C192,'Review Sequence'!C2:C1586,'Review Sequence'!J2:J1586),"")</x:f>
        <x:v>Not Started</x:v>
      </x:c>
      <x:c r="H192" s="7" t="str">
        <x:f>IFERROR(XLOOKUP(C192,'Review Sequence'!C2:C1586,'Review Sequence'!O2:O1586),"")</x:f>
      </x:c>
      <x:c r="I192" s="6" t="str">
        <x:f>IFERROR(XLOOKUP(C192,'Review Sequence'!C2:C1586,'Review Sequence'!P2:P1586),"")</x:f>
        <x:v>Yes</x:v>
      </x:c>
    </x:row>
    <x:row r="193">
      <x:c r="A193" s="6" t="str">
        <x:v>BLK-0192</x:v>
      </x:c>
      <x:c r="B193" s="6" t="str">
        <x:v>Service Identity</x:v>
      </x:c>
      <x:c r="C193" s="6" t="str">
        <x:v>SIDX-0177</x:v>
      </x:c>
      <x:c r="D193" s="6" t="str">
        <x:v>SVC000177</x:v>
      </x:c>
      <x:c r="E193" s="6" t="str">
        <x:v>DUP000009</x:v>
      </x:c>
      <x:c r="F193" s="6" t="str">
        <x:f>IFERROR(XLOOKUP(C193,'Review Sequence'!C2:C1586,'Review Sequence'!I2:I1586),"")</x:f>
        <x:v>Not Started</x:v>
      </x:c>
      <x:c r="G193" s="6" t="str">
        <x:f>IFERROR(XLOOKUP(C193,'Review Sequence'!C2:C1586,'Review Sequence'!J2:J1586),"")</x:f>
        <x:v>Not Started</x:v>
      </x:c>
      <x:c r="H193" s="7" t="str">
        <x:f>IFERROR(XLOOKUP(C193,'Review Sequence'!C2:C1586,'Review Sequence'!O2:O1586),"")</x:f>
      </x:c>
      <x:c r="I193" s="6" t="str">
        <x:f>IFERROR(XLOOKUP(C193,'Review Sequence'!C2:C1586,'Review Sequence'!P2:P1586),"")</x:f>
        <x:v>Yes</x:v>
      </x:c>
    </x:row>
    <x:row r="194">
      <x:c r="A194" s="6" t="str">
        <x:v>BLK-0193</x:v>
      </x:c>
      <x:c r="B194" s="6" t="str">
        <x:v>Service Identity</x:v>
      </x:c>
      <x:c r="C194" s="6" t="str">
        <x:v>SIDX-0178</x:v>
      </x:c>
      <x:c r="D194" s="6" t="str">
        <x:v>SVC000178</x:v>
      </x:c>
      <x:c r="E194" s="6" t="str"/>
      <x:c r="F194" s="6" t="str">
        <x:f>IFERROR(XLOOKUP(C194,'Review Sequence'!C2:C1586,'Review Sequence'!I2:I1586),"")</x:f>
        <x:v>No upstream dependency</x:v>
      </x:c>
      <x:c r="G194" s="6" t="str">
        <x:f>IFERROR(XLOOKUP(C194,'Review Sequence'!C2:C1586,'Review Sequence'!J2:J1586),"")</x:f>
        <x:v>Not Started</x:v>
      </x:c>
      <x:c r="H194" s="7" t="str">
        <x:f>IFERROR(XLOOKUP(C194,'Review Sequence'!C2:C1586,'Review Sequence'!O2:O1586),"")</x:f>
      </x:c>
      <x:c r="I194" s="6" t="str">
        <x:f>IFERROR(XLOOKUP(C194,'Review Sequence'!C2:C1586,'Review Sequence'!P2:P1586),"")</x:f>
        <x:v>No</x:v>
      </x:c>
    </x:row>
    <x:row r="195">
      <x:c r="A195" s="6" t="str">
        <x:v>BLK-0194</x:v>
      </x:c>
      <x:c r="B195" s="6" t="str">
        <x:v>Service Identity</x:v>
      </x:c>
      <x:c r="C195" s="6" t="str">
        <x:v>SIDX-0179</x:v>
      </x:c>
      <x:c r="D195" s="6" t="str">
        <x:v>SVC000179</x:v>
      </x:c>
      <x:c r="E195" s="6" t="str"/>
      <x:c r="F195" s="6" t="str">
        <x:f>IFERROR(XLOOKUP(C195,'Review Sequence'!C2:C1586,'Review Sequence'!I2:I1586),"")</x:f>
        <x:v>No upstream dependency</x:v>
      </x:c>
      <x:c r="G195" s="6" t="str">
        <x:f>IFERROR(XLOOKUP(C195,'Review Sequence'!C2:C1586,'Review Sequence'!J2:J1586),"")</x:f>
        <x:v>Not Started</x:v>
      </x:c>
      <x:c r="H195" s="7" t="str">
        <x:f>IFERROR(XLOOKUP(C195,'Review Sequence'!C2:C1586,'Review Sequence'!O2:O1586),"")</x:f>
      </x:c>
      <x:c r="I195" s="6" t="str">
        <x:f>IFERROR(XLOOKUP(C195,'Review Sequence'!C2:C1586,'Review Sequence'!P2:P1586),"")</x:f>
        <x:v>No</x:v>
      </x:c>
    </x:row>
    <x:row r="196">
      <x:c r="A196" s="6" t="str">
        <x:v>BLK-0195</x:v>
      </x:c>
      <x:c r="B196" s="6" t="str">
        <x:v>Service Identity</x:v>
      </x:c>
      <x:c r="C196" s="6" t="str">
        <x:v>SIDX-0180</x:v>
      </x:c>
      <x:c r="D196" s="6" t="str">
        <x:v>SVC000180</x:v>
      </x:c>
      <x:c r="E196" s="6" t="str">
        <x:v>DUP000010</x:v>
      </x:c>
      <x:c r="F196" s="6" t="str">
        <x:f>IFERROR(XLOOKUP(C196,'Review Sequence'!C2:C1586,'Review Sequence'!I2:I1586),"")</x:f>
        <x:v>Not Started</x:v>
      </x:c>
      <x:c r="G196" s="6" t="str">
        <x:f>IFERROR(XLOOKUP(C196,'Review Sequence'!C2:C1586,'Review Sequence'!J2:J1586),"")</x:f>
        <x:v>Not Started</x:v>
      </x:c>
      <x:c r="H196" s="7" t="str">
        <x:f>IFERROR(XLOOKUP(C196,'Review Sequence'!C2:C1586,'Review Sequence'!O2:O1586),"")</x:f>
      </x:c>
      <x:c r="I196" s="6" t="str">
        <x:f>IFERROR(XLOOKUP(C196,'Review Sequence'!C2:C1586,'Review Sequence'!P2:P1586),"")</x:f>
        <x:v>Yes</x:v>
      </x:c>
    </x:row>
    <x:row r="197">
      <x:c r="A197" s="6" t="str">
        <x:v>BLK-0196</x:v>
      </x:c>
      <x:c r="B197" s="6" t="str">
        <x:v>Service Identity</x:v>
      </x:c>
      <x:c r="C197" s="6" t="str">
        <x:v>SIDX-0181</x:v>
      </x:c>
      <x:c r="D197" s="6" t="str">
        <x:v>SVC000181</x:v>
      </x:c>
      <x:c r="E197" s="6" t="str"/>
      <x:c r="F197" s="6" t="str">
        <x:f>IFERROR(XLOOKUP(C197,'Review Sequence'!C2:C1586,'Review Sequence'!I2:I1586),"")</x:f>
        <x:v>No upstream dependency</x:v>
      </x:c>
      <x:c r="G197" s="6" t="str">
        <x:f>IFERROR(XLOOKUP(C197,'Review Sequence'!C2:C1586,'Review Sequence'!J2:J1586),"")</x:f>
        <x:v>Not Started</x:v>
      </x:c>
      <x:c r="H197" s="7" t="str">
        <x:f>IFERROR(XLOOKUP(C197,'Review Sequence'!C2:C1586,'Review Sequence'!O2:O1586),"")</x:f>
      </x:c>
      <x:c r="I197" s="6" t="str">
        <x:f>IFERROR(XLOOKUP(C197,'Review Sequence'!C2:C1586,'Review Sequence'!P2:P1586),"")</x:f>
        <x:v>No</x:v>
      </x:c>
    </x:row>
    <x:row r="198">
      <x:c r="A198" s="6" t="str">
        <x:v>BLK-0197</x:v>
      </x:c>
      <x:c r="B198" s="6" t="str">
        <x:v>Service Identity</x:v>
      </x:c>
      <x:c r="C198" s="6" t="str">
        <x:v>SIDX-0182</x:v>
      </x:c>
      <x:c r="D198" s="6" t="str">
        <x:v>SVC000182</x:v>
      </x:c>
      <x:c r="E198" s="6" t="str"/>
      <x:c r="F198" s="6" t="str">
        <x:f>IFERROR(XLOOKUP(C198,'Review Sequence'!C2:C1586,'Review Sequence'!I2:I1586),"")</x:f>
        <x:v>No upstream dependency</x:v>
      </x:c>
      <x:c r="G198" s="6" t="str">
        <x:f>IFERROR(XLOOKUP(C198,'Review Sequence'!C2:C1586,'Review Sequence'!J2:J1586),"")</x:f>
        <x:v>Not Started</x:v>
      </x:c>
      <x:c r="H198" s="7" t="str">
        <x:f>IFERROR(XLOOKUP(C198,'Review Sequence'!C2:C1586,'Review Sequence'!O2:O1586),"")</x:f>
      </x:c>
      <x:c r="I198" s="6" t="str">
        <x:f>IFERROR(XLOOKUP(C198,'Review Sequence'!C2:C1586,'Review Sequence'!P2:P1586),"")</x:f>
        <x:v>No</x:v>
      </x:c>
    </x:row>
    <x:row r="199">
      <x:c r="A199" s="6" t="str">
        <x:v>BLK-0198</x:v>
      </x:c>
      <x:c r="B199" s="6" t="str">
        <x:v>Service Identity</x:v>
      </x:c>
      <x:c r="C199" s="6" t="str">
        <x:v>SIDX-0183</x:v>
      </x:c>
      <x:c r="D199" s="6" t="str">
        <x:v>SVC000183</x:v>
      </x:c>
      <x:c r="E199" s="6" t="str"/>
      <x:c r="F199" s="6" t="str">
        <x:f>IFERROR(XLOOKUP(C199,'Review Sequence'!C2:C1586,'Review Sequence'!I2:I1586),"")</x:f>
        <x:v>No upstream dependency</x:v>
      </x:c>
      <x:c r="G199" s="6" t="str">
        <x:f>IFERROR(XLOOKUP(C199,'Review Sequence'!C2:C1586,'Review Sequence'!J2:J1586),"")</x:f>
        <x:v>Not Started</x:v>
      </x:c>
      <x:c r="H199" s="7" t="str">
        <x:f>IFERROR(XLOOKUP(C199,'Review Sequence'!C2:C1586,'Review Sequence'!O2:O1586),"")</x:f>
      </x:c>
      <x:c r="I199" s="6" t="str">
        <x:f>IFERROR(XLOOKUP(C199,'Review Sequence'!C2:C1586,'Review Sequence'!P2:P1586),"")</x:f>
        <x:v>No</x:v>
      </x:c>
    </x:row>
    <x:row r="200">
      <x:c r="A200" s="6" t="str">
        <x:v>BLK-0199</x:v>
      </x:c>
      <x:c r="B200" s="6" t="str">
        <x:v>Service Identity</x:v>
      </x:c>
      <x:c r="C200" s="6" t="str">
        <x:v>SIDX-0184</x:v>
      </x:c>
      <x:c r="D200" s="6" t="str">
        <x:v>SVC000184</x:v>
      </x:c>
      <x:c r="E200" s="6" t="str"/>
      <x:c r="F200" s="6" t="str">
        <x:f>IFERROR(XLOOKUP(C200,'Review Sequence'!C2:C1586,'Review Sequence'!I2:I1586),"")</x:f>
        <x:v>No upstream dependency</x:v>
      </x:c>
      <x:c r="G200" s="6" t="str">
        <x:f>IFERROR(XLOOKUP(C200,'Review Sequence'!C2:C1586,'Review Sequence'!J2:J1586),"")</x:f>
        <x:v>Not Started</x:v>
      </x:c>
      <x:c r="H200" s="7" t="str">
        <x:f>IFERROR(XLOOKUP(C200,'Review Sequence'!C2:C1586,'Review Sequence'!O2:O1586),"")</x:f>
      </x:c>
      <x:c r="I200" s="6" t="str">
        <x:f>IFERROR(XLOOKUP(C200,'Review Sequence'!C2:C1586,'Review Sequence'!P2:P1586),"")</x:f>
        <x:v>No</x:v>
      </x:c>
    </x:row>
    <x:row r="201">
      <x:c r="A201" s="6" t="str">
        <x:v>BLK-0200</x:v>
      </x:c>
      <x:c r="B201" s="6" t="str">
        <x:v>Service Identity</x:v>
      </x:c>
      <x:c r="C201" s="6" t="str">
        <x:v>SIDX-0185</x:v>
      </x:c>
      <x:c r="D201" s="6" t="str">
        <x:v>SVC000185</x:v>
      </x:c>
      <x:c r="E201" s="6" t="str"/>
      <x:c r="F201" s="6" t="str">
        <x:f>IFERROR(XLOOKUP(C201,'Review Sequence'!C2:C1586,'Review Sequence'!I2:I1586),"")</x:f>
        <x:v>No upstream dependency</x:v>
      </x:c>
      <x:c r="G201" s="6" t="str">
        <x:f>IFERROR(XLOOKUP(C201,'Review Sequence'!C2:C1586,'Review Sequence'!J2:J1586),"")</x:f>
        <x:v>Not Started</x:v>
      </x:c>
      <x:c r="H201" s="7" t="str">
        <x:f>IFERROR(XLOOKUP(C201,'Review Sequence'!C2:C1586,'Review Sequence'!O2:O1586),"")</x:f>
      </x:c>
      <x:c r="I201" s="6" t="str">
        <x:f>IFERROR(XLOOKUP(C201,'Review Sequence'!C2:C1586,'Review Sequence'!P2:P1586),"")</x:f>
        <x:v>No</x:v>
      </x:c>
    </x:row>
    <x:row r="202">
      <x:c r="A202" s="6" t="str">
        <x:v>BLK-0201</x:v>
      </x:c>
      <x:c r="B202" s="6" t="str">
        <x:v>Service Identity</x:v>
      </x:c>
      <x:c r="C202" s="6" t="str">
        <x:v>SIDX-0186</x:v>
      </x:c>
      <x:c r="D202" s="6" t="str">
        <x:v>SVC000186</x:v>
      </x:c>
      <x:c r="E202" s="6" t="str"/>
      <x:c r="F202" s="6" t="str">
        <x:f>IFERROR(XLOOKUP(C202,'Review Sequence'!C2:C1586,'Review Sequence'!I2:I1586),"")</x:f>
        <x:v>No upstream dependency</x:v>
      </x:c>
      <x:c r="G202" s="6" t="str">
        <x:f>IFERROR(XLOOKUP(C202,'Review Sequence'!C2:C1586,'Review Sequence'!J2:J1586),"")</x:f>
        <x:v>Not Started</x:v>
      </x:c>
      <x:c r="H202" s="7" t="str">
        <x:f>IFERROR(XLOOKUP(C202,'Review Sequence'!C2:C1586,'Review Sequence'!O2:O1586),"")</x:f>
      </x:c>
      <x:c r="I202" s="6" t="str">
        <x:f>IFERROR(XLOOKUP(C202,'Review Sequence'!C2:C1586,'Review Sequence'!P2:P1586),"")</x:f>
        <x:v>No</x:v>
      </x:c>
    </x:row>
    <x:row r="203">
      <x:c r="A203" s="6" t="str">
        <x:v>BLK-0202</x:v>
      </x:c>
      <x:c r="B203" s="6" t="str">
        <x:v>Service Identity</x:v>
      </x:c>
      <x:c r="C203" s="6" t="str">
        <x:v>SIDX-0187</x:v>
      </x:c>
      <x:c r="D203" s="6" t="str">
        <x:v>SVC000187</x:v>
      </x:c>
      <x:c r="E203" s="6" t="str"/>
      <x:c r="F203" s="6" t="str">
        <x:f>IFERROR(XLOOKUP(C203,'Review Sequence'!C2:C1586,'Review Sequence'!I2:I1586),"")</x:f>
        <x:v>No upstream dependency</x:v>
      </x:c>
      <x:c r="G203" s="6" t="str">
        <x:f>IFERROR(XLOOKUP(C203,'Review Sequence'!C2:C1586,'Review Sequence'!J2:J1586),"")</x:f>
        <x:v>Not Started</x:v>
      </x:c>
      <x:c r="H203" s="7" t="str">
        <x:f>IFERROR(XLOOKUP(C203,'Review Sequence'!C2:C1586,'Review Sequence'!O2:O1586),"")</x:f>
      </x:c>
      <x:c r="I203" s="6" t="str">
        <x:f>IFERROR(XLOOKUP(C203,'Review Sequence'!C2:C1586,'Review Sequence'!P2:P1586),"")</x:f>
        <x:v>No</x:v>
      </x:c>
    </x:row>
    <x:row r="204">
      <x:c r="A204" s="6" t="str">
        <x:v>BLK-0203</x:v>
      </x:c>
      <x:c r="B204" s="6" t="str">
        <x:v>Service Identity</x:v>
      </x:c>
      <x:c r="C204" s="6" t="str">
        <x:v>SIDX-0188</x:v>
      </x:c>
      <x:c r="D204" s="6" t="str">
        <x:v>SVC000188</x:v>
      </x:c>
      <x:c r="E204" s="6" t="str"/>
      <x:c r="F204" s="6" t="str">
        <x:f>IFERROR(XLOOKUP(C204,'Review Sequence'!C2:C1586,'Review Sequence'!I2:I1586),"")</x:f>
        <x:v>No upstream dependency</x:v>
      </x:c>
      <x:c r="G204" s="6" t="str">
        <x:f>IFERROR(XLOOKUP(C204,'Review Sequence'!C2:C1586,'Review Sequence'!J2:J1586),"")</x:f>
        <x:v>Not Started</x:v>
      </x:c>
      <x:c r="H204" s="7" t="str">
        <x:f>IFERROR(XLOOKUP(C204,'Review Sequence'!C2:C1586,'Review Sequence'!O2:O1586),"")</x:f>
      </x:c>
      <x:c r="I204" s="6" t="str">
        <x:f>IFERROR(XLOOKUP(C204,'Review Sequence'!C2:C1586,'Review Sequence'!P2:P1586),"")</x:f>
        <x:v>No</x:v>
      </x:c>
    </x:row>
    <x:row r="205">
      <x:c r="A205" s="6" t="str">
        <x:v>BLK-0204</x:v>
      </x:c>
      <x:c r="B205" s="6" t="str">
        <x:v>Service Identity</x:v>
      </x:c>
      <x:c r="C205" s="6" t="str">
        <x:v>SIDX-0189</x:v>
      </x:c>
      <x:c r="D205" s="6" t="str">
        <x:v>SVC000189</x:v>
      </x:c>
      <x:c r="E205" s="6" t="str"/>
      <x:c r="F205" s="6" t="str">
        <x:f>IFERROR(XLOOKUP(C205,'Review Sequence'!C2:C1586,'Review Sequence'!I2:I1586),"")</x:f>
        <x:v>No upstream dependency</x:v>
      </x:c>
      <x:c r="G205" s="6" t="str">
        <x:f>IFERROR(XLOOKUP(C205,'Review Sequence'!C2:C1586,'Review Sequence'!J2:J1586),"")</x:f>
        <x:v>Not Started</x:v>
      </x:c>
      <x:c r="H205" s="7" t="str">
        <x:f>IFERROR(XLOOKUP(C205,'Review Sequence'!C2:C1586,'Review Sequence'!O2:O1586),"")</x:f>
      </x:c>
      <x:c r="I205" s="6" t="str">
        <x:f>IFERROR(XLOOKUP(C205,'Review Sequence'!C2:C1586,'Review Sequence'!P2:P1586),"")</x:f>
        <x:v>No</x:v>
      </x:c>
    </x:row>
    <x:row r="206">
      <x:c r="A206" s="6" t="str">
        <x:v>BLK-0205</x:v>
      </x:c>
      <x:c r="B206" s="6" t="str">
        <x:v>Service Identity</x:v>
      </x:c>
      <x:c r="C206" s="6" t="str">
        <x:v>SIDX-0190</x:v>
      </x:c>
      <x:c r="D206" s="6" t="str">
        <x:v>SVC000190</x:v>
      </x:c>
      <x:c r="E206" s="6" t="str"/>
      <x:c r="F206" s="6" t="str">
        <x:f>IFERROR(XLOOKUP(C206,'Review Sequence'!C2:C1586,'Review Sequence'!I2:I1586),"")</x:f>
        <x:v>No upstream dependency</x:v>
      </x:c>
      <x:c r="G206" s="6" t="str">
        <x:f>IFERROR(XLOOKUP(C206,'Review Sequence'!C2:C1586,'Review Sequence'!J2:J1586),"")</x:f>
        <x:v>Not Started</x:v>
      </x:c>
      <x:c r="H206" s="7" t="str">
        <x:f>IFERROR(XLOOKUP(C206,'Review Sequence'!C2:C1586,'Review Sequence'!O2:O1586),"")</x:f>
      </x:c>
      <x:c r="I206" s="6" t="str">
        <x:f>IFERROR(XLOOKUP(C206,'Review Sequence'!C2:C1586,'Review Sequence'!P2:P1586),"")</x:f>
        <x:v>No</x:v>
      </x:c>
    </x:row>
    <x:row r="207">
      <x:c r="A207" s="6" t="str">
        <x:v>BLK-0206</x:v>
      </x:c>
      <x:c r="B207" s="6" t="str">
        <x:v>Service Identity</x:v>
      </x:c>
      <x:c r="C207" s="6" t="str">
        <x:v>SIDX-0191</x:v>
      </x:c>
      <x:c r="D207" s="6" t="str">
        <x:v>SVC000191</x:v>
      </x:c>
      <x:c r="E207" s="6" t="str"/>
      <x:c r="F207" s="6" t="str">
        <x:f>IFERROR(XLOOKUP(C207,'Review Sequence'!C2:C1586,'Review Sequence'!I2:I1586),"")</x:f>
        <x:v>No upstream dependency</x:v>
      </x:c>
      <x:c r="G207" s="6" t="str">
        <x:f>IFERROR(XLOOKUP(C207,'Review Sequence'!C2:C1586,'Review Sequence'!J2:J1586),"")</x:f>
        <x:v>Not Started</x:v>
      </x:c>
      <x:c r="H207" s="7" t="str">
        <x:f>IFERROR(XLOOKUP(C207,'Review Sequence'!C2:C1586,'Review Sequence'!O2:O1586),"")</x:f>
      </x:c>
      <x:c r="I207" s="6" t="str">
        <x:f>IFERROR(XLOOKUP(C207,'Review Sequence'!C2:C1586,'Review Sequence'!P2:P1586),"")</x:f>
        <x:v>No</x:v>
      </x:c>
    </x:row>
    <x:row r="208">
      <x:c r="A208" s="6" t="str">
        <x:v>BLK-0207</x:v>
      </x:c>
      <x:c r="B208" s="6" t="str">
        <x:v>Service Identity</x:v>
      </x:c>
      <x:c r="C208" s="6" t="str">
        <x:v>SIDX-0192</x:v>
      </x:c>
      <x:c r="D208" s="6" t="str">
        <x:v>SVC000192</x:v>
      </x:c>
      <x:c r="E208" s="6" t="str"/>
      <x:c r="F208" s="6" t="str">
        <x:f>IFERROR(XLOOKUP(C208,'Review Sequence'!C2:C1586,'Review Sequence'!I2:I1586),"")</x:f>
        <x:v>No upstream dependency</x:v>
      </x:c>
      <x:c r="G208" s="6" t="str">
        <x:f>IFERROR(XLOOKUP(C208,'Review Sequence'!C2:C1586,'Review Sequence'!J2:J1586),"")</x:f>
        <x:v>Not Started</x:v>
      </x:c>
      <x:c r="H208" s="7" t="str">
        <x:f>IFERROR(XLOOKUP(C208,'Review Sequence'!C2:C1586,'Review Sequence'!O2:O1586),"")</x:f>
      </x:c>
      <x:c r="I208" s="6" t="str">
        <x:f>IFERROR(XLOOKUP(C208,'Review Sequence'!C2:C1586,'Review Sequence'!P2:P1586),"")</x:f>
        <x:v>No</x:v>
      </x:c>
    </x:row>
    <x:row r="209">
      <x:c r="A209" s="6" t="str">
        <x:v>BLK-0208</x:v>
      </x:c>
      <x:c r="B209" s="6" t="str">
        <x:v>Service Identity</x:v>
      </x:c>
      <x:c r="C209" s="6" t="str">
        <x:v>SIDX-0193</x:v>
      </x:c>
      <x:c r="D209" s="6" t="str">
        <x:v>SVC000193</x:v>
      </x:c>
      <x:c r="E209" s="6" t="str"/>
      <x:c r="F209" s="6" t="str">
        <x:f>IFERROR(XLOOKUP(C209,'Review Sequence'!C2:C1586,'Review Sequence'!I2:I1586),"")</x:f>
        <x:v>No upstream dependency</x:v>
      </x:c>
      <x:c r="G209" s="6" t="str">
        <x:f>IFERROR(XLOOKUP(C209,'Review Sequence'!C2:C1586,'Review Sequence'!J2:J1586),"")</x:f>
        <x:v>Not Started</x:v>
      </x:c>
      <x:c r="H209" s="7" t="str">
        <x:f>IFERROR(XLOOKUP(C209,'Review Sequence'!C2:C1586,'Review Sequence'!O2:O1586),"")</x:f>
      </x:c>
      <x:c r="I209" s="6" t="str">
        <x:f>IFERROR(XLOOKUP(C209,'Review Sequence'!C2:C1586,'Review Sequence'!P2:P1586),"")</x:f>
        <x:v>No</x:v>
      </x:c>
    </x:row>
    <x:row r="210">
      <x:c r="A210" s="6" t="str">
        <x:v>BLK-0209</x:v>
      </x:c>
      <x:c r="B210" s="6" t="str">
        <x:v>Service Identity</x:v>
      </x:c>
      <x:c r="C210" s="6" t="str">
        <x:v>SIDX-0194</x:v>
      </x:c>
      <x:c r="D210" s="6" t="str">
        <x:v>SVC000194</x:v>
      </x:c>
      <x:c r="E210" s="6" t="str"/>
      <x:c r="F210" s="6" t="str">
        <x:f>IFERROR(XLOOKUP(C210,'Review Sequence'!C2:C1586,'Review Sequence'!I2:I1586),"")</x:f>
        <x:v>No upstream dependency</x:v>
      </x:c>
      <x:c r="G210" s="6" t="str">
        <x:f>IFERROR(XLOOKUP(C210,'Review Sequence'!C2:C1586,'Review Sequence'!J2:J1586),"")</x:f>
        <x:v>Not Started</x:v>
      </x:c>
      <x:c r="H210" s="7" t="str">
        <x:f>IFERROR(XLOOKUP(C210,'Review Sequence'!C2:C1586,'Review Sequence'!O2:O1586),"")</x:f>
      </x:c>
      <x:c r="I210" s="6" t="str">
        <x:f>IFERROR(XLOOKUP(C210,'Review Sequence'!C2:C1586,'Review Sequence'!P2:P1586),"")</x:f>
        <x:v>No</x:v>
      </x:c>
    </x:row>
    <x:row r="211">
      <x:c r="A211" s="6" t="str">
        <x:v>BLK-0210</x:v>
      </x:c>
      <x:c r="B211" s="6" t="str">
        <x:v>Service Identity</x:v>
      </x:c>
      <x:c r="C211" s="6" t="str">
        <x:v>SIDX-0195</x:v>
      </x:c>
      <x:c r="D211" s="6" t="str">
        <x:v>SVC000195</x:v>
      </x:c>
      <x:c r="E211" s="6" t="str"/>
      <x:c r="F211" s="6" t="str">
        <x:f>IFERROR(XLOOKUP(C211,'Review Sequence'!C2:C1586,'Review Sequence'!I2:I1586),"")</x:f>
        <x:v>No upstream dependency</x:v>
      </x:c>
      <x:c r="G211" s="6" t="str">
        <x:f>IFERROR(XLOOKUP(C211,'Review Sequence'!C2:C1586,'Review Sequence'!J2:J1586),"")</x:f>
        <x:v>Not Started</x:v>
      </x:c>
      <x:c r="H211" s="7" t="str">
        <x:f>IFERROR(XLOOKUP(C211,'Review Sequence'!C2:C1586,'Review Sequence'!O2:O1586),"")</x:f>
      </x:c>
      <x:c r="I211" s="6" t="str">
        <x:f>IFERROR(XLOOKUP(C211,'Review Sequence'!C2:C1586,'Review Sequence'!P2:P1586),"")</x:f>
        <x:v>No</x:v>
      </x:c>
    </x:row>
    <x:row r="212">
      <x:c r="A212" s="6" t="str">
        <x:v>BLK-0211</x:v>
      </x:c>
      <x:c r="B212" s="6" t="str">
        <x:v>Service Identity</x:v>
      </x:c>
      <x:c r="C212" s="6" t="str">
        <x:v>SIDX-0196</x:v>
      </x:c>
      <x:c r="D212" s="6" t="str">
        <x:v>SVC000196</x:v>
      </x:c>
      <x:c r="E212" s="6" t="str"/>
      <x:c r="F212" s="6" t="str">
        <x:f>IFERROR(XLOOKUP(C212,'Review Sequence'!C2:C1586,'Review Sequence'!I2:I1586),"")</x:f>
        <x:v>No upstream dependency</x:v>
      </x:c>
      <x:c r="G212" s="6" t="str">
        <x:f>IFERROR(XLOOKUP(C212,'Review Sequence'!C2:C1586,'Review Sequence'!J2:J1586),"")</x:f>
        <x:v>Not Started</x:v>
      </x:c>
      <x:c r="H212" s="7" t="str">
        <x:f>IFERROR(XLOOKUP(C212,'Review Sequence'!C2:C1586,'Review Sequence'!O2:O1586),"")</x:f>
      </x:c>
      <x:c r="I212" s="6" t="str">
        <x:f>IFERROR(XLOOKUP(C212,'Review Sequence'!C2:C1586,'Review Sequence'!P2:P1586),"")</x:f>
        <x:v>No</x:v>
      </x:c>
    </x:row>
    <x:row r="213">
      <x:c r="A213" s="6" t="str">
        <x:v>BLK-0212</x:v>
      </x:c>
      <x:c r="B213" s="6" t="str">
        <x:v>Service Identity</x:v>
      </x:c>
      <x:c r="C213" s="6" t="str">
        <x:v>SIDX-0197</x:v>
      </x:c>
      <x:c r="D213" s="6" t="str">
        <x:v>SVC000197</x:v>
      </x:c>
      <x:c r="E213" s="6" t="str"/>
      <x:c r="F213" s="6" t="str">
        <x:f>IFERROR(XLOOKUP(C213,'Review Sequence'!C2:C1586,'Review Sequence'!I2:I1586),"")</x:f>
        <x:v>No upstream dependency</x:v>
      </x:c>
      <x:c r="G213" s="6" t="str">
        <x:f>IFERROR(XLOOKUP(C213,'Review Sequence'!C2:C1586,'Review Sequence'!J2:J1586),"")</x:f>
        <x:v>Not Started</x:v>
      </x:c>
      <x:c r="H213" s="7" t="str">
        <x:f>IFERROR(XLOOKUP(C213,'Review Sequence'!C2:C1586,'Review Sequence'!O2:O1586),"")</x:f>
      </x:c>
      <x:c r="I213" s="6" t="str">
        <x:f>IFERROR(XLOOKUP(C213,'Review Sequence'!C2:C1586,'Review Sequence'!P2:P1586),"")</x:f>
        <x:v>No</x:v>
      </x:c>
    </x:row>
    <x:row r="214">
      <x:c r="A214" s="6" t="str">
        <x:v>BLK-0213</x:v>
      </x:c>
      <x:c r="B214" s="6" t="str">
        <x:v>Service Identity</x:v>
      </x:c>
      <x:c r="C214" s="6" t="str">
        <x:v>SIDX-0198</x:v>
      </x:c>
      <x:c r="D214" s="6" t="str">
        <x:v>SVC000198</x:v>
      </x:c>
      <x:c r="E214" s="6" t="str"/>
      <x:c r="F214" s="6" t="str">
        <x:f>IFERROR(XLOOKUP(C214,'Review Sequence'!C2:C1586,'Review Sequence'!I2:I1586),"")</x:f>
        <x:v>No upstream dependency</x:v>
      </x:c>
      <x:c r="G214" s="6" t="str">
        <x:f>IFERROR(XLOOKUP(C214,'Review Sequence'!C2:C1586,'Review Sequence'!J2:J1586),"")</x:f>
        <x:v>Not Started</x:v>
      </x:c>
      <x:c r="H214" s="7" t="str">
        <x:f>IFERROR(XLOOKUP(C214,'Review Sequence'!C2:C1586,'Review Sequence'!O2:O1586),"")</x:f>
      </x:c>
      <x:c r="I214" s="6" t="str">
        <x:f>IFERROR(XLOOKUP(C214,'Review Sequence'!C2:C1586,'Review Sequence'!P2:P1586),"")</x:f>
        <x:v>No</x:v>
      </x:c>
    </x:row>
    <x:row r="215">
      <x:c r="A215" s="6" t="str">
        <x:v>BLK-0214</x:v>
      </x:c>
      <x:c r="B215" s="6" t="str">
        <x:v>Service Identity</x:v>
      </x:c>
      <x:c r="C215" s="6" t="str">
        <x:v>SIDX-0199</x:v>
      </x:c>
      <x:c r="D215" s="6" t="str">
        <x:v>SVC000199</x:v>
      </x:c>
      <x:c r="E215" s="6" t="str"/>
      <x:c r="F215" s="6" t="str">
        <x:f>IFERROR(XLOOKUP(C215,'Review Sequence'!C2:C1586,'Review Sequence'!I2:I1586),"")</x:f>
        <x:v>No upstream dependency</x:v>
      </x:c>
      <x:c r="G215" s="6" t="str">
        <x:f>IFERROR(XLOOKUP(C215,'Review Sequence'!C2:C1586,'Review Sequence'!J2:J1586),"")</x:f>
        <x:v>Not Started</x:v>
      </x:c>
      <x:c r="H215" s="7" t="str">
        <x:f>IFERROR(XLOOKUP(C215,'Review Sequence'!C2:C1586,'Review Sequence'!O2:O1586),"")</x:f>
      </x:c>
      <x:c r="I215" s="6" t="str">
        <x:f>IFERROR(XLOOKUP(C215,'Review Sequence'!C2:C1586,'Review Sequence'!P2:P1586),"")</x:f>
        <x:v>No</x:v>
      </x:c>
    </x:row>
    <x:row r="216">
      <x:c r="A216" s="6" t="str">
        <x:v>BLK-0215</x:v>
      </x:c>
      <x:c r="B216" s="6" t="str">
        <x:v>Service Identity</x:v>
      </x:c>
      <x:c r="C216" s="6" t="str">
        <x:v>SIDX-0200</x:v>
      </x:c>
      <x:c r="D216" s="6" t="str">
        <x:v>SVC000200</x:v>
      </x:c>
      <x:c r="E216" s="6" t="str"/>
      <x:c r="F216" s="6" t="str">
        <x:f>IFERROR(XLOOKUP(C216,'Review Sequence'!C2:C1586,'Review Sequence'!I2:I1586),"")</x:f>
        <x:v>No upstream dependency</x:v>
      </x:c>
      <x:c r="G216" s="6" t="str">
        <x:f>IFERROR(XLOOKUP(C216,'Review Sequence'!C2:C1586,'Review Sequence'!J2:J1586),"")</x:f>
        <x:v>Not Started</x:v>
      </x:c>
      <x:c r="H216" s="7" t="str">
        <x:f>IFERROR(XLOOKUP(C216,'Review Sequence'!C2:C1586,'Review Sequence'!O2:O1586),"")</x:f>
      </x:c>
      <x:c r="I216" s="6" t="str">
        <x:f>IFERROR(XLOOKUP(C216,'Review Sequence'!C2:C1586,'Review Sequence'!P2:P1586),"")</x:f>
        <x:v>No</x:v>
      </x:c>
    </x:row>
    <x:row r="217">
      <x:c r="A217" s="6" t="str">
        <x:v>BLK-0216</x:v>
      </x:c>
      <x:c r="B217" s="6" t="str">
        <x:v>Service Identity</x:v>
      </x:c>
      <x:c r="C217" s="6" t="str">
        <x:v>SIDX-0201</x:v>
      </x:c>
      <x:c r="D217" s="6" t="str">
        <x:v>SVC000201</x:v>
      </x:c>
      <x:c r="E217" s="6" t="str"/>
      <x:c r="F217" s="6" t="str">
        <x:f>IFERROR(XLOOKUP(C217,'Review Sequence'!C2:C1586,'Review Sequence'!I2:I1586),"")</x:f>
        <x:v>No upstream dependency</x:v>
      </x:c>
      <x:c r="G217" s="6" t="str">
        <x:f>IFERROR(XLOOKUP(C217,'Review Sequence'!C2:C1586,'Review Sequence'!J2:J1586),"")</x:f>
        <x:v>Not Started</x:v>
      </x:c>
      <x:c r="H217" s="7" t="str">
        <x:f>IFERROR(XLOOKUP(C217,'Review Sequence'!C2:C1586,'Review Sequence'!O2:O1586),"")</x:f>
      </x:c>
      <x:c r="I217" s="6" t="str">
        <x:f>IFERROR(XLOOKUP(C217,'Review Sequence'!C2:C1586,'Review Sequence'!P2:P1586),"")</x:f>
        <x:v>No</x:v>
      </x:c>
    </x:row>
    <x:row r="218">
      <x:c r="A218" s="6" t="str">
        <x:v>BLK-0217</x:v>
      </x:c>
      <x:c r="B218" s="6" t="str">
        <x:v>Service Identity</x:v>
      </x:c>
      <x:c r="C218" s="6" t="str">
        <x:v>SIDX-0202</x:v>
      </x:c>
      <x:c r="D218" s="6" t="str">
        <x:v>SVC000202</x:v>
      </x:c>
      <x:c r="E218" s="6" t="str">
        <x:v>DUP000006</x:v>
      </x:c>
      <x:c r="F218" s="6" t="str">
        <x:f>IFERROR(XLOOKUP(C218,'Review Sequence'!C2:C1586,'Review Sequence'!I2:I1586),"")</x:f>
        <x:v>Not Started</x:v>
      </x:c>
      <x:c r="G218" s="6" t="str">
        <x:f>IFERROR(XLOOKUP(C218,'Review Sequence'!C2:C1586,'Review Sequence'!J2:J1586),"")</x:f>
        <x:v>Not Started</x:v>
      </x:c>
      <x:c r="H218" s="7" t="str">
        <x:f>IFERROR(XLOOKUP(C218,'Review Sequence'!C2:C1586,'Review Sequence'!O2:O1586),"")</x:f>
      </x:c>
      <x:c r="I218" s="6" t="str">
        <x:f>IFERROR(XLOOKUP(C218,'Review Sequence'!C2:C1586,'Review Sequence'!P2:P1586),"")</x:f>
        <x:v>Yes</x:v>
      </x:c>
    </x:row>
    <x:row r="219">
      <x:c r="A219" s="6" t="str">
        <x:v>BLK-0218</x:v>
      </x:c>
      <x:c r="B219" s="6" t="str">
        <x:v>Service Identity</x:v>
      </x:c>
      <x:c r="C219" s="6" t="str">
        <x:v>SIDX-0203</x:v>
      </x:c>
      <x:c r="D219" s="6" t="str">
        <x:v>SVC000203</x:v>
      </x:c>
      <x:c r="E219" s="6" t="str">
        <x:v>DUP000007</x:v>
      </x:c>
      <x:c r="F219" s="6" t="str">
        <x:f>IFERROR(XLOOKUP(C219,'Review Sequence'!C2:C1586,'Review Sequence'!I2:I1586),"")</x:f>
        <x:v>Not Started</x:v>
      </x:c>
      <x:c r="G219" s="6" t="str">
        <x:f>IFERROR(XLOOKUP(C219,'Review Sequence'!C2:C1586,'Review Sequence'!J2:J1586),"")</x:f>
        <x:v>Not Started</x:v>
      </x:c>
      <x:c r="H219" s="7" t="str">
        <x:f>IFERROR(XLOOKUP(C219,'Review Sequence'!C2:C1586,'Review Sequence'!O2:O1586),"")</x:f>
      </x:c>
      <x:c r="I219" s="6" t="str">
        <x:f>IFERROR(XLOOKUP(C219,'Review Sequence'!C2:C1586,'Review Sequence'!P2:P1586),"")</x:f>
        <x:v>Yes</x:v>
      </x:c>
    </x:row>
    <x:row r="220">
      <x:c r="A220" s="6" t="str">
        <x:v>BLK-0219</x:v>
      </x:c>
      <x:c r="B220" s="6" t="str">
        <x:v>Service Identity</x:v>
      </x:c>
      <x:c r="C220" s="6" t="str">
        <x:v>SIDX-0204</x:v>
      </x:c>
      <x:c r="D220" s="6" t="str">
        <x:v>SVC000204</x:v>
      </x:c>
      <x:c r="E220" s="6" t="str">
        <x:v>DUP000007</x:v>
      </x:c>
      <x:c r="F220" s="6" t="str">
        <x:f>IFERROR(XLOOKUP(C220,'Review Sequence'!C2:C1586,'Review Sequence'!I2:I1586),"")</x:f>
        <x:v>Not Started</x:v>
      </x:c>
      <x:c r="G220" s="6" t="str">
        <x:f>IFERROR(XLOOKUP(C220,'Review Sequence'!C2:C1586,'Review Sequence'!J2:J1586),"")</x:f>
        <x:v>Not Started</x:v>
      </x:c>
      <x:c r="H220" s="7" t="str">
        <x:f>IFERROR(XLOOKUP(C220,'Review Sequence'!C2:C1586,'Review Sequence'!O2:O1586),"")</x:f>
      </x:c>
      <x:c r="I220" s="6" t="str">
        <x:f>IFERROR(XLOOKUP(C220,'Review Sequence'!C2:C1586,'Review Sequence'!P2:P1586),"")</x:f>
        <x:v>Yes</x:v>
      </x:c>
    </x:row>
    <x:row r="221">
      <x:c r="A221" s="6" t="str">
        <x:v>BLK-0220</x:v>
      </x:c>
      <x:c r="B221" s="6" t="str">
        <x:v>Service Identity</x:v>
      </x:c>
      <x:c r="C221" s="6" t="str">
        <x:v>SIDX-0205</x:v>
      </x:c>
      <x:c r="D221" s="6" t="str">
        <x:v>SVC000205</x:v>
      </x:c>
      <x:c r="E221" s="6" t="str"/>
      <x:c r="F221" s="6" t="str">
        <x:f>IFERROR(XLOOKUP(C221,'Review Sequence'!C2:C1586,'Review Sequence'!I2:I1586),"")</x:f>
        <x:v>No upstream dependency</x:v>
      </x:c>
      <x:c r="G221" s="6" t="str">
        <x:f>IFERROR(XLOOKUP(C221,'Review Sequence'!C2:C1586,'Review Sequence'!J2:J1586),"")</x:f>
        <x:v>Not Started</x:v>
      </x:c>
      <x:c r="H221" s="7" t="str">
        <x:f>IFERROR(XLOOKUP(C221,'Review Sequence'!C2:C1586,'Review Sequence'!O2:O1586),"")</x:f>
      </x:c>
      <x:c r="I221" s="6" t="str">
        <x:f>IFERROR(XLOOKUP(C221,'Review Sequence'!C2:C1586,'Review Sequence'!P2:P1586),"")</x:f>
        <x:v>No</x:v>
      </x:c>
    </x:row>
    <x:row r="222">
      <x:c r="A222" s="6" t="str">
        <x:v>BLK-0221</x:v>
      </x:c>
      <x:c r="B222" s="6" t="str">
        <x:v>Service Identity</x:v>
      </x:c>
      <x:c r="C222" s="6" t="str">
        <x:v>SIDX-0206</x:v>
      </x:c>
      <x:c r="D222" s="6" t="str">
        <x:v>SVC000206</x:v>
      </x:c>
      <x:c r="E222" s="6" t="str">
        <x:v>DUP000010</x:v>
      </x:c>
      <x:c r="F222" s="6" t="str">
        <x:f>IFERROR(XLOOKUP(C222,'Review Sequence'!C2:C1586,'Review Sequence'!I2:I1586),"")</x:f>
        <x:v>Not Started</x:v>
      </x:c>
      <x:c r="G222" s="6" t="str">
        <x:f>IFERROR(XLOOKUP(C222,'Review Sequence'!C2:C1586,'Review Sequence'!J2:J1586),"")</x:f>
        <x:v>Not Started</x:v>
      </x:c>
      <x:c r="H222" s="7" t="str">
        <x:f>IFERROR(XLOOKUP(C222,'Review Sequence'!C2:C1586,'Review Sequence'!O2:O1586),"")</x:f>
      </x:c>
      <x:c r="I222" s="6" t="str">
        <x:f>IFERROR(XLOOKUP(C222,'Review Sequence'!C2:C1586,'Review Sequence'!P2:P1586),"")</x:f>
        <x:v>Yes</x:v>
      </x:c>
    </x:row>
    <x:row r="223">
      <x:c r="A223" s="6" t="str">
        <x:v>BLK-0222</x:v>
      </x:c>
      <x:c r="B223" s="6" t="str">
        <x:v>Service Identity</x:v>
      </x:c>
      <x:c r="C223" s="6" t="str">
        <x:v>SIDX-0207</x:v>
      </x:c>
      <x:c r="D223" s="6" t="str">
        <x:v>SVC000207</x:v>
      </x:c>
      <x:c r="E223" s="6" t="str">
        <x:v>DUP000010</x:v>
      </x:c>
      <x:c r="F223" s="6" t="str">
        <x:f>IFERROR(XLOOKUP(C223,'Review Sequence'!C2:C1586,'Review Sequence'!I2:I1586),"")</x:f>
        <x:v>Not Started</x:v>
      </x:c>
      <x:c r="G223" s="6" t="str">
        <x:f>IFERROR(XLOOKUP(C223,'Review Sequence'!C2:C1586,'Review Sequence'!J2:J1586),"")</x:f>
        <x:v>Not Started</x:v>
      </x:c>
      <x:c r="H223" s="7" t="str">
        <x:f>IFERROR(XLOOKUP(C223,'Review Sequence'!C2:C1586,'Review Sequence'!O2:O1586),"")</x:f>
      </x:c>
      <x:c r="I223" s="6" t="str">
        <x:f>IFERROR(XLOOKUP(C223,'Review Sequence'!C2:C1586,'Review Sequence'!P2:P1586),"")</x:f>
        <x:v>Yes</x:v>
      </x:c>
    </x:row>
    <x:row r="224">
      <x:c r="A224" s="6" t="str">
        <x:v>BLK-0223</x:v>
      </x:c>
      <x:c r="B224" s="6" t="str">
        <x:v>Service Identity</x:v>
      </x:c>
      <x:c r="C224" s="6" t="str">
        <x:v>SIDX-0208</x:v>
      </x:c>
      <x:c r="D224" s="6" t="str">
        <x:v>SVC000208</x:v>
      </x:c>
      <x:c r="E224" s="6" t="str"/>
      <x:c r="F224" s="6" t="str">
        <x:f>IFERROR(XLOOKUP(C224,'Review Sequence'!C2:C1586,'Review Sequence'!I2:I1586),"")</x:f>
        <x:v>No upstream dependency</x:v>
      </x:c>
      <x:c r="G224" s="6" t="str">
        <x:f>IFERROR(XLOOKUP(C224,'Review Sequence'!C2:C1586,'Review Sequence'!J2:J1586),"")</x:f>
        <x:v>Not Started</x:v>
      </x:c>
      <x:c r="H224" s="7" t="str">
        <x:f>IFERROR(XLOOKUP(C224,'Review Sequence'!C2:C1586,'Review Sequence'!O2:O1586),"")</x:f>
      </x:c>
      <x:c r="I224" s="6" t="str">
        <x:f>IFERROR(XLOOKUP(C224,'Review Sequence'!C2:C1586,'Review Sequence'!P2:P1586),"")</x:f>
        <x:v>No</x:v>
      </x:c>
    </x:row>
    <x:row r="225">
      <x:c r="A225" s="6" t="str">
        <x:v>BLK-0224</x:v>
      </x:c>
      <x:c r="B225" s="6" t="str">
        <x:v>Service Identity</x:v>
      </x:c>
      <x:c r="C225" s="6" t="str">
        <x:v>SIDX-0209</x:v>
      </x:c>
      <x:c r="D225" s="6" t="str">
        <x:v>SVC000209</x:v>
      </x:c>
      <x:c r="E225" s="6" t="str"/>
      <x:c r="F225" s="6" t="str">
        <x:f>IFERROR(XLOOKUP(C225,'Review Sequence'!C2:C1586,'Review Sequence'!I2:I1586),"")</x:f>
        <x:v>No upstream dependency</x:v>
      </x:c>
      <x:c r="G225" s="6" t="str">
        <x:f>IFERROR(XLOOKUP(C225,'Review Sequence'!C2:C1586,'Review Sequence'!J2:J1586),"")</x:f>
        <x:v>Not Started</x:v>
      </x:c>
      <x:c r="H225" s="7" t="str">
        <x:f>IFERROR(XLOOKUP(C225,'Review Sequence'!C2:C1586,'Review Sequence'!O2:O1586),"")</x:f>
      </x:c>
      <x:c r="I225" s="6" t="str">
        <x:f>IFERROR(XLOOKUP(C225,'Review Sequence'!C2:C1586,'Review Sequence'!P2:P1586),"")</x:f>
        <x:v>No</x:v>
      </x:c>
    </x:row>
    <x:row r="226">
      <x:c r="A226" s="6" t="str">
        <x:v>BLK-0225</x:v>
      </x:c>
      <x:c r="B226" s="6" t="str">
        <x:v>Service Identity</x:v>
      </x:c>
      <x:c r="C226" s="6" t="str">
        <x:v>SIDX-0210</x:v>
      </x:c>
      <x:c r="D226" s="6" t="str">
        <x:v>SVC000210</x:v>
      </x:c>
      <x:c r="E226" s="6" t="str"/>
      <x:c r="F226" s="6" t="str">
        <x:f>IFERROR(XLOOKUP(C226,'Review Sequence'!C2:C1586,'Review Sequence'!I2:I1586),"")</x:f>
        <x:v>No upstream dependency</x:v>
      </x:c>
      <x:c r="G226" s="6" t="str">
        <x:f>IFERROR(XLOOKUP(C226,'Review Sequence'!C2:C1586,'Review Sequence'!J2:J1586),"")</x:f>
        <x:v>Not Started</x:v>
      </x:c>
      <x:c r="H226" s="7" t="str">
        <x:f>IFERROR(XLOOKUP(C226,'Review Sequence'!C2:C1586,'Review Sequence'!O2:O1586),"")</x:f>
      </x:c>
      <x:c r="I226" s="6" t="str">
        <x:f>IFERROR(XLOOKUP(C226,'Review Sequence'!C2:C1586,'Review Sequence'!P2:P1586),"")</x:f>
        <x:v>No</x:v>
      </x:c>
    </x:row>
    <x:row r="227">
      <x:c r="A227" s="6" t="str">
        <x:v>BLK-0226</x:v>
      </x:c>
      <x:c r="B227" s="6" t="str">
        <x:v>Service Identity</x:v>
      </x:c>
      <x:c r="C227" s="6" t="str">
        <x:v>SIDX-0211</x:v>
      </x:c>
      <x:c r="D227" s="6" t="str">
        <x:v>SVC000211</x:v>
      </x:c>
      <x:c r="E227" s="6" t="str"/>
      <x:c r="F227" s="6" t="str">
        <x:f>IFERROR(XLOOKUP(C227,'Review Sequence'!C2:C1586,'Review Sequence'!I2:I1586),"")</x:f>
        <x:v>No upstream dependency</x:v>
      </x:c>
      <x:c r="G227" s="6" t="str">
        <x:f>IFERROR(XLOOKUP(C227,'Review Sequence'!C2:C1586,'Review Sequence'!J2:J1586),"")</x:f>
        <x:v>Not Started</x:v>
      </x:c>
      <x:c r="H227" s="7" t="str">
        <x:f>IFERROR(XLOOKUP(C227,'Review Sequence'!C2:C1586,'Review Sequence'!O2:O1586),"")</x:f>
      </x:c>
      <x:c r="I227" s="6" t="str">
        <x:f>IFERROR(XLOOKUP(C227,'Review Sequence'!C2:C1586,'Review Sequence'!P2:P1586),"")</x:f>
        <x:v>No</x:v>
      </x:c>
    </x:row>
    <x:row r="228">
      <x:c r="A228" s="6" t="str">
        <x:v>BLK-0227</x:v>
      </x:c>
      <x:c r="B228" s="6" t="str">
        <x:v>Service Identity</x:v>
      </x:c>
      <x:c r="C228" s="6" t="str">
        <x:v>SIDX-0212</x:v>
      </x:c>
      <x:c r="D228" s="6" t="str">
        <x:v>SVC000212</x:v>
      </x:c>
      <x:c r="E228" s="6" t="str"/>
      <x:c r="F228" s="6" t="str">
        <x:f>IFERROR(XLOOKUP(C228,'Review Sequence'!C2:C1586,'Review Sequence'!I2:I1586),"")</x:f>
        <x:v>No upstream dependency</x:v>
      </x:c>
      <x:c r="G228" s="6" t="str">
        <x:f>IFERROR(XLOOKUP(C228,'Review Sequence'!C2:C1586,'Review Sequence'!J2:J1586),"")</x:f>
        <x:v>Not Started</x:v>
      </x:c>
      <x:c r="H228" s="7" t="str">
        <x:f>IFERROR(XLOOKUP(C228,'Review Sequence'!C2:C1586,'Review Sequence'!O2:O1586),"")</x:f>
      </x:c>
      <x:c r="I228" s="6" t="str">
        <x:f>IFERROR(XLOOKUP(C228,'Review Sequence'!C2:C1586,'Review Sequence'!P2:P1586),"")</x:f>
        <x:v>No</x:v>
      </x:c>
    </x:row>
    <x:row r="229">
      <x:c r="A229" s="6" t="str">
        <x:v>BLK-0228</x:v>
      </x:c>
      <x:c r="B229" s="6" t="str">
        <x:v>Service Identity</x:v>
      </x:c>
      <x:c r="C229" s="6" t="str">
        <x:v>SIDX-0213</x:v>
      </x:c>
      <x:c r="D229" s="6" t="str">
        <x:v>SVC000213</x:v>
      </x:c>
      <x:c r="E229" s="6" t="str"/>
      <x:c r="F229" s="6" t="str">
        <x:f>IFERROR(XLOOKUP(C229,'Review Sequence'!C2:C1586,'Review Sequence'!I2:I1586),"")</x:f>
        <x:v>No upstream dependency</x:v>
      </x:c>
      <x:c r="G229" s="6" t="str">
        <x:f>IFERROR(XLOOKUP(C229,'Review Sequence'!C2:C1586,'Review Sequence'!J2:J1586),"")</x:f>
        <x:v>Not Started</x:v>
      </x:c>
      <x:c r="H229" s="7" t="str">
        <x:f>IFERROR(XLOOKUP(C229,'Review Sequence'!C2:C1586,'Review Sequence'!O2:O1586),"")</x:f>
      </x:c>
      <x:c r="I229" s="6" t="str">
        <x:f>IFERROR(XLOOKUP(C229,'Review Sequence'!C2:C1586,'Review Sequence'!P2:P1586),"")</x:f>
        <x:v>No</x:v>
      </x:c>
    </x:row>
    <x:row r="230">
      <x:c r="A230" s="6" t="str">
        <x:v>BLK-0229</x:v>
      </x:c>
      <x:c r="B230" s="6" t="str">
        <x:v>Service Identity</x:v>
      </x:c>
      <x:c r="C230" s="6" t="str">
        <x:v>SIDX-0214</x:v>
      </x:c>
      <x:c r="D230" s="6" t="str">
        <x:v>SVC000214</x:v>
      </x:c>
      <x:c r="E230" s="6" t="str"/>
      <x:c r="F230" s="6" t="str">
        <x:f>IFERROR(XLOOKUP(C230,'Review Sequence'!C2:C1586,'Review Sequence'!I2:I1586),"")</x:f>
        <x:v>No upstream dependency</x:v>
      </x:c>
      <x:c r="G230" s="6" t="str">
        <x:f>IFERROR(XLOOKUP(C230,'Review Sequence'!C2:C1586,'Review Sequence'!J2:J1586),"")</x:f>
        <x:v>Not Started</x:v>
      </x:c>
      <x:c r="H230" s="7" t="str">
        <x:f>IFERROR(XLOOKUP(C230,'Review Sequence'!C2:C1586,'Review Sequence'!O2:O1586),"")</x:f>
      </x:c>
      <x:c r="I230" s="6" t="str">
        <x:f>IFERROR(XLOOKUP(C230,'Review Sequence'!C2:C1586,'Review Sequence'!P2:P1586),"")</x:f>
        <x:v>No</x:v>
      </x:c>
    </x:row>
    <x:row r="231">
      <x:c r="A231" s="6" t="str">
        <x:v>BLK-0230</x:v>
      </x:c>
      <x:c r="B231" s="6" t="str">
        <x:v>Service Identity</x:v>
      </x:c>
      <x:c r="C231" s="6" t="str">
        <x:v>SIDX-0215</x:v>
      </x:c>
      <x:c r="D231" s="6" t="str">
        <x:v>SVC000215</x:v>
      </x:c>
      <x:c r="E231" s="6" t="str"/>
      <x:c r="F231" s="6" t="str">
        <x:f>IFERROR(XLOOKUP(C231,'Review Sequence'!C2:C1586,'Review Sequence'!I2:I1586),"")</x:f>
        <x:v>No upstream dependency</x:v>
      </x:c>
      <x:c r="G231" s="6" t="str">
        <x:f>IFERROR(XLOOKUP(C231,'Review Sequence'!C2:C1586,'Review Sequence'!J2:J1586),"")</x:f>
        <x:v>Not Started</x:v>
      </x:c>
      <x:c r="H231" s="7" t="str">
        <x:f>IFERROR(XLOOKUP(C231,'Review Sequence'!C2:C1586,'Review Sequence'!O2:O1586),"")</x:f>
      </x:c>
      <x:c r="I231" s="6" t="str">
        <x:f>IFERROR(XLOOKUP(C231,'Review Sequence'!C2:C1586,'Review Sequence'!P2:P1586),"")</x:f>
        <x:v>No</x:v>
      </x:c>
    </x:row>
    <x:row r="232">
      <x:c r="A232" s="6" t="str">
        <x:v>BLK-0231</x:v>
      </x:c>
      <x:c r="B232" s="6" t="str">
        <x:v>Service Identity</x:v>
      </x:c>
      <x:c r="C232" s="6" t="str">
        <x:v>SIDX-0216</x:v>
      </x:c>
      <x:c r="D232" s="6" t="str">
        <x:v>SVC000216</x:v>
      </x:c>
      <x:c r="E232" s="6" t="str"/>
      <x:c r="F232" s="6" t="str">
        <x:f>IFERROR(XLOOKUP(C232,'Review Sequence'!C2:C1586,'Review Sequence'!I2:I1586),"")</x:f>
        <x:v>No upstream dependency</x:v>
      </x:c>
      <x:c r="G232" s="6" t="str">
        <x:f>IFERROR(XLOOKUP(C232,'Review Sequence'!C2:C1586,'Review Sequence'!J2:J1586),"")</x:f>
        <x:v>Not Started</x:v>
      </x:c>
      <x:c r="H232" s="7" t="str">
        <x:f>IFERROR(XLOOKUP(C232,'Review Sequence'!C2:C1586,'Review Sequence'!O2:O1586),"")</x:f>
      </x:c>
      <x:c r="I232" s="6" t="str">
        <x:f>IFERROR(XLOOKUP(C232,'Review Sequence'!C2:C1586,'Review Sequence'!P2:P1586),"")</x:f>
        <x:v>No</x:v>
      </x:c>
    </x:row>
    <x:row r="233">
      <x:c r="A233" s="6" t="str">
        <x:v>BLK-0232</x:v>
      </x:c>
      <x:c r="B233" s="6" t="str">
        <x:v>Service Identity</x:v>
      </x:c>
      <x:c r="C233" s="6" t="str">
        <x:v>SIDX-0217</x:v>
      </x:c>
      <x:c r="D233" s="6" t="str">
        <x:v>SVC000217</x:v>
      </x:c>
      <x:c r="E233" s="6" t="str">
        <x:v>DUP000011</x:v>
      </x:c>
      <x:c r="F233" s="6" t="str">
        <x:f>IFERROR(XLOOKUP(C233,'Review Sequence'!C2:C1586,'Review Sequence'!I2:I1586),"")</x:f>
        <x:v>Not Started</x:v>
      </x:c>
      <x:c r="G233" s="6" t="str">
        <x:f>IFERROR(XLOOKUP(C233,'Review Sequence'!C2:C1586,'Review Sequence'!J2:J1586),"")</x:f>
        <x:v>Not Started</x:v>
      </x:c>
      <x:c r="H233" s="7" t="str">
        <x:f>IFERROR(XLOOKUP(C233,'Review Sequence'!C2:C1586,'Review Sequence'!O2:O1586),"")</x:f>
      </x:c>
      <x:c r="I233" s="6" t="str">
        <x:f>IFERROR(XLOOKUP(C233,'Review Sequence'!C2:C1586,'Review Sequence'!P2:P1586),"")</x:f>
        <x:v>Yes</x:v>
      </x:c>
    </x:row>
    <x:row r="234">
      <x:c r="A234" s="6" t="str">
        <x:v>BLK-0233</x:v>
      </x:c>
      <x:c r="B234" s="6" t="str">
        <x:v>Service Identity</x:v>
      </x:c>
      <x:c r="C234" s="6" t="str">
        <x:v>SIDX-0218</x:v>
      </x:c>
      <x:c r="D234" s="6" t="str">
        <x:v>SVC000218</x:v>
      </x:c>
      <x:c r="E234" s="6" t="str">
        <x:v>DUP000011</x:v>
      </x:c>
      <x:c r="F234" s="6" t="str">
        <x:f>IFERROR(XLOOKUP(C234,'Review Sequence'!C2:C1586,'Review Sequence'!I2:I1586),"")</x:f>
        <x:v>Not Started</x:v>
      </x:c>
      <x:c r="G234" s="6" t="str">
        <x:f>IFERROR(XLOOKUP(C234,'Review Sequence'!C2:C1586,'Review Sequence'!J2:J1586),"")</x:f>
        <x:v>Not Started</x:v>
      </x:c>
      <x:c r="H234" s="7" t="str">
        <x:f>IFERROR(XLOOKUP(C234,'Review Sequence'!C2:C1586,'Review Sequence'!O2:O1586),"")</x:f>
      </x:c>
      <x:c r="I234" s="6" t="str">
        <x:f>IFERROR(XLOOKUP(C234,'Review Sequence'!C2:C1586,'Review Sequence'!P2:P1586),"")</x:f>
        <x:v>Yes</x:v>
      </x:c>
    </x:row>
    <x:row r="235">
      <x:c r="A235" s="6" t="str">
        <x:v>BLK-0234</x:v>
      </x:c>
      <x:c r="B235" s="6" t="str">
        <x:v>Service Identity</x:v>
      </x:c>
      <x:c r="C235" s="6" t="str">
        <x:v>SIDX-0219</x:v>
      </x:c>
      <x:c r="D235" s="6" t="str">
        <x:v>SVC000219</x:v>
      </x:c>
      <x:c r="E235" s="6" t="str">
        <x:v>DUP000011</x:v>
      </x:c>
      <x:c r="F235" s="6" t="str">
        <x:f>IFERROR(XLOOKUP(C235,'Review Sequence'!C2:C1586,'Review Sequence'!I2:I1586),"")</x:f>
        <x:v>Not Started</x:v>
      </x:c>
      <x:c r="G235" s="6" t="str">
        <x:f>IFERROR(XLOOKUP(C235,'Review Sequence'!C2:C1586,'Review Sequence'!J2:J1586),"")</x:f>
        <x:v>Not Started</x:v>
      </x:c>
      <x:c r="H235" s="7" t="str">
        <x:f>IFERROR(XLOOKUP(C235,'Review Sequence'!C2:C1586,'Review Sequence'!O2:O1586),"")</x:f>
      </x:c>
      <x:c r="I235" s="6" t="str">
        <x:f>IFERROR(XLOOKUP(C235,'Review Sequence'!C2:C1586,'Review Sequence'!P2:P1586),"")</x:f>
        <x:v>Yes</x:v>
      </x:c>
    </x:row>
    <x:row r="236">
      <x:c r="A236" s="6" t="str">
        <x:v>BLK-0235</x:v>
      </x:c>
      <x:c r="B236" s="6" t="str">
        <x:v>Service Identity</x:v>
      </x:c>
      <x:c r="C236" s="6" t="str">
        <x:v>SIDX-0220</x:v>
      </x:c>
      <x:c r="D236" s="6" t="str">
        <x:v>SVC000220</x:v>
      </x:c>
      <x:c r="E236" s="6" t="str"/>
      <x:c r="F236" s="6" t="str">
        <x:f>IFERROR(XLOOKUP(C236,'Review Sequence'!C2:C1586,'Review Sequence'!I2:I1586),"")</x:f>
        <x:v>No upstream dependency</x:v>
      </x:c>
      <x:c r="G236" s="6" t="str">
        <x:f>IFERROR(XLOOKUP(C236,'Review Sequence'!C2:C1586,'Review Sequence'!J2:J1586),"")</x:f>
        <x:v>Not Started</x:v>
      </x:c>
      <x:c r="H236" s="7" t="str">
        <x:f>IFERROR(XLOOKUP(C236,'Review Sequence'!C2:C1586,'Review Sequence'!O2:O1586),"")</x:f>
      </x:c>
      <x:c r="I236" s="6" t="str">
        <x:f>IFERROR(XLOOKUP(C236,'Review Sequence'!C2:C1586,'Review Sequence'!P2:P1586),"")</x:f>
        <x:v>No</x:v>
      </x:c>
    </x:row>
    <x:row r="237">
      <x:c r="A237" s="6" t="str">
        <x:v>BLK-0236</x:v>
      </x:c>
      <x:c r="B237" s="6" t="str">
        <x:v>Service Identity</x:v>
      </x:c>
      <x:c r="C237" s="6" t="str">
        <x:v>SIDX-0221</x:v>
      </x:c>
      <x:c r="D237" s="6" t="str">
        <x:v>SVC000221</x:v>
      </x:c>
      <x:c r="E237" s="6" t="str"/>
      <x:c r="F237" s="6" t="str">
        <x:f>IFERROR(XLOOKUP(C237,'Review Sequence'!C2:C1586,'Review Sequence'!I2:I1586),"")</x:f>
        <x:v>No upstream dependency</x:v>
      </x:c>
      <x:c r="G237" s="6" t="str">
        <x:f>IFERROR(XLOOKUP(C237,'Review Sequence'!C2:C1586,'Review Sequence'!J2:J1586),"")</x:f>
        <x:v>Not Started</x:v>
      </x:c>
      <x:c r="H237" s="7" t="str">
        <x:f>IFERROR(XLOOKUP(C237,'Review Sequence'!C2:C1586,'Review Sequence'!O2:O1586),"")</x:f>
      </x:c>
      <x:c r="I237" s="6" t="str">
        <x:f>IFERROR(XLOOKUP(C237,'Review Sequence'!C2:C1586,'Review Sequence'!P2:P1586),"")</x:f>
        <x:v>No</x:v>
      </x:c>
    </x:row>
    <x:row r="238">
      <x:c r="A238" s="6" t="str">
        <x:v>BLK-0237</x:v>
      </x:c>
      <x:c r="B238" s="6" t="str">
        <x:v>Service Identity</x:v>
      </x:c>
      <x:c r="C238" s="6" t="str">
        <x:v>SIDX-0222</x:v>
      </x:c>
      <x:c r="D238" s="6" t="str">
        <x:v>SVC000222</x:v>
      </x:c>
      <x:c r="E238" s="6" t="str"/>
      <x:c r="F238" s="6" t="str">
        <x:f>IFERROR(XLOOKUP(C238,'Review Sequence'!C2:C1586,'Review Sequence'!I2:I1586),"")</x:f>
        <x:v>No upstream dependency</x:v>
      </x:c>
      <x:c r="G238" s="6" t="str">
        <x:f>IFERROR(XLOOKUP(C238,'Review Sequence'!C2:C1586,'Review Sequence'!J2:J1586),"")</x:f>
        <x:v>Not Started</x:v>
      </x:c>
      <x:c r="H238" s="7" t="str">
        <x:f>IFERROR(XLOOKUP(C238,'Review Sequence'!C2:C1586,'Review Sequence'!O2:O1586),"")</x:f>
      </x:c>
      <x:c r="I238" s="6" t="str">
        <x:f>IFERROR(XLOOKUP(C238,'Review Sequence'!C2:C1586,'Review Sequence'!P2:P1586),"")</x:f>
        <x:v>No</x:v>
      </x:c>
    </x:row>
    <x:row r="239">
      <x:c r="A239" s="6" t="str">
        <x:v>BLK-0238</x:v>
      </x:c>
      <x:c r="B239" s="6" t="str">
        <x:v>Service Identity</x:v>
      </x:c>
      <x:c r="C239" s="6" t="str">
        <x:v>SIDX-0223</x:v>
      </x:c>
      <x:c r="D239" s="6" t="str">
        <x:v>SVC000223</x:v>
      </x:c>
      <x:c r="E239" s="6" t="str">
        <x:v>DUP000012</x:v>
      </x:c>
      <x:c r="F239" s="6" t="str">
        <x:f>IFERROR(XLOOKUP(C239,'Review Sequence'!C2:C1586,'Review Sequence'!I2:I1586),"")</x:f>
        <x:v>Not Started</x:v>
      </x:c>
      <x:c r="G239" s="6" t="str">
        <x:f>IFERROR(XLOOKUP(C239,'Review Sequence'!C2:C1586,'Review Sequence'!J2:J1586),"")</x:f>
        <x:v>Not Started</x:v>
      </x:c>
      <x:c r="H239" s="7" t="str">
        <x:f>IFERROR(XLOOKUP(C239,'Review Sequence'!C2:C1586,'Review Sequence'!O2:O1586),"")</x:f>
      </x:c>
      <x:c r="I239" s="6" t="str">
        <x:f>IFERROR(XLOOKUP(C239,'Review Sequence'!C2:C1586,'Review Sequence'!P2:P1586),"")</x:f>
        <x:v>Yes</x:v>
      </x:c>
    </x:row>
    <x:row r="240">
      <x:c r="A240" s="6" t="str">
        <x:v>BLK-0239</x:v>
      </x:c>
      <x:c r="B240" s="6" t="str">
        <x:v>Service Identity</x:v>
      </x:c>
      <x:c r="C240" s="6" t="str">
        <x:v>SIDX-0224</x:v>
      </x:c>
      <x:c r="D240" s="6" t="str">
        <x:v>SVC000224</x:v>
      </x:c>
      <x:c r="E240" s="6" t="str">
        <x:v>DUP000012</x:v>
      </x:c>
      <x:c r="F240" s="6" t="str">
        <x:f>IFERROR(XLOOKUP(C240,'Review Sequence'!C2:C1586,'Review Sequence'!I2:I1586),"")</x:f>
        <x:v>Not Started</x:v>
      </x:c>
      <x:c r="G240" s="6" t="str">
        <x:f>IFERROR(XLOOKUP(C240,'Review Sequence'!C2:C1586,'Review Sequence'!J2:J1586),"")</x:f>
        <x:v>Not Started</x:v>
      </x:c>
      <x:c r="H240" s="7" t="str">
        <x:f>IFERROR(XLOOKUP(C240,'Review Sequence'!C2:C1586,'Review Sequence'!O2:O1586),"")</x:f>
      </x:c>
      <x:c r="I240" s="6" t="str">
        <x:f>IFERROR(XLOOKUP(C240,'Review Sequence'!C2:C1586,'Review Sequence'!P2:P1586),"")</x:f>
        <x:v>Yes</x:v>
      </x:c>
    </x:row>
    <x:row r="241">
      <x:c r="A241" s="6" t="str">
        <x:v>BLK-0240</x:v>
      </x:c>
      <x:c r="B241" s="6" t="str">
        <x:v>Service Identity</x:v>
      </x:c>
      <x:c r="C241" s="6" t="str">
        <x:v>SIDX-0225</x:v>
      </x:c>
      <x:c r="D241" s="6" t="str">
        <x:v>SVC000225</x:v>
      </x:c>
      <x:c r="E241" s="6" t="str">
        <x:v>DUP000013</x:v>
      </x:c>
      <x:c r="F241" s="6" t="str">
        <x:f>IFERROR(XLOOKUP(C241,'Review Sequence'!C2:C1586,'Review Sequence'!I2:I1586),"")</x:f>
        <x:v>Not Started</x:v>
      </x:c>
      <x:c r="G241" s="6" t="str">
        <x:f>IFERROR(XLOOKUP(C241,'Review Sequence'!C2:C1586,'Review Sequence'!J2:J1586),"")</x:f>
        <x:v>Not Started</x:v>
      </x:c>
      <x:c r="H241" s="7" t="str">
        <x:f>IFERROR(XLOOKUP(C241,'Review Sequence'!C2:C1586,'Review Sequence'!O2:O1586),"")</x:f>
      </x:c>
      <x:c r="I241" s="6" t="str">
        <x:f>IFERROR(XLOOKUP(C241,'Review Sequence'!C2:C1586,'Review Sequence'!P2:P1586),"")</x:f>
        <x:v>Yes</x:v>
      </x:c>
    </x:row>
    <x:row r="242">
      <x:c r="A242" s="6" t="str">
        <x:v>BLK-0241</x:v>
      </x:c>
      <x:c r="B242" s="6" t="str">
        <x:v>Service Identity</x:v>
      </x:c>
      <x:c r="C242" s="6" t="str">
        <x:v>SIDX-0226</x:v>
      </x:c>
      <x:c r="D242" s="6" t="str">
        <x:v>SVC000226</x:v>
      </x:c>
      <x:c r="E242" s="6" t="str">
        <x:v>DUP000013</x:v>
      </x:c>
      <x:c r="F242" s="6" t="str">
        <x:f>IFERROR(XLOOKUP(C242,'Review Sequence'!C2:C1586,'Review Sequence'!I2:I1586),"")</x:f>
        <x:v>Not Started</x:v>
      </x:c>
      <x:c r="G242" s="6" t="str">
        <x:f>IFERROR(XLOOKUP(C242,'Review Sequence'!C2:C1586,'Review Sequence'!J2:J1586),"")</x:f>
        <x:v>Not Started</x:v>
      </x:c>
      <x:c r="H242" s="7" t="str">
        <x:f>IFERROR(XLOOKUP(C242,'Review Sequence'!C2:C1586,'Review Sequence'!O2:O1586),"")</x:f>
      </x:c>
      <x:c r="I242" s="6" t="str">
        <x:f>IFERROR(XLOOKUP(C242,'Review Sequence'!C2:C1586,'Review Sequence'!P2:P1586),"")</x:f>
        <x:v>Yes</x:v>
      </x:c>
    </x:row>
    <x:row r="243">
      <x:c r="A243" s="6" t="str">
        <x:v>BLK-0242</x:v>
      </x:c>
      <x:c r="B243" s="6" t="str">
        <x:v>Service Identity</x:v>
      </x:c>
      <x:c r="C243" s="6" t="str">
        <x:v>SIDX-0227</x:v>
      </x:c>
      <x:c r="D243" s="6" t="str">
        <x:v>SVC000227</x:v>
      </x:c>
      <x:c r="E243" s="6" t="str">
        <x:v>DUP000013</x:v>
      </x:c>
      <x:c r="F243" s="6" t="str">
        <x:f>IFERROR(XLOOKUP(C243,'Review Sequence'!C2:C1586,'Review Sequence'!I2:I1586),"")</x:f>
        <x:v>Not Started</x:v>
      </x:c>
      <x:c r="G243" s="6" t="str">
        <x:f>IFERROR(XLOOKUP(C243,'Review Sequence'!C2:C1586,'Review Sequence'!J2:J1586),"")</x:f>
        <x:v>Not Started</x:v>
      </x:c>
      <x:c r="H243" s="7" t="str">
        <x:f>IFERROR(XLOOKUP(C243,'Review Sequence'!C2:C1586,'Review Sequence'!O2:O1586),"")</x:f>
      </x:c>
      <x:c r="I243" s="6" t="str">
        <x:f>IFERROR(XLOOKUP(C243,'Review Sequence'!C2:C1586,'Review Sequence'!P2:P1586),"")</x:f>
        <x:v>Yes</x:v>
      </x:c>
    </x:row>
    <x:row r="244">
      <x:c r="A244" s="6" t="str">
        <x:v>BLK-0243</x:v>
      </x:c>
      <x:c r="B244" s="6" t="str">
        <x:v>Service Identity</x:v>
      </x:c>
      <x:c r="C244" s="6" t="str">
        <x:v>SIDX-0228</x:v>
      </x:c>
      <x:c r="D244" s="6" t="str">
        <x:v>SVC000228</x:v>
      </x:c>
      <x:c r="E244" s="6" t="str"/>
      <x:c r="F244" s="6" t="str">
        <x:f>IFERROR(XLOOKUP(C244,'Review Sequence'!C2:C1586,'Review Sequence'!I2:I1586),"")</x:f>
        <x:v>No upstream dependency</x:v>
      </x:c>
      <x:c r="G244" s="6" t="str">
        <x:f>IFERROR(XLOOKUP(C244,'Review Sequence'!C2:C1586,'Review Sequence'!J2:J1586),"")</x:f>
        <x:v>Not Started</x:v>
      </x:c>
      <x:c r="H244" s="7" t="str">
        <x:f>IFERROR(XLOOKUP(C244,'Review Sequence'!C2:C1586,'Review Sequence'!O2:O1586),"")</x:f>
      </x:c>
      <x:c r="I244" s="6" t="str">
        <x:f>IFERROR(XLOOKUP(C244,'Review Sequence'!C2:C1586,'Review Sequence'!P2:P1586),"")</x:f>
        <x:v>No</x:v>
      </x:c>
    </x:row>
    <x:row r="245">
      <x:c r="A245" s="6" t="str">
        <x:v>BLK-0244</x:v>
      </x:c>
      <x:c r="B245" s="6" t="str">
        <x:v>Service Identity</x:v>
      </x:c>
      <x:c r="C245" s="6" t="str">
        <x:v>SIDX-0229</x:v>
      </x:c>
      <x:c r="D245" s="6" t="str">
        <x:v>SVC000229</x:v>
      </x:c>
      <x:c r="E245" s="6" t="str">
        <x:v>DUP000014</x:v>
      </x:c>
      <x:c r="F245" s="6" t="str">
        <x:f>IFERROR(XLOOKUP(C245,'Review Sequence'!C2:C1586,'Review Sequence'!I2:I1586),"")</x:f>
        <x:v>Not Started</x:v>
      </x:c>
      <x:c r="G245" s="6" t="str">
        <x:f>IFERROR(XLOOKUP(C245,'Review Sequence'!C2:C1586,'Review Sequence'!J2:J1586),"")</x:f>
        <x:v>Not Started</x:v>
      </x:c>
      <x:c r="H245" s="7" t="str">
        <x:f>IFERROR(XLOOKUP(C245,'Review Sequence'!C2:C1586,'Review Sequence'!O2:O1586),"")</x:f>
      </x:c>
      <x:c r="I245" s="6" t="str">
        <x:f>IFERROR(XLOOKUP(C245,'Review Sequence'!C2:C1586,'Review Sequence'!P2:P1586),"")</x:f>
        <x:v>Yes</x:v>
      </x:c>
    </x:row>
    <x:row r="246">
      <x:c r="A246" s="6" t="str">
        <x:v>BLK-0245</x:v>
      </x:c>
      <x:c r="B246" s="6" t="str">
        <x:v>Service Identity</x:v>
      </x:c>
      <x:c r="C246" s="6" t="str">
        <x:v>SIDX-0230</x:v>
      </x:c>
      <x:c r="D246" s="6" t="str">
        <x:v>SVC000230</x:v>
      </x:c>
      <x:c r="E246" s="6" t="str">
        <x:v>DUP000014</x:v>
      </x:c>
      <x:c r="F246" s="6" t="str">
        <x:f>IFERROR(XLOOKUP(C246,'Review Sequence'!C2:C1586,'Review Sequence'!I2:I1586),"")</x:f>
        <x:v>Not Started</x:v>
      </x:c>
      <x:c r="G246" s="6" t="str">
        <x:f>IFERROR(XLOOKUP(C246,'Review Sequence'!C2:C1586,'Review Sequence'!J2:J1586),"")</x:f>
        <x:v>Not Started</x:v>
      </x:c>
      <x:c r="H246" s="7" t="str">
        <x:f>IFERROR(XLOOKUP(C246,'Review Sequence'!C2:C1586,'Review Sequence'!O2:O1586),"")</x:f>
      </x:c>
      <x:c r="I246" s="6" t="str">
        <x:f>IFERROR(XLOOKUP(C246,'Review Sequence'!C2:C1586,'Review Sequence'!P2:P1586),"")</x:f>
        <x:v>Yes</x:v>
      </x:c>
    </x:row>
    <x:row r="247">
      <x:c r="A247" s="6" t="str">
        <x:v>BLK-0246</x:v>
      </x:c>
      <x:c r="B247" s="6" t="str">
        <x:v>Service Identity</x:v>
      </x:c>
      <x:c r="C247" s="6" t="str">
        <x:v>SIDX-0231</x:v>
      </x:c>
      <x:c r="D247" s="6" t="str">
        <x:v>SVC000231</x:v>
      </x:c>
      <x:c r="E247" s="6" t="str">
        <x:v>DUP000015</x:v>
      </x:c>
      <x:c r="F247" s="6" t="str">
        <x:f>IFERROR(XLOOKUP(C247,'Review Sequence'!C2:C1586,'Review Sequence'!I2:I1586),"")</x:f>
        <x:v>Not Started</x:v>
      </x:c>
      <x:c r="G247" s="6" t="str">
        <x:f>IFERROR(XLOOKUP(C247,'Review Sequence'!C2:C1586,'Review Sequence'!J2:J1586),"")</x:f>
        <x:v>Not Started</x:v>
      </x:c>
      <x:c r="H247" s="7" t="str">
        <x:f>IFERROR(XLOOKUP(C247,'Review Sequence'!C2:C1586,'Review Sequence'!O2:O1586),"")</x:f>
      </x:c>
      <x:c r="I247" s="6" t="str">
        <x:f>IFERROR(XLOOKUP(C247,'Review Sequence'!C2:C1586,'Review Sequence'!P2:P1586),"")</x:f>
        <x:v>Yes</x:v>
      </x:c>
    </x:row>
    <x:row r="248">
      <x:c r="A248" s="6" t="str">
        <x:v>BLK-0247</x:v>
      </x:c>
      <x:c r="B248" s="6" t="str">
        <x:v>Service Identity</x:v>
      </x:c>
      <x:c r="C248" s="6" t="str">
        <x:v>SIDX-0232</x:v>
      </x:c>
      <x:c r="D248" s="6" t="str">
        <x:v>SVC000232</x:v>
      </x:c>
      <x:c r="E248" s="6" t="str">
        <x:v>DUP000015</x:v>
      </x:c>
      <x:c r="F248" s="6" t="str">
        <x:f>IFERROR(XLOOKUP(C248,'Review Sequence'!C2:C1586,'Review Sequence'!I2:I1586),"")</x:f>
        <x:v>Not Started</x:v>
      </x:c>
      <x:c r="G248" s="6" t="str">
        <x:f>IFERROR(XLOOKUP(C248,'Review Sequence'!C2:C1586,'Review Sequence'!J2:J1586),"")</x:f>
        <x:v>Not Started</x:v>
      </x:c>
      <x:c r="H248" s="7" t="str">
        <x:f>IFERROR(XLOOKUP(C248,'Review Sequence'!C2:C1586,'Review Sequence'!O2:O1586),"")</x:f>
      </x:c>
      <x:c r="I248" s="6" t="str">
        <x:f>IFERROR(XLOOKUP(C248,'Review Sequence'!C2:C1586,'Review Sequence'!P2:P1586),"")</x:f>
        <x:v>Yes</x:v>
      </x:c>
    </x:row>
    <x:row r="249">
      <x:c r="A249" s="6" t="str">
        <x:v>BLK-0248</x:v>
      </x:c>
      <x:c r="B249" s="6" t="str">
        <x:v>Service Identity</x:v>
      </x:c>
      <x:c r="C249" s="6" t="str">
        <x:v>SIDX-0233</x:v>
      </x:c>
      <x:c r="D249" s="6" t="str">
        <x:v>SVC000233</x:v>
      </x:c>
      <x:c r="E249" s="6" t="str"/>
      <x:c r="F249" s="6" t="str">
        <x:f>IFERROR(XLOOKUP(C249,'Review Sequence'!C2:C1586,'Review Sequence'!I2:I1586),"")</x:f>
        <x:v>No upstream dependency</x:v>
      </x:c>
      <x:c r="G249" s="6" t="str">
        <x:f>IFERROR(XLOOKUP(C249,'Review Sequence'!C2:C1586,'Review Sequence'!J2:J1586),"")</x:f>
        <x:v>Not Started</x:v>
      </x:c>
      <x:c r="H249" s="7" t="str">
        <x:f>IFERROR(XLOOKUP(C249,'Review Sequence'!C2:C1586,'Review Sequence'!O2:O1586),"")</x:f>
      </x:c>
      <x:c r="I249" s="6" t="str">
        <x:f>IFERROR(XLOOKUP(C249,'Review Sequence'!C2:C1586,'Review Sequence'!P2:P1586),"")</x:f>
        <x:v>No</x:v>
      </x:c>
    </x:row>
    <x:row r="250">
      <x:c r="A250" s="6" t="str">
        <x:v>BLK-0249</x:v>
      </x:c>
      <x:c r="B250" s="6" t="str">
        <x:v>Service Identity</x:v>
      </x:c>
      <x:c r="C250" s="6" t="str">
        <x:v>SIDX-0234</x:v>
      </x:c>
      <x:c r="D250" s="6" t="str">
        <x:v>SVC000234</x:v>
      </x:c>
      <x:c r="E250" s="6" t="str"/>
      <x:c r="F250" s="6" t="str">
        <x:f>IFERROR(XLOOKUP(C250,'Review Sequence'!C2:C1586,'Review Sequence'!I2:I1586),"")</x:f>
        <x:v>No upstream dependency</x:v>
      </x:c>
      <x:c r="G250" s="6" t="str">
        <x:f>IFERROR(XLOOKUP(C250,'Review Sequence'!C2:C1586,'Review Sequence'!J2:J1586),"")</x:f>
        <x:v>Not Started</x:v>
      </x:c>
      <x:c r="H250" s="7" t="str">
        <x:f>IFERROR(XLOOKUP(C250,'Review Sequence'!C2:C1586,'Review Sequence'!O2:O1586),"")</x:f>
      </x:c>
      <x:c r="I250" s="6" t="str">
        <x:f>IFERROR(XLOOKUP(C250,'Review Sequence'!C2:C1586,'Review Sequence'!P2:P1586),"")</x:f>
        <x:v>No</x:v>
      </x:c>
    </x:row>
    <x:row r="251">
      <x:c r="A251" s="6" t="str">
        <x:v>BLK-0250</x:v>
      </x:c>
      <x:c r="B251" s="6" t="str">
        <x:v>Service Identity</x:v>
      </x:c>
      <x:c r="C251" s="6" t="str">
        <x:v>SIDX-0235</x:v>
      </x:c>
      <x:c r="D251" s="6" t="str">
        <x:v>SVC000235</x:v>
      </x:c>
      <x:c r="E251" s="6" t="str"/>
      <x:c r="F251" s="6" t="str">
        <x:f>IFERROR(XLOOKUP(C251,'Review Sequence'!C2:C1586,'Review Sequence'!I2:I1586),"")</x:f>
        <x:v>No upstream dependency</x:v>
      </x:c>
      <x:c r="G251" s="6" t="str">
        <x:f>IFERROR(XLOOKUP(C251,'Review Sequence'!C2:C1586,'Review Sequence'!J2:J1586),"")</x:f>
        <x:v>Not Started</x:v>
      </x:c>
      <x:c r="H251" s="7" t="str">
        <x:f>IFERROR(XLOOKUP(C251,'Review Sequence'!C2:C1586,'Review Sequence'!O2:O1586),"")</x:f>
      </x:c>
      <x:c r="I251" s="6" t="str">
        <x:f>IFERROR(XLOOKUP(C251,'Review Sequence'!C2:C1586,'Review Sequence'!P2:P1586),"")</x:f>
        <x:v>No</x:v>
      </x:c>
    </x:row>
    <x:row r="252">
      <x:c r="A252" s="6" t="str">
        <x:v>BLK-0251</x:v>
      </x:c>
      <x:c r="B252" s="6" t="str">
        <x:v>Service Identity</x:v>
      </x:c>
      <x:c r="C252" s="6" t="str">
        <x:v>SIDX-0236</x:v>
      </x:c>
      <x:c r="D252" s="6" t="str">
        <x:v>SVC000236</x:v>
      </x:c>
      <x:c r="E252" s="6" t="str"/>
      <x:c r="F252" s="6" t="str">
        <x:f>IFERROR(XLOOKUP(C252,'Review Sequence'!C2:C1586,'Review Sequence'!I2:I1586),"")</x:f>
        <x:v>No upstream dependency</x:v>
      </x:c>
      <x:c r="G252" s="6" t="str">
        <x:f>IFERROR(XLOOKUP(C252,'Review Sequence'!C2:C1586,'Review Sequence'!J2:J1586),"")</x:f>
        <x:v>Not Started</x:v>
      </x:c>
      <x:c r="H252" s="7" t="str">
        <x:f>IFERROR(XLOOKUP(C252,'Review Sequence'!C2:C1586,'Review Sequence'!O2:O1586),"")</x:f>
      </x:c>
      <x:c r="I252" s="6" t="str">
        <x:f>IFERROR(XLOOKUP(C252,'Review Sequence'!C2:C1586,'Review Sequence'!P2:P1586),"")</x:f>
        <x:v>No</x:v>
      </x:c>
    </x:row>
    <x:row r="253">
      <x:c r="A253" s="6" t="str">
        <x:v>BLK-0252</x:v>
      </x:c>
      <x:c r="B253" s="6" t="str">
        <x:v>Service Identity</x:v>
      </x:c>
      <x:c r="C253" s="6" t="str">
        <x:v>SIDX-0237</x:v>
      </x:c>
      <x:c r="D253" s="6" t="str">
        <x:v>SVC000237</x:v>
      </x:c>
      <x:c r="E253" s="6" t="str"/>
      <x:c r="F253" s="6" t="str">
        <x:f>IFERROR(XLOOKUP(C253,'Review Sequence'!C2:C1586,'Review Sequence'!I2:I1586),"")</x:f>
        <x:v>No upstream dependency</x:v>
      </x:c>
      <x:c r="G253" s="6" t="str">
        <x:f>IFERROR(XLOOKUP(C253,'Review Sequence'!C2:C1586,'Review Sequence'!J2:J1586),"")</x:f>
        <x:v>Not Started</x:v>
      </x:c>
      <x:c r="H253" s="7" t="str">
        <x:f>IFERROR(XLOOKUP(C253,'Review Sequence'!C2:C1586,'Review Sequence'!O2:O1586),"")</x:f>
      </x:c>
      <x:c r="I253" s="6" t="str">
        <x:f>IFERROR(XLOOKUP(C253,'Review Sequence'!C2:C1586,'Review Sequence'!P2:P1586),"")</x:f>
        <x:v>No</x:v>
      </x:c>
    </x:row>
    <x:row r="254">
      <x:c r="A254" s="6" t="str">
        <x:v>BLK-0253</x:v>
      </x:c>
      <x:c r="B254" s="6" t="str">
        <x:v>Service Identity</x:v>
      </x:c>
      <x:c r="C254" s="6" t="str">
        <x:v>SIDX-0238</x:v>
      </x:c>
      <x:c r="D254" s="6" t="str">
        <x:v>SVC000238</x:v>
      </x:c>
      <x:c r="E254" s="6" t="str"/>
      <x:c r="F254" s="6" t="str">
        <x:f>IFERROR(XLOOKUP(C254,'Review Sequence'!C2:C1586,'Review Sequence'!I2:I1586),"")</x:f>
        <x:v>No upstream dependency</x:v>
      </x:c>
      <x:c r="G254" s="6" t="str">
        <x:f>IFERROR(XLOOKUP(C254,'Review Sequence'!C2:C1586,'Review Sequence'!J2:J1586),"")</x:f>
        <x:v>Not Started</x:v>
      </x:c>
      <x:c r="H254" s="7" t="str">
        <x:f>IFERROR(XLOOKUP(C254,'Review Sequence'!C2:C1586,'Review Sequence'!O2:O1586),"")</x:f>
      </x:c>
      <x:c r="I254" s="6" t="str">
        <x:f>IFERROR(XLOOKUP(C254,'Review Sequence'!C2:C1586,'Review Sequence'!P2:P1586),"")</x:f>
        <x:v>No</x:v>
      </x:c>
    </x:row>
    <x:row r="255">
      <x:c r="A255" s="6" t="str">
        <x:v>BLK-0254</x:v>
      </x:c>
      <x:c r="B255" s="6" t="str">
        <x:v>Service Identity</x:v>
      </x:c>
      <x:c r="C255" s="6" t="str">
        <x:v>SIDX-0239</x:v>
      </x:c>
      <x:c r="D255" s="6" t="str">
        <x:v>SVC000239</x:v>
      </x:c>
      <x:c r="E255" s="6" t="str"/>
      <x:c r="F255" s="6" t="str">
        <x:f>IFERROR(XLOOKUP(C255,'Review Sequence'!C2:C1586,'Review Sequence'!I2:I1586),"")</x:f>
        <x:v>No upstream dependency</x:v>
      </x:c>
      <x:c r="G255" s="6" t="str">
        <x:f>IFERROR(XLOOKUP(C255,'Review Sequence'!C2:C1586,'Review Sequence'!J2:J1586),"")</x:f>
        <x:v>Not Started</x:v>
      </x:c>
      <x:c r="H255" s="7" t="str">
        <x:f>IFERROR(XLOOKUP(C255,'Review Sequence'!C2:C1586,'Review Sequence'!O2:O1586),"")</x:f>
      </x:c>
      <x:c r="I255" s="6" t="str">
        <x:f>IFERROR(XLOOKUP(C255,'Review Sequence'!C2:C1586,'Review Sequence'!P2:P1586),"")</x:f>
        <x:v>No</x:v>
      </x:c>
    </x:row>
    <x:row r="256">
      <x:c r="A256" s="6" t="str">
        <x:v>BLK-0255</x:v>
      </x:c>
      <x:c r="B256" s="6" t="str">
        <x:v>Service Identity</x:v>
      </x:c>
      <x:c r="C256" s="6" t="str">
        <x:v>SIDX-0240</x:v>
      </x:c>
      <x:c r="D256" s="6" t="str">
        <x:v>SVC000240</x:v>
      </x:c>
      <x:c r="E256" s="6" t="str"/>
      <x:c r="F256" s="6" t="str">
        <x:f>IFERROR(XLOOKUP(C256,'Review Sequence'!C2:C1586,'Review Sequence'!I2:I1586),"")</x:f>
        <x:v>No upstream dependency</x:v>
      </x:c>
      <x:c r="G256" s="6" t="str">
        <x:f>IFERROR(XLOOKUP(C256,'Review Sequence'!C2:C1586,'Review Sequence'!J2:J1586),"")</x:f>
        <x:v>Not Started</x:v>
      </x:c>
      <x:c r="H256" s="7" t="str">
        <x:f>IFERROR(XLOOKUP(C256,'Review Sequence'!C2:C1586,'Review Sequence'!O2:O1586),"")</x:f>
      </x:c>
      <x:c r="I256" s="6" t="str">
        <x:f>IFERROR(XLOOKUP(C256,'Review Sequence'!C2:C1586,'Review Sequence'!P2:P1586),"")</x:f>
        <x:v>No</x:v>
      </x:c>
    </x:row>
    <x:row r="257">
      <x:c r="A257" s="6" t="str">
        <x:v>BLK-0256</x:v>
      </x:c>
      <x:c r="B257" s="6" t="str">
        <x:v>Service Identity</x:v>
      </x:c>
      <x:c r="C257" s="6" t="str">
        <x:v>SIDX-0241</x:v>
      </x:c>
      <x:c r="D257" s="6" t="str">
        <x:v>SVC000241</x:v>
      </x:c>
      <x:c r="E257" s="6" t="str"/>
      <x:c r="F257" s="6" t="str">
        <x:f>IFERROR(XLOOKUP(C257,'Review Sequence'!C2:C1586,'Review Sequence'!I2:I1586),"")</x:f>
        <x:v>No upstream dependency</x:v>
      </x:c>
      <x:c r="G257" s="6" t="str">
        <x:f>IFERROR(XLOOKUP(C257,'Review Sequence'!C2:C1586,'Review Sequence'!J2:J1586),"")</x:f>
        <x:v>Not Started</x:v>
      </x:c>
      <x:c r="H257" s="7" t="str">
        <x:f>IFERROR(XLOOKUP(C257,'Review Sequence'!C2:C1586,'Review Sequence'!O2:O1586),"")</x:f>
      </x:c>
      <x:c r="I257" s="6" t="str">
        <x:f>IFERROR(XLOOKUP(C257,'Review Sequence'!C2:C1586,'Review Sequence'!P2:P1586),"")</x:f>
        <x:v>No</x:v>
      </x:c>
    </x:row>
    <x:row r="258">
      <x:c r="A258" s="6" t="str">
        <x:v>BLK-0257</x:v>
      </x:c>
      <x:c r="B258" s="6" t="str">
        <x:v>Service Identity</x:v>
      </x:c>
      <x:c r="C258" s="6" t="str">
        <x:v>SIDX-0242</x:v>
      </x:c>
      <x:c r="D258" s="6" t="str">
        <x:v>SVC000242</x:v>
      </x:c>
      <x:c r="E258" s="6" t="str"/>
      <x:c r="F258" s="6" t="str">
        <x:f>IFERROR(XLOOKUP(C258,'Review Sequence'!C2:C1586,'Review Sequence'!I2:I1586),"")</x:f>
        <x:v>No upstream dependency</x:v>
      </x:c>
      <x:c r="G258" s="6" t="str">
        <x:f>IFERROR(XLOOKUP(C258,'Review Sequence'!C2:C1586,'Review Sequence'!J2:J1586),"")</x:f>
        <x:v>Not Started</x:v>
      </x:c>
      <x:c r="H258" s="7" t="str">
        <x:f>IFERROR(XLOOKUP(C258,'Review Sequence'!C2:C1586,'Review Sequence'!O2:O1586),"")</x:f>
      </x:c>
      <x:c r="I258" s="6" t="str">
        <x:f>IFERROR(XLOOKUP(C258,'Review Sequence'!C2:C1586,'Review Sequence'!P2:P1586),"")</x:f>
        <x:v>No</x:v>
      </x:c>
    </x:row>
    <x:row r="259">
      <x:c r="A259" s="6" t="str">
        <x:v>BLK-0258</x:v>
      </x:c>
      <x:c r="B259" s="6" t="str">
        <x:v>Service Identity</x:v>
      </x:c>
      <x:c r="C259" s="6" t="str">
        <x:v>SIDX-0243</x:v>
      </x:c>
      <x:c r="D259" s="6" t="str">
        <x:v>SVC000243</x:v>
      </x:c>
      <x:c r="E259" s="6" t="str"/>
      <x:c r="F259" s="6" t="str">
        <x:f>IFERROR(XLOOKUP(C259,'Review Sequence'!C2:C1586,'Review Sequence'!I2:I1586),"")</x:f>
        <x:v>No upstream dependency</x:v>
      </x:c>
      <x:c r="G259" s="6" t="str">
        <x:f>IFERROR(XLOOKUP(C259,'Review Sequence'!C2:C1586,'Review Sequence'!J2:J1586),"")</x:f>
        <x:v>Not Started</x:v>
      </x:c>
      <x:c r="H259" s="7" t="str">
        <x:f>IFERROR(XLOOKUP(C259,'Review Sequence'!C2:C1586,'Review Sequence'!O2:O1586),"")</x:f>
      </x:c>
      <x:c r="I259" s="6" t="str">
        <x:f>IFERROR(XLOOKUP(C259,'Review Sequence'!C2:C1586,'Review Sequence'!P2:P1586),"")</x:f>
        <x:v>No</x:v>
      </x:c>
    </x:row>
    <x:row r="260">
      <x:c r="A260" s="6" t="str">
        <x:v>BLK-0259</x:v>
      </x:c>
      <x:c r="B260" s="6" t="str">
        <x:v>Service Identity</x:v>
      </x:c>
      <x:c r="C260" s="6" t="str">
        <x:v>SIDX-0244</x:v>
      </x:c>
      <x:c r="D260" s="6" t="str">
        <x:v>SVC000244</x:v>
      </x:c>
      <x:c r="E260" s="6" t="str"/>
      <x:c r="F260" s="6" t="str">
        <x:f>IFERROR(XLOOKUP(C260,'Review Sequence'!C2:C1586,'Review Sequence'!I2:I1586),"")</x:f>
        <x:v>No upstream dependency</x:v>
      </x:c>
      <x:c r="G260" s="6" t="str">
        <x:f>IFERROR(XLOOKUP(C260,'Review Sequence'!C2:C1586,'Review Sequence'!J2:J1586),"")</x:f>
        <x:v>Not Started</x:v>
      </x:c>
      <x:c r="H260" s="7" t="str">
        <x:f>IFERROR(XLOOKUP(C260,'Review Sequence'!C2:C1586,'Review Sequence'!O2:O1586),"")</x:f>
      </x:c>
      <x:c r="I260" s="6" t="str">
        <x:f>IFERROR(XLOOKUP(C260,'Review Sequence'!C2:C1586,'Review Sequence'!P2:P1586),"")</x:f>
        <x:v>No</x:v>
      </x:c>
    </x:row>
    <x:row r="261">
      <x:c r="A261" s="6" t="str">
        <x:v>BLK-0260</x:v>
      </x:c>
      <x:c r="B261" s="6" t="str">
        <x:v>Service Identity</x:v>
      </x:c>
      <x:c r="C261" s="6" t="str">
        <x:v>SIDX-0245</x:v>
      </x:c>
      <x:c r="D261" s="6" t="str">
        <x:v>SVC000245</x:v>
      </x:c>
      <x:c r="E261" s="6" t="str"/>
      <x:c r="F261" s="6" t="str">
        <x:f>IFERROR(XLOOKUP(C261,'Review Sequence'!C2:C1586,'Review Sequence'!I2:I1586),"")</x:f>
        <x:v>No upstream dependency</x:v>
      </x:c>
      <x:c r="G261" s="6" t="str">
        <x:f>IFERROR(XLOOKUP(C261,'Review Sequence'!C2:C1586,'Review Sequence'!J2:J1586),"")</x:f>
        <x:v>Not Started</x:v>
      </x:c>
      <x:c r="H261" s="7" t="str">
        <x:f>IFERROR(XLOOKUP(C261,'Review Sequence'!C2:C1586,'Review Sequence'!O2:O1586),"")</x:f>
      </x:c>
      <x:c r="I261" s="6" t="str">
        <x:f>IFERROR(XLOOKUP(C261,'Review Sequence'!C2:C1586,'Review Sequence'!P2:P1586),"")</x:f>
        <x:v>No</x:v>
      </x:c>
    </x:row>
    <x:row r="262">
      <x:c r="A262" s="6" t="str">
        <x:v>BLK-0261</x:v>
      </x:c>
      <x:c r="B262" s="6" t="str">
        <x:v>Service Identity</x:v>
      </x:c>
      <x:c r="C262" s="6" t="str">
        <x:v>SIDX-0246</x:v>
      </x:c>
      <x:c r="D262" s="6" t="str">
        <x:v>SVC000246</x:v>
      </x:c>
      <x:c r="E262" s="6" t="str"/>
      <x:c r="F262" s="6" t="str">
        <x:f>IFERROR(XLOOKUP(C262,'Review Sequence'!C2:C1586,'Review Sequence'!I2:I1586),"")</x:f>
        <x:v>No upstream dependency</x:v>
      </x:c>
      <x:c r="G262" s="6" t="str">
        <x:f>IFERROR(XLOOKUP(C262,'Review Sequence'!C2:C1586,'Review Sequence'!J2:J1586),"")</x:f>
        <x:v>Not Started</x:v>
      </x:c>
      <x:c r="H262" s="7" t="str">
        <x:f>IFERROR(XLOOKUP(C262,'Review Sequence'!C2:C1586,'Review Sequence'!O2:O1586),"")</x:f>
      </x:c>
      <x:c r="I262" s="6" t="str">
        <x:f>IFERROR(XLOOKUP(C262,'Review Sequence'!C2:C1586,'Review Sequence'!P2:P1586),"")</x:f>
        <x:v>No</x:v>
      </x:c>
    </x:row>
    <x:row r="263">
      <x:c r="A263" s="6" t="str">
        <x:v>BLK-0262</x:v>
      </x:c>
      <x:c r="B263" s="6" t="str">
        <x:v>Service Identity</x:v>
      </x:c>
      <x:c r="C263" s="6" t="str">
        <x:v>SIDX-0247</x:v>
      </x:c>
      <x:c r="D263" s="6" t="str">
        <x:v>SVC000247</x:v>
      </x:c>
      <x:c r="E263" s="6" t="str"/>
      <x:c r="F263" s="6" t="str">
        <x:f>IFERROR(XLOOKUP(C263,'Review Sequence'!C2:C1586,'Review Sequence'!I2:I1586),"")</x:f>
        <x:v>No upstream dependency</x:v>
      </x:c>
      <x:c r="G263" s="6" t="str">
        <x:f>IFERROR(XLOOKUP(C263,'Review Sequence'!C2:C1586,'Review Sequence'!J2:J1586),"")</x:f>
        <x:v>Not Started</x:v>
      </x:c>
      <x:c r="H263" s="7" t="str">
        <x:f>IFERROR(XLOOKUP(C263,'Review Sequence'!C2:C1586,'Review Sequence'!O2:O1586),"")</x:f>
      </x:c>
      <x:c r="I263" s="6" t="str">
        <x:f>IFERROR(XLOOKUP(C263,'Review Sequence'!C2:C1586,'Review Sequence'!P2:P1586),"")</x:f>
        <x:v>No</x:v>
      </x:c>
    </x:row>
    <x:row r="264">
      <x:c r="A264" s="6" t="str">
        <x:v>BLK-0263</x:v>
      </x:c>
      <x:c r="B264" s="6" t="str">
        <x:v>Service Identity</x:v>
      </x:c>
      <x:c r="C264" s="6" t="str">
        <x:v>SIDX-0248</x:v>
      </x:c>
      <x:c r="D264" s="6" t="str">
        <x:v>SVC000248</x:v>
      </x:c>
      <x:c r="E264" s="6" t="str"/>
      <x:c r="F264" s="6" t="str">
        <x:f>IFERROR(XLOOKUP(C264,'Review Sequence'!C2:C1586,'Review Sequence'!I2:I1586),"")</x:f>
        <x:v>No upstream dependency</x:v>
      </x:c>
      <x:c r="G264" s="6" t="str">
        <x:f>IFERROR(XLOOKUP(C264,'Review Sequence'!C2:C1586,'Review Sequence'!J2:J1586),"")</x:f>
        <x:v>Not Started</x:v>
      </x:c>
      <x:c r="H264" s="7" t="str">
        <x:f>IFERROR(XLOOKUP(C264,'Review Sequence'!C2:C1586,'Review Sequence'!O2:O1586),"")</x:f>
      </x:c>
      <x:c r="I264" s="6" t="str">
        <x:f>IFERROR(XLOOKUP(C264,'Review Sequence'!C2:C1586,'Review Sequence'!P2:P1586),"")</x:f>
        <x:v>No</x:v>
      </x:c>
    </x:row>
    <x:row r="265">
      <x:c r="A265" s="6" t="str">
        <x:v>BLK-0264</x:v>
      </x:c>
      <x:c r="B265" s="6" t="str">
        <x:v>Service Identity</x:v>
      </x:c>
      <x:c r="C265" s="6" t="str">
        <x:v>SIDX-0249</x:v>
      </x:c>
      <x:c r="D265" s="6" t="str">
        <x:v>SVC000249</x:v>
      </x:c>
      <x:c r="E265" s="6" t="str"/>
      <x:c r="F265" s="6" t="str">
        <x:f>IFERROR(XLOOKUP(C265,'Review Sequence'!C2:C1586,'Review Sequence'!I2:I1586),"")</x:f>
        <x:v>No upstream dependency</x:v>
      </x:c>
      <x:c r="G265" s="6" t="str">
        <x:f>IFERROR(XLOOKUP(C265,'Review Sequence'!C2:C1586,'Review Sequence'!J2:J1586),"")</x:f>
        <x:v>Not Started</x:v>
      </x:c>
      <x:c r="H265" s="7" t="str">
        <x:f>IFERROR(XLOOKUP(C265,'Review Sequence'!C2:C1586,'Review Sequence'!O2:O1586),"")</x:f>
      </x:c>
      <x:c r="I265" s="6" t="str">
        <x:f>IFERROR(XLOOKUP(C265,'Review Sequence'!C2:C1586,'Review Sequence'!P2:P1586),"")</x:f>
        <x:v>No</x:v>
      </x:c>
    </x:row>
    <x:row r="266">
      <x:c r="A266" s="6" t="str">
        <x:v>BLK-0265</x:v>
      </x:c>
      <x:c r="B266" s="6" t="str">
        <x:v>Service Identity</x:v>
      </x:c>
      <x:c r="C266" s="6" t="str">
        <x:v>SIDX-0250</x:v>
      </x:c>
      <x:c r="D266" s="6" t="str">
        <x:v>SVC000250</x:v>
      </x:c>
      <x:c r="E266" s="6" t="str"/>
      <x:c r="F266" s="6" t="str">
        <x:f>IFERROR(XLOOKUP(C266,'Review Sequence'!C2:C1586,'Review Sequence'!I2:I1586),"")</x:f>
        <x:v>No upstream dependency</x:v>
      </x:c>
      <x:c r="G266" s="6" t="str">
        <x:f>IFERROR(XLOOKUP(C266,'Review Sequence'!C2:C1586,'Review Sequence'!J2:J1586),"")</x:f>
        <x:v>Not Started</x:v>
      </x:c>
      <x:c r="H266" s="7" t="str">
        <x:f>IFERROR(XLOOKUP(C266,'Review Sequence'!C2:C1586,'Review Sequence'!O2:O1586),"")</x:f>
      </x:c>
      <x:c r="I266" s="6" t="str">
        <x:f>IFERROR(XLOOKUP(C266,'Review Sequence'!C2:C1586,'Review Sequence'!P2:P1586),"")</x:f>
        <x:v>No</x:v>
      </x:c>
    </x:row>
    <x:row r="267">
      <x:c r="A267" s="6" t="str">
        <x:v>BLK-0266</x:v>
      </x:c>
      <x:c r="B267" s="6" t="str">
        <x:v>Service Identity</x:v>
      </x:c>
      <x:c r="C267" s="6" t="str">
        <x:v>SIDX-0251</x:v>
      </x:c>
      <x:c r="D267" s="6" t="str">
        <x:v>SVC000251</x:v>
      </x:c>
      <x:c r="E267" s="6" t="str"/>
      <x:c r="F267" s="6" t="str">
        <x:f>IFERROR(XLOOKUP(C267,'Review Sequence'!C2:C1586,'Review Sequence'!I2:I1586),"")</x:f>
        <x:v>No upstream dependency</x:v>
      </x:c>
      <x:c r="G267" s="6" t="str">
        <x:f>IFERROR(XLOOKUP(C267,'Review Sequence'!C2:C1586,'Review Sequence'!J2:J1586),"")</x:f>
        <x:v>Not Started</x:v>
      </x:c>
      <x:c r="H267" s="7" t="str">
        <x:f>IFERROR(XLOOKUP(C267,'Review Sequence'!C2:C1586,'Review Sequence'!O2:O1586),"")</x:f>
      </x:c>
      <x:c r="I267" s="6" t="str">
        <x:f>IFERROR(XLOOKUP(C267,'Review Sequence'!C2:C1586,'Review Sequence'!P2:P1586),"")</x:f>
        <x:v>No</x:v>
      </x:c>
    </x:row>
    <x:row r="268">
      <x:c r="A268" s="6" t="str">
        <x:v>BLK-0267</x:v>
      </x:c>
      <x:c r="B268" s="6" t="str">
        <x:v>Service Identity</x:v>
      </x:c>
      <x:c r="C268" s="6" t="str">
        <x:v>SIDX-0252</x:v>
      </x:c>
      <x:c r="D268" s="6" t="str">
        <x:v>SVC000252</x:v>
      </x:c>
      <x:c r="E268" s="6" t="str"/>
      <x:c r="F268" s="6" t="str">
        <x:f>IFERROR(XLOOKUP(C268,'Review Sequence'!C2:C1586,'Review Sequence'!I2:I1586),"")</x:f>
        <x:v>No upstream dependency</x:v>
      </x:c>
      <x:c r="G268" s="6" t="str">
        <x:f>IFERROR(XLOOKUP(C268,'Review Sequence'!C2:C1586,'Review Sequence'!J2:J1586),"")</x:f>
        <x:v>Not Started</x:v>
      </x:c>
      <x:c r="H268" s="7" t="str">
        <x:f>IFERROR(XLOOKUP(C268,'Review Sequence'!C2:C1586,'Review Sequence'!O2:O1586),"")</x:f>
      </x:c>
      <x:c r="I268" s="6" t="str">
        <x:f>IFERROR(XLOOKUP(C268,'Review Sequence'!C2:C1586,'Review Sequence'!P2:P1586),"")</x:f>
        <x:v>No</x:v>
      </x:c>
    </x:row>
    <x:row r="269">
      <x:c r="A269" s="6" t="str">
        <x:v>BLK-0268</x:v>
      </x:c>
      <x:c r="B269" s="6" t="str">
        <x:v>Service Identity</x:v>
      </x:c>
      <x:c r="C269" s="6" t="str">
        <x:v>SIDX-0253</x:v>
      </x:c>
      <x:c r="D269" s="6" t="str">
        <x:v>SVC000253</x:v>
      </x:c>
      <x:c r="E269" s="6" t="str"/>
      <x:c r="F269" s="6" t="str">
        <x:f>IFERROR(XLOOKUP(C269,'Review Sequence'!C2:C1586,'Review Sequence'!I2:I1586),"")</x:f>
        <x:v>No upstream dependency</x:v>
      </x:c>
      <x:c r="G269" s="6" t="str">
        <x:f>IFERROR(XLOOKUP(C269,'Review Sequence'!C2:C1586,'Review Sequence'!J2:J1586),"")</x:f>
        <x:v>Not Started</x:v>
      </x:c>
      <x:c r="H269" s="7" t="str">
        <x:f>IFERROR(XLOOKUP(C269,'Review Sequence'!C2:C1586,'Review Sequence'!O2:O1586),"")</x:f>
      </x:c>
      <x:c r="I269" s="6" t="str">
        <x:f>IFERROR(XLOOKUP(C269,'Review Sequence'!C2:C1586,'Review Sequence'!P2:P1586),"")</x:f>
        <x:v>No</x:v>
      </x:c>
    </x:row>
    <x:row r="270">
      <x:c r="A270" s="6" t="str">
        <x:v>BLK-0269</x:v>
      </x:c>
      <x:c r="B270" s="6" t="str">
        <x:v>Service Identity</x:v>
      </x:c>
      <x:c r="C270" s="6" t="str">
        <x:v>SIDX-0254</x:v>
      </x:c>
      <x:c r="D270" s="6" t="str">
        <x:v>SVC000254</x:v>
      </x:c>
      <x:c r="E270" s="6" t="str"/>
      <x:c r="F270" s="6" t="str">
        <x:f>IFERROR(XLOOKUP(C270,'Review Sequence'!C2:C1586,'Review Sequence'!I2:I1586),"")</x:f>
        <x:v>No upstream dependency</x:v>
      </x:c>
      <x:c r="G270" s="6" t="str">
        <x:f>IFERROR(XLOOKUP(C270,'Review Sequence'!C2:C1586,'Review Sequence'!J2:J1586),"")</x:f>
        <x:v>Not Started</x:v>
      </x:c>
      <x:c r="H270" s="7" t="str">
        <x:f>IFERROR(XLOOKUP(C270,'Review Sequence'!C2:C1586,'Review Sequence'!O2:O1586),"")</x:f>
      </x:c>
      <x:c r="I270" s="6" t="str">
        <x:f>IFERROR(XLOOKUP(C270,'Review Sequence'!C2:C1586,'Review Sequence'!P2:P1586),"")</x:f>
        <x:v>No</x:v>
      </x:c>
    </x:row>
    <x:row r="271">
      <x:c r="A271" s="6" t="str">
        <x:v>BLK-0270</x:v>
      </x:c>
      <x:c r="B271" s="6" t="str">
        <x:v>Service Identity</x:v>
      </x:c>
      <x:c r="C271" s="6" t="str">
        <x:v>SIDX-0255</x:v>
      </x:c>
      <x:c r="D271" s="6" t="str">
        <x:v>SVC000255</x:v>
      </x:c>
      <x:c r="E271" s="6" t="str"/>
      <x:c r="F271" s="6" t="str">
        <x:f>IFERROR(XLOOKUP(C271,'Review Sequence'!C2:C1586,'Review Sequence'!I2:I1586),"")</x:f>
        <x:v>No upstream dependency</x:v>
      </x:c>
      <x:c r="G271" s="6" t="str">
        <x:f>IFERROR(XLOOKUP(C271,'Review Sequence'!C2:C1586,'Review Sequence'!J2:J1586),"")</x:f>
        <x:v>Not Started</x:v>
      </x:c>
      <x:c r="H271" s="7" t="str">
        <x:f>IFERROR(XLOOKUP(C271,'Review Sequence'!C2:C1586,'Review Sequence'!O2:O1586),"")</x:f>
      </x:c>
      <x:c r="I271" s="6" t="str">
        <x:f>IFERROR(XLOOKUP(C271,'Review Sequence'!C2:C1586,'Review Sequence'!P2:P1586),"")</x:f>
        <x:v>No</x:v>
      </x:c>
    </x:row>
    <x:row r="272">
      <x:c r="A272" s="6" t="str">
        <x:v>BLK-0271</x:v>
      </x:c>
      <x:c r="B272" s="6" t="str">
        <x:v>Service Identity</x:v>
      </x:c>
      <x:c r="C272" s="6" t="str">
        <x:v>SIDX-0256</x:v>
      </x:c>
      <x:c r="D272" s="6" t="str">
        <x:v>SVC000256</x:v>
      </x:c>
      <x:c r="E272" s="6" t="str"/>
      <x:c r="F272" s="6" t="str">
        <x:f>IFERROR(XLOOKUP(C272,'Review Sequence'!C2:C1586,'Review Sequence'!I2:I1586),"")</x:f>
        <x:v>No upstream dependency</x:v>
      </x:c>
      <x:c r="G272" s="6" t="str">
        <x:f>IFERROR(XLOOKUP(C272,'Review Sequence'!C2:C1586,'Review Sequence'!J2:J1586),"")</x:f>
        <x:v>Not Started</x:v>
      </x:c>
      <x:c r="H272" s="7" t="str">
        <x:f>IFERROR(XLOOKUP(C272,'Review Sequence'!C2:C1586,'Review Sequence'!O2:O1586),"")</x:f>
      </x:c>
      <x:c r="I272" s="6" t="str">
        <x:f>IFERROR(XLOOKUP(C272,'Review Sequence'!C2:C1586,'Review Sequence'!P2:P1586),"")</x:f>
        <x:v>No</x:v>
      </x:c>
    </x:row>
    <x:row r="273">
      <x:c r="A273" s="6" t="str">
        <x:v>BLK-0272</x:v>
      </x:c>
      <x:c r="B273" s="6" t="str">
        <x:v>Service Identity</x:v>
      </x:c>
      <x:c r="C273" s="6" t="str">
        <x:v>SIDX-0257</x:v>
      </x:c>
      <x:c r="D273" s="6" t="str">
        <x:v>SVC000257</x:v>
      </x:c>
      <x:c r="E273" s="6" t="str"/>
      <x:c r="F273" s="6" t="str">
        <x:f>IFERROR(XLOOKUP(C273,'Review Sequence'!C2:C1586,'Review Sequence'!I2:I1586),"")</x:f>
        <x:v>No upstream dependency</x:v>
      </x:c>
      <x:c r="G273" s="6" t="str">
        <x:f>IFERROR(XLOOKUP(C273,'Review Sequence'!C2:C1586,'Review Sequence'!J2:J1586),"")</x:f>
        <x:v>Not Started</x:v>
      </x:c>
      <x:c r="H273" s="7" t="str">
        <x:f>IFERROR(XLOOKUP(C273,'Review Sequence'!C2:C1586,'Review Sequence'!O2:O1586),"")</x:f>
      </x:c>
      <x:c r="I273" s="6" t="str">
        <x:f>IFERROR(XLOOKUP(C273,'Review Sequence'!C2:C1586,'Review Sequence'!P2:P1586),"")</x:f>
        <x:v>No</x:v>
      </x:c>
    </x:row>
    <x:row r="274">
      <x:c r="A274" s="6" t="str">
        <x:v>BLK-0273</x:v>
      </x:c>
      <x:c r="B274" s="6" t="str">
        <x:v>Service Identity</x:v>
      </x:c>
      <x:c r="C274" s="6" t="str">
        <x:v>SIDX-0258</x:v>
      </x:c>
      <x:c r="D274" s="6" t="str">
        <x:v>SVC000258</x:v>
      </x:c>
      <x:c r="E274" s="6" t="str"/>
      <x:c r="F274" s="6" t="str">
        <x:f>IFERROR(XLOOKUP(C274,'Review Sequence'!C2:C1586,'Review Sequence'!I2:I1586),"")</x:f>
        <x:v>No upstream dependency</x:v>
      </x:c>
      <x:c r="G274" s="6" t="str">
        <x:f>IFERROR(XLOOKUP(C274,'Review Sequence'!C2:C1586,'Review Sequence'!J2:J1586),"")</x:f>
        <x:v>Not Started</x:v>
      </x:c>
      <x:c r="H274" s="7" t="str">
        <x:f>IFERROR(XLOOKUP(C274,'Review Sequence'!C2:C1586,'Review Sequence'!O2:O1586),"")</x:f>
      </x:c>
      <x:c r="I274" s="6" t="str">
        <x:f>IFERROR(XLOOKUP(C274,'Review Sequence'!C2:C1586,'Review Sequence'!P2:P1586),"")</x:f>
        <x:v>No</x:v>
      </x:c>
    </x:row>
    <x:row r="275">
      <x:c r="A275" s="6" t="str">
        <x:v>BLK-0274</x:v>
      </x:c>
      <x:c r="B275" s="6" t="str">
        <x:v>Service Identity</x:v>
      </x:c>
      <x:c r="C275" s="6" t="str">
        <x:v>SIDX-0259</x:v>
      </x:c>
      <x:c r="D275" s="6" t="str">
        <x:v>SVC000259</x:v>
      </x:c>
      <x:c r="E275" s="6" t="str"/>
      <x:c r="F275" s="6" t="str">
        <x:f>IFERROR(XLOOKUP(C275,'Review Sequence'!C2:C1586,'Review Sequence'!I2:I1586),"")</x:f>
        <x:v>No upstream dependency</x:v>
      </x:c>
      <x:c r="G275" s="6" t="str">
        <x:f>IFERROR(XLOOKUP(C275,'Review Sequence'!C2:C1586,'Review Sequence'!J2:J1586),"")</x:f>
        <x:v>Not Started</x:v>
      </x:c>
      <x:c r="H275" s="7" t="str">
        <x:f>IFERROR(XLOOKUP(C275,'Review Sequence'!C2:C1586,'Review Sequence'!O2:O1586),"")</x:f>
      </x:c>
      <x:c r="I275" s="6" t="str">
        <x:f>IFERROR(XLOOKUP(C275,'Review Sequence'!C2:C1586,'Review Sequence'!P2:P1586),"")</x:f>
        <x:v>No</x:v>
      </x:c>
    </x:row>
    <x:row r="276">
      <x:c r="A276" s="6" t="str">
        <x:v>BLK-0275</x:v>
      </x:c>
      <x:c r="B276" s="6" t="str">
        <x:v>Service Identity</x:v>
      </x:c>
      <x:c r="C276" s="6" t="str">
        <x:v>SIDX-0260</x:v>
      </x:c>
      <x:c r="D276" s="6" t="str">
        <x:v>SVC000260</x:v>
      </x:c>
      <x:c r="E276" s="6" t="str"/>
      <x:c r="F276" s="6" t="str">
        <x:f>IFERROR(XLOOKUP(C276,'Review Sequence'!C2:C1586,'Review Sequence'!I2:I1586),"")</x:f>
        <x:v>No upstream dependency</x:v>
      </x:c>
      <x:c r="G276" s="6" t="str">
        <x:f>IFERROR(XLOOKUP(C276,'Review Sequence'!C2:C1586,'Review Sequence'!J2:J1586),"")</x:f>
        <x:v>Not Started</x:v>
      </x:c>
      <x:c r="H276" s="7" t="str">
        <x:f>IFERROR(XLOOKUP(C276,'Review Sequence'!C2:C1586,'Review Sequence'!O2:O1586),"")</x:f>
      </x:c>
      <x:c r="I276" s="6" t="str">
        <x:f>IFERROR(XLOOKUP(C276,'Review Sequence'!C2:C1586,'Review Sequence'!P2:P1586),"")</x:f>
        <x:v>No</x:v>
      </x:c>
    </x:row>
    <x:row r="277">
      <x:c r="A277" s="6" t="str">
        <x:v>BLK-0276</x:v>
      </x:c>
      <x:c r="B277" s="6" t="str">
        <x:v>Service Identity</x:v>
      </x:c>
      <x:c r="C277" s="6" t="str">
        <x:v>SIDX-0261</x:v>
      </x:c>
      <x:c r="D277" s="6" t="str">
        <x:v>SVC000261</x:v>
      </x:c>
      <x:c r="E277" s="6" t="str"/>
      <x:c r="F277" s="6" t="str">
        <x:f>IFERROR(XLOOKUP(C277,'Review Sequence'!C2:C1586,'Review Sequence'!I2:I1586),"")</x:f>
        <x:v>No upstream dependency</x:v>
      </x:c>
      <x:c r="G277" s="6" t="str">
        <x:f>IFERROR(XLOOKUP(C277,'Review Sequence'!C2:C1586,'Review Sequence'!J2:J1586),"")</x:f>
        <x:v>Not Started</x:v>
      </x:c>
      <x:c r="H277" s="7" t="str">
        <x:f>IFERROR(XLOOKUP(C277,'Review Sequence'!C2:C1586,'Review Sequence'!O2:O1586),"")</x:f>
      </x:c>
      <x:c r="I277" s="6" t="str">
        <x:f>IFERROR(XLOOKUP(C277,'Review Sequence'!C2:C1586,'Review Sequence'!P2:P1586),"")</x:f>
        <x:v>No</x:v>
      </x:c>
    </x:row>
    <x:row r="278">
      <x:c r="A278" s="6" t="str">
        <x:v>BLK-0277</x:v>
      </x:c>
      <x:c r="B278" s="6" t="str">
        <x:v>Service Identity</x:v>
      </x:c>
      <x:c r="C278" s="6" t="str">
        <x:v>SIDX-0262</x:v>
      </x:c>
      <x:c r="D278" s="6" t="str">
        <x:v>SVC000262</x:v>
      </x:c>
      <x:c r="E278" s="6" t="str"/>
      <x:c r="F278" s="6" t="str">
        <x:f>IFERROR(XLOOKUP(C278,'Review Sequence'!C2:C1586,'Review Sequence'!I2:I1586),"")</x:f>
        <x:v>No upstream dependency</x:v>
      </x:c>
      <x:c r="G278" s="6" t="str">
        <x:f>IFERROR(XLOOKUP(C278,'Review Sequence'!C2:C1586,'Review Sequence'!J2:J1586),"")</x:f>
        <x:v>Not Started</x:v>
      </x:c>
      <x:c r="H278" s="7" t="str">
        <x:f>IFERROR(XLOOKUP(C278,'Review Sequence'!C2:C1586,'Review Sequence'!O2:O1586),"")</x:f>
      </x:c>
      <x:c r="I278" s="6" t="str">
        <x:f>IFERROR(XLOOKUP(C278,'Review Sequence'!C2:C1586,'Review Sequence'!P2:P1586),"")</x:f>
        <x:v>No</x:v>
      </x:c>
    </x:row>
    <x:row r="279">
      <x:c r="A279" s="6" t="str">
        <x:v>BLK-0278</x:v>
      </x:c>
      <x:c r="B279" s="6" t="str">
        <x:v>Service Identity</x:v>
      </x:c>
      <x:c r="C279" s="6" t="str">
        <x:v>SIDX-0263</x:v>
      </x:c>
      <x:c r="D279" s="6" t="str">
        <x:v>SVC000263</x:v>
      </x:c>
      <x:c r="E279" s="6" t="str"/>
      <x:c r="F279" s="6" t="str">
        <x:f>IFERROR(XLOOKUP(C279,'Review Sequence'!C2:C1586,'Review Sequence'!I2:I1586),"")</x:f>
        <x:v>No upstream dependency</x:v>
      </x:c>
      <x:c r="G279" s="6" t="str">
        <x:f>IFERROR(XLOOKUP(C279,'Review Sequence'!C2:C1586,'Review Sequence'!J2:J1586),"")</x:f>
        <x:v>Not Started</x:v>
      </x:c>
      <x:c r="H279" s="7" t="str">
        <x:f>IFERROR(XLOOKUP(C279,'Review Sequence'!C2:C1586,'Review Sequence'!O2:O1586),"")</x:f>
      </x:c>
      <x:c r="I279" s="6" t="str">
        <x:f>IFERROR(XLOOKUP(C279,'Review Sequence'!C2:C1586,'Review Sequence'!P2:P1586),"")</x:f>
        <x:v>No</x:v>
      </x:c>
    </x:row>
    <x:row r="280">
      <x:c r="A280" s="6" t="str">
        <x:v>BLK-0279</x:v>
      </x:c>
      <x:c r="B280" s="6" t="str">
        <x:v>Service Identity</x:v>
      </x:c>
      <x:c r="C280" s="6" t="str">
        <x:v>SIDX-0264</x:v>
      </x:c>
      <x:c r="D280" s="6" t="str">
        <x:v>SVC000264</x:v>
      </x:c>
      <x:c r="E280" s="6" t="str"/>
      <x:c r="F280" s="6" t="str">
        <x:f>IFERROR(XLOOKUP(C280,'Review Sequence'!C2:C1586,'Review Sequence'!I2:I1586),"")</x:f>
        <x:v>No upstream dependency</x:v>
      </x:c>
      <x:c r="G280" s="6" t="str">
        <x:f>IFERROR(XLOOKUP(C280,'Review Sequence'!C2:C1586,'Review Sequence'!J2:J1586),"")</x:f>
        <x:v>Not Started</x:v>
      </x:c>
      <x:c r="H280" s="7" t="str">
        <x:f>IFERROR(XLOOKUP(C280,'Review Sequence'!C2:C1586,'Review Sequence'!O2:O1586),"")</x:f>
      </x:c>
      <x:c r="I280" s="6" t="str">
        <x:f>IFERROR(XLOOKUP(C280,'Review Sequence'!C2:C1586,'Review Sequence'!P2:P1586),"")</x:f>
        <x:v>No</x:v>
      </x:c>
    </x:row>
    <x:row r="281">
      <x:c r="A281" s="6" t="str">
        <x:v>BLK-0280</x:v>
      </x:c>
      <x:c r="B281" s="6" t="str">
        <x:v>Service Identity</x:v>
      </x:c>
      <x:c r="C281" s="6" t="str">
        <x:v>SIDX-0265</x:v>
      </x:c>
      <x:c r="D281" s="6" t="str">
        <x:v>SVC000265</x:v>
      </x:c>
      <x:c r="E281" s="6" t="str"/>
      <x:c r="F281" s="6" t="str">
        <x:f>IFERROR(XLOOKUP(C281,'Review Sequence'!C2:C1586,'Review Sequence'!I2:I1586),"")</x:f>
        <x:v>No upstream dependency</x:v>
      </x:c>
      <x:c r="G281" s="6" t="str">
        <x:f>IFERROR(XLOOKUP(C281,'Review Sequence'!C2:C1586,'Review Sequence'!J2:J1586),"")</x:f>
        <x:v>Not Started</x:v>
      </x:c>
      <x:c r="H281" s="7" t="str">
        <x:f>IFERROR(XLOOKUP(C281,'Review Sequence'!C2:C1586,'Review Sequence'!O2:O1586),"")</x:f>
      </x:c>
      <x:c r="I281" s="6" t="str">
        <x:f>IFERROR(XLOOKUP(C281,'Review Sequence'!C2:C1586,'Review Sequence'!P2:P1586),"")</x:f>
        <x:v>No</x:v>
      </x:c>
    </x:row>
    <x:row r="282">
      <x:c r="A282" s="6" t="str">
        <x:v>BLK-0281</x:v>
      </x:c>
      <x:c r="B282" s="6" t="str">
        <x:v>Service Identity</x:v>
      </x:c>
      <x:c r="C282" s="6" t="str">
        <x:v>SIDX-0266</x:v>
      </x:c>
      <x:c r="D282" s="6" t="str">
        <x:v>SVC000266</x:v>
      </x:c>
      <x:c r="E282" s="6" t="str"/>
      <x:c r="F282" s="6" t="str">
        <x:f>IFERROR(XLOOKUP(C282,'Review Sequence'!C2:C1586,'Review Sequence'!I2:I1586),"")</x:f>
        <x:v>No upstream dependency</x:v>
      </x:c>
      <x:c r="G282" s="6" t="str">
        <x:f>IFERROR(XLOOKUP(C282,'Review Sequence'!C2:C1586,'Review Sequence'!J2:J1586),"")</x:f>
        <x:v>Not Started</x:v>
      </x:c>
      <x:c r="H282" s="7" t="str">
        <x:f>IFERROR(XLOOKUP(C282,'Review Sequence'!C2:C1586,'Review Sequence'!O2:O1586),"")</x:f>
      </x:c>
      <x:c r="I282" s="6" t="str">
        <x:f>IFERROR(XLOOKUP(C282,'Review Sequence'!C2:C1586,'Review Sequence'!P2:P1586),"")</x:f>
        <x:v>No</x:v>
      </x:c>
    </x:row>
    <x:row r="283">
      <x:c r="A283" s="6" t="str">
        <x:v>BLK-0282</x:v>
      </x:c>
      <x:c r="B283" s="6" t="str">
        <x:v>Service Identity</x:v>
      </x:c>
      <x:c r="C283" s="6" t="str">
        <x:v>SIDX-0267</x:v>
      </x:c>
      <x:c r="D283" s="6" t="str">
        <x:v>SVC000267</x:v>
      </x:c>
      <x:c r="E283" s="6" t="str"/>
      <x:c r="F283" s="6" t="str">
        <x:f>IFERROR(XLOOKUP(C283,'Review Sequence'!C2:C1586,'Review Sequence'!I2:I1586),"")</x:f>
        <x:v>No upstream dependency</x:v>
      </x:c>
      <x:c r="G283" s="6" t="str">
        <x:f>IFERROR(XLOOKUP(C283,'Review Sequence'!C2:C1586,'Review Sequence'!J2:J1586),"")</x:f>
        <x:v>Not Started</x:v>
      </x:c>
      <x:c r="H283" s="7" t="str">
        <x:f>IFERROR(XLOOKUP(C283,'Review Sequence'!C2:C1586,'Review Sequence'!O2:O1586),"")</x:f>
      </x:c>
      <x:c r="I283" s="6" t="str">
        <x:f>IFERROR(XLOOKUP(C283,'Review Sequence'!C2:C1586,'Review Sequence'!P2:P1586),"")</x:f>
        <x:v>No</x:v>
      </x:c>
    </x:row>
    <x:row r="284">
      <x:c r="A284" s="6" t="str">
        <x:v>BLK-0283</x:v>
      </x:c>
      <x:c r="B284" s="6" t="str">
        <x:v>Service Identity</x:v>
      </x:c>
      <x:c r="C284" s="6" t="str">
        <x:v>SIDX-0268</x:v>
      </x:c>
      <x:c r="D284" s="6" t="str">
        <x:v>SVC000268</x:v>
      </x:c>
      <x:c r="E284" s="6" t="str"/>
      <x:c r="F284" s="6" t="str">
        <x:f>IFERROR(XLOOKUP(C284,'Review Sequence'!C2:C1586,'Review Sequence'!I2:I1586),"")</x:f>
        <x:v>No upstream dependency</x:v>
      </x:c>
      <x:c r="G284" s="6" t="str">
        <x:f>IFERROR(XLOOKUP(C284,'Review Sequence'!C2:C1586,'Review Sequence'!J2:J1586),"")</x:f>
        <x:v>Not Started</x:v>
      </x:c>
      <x:c r="H284" s="7" t="str">
        <x:f>IFERROR(XLOOKUP(C284,'Review Sequence'!C2:C1586,'Review Sequence'!O2:O1586),"")</x:f>
      </x:c>
      <x:c r="I284" s="6" t="str">
        <x:f>IFERROR(XLOOKUP(C284,'Review Sequence'!C2:C1586,'Review Sequence'!P2:P1586),"")</x:f>
        <x:v>No</x:v>
      </x:c>
    </x:row>
    <x:row r="285">
      <x:c r="A285" s="6" t="str">
        <x:v>BLK-0284</x:v>
      </x:c>
      <x:c r="B285" s="6" t="str">
        <x:v>Service Identity</x:v>
      </x:c>
      <x:c r="C285" s="6" t="str">
        <x:v>SIDX-0269</x:v>
      </x:c>
      <x:c r="D285" s="6" t="str">
        <x:v>SVC000269</x:v>
      </x:c>
      <x:c r="E285" s="6" t="str"/>
      <x:c r="F285" s="6" t="str">
        <x:f>IFERROR(XLOOKUP(C285,'Review Sequence'!C2:C1586,'Review Sequence'!I2:I1586),"")</x:f>
        <x:v>No upstream dependency</x:v>
      </x:c>
      <x:c r="G285" s="6" t="str">
        <x:f>IFERROR(XLOOKUP(C285,'Review Sequence'!C2:C1586,'Review Sequence'!J2:J1586),"")</x:f>
        <x:v>Not Started</x:v>
      </x:c>
      <x:c r="H285" s="7" t="str">
        <x:f>IFERROR(XLOOKUP(C285,'Review Sequence'!C2:C1586,'Review Sequence'!O2:O1586),"")</x:f>
      </x:c>
      <x:c r="I285" s="6" t="str">
        <x:f>IFERROR(XLOOKUP(C285,'Review Sequence'!C2:C1586,'Review Sequence'!P2:P1586),"")</x:f>
        <x:v>No</x:v>
      </x:c>
    </x:row>
    <x:row r="286">
      <x:c r="A286" s="6" t="str">
        <x:v>BLK-0285</x:v>
      </x:c>
      <x:c r="B286" s="6" t="str">
        <x:v>Service Identity</x:v>
      </x:c>
      <x:c r="C286" s="6" t="str">
        <x:v>SIDX-0270</x:v>
      </x:c>
      <x:c r="D286" s="6" t="str">
        <x:v>SVC000270</x:v>
      </x:c>
      <x:c r="E286" s="6" t="str"/>
      <x:c r="F286" s="6" t="str">
        <x:f>IFERROR(XLOOKUP(C286,'Review Sequence'!C2:C1586,'Review Sequence'!I2:I1586),"")</x:f>
        <x:v>No upstream dependency</x:v>
      </x:c>
      <x:c r="G286" s="6" t="str">
        <x:f>IFERROR(XLOOKUP(C286,'Review Sequence'!C2:C1586,'Review Sequence'!J2:J1586),"")</x:f>
        <x:v>Not Started</x:v>
      </x:c>
      <x:c r="H286" s="7" t="str">
        <x:f>IFERROR(XLOOKUP(C286,'Review Sequence'!C2:C1586,'Review Sequence'!O2:O1586),"")</x:f>
      </x:c>
      <x:c r="I286" s="6" t="str">
        <x:f>IFERROR(XLOOKUP(C286,'Review Sequence'!C2:C1586,'Review Sequence'!P2:P1586),"")</x:f>
        <x:v>No</x:v>
      </x:c>
    </x:row>
    <x:row r="287">
      <x:c r="A287" s="6" t="str">
        <x:v>BLK-0286</x:v>
      </x:c>
      <x:c r="B287" s="6" t="str">
        <x:v>Service Identity</x:v>
      </x:c>
      <x:c r="C287" s="6" t="str">
        <x:v>SIDX-0271</x:v>
      </x:c>
      <x:c r="D287" s="6" t="str">
        <x:v>SVC000271</x:v>
      </x:c>
      <x:c r="E287" s="6" t="str"/>
      <x:c r="F287" s="6" t="str">
        <x:f>IFERROR(XLOOKUP(C287,'Review Sequence'!C2:C1586,'Review Sequence'!I2:I1586),"")</x:f>
        <x:v>No upstream dependency</x:v>
      </x:c>
      <x:c r="G287" s="6" t="str">
        <x:f>IFERROR(XLOOKUP(C287,'Review Sequence'!C2:C1586,'Review Sequence'!J2:J1586),"")</x:f>
        <x:v>Not Started</x:v>
      </x:c>
      <x:c r="H287" s="7" t="str">
        <x:f>IFERROR(XLOOKUP(C287,'Review Sequence'!C2:C1586,'Review Sequence'!O2:O1586),"")</x:f>
      </x:c>
      <x:c r="I287" s="6" t="str">
        <x:f>IFERROR(XLOOKUP(C287,'Review Sequence'!C2:C1586,'Review Sequence'!P2:P1586),"")</x:f>
        <x:v>No</x:v>
      </x:c>
    </x:row>
    <x:row r="288">
      <x:c r="A288" s="6" t="str">
        <x:v>BLK-0287</x:v>
      </x:c>
      <x:c r="B288" s="6" t="str">
        <x:v>Service Identity</x:v>
      </x:c>
      <x:c r="C288" s="6" t="str">
        <x:v>SIDX-0272</x:v>
      </x:c>
      <x:c r="D288" s="6" t="str">
        <x:v>SVC000272</x:v>
      </x:c>
      <x:c r="E288" s="6" t="str"/>
      <x:c r="F288" s="6" t="str">
        <x:f>IFERROR(XLOOKUP(C288,'Review Sequence'!C2:C1586,'Review Sequence'!I2:I1586),"")</x:f>
        <x:v>No upstream dependency</x:v>
      </x:c>
      <x:c r="G288" s="6" t="str">
        <x:f>IFERROR(XLOOKUP(C288,'Review Sequence'!C2:C1586,'Review Sequence'!J2:J1586),"")</x:f>
        <x:v>Not Started</x:v>
      </x:c>
      <x:c r="H288" s="7" t="str">
        <x:f>IFERROR(XLOOKUP(C288,'Review Sequence'!C2:C1586,'Review Sequence'!O2:O1586),"")</x:f>
      </x:c>
      <x:c r="I288" s="6" t="str">
        <x:f>IFERROR(XLOOKUP(C288,'Review Sequence'!C2:C1586,'Review Sequence'!P2:P1586),"")</x:f>
        <x:v>No</x:v>
      </x:c>
    </x:row>
    <x:row r="289">
      <x:c r="A289" s="6" t="str">
        <x:v>BLK-0288</x:v>
      </x:c>
      <x:c r="B289" s="6" t="str">
        <x:v>Service Identity</x:v>
      </x:c>
      <x:c r="C289" s="6" t="str">
        <x:v>SIDX-0273</x:v>
      </x:c>
      <x:c r="D289" s="6" t="str">
        <x:v>SVC000273</x:v>
      </x:c>
      <x:c r="E289" s="6" t="str"/>
      <x:c r="F289" s="6" t="str">
        <x:f>IFERROR(XLOOKUP(C289,'Review Sequence'!C2:C1586,'Review Sequence'!I2:I1586),"")</x:f>
        <x:v>No upstream dependency</x:v>
      </x:c>
      <x:c r="G289" s="6" t="str">
        <x:f>IFERROR(XLOOKUP(C289,'Review Sequence'!C2:C1586,'Review Sequence'!J2:J1586),"")</x:f>
        <x:v>Not Started</x:v>
      </x:c>
      <x:c r="H289" s="7" t="str">
        <x:f>IFERROR(XLOOKUP(C289,'Review Sequence'!C2:C1586,'Review Sequence'!O2:O1586),"")</x:f>
      </x:c>
      <x:c r="I289" s="6" t="str">
        <x:f>IFERROR(XLOOKUP(C289,'Review Sequence'!C2:C1586,'Review Sequence'!P2:P1586),"")</x:f>
        <x:v>No</x:v>
      </x:c>
    </x:row>
    <x:row r="290">
      <x:c r="A290" s="6" t="str">
        <x:v>BLK-0289</x:v>
      </x:c>
      <x:c r="B290" s="6" t="str">
        <x:v>Service Identity</x:v>
      </x:c>
      <x:c r="C290" s="6" t="str">
        <x:v>SIDX-0274</x:v>
      </x:c>
      <x:c r="D290" s="6" t="str">
        <x:v>SVC000274</x:v>
      </x:c>
      <x:c r="E290" s="6" t="str"/>
      <x:c r="F290" s="6" t="str">
        <x:f>IFERROR(XLOOKUP(C290,'Review Sequence'!C2:C1586,'Review Sequence'!I2:I1586),"")</x:f>
        <x:v>No upstream dependency</x:v>
      </x:c>
      <x:c r="G290" s="6" t="str">
        <x:f>IFERROR(XLOOKUP(C290,'Review Sequence'!C2:C1586,'Review Sequence'!J2:J1586),"")</x:f>
        <x:v>Not Started</x:v>
      </x:c>
      <x:c r="H290" s="7" t="str">
        <x:f>IFERROR(XLOOKUP(C290,'Review Sequence'!C2:C1586,'Review Sequence'!O2:O1586),"")</x:f>
      </x:c>
      <x:c r="I290" s="6" t="str">
        <x:f>IFERROR(XLOOKUP(C290,'Review Sequence'!C2:C1586,'Review Sequence'!P2:P1586),"")</x:f>
        <x:v>No</x:v>
      </x:c>
    </x:row>
    <x:row r="291">
      <x:c r="A291" s="6" t="str">
        <x:v>BLK-0290</x:v>
      </x:c>
      <x:c r="B291" s="6" t="str">
        <x:v>Service Identity</x:v>
      </x:c>
      <x:c r="C291" s="6" t="str">
        <x:v>SIDX-0275</x:v>
      </x:c>
      <x:c r="D291" s="6" t="str">
        <x:v>SVC000275</x:v>
      </x:c>
      <x:c r="E291" s="6" t="str"/>
      <x:c r="F291" s="6" t="str">
        <x:f>IFERROR(XLOOKUP(C291,'Review Sequence'!C2:C1586,'Review Sequence'!I2:I1586),"")</x:f>
        <x:v>No upstream dependency</x:v>
      </x:c>
      <x:c r="G291" s="6" t="str">
        <x:f>IFERROR(XLOOKUP(C291,'Review Sequence'!C2:C1586,'Review Sequence'!J2:J1586),"")</x:f>
        <x:v>Not Started</x:v>
      </x:c>
      <x:c r="H291" s="7" t="str">
        <x:f>IFERROR(XLOOKUP(C291,'Review Sequence'!C2:C1586,'Review Sequence'!O2:O1586),"")</x:f>
      </x:c>
      <x:c r="I291" s="6" t="str">
        <x:f>IFERROR(XLOOKUP(C291,'Review Sequence'!C2:C1586,'Review Sequence'!P2:P1586),"")</x:f>
        <x:v>No</x:v>
      </x:c>
    </x:row>
    <x:row r="292">
      <x:c r="A292" s="6" t="str">
        <x:v>BLK-0291</x:v>
      </x:c>
      <x:c r="B292" s="6" t="str">
        <x:v>Service Identity</x:v>
      </x:c>
      <x:c r="C292" s="6" t="str">
        <x:v>SIDX-0276</x:v>
      </x:c>
      <x:c r="D292" s="6" t="str">
        <x:v>SVC000276</x:v>
      </x:c>
      <x:c r="E292" s="6" t="str"/>
      <x:c r="F292" s="6" t="str">
        <x:f>IFERROR(XLOOKUP(C292,'Review Sequence'!C2:C1586,'Review Sequence'!I2:I1586),"")</x:f>
        <x:v>No upstream dependency</x:v>
      </x:c>
      <x:c r="G292" s="6" t="str">
        <x:f>IFERROR(XLOOKUP(C292,'Review Sequence'!C2:C1586,'Review Sequence'!J2:J1586),"")</x:f>
        <x:v>Not Started</x:v>
      </x:c>
      <x:c r="H292" s="7" t="str">
        <x:f>IFERROR(XLOOKUP(C292,'Review Sequence'!C2:C1586,'Review Sequence'!O2:O1586),"")</x:f>
      </x:c>
      <x:c r="I292" s="6" t="str">
        <x:f>IFERROR(XLOOKUP(C292,'Review Sequence'!C2:C1586,'Review Sequence'!P2:P1586),"")</x:f>
        <x:v>No</x:v>
      </x:c>
    </x:row>
    <x:row r="293">
      <x:c r="A293" s="6" t="str">
        <x:v>BLK-0292</x:v>
      </x:c>
      <x:c r="B293" s="6" t="str">
        <x:v>Service Identity</x:v>
      </x:c>
      <x:c r="C293" s="6" t="str">
        <x:v>SIDX-0277</x:v>
      </x:c>
      <x:c r="D293" s="6" t="str">
        <x:v>SVC000277</x:v>
      </x:c>
      <x:c r="E293" s="6" t="str"/>
      <x:c r="F293" s="6" t="str">
        <x:f>IFERROR(XLOOKUP(C293,'Review Sequence'!C2:C1586,'Review Sequence'!I2:I1586),"")</x:f>
        <x:v>No upstream dependency</x:v>
      </x:c>
      <x:c r="G293" s="6" t="str">
        <x:f>IFERROR(XLOOKUP(C293,'Review Sequence'!C2:C1586,'Review Sequence'!J2:J1586),"")</x:f>
        <x:v>Not Started</x:v>
      </x:c>
      <x:c r="H293" s="7" t="str">
        <x:f>IFERROR(XLOOKUP(C293,'Review Sequence'!C2:C1586,'Review Sequence'!O2:O1586),"")</x:f>
      </x:c>
      <x:c r="I293" s="6" t="str">
        <x:f>IFERROR(XLOOKUP(C293,'Review Sequence'!C2:C1586,'Review Sequence'!P2:P1586),"")</x:f>
        <x:v>No</x:v>
      </x:c>
    </x:row>
    <x:row r="294">
      <x:c r="A294" s="6" t="str">
        <x:v>BLK-0293</x:v>
      </x:c>
      <x:c r="B294" s="6" t="str">
        <x:v>Service Identity</x:v>
      </x:c>
      <x:c r="C294" s="6" t="str">
        <x:v>SIDX-0278</x:v>
      </x:c>
      <x:c r="D294" s="6" t="str">
        <x:v>SVC000278</x:v>
      </x:c>
      <x:c r="E294" s="6" t="str"/>
      <x:c r="F294" s="6" t="str">
        <x:f>IFERROR(XLOOKUP(C294,'Review Sequence'!C2:C1586,'Review Sequence'!I2:I1586),"")</x:f>
        <x:v>No upstream dependency</x:v>
      </x:c>
      <x:c r="G294" s="6" t="str">
        <x:f>IFERROR(XLOOKUP(C294,'Review Sequence'!C2:C1586,'Review Sequence'!J2:J1586),"")</x:f>
        <x:v>Not Started</x:v>
      </x:c>
      <x:c r="H294" s="7" t="str">
        <x:f>IFERROR(XLOOKUP(C294,'Review Sequence'!C2:C1586,'Review Sequence'!O2:O1586),"")</x:f>
      </x:c>
      <x:c r="I294" s="6" t="str">
        <x:f>IFERROR(XLOOKUP(C294,'Review Sequence'!C2:C1586,'Review Sequence'!P2:P1586),"")</x:f>
        <x:v>No</x:v>
      </x:c>
    </x:row>
    <x:row r="295">
      <x:c r="A295" s="6" t="str">
        <x:v>BLK-0294</x:v>
      </x:c>
      <x:c r="B295" s="6" t="str">
        <x:v>Service Identity</x:v>
      </x:c>
      <x:c r="C295" s="6" t="str">
        <x:v>SIDX-0279</x:v>
      </x:c>
      <x:c r="D295" s="6" t="str">
        <x:v>SVC000279</x:v>
      </x:c>
      <x:c r="E295" s="6" t="str"/>
      <x:c r="F295" s="6" t="str">
        <x:f>IFERROR(XLOOKUP(C295,'Review Sequence'!C2:C1586,'Review Sequence'!I2:I1586),"")</x:f>
        <x:v>No upstream dependency</x:v>
      </x:c>
      <x:c r="G295" s="6" t="str">
        <x:f>IFERROR(XLOOKUP(C295,'Review Sequence'!C2:C1586,'Review Sequence'!J2:J1586),"")</x:f>
        <x:v>Not Started</x:v>
      </x:c>
      <x:c r="H295" s="7" t="str">
        <x:f>IFERROR(XLOOKUP(C295,'Review Sequence'!C2:C1586,'Review Sequence'!O2:O1586),"")</x:f>
      </x:c>
      <x:c r="I295" s="6" t="str">
        <x:f>IFERROR(XLOOKUP(C295,'Review Sequence'!C2:C1586,'Review Sequence'!P2:P1586),"")</x:f>
        <x:v>No</x:v>
      </x:c>
    </x:row>
    <x:row r="296">
      <x:c r="A296" s="6" t="str">
        <x:v>BLK-0295</x:v>
      </x:c>
      <x:c r="B296" s="6" t="str">
        <x:v>Service Identity</x:v>
      </x:c>
      <x:c r="C296" s="6" t="str">
        <x:v>SIDX-0280</x:v>
      </x:c>
      <x:c r="D296" s="6" t="str">
        <x:v>SVC000280</x:v>
      </x:c>
      <x:c r="E296" s="6" t="str"/>
      <x:c r="F296" s="6" t="str">
        <x:f>IFERROR(XLOOKUP(C296,'Review Sequence'!C2:C1586,'Review Sequence'!I2:I1586),"")</x:f>
        <x:v>No upstream dependency</x:v>
      </x:c>
      <x:c r="G296" s="6" t="str">
        <x:f>IFERROR(XLOOKUP(C296,'Review Sequence'!C2:C1586,'Review Sequence'!J2:J1586),"")</x:f>
        <x:v>Not Started</x:v>
      </x:c>
      <x:c r="H296" s="7" t="str">
        <x:f>IFERROR(XLOOKUP(C296,'Review Sequence'!C2:C1586,'Review Sequence'!O2:O1586),"")</x:f>
      </x:c>
      <x:c r="I296" s="6" t="str">
        <x:f>IFERROR(XLOOKUP(C296,'Review Sequence'!C2:C1586,'Review Sequence'!P2:P1586),"")</x:f>
        <x:v>No</x:v>
      </x:c>
    </x:row>
    <x:row r="297">
      <x:c r="A297" s="6" t="str">
        <x:v>BLK-0296</x:v>
      </x:c>
      <x:c r="B297" s="6" t="str">
        <x:v>Service Identity</x:v>
      </x:c>
      <x:c r="C297" s="6" t="str">
        <x:v>SIDX-0281</x:v>
      </x:c>
      <x:c r="D297" s="6" t="str">
        <x:v>SVC000281</x:v>
      </x:c>
      <x:c r="E297" s="6" t="str"/>
      <x:c r="F297" s="6" t="str">
        <x:f>IFERROR(XLOOKUP(C297,'Review Sequence'!C2:C1586,'Review Sequence'!I2:I1586),"")</x:f>
        <x:v>No upstream dependency</x:v>
      </x:c>
      <x:c r="G297" s="6" t="str">
        <x:f>IFERROR(XLOOKUP(C297,'Review Sequence'!C2:C1586,'Review Sequence'!J2:J1586),"")</x:f>
        <x:v>Not Started</x:v>
      </x:c>
      <x:c r="H297" s="7" t="str">
        <x:f>IFERROR(XLOOKUP(C297,'Review Sequence'!C2:C1586,'Review Sequence'!O2:O1586),"")</x:f>
      </x:c>
      <x:c r="I297" s="6" t="str">
        <x:f>IFERROR(XLOOKUP(C297,'Review Sequence'!C2:C1586,'Review Sequence'!P2:P1586),"")</x:f>
        <x:v>No</x:v>
      </x:c>
    </x:row>
    <x:row r="298">
      <x:c r="A298" s="6" t="str">
        <x:v>BLK-0297</x:v>
      </x:c>
      <x:c r="B298" s="6" t="str">
        <x:v>Service Identity</x:v>
      </x:c>
      <x:c r="C298" s="6" t="str">
        <x:v>SIDX-0282</x:v>
      </x:c>
      <x:c r="D298" s="6" t="str">
        <x:v>SVC000282</x:v>
      </x:c>
      <x:c r="E298" s="6" t="str"/>
      <x:c r="F298" s="6" t="str">
        <x:f>IFERROR(XLOOKUP(C298,'Review Sequence'!C2:C1586,'Review Sequence'!I2:I1586),"")</x:f>
        <x:v>No upstream dependency</x:v>
      </x:c>
      <x:c r="G298" s="6" t="str">
        <x:f>IFERROR(XLOOKUP(C298,'Review Sequence'!C2:C1586,'Review Sequence'!J2:J1586),"")</x:f>
        <x:v>Not Started</x:v>
      </x:c>
      <x:c r="H298" s="7" t="str">
        <x:f>IFERROR(XLOOKUP(C298,'Review Sequence'!C2:C1586,'Review Sequence'!O2:O1586),"")</x:f>
      </x:c>
      <x:c r="I298" s="6" t="str">
        <x:f>IFERROR(XLOOKUP(C298,'Review Sequence'!C2:C1586,'Review Sequence'!P2:P1586),"")</x:f>
        <x:v>No</x:v>
      </x:c>
    </x:row>
    <x:row r="299">
      <x:c r="A299" s="6" t="str">
        <x:v>BLK-0298</x:v>
      </x:c>
      <x:c r="B299" s="6" t="str">
        <x:v>Service Identity</x:v>
      </x:c>
      <x:c r="C299" s="6" t="str">
        <x:v>SIDX-0283</x:v>
      </x:c>
      <x:c r="D299" s="6" t="str">
        <x:v>SVC000283</x:v>
      </x:c>
      <x:c r="E299" s="6" t="str"/>
      <x:c r="F299" s="6" t="str">
        <x:f>IFERROR(XLOOKUP(C299,'Review Sequence'!C2:C1586,'Review Sequence'!I2:I1586),"")</x:f>
        <x:v>No upstream dependency</x:v>
      </x:c>
      <x:c r="G299" s="6" t="str">
        <x:f>IFERROR(XLOOKUP(C299,'Review Sequence'!C2:C1586,'Review Sequence'!J2:J1586),"")</x:f>
        <x:v>Not Started</x:v>
      </x:c>
      <x:c r="H299" s="7" t="str">
        <x:f>IFERROR(XLOOKUP(C299,'Review Sequence'!C2:C1586,'Review Sequence'!O2:O1586),"")</x:f>
      </x:c>
      <x:c r="I299" s="6" t="str">
        <x:f>IFERROR(XLOOKUP(C299,'Review Sequence'!C2:C1586,'Review Sequence'!P2:P1586),"")</x:f>
        <x:v>No</x:v>
      </x:c>
    </x:row>
    <x:row r="300">
      <x:c r="A300" s="6" t="str">
        <x:v>BLK-0299</x:v>
      </x:c>
      <x:c r="B300" s="6" t="str">
        <x:v>Service Identity</x:v>
      </x:c>
      <x:c r="C300" s="6" t="str">
        <x:v>SIDX-0284</x:v>
      </x:c>
      <x:c r="D300" s="6" t="str">
        <x:v>SVC000284</x:v>
      </x:c>
      <x:c r="E300" s="6" t="str"/>
      <x:c r="F300" s="6" t="str">
        <x:f>IFERROR(XLOOKUP(C300,'Review Sequence'!C2:C1586,'Review Sequence'!I2:I1586),"")</x:f>
        <x:v>No upstream dependency</x:v>
      </x:c>
      <x:c r="G300" s="6" t="str">
        <x:f>IFERROR(XLOOKUP(C300,'Review Sequence'!C2:C1586,'Review Sequence'!J2:J1586),"")</x:f>
        <x:v>Not Started</x:v>
      </x:c>
      <x:c r="H300" s="7" t="str">
        <x:f>IFERROR(XLOOKUP(C300,'Review Sequence'!C2:C1586,'Review Sequence'!O2:O1586),"")</x:f>
      </x:c>
      <x:c r="I300" s="6" t="str">
        <x:f>IFERROR(XLOOKUP(C300,'Review Sequence'!C2:C1586,'Review Sequence'!P2:P1586),"")</x:f>
        <x:v>No</x:v>
      </x:c>
    </x:row>
    <x:row r="301">
      <x:c r="A301" s="6" t="str">
        <x:v>BLK-0300</x:v>
      </x:c>
      <x:c r="B301" s="6" t="str">
        <x:v>Service Identity</x:v>
      </x:c>
      <x:c r="C301" s="6" t="str">
        <x:v>SIDX-0285</x:v>
      </x:c>
      <x:c r="D301" s="6" t="str">
        <x:v>SVC000285</x:v>
      </x:c>
      <x:c r="E301" s="6" t="str"/>
      <x:c r="F301" s="6" t="str">
        <x:f>IFERROR(XLOOKUP(C301,'Review Sequence'!C2:C1586,'Review Sequence'!I2:I1586),"")</x:f>
        <x:v>No upstream dependency</x:v>
      </x:c>
      <x:c r="G301" s="6" t="str">
        <x:f>IFERROR(XLOOKUP(C301,'Review Sequence'!C2:C1586,'Review Sequence'!J2:J1586),"")</x:f>
        <x:v>Not Started</x:v>
      </x:c>
      <x:c r="H301" s="7" t="str">
        <x:f>IFERROR(XLOOKUP(C301,'Review Sequence'!C2:C1586,'Review Sequence'!O2:O1586),"")</x:f>
      </x:c>
      <x:c r="I301" s="6" t="str">
        <x:f>IFERROR(XLOOKUP(C301,'Review Sequence'!C2:C1586,'Review Sequence'!P2:P1586),"")</x:f>
        <x:v>No</x:v>
      </x:c>
    </x:row>
    <x:row r="302">
      <x:c r="A302" s="6" t="str">
        <x:v>BLK-0301</x:v>
      </x:c>
      <x:c r="B302" s="6" t="str">
        <x:v>Service Identity</x:v>
      </x:c>
      <x:c r="C302" s="6" t="str">
        <x:v>SIDX-0286</x:v>
      </x:c>
      <x:c r="D302" s="6" t="str">
        <x:v>SVC000286</x:v>
      </x:c>
      <x:c r="E302" s="6" t="str"/>
      <x:c r="F302" s="6" t="str">
        <x:f>IFERROR(XLOOKUP(C302,'Review Sequence'!C2:C1586,'Review Sequence'!I2:I1586),"")</x:f>
        <x:v>No upstream dependency</x:v>
      </x:c>
      <x:c r="G302" s="6" t="str">
        <x:f>IFERROR(XLOOKUP(C302,'Review Sequence'!C2:C1586,'Review Sequence'!J2:J1586),"")</x:f>
        <x:v>Not Started</x:v>
      </x:c>
      <x:c r="H302" s="7" t="str">
        <x:f>IFERROR(XLOOKUP(C302,'Review Sequence'!C2:C1586,'Review Sequence'!O2:O1586),"")</x:f>
      </x:c>
      <x:c r="I302" s="6" t="str">
        <x:f>IFERROR(XLOOKUP(C302,'Review Sequence'!C2:C1586,'Review Sequence'!P2:P1586),"")</x:f>
        <x:v>No</x:v>
      </x:c>
    </x:row>
    <x:row r="303">
      <x:c r="A303" s="6" t="str">
        <x:v>BLK-0302</x:v>
      </x:c>
      <x:c r="B303" s="6" t="str">
        <x:v>Service Identity</x:v>
      </x:c>
      <x:c r="C303" s="6" t="str">
        <x:v>SIDX-0287</x:v>
      </x:c>
      <x:c r="D303" s="6" t="str">
        <x:v>SVC000287</x:v>
      </x:c>
      <x:c r="E303" s="6" t="str"/>
      <x:c r="F303" s="6" t="str">
        <x:f>IFERROR(XLOOKUP(C303,'Review Sequence'!C2:C1586,'Review Sequence'!I2:I1586),"")</x:f>
        <x:v>No upstream dependency</x:v>
      </x:c>
      <x:c r="G303" s="6" t="str">
        <x:f>IFERROR(XLOOKUP(C303,'Review Sequence'!C2:C1586,'Review Sequence'!J2:J1586),"")</x:f>
        <x:v>Not Started</x:v>
      </x:c>
      <x:c r="H303" s="7" t="str">
        <x:f>IFERROR(XLOOKUP(C303,'Review Sequence'!C2:C1586,'Review Sequence'!O2:O1586),"")</x:f>
      </x:c>
      <x:c r="I303" s="6" t="str">
        <x:f>IFERROR(XLOOKUP(C303,'Review Sequence'!C2:C1586,'Review Sequence'!P2:P1586),"")</x:f>
        <x:v>No</x:v>
      </x:c>
    </x:row>
    <x:row r="304">
      <x:c r="A304" s="6" t="str">
        <x:v>BLK-0303</x:v>
      </x:c>
      <x:c r="B304" s="6" t="str">
        <x:v>Service Identity</x:v>
      </x:c>
      <x:c r="C304" s="6" t="str">
        <x:v>SIDX-0288</x:v>
      </x:c>
      <x:c r="D304" s="6" t="str">
        <x:v>SVC000288</x:v>
      </x:c>
      <x:c r="E304" s="6" t="str"/>
      <x:c r="F304" s="6" t="str">
        <x:f>IFERROR(XLOOKUP(C304,'Review Sequence'!C2:C1586,'Review Sequence'!I2:I1586),"")</x:f>
        <x:v>No upstream dependency</x:v>
      </x:c>
      <x:c r="G304" s="6" t="str">
        <x:f>IFERROR(XLOOKUP(C304,'Review Sequence'!C2:C1586,'Review Sequence'!J2:J1586),"")</x:f>
        <x:v>Not Started</x:v>
      </x:c>
      <x:c r="H304" s="7" t="str">
        <x:f>IFERROR(XLOOKUP(C304,'Review Sequence'!C2:C1586,'Review Sequence'!O2:O1586),"")</x:f>
      </x:c>
      <x:c r="I304" s="6" t="str">
        <x:f>IFERROR(XLOOKUP(C304,'Review Sequence'!C2:C1586,'Review Sequence'!P2:P1586),"")</x:f>
        <x:v>No</x:v>
      </x:c>
    </x:row>
    <x:row r="305">
      <x:c r="A305" s="6" t="str">
        <x:v>BLK-0304</x:v>
      </x:c>
      <x:c r="B305" s="6" t="str">
        <x:v>Service Identity</x:v>
      </x:c>
      <x:c r="C305" s="6" t="str">
        <x:v>SIDX-0289</x:v>
      </x:c>
      <x:c r="D305" s="6" t="str">
        <x:v>SVC000289</x:v>
      </x:c>
      <x:c r="E305" s="6" t="str"/>
      <x:c r="F305" s="6" t="str">
        <x:f>IFERROR(XLOOKUP(C305,'Review Sequence'!C2:C1586,'Review Sequence'!I2:I1586),"")</x:f>
        <x:v>No upstream dependency</x:v>
      </x:c>
      <x:c r="G305" s="6" t="str">
        <x:f>IFERROR(XLOOKUP(C305,'Review Sequence'!C2:C1586,'Review Sequence'!J2:J1586),"")</x:f>
        <x:v>Not Started</x:v>
      </x:c>
      <x:c r="H305" s="7" t="str">
        <x:f>IFERROR(XLOOKUP(C305,'Review Sequence'!C2:C1586,'Review Sequence'!O2:O1586),"")</x:f>
      </x:c>
      <x:c r="I305" s="6" t="str">
        <x:f>IFERROR(XLOOKUP(C305,'Review Sequence'!C2:C1586,'Review Sequence'!P2:P1586),"")</x:f>
        <x:v>No</x:v>
      </x:c>
    </x:row>
    <x:row r="306">
      <x:c r="A306" s="6" t="str">
        <x:v>BLK-0305</x:v>
      </x:c>
      <x:c r="B306" s="6" t="str">
        <x:v>Service Identity</x:v>
      </x:c>
      <x:c r="C306" s="6" t="str">
        <x:v>SIDX-0290</x:v>
      </x:c>
      <x:c r="D306" s="6" t="str">
        <x:v>SVC000290</x:v>
      </x:c>
      <x:c r="E306" s="6" t="str"/>
      <x:c r="F306" s="6" t="str">
        <x:f>IFERROR(XLOOKUP(C306,'Review Sequence'!C2:C1586,'Review Sequence'!I2:I1586),"")</x:f>
        <x:v>No upstream dependency</x:v>
      </x:c>
      <x:c r="G306" s="6" t="str">
        <x:f>IFERROR(XLOOKUP(C306,'Review Sequence'!C2:C1586,'Review Sequence'!J2:J1586),"")</x:f>
        <x:v>Not Started</x:v>
      </x:c>
      <x:c r="H306" s="7" t="str">
        <x:f>IFERROR(XLOOKUP(C306,'Review Sequence'!C2:C1586,'Review Sequence'!O2:O1586),"")</x:f>
      </x:c>
      <x:c r="I306" s="6" t="str">
        <x:f>IFERROR(XLOOKUP(C306,'Review Sequence'!C2:C1586,'Review Sequence'!P2:P1586),"")</x:f>
        <x:v>No</x:v>
      </x:c>
    </x:row>
    <x:row r="307">
      <x:c r="A307" s="6" t="str">
        <x:v>BLK-0306</x:v>
      </x:c>
      <x:c r="B307" s="6" t="str">
        <x:v>Service Identity</x:v>
      </x:c>
      <x:c r="C307" s="6" t="str">
        <x:v>SIDX-0291</x:v>
      </x:c>
      <x:c r="D307" s="6" t="str">
        <x:v>SVC000291</x:v>
      </x:c>
      <x:c r="E307" s="6" t="str"/>
      <x:c r="F307" s="6" t="str">
        <x:f>IFERROR(XLOOKUP(C307,'Review Sequence'!C2:C1586,'Review Sequence'!I2:I1586),"")</x:f>
        <x:v>No upstream dependency</x:v>
      </x:c>
      <x:c r="G307" s="6" t="str">
        <x:f>IFERROR(XLOOKUP(C307,'Review Sequence'!C2:C1586,'Review Sequence'!J2:J1586),"")</x:f>
        <x:v>Not Started</x:v>
      </x:c>
      <x:c r="H307" s="7" t="str">
        <x:f>IFERROR(XLOOKUP(C307,'Review Sequence'!C2:C1586,'Review Sequence'!O2:O1586),"")</x:f>
      </x:c>
      <x:c r="I307" s="6" t="str">
        <x:f>IFERROR(XLOOKUP(C307,'Review Sequence'!C2:C1586,'Review Sequence'!P2:P1586),"")</x:f>
        <x:v>No</x:v>
      </x:c>
    </x:row>
    <x:row r="308">
      <x:c r="A308" s="6" t="str">
        <x:v>BLK-0307</x:v>
      </x:c>
      <x:c r="B308" s="6" t="str">
        <x:v>Service Identity</x:v>
      </x:c>
      <x:c r="C308" s="6" t="str">
        <x:v>SIDX-0292</x:v>
      </x:c>
      <x:c r="D308" s="6" t="str">
        <x:v>SVC000292</x:v>
      </x:c>
      <x:c r="E308" s="6" t="str"/>
      <x:c r="F308" s="6" t="str">
        <x:f>IFERROR(XLOOKUP(C308,'Review Sequence'!C2:C1586,'Review Sequence'!I2:I1586),"")</x:f>
        <x:v>No upstream dependency</x:v>
      </x:c>
      <x:c r="G308" s="6" t="str">
        <x:f>IFERROR(XLOOKUP(C308,'Review Sequence'!C2:C1586,'Review Sequence'!J2:J1586),"")</x:f>
        <x:v>Not Started</x:v>
      </x:c>
      <x:c r="H308" s="7" t="str">
        <x:f>IFERROR(XLOOKUP(C308,'Review Sequence'!C2:C1586,'Review Sequence'!O2:O1586),"")</x:f>
      </x:c>
      <x:c r="I308" s="6" t="str">
        <x:f>IFERROR(XLOOKUP(C308,'Review Sequence'!C2:C1586,'Review Sequence'!P2:P1586),"")</x:f>
        <x:v>No</x:v>
      </x:c>
    </x:row>
    <x:row r="309">
      <x:c r="A309" s="6" t="str">
        <x:v>BLK-0308</x:v>
      </x:c>
      <x:c r="B309" s="6" t="str">
        <x:v>Service Identity</x:v>
      </x:c>
      <x:c r="C309" s="6" t="str">
        <x:v>SIDX-0293</x:v>
      </x:c>
      <x:c r="D309" s="6" t="str">
        <x:v>SVC000293</x:v>
      </x:c>
      <x:c r="E309" s="6" t="str"/>
      <x:c r="F309" s="6" t="str">
        <x:f>IFERROR(XLOOKUP(C309,'Review Sequence'!C2:C1586,'Review Sequence'!I2:I1586),"")</x:f>
        <x:v>No upstream dependency</x:v>
      </x:c>
      <x:c r="G309" s="6" t="str">
        <x:f>IFERROR(XLOOKUP(C309,'Review Sequence'!C2:C1586,'Review Sequence'!J2:J1586),"")</x:f>
        <x:v>Not Started</x:v>
      </x:c>
      <x:c r="H309" s="7" t="str">
        <x:f>IFERROR(XLOOKUP(C309,'Review Sequence'!C2:C1586,'Review Sequence'!O2:O1586),"")</x:f>
      </x:c>
      <x:c r="I309" s="6" t="str">
        <x:f>IFERROR(XLOOKUP(C309,'Review Sequence'!C2:C1586,'Review Sequence'!P2:P1586),"")</x:f>
        <x:v>No</x:v>
      </x:c>
    </x:row>
    <x:row r="310">
      <x:c r="A310" s="6" t="str">
        <x:v>BLK-0309</x:v>
      </x:c>
      <x:c r="B310" s="6" t="str">
        <x:v>Service Identity</x:v>
      </x:c>
      <x:c r="C310" s="6" t="str">
        <x:v>SIDX-0294</x:v>
      </x:c>
      <x:c r="D310" s="6" t="str">
        <x:v>SVC000294</x:v>
      </x:c>
      <x:c r="E310" s="6" t="str"/>
      <x:c r="F310" s="6" t="str">
        <x:f>IFERROR(XLOOKUP(C310,'Review Sequence'!C2:C1586,'Review Sequence'!I2:I1586),"")</x:f>
        <x:v>No upstream dependency</x:v>
      </x:c>
      <x:c r="G310" s="6" t="str">
        <x:f>IFERROR(XLOOKUP(C310,'Review Sequence'!C2:C1586,'Review Sequence'!J2:J1586),"")</x:f>
        <x:v>Not Started</x:v>
      </x:c>
      <x:c r="H310" s="7" t="str">
        <x:f>IFERROR(XLOOKUP(C310,'Review Sequence'!C2:C1586,'Review Sequence'!O2:O1586),"")</x:f>
      </x:c>
      <x:c r="I310" s="6" t="str">
        <x:f>IFERROR(XLOOKUP(C310,'Review Sequence'!C2:C1586,'Review Sequence'!P2:P1586),"")</x:f>
        <x:v>No</x:v>
      </x:c>
    </x:row>
    <x:row r="311">
      <x:c r="A311" s="6" t="str">
        <x:v>BLK-0310</x:v>
      </x:c>
      <x:c r="B311" s="6" t="str">
        <x:v>Service Identity</x:v>
      </x:c>
      <x:c r="C311" s="6" t="str">
        <x:v>SIDX-0295</x:v>
      </x:c>
      <x:c r="D311" s="6" t="str">
        <x:v>SVC000295</x:v>
      </x:c>
      <x:c r="E311" s="6" t="str"/>
      <x:c r="F311" s="6" t="str">
        <x:f>IFERROR(XLOOKUP(C311,'Review Sequence'!C2:C1586,'Review Sequence'!I2:I1586),"")</x:f>
        <x:v>No upstream dependency</x:v>
      </x:c>
      <x:c r="G311" s="6" t="str">
        <x:f>IFERROR(XLOOKUP(C311,'Review Sequence'!C2:C1586,'Review Sequence'!J2:J1586),"")</x:f>
        <x:v>Not Started</x:v>
      </x:c>
      <x:c r="H311" s="7" t="str">
        <x:f>IFERROR(XLOOKUP(C311,'Review Sequence'!C2:C1586,'Review Sequence'!O2:O1586),"")</x:f>
      </x:c>
      <x:c r="I311" s="6" t="str">
        <x:f>IFERROR(XLOOKUP(C311,'Review Sequence'!C2:C1586,'Review Sequence'!P2:P1586),"")</x:f>
        <x:v>No</x:v>
      </x:c>
    </x:row>
    <x:row r="312">
      <x:c r="A312" s="6" t="str">
        <x:v>BLK-0311</x:v>
      </x:c>
      <x:c r="B312" s="6" t="str">
        <x:v>Service Identity</x:v>
      </x:c>
      <x:c r="C312" s="6" t="str">
        <x:v>SIDX-0296</x:v>
      </x:c>
      <x:c r="D312" s="6" t="str">
        <x:v>SVC000296</x:v>
      </x:c>
      <x:c r="E312" s="6" t="str"/>
      <x:c r="F312" s="6" t="str">
        <x:f>IFERROR(XLOOKUP(C312,'Review Sequence'!C2:C1586,'Review Sequence'!I2:I1586),"")</x:f>
        <x:v>No upstream dependency</x:v>
      </x:c>
      <x:c r="G312" s="6" t="str">
        <x:f>IFERROR(XLOOKUP(C312,'Review Sequence'!C2:C1586,'Review Sequence'!J2:J1586),"")</x:f>
        <x:v>Not Started</x:v>
      </x:c>
      <x:c r="H312" s="7" t="str">
        <x:f>IFERROR(XLOOKUP(C312,'Review Sequence'!C2:C1586,'Review Sequence'!O2:O1586),"")</x:f>
      </x:c>
      <x:c r="I312" s="6" t="str">
        <x:f>IFERROR(XLOOKUP(C312,'Review Sequence'!C2:C1586,'Review Sequence'!P2:P1586),"")</x:f>
        <x:v>No</x:v>
      </x:c>
    </x:row>
    <x:row r="313">
      <x:c r="A313" s="6" t="str">
        <x:v>BLK-0312</x:v>
      </x:c>
      <x:c r="B313" s="6" t="str">
        <x:v>Service Identity</x:v>
      </x:c>
      <x:c r="C313" s="6" t="str">
        <x:v>SIDX-0297</x:v>
      </x:c>
      <x:c r="D313" s="6" t="str">
        <x:v>SVC000297</x:v>
      </x:c>
      <x:c r="E313" s="6" t="str"/>
      <x:c r="F313" s="6" t="str">
        <x:f>IFERROR(XLOOKUP(C313,'Review Sequence'!C2:C1586,'Review Sequence'!I2:I1586),"")</x:f>
        <x:v>No upstream dependency</x:v>
      </x:c>
      <x:c r="G313" s="6" t="str">
        <x:f>IFERROR(XLOOKUP(C313,'Review Sequence'!C2:C1586,'Review Sequence'!J2:J1586),"")</x:f>
        <x:v>Not Started</x:v>
      </x:c>
      <x:c r="H313" s="7" t="str">
        <x:f>IFERROR(XLOOKUP(C313,'Review Sequence'!C2:C1586,'Review Sequence'!O2:O1586),"")</x:f>
      </x:c>
      <x:c r="I313" s="6" t="str">
        <x:f>IFERROR(XLOOKUP(C313,'Review Sequence'!C2:C1586,'Review Sequence'!P2:P1586),"")</x:f>
        <x:v>No</x:v>
      </x:c>
    </x:row>
    <x:row r="314">
      <x:c r="A314" s="6" t="str">
        <x:v>BLK-0313</x:v>
      </x:c>
      <x:c r="B314" s="6" t="str">
        <x:v>Service Identity</x:v>
      </x:c>
      <x:c r="C314" s="6" t="str">
        <x:v>SIDX-0298</x:v>
      </x:c>
      <x:c r="D314" s="6" t="str">
        <x:v>SVC000298</x:v>
      </x:c>
      <x:c r="E314" s="6" t="str"/>
      <x:c r="F314" s="6" t="str">
        <x:f>IFERROR(XLOOKUP(C314,'Review Sequence'!C2:C1586,'Review Sequence'!I2:I1586),"")</x:f>
        <x:v>No upstream dependency</x:v>
      </x:c>
      <x:c r="G314" s="6" t="str">
        <x:f>IFERROR(XLOOKUP(C314,'Review Sequence'!C2:C1586,'Review Sequence'!J2:J1586),"")</x:f>
        <x:v>Not Started</x:v>
      </x:c>
      <x:c r="H314" s="7" t="str">
        <x:f>IFERROR(XLOOKUP(C314,'Review Sequence'!C2:C1586,'Review Sequence'!O2:O1586),"")</x:f>
      </x:c>
      <x:c r="I314" s="6" t="str">
        <x:f>IFERROR(XLOOKUP(C314,'Review Sequence'!C2:C1586,'Review Sequence'!P2:P1586),"")</x:f>
        <x:v>No</x:v>
      </x:c>
    </x:row>
    <x:row r="315">
      <x:c r="A315" s="6" t="str">
        <x:v>BLK-0314</x:v>
      </x:c>
      <x:c r="B315" s="6" t="str">
        <x:v>Service Identity</x:v>
      </x:c>
      <x:c r="C315" s="6" t="str">
        <x:v>SIDX-0299</x:v>
      </x:c>
      <x:c r="D315" s="6" t="str">
        <x:v>SVC000299</x:v>
      </x:c>
      <x:c r="E315" s="6" t="str"/>
      <x:c r="F315" s="6" t="str">
        <x:f>IFERROR(XLOOKUP(C315,'Review Sequence'!C2:C1586,'Review Sequence'!I2:I1586),"")</x:f>
        <x:v>No upstream dependency</x:v>
      </x:c>
      <x:c r="G315" s="6" t="str">
        <x:f>IFERROR(XLOOKUP(C315,'Review Sequence'!C2:C1586,'Review Sequence'!J2:J1586),"")</x:f>
        <x:v>Not Started</x:v>
      </x:c>
      <x:c r="H315" s="7" t="str">
        <x:f>IFERROR(XLOOKUP(C315,'Review Sequence'!C2:C1586,'Review Sequence'!O2:O1586),"")</x:f>
      </x:c>
      <x:c r="I315" s="6" t="str">
        <x:f>IFERROR(XLOOKUP(C315,'Review Sequence'!C2:C1586,'Review Sequence'!P2:P1586),"")</x:f>
        <x:v>No</x:v>
      </x:c>
    </x:row>
    <x:row r="316">
      <x:c r="A316" s="6" t="str">
        <x:v>BLK-0315</x:v>
      </x:c>
      <x:c r="B316" s="6" t="str">
        <x:v>Service Identity</x:v>
      </x:c>
      <x:c r="C316" s="6" t="str">
        <x:v>SIDX-0300</x:v>
      </x:c>
      <x:c r="D316" s="6" t="str">
        <x:v>SVC000300</x:v>
      </x:c>
      <x:c r="E316" s="6" t="str"/>
      <x:c r="F316" s="6" t="str">
        <x:f>IFERROR(XLOOKUP(C316,'Review Sequence'!C2:C1586,'Review Sequence'!I2:I1586),"")</x:f>
        <x:v>No upstream dependency</x:v>
      </x:c>
      <x:c r="G316" s="6" t="str">
        <x:f>IFERROR(XLOOKUP(C316,'Review Sequence'!C2:C1586,'Review Sequence'!J2:J1586),"")</x:f>
        <x:v>Not Started</x:v>
      </x:c>
      <x:c r="H316" s="7" t="str">
        <x:f>IFERROR(XLOOKUP(C316,'Review Sequence'!C2:C1586,'Review Sequence'!O2:O1586),"")</x:f>
      </x:c>
      <x:c r="I316" s="6" t="str">
        <x:f>IFERROR(XLOOKUP(C316,'Review Sequence'!C2:C1586,'Review Sequence'!P2:P1586),"")</x:f>
        <x:v>No</x:v>
      </x:c>
    </x:row>
    <x:row r="317">
      <x:c r="A317" s="6" t="str">
        <x:v>BLK-0316</x:v>
      </x:c>
      <x:c r="B317" s="6" t="str">
        <x:v>Service Identity</x:v>
      </x:c>
      <x:c r="C317" s="6" t="str">
        <x:v>SIDX-0301</x:v>
      </x:c>
      <x:c r="D317" s="6" t="str">
        <x:v>SVC000301</x:v>
      </x:c>
      <x:c r="E317" s="6" t="str"/>
      <x:c r="F317" s="6" t="str">
        <x:f>IFERROR(XLOOKUP(C317,'Review Sequence'!C2:C1586,'Review Sequence'!I2:I1586),"")</x:f>
        <x:v>No upstream dependency</x:v>
      </x:c>
      <x:c r="G317" s="6" t="str">
        <x:f>IFERROR(XLOOKUP(C317,'Review Sequence'!C2:C1586,'Review Sequence'!J2:J1586),"")</x:f>
        <x:v>Not Started</x:v>
      </x:c>
      <x:c r="H317" s="7" t="str">
        <x:f>IFERROR(XLOOKUP(C317,'Review Sequence'!C2:C1586,'Review Sequence'!O2:O1586),"")</x:f>
      </x:c>
      <x:c r="I317" s="6" t="str">
        <x:f>IFERROR(XLOOKUP(C317,'Review Sequence'!C2:C1586,'Review Sequence'!P2:P1586),"")</x:f>
        <x:v>No</x:v>
      </x:c>
    </x:row>
    <x:row r="318">
      <x:c r="A318" s="6" t="str">
        <x:v>BLK-0317</x:v>
      </x:c>
      <x:c r="B318" s="6" t="str">
        <x:v>Service Identity</x:v>
      </x:c>
      <x:c r="C318" s="6" t="str">
        <x:v>SIDX-0302</x:v>
      </x:c>
      <x:c r="D318" s="6" t="str">
        <x:v>SVC000302</x:v>
      </x:c>
      <x:c r="E318" s="6" t="str"/>
      <x:c r="F318" s="6" t="str">
        <x:f>IFERROR(XLOOKUP(C318,'Review Sequence'!C2:C1586,'Review Sequence'!I2:I1586),"")</x:f>
        <x:v>No upstream dependency</x:v>
      </x:c>
      <x:c r="G318" s="6" t="str">
        <x:f>IFERROR(XLOOKUP(C318,'Review Sequence'!C2:C1586,'Review Sequence'!J2:J1586),"")</x:f>
        <x:v>Not Started</x:v>
      </x:c>
      <x:c r="H318" s="7" t="str">
        <x:f>IFERROR(XLOOKUP(C318,'Review Sequence'!C2:C1586,'Review Sequence'!O2:O1586),"")</x:f>
      </x:c>
      <x:c r="I318" s="6" t="str">
        <x:f>IFERROR(XLOOKUP(C318,'Review Sequence'!C2:C1586,'Review Sequence'!P2:P1586),"")</x:f>
        <x:v>No</x:v>
      </x:c>
    </x:row>
    <x:row r="319">
      <x:c r="A319" s="6" t="str">
        <x:v>BLK-0318</x:v>
      </x:c>
      <x:c r="B319" s="6" t="str">
        <x:v>Service Identity</x:v>
      </x:c>
      <x:c r="C319" s="6" t="str">
        <x:v>SIDX-0303</x:v>
      </x:c>
      <x:c r="D319" s="6" t="str">
        <x:v>SVC000303</x:v>
      </x:c>
      <x:c r="E319" s="6" t="str"/>
      <x:c r="F319" s="6" t="str">
        <x:f>IFERROR(XLOOKUP(C319,'Review Sequence'!C2:C1586,'Review Sequence'!I2:I1586),"")</x:f>
        <x:v>No upstream dependency</x:v>
      </x:c>
      <x:c r="G319" s="6" t="str">
        <x:f>IFERROR(XLOOKUP(C319,'Review Sequence'!C2:C1586,'Review Sequence'!J2:J1586),"")</x:f>
        <x:v>Not Started</x:v>
      </x:c>
      <x:c r="H319" s="7" t="str">
        <x:f>IFERROR(XLOOKUP(C319,'Review Sequence'!C2:C1586,'Review Sequence'!O2:O1586),"")</x:f>
      </x:c>
      <x:c r="I319" s="6" t="str">
        <x:f>IFERROR(XLOOKUP(C319,'Review Sequence'!C2:C1586,'Review Sequence'!P2:P1586),"")</x:f>
        <x:v>No</x:v>
      </x:c>
    </x:row>
    <x:row r="320">
      <x:c r="A320" s="6" t="str">
        <x:v>BLK-0319</x:v>
      </x:c>
      <x:c r="B320" s="6" t="str">
        <x:v>Service Identity</x:v>
      </x:c>
      <x:c r="C320" s="6" t="str">
        <x:v>SIDX-0304</x:v>
      </x:c>
      <x:c r="D320" s="6" t="str">
        <x:v>SVC000304</x:v>
      </x:c>
      <x:c r="E320" s="6" t="str"/>
      <x:c r="F320" s="6" t="str">
        <x:f>IFERROR(XLOOKUP(C320,'Review Sequence'!C2:C1586,'Review Sequence'!I2:I1586),"")</x:f>
        <x:v>No upstream dependency</x:v>
      </x:c>
      <x:c r="G320" s="6" t="str">
        <x:f>IFERROR(XLOOKUP(C320,'Review Sequence'!C2:C1586,'Review Sequence'!J2:J1586),"")</x:f>
        <x:v>Not Started</x:v>
      </x:c>
      <x:c r="H320" s="7" t="str">
        <x:f>IFERROR(XLOOKUP(C320,'Review Sequence'!C2:C1586,'Review Sequence'!O2:O1586),"")</x:f>
      </x:c>
      <x:c r="I320" s="6" t="str">
        <x:f>IFERROR(XLOOKUP(C320,'Review Sequence'!C2:C1586,'Review Sequence'!P2:P1586),"")</x:f>
        <x:v>No</x:v>
      </x:c>
    </x:row>
    <x:row r="321">
      <x:c r="A321" s="6" t="str">
        <x:v>BLK-0320</x:v>
      </x:c>
      <x:c r="B321" s="6" t="str">
        <x:v>Service Identity</x:v>
      </x:c>
      <x:c r="C321" s="6" t="str">
        <x:v>SIDX-0305</x:v>
      </x:c>
      <x:c r="D321" s="6" t="str">
        <x:v>SVC000305</x:v>
      </x:c>
      <x:c r="E321" s="6" t="str"/>
      <x:c r="F321" s="6" t="str">
        <x:f>IFERROR(XLOOKUP(C321,'Review Sequence'!C2:C1586,'Review Sequence'!I2:I1586),"")</x:f>
        <x:v>No upstream dependency</x:v>
      </x:c>
      <x:c r="G321" s="6" t="str">
        <x:f>IFERROR(XLOOKUP(C321,'Review Sequence'!C2:C1586,'Review Sequence'!J2:J1586),"")</x:f>
        <x:v>Not Started</x:v>
      </x:c>
      <x:c r="H321" s="7" t="str">
        <x:f>IFERROR(XLOOKUP(C321,'Review Sequence'!C2:C1586,'Review Sequence'!O2:O1586),"")</x:f>
      </x:c>
      <x:c r="I321" s="6" t="str">
        <x:f>IFERROR(XLOOKUP(C321,'Review Sequence'!C2:C1586,'Review Sequence'!P2:P1586),"")</x:f>
        <x:v>No</x:v>
      </x:c>
    </x:row>
    <x:row r="322">
      <x:c r="A322" s="6" t="str">
        <x:v>BLK-0321</x:v>
      </x:c>
      <x:c r="B322" s="6" t="str">
        <x:v>Service Identity</x:v>
      </x:c>
      <x:c r="C322" s="6" t="str">
        <x:v>SIDX-0306</x:v>
      </x:c>
      <x:c r="D322" s="6" t="str">
        <x:v>SVC000306</x:v>
      </x:c>
      <x:c r="E322" s="6" t="str"/>
      <x:c r="F322" s="6" t="str">
        <x:f>IFERROR(XLOOKUP(C322,'Review Sequence'!C2:C1586,'Review Sequence'!I2:I1586),"")</x:f>
        <x:v>No upstream dependency</x:v>
      </x:c>
      <x:c r="G322" s="6" t="str">
        <x:f>IFERROR(XLOOKUP(C322,'Review Sequence'!C2:C1586,'Review Sequence'!J2:J1586),"")</x:f>
        <x:v>Not Started</x:v>
      </x:c>
      <x:c r="H322" s="7" t="str">
        <x:f>IFERROR(XLOOKUP(C322,'Review Sequence'!C2:C1586,'Review Sequence'!O2:O1586),"")</x:f>
      </x:c>
      <x:c r="I322" s="6" t="str">
        <x:f>IFERROR(XLOOKUP(C322,'Review Sequence'!C2:C1586,'Review Sequence'!P2:P1586),"")</x:f>
        <x:v>No</x:v>
      </x:c>
    </x:row>
    <x:row r="323">
      <x:c r="A323" s="6" t="str">
        <x:v>BLK-0322</x:v>
      </x:c>
      <x:c r="B323" s="6" t="str">
        <x:v>Service Identity</x:v>
      </x:c>
      <x:c r="C323" s="6" t="str">
        <x:v>SIDX-0307</x:v>
      </x:c>
      <x:c r="D323" s="6" t="str">
        <x:v>SVC000307</x:v>
      </x:c>
      <x:c r="E323" s="6" t="str"/>
      <x:c r="F323" s="6" t="str">
        <x:f>IFERROR(XLOOKUP(C323,'Review Sequence'!C2:C1586,'Review Sequence'!I2:I1586),"")</x:f>
        <x:v>No upstream dependency</x:v>
      </x:c>
      <x:c r="G323" s="6" t="str">
        <x:f>IFERROR(XLOOKUP(C323,'Review Sequence'!C2:C1586,'Review Sequence'!J2:J1586),"")</x:f>
        <x:v>Not Started</x:v>
      </x:c>
      <x:c r="H323" s="7" t="str">
        <x:f>IFERROR(XLOOKUP(C323,'Review Sequence'!C2:C1586,'Review Sequence'!O2:O1586),"")</x:f>
      </x:c>
      <x:c r="I323" s="6" t="str">
        <x:f>IFERROR(XLOOKUP(C323,'Review Sequence'!C2:C1586,'Review Sequence'!P2:P1586),"")</x:f>
        <x:v>No</x:v>
      </x:c>
    </x:row>
    <x:row r="324">
      <x:c r="A324" s="6" t="str">
        <x:v>BLK-0323</x:v>
      </x:c>
      <x:c r="B324" s="6" t="str">
        <x:v>Service Identity</x:v>
      </x:c>
      <x:c r="C324" s="6" t="str">
        <x:v>SIDX-0308</x:v>
      </x:c>
      <x:c r="D324" s="6" t="str">
        <x:v>SVC000308</x:v>
      </x:c>
      <x:c r="E324" s="6" t="str"/>
      <x:c r="F324" s="6" t="str">
        <x:f>IFERROR(XLOOKUP(C324,'Review Sequence'!C2:C1586,'Review Sequence'!I2:I1586),"")</x:f>
        <x:v>No upstream dependency</x:v>
      </x:c>
      <x:c r="G324" s="6" t="str">
        <x:f>IFERROR(XLOOKUP(C324,'Review Sequence'!C2:C1586,'Review Sequence'!J2:J1586),"")</x:f>
        <x:v>Not Started</x:v>
      </x:c>
      <x:c r="H324" s="7" t="str">
        <x:f>IFERROR(XLOOKUP(C324,'Review Sequence'!C2:C1586,'Review Sequence'!O2:O1586),"")</x:f>
      </x:c>
      <x:c r="I324" s="6" t="str">
        <x:f>IFERROR(XLOOKUP(C324,'Review Sequence'!C2:C1586,'Review Sequence'!P2:P1586),"")</x:f>
        <x:v>No</x:v>
      </x:c>
    </x:row>
    <x:row r="325">
      <x:c r="A325" s="6" t="str">
        <x:v>BLK-0324</x:v>
      </x:c>
      <x:c r="B325" s="6" t="str">
        <x:v>Service Identity</x:v>
      </x:c>
      <x:c r="C325" s="6" t="str">
        <x:v>SIDX-0309</x:v>
      </x:c>
      <x:c r="D325" s="6" t="str">
        <x:v>SVC000309</x:v>
      </x:c>
      <x:c r="E325" s="6" t="str"/>
      <x:c r="F325" s="6" t="str">
        <x:f>IFERROR(XLOOKUP(C325,'Review Sequence'!C2:C1586,'Review Sequence'!I2:I1586),"")</x:f>
        <x:v>No upstream dependency</x:v>
      </x:c>
      <x:c r="G325" s="6" t="str">
        <x:f>IFERROR(XLOOKUP(C325,'Review Sequence'!C2:C1586,'Review Sequence'!J2:J1586),"")</x:f>
        <x:v>Not Started</x:v>
      </x:c>
      <x:c r="H325" s="7" t="str">
        <x:f>IFERROR(XLOOKUP(C325,'Review Sequence'!C2:C1586,'Review Sequence'!O2:O1586),"")</x:f>
      </x:c>
      <x:c r="I325" s="6" t="str">
        <x:f>IFERROR(XLOOKUP(C325,'Review Sequence'!C2:C1586,'Review Sequence'!P2:P1586),"")</x:f>
        <x:v>No</x:v>
      </x:c>
    </x:row>
    <x:row r="326">
      <x:c r="A326" s="6" t="str">
        <x:v>BLK-0325</x:v>
      </x:c>
      <x:c r="B326" s="6" t="str">
        <x:v>Service Identity</x:v>
      </x:c>
      <x:c r="C326" s="6" t="str">
        <x:v>SIDX-0310</x:v>
      </x:c>
      <x:c r="D326" s="6" t="str">
        <x:v>SVC000310</x:v>
      </x:c>
      <x:c r="E326" s="6" t="str"/>
      <x:c r="F326" s="6" t="str">
        <x:f>IFERROR(XLOOKUP(C326,'Review Sequence'!C2:C1586,'Review Sequence'!I2:I1586),"")</x:f>
        <x:v>No upstream dependency</x:v>
      </x:c>
      <x:c r="G326" s="6" t="str">
        <x:f>IFERROR(XLOOKUP(C326,'Review Sequence'!C2:C1586,'Review Sequence'!J2:J1586),"")</x:f>
        <x:v>Not Started</x:v>
      </x:c>
      <x:c r="H326" s="7" t="str">
        <x:f>IFERROR(XLOOKUP(C326,'Review Sequence'!C2:C1586,'Review Sequence'!O2:O1586),"")</x:f>
      </x:c>
      <x:c r="I326" s="6" t="str">
        <x:f>IFERROR(XLOOKUP(C326,'Review Sequence'!C2:C1586,'Review Sequence'!P2:P1586),"")</x:f>
        <x:v>No</x:v>
      </x:c>
    </x:row>
    <x:row r="327">
      <x:c r="A327" s="6" t="str">
        <x:v>BLK-0326</x:v>
      </x:c>
      <x:c r="B327" s="6" t="str">
        <x:v>Service Identity</x:v>
      </x:c>
      <x:c r="C327" s="6" t="str">
        <x:v>SIDX-0311</x:v>
      </x:c>
      <x:c r="D327" s="6" t="str">
        <x:v>SVC000311</x:v>
      </x:c>
      <x:c r="E327" s="6" t="str"/>
      <x:c r="F327" s="6" t="str">
        <x:f>IFERROR(XLOOKUP(C327,'Review Sequence'!C2:C1586,'Review Sequence'!I2:I1586),"")</x:f>
        <x:v>No upstream dependency</x:v>
      </x:c>
      <x:c r="G327" s="6" t="str">
        <x:f>IFERROR(XLOOKUP(C327,'Review Sequence'!C2:C1586,'Review Sequence'!J2:J1586),"")</x:f>
        <x:v>Not Started</x:v>
      </x:c>
      <x:c r="H327" s="7" t="str">
        <x:f>IFERROR(XLOOKUP(C327,'Review Sequence'!C2:C1586,'Review Sequence'!O2:O1586),"")</x:f>
      </x:c>
      <x:c r="I327" s="6" t="str">
        <x:f>IFERROR(XLOOKUP(C327,'Review Sequence'!C2:C1586,'Review Sequence'!P2:P1586),"")</x:f>
        <x:v>No</x:v>
      </x:c>
    </x:row>
    <x:row r="328">
      <x:c r="A328" s="6" t="str">
        <x:v>BLK-0327</x:v>
      </x:c>
      <x:c r="B328" s="6" t="str">
        <x:v>Service Identity</x:v>
      </x:c>
      <x:c r="C328" s="6" t="str">
        <x:v>SIDX-0312</x:v>
      </x:c>
      <x:c r="D328" s="6" t="str">
        <x:v>SVC000312</x:v>
      </x:c>
      <x:c r="E328" s="6" t="str"/>
      <x:c r="F328" s="6" t="str">
        <x:f>IFERROR(XLOOKUP(C328,'Review Sequence'!C2:C1586,'Review Sequence'!I2:I1586),"")</x:f>
        <x:v>No upstream dependency</x:v>
      </x:c>
      <x:c r="G328" s="6" t="str">
        <x:f>IFERROR(XLOOKUP(C328,'Review Sequence'!C2:C1586,'Review Sequence'!J2:J1586),"")</x:f>
        <x:v>Not Started</x:v>
      </x:c>
      <x:c r="H328" s="7" t="str">
        <x:f>IFERROR(XLOOKUP(C328,'Review Sequence'!C2:C1586,'Review Sequence'!O2:O1586),"")</x:f>
      </x:c>
      <x:c r="I328" s="6" t="str">
        <x:f>IFERROR(XLOOKUP(C328,'Review Sequence'!C2:C1586,'Review Sequence'!P2:P1586),"")</x:f>
        <x:v>No</x:v>
      </x:c>
    </x:row>
    <x:row r="329">
      <x:c r="A329" s="6" t="str">
        <x:v>BLK-0328</x:v>
      </x:c>
      <x:c r="B329" s="6" t="str">
        <x:v>Service Identity</x:v>
      </x:c>
      <x:c r="C329" s="6" t="str">
        <x:v>SIDX-0313</x:v>
      </x:c>
      <x:c r="D329" s="6" t="str">
        <x:v>SVC000313</x:v>
      </x:c>
      <x:c r="E329" s="6" t="str"/>
      <x:c r="F329" s="6" t="str">
        <x:f>IFERROR(XLOOKUP(C329,'Review Sequence'!C2:C1586,'Review Sequence'!I2:I1586),"")</x:f>
        <x:v>No upstream dependency</x:v>
      </x:c>
      <x:c r="G329" s="6" t="str">
        <x:f>IFERROR(XLOOKUP(C329,'Review Sequence'!C2:C1586,'Review Sequence'!J2:J1586),"")</x:f>
        <x:v>Not Started</x:v>
      </x:c>
      <x:c r="H329" s="7" t="str">
        <x:f>IFERROR(XLOOKUP(C329,'Review Sequence'!C2:C1586,'Review Sequence'!O2:O1586),"")</x:f>
      </x:c>
      <x:c r="I329" s="6" t="str">
        <x:f>IFERROR(XLOOKUP(C329,'Review Sequence'!C2:C1586,'Review Sequence'!P2:P1586),"")</x:f>
        <x:v>No</x:v>
      </x:c>
    </x:row>
    <x:row r="330">
      <x:c r="A330" s="6" t="str">
        <x:v>BLK-0329</x:v>
      </x:c>
      <x:c r="B330" s="6" t="str">
        <x:v>Service Identity</x:v>
      </x:c>
      <x:c r="C330" s="6" t="str">
        <x:v>SIDX-0314</x:v>
      </x:c>
      <x:c r="D330" s="6" t="str">
        <x:v>SVC000314</x:v>
      </x:c>
      <x:c r="E330" s="6" t="str"/>
      <x:c r="F330" s="6" t="str">
        <x:f>IFERROR(XLOOKUP(C330,'Review Sequence'!C2:C1586,'Review Sequence'!I2:I1586),"")</x:f>
        <x:v>No upstream dependency</x:v>
      </x:c>
      <x:c r="G330" s="6" t="str">
        <x:f>IFERROR(XLOOKUP(C330,'Review Sequence'!C2:C1586,'Review Sequence'!J2:J1586),"")</x:f>
        <x:v>Not Started</x:v>
      </x:c>
      <x:c r="H330" s="7" t="str">
        <x:f>IFERROR(XLOOKUP(C330,'Review Sequence'!C2:C1586,'Review Sequence'!O2:O1586),"")</x:f>
      </x:c>
      <x:c r="I330" s="6" t="str">
        <x:f>IFERROR(XLOOKUP(C330,'Review Sequence'!C2:C1586,'Review Sequence'!P2:P1586),"")</x:f>
        <x:v>No</x:v>
      </x:c>
    </x:row>
    <x:row r="331">
      <x:c r="A331" s="6" t="str">
        <x:v>BLK-0330</x:v>
      </x:c>
      <x:c r="B331" s="6" t="str">
        <x:v>Manufacturer Scope</x:v>
      </x:c>
      <x:c r="C331" s="6" t="str">
        <x:v>MFRX-0001</x:v>
      </x:c>
      <x:c r="D331" s="6" t="str">
        <x:v>SVC000001</x:v>
      </x:c>
      <x:c r="E331" s="6" t="str"/>
      <x:c r="F331" s="6" t="str">
        <x:f>IFERROR(XLOOKUP(C331,'Review Sequence'!C2:C1586,'Review Sequence'!I2:I1586),"")</x:f>
        <x:v>Not Started</x:v>
      </x:c>
      <x:c r="G331" s="6" t="str">
        <x:f>IFERROR(XLOOKUP(C331,'Review Sequence'!C2:C1586,'Review Sequence'!J2:J1586),"")</x:f>
        <x:v>Not Started</x:v>
      </x:c>
      <x:c r="H331" s="7" t="str">
        <x:f>IFERROR(XLOOKUP(C331,'Review Sequence'!C2:C1586,'Review Sequence'!O2:O1586),"")</x:f>
      </x:c>
      <x:c r="I331" s="6" t="str">
        <x:f>IFERROR(XLOOKUP(C331,'Review Sequence'!C2:C1586,'Review Sequence'!P2:P1586),"")</x:f>
        <x:v>Yes</x:v>
      </x:c>
    </x:row>
    <x:row r="332">
      <x:c r="A332" s="6" t="str">
        <x:v>BLK-0331</x:v>
      </x:c>
      <x:c r="B332" s="6" t="str">
        <x:v>Manufacturer Scope</x:v>
      </x:c>
      <x:c r="C332" s="6" t="str">
        <x:v>MFRX-0002</x:v>
      </x:c>
      <x:c r="D332" s="6" t="str">
        <x:v>SVC000002</x:v>
      </x:c>
      <x:c r="E332" s="6" t="str"/>
      <x:c r="F332" s="6" t="str">
        <x:f>IFERROR(XLOOKUP(C332,'Review Sequence'!C2:C1586,'Review Sequence'!I2:I1586),"")</x:f>
        <x:v>Not Started</x:v>
      </x:c>
      <x:c r="G332" s="6" t="str">
        <x:f>IFERROR(XLOOKUP(C332,'Review Sequence'!C2:C1586,'Review Sequence'!J2:J1586),"")</x:f>
        <x:v>Not Started</x:v>
      </x:c>
      <x:c r="H332" s="7" t="str">
        <x:f>IFERROR(XLOOKUP(C332,'Review Sequence'!C2:C1586,'Review Sequence'!O2:O1586),"")</x:f>
      </x:c>
      <x:c r="I332" s="6" t="str">
        <x:f>IFERROR(XLOOKUP(C332,'Review Sequence'!C2:C1586,'Review Sequence'!P2:P1586),"")</x:f>
        <x:v>Yes</x:v>
      </x:c>
    </x:row>
    <x:row r="333">
      <x:c r="A333" s="6" t="str">
        <x:v>BLK-0332</x:v>
      </x:c>
      <x:c r="B333" s="6" t="str">
        <x:v>Manufacturer Scope</x:v>
      </x:c>
      <x:c r="C333" s="6" t="str">
        <x:v>MFRX-0003</x:v>
      </x:c>
      <x:c r="D333" s="6" t="str">
        <x:v>SVC000003</x:v>
      </x:c>
      <x:c r="E333" s="6" t="str"/>
      <x:c r="F333" s="6" t="str">
        <x:f>IFERROR(XLOOKUP(C333,'Review Sequence'!C2:C1586,'Review Sequence'!I2:I1586),"")</x:f>
        <x:v>Not Started</x:v>
      </x:c>
      <x:c r="G333" s="6" t="str">
        <x:f>IFERROR(XLOOKUP(C333,'Review Sequence'!C2:C1586,'Review Sequence'!J2:J1586),"")</x:f>
        <x:v>Not Started</x:v>
      </x:c>
      <x:c r="H333" s="7" t="str">
        <x:f>IFERROR(XLOOKUP(C333,'Review Sequence'!C2:C1586,'Review Sequence'!O2:O1586),"")</x:f>
      </x:c>
      <x:c r="I333" s="6" t="str">
        <x:f>IFERROR(XLOOKUP(C333,'Review Sequence'!C2:C1586,'Review Sequence'!P2:P1586),"")</x:f>
        <x:v>Yes</x:v>
      </x:c>
    </x:row>
    <x:row r="334">
      <x:c r="A334" s="6" t="str">
        <x:v>BLK-0333</x:v>
      </x:c>
      <x:c r="B334" s="6" t="str">
        <x:v>Manufacturer Scope</x:v>
      </x:c>
      <x:c r="C334" s="6" t="str">
        <x:v>MFRX-0004</x:v>
      </x:c>
      <x:c r="D334" s="6" t="str">
        <x:v>SVC000004</x:v>
      </x:c>
      <x:c r="E334" s="6" t="str"/>
      <x:c r="F334" s="6" t="str">
        <x:f>IFERROR(XLOOKUP(C334,'Review Sequence'!C2:C1586,'Review Sequence'!I2:I1586),"")</x:f>
        <x:v>Not Started</x:v>
      </x:c>
      <x:c r="G334" s="6" t="str">
        <x:f>IFERROR(XLOOKUP(C334,'Review Sequence'!C2:C1586,'Review Sequence'!J2:J1586),"")</x:f>
        <x:v>Not Started</x:v>
      </x:c>
      <x:c r="H334" s="7" t="str">
        <x:f>IFERROR(XLOOKUP(C334,'Review Sequence'!C2:C1586,'Review Sequence'!O2:O1586),"")</x:f>
      </x:c>
      <x:c r="I334" s="6" t="str">
        <x:f>IFERROR(XLOOKUP(C334,'Review Sequence'!C2:C1586,'Review Sequence'!P2:P1586),"")</x:f>
        <x:v>Yes</x:v>
      </x:c>
    </x:row>
    <x:row r="335">
      <x:c r="A335" s="6" t="str">
        <x:v>BLK-0334</x:v>
      </x:c>
      <x:c r="B335" s="6" t="str">
        <x:v>Manufacturer Scope</x:v>
      </x:c>
      <x:c r="C335" s="6" t="str">
        <x:v>MFRX-0005</x:v>
      </x:c>
      <x:c r="D335" s="6" t="str">
        <x:v>SVC000005</x:v>
      </x:c>
      <x:c r="E335" s="6" t="str"/>
      <x:c r="F335" s="6" t="str">
        <x:f>IFERROR(XLOOKUP(C335,'Review Sequence'!C2:C1586,'Review Sequence'!I2:I1586),"")</x:f>
        <x:v>Not Started</x:v>
      </x:c>
      <x:c r="G335" s="6" t="str">
        <x:f>IFERROR(XLOOKUP(C335,'Review Sequence'!C2:C1586,'Review Sequence'!J2:J1586),"")</x:f>
        <x:v>Not Started</x:v>
      </x:c>
      <x:c r="H335" s="7" t="str">
        <x:f>IFERROR(XLOOKUP(C335,'Review Sequence'!C2:C1586,'Review Sequence'!O2:O1586),"")</x:f>
      </x:c>
      <x:c r="I335" s="6" t="str">
        <x:f>IFERROR(XLOOKUP(C335,'Review Sequence'!C2:C1586,'Review Sequence'!P2:P1586),"")</x:f>
        <x:v>Yes</x:v>
      </x:c>
    </x:row>
    <x:row r="336">
      <x:c r="A336" s="6" t="str">
        <x:v>BLK-0335</x:v>
      </x:c>
      <x:c r="B336" s="6" t="str">
        <x:v>Manufacturer Scope</x:v>
      </x:c>
      <x:c r="C336" s="6" t="str">
        <x:v>MFRX-0006</x:v>
      </x:c>
      <x:c r="D336" s="6" t="str">
        <x:v>SVC000006</x:v>
      </x:c>
      <x:c r="E336" s="6" t="str"/>
      <x:c r="F336" s="6" t="str">
        <x:f>IFERROR(XLOOKUP(C336,'Review Sequence'!C2:C1586,'Review Sequence'!I2:I1586),"")</x:f>
        <x:v>Not Started</x:v>
      </x:c>
      <x:c r="G336" s="6" t="str">
        <x:f>IFERROR(XLOOKUP(C336,'Review Sequence'!C2:C1586,'Review Sequence'!J2:J1586),"")</x:f>
        <x:v>Not Started</x:v>
      </x:c>
      <x:c r="H336" s="7" t="str">
        <x:f>IFERROR(XLOOKUP(C336,'Review Sequence'!C2:C1586,'Review Sequence'!O2:O1586),"")</x:f>
      </x:c>
      <x:c r="I336" s="6" t="str">
        <x:f>IFERROR(XLOOKUP(C336,'Review Sequence'!C2:C1586,'Review Sequence'!P2:P1586),"")</x:f>
        <x:v>Yes</x:v>
      </x:c>
    </x:row>
    <x:row r="337">
      <x:c r="A337" s="6" t="str">
        <x:v>BLK-0336</x:v>
      </x:c>
      <x:c r="B337" s="6" t="str">
        <x:v>Manufacturer Scope</x:v>
      </x:c>
      <x:c r="C337" s="6" t="str">
        <x:v>MFRX-0007</x:v>
      </x:c>
      <x:c r="D337" s="6" t="str">
        <x:v>SVC000007</x:v>
      </x:c>
      <x:c r="E337" s="6" t="str"/>
      <x:c r="F337" s="6" t="str">
        <x:f>IFERROR(XLOOKUP(C337,'Review Sequence'!C2:C1586,'Review Sequence'!I2:I1586),"")</x:f>
        <x:v>Not Started</x:v>
      </x:c>
      <x:c r="G337" s="6" t="str">
        <x:f>IFERROR(XLOOKUP(C337,'Review Sequence'!C2:C1586,'Review Sequence'!J2:J1586),"")</x:f>
        <x:v>Not Started</x:v>
      </x:c>
      <x:c r="H337" s="7" t="str">
        <x:f>IFERROR(XLOOKUP(C337,'Review Sequence'!C2:C1586,'Review Sequence'!O2:O1586),"")</x:f>
      </x:c>
      <x:c r="I337" s="6" t="str">
        <x:f>IFERROR(XLOOKUP(C337,'Review Sequence'!C2:C1586,'Review Sequence'!P2:P1586),"")</x:f>
        <x:v>Yes</x:v>
      </x:c>
    </x:row>
    <x:row r="338">
      <x:c r="A338" s="6" t="str">
        <x:v>BLK-0337</x:v>
      </x:c>
      <x:c r="B338" s="6" t="str">
        <x:v>Manufacturer Scope</x:v>
      </x:c>
      <x:c r="C338" s="6" t="str">
        <x:v>MFRX-0008</x:v>
      </x:c>
      <x:c r="D338" s="6" t="str">
        <x:v>SVC000008</x:v>
      </x:c>
      <x:c r="E338" s="6" t="str"/>
      <x:c r="F338" s="6" t="str">
        <x:f>IFERROR(XLOOKUP(C338,'Review Sequence'!C2:C1586,'Review Sequence'!I2:I1586),"")</x:f>
        <x:v>Not Started</x:v>
      </x:c>
      <x:c r="G338" s="6" t="str">
        <x:f>IFERROR(XLOOKUP(C338,'Review Sequence'!C2:C1586,'Review Sequence'!J2:J1586),"")</x:f>
        <x:v>Not Started</x:v>
      </x:c>
      <x:c r="H338" s="7" t="str">
        <x:f>IFERROR(XLOOKUP(C338,'Review Sequence'!C2:C1586,'Review Sequence'!O2:O1586),"")</x:f>
      </x:c>
      <x:c r="I338" s="6" t="str">
        <x:f>IFERROR(XLOOKUP(C338,'Review Sequence'!C2:C1586,'Review Sequence'!P2:P1586),"")</x:f>
        <x:v>Yes</x:v>
      </x:c>
    </x:row>
    <x:row r="339">
      <x:c r="A339" s="6" t="str">
        <x:v>BLK-0338</x:v>
      </x:c>
      <x:c r="B339" s="6" t="str">
        <x:v>Manufacturer Scope</x:v>
      </x:c>
      <x:c r="C339" s="6" t="str">
        <x:v>MFRX-0009</x:v>
      </x:c>
      <x:c r="D339" s="6" t="str">
        <x:v>SVC000009</x:v>
      </x:c>
      <x:c r="E339" s="6" t="str"/>
      <x:c r="F339" s="6" t="str">
        <x:f>IFERROR(XLOOKUP(C339,'Review Sequence'!C2:C1586,'Review Sequence'!I2:I1586),"")</x:f>
        <x:v>Not Started</x:v>
      </x:c>
      <x:c r="G339" s="6" t="str">
        <x:f>IFERROR(XLOOKUP(C339,'Review Sequence'!C2:C1586,'Review Sequence'!J2:J1586),"")</x:f>
        <x:v>Not Started</x:v>
      </x:c>
      <x:c r="H339" s="7" t="str">
        <x:f>IFERROR(XLOOKUP(C339,'Review Sequence'!C2:C1586,'Review Sequence'!O2:O1586),"")</x:f>
      </x:c>
      <x:c r="I339" s="6" t="str">
        <x:f>IFERROR(XLOOKUP(C339,'Review Sequence'!C2:C1586,'Review Sequence'!P2:P1586),"")</x:f>
        <x:v>Yes</x:v>
      </x:c>
    </x:row>
    <x:row r="340">
      <x:c r="A340" s="6" t="str">
        <x:v>BLK-0339</x:v>
      </x:c>
      <x:c r="B340" s="6" t="str">
        <x:v>Manufacturer Scope</x:v>
      </x:c>
      <x:c r="C340" s="6" t="str">
        <x:v>MFRX-0010</x:v>
      </x:c>
      <x:c r="D340" s="6" t="str">
        <x:v>SVC000010</x:v>
      </x:c>
      <x:c r="E340" s="6" t="str"/>
      <x:c r="F340" s="6" t="str">
        <x:f>IFERROR(XLOOKUP(C340,'Review Sequence'!C2:C1586,'Review Sequence'!I2:I1586),"")</x:f>
        <x:v>Not Started</x:v>
      </x:c>
      <x:c r="G340" s="6" t="str">
        <x:f>IFERROR(XLOOKUP(C340,'Review Sequence'!C2:C1586,'Review Sequence'!J2:J1586),"")</x:f>
        <x:v>Not Started</x:v>
      </x:c>
      <x:c r="H340" s="7" t="str">
        <x:f>IFERROR(XLOOKUP(C340,'Review Sequence'!C2:C1586,'Review Sequence'!O2:O1586),"")</x:f>
      </x:c>
      <x:c r="I340" s="6" t="str">
        <x:f>IFERROR(XLOOKUP(C340,'Review Sequence'!C2:C1586,'Review Sequence'!P2:P1586),"")</x:f>
        <x:v>Yes</x:v>
      </x:c>
    </x:row>
    <x:row r="341">
      <x:c r="A341" s="6" t="str">
        <x:v>BLK-0340</x:v>
      </x:c>
      <x:c r="B341" s="6" t="str">
        <x:v>Manufacturer Scope</x:v>
      </x:c>
      <x:c r="C341" s="6" t="str">
        <x:v>MFRX-0011</x:v>
      </x:c>
      <x:c r="D341" s="6" t="str">
        <x:v>SVC000011</x:v>
      </x:c>
      <x:c r="E341" s="6" t="str"/>
      <x:c r="F341" s="6" t="str">
        <x:f>IFERROR(XLOOKUP(C341,'Review Sequence'!C2:C1586,'Review Sequence'!I2:I1586),"")</x:f>
        <x:v>Not Started</x:v>
      </x:c>
      <x:c r="G341" s="6" t="str">
        <x:f>IFERROR(XLOOKUP(C341,'Review Sequence'!C2:C1586,'Review Sequence'!J2:J1586),"")</x:f>
        <x:v>Not Started</x:v>
      </x:c>
      <x:c r="H341" s="7" t="str">
        <x:f>IFERROR(XLOOKUP(C341,'Review Sequence'!C2:C1586,'Review Sequence'!O2:O1586),"")</x:f>
      </x:c>
      <x:c r="I341" s="6" t="str">
        <x:f>IFERROR(XLOOKUP(C341,'Review Sequence'!C2:C1586,'Review Sequence'!P2:P1586),"")</x:f>
        <x:v>Yes</x:v>
      </x:c>
    </x:row>
    <x:row r="342">
      <x:c r="A342" s="6" t="str">
        <x:v>BLK-0341</x:v>
      </x:c>
      <x:c r="B342" s="6" t="str">
        <x:v>Manufacturer Scope</x:v>
      </x:c>
      <x:c r="C342" s="6" t="str">
        <x:v>MFRX-0012</x:v>
      </x:c>
      <x:c r="D342" s="6" t="str">
        <x:v>SVC000012</x:v>
      </x:c>
      <x:c r="E342" s="6" t="str"/>
      <x:c r="F342" s="6" t="str">
        <x:f>IFERROR(XLOOKUP(C342,'Review Sequence'!C2:C1586,'Review Sequence'!I2:I1586),"")</x:f>
        <x:v>Not Started</x:v>
      </x:c>
      <x:c r="G342" s="6" t="str">
        <x:f>IFERROR(XLOOKUP(C342,'Review Sequence'!C2:C1586,'Review Sequence'!J2:J1586),"")</x:f>
        <x:v>Not Started</x:v>
      </x:c>
      <x:c r="H342" s="7" t="str">
        <x:f>IFERROR(XLOOKUP(C342,'Review Sequence'!C2:C1586,'Review Sequence'!O2:O1586),"")</x:f>
      </x:c>
      <x:c r="I342" s="6" t="str">
        <x:f>IFERROR(XLOOKUP(C342,'Review Sequence'!C2:C1586,'Review Sequence'!P2:P1586),"")</x:f>
        <x:v>Yes</x:v>
      </x:c>
    </x:row>
    <x:row r="343">
      <x:c r="A343" s="6" t="str">
        <x:v>BLK-0342</x:v>
      </x:c>
      <x:c r="B343" s="6" t="str">
        <x:v>Manufacturer Scope</x:v>
      </x:c>
      <x:c r="C343" s="6" t="str">
        <x:v>MFRX-0013</x:v>
      </x:c>
      <x:c r="D343" s="6" t="str">
        <x:v>SVC000013</x:v>
      </x:c>
      <x:c r="E343" s="6" t="str"/>
      <x:c r="F343" s="6" t="str">
        <x:f>IFERROR(XLOOKUP(C343,'Review Sequence'!C2:C1586,'Review Sequence'!I2:I1586),"")</x:f>
        <x:v>Not Started</x:v>
      </x:c>
      <x:c r="G343" s="6" t="str">
        <x:f>IFERROR(XLOOKUP(C343,'Review Sequence'!C2:C1586,'Review Sequence'!J2:J1586),"")</x:f>
        <x:v>Not Started</x:v>
      </x:c>
      <x:c r="H343" s="7" t="str">
        <x:f>IFERROR(XLOOKUP(C343,'Review Sequence'!C2:C1586,'Review Sequence'!O2:O1586),"")</x:f>
      </x:c>
      <x:c r="I343" s="6" t="str">
        <x:f>IFERROR(XLOOKUP(C343,'Review Sequence'!C2:C1586,'Review Sequence'!P2:P1586),"")</x:f>
        <x:v>Yes</x:v>
      </x:c>
    </x:row>
    <x:row r="344">
      <x:c r="A344" s="6" t="str">
        <x:v>BLK-0343</x:v>
      </x:c>
      <x:c r="B344" s="6" t="str">
        <x:v>Manufacturer Scope</x:v>
      </x:c>
      <x:c r="C344" s="6" t="str">
        <x:v>MFRX-0014</x:v>
      </x:c>
      <x:c r="D344" s="6" t="str">
        <x:v>SVC000014</x:v>
      </x:c>
      <x:c r="E344" s="6" t="str"/>
      <x:c r="F344" s="6" t="str">
        <x:f>IFERROR(XLOOKUP(C344,'Review Sequence'!C2:C1586,'Review Sequence'!I2:I1586),"")</x:f>
        <x:v>Not Started</x:v>
      </x:c>
      <x:c r="G344" s="6" t="str">
        <x:f>IFERROR(XLOOKUP(C344,'Review Sequence'!C2:C1586,'Review Sequence'!J2:J1586),"")</x:f>
        <x:v>Not Started</x:v>
      </x:c>
      <x:c r="H344" s="7" t="str">
        <x:f>IFERROR(XLOOKUP(C344,'Review Sequence'!C2:C1586,'Review Sequence'!O2:O1586),"")</x:f>
      </x:c>
      <x:c r="I344" s="6" t="str">
        <x:f>IFERROR(XLOOKUP(C344,'Review Sequence'!C2:C1586,'Review Sequence'!P2:P1586),"")</x:f>
        <x:v>Yes</x:v>
      </x:c>
    </x:row>
    <x:row r="345">
      <x:c r="A345" s="6" t="str">
        <x:v>BLK-0344</x:v>
      </x:c>
      <x:c r="B345" s="6" t="str">
        <x:v>Manufacturer Scope</x:v>
      </x:c>
      <x:c r="C345" s="6" t="str">
        <x:v>MFRX-0015</x:v>
      </x:c>
      <x:c r="D345" s="6" t="str">
        <x:v>SVC000015</x:v>
      </x:c>
      <x:c r="E345" s="6" t="str"/>
      <x:c r="F345" s="6" t="str">
        <x:f>IFERROR(XLOOKUP(C345,'Review Sequence'!C2:C1586,'Review Sequence'!I2:I1586),"")</x:f>
        <x:v>Not Started</x:v>
      </x:c>
      <x:c r="G345" s="6" t="str">
        <x:f>IFERROR(XLOOKUP(C345,'Review Sequence'!C2:C1586,'Review Sequence'!J2:J1586),"")</x:f>
        <x:v>Not Started</x:v>
      </x:c>
      <x:c r="H345" s="7" t="str">
        <x:f>IFERROR(XLOOKUP(C345,'Review Sequence'!C2:C1586,'Review Sequence'!O2:O1586),"")</x:f>
      </x:c>
      <x:c r="I345" s="6" t="str">
        <x:f>IFERROR(XLOOKUP(C345,'Review Sequence'!C2:C1586,'Review Sequence'!P2:P1586),"")</x:f>
        <x:v>Yes</x:v>
      </x:c>
    </x:row>
    <x:row r="346">
      <x:c r="A346" s="6" t="str">
        <x:v>BLK-0345</x:v>
      </x:c>
      <x:c r="B346" s="6" t="str">
        <x:v>Manufacturer Scope</x:v>
      </x:c>
      <x:c r="C346" s="6" t="str">
        <x:v>MFRX-0016</x:v>
      </x:c>
      <x:c r="D346" s="6" t="str">
        <x:v>SVC000016</x:v>
      </x:c>
      <x:c r="E346" s="6" t="str"/>
      <x:c r="F346" s="6" t="str">
        <x:f>IFERROR(XLOOKUP(C346,'Review Sequence'!C2:C1586,'Review Sequence'!I2:I1586),"")</x:f>
        <x:v>Not Started</x:v>
      </x:c>
      <x:c r="G346" s="6" t="str">
        <x:f>IFERROR(XLOOKUP(C346,'Review Sequence'!C2:C1586,'Review Sequence'!J2:J1586),"")</x:f>
        <x:v>Not Started</x:v>
      </x:c>
      <x:c r="H346" s="7" t="str">
        <x:f>IFERROR(XLOOKUP(C346,'Review Sequence'!C2:C1586,'Review Sequence'!O2:O1586),"")</x:f>
      </x:c>
      <x:c r="I346" s="6" t="str">
        <x:f>IFERROR(XLOOKUP(C346,'Review Sequence'!C2:C1586,'Review Sequence'!P2:P1586),"")</x:f>
        <x:v>Yes</x:v>
      </x:c>
    </x:row>
    <x:row r="347">
      <x:c r="A347" s="6" t="str">
        <x:v>BLK-0346</x:v>
      </x:c>
      <x:c r="B347" s="6" t="str">
        <x:v>Manufacturer Scope</x:v>
      </x:c>
      <x:c r="C347" s="6" t="str">
        <x:v>MFRX-0017</x:v>
      </x:c>
      <x:c r="D347" s="6" t="str">
        <x:v>SVC000017</x:v>
      </x:c>
      <x:c r="E347" s="6" t="str"/>
      <x:c r="F347" s="6" t="str">
        <x:f>IFERROR(XLOOKUP(C347,'Review Sequence'!C2:C1586,'Review Sequence'!I2:I1586),"")</x:f>
        <x:v>Not Started</x:v>
      </x:c>
      <x:c r="G347" s="6" t="str">
        <x:f>IFERROR(XLOOKUP(C347,'Review Sequence'!C2:C1586,'Review Sequence'!J2:J1586),"")</x:f>
        <x:v>Not Started</x:v>
      </x:c>
      <x:c r="H347" s="7" t="str">
        <x:f>IFERROR(XLOOKUP(C347,'Review Sequence'!C2:C1586,'Review Sequence'!O2:O1586),"")</x:f>
      </x:c>
      <x:c r="I347" s="6" t="str">
        <x:f>IFERROR(XLOOKUP(C347,'Review Sequence'!C2:C1586,'Review Sequence'!P2:P1586),"")</x:f>
        <x:v>Yes</x:v>
      </x:c>
    </x:row>
    <x:row r="348">
      <x:c r="A348" s="6" t="str">
        <x:v>BLK-0347</x:v>
      </x:c>
      <x:c r="B348" s="6" t="str">
        <x:v>Manufacturer Scope</x:v>
      </x:c>
      <x:c r="C348" s="6" t="str">
        <x:v>MFRX-0018</x:v>
      </x:c>
      <x:c r="D348" s="6" t="str">
        <x:v>SVC000018</x:v>
      </x:c>
      <x:c r="E348" s="6" t="str"/>
      <x:c r="F348" s="6" t="str">
        <x:f>IFERROR(XLOOKUP(C348,'Review Sequence'!C2:C1586,'Review Sequence'!I2:I1586),"")</x:f>
        <x:v>Not Started</x:v>
      </x:c>
      <x:c r="G348" s="6" t="str">
        <x:f>IFERROR(XLOOKUP(C348,'Review Sequence'!C2:C1586,'Review Sequence'!J2:J1586),"")</x:f>
        <x:v>Not Started</x:v>
      </x:c>
      <x:c r="H348" s="7" t="str">
        <x:f>IFERROR(XLOOKUP(C348,'Review Sequence'!C2:C1586,'Review Sequence'!O2:O1586),"")</x:f>
      </x:c>
      <x:c r="I348" s="6" t="str">
        <x:f>IFERROR(XLOOKUP(C348,'Review Sequence'!C2:C1586,'Review Sequence'!P2:P1586),"")</x:f>
        <x:v>Yes</x:v>
      </x:c>
    </x:row>
    <x:row r="349">
      <x:c r="A349" s="6" t="str">
        <x:v>BLK-0348</x:v>
      </x:c>
      <x:c r="B349" s="6" t="str">
        <x:v>Manufacturer Scope</x:v>
      </x:c>
      <x:c r="C349" s="6" t="str">
        <x:v>MFRX-0019</x:v>
      </x:c>
      <x:c r="D349" s="6" t="str">
        <x:v>SVC000019</x:v>
      </x:c>
      <x:c r="E349" s="6" t="str"/>
      <x:c r="F349" s="6" t="str">
        <x:f>IFERROR(XLOOKUP(C349,'Review Sequence'!C2:C1586,'Review Sequence'!I2:I1586),"")</x:f>
        <x:v>Not Started</x:v>
      </x:c>
      <x:c r="G349" s="6" t="str">
        <x:f>IFERROR(XLOOKUP(C349,'Review Sequence'!C2:C1586,'Review Sequence'!J2:J1586),"")</x:f>
        <x:v>Not Started</x:v>
      </x:c>
      <x:c r="H349" s="7" t="str">
        <x:f>IFERROR(XLOOKUP(C349,'Review Sequence'!C2:C1586,'Review Sequence'!O2:O1586),"")</x:f>
      </x:c>
      <x:c r="I349" s="6" t="str">
        <x:f>IFERROR(XLOOKUP(C349,'Review Sequence'!C2:C1586,'Review Sequence'!P2:P1586),"")</x:f>
        <x:v>Yes</x:v>
      </x:c>
    </x:row>
    <x:row r="350">
      <x:c r="A350" s="6" t="str">
        <x:v>BLK-0349</x:v>
      </x:c>
      <x:c r="B350" s="6" t="str">
        <x:v>Manufacturer Scope</x:v>
      </x:c>
      <x:c r="C350" s="6" t="str">
        <x:v>MFRX-0020</x:v>
      </x:c>
      <x:c r="D350" s="6" t="str">
        <x:v>SVC000020</x:v>
      </x:c>
      <x:c r="E350" s="6" t="str"/>
      <x:c r="F350" s="6" t="str">
        <x:f>IFERROR(XLOOKUP(C350,'Review Sequence'!C2:C1586,'Review Sequence'!I2:I1586),"")</x:f>
        <x:v>Not Started</x:v>
      </x:c>
      <x:c r="G350" s="6" t="str">
        <x:f>IFERROR(XLOOKUP(C350,'Review Sequence'!C2:C1586,'Review Sequence'!J2:J1586),"")</x:f>
        <x:v>Not Started</x:v>
      </x:c>
      <x:c r="H350" s="7" t="str">
        <x:f>IFERROR(XLOOKUP(C350,'Review Sequence'!C2:C1586,'Review Sequence'!O2:O1586),"")</x:f>
      </x:c>
      <x:c r="I350" s="6" t="str">
        <x:f>IFERROR(XLOOKUP(C350,'Review Sequence'!C2:C1586,'Review Sequence'!P2:P1586),"")</x:f>
        <x:v>Yes</x:v>
      </x:c>
    </x:row>
    <x:row r="351">
      <x:c r="A351" s="6" t="str">
        <x:v>BLK-0350</x:v>
      </x:c>
      <x:c r="B351" s="6" t="str">
        <x:v>Manufacturer Scope</x:v>
      </x:c>
      <x:c r="C351" s="6" t="str">
        <x:v>MFRX-0021</x:v>
      </x:c>
      <x:c r="D351" s="6" t="str">
        <x:v>SVC000021</x:v>
      </x:c>
      <x:c r="E351" s="6" t="str"/>
      <x:c r="F351" s="6" t="str">
        <x:f>IFERROR(XLOOKUP(C351,'Review Sequence'!C2:C1586,'Review Sequence'!I2:I1586),"")</x:f>
        <x:v>Not Started</x:v>
      </x:c>
      <x:c r="G351" s="6" t="str">
        <x:f>IFERROR(XLOOKUP(C351,'Review Sequence'!C2:C1586,'Review Sequence'!J2:J1586),"")</x:f>
        <x:v>Not Started</x:v>
      </x:c>
      <x:c r="H351" s="7" t="str">
        <x:f>IFERROR(XLOOKUP(C351,'Review Sequence'!C2:C1586,'Review Sequence'!O2:O1586),"")</x:f>
      </x:c>
      <x:c r="I351" s="6" t="str">
        <x:f>IFERROR(XLOOKUP(C351,'Review Sequence'!C2:C1586,'Review Sequence'!P2:P1586),"")</x:f>
        <x:v>Yes</x:v>
      </x:c>
    </x:row>
    <x:row r="352">
      <x:c r="A352" s="6" t="str">
        <x:v>BLK-0351</x:v>
      </x:c>
      <x:c r="B352" s="6" t="str">
        <x:v>Manufacturer Scope</x:v>
      </x:c>
      <x:c r="C352" s="6" t="str">
        <x:v>MFRX-0022</x:v>
      </x:c>
      <x:c r="D352" s="6" t="str">
        <x:v>SVC000022</x:v>
      </x:c>
      <x:c r="E352" s="6" t="str"/>
      <x:c r="F352" s="6" t="str">
        <x:f>IFERROR(XLOOKUP(C352,'Review Sequence'!C2:C1586,'Review Sequence'!I2:I1586),"")</x:f>
        <x:v>Not Started</x:v>
      </x:c>
      <x:c r="G352" s="6" t="str">
        <x:f>IFERROR(XLOOKUP(C352,'Review Sequence'!C2:C1586,'Review Sequence'!J2:J1586),"")</x:f>
        <x:v>Not Started</x:v>
      </x:c>
      <x:c r="H352" s="7" t="str">
        <x:f>IFERROR(XLOOKUP(C352,'Review Sequence'!C2:C1586,'Review Sequence'!O2:O1586),"")</x:f>
      </x:c>
      <x:c r="I352" s="6" t="str">
        <x:f>IFERROR(XLOOKUP(C352,'Review Sequence'!C2:C1586,'Review Sequence'!P2:P1586),"")</x:f>
        <x:v>Yes</x:v>
      </x:c>
    </x:row>
    <x:row r="353">
      <x:c r="A353" s="6" t="str">
        <x:v>BLK-0352</x:v>
      </x:c>
      <x:c r="B353" s="6" t="str">
        <x:v>Manufacturer Scope</x:v>
      </x:c>
      <x:c r="C353" s="6" t="str">
        <x:v>MFRX-0023</x:v>
      </x:c>
      <x:c r="D353" s="6" t="str">
        <x:v>SVC000023</x:v>
      </x:c>
      <x:c r="E353" s="6" t="str"/>
      <x:c r="F353" s="6" t="str">
        <x:f>IFERROR(XLOOKUP(C353,'Review Sequence'!C2:C1586,'Review Sequence'!I2:I1586),"")</x:f>
        <x:v>Not Started</x:v>
      </x:c>
      <x:c r="G353" s="6" t="str">
        <x:f>IFERROR(XLOOKUP(C353,'Review Sequence'!C2:C1586,'Review Sequence'!J2:J1586),"")</x:f>
        <x:v>Not Started</x:v>
      </x:c>
      <x:c r="H353" s="7" t="str">
        <x:f>IFERROR(XLOOKUP(C353,'Review Sequence'!C2:C1586,'Review Sequence'!O2:O1586),"")</x:f>
      </x:c>
      <x:c r="I353" s="6" t="str">
        <x:f>IFERROR(XLOOKUP(C353,'Review Sequence'!C2:C1586,'Review Sequence'!P2:P1586),"")</x:f>
        <x:v>Yes</x:v>
      </x:c>
    </x:row>
    <x:row r="354">
      <x:c r="A354" s="6" t="str">
        <x:v>BLK-0353</x:v>
      </x:c>
      <x:c r="B354" s="6" t="str">
        <x:v>Manufacturer Scope</x:v>
      </x:c>
      <x:c r="C354" s="6" t="str">
        <x:v>MFRX-0024</x:v>
      </x:c>
      <x:c r="D354" s="6" t="str">
        <x:v>SVC000024</x:v>
      </x:c>
      <x:c r="E354" s="6" t="str"/>
      <x:c r="F354" s="6" t="str">
        <x:f>IFERROR(XLOOKUP(C354,'Review Sequence'!C2:C1586,'Review Sequence'!I2:I1586),"")</x:f>
        <x:v>Not Started</x:v>
      </x:c>
      <x:c r="G354" s="6" t="str">
        <x:f>IFERROR(XLOOKUP(C354,'Review Sequence'!C2:C1586,'Review Sequence'!J2:J1586),"")</x:f>
        <x:v>Not Started</x:v>
      </x:c>
      <x:c r="H354" s="7" t="str">
        <x:f>IFERROR(XLOOKUP(C354,'Review Sequence'!C2:C1586,'Review Sequence'!O2:O1586),"")</x:f>
      </x:c>
      <x:c r="I354" s="6" t="str">
        <x:f>IFERROR(XLOOKUP(C354,'Review Sequence'!C2:C1586,'Review Sequence'!P2:P1586),"")</x:f>
        <x:v>Yes</x:v>
      </x:c>
    </x:row>
    <x:row r="355">
      <x:c r="A355" s="6" t="str">
        <x:v>BLK-0354</x:v>
      </x:c>
      <x:c r="B355" s="6" t="str">
        <x:v>Manufacturer Scope</x:v>
      </x:c>
      <x:c r="C355" s="6" t="str">
        <x:v>MFRX-0025</x:v>
      </x:c>
      <x:c r="D355" s="6" t="str">
        <x:v>SVC000025</x:v>
      </x:c>
      <x:c r="E355" s="6" t="str"/>
      <x:c r="F355" s="6" t="str">
        <x:f>IFERROR(XLOOKUP(C355,'Review Sequence'!C2:C1586,'Review Sequence'!I2:I1586),"")</x:f>
        <x:v>Not Started</x:v>
      </x:c>
      <x:c r="G355" s="6" t="str">
        <x:f>IFERROR(XLOOKUP(C355,'Review Sequence'!C2:C1586,'Review Sequence'!J2:J1586),"")</x:f>
        <x:v>Not Started</x:v>
      </x:c>
      <x:c r="H355" s="7" t="str">
        <x:f>IFERROR(XLOOKUP(C355,'Review Sequence'!C2:C1586,'Review Sequence'!O2:O1586),"")</x:f>
      </x:c>
      <x:c r="I355" s="6" t="str">
        <x:f>IFERROR(XLOOKUP(C355,'Review Sequence'!C2:C1586,'Review Sequence'!P2:P1586),"")</x:f>
        <x:v>Yes</x:v>
      </x:c>
    </x:row>
    <x:row r="356">
      <x:c r="A356" s="6" t="str">
        <x:v>BLK-0355</x:v>
      </x:c>
      <x:c r="B356" s="6" t="str">
        <x:v>Manufacturer Scope</x:v>
      </x:c>
      <x:c r="C356" s="6" t="str">
        <x:v>MFRX-0026</x:v>
      </x:c>
      <x:c r="D356" s="6" t="str">
        <x:v>SVC000026</x:v>
      </x:c>
      <x:c r="E356" s="6" t="str"/>
      <x:c r="F356" s="6" t="str">
        <x:f>IFERROR(XLOOKUP(C356,'Review Sequence'!C2:C1586,'Review Sequence'!I2:I1586),"")</x:f>
        <x:v>Not Started</x:v>
      </x:c>
      <x:c r="G356" s="6" t="str">
        <x:f>IFERROR(XLOOKUP(C356,'Review Sequence'!C2:C1586,'Review Sequence'!J2:J1586),"")</x:f>
        <x:v>Not Started</x:v>
      </x:c>
      <x:c r="H356" s="7" t="str">
        <x:f>IFERROR(XLOOKUP(C356,'Review Sequence'!C2:C1586,'Review Sequence'!O2:O1586),"")</x:f>
      </x:c>
      <x:c r="I356" s="6" t="str">
        <x:f>IFERROR(XLOOKUP(C356,'Review Sequence'!C2:C1586,'Review Sequence'!P2:P1586),"")</x:f>
        <x:v>Yes</x:v>
      </x:c>
    </x:row>
    <x:row r="357">
      <x:c r="A357" s="6" t="str">
        <x:v>BLK-0356</x:v>
      </x:c>
      <x:c r="B357" s="6" t="str">
        <x:v>Manufacturer Scope</x:v>
      </x:c>
      <x:c r="C357" s="6" t="str">
        <x:v>MFRX-0027</x:v>
      </x:c>
      <x:c r="D357" s="6" t="str">
        <x:v>SVC000027</x:v>
      </x:c>
      <x:c r="E357" s="6" t="str"/>
      <x:c r="F357" s="6" t="str">
        <x:f>IFERROR(XLOOKUP(C357,'Review Sequence'!C2:C1586,'Review Sequence'!I2:I1586),"")</x:f>
        <x:v>Not Started</x:v>
      </x:c>
      <x:c r="G357" s="6" t="str">
        <x:f>IFERROR(XLOOKUP(C357,'Review Sequence'!C2:C1586,'Review Sequence'!J2:J1586),"")</x:f>
        <x:v>Not Started</x:v>
      </x:c>
      <x:c r="H357" s="7" t="str">
        <x:f>IFERROR(XLOOKUP(C357,'Review Sequence'!C2:C1586,'Review Sequence'!O2:O1586),"")</x:f>
      </x:c>
      <x:c r="I357" s="6" t="str">
        <x:f>IFERROR(XLOOKUP(C357,'Review Sequence'!C2:C1586,'Review Sequence'!P2:P1586),"")</x:f>
        <x:v>Yes</x:v>
      </x:c>
    </x:row>
    <x:row r="358">
      <x:c r="A358" s="6" t="str">
        <x:v>BLK-0357</x:v>
      </x:c>
      <x:c r="B358" s="6" t="str">
        <x:v>Manufacturer Scope</x:v>
      </x:c>
      <x:c r="C358" s="6" t="str">
        <x:v>MFRX-0028</x:v>
      </x:c>
      <x:c r="D358" s="6" t="str">
        <x:v>SVC000028</x:v>
      </x:c>
      <x:c r="E358" s="6" t="str"/>
      <x:c r="F358" s="6" t="str">
        <x:f>IFERROR(XLOOKUP(C358,'Review Sequence'!C2:C1586,'Review Sequence'!I2:I1586),"")</x:f>
        <x:v>Not Started</x:v>
      </x:c>
      <x:c r="G358" s="6" t="str">
        <x:f>IFERROR(XLOOKUP(C358,'Review Sequence'!C2:C1586,'Review Sequence'!J2:J1586),"")</x:f>
        <x:v>Not Started</x:v>
      </x:c>
      <x:c r="H358" s="7" t="str">
        <x:f>IFERROR(XLOOKUP(C358,'Review Sequence'!C2:C1586,'Review Sequence'!O2:O1586),"")</x:f>
      </x:c>
      <x:c r="I358" s="6" t="str">
        <x:f>IFERROR(XLOOKUP(C358,'Review Sequence'!C2:C1586,'Review Sequence'!P2:P1586),"")</x:f>
        <x:v>Yes</x:v>
      </x:c>
    </x:row>
    <x:row r="359">
      <x:c r="A359" s="6" t="str">
        <x:v>BLK-0358</x:v>
      </x:c>
      <x:c r="B359" s="6" t="str">
        <x:v>Manufacturer Scope</x:v>
      </x:c>
      <x:c r="C359" s="6" t="str">
        <x:v>MFRX-0029</x:v>
      </x:c>
      <x:c r="D359" s="6" t="str">
        <x:v>SVC000029</x:v>
      </x:c>
      <x:c r="E359" s="6" t="str"/>
      <x:c r="F359" s="6" t="str">
        <x:f>IFERROR(XLOOKUP(C359,'Review Sequence'!C2:C1586,'Review Sequence'!I2:I1586),"")</x:f>
        <x:v>Not Started</x:v>
      </x:c>
      <x:c r="G359" s="6" t="str">
        <x:f>IFERROR(XLOOKUP(C359,'Review Sequence'!C2:C1586,'Review Sequence'!J2:J1586),"")</x:f>
        <x:v>Not Started</x:v>
      </x:c>
      <x:c r="H359" s="7" t="str">
        <x:f>IFERROR(XLOOKUP(C359,'Review Sequence'!C2:C1586,'Review Sequence'!O2:O1586),"")</x:f>
      </x:c>
      <x:c r="I359" s="6" t="str">
        <x:f>IFERROR(XLOOKUP(C359,'Review Sequence'!C2:C1586,'Review Sequence'!P2:P1586),"")</x:f>
        <x:v>Yes</x:v>
      </x:c>
    </x:row>
    <x:row r="360">
      <x:c r="A360" s="6" t="str">
        <x:v>BLK-0359</x:v>
      </x:c>
      <x:c r="B360" s="6" t="str">
        <x:v>Manufacturer Scope</x:v>
      </x:c>
      <x:c r="C360" s="6" t="str">
        <x:v>MFRX-0030</x:v>
      </x:c>
      <x:c r="D360" s="6" t="str">
        <x:v>SVC000030</x:v>
      </x:c>
      <x:c r="E360" s="6" t="str"/>
      <x:c r="F360" s="6" t="str">
        <x:f>IFERROR(XLOOKUP(C360,'Review Sequence'!C2:C1586,'Review Sequence'!I2:I1586),"")</x:f>
        <x:v>Not Started</x:v>
      </x:c>
      <x:c r="G360" s="6" t="str">
        <x:f>IFERROR(XLOOKUP(C360,'Review Sequence'!C2:C1586,'Review Sequence'!J2:J1586),"")</x:f>
        <x:v>Not Started</x:v>
      </x:c>
      <x:c r="H360" s="7" t="str">
        <x:f>IFERROR(XLOOKUP(C360,'Review Sequence'!C2:C1586,'Review Sequence'!O2:O1586),"")</x:f>
      </x:c>
      <x:c r="I360" s="6" t="str">
        <x:f>IFERROR(XLOOKUP(C360,'Review Sequence'!C2:C1586,'Review Sequence'!P2:P1586),"")</x:f>
        <x:v>Yes</x:v>
      </x:c>
    </x:row>
    <x:row r="361">
      <x:c r="A361" s="6" t="str">
        <x:v>BLK-0360</x:v>
      </x:c>
      <x:c r="B361" s="6" t="str">
        <x:v>Manufacturer Scope</x:v>
      </x:c>
      <x:c r="C361" s="6" t="str">
        <x:v>MFRX-0031</x:v>
      </x:c>
      <x:c r="D361" s="6" t="str">
        <x:v>SVC000031</x:v>
      </x:c>
      <x:c r="E361" s="6" t="str"/>
      <x:c r="F361" s="6" t="str">
        <x:f>IFERROR(XLOOKUP(C361,'Review Sequence'!C2:C1586,'Review Sequence'!I2:I1586),"")</x:f>
        <x:v>Not Started</x:v>
      </x:c>
      <x:c r="G361" s="6" t="str">
        <x:f>IFERROR(XLOOKUP(C361,'Review Sequence'!C2:C1586,'Review Sequence'!J2:J1586),"")</x:f>
        <x:v>Not Started</x:v>
      </x:c>
      <x:c r="H361" s="7" t="str">
        <x:f>IFERROR(XLOOKUP(C361,'Review Sequence'!C2:C1586,'Review Sequence'!O2:O1586),"")</x:f>
      </x:c>
      <x:c r="I361" s="6" t="str">
        <x:f>IFERROR(XLOOKUP(C361,'Review Sequence'!C2:C1586,'Review Sequence'!P2:P1586),"")</x:f>
        <x:v>Yes</x:v>
      </x:c>
    </x:row>
    <x:row r="362">
      <x:c r="A362" s="6" t="str">
        <x:v>BLK-0361</x:v>
      </x:c>
      <x:c r="B362" s="6" t="str">
        <x:v>Manufacturer Scope</x:v>
      </x:c>
      <x:c r="C362" s="6" t="str">
        <x:v>MFRX-0032</x:v>
      </x:c>
      <x:c r="D362" s="6" t="str">
        <x:v>SVC000032</x:v>
      </x:c>
      <x:c r="E362" s="6" t="str"/>
      <x:c r="F362" s="6" t="str">
        <x:f>IFERROR(XLOOKUP(C362,'Review Sequence'!C2:C1586,'Review Sequence'!I2:I1586),"")</x:f>
        <x:v>Not Started</x:v>
      </x:c>
      <x:c r="G362" s="6" t="str">
        <x:f>IFERROR(XLOOKUP(C362,'Review Sequence'!C2:C1586,'Review Sequence'!J2:J1586),"")</x:f>
        <x:v>Not Started</x:v>
      </x:c>
      <x:c r="H362" s="7" t="str">
        <x:f>IFERROR(XLOOKUP(C362,'Review Sequence'!C2:C1586,'Review Sequence'!O2:O1586),"")</x:f>
      </x:c>
      <x:c r="I362" s="6" t="str">
        <x:f>IFERROR(XLOOKUP(C362,'Review Sequence'!C2:C1586,'Review Sequence'!P2:P1586),"")</x:f>
        <x:v>Yes</x:v>
      </x:c>
    </x:row>
    <x:row r="363">
      <x:c r="A363" s="6" t="str">
        <x:v>BLK-0362</x:v>
      </x:c>
      <x:c r="B363" s="6" t="str">
        <x:v>Manufacturer Scope</x:v>
      </x:c>
      <x:c r="C363" s="6" t="str">
        <x:v>MFRX-0033</x:v>
      </x:c>
      <x:c r="D363" s="6" t="str">
        <x:v>SVC000033</x:v>
      </x:c>
      <x:c r="E363" s="6" t="str"/>
      <x:c r="F363" s="6" t="str">
        <x:f>IFERROR(XLOOKUP(C363,'Review Sequence'!C2:C1586,'Review Sequence'!I2:I1586),"")</x:f>
        <x:v>Not Started</x:v>
      </x:c>
      <x:c r="G363" s="6" t="str">
        <x:f>IFERROR(XLOOKUP(C363,'Review Sequence'!C2:C1586,'Review Sequence'!J2:J1586),"")</x:f>
        <x:v>Not Started</x:v>
      </x:c>
      <x:c r="H363" s="7" t="str">
        <x:f>IFERROR(XLOOKUP(C363,'Review Sequence'!C2:C1586,'Review Sequence'!O2:O1586),"")</x:f>
      </x:c>
      <x:c r="I363" s="6" t="str">
        <x:f>IFERROR(XLOOKUP(C363,'Review Sequence'!C2:C1586,'Review Sequence'!P2:P1586),"")</x:f>
        <x:v>Yes</x:v>
      </x:c>
    </x:row>
    <x:row r="364">
      <x:c r="A364" s="6" t="str">
        <x:v>BLK-0363</x:v>
      </x:c>
      <x:c r="B364" s="6" t="str">
        <x:v>Manufacturer Scope</x:v>
      </x:c>
      <x:c r="C364" s="6" t="str">
        <x:v>MFRX-0034</x:v>
      </x:c>
      <x:c r="D364" s="6" t="str">
        <x:v>SVC000034</x:v>
      </x:c>
      <x:c r="E364" s="6" t="str"/>
      <x:c r="F364" s="6" t="str">
        <x:f>IFERROR(XLOOKUP(C364,'Review Sequence'!C2:C1586,'Review Sequence'!I2:I1586),"")</x:f>
        <x:v>Not Started</x:v>
      </x:c>
      <x:c r="G364" s="6" t="str">
        <x:f>IFERROR(XLOOKUP(C364,'Review Sequence'!C2:C1586,'Review Sequence'!J2:J1586),"")</x:f>
        <x:v>Not Started</x:v>
      </x:c>
      <x:c r="H364" s="7" t="str">
        <x:f>IFERROR(XLOOKUP(C364,'Review Sequence'!C2:C1586,'Review Sequence'!O2:O1586),"")</x:f>
      </x:c>
      <x:c r="I364" s="6" t="str">
        <x:f>IFERROR(XLOOKUP(C364,'Review Sequence'!C2:C1586,'Review Sequence'!P2:P1586),"")</x:f>
        <x:v>Yes</x:v>
      </x:c>
    </x:row>
    <x:row r="365">
      <x:c r="A365" s="6" t="str">
        <x:v>BLK-0364</x:v>
      </x:c>
      <x:c r="B365" s="6" t="str">
        <x:v>Manufacturer Scope</x:v>
      </x:c>
      <x:c r="C365" s="6" t="str">
        <x:v>MFRX-0035</x:v>
      </x:c>
      <x:c r="D365" s="6" t="str">
        <x:v>SVC000035</x:v>
      </x:c>
      <x:c r="E365" s="6" t="str"/>
      <x:c r="F365" s="6" t="str">
        <x:f>IFERROR(XLOOKUP(C365,'Review Sequence'!C2:C1586,'Review Sequence'!I2:I1586),"")</x:f>
        <x:v>Not Started</x:v>
      </x:c>
      <x:c r="G365" s="6" t="str">
        <x:f>IFERROR(XLOOKUP(C365,'Review Sequence'!C2:C1586,'Review Sequence'!J2:J1586),"")</x:f>
        <x:v>Not Started</x:v>
      </x:c>
      <x:c r="H365" s="7" t="str">
        <x:f>IFERROR(XLOOKUP(C365,'Review Sequence'!C2:C1586,'Review Sequence'!O2:O1586),"")</x:f>
      </x:c>
      <x:c r="I365" s="6" t="str">
        <x:f>IFERROR(XLOOKUP(C365,'Review Sequence'!C2:C1586,'Review Sequence'!P2:P1586),"")</x:f>
        <x:v>Yes</x:v>
      </x:c>
    </x:row>
    <x:row r="366">
      <x:c r="A366" s="6" t="str">
        <x:v>BLK-0365</x:v>
      </x:c>
      <x:c r="B366" s="6" t="str">
        <x:v>Manufacturer Scope</x:v>
      </x:c>
      <x:c r="C366" s="6" t="str">
        <x:v>MFRX-0036</x:v>
      </x:c>
      <x:c r="D366" s="6" t="str">
        <x:v>SVC000036</x:v>
      </x:c>
      <x:c r="E366" s="6" t="str"/>
      <x:c r="F366" s="6" t="str">
        <x:f>IFERROR(XLOOKUP(C366,'Review Sequence'!C2:C1586,'Review Sequence'!I2:I1586),"")</x:f>
        <x:v>Not Started</x:v>
      </x:c>
      <x:c r="G366" s="6" t="str">
        <x:f>IFERROR(XLOOKUP(C366,'Review Sequence'!C2:C1586,'Review Sequence'!J2:J1586),"")</x:f>
        <x:v>Not Started</x:v>
      </x:c>
      <x:c r="H366" s="7" t="str">
        <x:f>IFERROR(XLOOKUP(C366,'Review Sequence'!C2:C1586,'Review Sequence'!O2:O1586),"")</x:f>
      </x:c>
      <x:c r="I366" s="6" t="str">
        <x:f>IFERROR(XLOOKUP(C366,'Review Sequence'!C2:C1586,'Review Sequence'!P2:P1586),"")</x:f>
        <x:v>Yes</x:v>
      </x:c>
    </x:row>
    <x:row r="367">
      <x:c r="A367" s="6" t="str">
        <x:v>BLK-0366</x:v>
      </x:c>
      <x:c r="B367" s="6" t="str">
        <x:v>Manufacturer Scope</x:v>
      </x:c>
      <x:c r="C367" s="6" t="str">
        <x:v>MFRX-0037</x:v>
      </x:c>
      <x:c r="D367" s="6" t="str">
        <x:v>SVC000037</x:v>
      </x:c>
      <x:c r="E367" s="6" t="str"/>
      <x:c r="F367" s="6" t="str">
        <x:f>IFERROR(XLOOKUP(C367,'Review Sequence'!C2:C1586,'Review Sequence'!I2:I1586),"")</x:f>
        <x:v>Not Started</x:v>
      </x:c>
      <x:c r="G367" s="6" t="str">
        <x:f>IFERROR(XLOOKUP(C367,'Review Sequence'!C2:C1586,'Review Sequence'!J2:J1586),"")</x:f>
        <x:v>Not Started</x:v>
      </x:c>
      <x:c r="H367" s="7" t="str">
        <x:f>IFERROR(XLOOKUP(C367,'Review Sequence'!C2:C1586,'Review Sequence'!O2:O1586),"")</x:f>
      </x:c>
      <x:c r="I367" s="6" t="str">
        <x:f>IFERROR(XLOOKUP(C367,'Review Sequence'!C2:C1586,'Review Sequence'!P2:P1586),"")</x:f>
        <x:v>Yes</x:v>
      </x:c>
    </x:row>
    <x:row r="368">
      <x:c r="A368" s="6" t="str">
        <x:v>BLK-0367</x:v>
      </x:c>
      <x:c r="B368" s="6" t="str">
        <x:v>Manufacturer Scope</x:v>
      </x:c>
      <x:c r="C368" s="6" t="str">
        <x:v>MFRX-0038</x:v>
      </x:c>
      <x:c r="D368" s="6" t="str">
        <x:v>SVC000038</x:v>
      </x:c>
      <x:c r="E368" s="6" t="str"/>
      <x:c r="F368" s="6" t="str">
        <x:f>IFERROR(XLOOKUP(C368,'Review Sequence'!C2:C1586,'Review Sequence'!I2:I1586),"")</x:f>
        <x:v>Not Started</x:v>
      </x:c>
      <x:c r="G368" s="6" t="str">
        <x:f>IFERROR(XLOOKUP(C368,'Review Sequence'!C2:C1586,'Review Sequence'!J2:J1586),"")</x:f>
        <x:v>Not Started</x:v>
      </x:c>
      <x:c r="H368" s="7" t="str">
        <x:f>IFERROR(XLOOKUP(C368,'Review Sequence'!C2:C1586,'Review Sequence'!O2:O1586),"")</x:f>
      </x:c>
      <x:c r="I368" s="6" t="str">
        <x:f>IFERROR(XLOOKUP(C368,'Review Sequence'!C2:C1586,'Review Sequence'!P2:P1586),"")</x:f>
        <x:v>Yes</x:v>
      </x:c>
    </x:row>
    <x:row r="369">
      <x:c r="A369" s="6" t="str">
        <x:v>BLK-0368</x:v>
      </x:c>
      <x:c r="B369" s="6" t="str">
        <x:v>Manufacturer Scope</x:v>
      </x:c>
      <x:c r="C369" s="6" t="str">
        <x:v>MFRX-0039</x:v>
      </x:c>
      <x:c r="D369" s="6" t="str">
        <x:v>SVC000039</x:v>
      </x:c>
      <x:c r="E369" s="6" t="str"/>
      <x:c r="F369" s="6" t="str">
        <x:f>IFERROR(XLOOKUP(C369,'Review Sequence'!C2:C1586,'Review Sequence'!I2:I1586),"")</x:f>
        <x:v>Not Started</x:v>
      </x:c>
      <x:c r="G369" s="6" t="str">
        <x:f>IFERROR(XLOOKUP(C369,'Review Sequence'!C2:C1586,'Review Sequence'!J2:J1586),"")</x:f>
        <x:v>Not Started</x:v>
      </x:c>
      <x:c r="H369" s="7" t="str">
        <x:f>IFERROR(XLOOKUP(C369,'Review Sequence'!C2:C1586,'Review Sequence'!O2:O1586),"")</x:f>
      </x:c>
      <x:c r="I369" s="6" t="str">
        <x:f>IFERROR(XLOOKUP(C369,'Review Sequence'!C2:C1586,'Review Sequence'!P2:P1586),"")</x:f>
        <x:v>Yes</x:v>
      </x:c>
    </x:row>
    <x:row r="370">
      <x:c r="A370" s="6" t="str">
        <x:v>BLK-0369</x:v>
      </x:c>
      <x:c r="B370" s="6" t="str">
        <x:v>Manufacturer Scope</x:v>
      </x:c>
      <x:c r="C370" s="6" t="str">
        <x:v>MFRX-0040</x:v>
      </x:c>
      <x:c r="D370" s="6" t="str">
        <x:v>SVC000040</x:v>
      </x:c>
      <x:c r="E370" s="6" t="str"/>
      <x:c r="F370" s="6" t="str">
        <x:f>IFERROR(XLOOKUP(C370,'Review Sequence'!C2:C1586,'Review Sequence'!I2:I1586),"")</x:f>
        <x:v>Not Started</x:v>
      </x:c>
      <x:c r="G370" s="6" t="str">
        <x:f>IFERROR(XLOOKUP(C370,'Review Sequence'!C2:C1586,'Review Sequence'!J2:J1586),"")</x:f>
        <x:v>Not Started</x:v>
      </x:c>
      <x:c r="H370" s="7" t="str">
        <x:f>IFERROR(XLOOKUP(C370,'Review Sequence'!C2:C1586,'Review Sequence'!O2:O1586),"")</x:f>
      </x:c>
      <x:c r="I370" s="6" t="str">
        <x:f>IFERROR(XLOOKUP(C370,'Review Sequence'!C2:C1586,'Review Sequence'!P2:P1586),"")</x:f>
        <x:v>Yes</x:v>
      </x:c>
    </x:row>
    <x:row r="371">
      <x:c r="A371" s="6" t="str">
        <x:v>BLK-0370</x:v>
      </x:c>
      <x:c r="B371" s="6" t="str">
        <x:v>Manufacturer Scope</x:v>
      </x:c>
      <x:c r="C371" s="6" t="str">
        <x:v>MFRX-0041</x:v>
      </x:c>
      <x:c r="D371" s="6" t="str">
        <x:v>SVC000041</x:v>
      </x:c>
      <x:c r="E371" s="6" t="str"/>
      <x:c r="F371" s="6" t="str">
        <x:f>IFERROR(XLOOKUP(C371,'Review Sequence'!C2:C1586,'Review Sequence'!I2:I1586),"")</x:f>
        <x:v>Not Started</x:v>
      </x:c>
      <x:c r="G371" s="6" t="str">
        <x:f>IFERROR(XLOOKUP(C371,'Review Sequence'!C2:C1586,'Review Sequence'!J2:J1586),"")</x:f>
        <x:v>Not Started</x:v>
      </x:c>
      <x:c r="H371" s="7" t="str">
        <x:f>IFERROR(XLOOKUP(C371,'Review Sequence'!C2:C1586,'Review Sequence'!O2:O1586),"")</x:f>
      </x:c>
      <x:c r="I371" s="6" t="str">
        <x:f>IFERROR(XLOOKUP(C371,'Review Sequence'!C2:C1586,'Review Sequence'!P2:P1586),"")</x:f>
        <x:v>Yes</x:v>
      </x:c>
    </x:row>
    <x:row r="372">
      <x:c r="A372" s="6" t="str">
        <x:v>BLK-0371</x:v>
      </x:c>
      <x:c r="B372" s="6" t="str">
        <x:v>Manufacturer Scope</x:v>
      </x:c>
      <x:c r="C372" s="6" t="str">
        <x:v>MFRX-0042</x:v>
      </x:c>
      <x:c r="D372" s="6" t="str">
        <x:v>SVC000042</x:v>
      </x:c>
      <x:c r="E372" s="6" t="str"/>
      <x:c r="F372" s="6" t="str">
        <x:f>IFERROR(XLOOKUP(C372,'Review Sequence'!C2:C1586,'Review Sequence'!I2:I1586),"")</x:f>
        <x:v>Not Started</x:v>
      </x:c>
      <x:c r="G372" s="6" t="str">
        <x:f>IFERROR(XLOOKUP(C372,'Review Sequence'!C2:C1586,'Review Sequence'!J2:J1586),"")</x:f>
        <x:v>Not Started</x:v>
      </x:c>
      <x:c r="H372" s="7" t="str">
        <x:f>IFERROR(XLOOKUP(C372,'Review Sequence'!C2:C1586,'Review Sequence'!O2:O1586),"")</x:f>
      </x:c>
      <x:c r="I372" s="6" t="str">
        <x:f>IFERROR(XLOOKUP(C372,'Review Sequence'!C2:C1586,'Review Sequence'!P2:P1586),"")</x:f>
        <x:v>Yes</x:v>
      </x:c>
    </x:row>
    <x:row r="373">
      <x:c r="A373" s="6" t="str">
        <x:v>BLK-0372</x:v>
      </x:c>
      <x:c r="B373" s="6" t="str">
        <x:v>Manufacturer Scope</x:v>
      </x:c>
      <x:c r="C373" s="6" t="str">
        <x:v>MFRX-0043</x:v>
      </x:c>
      <x:c r="D373" s="6" t="str">
        <x:v>SVC000043</x:v>
      </x:c>
      <x:c r="E373" s="6" t="str"/>
      <x:c r="F373" s="6" t="str">
        <x:f>IFERROR(XLOOKUP(C373,'Review Sequence'!C2:C1586,'Review Sequence'!I2:I1586),"")</x:f>
        <x:v>Not Started</x:v>
      </x:c>
      <x:c r="G373" s="6" t="str">
        <x:f>IFERROR(XLOOKUP(C373,'Review Sequence'!C2:C1586,'Review Sequence'!J2:J1586),"")</x:f>
        <x:v>Not Started</x:v>
      </x:c>
      <x:c r="H373" s="7" t="str">
        <x:f>IFERROR(XLOOKUP(C373,'Review Sequence'!C2:C1586,'Review Sequence'!O2:O1586),"")</x:f>
      </x:c>
      <x:c r="I373" s="6" t="str">
        <x:f>IFERROR(XLOOKUP(C373,'Review Sequence'!C2:C1586,'Review Sequence'!P2:P1586),"")</x:f>
        <x:v>Yes</x:v>
      </x:c>
    </x:row>
    <x:row r="374">
      <x:c r="A374" s="6" t="str">
        <x:v>BLK-0373</x:v>
      </x:c>
      <x:c r="B374" s="6" t="str">
        <x:v>Manufacturer Scope</x:v>
      </x:c>
      <x:c r="C374" s="6" t="str">
        <x:v>MFRX-0044</x:v>
      </x:c>
      <x:c r="D374" s="6" t="str">
        <x:v>SVC000044</x:v>
      </x:c>
      <x:c r="E374" s="6" t="str"/>
      <x:c r="F374" s="6" t="str">
        <x:f>IFERROR(XLOOKUP(C374,'Review Sequence'!C2:C1586,'Review Sequence'!I2:I1586),"")</x:f>
        <x:v>Not Started</x:v>
      </x:c>
      <x:c r="G374" s="6" t="str">
        <x:f>IFERROR(XLOOKUP(C374,'Review Sequence'!C2:C1586,'Review Sequence'!J2:J1586),"")</x:f>
        <x:v>Not Started</x:v>
      </x:c>
      <x:c r="H374" s="7" t="str">
        <x:f>IFERROR(XLOOKUP(C374,'Review Sequence'!C2:C1586,'Review Sequence'!O2:O1586),"")</x:f>
      </x:c>
      <x:c r="I374" s="6" t="str">
        <x:f>IFERROR(XLOOKUP(C374,'Review Sequence'!C2:C1586,'Review Sequence'!P2:P1586),"")</x:f>
        <x:v>Yes</x:v>
      </x:c>
    </x:row>
    <x:row r="375">
      <x:c r="A375" s="6" t="str">
        <x:v>BLK-0374</x:v>
      </x:c>
      <x:c r="B375" s="6" t="str">
        <x:v>Manufacturer Scope</x:v>
      </x:c>
      <x:c r="C375" s="6" t="str">
        <x:v>MFRX-0045</x:v>
      </x:c>
      <x:c r="D375" s="6" t="str">
        <x:v>SVC000045</x:v>
      </x:c>
      <x:c r="E375" s="6" t="str"/>
      <x:c r="F375" s="6" t="str">
        <x:f>IFERROR(XLOOKUP(C375,'Review Sequence'!C2:C1586,'Review Sequence'!I2:I1586),"")</x:f>
        <x:v>Not Started</x:v>
      </x:c>
      <x:c r="G375" s="6" t="str">
        <x:f>IFERROR(XLOOKUP(C375,'Review Sequence'!C2:C1586,'Review Sequence'!J2:J1586),"")</x:f>
        <x:v>Not Started</x:v>
      </x:c>
      <x:c r="H375" s="7" t="str">
        <x:f>IFERROR(XLOOKUP(C375,'Review Sequence'!C2:C1586,'Review Sequence'!O2:O1586),"")</x:f>
      </x:c>
      <x:c r="I375" s="6" t="str">
        <x:f>IFERROR(XLOOKUP(C375,'Review Sequence'!C2:C1586,'Review Sequence'!P2:P1586),"")</x:f>
        <x:v>Yes</x:v>
      </x:c>
    </x:row>
    <x:row r="376">
      <x:c r="A376" s="6" t="str">
        <x:v>BLK-0375</x:v>
      </x:c>
      <x:c r="B376" s="6" t="str">
        <x:v>Manufacturer Scope</x:v>
      </x:c>
      <x:c r="C376" s="6" t="str">
        <x:v>MFRX-0046</x:v>
      </x:c>
      <x:c r="D376" s="6" t="str">
        <x:v>SVC000046</x:v>
      </x:c>
      <x:c r="E376" s="6" t="str"/>
      <x:c r="F376" s="6" t="str">
        <x:f>IFERROR(XLOOKUP(C376,'Review Sequence'!C2:C1586,'Review Sequence'!I2:I1586),"")</x:f>
        <x:v>Not Started</x:v>
      </x:c>
      <x:c r="G376" s="6" t="str">
        <x:f>IFERROR(XLOOKUP(C376,'Review Sequence'!C2:C1586,'Review Sequence'!J2:J1586),"")</x:f>
        <x:v>Not Started</x:v>
      </x:c>
      <x:c r="H376" s="7" t="str">
        <x:f>IFERROR(XLOOKUP(C376,'Review Sequence'!C2:C1586,'Review Sequence'!O2:O1586),"")</x:f>
      </x:c>
      <x:c r="I376" s="6" t="str">
        <x:f>IFERROR(XLOOKUP(C376,'Review Sequence'!C2:C1586,'Review Sequence'!P2:P1586),"")</x:f>
        <x:v>Yes</x:v>
      </x:c>
    </x:row>
    <x:row r="377">
      <x:c r="A377" s="6" t="str">
        <x:v>BLK-0376</x:v>
      </x:c>
      <x:c r="B377" s="6" t="str">
        <x:v>Manufacturer Scope</x:v>
      </x:c>
      <x:c r="C377" s="6" t="str">
        <x:v>MFRX-0047</x:v>
      </x:c>
      <x:c r="D377" s="6" t="str">
        <x:v>SVC000047</x:v>
      </x:c>
      <x:c r="E377" s="6" t="str"/>
      <x:c r="F377" s="6" t="str">
        <x:f>IFERROR(XLOOKUP(C377,'Review Sequence'!C2:C1586,'Review Sequence'!I2:I1586),"")</x:f>
        <x:v>Not Started</x:v>
      </x:c>
      <x:c r="G377" s="6" t="str">
        <x:f>IFERROR(XLOOKUP(C377,'Review Sequence'!C2:C1586,'Review Sequence'!J2:J1586),"")</x:f>
        <x:v>Not Started</x:v>
      </x:c>
      <x:c r="H377" s="7" t="str">
        <x:f>IFERROR(XLOOKUP(C377,'Review Sequence'!C2:C1586,'Review Sequence'!O2:O1586),"")</x:f>
      </x:c>
      <x:c r="I377" s="6" t="str">
        <x:f>IFERROR(XLOOKUP(C377,'Review Sequence'!C2:C1586,'Review Sequence'!P2:P1586),"")</x:f>
        <x:v>Yes</x:v>
      </x:c>
    </x:row>
    <x:row r="378">
      <x:c r="A378" s="6" t="str">
        <x:v>BLK-0377</x:v>
      </x:c>
      <x:c r="B378" s="6" t="str">
        <x:v>Manufacturer Scope</x:v>
      </x:c>
      <x:c r="C378" s="6" t="str">
        <x:v>MFRX-0048</x:v>
      </x:c>
      <x:c r="D378" s="6" t="str">
        <x:v>SVC000048</x:v>
      </x:c>
      <x:c r="E378" s="6" t="str"/>
      <x:c r="F378" s="6" t="str">
        <x:f>IFERROR(XLOOKUP(C378,'Review Sequence'!C2:C1586,'Review Sequence'!I2:I1586),"")</x:f>
        <x:v>Not Started</x:v>
      </x:c>
      <x:c r="G378" s="6" t="str">
        <x:f>IFERROR(XLOOKUP(C378,'Review Sequence'!C2:C1586,'Review Sequence'!J2:J1586),"")</x:f>
        <x:v>Not Started</x:v>
      </x:c>
      <x:c r="H378" s="7" t="str">
        <x:f>IFERROR(XLOOKUP(C378,'Review Sequence'!C2:C1586,'Review Sequence'!O2:O1586),"")</x:f>
      </x:c>
      <x:c r="I378" s="6" t="str">
        <x:f>IFERROR(XLOOKUP(C378,'Review Sequence'!C2:C1586,'Review Sequence'!P2:P1586),"")</x:f>
        <x:v>Yes</x:v>
      </x:c>
    </x:row>
    <x:row r="379">
      <x:c r="A379" s="6" t="str">
        <x:v>BLK-0378</x:v>
      </x:c>
      <x:c r="B379" s="6" t="str">
        <x:v>Manufacturer Scope</x:v>
      </x:c>
      <x:c r="C379" s="6" t="str">
        <x:v>MFRX-0049</x:v>
      </x:c>
      <x:c r="D379" s="6" t="str">
        <x:v>SVC000049</x:v>
      </x:c>
      <x:c r="E379" s="6" t="str"/>
      <x:c r="F379" s="6" t="str">
        <x:f>IFERROR(XLOOKUP(C379,'Review Sequence'!C2:C1586,'Review Sequence'!I2:I1586),"")</x:f>
        <x:v>Not Started</x:v>
      </x:c>
      <x:c r="G379" s="6" t="str">
        <x:f>IFERROR(XLOOKUP(C379,'Review Sequence'!C2:C1586,'Review Sequence'!J2:J1586),"")</x:f>
        <x:v>Not Started</x:v>
      </x:c>
      <x:c r="H379" s="7" t="str">
        <x:f>IFERROR(XLOOKUP(C379,'Review Sequence'!C2:C1586,'Review Sequence'!O2:O1586),"")</x:f>
      </x:c>
      <x:c r="I379" s="6" t="str">
        <x:f>IFERROR(XLOOKUP(C379,'Review Sequence'!C2:C1586,'Review Sequence'!P2:P1586),"")</x:f>
        <x:v>Yes</x:v>
      </x:c>
    </x:row>
    <x:row r="380">
      <x:c r="A380" s="6" t="str">
        <x:v>BLK-0379</x:v>
      </x:c>
      <x:c r="B380" s="6" t="str">
        <x:v>Manufacturer Scope</x:v>
      </x:c>
      <x:c r="C380" s="6" t="str">
        <x:v>MFRX-0050</x:v>
      </x:c>
      <x:c r="D380" s="6" t="str">
        <x:v>SVC000050</x:v>
      </x:c>
      <x:c r="E380" s="6" t="str"/>
      <x:c r="F380" s="6" t="str">
        <x:f>IFERROR(XLOOKUP(C380,'Review Sequence'!C2:C1586,'Review Sequence'!I2:I1586),"")</x:f>
        <x:v>Not Started</x:v>
      </x:c>
      <x:c r="G380" s="6" t="str">
        <x:f>IFERROR(XLOOKUP(C380,'Review Sequence'!C2:C1586,'Review Sequence'!J2:J1586),"")</x:f>
        <x:v>Not Started</x:v>
      </x:c>
      <x:c r="H380" s="7" t="str">
        <x:f>IFERROR(XLOOKUP(C380,'Review Sequence'!C2:C1586,'Review Sequence'!O2:O1586),"")</x:f>
      </x:c>
      <x:c r="I380" s="6" t="str">
        <x:f>IFERROR(XLOOKUP(C380,'Review Sequence'!C2:C1586,'Review Sequence'!P2:P1586),"")</x:f>
        <x:v>Yes</x:v>
      </x:c>
    </x:row>
    <x:row r="381">
      <x:c r="A381" s="6" t="str">
        <x:v>BLK-0380</x:v>
      </x:c>
      <x:c r="B381" s="6" t="str">
        <x:v>Manufacturer Scope</x:v>
      </x:c>
      <x:c r="C381" s="6" t="str">
        <x:v>MFRX-0051</x:v>
      </x:c>
      <x:c r="D381" s="6" t="str">
        <x:v>SVC000051</x:v>
      </x:c>
      <x:c r="E381" s="6" t="str"/>
      <x:c r="F381" s="6" t="str">
        <x:f>IFERROR(XLOOKUP(C381,'Review Sequence'!C2:C1586,'Review Sequence'!I2:I1586),"")</x:f>
        <x:v>Not Started</x:v>
      </x:c>
      <x:c r="G381" s="6" t="str">
        <x:f>IFERROR(XLOOKUP(C381,'Review Sequence'!C2:C1586,'Review Sequence'!J2:J1586),"")</x:f>
        <x:v>Not Started</x:v>
      </x:c>
      <x:c r="H381" s="7" t="str">
        <x:f>IFERROR(XLOOKUP(C381,'Review Sequence'!C2:C1586,'Review Sequence'!O2:O1586),"")</x:f>
      </x:c>
      <x:c r="I381" s="6" t="str">
        <x:f>IFERROR(XLOOKUP(C381,'Review Sequence'!C2:C1586,'Review Sequence'!P2:P1586),"")</x:f>
        <x:v>Yes</x:v>
      </x:c>
    </x:row>
    <x:row r="382">
      <x:c r="A382" s="6" t="str">
        <x:v>BLK-0381</x:v>
      </x:c>
      <x:c r="B382" s="6" t="str">
        <x:v>Manufacturer Scope</x:v>
      </x:c>
      <x:c r="C382" s="6" t="str">
        <x:v>MFRX-0052</x:v>
      </x:c>
      <x:c r="D382" s="6" t="str">
        <x:v>SVC000052</x:v>
      </x:c>
      <x:c r="E382" s="6" t="str"/>
      <x:c r="F382" s="6" t="str">
        <x:f>IFERROR(XLOOKUP(C382,'Review Sequence'!C2:C1586,'Review Sequence'!I2:I1586),"")</x:f>
        <x:v>Not Started</x:v>
      </x:c>
      <x:c r="G382" s="6" t="str">
        <x:f>IFERROR(XLOOKUP(C382,'Review Sequence'!C2:C1586,'Review Sequence'!J2:J1586),"")</x:f>
        <x:v>Not Started</x:v>
      </x:c>
      <x:c r="H382" s="7" t="str">
        <x:f>IFERROR(XLOOKUP(C382,'Review Sequence'!C2:C1586,'Review Sequence'!O2:O1586),"")</x:f>
      </x:c>
      <x:c r="I382" s="6" t="str">
        <x:f>IFERROR(XLOOKUP(C382,'Review Sequence'!C2:C1586,'Review Sequence'!P2:P1586),"")</x:f>
        <x:v>Yes</x:v>
      </x:c>
    </x:row>
    <x:row r="383">
      <x:c r="A383" s="6" t="str">
        <x:v>BLK-0382</x:v>
      </x:c>
      <x:c r="B383" s="6" t="str">
        <x:v>Manufacturer Scope</x:v>
      </x:c>
      <x:c r="C383" s="6" t="str">
        <x:v>MFRX-0053</x:v>
      </x:c>
      <x:c r="D383" s="6" t="str">
        <x:v>SVC000053</x:v>
      </x:c>
      <x:c r="E383" s="6" t="str"/>
      <x:c r="F383" s="6" t="str">
        <x:f>IFERROR(XLOOKUP(C383,'Review Sequence'!C2:C1586,'Review Sequence'!I2:I1586),"")</x:f>
        <x:v>Not Started</x:v>
      </x:c>
      <x:c r="G383" s="6" t="str">
        <x:f>IFERROR(XLOOKUP(C383,'Review Sequence'!C2:C1586,'Review Sequence'!J2:J1586),"")</x:f>
        <x:v>Not Started</x:v>
      </x:c>
      <x:c r="H383" s="7" t="str">
        <x:f>IFERROR(XLOOKUP(C383,'Review Sequence'!C2:C1586,'Review Sequence'!O2:O1586),"")</x:f>
      </x:c>
      <x:c r="I383" s="6" t="str">
        <x:f>IFERROR(XLOOKUP(C383,'Review Sequence'!C2:C1586,'Review Sequence'!P2:P1586),"")</x:f>
        <x:v>Yes</x:v>
      </x:c>
    </x:row>
    <x:row r="384">
      <x:c r="A384" s="6" t="str">
        <x:v>BLK-0383</x:v>
      </x:c>
      <x:c r="B384" s="6" t="str">
        <x:v>Manufacturer Scope</x:v>
      </x:c>
      <x:c r="C384" s="6" t="str">
        <x:v>MFRX-0054</x:v>
      </x:c>
      <x:c r="D384" s="6" t="str">
        <x:v>SVC000054</x:v>
      </x:c>
      <x:c r="E384" s="6" t="str"/>
      <x:c r="F384" s="6" t="str">
        <x:f>IFERROR(XLOOKUP(C384,'Review Sequence'!C2:C1586,'Review Sequence'!I2:I1586),"")</x:f>
        <x:v>Not Started</x:v>
      </x:c>
      <x:c r="G384" s="6" t="str">
        <x:f>IFERROR(XLOOKUP(C384,'Review Sequence'!C2:C1586,'Review Sequence'!J2:J1586),"")</x:f>
        <x:v>Not Started</x:v>
      </x:c>
      <x:c r="H384" s="7" t="str">
        <x:f>IFERROR(XLOOKUP(C384,'Review Sequence'!C2:C1586,'Review Sequence'!O2:O1586),"")</x:f>
      </x:c>
      <x:c r="I384" s="6" t="str">
        <x:f>IFERROR(XLOOKUP(C384,'Review Sequence'!C2:C1586,'Review Sequence'!P2:P1586),"")</x:f>
        <x:v>Yes</x:v>
      </x:c>
    </x:row>
    <x:row r="385">
      <x:c r="A385" s="6" t="str">
        <x:v>BLK-0384</x:v>
      </x:c>
      <x:c r="B385" s="6" t="str">
        <x:v>Manufacturer Scope</x:v>
      </x:c>
      <x:c r="C385" s="6" t="str">
        <x:v>MFRX-0055</x:v>
      </x:c>
      <x:c r="D385" s="6" t="str">
        <x:v>SVC000055</x:v>
      </x:c>
      <x:c r="E385" s="6" t="str"/>
      <x:c r="F385" s="6" t="str">
        <x:f>IFERROR(XLOOKUP(C385,'Review Sequence'!C2:C1586,'Review Sequence'!I2:I1586),"")</x:f>
        <x:v>Not Started</x:v>
      </x:c>
      <x:c r="G385" s="6" t="str">
        <x:f>IFERROR(XLOOKUP(C385,'Review Sequence'!C2:C1586,'Review Sequence'!J2:J1586),"")</x:f>
        <x:v>Not Started</x:v>
      </x:c>
      <x:c r="H385" s="7" t="str">
        <x:f>IFERROR(XLOOKUP(C385,'Review Sequence'!C2:C1586,'Review Sequence'!O2:O1586),"")</x:f>
      </x:c>
      <x:c r="I385" s="6" t="str">
        <x:f>IFERROR(XLOOKUP(C385,'Review Sequence'!C2:C1586,'Review Sequence'!P2:P1586),"")</x:f>
        <x:v>Yes</x:v>
      </x:c>
    </x:row>
    <x:row r="386">
      <x:c r="A386" s="6" t="str">
        <x:v>BLK-0385</x:v>
      </x:c>
      <x:c r="B386" s="6" t="str">
        <x:v>Manufacturer Scope</x:v>
      </x:c>
      <x:c r="C386" s="6" t="str">
        <x:v>MFRX-0056</x:v>
      </x:c>
      <x:c r="D386" s="6" t="str">
        <x:v>SVC000056</x:v>
      </x:c>
      <x:c r="E386" s="6" t="str"/>
      <x:c r="F386" s="6" t="str">
        <x:f>IFERROR(XLOOKUP(C386,'Review Sequence'!C2:C1586,'Review Sequence'!I2:I1586),"")</x:f>
        <x:v>Not Started</x:v>
      </x:c>
      <x:c r="G386" s="6" t="str">
        <x:f>IFERROR(XLOOKUP(C386,'Review Sequence'!C2:C1586,'Review Sequence'!J2:J1586),"")</x:f>
        <x:v>Not Started</x:v>
      </x:c>
      <x:c r="H386" s="7" t="str">
        <x:f>IFERROR(XLOOKUP(C386,'Review Sequence'!C2:C1586,'Review Sequence'!O2:O1586),"")</x:f>
      </x:c>
      <x:c r="I386" s="6" t="str">
        <x:f>IFERROR(XLOOKUP(C386,'Review Sequence'!C2:C1586,'Review Sequence'!P2:P1586),"")</x:f>
        <x:v>Yes</x:v>
      </x:c>
    </x:row>
    <x:row r="387">
      <x:c r="A387" s="6" t="str">
        <x:v>BLK-0386</x:v>
      </x:c>
      <x:c r="B387" s="6" t="str">
        <x:v>Manufacturer Scope</x:v>
      </x:c>
      <x:c r="C387" s="6" t="str">
        <x:v>MFRX-0057</x:v>
      </x:c>
      <x:c r="D387" s="6" t="str">
        <x:v>SVC000057</x:v>
      </x:c>
      <x:c r="E387" s="6" t="str"/>
      <x:c r="F387" s="6" t="str">
        <x:f>IFERROR(XLOOKUP(C387,'Review Sequence'!C2:C1586,'Review Sequence'!I2:I1586),"")</x:f>
        <x:v>Not Started</x:v>
      </x:c>
      <x:c r="G387" s="6" t="str">
        <x:f>IFERROR(XLOOKUP(C387,'Review Sequence'!C2:C1586,'Review Sequence'!J2:J1586),"")</x:f>
        <x:v>Not Started</x:v>
      </x:c>
      <x:c r="H387" s="7" t="str">
        <x:f>IFERROR(XLOOKUP(C387,'Review Sequence'!C2:C1586,'Review Sequence'!O2:O1586),"")</x:f>
      </x:c>
      <x:c r="I387" s="6" t="str">
        <x:f>IFERROR(XLOOKUP(C387,'Review Sequence'!C2:C1586,'Review Sequence'!P2:P1586),"")</x:f>
        <x:v>Yes</x:v>
      </x:c>
    </x:row>
    <x:row r="388">
      <x:c r="A388" s="6" t="str">
        <x:v>BLK-0387</x:v>
      </x:c>
      <x:c r="B388" s="6" t="str">
        <x:v>Manufacturer Scope</x:v>
      </x:c>
      <x:c r="C388" s="6" t="str">
        <x:v>MFRX-0058</x:v>
      </x:c>
      <x:c r="D388" s="6" t="str">
        <x:v>SVC000058</x:v>
      </x:c>
      <x:c r="E388" s="6" t="str"/>
      <x:c r="F388" s="6" t="str">
        <x:f>IFERROR(XLOOKUP(C388,'Review Sequence'!C2:C1586,'Review Sequence'!I2:I1586),"")</x:f>
        <x:v>Not Started</x:v>
      </x:c>
      <x:c r="G388" s="6" t="str">
        <x:f>IFERROR(XLOOKUP(C388,'Review Sequence'!C2:C1586,'Review Sequence'!J2:J1586),"")</x:f>
        <x:v>Not Started</x:v>
      </x:c>
      <x:c r="H388" s="7" t="str">
        <x:f>IFERROR(XLOOKUP(C388,'Review Sequence'!C2:C1586,'Review Sequence'!O2:O1586),"")</x:f>
      </x:c>
      <x:c r="I388" s="6" t="str">
        <x:f>IFERROR(XLOOKUP(C388,'Review Sequence'!C2:C1586,'Review Sequence'!P2:P1586),"")</x:f>
        <x:v>Yes</x:v>
      </x:c>
    </x:row>
    <x:row r="389">
      <x:c r="A389" s="6" t="str">
        <x:v>BLK-0388</x:v>
      </x:c>
      <x:c r="B389" s="6" t="str">
        <x:v>Manufacturer Scope</x:v>
      </x:c>
      <x:c r="C389" s="6" t="str">
        <x:v>MFRX-0059</x:v>
      </x:c>
      <x:c r="D389" s="6" t="str">
        <x:v>SVC000059</x:v>
      </x:c>
      <x:c r="E389" s="6" t="str"/>
      <x:c r="F389" s="6" t="str">
        <x:f>IFERROR(XLOOKUP(C389,'Review Sequence'!C2:C1586,'Review Sequence'!I2:I1586),"")</x:f>
        <x:v>Not Started</x:v>
      </x:c>
      <x:c r="G389" s="6" t="str">
        <x:f>IFERROR(XLOOKUP(C389,'Review Sequence'!C2:C1586,'Review Sequence'!J2:J1586),"")</x:f>
        <x:v>Not Started</x:v>
      </x:c>
      <x:c r="H389" s="7" t="str">
        <x:f>IFERROR(XLOOKUP(C389,'Review Sequence'!C2:C1586,'Review Sequence'!O2:O1586),"")</x:f>
      </x:c>
      <x:c r="I389" s="6" t="str">
        <x:f>IFERROR(XLOOKUP(C389,'Review Sequence'!C2:C1586,'Review Sequence'!P2:P1586),"")</x:f>
        <x:v>Yes</x:v>
      </x:c>
    </x:row>
    <x:row r="390">
      <x:c r="A390" s="6" t="str">
        <x:v>BLK-0389</x:v>
      </x:c>
      <x:c r="B390" s="6" t="str">
        <x:v>Manufacturer Scope</x:v>
      </x:c>
      <x:c r="C390" s="6" t="str">
        <x:v>MFRX-0060</x:v>
      </x:c>
      <x:c r="D390" s="6" t="str">
        <x:v>SVC000060</x:v>
      </x:c>
      <x:c r="E390" s="6" t="str"/>
      <x:c r="F390" s="6" t="str">
        <x:f>IFERROR(XLOOKUP(C390,'Review Sequence'!C2:C1586,'Review Sequence'!I2:I1586),"")</x:f>
        <x:v>Not Started</x:v>
      </x:c>
      <x:c r="G390" s="6" t="str">
        <x:f>IFERROR(XLOOKUP(C390,'Review Sequence'!C2:C1586,'Review Sequence'!J2:J1586),"")</x:f>
        <x:v>Not Started</x:v>
      </x:c>
      <x:c r="H390" s="7" t="str">
        <x:f>IFERROR(XLOOKUP(C390,'Review Sequence'!C2:C1586,'Review Sequence'!O2:O1586),"")</x:f>
      </x:c>
      <x:c r="I390" s="6" t="str">
        <x:f>IFERROR(XLOOKUP(C390,'Review Sequence'!C2:C1586,'Review Sequence'!P2:P1586),"")</x:f>
        <x:v>Yes</x:v>
      </x:c>
    </x:row>
    <x:row r="391">
      <x:c r="A391" s="6" t="str">
        <x:v>BLK-0390</x:v>
      </x:c>
      <x:c r="B391" s="6" t="str">
        <x:v>Manufacturer Scope</x:v>
      </x:c>
      <x:c r="C391" s="6" t="str">
        <x:v>MFRX-0061</x:v>
      </x:c>
      <x:c r="D391" s="6" t="str">
        <x:v>SVC000061</x:v>
      </x:c>
      <x:c r="E391" s="6" t="str"/>
      <x:c r="F391" s="6" t="str">
        <x:f>IFERROR(XLOOKUP(C391,'Review Sequence'!C2:C1586,'Review Sequence'!I2:I1586),"")</x:f>
        <x:v>Not Started</x:v>
      </x:c>
      <x:c r="G391" s="6" t="str">
        <x:f>IFERROR(XLOOKUP(C391,'Review Sequence'!C2:C1586,'Review Sequence'!J2:J1586),"")</x:f>
        <x:v>Not Started</x:v>
      </x:c>
      <x:c r="H391" s="7" t="str">
        <x:f>IFERROR(XLOOKUP(C391,'Review Sequence'!C2:C1586,'Review Sequence'!O2:O1586),"")</x:f>
      </x:c>
      <x:c r="I391" s="6" t="str">
        <x:f>IFERROR(XLOOKUP(C391,'Review Sequence'!C2:C1586,'Review Sequence'!P2:P1586),"")</x:f>
        <x:v>Yes</x:v>
      </x:c>
    </x:row>
    <x:row r="392">
      <x:c r="A392" s="6" t="str">
        <x:v>BLK-0391</x:v>
      </x:c>
      <x:c r="B392" s="6" t="str">
        <x:v>Manufacturer Scope</x:v>
      </x:c>
      <x:c r="C392" s="6" t="str">
        <x:v>MFRX-0062</x:v>
      </x:c>
      <x:c r="D392" s="6" t="str">
        <x:v>SVC000062</x:v>
      </x:c>
      <x:c r="E392" s="6" t="str"/>
      <x:c r="F392" s="6" t="str">
        <x:f>IFERROR(XLOOKUP(C392,'Review Sequence'!C2:C1586,'Review Sequence'!I2:I1586),"")</x:f>
        <x:v>Not Started</x:v>
      </x:c>
      <x:c r="G392" s="6" t="str">
        <x:f>IFERROR(XLOOKUP(C392,'Review Sequence'!C2:C1586,'Review Sequence'!J2:J1586),"")</x:f>
        <x:v>Not Started</x:v>
      </x:c>
      <x:c r="H392" s="7" t="str">
        <x:f>IFERROR(XLOOKUP(C392,'Review Sequence'!C2:C1586,'Review Sequence'!O2:O1586),"")</x:f>
      </x:c>
      <x:c r="I392" s="6" t="str">
        <x:f>IFERROR(XLOOKUP(C392,'Review Sequence'!C2:C1586,'Review Sequence'!P2:P1586),"")</x:f>
        <x:v>Yes</x:v>
      </x:c>
    </x:row>
    <x:row r="393">
      <x:c r="A393" s="6" t="str">
        <x:v>BLK-0392</x:v>
      </x:c>
      <x:c r="B393" s="6" t="str">
        <x:v>Manufacturer Scope</x:v>
      </x:c>
      <x:c r="C393" s="6" t="str">
        <x:v>MFRX-0063</x:v>
      </x:c>
      <x:c r="D393" s="6" t="str">
        <x:v>SVC000063</x:v>
      </x:c>
      <x:c r="E393" s="6" t="str"/>
      <x:c r="F393" s="6" t="str">
        <x:f>IFERROR(XLOOKUP(C393,'Review Sequence'!C2:C1586,'Review Sequence'!I2:I1586),"")</x:f>
        <x:v>Not Started</x:v>
      </x:c>
      <x:c r="G393" s="6" t="str">
        <x:f>IFERROR(XLOOKUP(C393,'Review Sequence'!C2:C1586,'Review Sequence'!J2:J1586),"")</x:f>
        <x:v>Not Started</x:v>
      </x:c>
      <x:c r="H393" s="7" t="str">
        <x:f>IFERROR(XLOOKUP(C393,'Review Sequence'!C2:C1586,'Review Sequence'!O2:O1586),"")</x:f>
      </x:c>
      <x:c r="I393" s="6" t="str">
        <x:f>IFERROR(XLOOKUP(C393,'Review Sequence'!C2:C1586,'Review Sequence'!P2:P1586),"")</x:f>
        <x:v>Yes</x:v>
      </x:c>
    </x:row>
    <x:row r="394">
      <x:c r="A394" s="6" t="str">
        <x:v>BLK-0393</x:v>
      </x:c>
      <x:c r="B394" s="6" t="str">
        <x:v>Manufacturer Scope</x:v>
      </x:c>
      <x:c r="C394" s="6" t="str">
        <x:v>MFRX-0064</x:v>
      </x:c>
      <x:c r="D394" s="6" t="str">
        <x:v>SVC000064</x:v>
      </x:c>
      <x:c r="E394" s="6" t="str"/>
      <x:c r="F394" s="6" t="str">
        <x:f>IFERROR(XLOOKUP(C394,'Review Sequence'!C2:C1586,'Review Sequence'!I2:I1586),"")</x:f>
        <x:v>Not Started</x:v>
      </x:c>
      <x:c r="G394" s="6" t="str">
        <x:f>IFERROR(XLOOKUP(C394,'Review Sequence'!C2:C1586,'Review Sequence'!J2:J1586),"")</x:f>
        <x:v>Not Started</x:v>
      </x:c>
      <x:c r="H394" s="7" t="str">
        <x:f>IFERROR(XLOOKUP(C394,'Review Sequence'!C2:C1586,'Review Sequence'!O2:O1586),"")</x:f>
      </x:c>
      <x:c r="I394" s="6" t="str">
        <x:f>IFERROR(XLOOKUP(C394,'Review Sequence'!C2:C1586,'Review Sequence'!P2:P1586),"")</x:f>
        <x:v>Yes</x:v>
      </x:c>
    </x:row>
    <x:row r="395">
      <x:c r="A395" s="6" t="str">
        <x:v>BLK-0394</x:v>
      </x:c>
      <x:c r="B395" s="6" t="str">
        <x:v>Manufacturer Scope</x:v>
      </x:c>
      <x:c r="C395" s="6" t="str">
        <x:v>MFRX-0065</x:v>
      </x:c>
      <x:c r="D395" s="6" t="str">
        <x:v>SVC000065</x:v>
      </x:c>
      <x:c r="E395" s="6" t="str"/>
      <x:c r="F395" s="6" t="str">
        <x:f>IFERROR(XLOOKUP(C395,'Review Sequence'!C2:C1586,'Review Sequence'!I2:I1586),"")</x:f>
        <x:v>Not Started</x:v>
      </x:c>
      <x:c r="G395" s="6" t="str">
        <x:f>IFERROR(XLOOKUP(C395,'Review Sequence'!C2:C1586,'Review Sequence'!J2:J1586),"")</x:f>
        <x:v>Not Started</x:v>
      </x:c>
      <x:c r="H395" s="7" t="str">
        <x:f>IFERROR(XLOOKUP(C395,'Review Sequence'!C2:C1586,'Review Sequence'!O2:O1586),"")</x:f>
      </x:c>
      <x:c r="I395" s="6" t="str">
        <x:f>IFERROR(XLOOKUP(C395,'Review Sequence'!C2:C1586,'Review Sequence'!P2:P1586),"")</x:f>
        <x:v>Yes</x:v>
      </x:c>
    </x:row>
    <x:row r="396">
      <x:c r="A396" s="6" t="str">
        <x:v>BLK-0395</x:v>
      </x:c>
      <x:c r="B396" s="6" t="str">
        <x:v>Manufacturer Scope</x:v>
      </x:c>
      <x:c r="C396" s="6" t="str">
        <x:v>MFRX-0066</x:v>
      </x:c>
      <x:c r="D396" s="6" t="str">
        <x:v>SVC000066</x:v>
      </x:c>
      <x:c r="E396" s="6" t="str"/>
      <x:c r="F396" s="6" t="str">
        <x:f>IFERROR(XLOOKUP(C396,'Review Sequence'!C2:C1586,'Review Sequence'!I2:I1586),"")</x:f>
        <x:v>Not Started</x:v>
      </x:c>
      <x:c r="G396" s="6" t="str">
        <x:f>IFERROR(XLOOKUP(C396,'Review Sequence'!C2:C1586,'Review Sequence'!J2:J1586),"")</x:f>
        <x:v>Not Started</x:v>
      </x:c>
      <x:c r="H396" s="7" t="str">
        <x:f>IFERROR(XLOOKUP(C396,'Review Sequence'!C2:C1586,'Review Sequence'!O2:O1586),"")</x:f>
      </x:c>
      <x:c r="I396" s="6" t="str">
        <x:f>IFERROR(XLOOKUP(C396,'Review Sequence'!C2:C1586,'Review Sequence'!P2:P1586),"")</x:f>
        <x:v>Yes</x:v>
      </x:c>
    </x:row>
    <x:row r="397">
      <x:c r="A397" s="6" t="str">
        <x:v>BLK-0396</x:v>
      </x:c>
      <x:c r="B397" s="6" t="str">
        <x:v>Manufacturer Scope</x:v>
      </x:c>
      <x:c r="C397" s="6" t="str">
        <x:v>MFRX-0067</x:v>
      </x:c>
      <x:c r="D397" s="6" t="str">
        <x:v>SVC000067</x:v>
      </x:c>
      <x:c r="E397" s="6" t="str"/>
      <x:c r="F397" s="6" t="str">
        <x:f>IFERROR(XLOOKUP(C397,'Review Sequence'!C2:C1586,'Review Sequence'!I2:I1586),"")</x:f>
        <x:v>Not Started</x:v>
      </x:c>
      <x:c r="G397" s="6" t="str">
        <x:f>IFERROR(XLOOKUP(C397,'Review Sequence'!C2:C1586,'Review Sequence'!J2:J1586),"")</x:f>
        <x:v>Not Started</x:v>
      </x:c>
      <x:c r="H397" s="7" t="str">
        <x:f>IFERROR(XLOOKUP(C397,'Review Sequence'!C2:C1586,'Review Sequence'!O2:O1586),"")</x:f>
      </x:c>
      <x:c r="I397" s="6" t="str">
        <x:f>IFERROR(XLOOKUP(C397,'Review Sequence'!C2:C1586,'Review Sequence'!P2:P1586),"")</x:f>
        <x:v>Yes</x:v>
      </x:c>
    </x:row>
    <x:row r="398">
      <x:c r="A398" s="6" t="str">
        <x:v>BLK-0397</x:v>
      </x:c>
      <x:c r="B398" s="6" t="str">
        <x:v>Manufacturer Scope</x:v>
      </x:c>
      <x:c r="C398" s="6" t="str">
        <x:v>MFRX-0068</x:v>
      </x:c>
      <x:c r="D398" s="6" t="str">
        <x:v>SVC000068</x:v>
      </x:c>
      <x:c r="E398" s="6" t="str"/>
      <x:c r="F398" s="6" t="str">
        <x:f>IFERROR(XLOOKUP(C398,'Review Sequence'!C2:C1586,'Review Sequence'!I2:I1586),"")</x:f>
        <x:v>Not Started</x:v>
      </x:c>
      <x:c r="G398" s="6" t="str">
        <x:f>IFERROR(XLOOKUP(C398,'Review Sequence'!C2:C1586,'Review Sequence'!J2:J1586),"")</x:f>
        <x:v>Not Started</x:v>
      </x:c>
      <x:c r="H398" s="7" t="str">
        <x:f>IFERROR(XLOOKUP(C398,'Review Sequence'!C2:C1586,'Review Sequence'!O2:O1586),"")</x:f>
      </x:c>
      <x:c r="I398" s="6" t="str">
        <x:f>IFERROR(XLOOKUP(C398,'Review Sequence'!C2:C1586,'Review Sequence'!P2:P1586),"")</x:f>
        <x:v>Yes</x:v>
      </x:c>
    </x:row>
    <x:row r="399">
      <x:c r="A399" s="6" t="str">
        <x:v>BLK-0398</x:v>
      </x:c>
      <x:c r="B399" s="6" t="str">
        <x:v>Manufacturer Scope</x:v>
      </x:c>
      <x:c r="C399" s="6" t="str">
        <x:v>MFRX-0069</x:v>
      </x:c>
      <x:c r="D399" s="6" t="str">
        <x:v>SVC000069</x:v>
      </x:c>
      <x:c r="E399" s="6" t="str"/>
      <x:c r="F399" s="6" t="str">
        <x:f>IFERROR(XLOOKUP(C399,'Review Sequence'!C2:C1586,'Review Sequence'!I2:I1586),"")</x:f>
        <x:v>Not Started</x:v>
      </x:c>
      <x:c r="G399" s="6" t="str">
        <x:f>IFERROR(XLOOKUP(C399,'Review Sequence'!C2:C1586,'Review Sequence'!J2:J1586),"")</x:f>
        <x:v>Not Started</x:v>
      </x:c>
      <x:c r="H399" s="7" t="str">
        <x:f>IFERROR(XLOOKUP(C399,'Review Sequence'!C2:C1586,'Review Sequence'!O2:O1586),"")</x:f>
      </x:c>
      <x:c r="I399" s="6" t="str">
        <x:f>IFERROR(XLOOKUP(C399,'Review Sequence'!C2:C1586,'Review Sequence'!P2:P1586),"")</x:f>
        <x:v>Yes</x:v>
      </x:c>
    </x:row>
    <x:row r="400">
      <x:c r="A400" s="6" t="str">
        <x:v>BLK-0399</x:v>
      </x:c>
      <x:c r="B400" s="6" t="str">
        <x:v>Manufacturer Scope</x:v>
      </x:c>
      <x:c r="C400" s="6" t="str">
        <x:v>MFRX-0070</x:v>
      </x:c>
      <x:c r="D400" s="6" t="str">
        <x:v>SVC000070</x:v>
      </x:c>
      <x:c r="E400" s="6" t="str"/>
      <x:c r="F400" s="6" t="str">
        <x:f>IFERROR(XLOOKUP(C400,'Review Sequence'!C2:C1586,'Review Sequence'!I2:I1586),"")</x:f>
        <x:v>Not Started</x:v>
      </x:c>
      <x:c r="G400" s="6" t="str">
        <x:f>IFERROR(XLOOKUP(C400,'Review Sequence'!C2:C1586,'Review Sequence'!J2:J1586),"")</x:f>
        <x:v>Not Started</x:v>
      </x:c>
      <x:c r="H400" s="7" t="str">
        <x:f>IFERROR(XLOOKUP(C400,'Review Sequence'!C2:C1586,'Review Sequence'!O2:O1586),"")</x:f>
      </x:c>
      <x:c r="I400" s="6" t="str">
        <x:f>IFERROR(XLOOKUP(C400,'Review Sequence'!C2:C1586,'Review Sequence'!P2:P1586),"")</x:f>
        <x:v>Yes</x:v>
      </x:c>
    </x:row>
    <x:row r="401">
      <x:c r="A401" s="6" t="str">
        <x:v>BLK-0400</x:v>
      </x:c>
      <x:c r="B401" s="6" t="str">
        <x:v>Manufacturer Scope</x:v>
      </x:c>
      <x:c r="C401" s="6" t="str">
        <x:v>MFRX-0071</x:v>
      </x:c>
      <x:c r="D401" s="6" t="str">
        <x:v>SVC000071</x:v>
      </x:c>
      <x:c r="E401" s="6" t="str"/>
      <x:c r="F401" s="6" t="str">
        <x:f>IFERROR(XLOOKUP(C401,'Review Sequence'!C2:C1586,'Review Sequence'!I2:I1586),"")</x:f>
        <x:v>Not Started</x:v>
      </x:c>
      <x:c r="G401" s="6" t="str">
        <x:f>IFERROR(XLOOKUP(C401,'Review Sequence'!C2:C1586,'Review Sequence'!J2:J1586),"")</x:f>
        <x:v>Not Started</x:v>
      </x:c>
      <x:c r="H401" s="7" t="str">
        <x:f>IFERROR(XLOOKUP(C401,'Review Sequence'!C2:C1586,'Review Sequence'!O2:O1586),"")</x:f>
      </x:c>
      <x:c r="I401" s="6" t="str">
        <x:f>IFERROR(XLOOKUP(C401,'Review Sequence'!C2:C1586,'Review Sequence'!P2:P1586),"")</x:f>
        <x:v>Yes</x:v>
      </x:c>
    </x:row>
    <x:row r="402">
      <x:c r="A402" s="6" t="str">
        <x:v>BLK-0401</x:v>
      </x:c>
      <x:c r="B402" s="6" t="str">
        <x:v>Manufacturer Scope</x:v>
      </x:c>
      <x:c r="C402" s="6" t="str">
        <x:v>MFRX-0072</x:v>
      </x:c>
      <x:c r="D402" s="6" t="str">
        <x:v>SVC000072</x:v>
      </x:c>
      <x:c r="E402" s="6" t="str"/>
      <x:c r="F402" s="6" t="str">
        <x:f>IFERROR(XLOOKUP(C402,'Review Sequence'!C2:C1586,'Review Sequence'!I2:I1586),"")</x:f>
        <x:v>Not Started</x:v>
      </x:c>
      <x:c r="G402" s="6" t="str">
        <x:f>IFERROR(XLOOKUP(C402,'Review Sequence'!C2:C1586,'Review Sequence'!J2:J1586),"")</x:f>
        <x:v>Not Started</x:v>
      </x:c>
      <x:c r="H402" s="7" t="str">
        <x:f>IFERROR(XLOOKUP(C402,'Review Sequence'!C2:C1586,'Review Sequence'!O2:O1586),"")</x:f>
      </x:c>
      <x:c r="I402" s="6" t="str">
        <x:f>IFERROR(XLOOKUP(C402,'Review Sequence'!C2:C1586,'Review Sequence'!P2:P1586),"")</x:f>
        <x:v>Yes</x:v>
      </x:c>
    </x:row>
    <x:row r="403">
      <x:c r="A403" s="6" t="str">
        <x:v>BLK-0402</x:v>
      </x:c>
      <x:c r="B403" s="6" t="str">
        <x:v>Manufacturer Scope</x:v>
      </x:c>
      <x:c r="C403" s="6" t="str">
        <x:v>MFRX-0073</x:v>
      </x:c>
      <x:c r="D403" s="6" t="str">
        <x:v>SVC000073</x:v>
      </x:c>
      <x:c r="E403" s="6" t="str"/>
      <x:c r="F403" s="6" t="str">
        <x:f>IFERROR(XLOOKUP(C403,'Review Sequence'!C2:C1586,'Review Sequence'!I2:I1586),"")</x:f>
        <x:v>Not Started</x:v>
      </x:c>
      <x:c r="G403" s="6" t="str">
        <x:f>IFERROR(XLOOKUP(C403,'Review Sequence'!C2:C1586,'Review Sequence'!J2:J1586),"")</x:f>
        <x:v>Not Started</x:v>
      </x:c>
      <x:c r="H403" s="7" t="str">
        <x:f>IFERROR(XLOOKUP(C403,'Review Sequence'!C2:C1586,'Review Sequence'!O2:O1586),"")</x:f>
      </x:c>
      <x:c r="I403" s="6" t="str">
        <x:f>IFERROR(XLOOKUP(C403,'Review Sequence'!C2:C1586,'Review Sequence'!P2:P1586),"")</x:f>
        <x:v>Yes</x:v>
      </x:c>
    </x:row>
    <x:row r="404">
      <x:c r="A404" s="6" t="str">
        <x:v>BLK-0403</x:v>
      </x:c>
      <x:c r="B404" s="6" t="str">
        <x:v>Manufacturer Scope</x:v>
      </x:c>
      <x:c r="C404" s="6" t="str">
        <x:v>MFRX-0074</x:v>
      </x:c>
      <x:c r="D404" s="6" t="str">
        <x:v>SVC000074</x:v>
      </x:c>
      <x:c r="E404" s="6" t="str"/>
      <x:c r="F404" s="6" t="str">
        <x:f>IFERROR(XLOOKUP(C404,'Review Sequence'!C2:C1586,'Review Sequence'!I2:I1586),"")</x:f>
        <x:v>Not Started</x:v>
      </x:c>
      <x:c r="G404" s="6" t="str">
        <x:f>IFERROR(XLOOKUP(C404,'Review Sequence'!C2:C1586,'Review Sequence'!J2:J1586),"")</x:f>
        <x:v>Not Started</x:v>
      </x:c>
      <x:c r="H404" s="7" t="str">
        <x:f>IFERROR(XLOOKUP(C404,'Review Sequence'!C2:C1586,'Review Sequence'!O2:O1586),"")</x:f>
      </x:c>
      <x:c r="I404" s="6" t="str">
        <x:f>IFERROR(XLOOKUP(C404,'Review Sequence'!C2:C1586,'Review Sequence'!P2:P1586),"")</x:f>
        <x:v>Yes</x:v>
      </x:c>
    </x:row>
    <x:row r="405">
      <x:c r="A405" s="6" t="str">
        <x:v>BLK-0404</x:v>
      </x:c>
      <x:c r="B405" s="6" t="str">
        <x:v>Manufacturer Scope</x:v>
      </x:c>
      <x:c r="C405" s="6" t="str">
        <x:v>MFRX-0075</x:v>
      </x:c>
      <x:c r="D405" s="6" t="str">
        <x:v>SVC000075</x:v>
      </x:c>
      <x:c r="E405" s="6" t="str"/>
      <x:c r="F405" s="6" t="str">
        <x:f>IFERROR(XLOOKUP(C405,'Review Sequence'!C2:C1586,'Review Sequence'!I2:I1586),"")</x:f>
        <x:v>Not Started</x:v>
      </x:c>
      <x:c r="G405" s="6" t="str">
        <x:f>IFERROR(XLOOKUP(C405,'Review Sequence'!C2:C1586,'Review Sequence'!J2:J1586),"")</x:f>
        <x:v>Not Started</x:v>
      </x:c>
      <x:c r="H405" s="7" t="str">
        <x:f>IFERROR(XLOOKUP(C405,'Review Sequence'!C2:C1586,'Review Sequence'!O2:O1586),"")</x:f>
      </x:c>
      <x:c r="I405" s="6" t="str">
        <x:f>IFERROR(XLOOKUP(C405,'Review Sequence'!C2:C1586,'Review Sequence'!P2:P1586),"")</x:f>
        <x:v>Yes</x:v>
      </x:c>
    </x:row>
    <x:row r="406">
      <x:c r="A406" s="6" t="str">
        <x:v>BLK-0405</x:v>
      </x:c>
      <x:c r="B406" s="6" t="str">
        <x:v>Manufacturer Scope</x:v>
      </x:c>
      <x:c r="C406" s="6" t="str">
        <x:v>MFRX-0076</x:v>
      </x:c>
      <x:c r="D406" s="6" t="str">
        <x:v>SVC000076</x:v>
      </x:c>
      <x:c r="E406" s="6" t="str"/>
      <x:c r="F406" s="6" t="str">
        <x:f>IFERROR(XLOOKUP(C406,'Review Sequence'!C2:C1586,'Review Sequence'!I2:I1586),"")</x:f>
        <x:v>Not Started</x:v>
      </x:c>
      <x:c r="G406" s="6" t="str">
        <x:f>IFERROR(XLOOKUP(C406,'Review Sequence'!C2:C1586,'Review Sequence'!J2:J1586),"")</x:f>
        <x:v>Not Started</x:v>
      </x:c>
      <x:c r="H406" s="7" t="str">
        <x:f>IFERROR(XLOOKUP(C406,'Review Sequence'!C2:C1586,'Review Sequence'!O2:O1586),"")</x:f>
      </x:c>
      <x:c r="I406" s="6" t="str">
        <x:f>IFERROR(XLOOKUP(C406,'Review Sequence'!C2:C1586,'Review Sequence'!P2:P1586),"")</x:f>
        <x:v>Yes</x:v>
      </x:c>
    </x:row>
    <x:row r="407">
      <x:c r="A407" s="6" t="str">
        <x:v>BLK-0406</x:v>
      </x:c>
      <x:c r="B407" s="6" t="str">
        <x:v>Manufacturer Scope</x:v>
      </x:c>
      <x:c r="C407" s="6" t="str">
        <x:v>MFRX-0077</x:v>
      </x:c>
      <x:c r="D407" s="6" t="str">
        <x:v>SVC000077</x:v>
      </x:c>
      <x:c r="E407" s="6" t="str"/>
      <x:c r="F407" s="6" t="str">
        <x:f>IFERROR(XLOOKUP(C407,'Review Sequence'!C2:C1586,'Review Sequence'!I2:I1586),"")</x:f>
        <x:v>Not Started</x:v>
      </x:c>
      <x:c r="G407" s="6" t="str">
        <x:f>IFERROR(XLOOKUP(C407,'Review Sequence'!C2:C1586,'Review Sequence'!J2:J1586),"")</x:f>
        <x:v>Not Started</x:v>
      </x:c>
      <x:c r="H407" s="7" t="str">
        <x:f>IFERROR(XLOOKUP(C407,'Review Sequence'!C2:C1586,'Review Sequence'!O2:O1586),"")</x:f>
      </x:c>
      <x:c r="I407" s="6" t="str">
        <x:f>IFERROR(XLOOKUP(C407,'Review Sequence'!C2:C1586,'Review Sequence'!P2:P1586),"")</x:f>
        <x:v>Yes</x:v>
      </x:c>
    </x:row>
    <x:row r="408">
      <x:c r="A408" s="6" t="str">
        <x:v>BLK-0407</x:v>
      </x:c>
      <x:c r="B408" s="6" t="str">
        <x:v>Manufacturer Scope</x:v>
      </x:c>
      <x:c r="C408" s="6" t="str">
        <x:v>MFRX-0078</x:v>
      </x:c>
      <x:c r="D408" s="6" t="str">
        <x:v>SVC000078</x:v>
      </x:c>
      <x:c r="E408" s="6" t="str"/>
      <x:c r="F408" s="6" t="str">
        <x:f>IFERROR(XLOOKUP(C408,'Review Sequence'!C2:C1586,'Review Sequence'!I2:I1586),"")</x:f>
        <x:v>Not Started</x:v>
      </x:c>
      <x:c r="G408" s="6" t="str">
        <x:f>IFERROR(XLOOKUP(C408,'Review Sequence'!C2:C1586,'Review Sequence'!J2:J1586),"")</x:f>
        <x:v>Not Started</x:v>
      </x:c>
      <x:c r="H408" s="7" t="str">
        <x:f>IFERROR(XLOOKUP(C408,'Review Sequence'!C2:C1586,'Review Sequence'!O2:O1586),"")</x:f>
      </x:c>
      <x:c r="I408" s="6" t="str">
        <x:f>IFERROR(XLOOKUP(C408,'Review Sequence'!C2:C1586,'Review Sequence'!P2:P1586),"")</x:f>
        <x:v>Yes</x:v>
      </x:c>
    </x:row>
    <x:row r="409">
      <x:c r="A409" s="6" t="str">
        <x:v>BLK-0408</x:v>
      </x:c>
      <x:c r="B409" s="6" t="str">
        <x:v>Manufacturer Scope</x:v>
      </x:c>
      <x:c r="C409" s="6" t="str">
        <x:v>MFRX-0079</x:v>
      </x:c>
      <x:c r="D409" s="6" t="str">
        <x:v>SVC000079</x:v>
      </x:c>
      <x:c r="E409" s="6" t="str"/>
      <x:c r="F409" s="6" t="str">
        <x:f>IFERROR(XLOOKUP(C409,'Review Sequence'!C2:C1586,'Review Sequence'!I2:I1586),"")</x:f>
        <x:v>Not Started</x:v>
      </x:c>
      <x:c r="G409" s="6" t="str">
        <x:f>IFERROR(XLOOKUP(C409,'Review Sequence'!C2:C1586,'Review Sequence'!J2:J1586),"")</x:f>
        <x:v>Not Started</x:v>
      </x:c>
      <x:c r="H409" s="7" t="str">
        <x:f>IFERROR(XLOOKUP(C409,'Review Sequence'!C2:C1586,'Review Sequence'!O2:O1586),"")</x:f>
      </x:c>
      <x:c r="I409" s="6" t="str">
        <x:f>IFERROR(XLOOKUP(C409,'Review Sequence'!C2:C1586,'Review Sequence'!P2:P1586),"")</x:f>
        <x:v>Yes</x:v>
      </x:c>
    </x:row>
    <x:row r="410">
      <x:c r="A410" s="6" t="str">
        <x:v>BLK-0409</x:v>
      </x:c>
      <x:c r="B410" s="6" t="str">
        <x:v>Manufacturer Scope</x:v>
      </x:c>
      <x:c r="C410" s="6" t="str">
        <x:v>MFRX-0080</x:v>
      </x:c>
      <x:c r="D410" s="6" t="str">
        <x:v>SVC000080</x:v>
      </x:c>
      <x:c r="E410" s="6" t="str"/>
      <x:c r="F410" s="6" t="str">
        <x:f>IFERROR(XLOOKUP(C410,'Review Sequence'!C2:C1586,'Review Sequence'!I2:I1586),"")</x:f>
        <x:v>Not Started</x:v>
      </x:c>
      <x:c r="G410" s="6" t="str">
        <x:f>IFERROR(XLOOKUP(C410,'Review Sequence'!C2:C1586,'Review Sequence'!J2:J1586),"")</x:f>
        <x:v>Not Started</x:v>
      </x:c>
      <x:c r="H410" s="7" t="str">
        <x:f>IFERROR(XLOOKUP(C410,'Review Sequence'!C2:C1586,'Review Sequence'!O2:O1586),"")</x:f>
      </x:c>
      <x:c r="I410" s="6" t="str">
        <x:f>IFERROR(XLOOKUP(C410,'Review Sequence'!C2:C1586,'Review Sequence'!P2:P1586),"")</x:f>
        <x:v>Yes</x:v>
      </x:c>
    </x:row>
    <x:row r="411">
      <x:c r="A411" s="6" t="str">
        <x:v>BLK-0410</x:v>
      </x:c>
      <x:c r="B411" s="6" t="str">
        <x:v>Manufacturer Scope</x:v>
      </x:c>
      <x:c r="C411" s="6" t="str">
        <x:v>MFRX-0081</x:v>
      </x:c>
      <x:c r="D411" s="6" t="str">
        <x:v>SVC000081</x:v>
      </x:c>
      <x:c r="E411" s="6" t="str"/>
      <x:c r="F411" s="6" t="str">
        <x:f>IFERROR(XLOOKUP(C411,'Review Sequence'!C2:C1586,'Review Sequence'!I2:I1586),"")</x:f>
        <x:v>Not Started</x:v>
      </x:c>
      <x:c r="G411" s="6" t="str">
        <x:f>IFERROR(XLOOKUP(C411,'Review Sequence'!C2:C1586,'Review Sequence'!J2:J1586),"")</x:f>
        <x:v>Not Started</x:v>
      </x:c>
      <x:c r="H411" s="7" t="str">
        <x:f>IFERROR(XLOOKUP(C411,'Review Sequence'!C2:C1586,'Review Sequence'!O2:O1586),"")</x:f>
      </x:c>
      <x:c r="I411" s="6" t="str">
        <x:f>IFERROR(XLOOKUP(C411,'Review Sequence'!C2:C1586,'Review Sequence'!P2:P1586),"")</x:f>
        <x:v>Yes</x:v>
      </x:c>
    </x:row>
    <x:row r="412">
      <x:c r="A412" s="6" t="str">
        <x:v>BLK-0411</x:v>
      </x:c>
      <x:c r="B412" s="6" t="str">
        <x:v>Manufacturer Scope</x:v>
      </x:c>
      <x:c r="C412" s="6" t="str">
        <x:v>MFRX-0082</x:v>
      </x:c>
      <x:c r="D412" s="6" t="str">
        <x:v>SVC000082</x:v>
      </x:c>
      <x:c r="E412" s="6" t="str"/>
      <x:c r="F412" s="6" t="str">
        <x:f>IFERROR(XLOOKUP(C412,'Review Sequence'!C2:C1586,'Review Sequence'!I2:I1586),"")</x:f>
        <x:v>Not Started</x:v>
      </x:c>
      <x:c r="G412" s="6" t="str">
        <x:f>IFERROR(XLOOKUP(C412,'Review Sequence'!C2:C1586,'Review Sequence'!J2:J1586),"")</x:f>
        <x:v>Not Started</x:v>
      </x:c>
      <x:c r="H412" s="7" t="str">
        <x:f>IFERROR(XLOOKUP(C412,'Review Sequence'!C2:C1586,'Review Sequence'!O2:O1586),"")</x:f>
      </x:c>
      <x:c r="I412" s="6" t="str">
        <x:f>IFERROR(XLOOKUP(C412,'Review Sequence'!C2:C1586,'Review Sequence'!P2:P1586),"")</x:f>
        <x:v>Yes</x:v>
      </x:c>
    </x:row>
    <x:row r="413">
      <x:c r="A413" s="6" t="str">
        <x:v>BLK-0412</x:v>
      </x:c>
      <x:c r="B413" s="6" t="str">
        <x:v>Manufacturer Scope</x:v>
      </x:c>
      <x:c r="C413" s="6" t="str">
        <x:v>MFRX-0083</x:v>
      </x:c>
      <x:c r="D413" s="6" t="str">
        <x:v>SVC000083</x:v>
      </x:c>
      <x:c r="E413" s="6" t="str"/>
      <x:c r="F413" s="6" t="str">
        <x:f>IFERROR(XLOOKUP(C413,'Review Sequence'!C2:C1586,'Review Sequence'!I2:I1586),"")</x:f>
        <x:v>Not Started</x:v>
      </x:c>
      <x:c r="G413" s="6" t="str">
        <x:f>IFERROR(XLOOKUP(C413,'Review Sequence'!C2:C1586,'Review Sequence'!J2:J1586),"")</x:f>
        <x:v>Not Started</x:v>
      </x:c>
      <x:c r="H413" s="7" t="str">
        <x:f>IFERROR(XLOOKUP(C413,'Review Sequence'!C2:C1586,'Review Sequence'!O2:O1586),"")</x:f>
      </x:c>
      <x:c r="I413" s="6" t="str">
        <x:f>IFERROR(XLOOKUP(C413,'Review Sequence'!C2:C1586,'Review Sequence'!P2:P1586),"")</x:f>
        <x:v>Yes</x:v>
      </x:c>
    </x:row>
    <x:row r="414">
      <x:c r="A414" s="6" t="str">
        <x:v>BLK-0413</x:v>
      </x:c>
      <x:c r="B414" s="6" t="str">
        <x:v>Manufacturer Scope</x:v>
      </x:c>
      <x:c r="C414" s="6" t="str">
        <x:v>MFRX-0084</x:v>
      </x:c>
      <x:c r="D414" s="6" t="str">
        <x:v>SVC000084</x:v>
      </x:c>
      <x:c r="E414" s="6" t="str"/>
      <x:c r="F414" s="6" t="str">
        <x:f>IFERROR(XLOOKUP(C414,'Review Sequence'!C2:C1586,'Review Sequence'!I2:I1586),"")</x:f>
        <x:v>Not Started</x:v>
      </x:c>
      <x:c r="G414" s="6" t="str">
        <x:f>IFERROR(XLOOKUP(C414,'Review Sequence'!C2:C1586,'Review Sequence'!J2:J1586),"")</x:f>
        <x:v>Not Started</x:v>
      </x:c>
      <x:c r="H414" s="7" t="str">
        <x:f>IFERROR(XLOOKUP(C414,'Review Sequence'!C2:C1586,'Review Sequence'!O2:O1586),"")</x:f>
      </x:c>
      <x:c r="I414" s="6" t="str">
        <x:f>IFERROR(XLOOKUP(C414,'Review Sequence'!C2:C1586,'Review Sequence'!P2:P1586),"")</x:f>
        <x:v>Yes</x:v>
      </x:c>
    </x:row>
    <x:row r="415">
      <x:c r="A415" s="6" t="str">
        <x:v>BLK-0414</x:v>
      </x:c>
      <x:c r="B415" s="6" t="str">
        <x:v>Manufacturer Scope</x:v>
      </x:c>
      <x:c r="C415" s="6" t="str">
        <x:v>MFRX-0085</x:v>
      </x:c>
      <x:c r="D415" s="6" t="str">
        <x:v>SVC000085</x:v>
      </x:c>
      <x:c r="E415" s="6" t="str"/>
      <x:c r="F415" s="6" t="str">
        <x:f>IFERROR(XLOOKUP(C415,'Review Sequence'!C2:C1586,'Review Sequence'!I2:I1586),"")</x:f>
        <x:v>Not Started</x:v>
      </x:c>
      <x:c r="G415" s="6" t="str">
        <x:f>IFERROR(XLOOKUP(C415,'Review Sequence'!C2:C1586,'Review Sequence'!J2:J1586),"")</x:f>
        <x:v>Not Started</x:v>
      </x:c>
      <x:c r="H415" s="7" t="str">
        <x:f>IFERROR(XLOOKUP(C415,'Review Sequence'!C2:C1586,'Review Sequence'!O2:O1586),"")</x:f>
      </x:c>
      <x:c r="I415" s="6" t="str">
        <x:f>IFERROR(XLOOKUP(C415,'Review Sequence'!C2:C1586,'Review Sequence'!P2:P1586),"")</x:f>
        <x:v>Yes</x:v>
      </x:c>
    </x:row>
    <x:row r="416">
      <x:c r="A416" s="6" t="str">
        <x:v>BLK-0415</x:v>
      </x:c>
      <x:c r="B416" s="6" t="str">
        <x:v>Manufacturer Scope</x:v>
      </x:c>
      <x:c r="C416" s="6" t="str">
        <x:v>MFRX-0086</x:v>
      </x:c>
      <x:c r="D416" s="6" t="str">
        <x:v>SVC000086</x:v>
      </x:c>
      <x:c r="E416" s="6" t="str"/>
      <x:c r="F416" s="6" t="str">
        <x:f>IFERROR(XLOOKUP(C416,'Review Sequence'!C2:C1586,'Review Sequence'!I2:I1586),"")</x:f>
        <x:v>Not Started</x:v>
      </x:c>
      <x:c r="G416" s="6" t="str">
        <x:f>IFERROR(XLOOKUP(C416,'Review Sequence'!C2:C1586,'Review Sequence'!J2:J1586),"")</x:f>
        <x:v>Not Started</x:v>
      </x:c>
      <x:c r="H416" s="7" t="str">
        <x:f>IFERROR(XLOOKUP(C416,'Review Sequence'!C2:C1586,'Review Sequence'!O2:O1586),"")</x:f>
      </x:c>
      <x:c r="I416" s="6" t="str">
        <x:f>IFERROR(XLOOKUP(C416,'Review Sequence'!C2:C1586,'Review Sequence'!P2:P1586),"")</x:f>
        <x:v>Yes</x:v>
      </x:c>
    </x:row>
    <x:row r="417">
      <x:c r="A417" s="6" t="str">
        <x:v>BLK-0416</x:v>
      </x:c>
      <x:c r="B417" s="6" t="str">
        <x:v>Manufacturer Scope</x:v>
      </x:c>
      <x:c r="C417" s="6" t="str">
        <x:v>MFRX-0087</x:v>
      </x:c>
      <x:c r="D417" s="6" t="str">
        <x:v>SVC000087</x:v>
      </x:c>
      <x:c r="E417" s="6" t="str"/>
      <x:c r="F417" s="6" t="str">
        <x:f>IFERROR(XLOOKUP(C417,'Review Sequence'!C2:C1586,'Review Sequence'!I2:I1586),"")</x:f>
        <x:v>Not Started</x:v>
      </x:c>
      <x:c r="G417" s="6" t="str">
        <x:f>IFERROR(XLOOKUP(C417,'Review Sequence'!C2:C1586,'Review Sequence'!J2:J1586),"")</x:f>
        <x:v>Not Started</x:v>
      </x:c>
      <x:c r="H417" s="7" t="str">
        <x:f>IFERROR(XLOOKUP(C417,'Review Sequence'!C2:C1586,'Review Sequence'!O2:O1586),"")</x:f>
      </x:c>
      <x:c r="I417" s="6" t="str">
        <x:f>IFERROR(XLOOKUP(C417,'Review Sequence'!C2:C1586,'Review Sequence'!P2:P1586),"")</x:f>
        <x:v>Yes</x:v>
      </x:c>
    </x:row>
    <x:row r="418">
      <x:c r="A418" s="6" t="str">
        <x:v>BLK-0417</x:v>
      </x:c>
      <x:c r="B418" s="6" t="str">
        <x:v>Manufacturer Scope</x:v>
      </x:c>
      <x:c r="C418" s="6" t="str">
        <x:v>MFRX-0088</x:v>
      </x:c>
      <x:c r="D418" s="6" t="str">
        <x:v>SVC000088</x:v>
      </x:c>
      <x:c r="E418" s="6" t="str"/>
      <x:c r="F418" s="6" t="str">
        <x:f>IFERROR(XLOOKUP(C418,'Review Sequence'!C2:C1586,'Review Sequence'!I2:I1586),"")</x:f>
        <x:v>Not Started</x:v>
      </x:c>
      <x:c r="G418" s="6" t="str">
        <x:f>IFERROR(XLOOKUP(C418,'Review Sequence'!C2:C1586,'Review Sequence'!J2:J1586),"")</x:f>
        <x:v>Not Started</x:v>
      </x:c>
      <x:c r="H418" s="7" t="str">
        <x:f>IFERROR(XLOOKUP(C418,'Review Sequence'!C2:C1586,'Review Sequence'!O2:O1586),"")</x:f>
      </x:c>
      <x:c r="I418" s="6" t="str">
        <x:f>IFERROR(XLOOKUP(C418,'Review Sequence'!C2:C1586,'Review Sequence'!P2:P1586),"")</x:f>
        <x:v>Yes</x:v>
      </x:c>
    </x:row>
    <x:row r="419">
      <x:c r="A419" s="6" t="str">
        <x:v>BLK-0418</x:v>
      </x:c>
      <x:c r="B419" s="6" t="str">
        <x:v>Manufacturer Scope</x:v>
      </x:c>
      <x:c r="C419" s="6" t="str">
        <x:v>MFRX-0089</x:v>
      </x:c>
      <x:c r="D419" s="6" t="str">
        <x:v>SVC000089</x:v>
      </x:c>
      <x:c r="E419" s="6" t="str"/>
      <x:c r="F419" s="6" t="str">
        <x:f>IFERROR(XLOOKUP(C419,'Review Sequence'!C2:C1586,'Review Sequence'!I2:I1586),"")</x:f>
        <x:v>Not Started</x:v>
      </x:c>
      <x:c r="G419" s="6" t="str">
        <x:f>IFERROR(XLOOKUP(C419,'Review Sequence'!C2:C1586,'Review Sequence'!J2:J1586),"")</x:f>
        <x:v>Not Started</x:v>
      </x:c>
      <x:c r="H419" s="7" t="str">
        <x:f>IFERROR(XLOOKUP(C419,'Review Sequence'!C2:C1586,'Review Sequence'!O2:O1586),"")</x:f>
      </x:c>
      <x:c r="I419" s="6" t="str">
        <x:f>IFERROR(XLOOKUP(C419,'Review Sequence'!C2:C1586,'Review Sequence'!P2:P1586),"")</x:f>
        <x:v>Yes</x:v>
      </x:c>
    </x:row>
    <x:row r="420">
      <x:c r="A420" s="6" t="str">
        <x:v>BLK-0419</x:v>
      </x:c>
      <x:c r="B420" s="6" t="str">
        <x:v>Manufacturer Scope</x:v>
      </x:c>
      <x:c r="C420" s="6" t="str">
        <x:v>MFRX-0090</x:v>
      </x:c>
      <x:c r="D420" s="6" t="str">
        <x:v>SVC000090</x:v>
      </x:c>
      <x:c r="E420" s="6" t="str"/>
      <x:c r="F420" s="6" t="str">
        <x:f>IFERROR(XLOOKUP(C420,'Review Sequence'!C2:C1586,'Review Sequence'!I2:I1586),"")</x:f>
        <x:v>Not Started</x:v>
      </x:c>
      <x:c r="G420" s="6" t="str">
        <x:f>IFERROR(XLOOKUP(C420,'Review Sequence'!C2:C1586,'Review Sequence'!J2:J1586),"")</x:f>
        <x:v>Not Started</x:v>
      </x:c>
      <x:c r="H420" s="7" t="str">
        <x:f>IFERROR(XLOOKUP(C420,'Review Sequence'!C2:C1586,'Review Sequence'!O2:O1586),"")</x:f>
      </x:c>
      <x:c r="I420" s="6" t="str">
        <x:f>IFERROR(XLOOKUP(C420,'Review Sequence'!C2:C1586,'Review Sequence'!P2:P1586),"")</x:f>
        <x:v>Yes</x:v>
      </x:c>
    </x:row>
    <x:row r="421">
      <x:c r="A421" s="6" t="str">
        <x:v>BLK-0420</x:v>
      </x:c>
      <x:c r="B421" s="6" t="str">
        <x:v>Manufacturer Scope</x:v>
      </x:c>
      <x:c r="C421" s="6" t="str">
        <x:v>MFRX-0091</x:v>
      </x:c>
      <x:c r="D421" s="6" t="str">
        <x:v>SVC000091</x:v>
      </x:c>
      <x:c r="E421" s="6" t="str"/>
      <x:c r="F421" s="6" t="str">
        <x:f>IFERROR(XLOOKUP(C421,'Review Sequence'!C2:C1586,'Review Sequence'!I2:I1586),"")</x:f>
        <x:v>Not Started</x:v>
      </x:c>
      <x:c r="G421" s="6" t="str">
        <x:f>IFERROR(XLOOKUP(C421,'Review Sequence'!C2:C1586,'Review Sequence'!J2:J1586),"")</x:f>
        <x:v>Not Started</x:v>
      </x:c>
      <x:c r="H421" s="7" t="str">
        <x:f>IFERROR(XLOOKUP(C421,'Review Sequence'!C2:C1586,'Review Sequence'!O2:O1586),"")</x:f>
      </x:c>
      <x:c r="I421" s="6" t="str">
        <x:f>IFERROR(XLOOKUP(C421,'Review Sequence'!C2:C1586,'Review Sequence'!P2:P1586),"")</x:f>
        <x:v>Yes</x:v>
      </x:c>
    </x:row>
    <x:row r="422">
      <x:c r="A422" s="6" t="str">
        <x:v>BLK-0421</x:v>
      </x:c>
      <x:c r="B422" s="6" t="str">
        <x:v>Manufacturer Scope</x:v>
      </x:c>
      <x:c r="C422" s="6" t="str">
        <x:v>MFRX-0092</x:v>
      </x:c>
      <x:c r="D422" s="6" t="str">
        <x:v>SVC000092</x:v>
      </x:c>
      <x:c r="E422" s="6" t="str"/>
      <x:c r="F422" s="6" t="str">
        <x:f>IFERROR(XLOOKUP(C422,'Review Sequence'!C2:C1586,'Review Sequence'!I2:I1586),"")</x:f>
        <x:v>Not Started</x:v>
      </x:c>
      <x:c r="G422" s="6" t="str">
        <x:f>IFERROR(XLOOKUP(C422,'Review Sequence'!C2:C1586,'Review Sequence'!J2:J1586),"")</x:f>
        <x:v>Not Started</x:v>
      </x:c>
      <x:c r="H422" s="7" t="str">
        <x:f>IFERROR(XLOOKUP(C422,'Review Sequence'!C2:C1586,'Review Sequence'!O2:O1586),"")</x:f>
      </x:c>
      <x:c r="I422" s="6" t="str">
        <x:f>IFERROR(XLOOKUP(C422,'Review Sequence'!C2:C1586,'Review Sequence'!P2:P1586),"")</x:f>
        <x:v>Yes</x:v>
      </x:c>
    </x:row>
    <x:row r="423">
      <x:c r="A423" s="6" t="str">
        <x:v>BLK-0422</x:v>
      </x:c>
      <x:c r="B423" s="6" t="str">
        <x:v>Manufacturer Scope</x:v>
      </x:c>
      <x:c r="C423" s="6" t="str">
        <x:v>MFRX-0093</x:v>
      </x:c>
      <x:c r="D423" s="6" t="str">
        <x:v>SVC000093</x:v>
      </x:c>
      <x:c r="E423" s="6" t="str"/>
      <x:c r="F423" s="6" t="str">
        <x:f>IFERROR(XLOOKUP(C423,'Review Sequence'!C2:C1586,'Review Sequence'!I2:I1586),"")</x:f>
        <x:v>Not Started</x:v>
      </x:c>
      <x:c r="G423" s="6" t="str">
        <x:f>IFERROR(XLOOKUP(C423,'Review Sequence'!C2:C1586,'Review Sequence'!J2:J1586),"")</x:f>
        <x:v>Not Started</x:v>
      </x:c>
      <x:c r="H423" s="7" t="str">
        <x:f>IFERROR(XLOOKUP(C423,'Review Sequence'!C2:C1586,'Review Sequence'!O2:O1586),"")</x:f>
      </x:c>
      <x:c r="I423" s="6" t="str">
        <x:f>IFERROR(XLOOKUP(C423,'Review Sequence'!C2:C1586,'Review Sequence'!P2:P1586),"")</x:f>
        <x:v>Yes</x:v>
      </x:c>
    </x:row>
    <x:row r="424">
      <x:c r="A424" s="6" t="str">
        <x:v>BLK-0423</x:v>
      </x:c>
      <x:c r="B424" s="6" t="str">
        <x:v>Manufacturer Scope</x:v>
      </x:c>
      <x:c r="C424" s="6" t="str">
        <x:v>MFRX-0094</x:v>
      </x:c>
      <x:c r="D424" s="6" t="str">
        <x:v>SVC000094</x:v>
      </x:c>
      <x:c r="E424" s="6" t="str"/>
      <x:c r="F424" s="6" t="str">
        <x:f>IFERROR(XLOOKUP(C424,'Review Sequence'!C2:C1586,'Review Sequence'!I2:I1586),"")</x:f>
        <x:v>Not Started</x:v>
      </x:c>
      <x:c r="G424" s="6" t="str">
        <x:f>IFERROR(XLOOKUP(C424,'Review Sequence'!C2:C1586,'Review Sequence'!J2:J1586),"")</x:f>
        <x:v>Not Started</x:v>
      </x:c>
      <x:c r="H424" s="7" t="str">
        <x:f>IFERROR(XLOOKUP(C424,'Review Sequence'!C2:C1586,'Review Sequence'!O2:O1586),"")</x:f>
      </x:c>
      <x:c r="I424" s="6" t="str">
        <x:f>IFERROR(XLOOKUP(C424,'Review Sequence'!C2:C1586,'Review Sequence'!P2:P1586),"")</x:f>
        <x:v>Yes</x:v>
      </x:c>
    </x:row>
    <x:row r="425">
      <x:c r="A425" s="6" t="str">
        <x:v>BLK-0424</x:v>
      </x:c>
      <x:c r="B425" s="6" t="str">
        <x:v>Manufacturer Scope</x:v>
      </x:c>
      <x:c r="C425" s="6" t="str">
        <x:v>MFRX-0095</x:v>
      </x:c>
      <x:c r="D425" s="6" t="str">
        <x:v>SVC000095</x:v>
      </x:c>
      <x:c r="E425" s="6" t="str"/>
      <x:c r="F425" s="6" t="str">
        <x:f>IFERROR(XLOOKUP(C425,'Review Sequence'!C2:C1586,'Review Sequence'!I2:I1586),"")</x:f>
        <x:v>Not Started</x:v>
      </x:c>
      <x:c r="G425" s="6" t="str">
        <x:f>IFERROR(XLOOKUP(C425,'Review Sequence'!C2:C1586,'Review Sequence'!J2:J1586),"")</x:f>
        <x:v>Not Started</x:v>
      </x:c>
      <x:c r="H425" s="7" t="str">
        <x:f>IFERROR(XLOOKUP(C425,'Review Sequence'!C2:C1586,'Review Sequence'!O2:O1586),"")</x:f>
      </x:c>
      <x:c r="I425" s="6" t="str">
        <x:f>IFERROR(XLOOKUP(C425,'Review Sequence'!C2:C1586,'Review Sequence'!P2:P1586),"")</x:f>
        <x:v>Yes</x:v>
      </x:c>
    </x:row>
    <x:row r="426">
      <x:c r="A426" s="6" t="str">
        <x:v>BLK-0425</x:v>
      </x:c>
      <x:c r="B426" s="6" t="str">
        <x:v>Manufacturer Scope</x:v>
      </x:c>
      <x:c r="C426" s="6" t="str">
        <x:v>MFRX-0096</x:v>
      </x:c>
      <x:c r="D426" s="6" t="str">
        <x:v>SVC000096</x:v>
      </x:c>
      <x:c r="E426" s="6" t="str"/>
      <x:c r="F426" s="6" t="str">
        <x:f>IFERROR(XLOOKUP(C426,'Review Sequence'!C2:C1586,'Review Sequence'!I2:I1586),"")</x:f>
        <x:v>Not Started</x:v>
      </x:c>
      <x:c r="G426" s="6" t="str">
        <x:f>IFERROR(XLOOKUP(C426,'Review Sequence'!C2:C1586,'Review Sequence'!J2:J1586),"")</x:f>
        <x:v>Not Started</x:v>
      </x:c>
      <x:c r="H426" s="7" t="str">
        <x:f>IFERROR(XLOOKUP(C426,'Review Sequence'!C2:C1586,'Review Sequence'!O2:O1586),"")</x:f>
      </x:c>
      <x:c r="I426" s="6" t="str">
        <x:f>IFERROR(XLOOKUP(C426,'Review Sequence'!C2:C1586,'Review Sequence'!P2:P1586),"")</x:f>
        <x:v>Yes</x:v>
      </x:c>
    </x:row>
    <x:row r="427">
      <x:c r="A427" s="6" t="str">
        <x:v>BLK-0426</x:v>
      </x:c>
      <x:c r="B427" s="6" t="str">
        <x:v>Manufacturer Scope</x:v>
      </x:c>
      <x:c r="C427" s="6" t="str">
        <x:v>MFRX-0097</x:v>
      </x:c>
      <x:c r="D427" s="6" t="str">
        <x:v>SVC000097</x:v>
      </x:c>
      <x:c r="E427" s="6" t="str"/>
      <x:c r="F427" s="6" t="str">
        <x:f>IFERROR(XLOOKUP(C427,'Review Sequence'!C2:C1586,'Review Sequence'!I2:I1586),"")</x:f>
        <x:v>Not Started</x:v>
      </x:c>
      <x:c r="G427" s="6" t="str">
        <x:f>IFERROR(XLOOKUP(C427,'Review Sequence'!C2:C1586,'Review Sequence'!J2:J1586),"")</x:f>
        <x:v>Not Started</x:v>
      </x:c>
      <x:c r="H427" s="7" t="str">
        <x:f>IFERROR(XLOOKUP(C427,'Review Sequence'!C2:C1586,'Review Sequence'!O2:O1586),"")</x:f>
      </x:c>
      <x:c r="I427" s="6" t="str">
        <x:f>IFERROR(XLOOKUP(C427,'Review Sequence'!C2:C1586,'Review Sequence'!P2:P1586),"")</x:f>
        <x:v>Yes</x:v>
      </x:c>
    </x:row>
    <x:row r="428">
      <x:c r="A428" s="6" t="str">
        <x:v>BLK-0427</x:v>
      </x:c>
      <x:c r="B428" s="6" t="str">
        <x:v>Manufacturer Scope</x:v>
      </x:c>
      <x:c r="C428" s="6" t="str">
        <x:v>MFRX-0098</x:v>
      </x:c>
      <x:c r="D428" s="6" t="str">
        <x:v>SVC000098</x:v>
      </x:c>
      <x:c r="E428" s="6" t="str"/>
      <x:c r="F428" s="6" t="str">
        <x:f>IFERROR(XLOOKUP(C428,'Review Sequence'!C2:C1586,'Review Sequence'!I2:I1586),"")</x:f>
        <x:v>Not Started</x:v>
      </x:c>
      <x:c r="G428" s="6" t="str">
        <x:f>IFERROR(XLOOKUP(C428,'Review Sequence'!C2:C1586,'Review Sequence'!J2:J1586),"")</x:f>
        <x:v>Not Started</x:v>
      </x:c>
      <x:c r="H428" s="7" t="str">
        <x:f>IFERROR(XLOOKUP(C428,'Review Sequence'!C2:C1586,'Review Sequence'!O2:O1586),"")</x:f>
      </x:c>
      <x:c r="I428" s="6" t="str">
        <x:f>IFERROR(XLOOKUP(C428,'Review Sequence'!C2:C1586,'Review Sequence'!P2:P1586),"")</x:f>
        <x:v>Yes</x:v>
      </x:c>
    </x:row>
    <x:row r="429">
      <x:c r="A429" s="6" t="str">
        <x:v>BLK-0428</x:v>
      </x:c>
      <x:c r="B429" s="6" t="str">
        <x:v>Manufacturer Scope</x:v>
      </x:c>
      <x:c r="C429" s="6" t="str">
        <x:v>MFRX-0099</x:v>
      </x:c>
      <x:c r="D429" s="6" t="str">
        <x:v>SVC000099</x:v>
      </x:c>
      <x:c r="E429" s="6" t="str"/>
      <x:c r="F429" s="6" t="str">
        <x:f>IFERROR(XLOOKUP(C429,'Review Sequence'!C2:C1586,'Review Sequence'!I2:I1586),"")</x:f>
        <x:v>Not Started</x:v>
      </x:c>
      <x:c r="G429" s="6" t="str">
        <x:f>IFERROR(XLOOKUP(C429,'Review Sequence'!C2:C1586,'Review Sequence'!J2:J1586),"")</x:f>
        <x:v>Not Started</x:v>
      </x:c>
      <x:c r="H429" s="7" t="str">
        <x:f>IFERROR(XLOOKUP(C429,'Review Sequence'!C2:C1586,'Review Sequence'!O2:O1586),"")</x:f>
      </x:c>
      <x:c r="I429" s="6" t="str">
        <x:f>IFERROR(XLOOKUP(C429,'Review Sequence'!C2:C1586,'Review Sequence'!P2:P1586),"")</x:f>
        <x:v>Yes</x:v>
      </x:c>
    </x:row>
    <x:row r="430">
      <x:c r="A430" s="6" t="str">
        <x:v>BLK-0429</x:v>
      </x:c>
      <x:c r="B430" s="6" t="str">
        <x:v>Manufacturer Scope</x:v>
      </x:c>
      <x:c r="C430" s="6" t="str">
        <x:v>MFRX-0100</x:v>
      </x:c>
      <x:c r="D430" s="6" t="str">
        <x:v>SVC000100</x:v>
      </x:c>
      <x:c r="E430" s="6" t="str"/>
      <x:c r="F430" s="6" t="str">
        <x:f>IFERROR(XLOOKUP(C430,'Review Sequence'!C2:C1586,'Review Sequence'!I2:I1586),"")</x:f>
        <x:v>Not Started</x:v>
      </x:c>
      <x:c r="G430" s="6" t="str">
        <x:f>IFERROR(XLOOKUP(C430,'Review Sequence'!C2:C1586,'Review Sequence'!J2:J1586),"")</x:f>
        <x:v>Not Started</x:v>
      </x:c>
      <x:c r="H430" s="7" t="str">
        <x:f>IFERROR(XLOOKUP(C430,'Review Sequence'!C2:C1586,'Review Sequence'!O2:O1586),"")</x:f>
      </x:c>
      <x:c r="I430" s="6" t="str">
        <x:f>IFERROR(XLOOKUP(C430,'Review Sequence'!C2:C1586,'Review Sequence'!P2:P1586),"")</x:f>
        <x:v>Yes</x:v>
      </x:c>
    </x:row>
    <x:row r="431">
      <x:c r="A431" s="6" t="str">
        <x:v>BLK-0430</x:v>
      </x:c>
      <x:c r="B431" s="6" t="str">
        <x:v>Manufacturer Scope</x:v>
      </x:c>
      <x:c r="C431" s="6" t="str">
        <x:v>MFRX-0101</x:v>
      </x:c>
      <x:c r="D431" s="6" t="str">
        <x:v>SVC000101</x:v>
      </x:c>
      <x:c r="E431" s="6" t="str"/>
      <x:c r="F431" s="6" t="str">
        <x:f>IFERROR(XLOOKUP(C431,'Review Sequence'!C2:C1586,'Review Sequence'!I2:I1586),"")</x:f>
        <x:v>Not Started</x:v>
      </x:c>
      <x:c r="G431" s="6" t="str">
        <x:f>IFERROR(XLOOKUP(C431,'Review Sequence'!C2:C1586,'Review Sequence'!J2:J1586),"")</x:f>
        <x:v>Not Started</x:v>
      </x:c>
      <x:c r="H431" s="7" t="str">
        <x:f>IFERROR(XLOOKUP(C431,'Review Sequence'!C2:C1586,'Review Sequence'!O2:O1586),"")</x:f>
      </x:c>
      <x:c r="I431" s="6" t="str">
        <x:f>IFERROR(XLOOKUP(C431,'Review Sequence'!C2:C1586,'Review Sequence'!P2:P1586),"")</x:f>
        <x:v>Yes</x:v>
      </x:c>
    </x:row>
    <x:row r="432">
      <x:c r="A432" s="6" t="str">
        <x:v>BLK-0431</x:v>
      </x:c>
      <x:c r="B432" s="6" t="str">
        <x:v>Manufacturer Scope</x:v>
      </x:c>
      <x:c r="C432" s="6" t="str">
        <x:v>MFRX-0102</x:v>
      </x:c>
      <x:c r="D432" s="6" t="str">
        <x:v>SVC000102</x:v>
      </x:c>
      <x:c r="E432" s="6" t="str"/>
      <x:c r="F432" s="6" t="str">
        <x:f>IFERROR(XLOOKUP(C432,'Review Sequence'!C2:C1586,'Review Sequence'!I2:I1586),"")</x:f>
        <x:v>Not Started</x:v>
      </x:c>
      <x:c r="G432" s="6" t="str">
        <x:f>IFERROR(XLOOKUP(C432,'Review Sequence'!C2:C1586,'Review Sequence'!J2:J1586),"")</x:f>
        <x:v>Not Started</x:v>
      </x:c>
      <x:c r="H432" s="7" t="str">
        <x:f>IFERROR(XLOOKUP(C432,'Review Sequence'!C2:C1586,'Review Sequence'!O2:O1586),"")</x:f>
      </x:c>
      <x:c r="I432" s="6" t="str">
        <x:f>IFERROR(XLOOKUP(C432,'Review Sequence'!C2:C1586,'Review Sequence'!P2:P1586),"")</x:f>
        <x:v>Yes</x:v>
      </x:c>
    </x:row>
    <x:row r="433">
      <x:c r="A433" s="6" t="str">
        <x:v>BLK-0432</x:v>
      </x:c>
      <x:c r="B433" s="6" t="str">
        <x:v>Manufacturer Scope</x:v>
      </x:c>
      <x:c r="C433" s="6" t="str">
        <x:v>MFRX-0103</x:v>
      </x:c>
      <x:c r="D433" s="6" t="str">
        <x:v>SVC000103</x:v>
      </x:c>
      <x:c r="E433" s="6" t="str"/>
      <x:c r="F433" s="6" t="str">
        <x:f>IFERROR(XLOOKUP(C433,'Review Sequence'!C2:C1586,'Review Sequence'!I2:I1586),"")</x:f>
        <x:v>Not Started</x:v>
      </x:c>
      <x:c r="G433" s="6" t="str">
        <x:f>IFERROR(XLOOKUP(C433,'Review Sequence'!C2:C1586,'Review Sequence'!J2:J1586),"")</x:f>
        <x:v>Not Started</x:v>
      </x:c>
      <x:c r="H433" s="7" t="str">
        <x:f>IFERROR(XLOOKUP(C433,'Review Sequence'!C2:C1586,'Review Sequence'!O2:O1586),"")</x:f>
      </x:c>
      <x:c r="I433" s="6" t="str">
        <x:f>IFERROR(XLOOKUP(C433,'Review Sequence'!C2:C1586,'Review Sequence'!P2:P1586),"")</x:f>
        <x:v>Yes</x:v>
      </x:c>
    </x:row>
    <x:row r="434">
      <x:c r="A434" s="6" t="str">
        <x:v>BLK-0433</x:v>
      </x:c>
      <x:c r="B434" s="6" t="str">
        <x:v>Manufacturer Scope</x:v>
      </x:c>
      <x:c r="C434" s="6" t="str">
        <x:v>MFRX-0104</x:v>
      </x:c>
      <x:c r="D434" s="6" t="str">
        <x:v>SVC000104</x:v>
      </x:c>
      <x:c r="E434" s="6" t="str"/>
      <x:c r="F434" s="6" t="str">
        <x:f>IFERROR(XLOOKUP(C434,'Review Sequence'!C2:C1586,'Review Sequence'!I2:I1586),"")</x:f>
        <x:v>Not Started</x:v>
      </x:c>
      <x:c r="G434" s="6" t="str">
        <x:f>IFERROR(XLOOKUP(C434,'Review Sequence'!C2:C1586,'Review Sequence'!J2:J1586),"")</x:f>
        <x:v>Not Started</x:v>
      </x:c>
      <x:c r="H434" s="7" t="str">
        <x:f>IFERROR(XLOOKUP(C434,'Review Sequence'!C2:C1586,'Review Sequence'!O2:O1586),"")</x:f>
      </x:c>
      <x:c r="I434" s="6" t="str">
        <x:f>IFERROR(XLOOKUP(C434,'Review Sequence'!C2:C1586,'Review Sequence'!P2:P1586),"")</x:f>
        <x:v>Yes</x:v>
      </x:c>
    </x:row>
    <x:row r="435">
      <x:c r="A435" s="6" t="str">
        <x:v>BLK-0434</x:v>
      </x:c>
      <x:c r="B435" s="6" t="str">
        <x:v>Manufacturer Scope</x:v>
      </x:c>
      <x:c r="C435" s="6" t="str">
        <x:v>MFRX-0105</x:v>
      </x:c>
      <x:c r="D435" s="6" t="str">
        <x:v>SVC000105</x:v>
      </x:c>
      <x:c r="E435" s="6" t="str"/>
      <x:c r="F435" s="6" t="str">
        <x:f>IFERROR(XLOOKUP(C435,'Review Sequence'!C2:C1586,'Review Sequence'!I2:I1586),"")</x:f>
        <x:v>Not Started</x:v>
      </x:c>
      <x:c r="G435" s="6" t="str">
        <x:f>IFERROR(XLOOKUP(C435,'Review Sequence'!C2:C1586,'Review Sequence'!J2:J1586),"")</x:f>
        <x:v>Not Started</x:v>
      </x:c>
      <x:c r="H435" s="7" t="str">
        <x:f>IFERROR(XLOOKUP(C435,'Review Sequence'!C2:C1586,'Review Sequence'!O2:O1586),"")</x:f>
      </x:c>
      <x:c r="I435" s="6" t="str">
        <x:f>IFERROR(XLOOKUP(C435,'Review Sequence'!C2:C1586,'Review Sequence'!P2:P1586),"")</x:f>
        <x:v>Yes</x:v>
      </x:c>
    </x:row>
    <x:row r="436">
      <x:c r="A436" s="6" t="str">
        <x:v>BLK-0435</x:v>
      </x:c>
      <x:c r="B436" s="6" t="str">
        <x:v>Manufacturer Scope</x:v>
      </x:c>
      <x:c r="C436" s="6" t="str">
        <x:v>MFRX-0106</x:v>
      </x:c>
      <x:c r="D436" s="6" t="str">
        <x:v>SVC000106</x:v>
      </x:c>
      <x:c r="E436" s="6" t="str"/>
      <x:c r="F436" s="6" t="str">
        <x:f>IFERROR(XLOOKUP(C436,'Review Sequence'!C2:C1586,'Review Sequence'!I2:I1586),"")</x:f>
        <x:v>Not Started</x:v>
      </x:c>
      <x:c r="G436" s="6" t="str">
        <x:f>IFERROR(XLOOKUP(C436,'Review Sequence'!C2:C1586,'Review Sequence'!J2:J1586),"")</x:f>
        <x:v>Not Started</x:v>
      </x:c>
      <x:c r="H436" s="7" t="str">
        <x:f>IFERROR(XLOOKUP(C436,'Review Sequence'!C2:C1586,'Review Sequence'!O2:O1586),"")</x:f>
      </x:c>
      <x:c r="I436" s="6" t="str">
        <x:f>IFERROR(XLOOKUP(C436,'Review Sequence'!C2:C1586,'Review Sequence'!P2:P1586),"")</x:f>
        <x:v>Yes</x:v>
      </x:c>
    </x:row>
    <x:row r="437">
      <x:c r="A437" s="6" t="str">
        <x:v>BLK-0436</x:v>
      </x:c>
      <x:c r="B437" s="6" t="str">
        <x:v>Manufacturer Scope</x:v>
      </x:c>
      <x:c r="C437" s="6" t="str">
        <x:v>MFRX-0107</x:v>
      </x:c>
      <x:c r="D437" s="6" t="str">
        <x:v>SVC000107</x:v>
      </x:c>
      <x:c r="E437" s="6" t="str"/>
      <x:c r="F437" s="6" t="str">
        <x:f>IFERROR(XLOOKUP(C437,'Review Sequence'!C2:C1586,'Review Sequence'!I2:I1586),"")</x:f>
        <x:v>Not Started</x:v>
      </x:c>
      <x:c r="G437" s="6" t="str">
        <x:f>IFERROR(XLOOKUP(C437,'Review Sequence'!C2:C1586,'Review Sequence'!J2:J1586),"")</x:f>
        <x:v>Not Started</x:v>
      </x:c>
      <x:c r="H437" s="7" t="str">
        <x:f>IFERROR(XLOOKUP(C437,'Review Sequence'!C2:C1586,'Review Sequence'!O2:O1586),"")</x:f>
      </x:c>
      <x:c r="I437" s="6" t="str">
        <x:f>IFERROR(XLOOKUP(C437,'Review Sequence'!C2:C1586,'Review Sequence'!P2:P1586),"")</x:f>
        <x:v>Yes</x:v>
      </x:c>
    </x:row>
    <x:row r="438">
      <x:c r="A438" s="6" t="str">
        <x:v>BLK-0437</x:v>
      </x:c>
      <x:c r="B438" s="6" t="str">
        <x:v>Manufacturer Scope</x:v>
      </x:c>
      <x:c r="C438" s="6" t="str">
        <x:v>MFRX-0108</x:v>
      </x:c>
      <x:c r="D438" s="6" t="str">
        <x:v>SVC000108</x:v>
      </x:c>
      <x:c r="E438" s="6" t="str"/>
      <x:c r="F438" s="6" t="str">
        <x:f>IFERROR(XLOOKUP(C438,'Review Sequence'!C2:C1586,'Review Sequence'!I2:I1586),"")</x:f>
        <x:v>Not Started</x:v>
      </x:c>
      <x:c r="G438" s="6" t="str">
        <x:f>IFERROR(XLOOKUP(C438,'Review Sequence'!C2:C1586,'Review Sequence'!J2:J1586),"")</x:f>
        <x:v>Not Started</x:v>
      </x:c>
      <x:c r="H438" s="7" t="str">
        <x:f>IFERROR(XLOOKUP(C438,'Review Sequence'!C2:C1586,'Review Sequence'!O2:O1586),"")</x:f>
      </x:c>
      <x:c r="I438" s="6" t="str">
        <x:f>IFERROR(XLOOKUP(C438,'Review Sequence'!C2:C1586,'Review Sequence'!P2:P1586),"")</x:f>
        <x:v>Yes</x:v>
      </x:c>
    </x:row>
    <x:row r="439">
      <x:c r="A439" s="6" t="str">
        <x:v>BLK-0438</x:v>
      </x:c>
      <x:c r="B439" s="6" t="str">
        <x:v>Manufacturer Scope</x:v>
      </x:c>
      <x:c r="C439" s="6" t="str">
        <x:v>MFRX-0109</x:v>
      </x:c>
      <x:c r="D439" s="6" t="str">
        <x:v>SVC000109</x:v>
      </x:c>
      <x:c r="E439" s="6" t="str"/>
      <x:c r="F439" s="6" t="str">
        <x:f>IFERROR(XLOOKUP(C439,'Review Sequence'!C2:C1586,'Review Sequence'!I2:I1586),"")</x:f>
        <x:v>Not Started</x:v>
      </x:c>
      <x:c r="G439" s="6" t="str">
        <x:f>IFERROR(XLOOKUP(C439,'Review Sequence'!C2:C1586,'Review Sequence'!J2:J1586),"")</x:f>
        <x:v>Not Started</x:v>
      </x:c>
      <x:c r="H439" s="7" t="str">
        <x:f>IFERROR(XLOOKUP(C439,'Review Sequence'!C2:C1586,'Review Sequence'!O2:O1586),"")</x:f>
      </x:c>
      <x:c r="I439" s="6" t="str">
        <x:f>IFERROR(XLOOKUP(C439,'Review Sequence'!C2:C1586,'Review Sequence'!P2:P1586),"")</x:f>
        <x:v>Yes</x:v>
      </x:c>
    </x:row>
    <x:row r="440">
      <x:c r="A440" s="6" t="str">
        <x:v>BLK-0439</x:v>
      </x:c>
      <x:c r="B440" s="6" t="str">
        <x:v>Manufacturer Scope</x:v>
      </x:c>
      <x:c r="C440" s="6" t="str">
        <x:v>MFRX-0110</x:v>
      </x:c>
      <x:c r="D440" s="6" t="str">
        <x:v>SVC000110</x:v>
      </x:c>
      <x:c r="E440" s="6" t="str"/>
      <x:c r="F440" s="6" t="str">
        <x:f>IFERROR(XLOOKUP(C440,'Review Sequence'!C2:C1586,'Review Sequence'!I2:I1586),"")</x:f>
        <x:v>Not Started</x:v>
      </x:c>
      <x:c r="G440" s="6" t="str">
        <x:f>IFERROR(XLOOKUP(C440,'Review Sequence'!C2:C1586,'Review Sequence'!J2:J1586),"")</x:f>
        <x:v>Not Started</x:v>
      </x:c>
      <x:c r="H440" s="7" t="str">
        <x:f>IFERROR(XLOOKUP(C440,'Review Sequence'!C2:C1586,'Review Sequence'!O2:O1586),"")</x:f>
      </x:c>
      <x:c r="I440" s="6" t="str">
        <x:f>IFERROR(XLOOKUP(C440,'Review Sequence'!C2:C1586,'Review Sequence'!P2:P1586),"")</x:f>
        <x:v>Yes</x:v>
      </x:c>
    </x:row>
    <x:row r="441">
      <x:c r="A441" s="6" t="str">
        <x:v>BLK-0440</x:v>
      </x:c>
      <x:c r="B441" s="6" t="str">
        <x:v>Manufacturer Scope</x:v>
      </x:c>
      <x:c r="C441" s="6" t="str">
        <x:v>MFRX-0111</x:v>
      </x:c>
      <x:c r="D441" s="6" t="str">
        <x:v>SVC000111</x:v>
      </x:c>
      <x:c r="E441" s="6" t="str"/>
      <x:c r="F441" s="6" t="str">
        <x:f>IFERROR(XLOOKUP(C441,'Review Sequence'!C2:C1586,'Review Sequence'!I2:I1586),"")</x:f>
        <x:v>Not Started</x:v>
      </x:c>
      <x:c r="G441" s="6" t="str">
        <x:f>IFERROR(XLOOKUP(C441,'Review Sequence'!C2:C1586,'Review Sequence'!J2:J1586),"")</x:f>
        <x:v>Not Started</x:v>
      </x:c>
      <x:c r="H441" s="7" t="str">
        <x:f>IFERROR(XLOOKUP(C441,'Review Sequence'!C2:C1586,'Review Sequence'!O2:O1586),"")</x:f>
      </x:c>
      <x:c r="I441" s="6" t="str">
        <x:f>IFERROR(XLOOKUP(C441,'Review Sequence'!C2:C1586,'Review Sequence'!P2:P1586),"")</x:f>
        <x:v>Yes</x:v>
      </x:c>
    </x:row>
    <x:row r="442">
      <x:c r="A442" s="6" t="str">
        <x:v>BLK-0441</x:v>
      </x:c>
      <x:c r="B442" s="6" t="str">
        <x:v>Manufacturer Scope</x:v>
      </x:c>
      <x:c r="C442" s="6" t="str">
        <x:v>MFRX-0112</x:v>
      </x:c>
      <x:c r="D442" s="6" t="str">
        <x:v>SVC000112</x:v>
      </x:c>
      <x:c r="E442" s="6" t="str"/>
      <x:c r="F442" s="6" t="str">
        <x:f>IFERROR(XLOOKUP(C442,'Review Sequence'!C2:C1586,'Review Sequence'!I2:I1586),"")</x:f>
        <x:v>Not Started</x:v>
      </x:c>
      <x:c r="G442" s="6" t="str">
        <x:f>IFERROR(XLOOKUP(C442,'Review Sequence'!C2:C1586,'Review Sequence'!J2:J1586),"")</x:f>
        <x:v>Not Started</x:v>
      </x:c>
      <x:c r="H442" s="7" t="str">
        <x:f>IFERROR(XLOOKUP(C442,'Review Sequence'!C2:C1586,'Review Sequence'!O2:O1586),"")</x:f>
      </x:c>
      <x:c r="I442" s="6" t="str">
        <x:f>IFERROR(XLOOKUP(C442,'Review Sequence'!C2:C1586,'Review Sequence'!P2:P1586),"")</x:f>
        <x:v>Yes</x:v>
      </x:c>
    </x:row>
    <x:row r="443">
      <x:c r="A443" s="6" t="str">
        <x:v>BLK-0442</x:v>
      </x:c>
      <x:c r="B443" s="6" t="str">
        <x:v>Manufacturer Scope</x:v>
      </x:c>
      <x:c r="C443" s="6" t="str">
        <x:v>MFRX-0113</x:v>
      </x:c>
      <x:c r="D443" s="6" t="str">
        <x:v>SVC000113</x:v>
      </x:c>
      <x:c r="E443" s="6" t="str"/>
      <x:c r="F443" s="6" t="str">
        <x:f>IFERROR(XLOOKUP(C443,'Review Sequence'!C2:C1586,'Review Sequence'!I2:I1586),"")</x:f>
        <x:v>Not Started</x:v>
      </x:c>
      <x:c r="G443" s="6" t="str">
        <x:f>IFERROR(XLOOKUP(C443,'Review Sequence'!C2:C1586,'Review Sequence'!J2:J1586),"")</x:f>
        <x:v>Not Started</x:v>
      </x:c>
      <x:c r="H443" s="7" t="str">
        <x:f>IFERROR(XLOOKUP(C443,'Review Sequence'!C2:C1586,'Review Sequence'!O2:O1586),"")</x:f>
      </x:c>
      <x:c r="I443" s="6" t="str">
        <x:f>IFERROR(XLOOKUP(C443,'Review Sequence'!C2:C1586,'Review Sequence'!P2:P1586),"")</x:f>
        <x:v>Yes</x:v>
      </x:c>
    </x:row>
    <x:row r="444">
      <x:c r="A444" s="6" t="str">
        <x:v>BLK-0443</x:v>
      </x:c>
      <x:c r="B444" s="6" t="str">
        <x:v>Manufacturer Scope</x:v>
      </x:c>
      <x:c r="C444" s="6" t="str">
        <x:v>MFRX-0114</x:v>
      </x:c>
      <x:c r="D444" s="6" t="str">
        <x:v>SVC000114</x:v>
      </x:c>
      <x:c r="E444" s="6" t="str"/>
      <x:c r="F444" s="6" t="str">
        <x:f>IFERROR(XLOOKUP(C444,'Review Sequence'!C2:C1586,'Review Sequence'!I2:I1586),"")</x:f>
        <x:v>Not Started</x:v>
      </x:c>
      <x:c r="G444" s="6" t="str">
        <x:f>IFERROR(XLOOKUP(C444,'Review Sequence'!C2:C1586,'Review Sequence'!J2:J1586),"")</x:f>
        <x:v>Not Started</x:v>
      </x:c>
      <x:c r="H444" s="7" t="str">
        <x:f>IFERROR(XLOOKUP(C444,'Review Sequence'!C2:C1586,'Review Sequence'!O2:O1586),"")</x:f>
      </x:c>
      <x:c r="I444" s="6" t="str">
        <x:f>IFERROR(XLOOKUP(C444,'Review Sequence'!C2:C1586,'Review Sequence'!P2:P1586),"")</x:f>
        <x:v>Yes</x:v>
      </x:c>
    </x:row>
    <x:row r="445">
      <x:c r="A445" s="6" t="str">
        <x:v>BLK-0444</x:v>
      </x:c>
      <x:c r="B445" s="6" t="str">
        <x:v>Manufacturer Scope</x:v>
      </x:c>
      <x:c r="C445" s="6" t="str">
        <x:v>MFRX-0115</x:v>
      </x:c>
      <x:c r="D445" s="6" t="str">
        <x:v>SVC000115</x:v>
      </x:c>
      <x:c r="E445" s="6" t="str"/>
      <x:c r="F445" s="6" t="str">
        <x:f>IFERROR(XLOOKUP(C445,'Review Sequence'!C2:C1586,'Review Sequence'!I2:I1586),"")</x:f>
        <x:v>Not Started</x:v>
      </x:c>
      <x:c r="G445" s="6" t="str">
        <x:f>IFERROR(XLOOKUP(C445,'Review Sequence'!C2:C1586,'Review Sequence'!J2:J1586),"")</x:f>
        <x:v>Not Started</x:v>
      </x:c>
      <x:c r="H445" s="7" t="str">
        <x:f>IFERROR(XLOOKUP(C445,'Review Sequence'!C2:C1586,'Review Sequence'!O2:O1586),"")</x:f>
      </x:c>
      <x:c r="I445" s="6" t="str">
        <x:f>IFERROR(XLOOKUP(C445,'Review Sequence'!C2:C1586,'Review Sequence'!P2:P1586),"")</x:f>
        <x:v>Yes</x:v>
      </x:c>
    </x:row>
    <x:row r="446">
      <x:c r="A446" s="6" t="str">
        <x:v>BLK-0445</x:v>
      </x:c>
      <x:c r="B446" s="6" t="str">
        <x:v>Manufacturer Scope</x:v>
      </x:c>
      <x:c r="C446" s="6" t="str">
        <x:v>MFRX-0116</x:v>
      </x:c>
      <x:c r="D446" s="6" t="str">
        <x:v>SVC000116</x:v>
      </x:c>
      <x:c r="E446" s="6" t="str"/>
      <x:c r="F446" s="6" t="str">
        <x:f>IFERROR(XLOOKUP(C446,'Review Sequence'!C2:C1586,'Review Sequence'!I2:I1586),"")</x:f>
        <x:v>Not Started</x:v>
      </x:c>
      <x:c r="G446" s="6" t="str">
        <x:f>IFERROR(XLOOKUP(C446,'Review Sequence'!C2:C1586,'Review Sequence'!J2:J1586),"")</x:f>
        <x:v>Not Started</x:v>
      </x:c>
      <x:c r="H446" s="7" t="str">
        <x:f>IFERROR(XLOOKUP(C446,'Review Sequence'!C2:C1586,'Review Sequence'!O2:O1586),"")</x:f>
      </x:c>
      <x:c r="I446" s="6" t="str">
        <x:f>IFERROR(XLOOKUP(C446,'Review Sequence'!C2:C1586,'Review Sequence'!P2:P1586),"")</x:f>
        <x:v>Yes</x:v>
      </x:c>
    </x:row>
    <x:row r="447">
      <x:c r="A447" s="6" t="str">
        <x:v>BLK-0446</x:v>
      </x:c>
      <x:c r="B447" s="6" t="str">
        <x:v>Manufacturer Scope</x:v>
      </x:c>
      <x:c r="C447" s="6" t="str">
        <x:v>MFRX-0117</x:v>
      </x:c>
      <x:c r="D447" s="6" t="str">
        <x:v>SVC000117</x:v>
      </x:c>
      <x:c r="E447" s="6" t="str"/>
      <x:c r="F447" s="6" t="str">
        <x:f>IFERROR(XLOOKUP(C447,'Review Sequence'!C2:C1586,'Review Sequence'!I2:I1586),"")</x:f>
        <x:v>Not Started</x:v>
      </x:c>
      <x:c r="G447" s="6" t="str">
        <x:f>IFERROR(XLOOKUP(C447,'Review Sequence'!C2:C1586,'Review Sequence'!J2:J1586),"")</x:f>
        <x:v>Not Started</x:v>
      </x:c>
      <x:c r="H447" s="7" t="str">
        <x:f>IFERROR(XLOOKUP(C447,'Review Sequence'!C2:C1586,'Review Sequence'!O2:O1586),"")</x:f>
      </x:c>
      <x:c r="I447" s="6" t="str">
        <x:f>IFERROR(XLOOKUP(C447,'Review Sequence'!C2:C1586,'Review Sequence'!P2:P1586),"")</x:f>
        <x:v>Yes</x:v>
      </x:c>
    </x:row>
    <x:row r="448">
      <x:c r="A448" s="6" t="str">
        <x:v>BLK-0447</x:v>
      </x:c>
      <x:c r="B448" s="6" t="str">
        <x:v>Manufacturer Scope</x:v>
      </x:c>
      <x:c r="C448" s="6" t="str">
        <x:v>MFRX-0118</x:v>
      </x:c>
      <x:c r="D448" s="6" t="str">
        <x:v>SVC000118</x:v>
      </x:c>
      <x:c r="E448" s="6" t="str"/>
      <x:c r="F448" s="6" t="str">
        <x:f>IFERROR(XLOOKUP(C448,'Review Sequence'!C2:C1586,'Review Sequence'!I2:I1586),"")</x:f>
        <x:v>Not Started</x:v>
      </x:c>
      <x:c r="G448" s="6" t="str">
        <x:f>IFERROR(XLOOKUP(C448,'Review Sequence'!C2:C1586,'Review Sequence'!J2:J1586),"")</x:f>
        <x:v>Not Started</x:v>
      </x:c>
      <x:c r="H448" s="7" t="str">
        <x:f>IFERROR(XLOOKUP(C448,'Review Sequence'!C2:C1586,'Review Sequence'!O2:O1586),"")</x:f>
      </x:c>
      <x:c r="I448" s="6" t="str">
        <x:f>IFERROR(XLOOKUP(C448,'Review Sequence'!C2:C1586,'Review Sequence'!P2:P1586),"")</x:f>
        <x:v>Yes</x:v>
      </x:c>
    </x:row>
    <x:row r="449">
      <x:c r="A449" s="6" t="str">
        <x:v>BLK-0448</x:v>
      </x:c>
      <x:c r="B449" s="6" t="str">
        <x:v>Manufacturer Scope</x:v>
      </x:c>
      <x:c r="C449" s="6" t="str">
        <x:v>MFRX-0119</x:v>
      </x:c>
      <x:c r="D449" s="6" t="str">
        <x:v>SVC000119</x:v>
      </x:c>
      <x:c r="E449" s="6" t="str"/>
      <x:c r="F449" s="6" t="str">
        <x:f>IFERROR(XLOOKUP(C449,'Review Sequence'!C2:C1586,'Review Sequence'!I2:I1586),"")</x:f>
        <x:v>Not Started</x:v>
      </x:c>
      <x:c r="G449" s="6" t="str">
        <x:f>IFERROR(XLOOKUP(C449,'Review Sequence'!C2:C1586,'Review Sequence'!J2:J1586),"")</x:f>
        <x:v>Not Started</x:v>
      </x:c>
      <x:c r="H449" s="7" t="str">
        <x:f>IFERROR(XLOOKUP(C449,'Review Sequence'!C2:C1586,'Review Sequence'!O2:O1586),"")</x:f>
      </x:c>
      <x:c r="I449" s="6" t="str">
        <x:f>IFERROR(XLOOKUP(C449,'Review Sequence'!C2:C1586,'Review Sequence'!P2:P1586),"")</x:f>
        <x:v>Yes</x:v>
      </x:c>
    </x:row>
    <x:row r="450">
      <x:c r="A450" s="6" t="str">
        <x:v>BLK-0449</x:v>
      </x:c>
      <x:c r="B450" s="6" t="str">
        <x:v>Manufacturer Scope</x:v>
      </x:c>
      <x:c r="C450" s="6" t="str">
        <x:v>MFRX-0120</x:v>
      </x:c>
      <x:c r="D450" s="6" t="str">
        <x:v>SVC000120</x:v>
      </x:c>
      <x:c r="E450" s="6" t="str"/>
      <x:c r="F450" s="6" t="str">
        <x:f>IFERROR(XLOOKUP(C450,'Review Sequence'!C2:C1586,'Review Sequence'!I2:I1586),"")</x:f>
        <x:v>Not Started</x:v>
      </x:c>
      <x:c r="G450" s="6" t="str">
        <x:f>IFERROR(XLOOKUP(C450,'Review Sequence'!C2:C1586,'Review Sequence'!J2:J1586),"")</x:f>
        <x:v>Not Started</x:v>
      </x:c>
      <x:c r="H450" s="7" t="str">
        <x:f>IFERROR(XLOOKUP(C450,'Review Sequence'!C2:C1586,'Review Sequence'!O2:O1586),"")</x:f>
      </x:c>
      <x:c r="I450" s="6" t="str">
        <x:f>IFERROR(XLOOKUP(C450,'Review Sequence'!C2:C1586,'Review Sequence'!P2:P1586),"")</x:f>
        <x:v>Yes</x:v>
      </x:c>
    </x:row>
    <x:row r="451">
      <x:c r="A451" s="6" t="str">
        <x:v>BLK-0450</x:v>
      </x:c>
      <x:c r="B451" s="6" t="str">
        <x:v>Manufacturer Scope</x:v>
      </x:c>
      <x:c r="C451" s="6" t="str">
        <x:v>MFRX-0121</x:v>
      </x:c>
      <x:c r="D451" s="6" t="str">
        <x:v>SVC000121</x:v>
      </x:c>
      <x:c r="E451" s="6" t="str"/>
      <x:c r="F451" s="6" t="str">
        <x:f>IFERROR(XLOOKUP(C451,'Review Sequence'!C2:C1586,'Review Sequence'!I2:I1586),"")</x:f>
        <x:v>Not Started</x:v>
      </x:c>
      <x:c r="G451" s="6" t="str">
        <x:f>IFERROR(XLOOKUP(C451,'Review Sequence'!C2:C1586,'Review Sequence'!J2:J1586),"")</x:f>
        <x:v>Not Started</x:v>
      </x:c>
      <x:c r="H451" s="7" t="str">
        <x:f>IFERROR(XLOOKUP(C451,'Review Sequence'!C2:C1586,'Review Sequence'!O2:O1586),"")</x:f>
      </x:c>
      <x:c r="I451" s="6" t="str">
        <x:f>IFERROR(XLOOKUP(C451,'Review Sequence'!C2:C1586,'Review Sequence'!P2:P1586),"")</x:f>
        <x:v>Yes</x:v>
      </x:c>
    </x:row>
    <x:row r="452">
      <x:c r="A452" s="6" t="str">
        <x:v>BLK-0451</x:v>
      </x:c>
      <x:c r="B452" s="6" t="str">
        <x:v>Manufacturer Scope</x:v>
      </x:c>
      <x:c r="C452" s="6" t="str">
        <x:v>MFRX-0122</x:v>
      </x:c>
      <x:c r="D452" s="6" t="str">
        <x:v>SVC000122</x:v>
      </x:c>
      <x:c r="E452" s="6" t="str"/>
      <x:c r="F452" s="6" t="str">
        <x:f>IFERROR(XLOOKUP(C452,'Review Sequence'!C2:C1586,'Review Sequence'!I2:I1586),"")</x:f>
        <x:v>Not Started</x:v>
      </x:c>
      <x:c r="G452" s="6" t="str">
        <x:f>IFERROR(XLOOKUP(C452,'Review Sequence'!C2:C1586,'Review Sequence'!J2:J1586),"")</x:f>
        <x:v>Not Started</x:v>
      </x:c>
      <x:c r="H452" s="7" t="str">
        <x:f>IFERROR(XLOOKUP(C452,'Review Sequence'!C2:C1586,'Review Sequence'!O2:O1586),"")</x:f>
      </x:c>
      <x:c r="I452" s="6" t="str">
        <x:f>IFERROR(XLOOKUP(C452,'Review Sequence'!C2:C1586,'Review Sequence'!P2:P1586),"")</x:f>
        <x:v>Yes</x:v>
      </x:c>
    </x:row>
    <x:row r="453">
      <x:c r="A453" s="6" t="str">
        <x:v>BLK-0452</x:v>
      </x:c>
      <x:c r="B453" s="6" t="str">
        <x:v>Manufacturer Scope</x:v>
      </x:c>
      <x:c r="C453" s="6" t="str">
        <x:v>MFRX-0123</x:v>
      </x:c>
      <x:c r="D453" s="6" t="str">
        <x:v>SVC000123</x:v>
      </x:c>
      <x:c r="E453" s="6" t="str"/>
      <x:c r="F453" s="6" t="str">
        <x:f>IFERROR(XLOOKUP(C453,'Review Sequence'!C2:C1586,'Review Sequence'!I2:I1586),"")</x:f>
        <x:v>Not Started</x:v>
      </x:c>
      <x:c r="G453" s="6" t="str">
        <x:f>IFERROR(XLOOKUP(C453,'Review Sequence'!C2:C1586,'Review Sequence'!J2:J1586),"")</x:f>
        <x:v>Not Started</x:v>
      </x:c>
      <x:c r="H453" s="7" t="str">
        <x:f>IFERROR(XLOOKUP(C453,'Review Sequence'!C2:C1586,'Review Sequence'!O2:O1586),"")</x:f>
      </x:c>
      <x:c r="I453" s="6" t="str">
        <x:f>IFERROR(XLOOKUP(C453,'Review Sequence'!C2:C1586,'Review Sequence'!P2:P1586),"")</x:f>
        <x:v>Yes</x:v>
      </x:c>
    </x:row>
    <x:row r="454">
      <x:c r="A454" s="6" t="str">
        <x:v>BLK-0453</x:v>
      </x:c>
      <x:c r="B454" s="6" t="str">
        <x:v>Manufacturer Scope</x:v>
      </x:c>
      <x:c r="C454" s="6" t="str">
        <x:v>MFRX-0124</x:v>
      </x:c>
      <x:c r="D454" s="6" t="str">
        <x:v>SVC000124</x:v>
      </x:c>
      <x:c r="E454" s="6" t="str"/>
      <x:c r="F454" s="6" t="str">
        <x:f>IFERROR(XLOOKUP(C454,'Review Sequence'!C2:C1586,'Review Sequence'!I2:I1586),"")</x:f>
        <x:v>Not Started</x:v>
      </x:c>
      <x:c r="G454" s="6" t="str">
        <x:f>IFERROR(XLOOKUP(C454,'Review Sequence'!C2:C1586,'Review Sequence'!J2:J1586),"")</x:f>
        <x:v>Not Started</x:v>
      </x:c>
      <x:c r="H454" s="7" t="str">
        <x:f>IFERROR(XLOOKUP(C454,'Review Sequence'!C2:C1586,'Review Sequence'!O2:O1586),"")</x:f>
      </x:c>
      <x:c r="I454" s="6" t="str">
        <x:f>IFERROR(XLOOKUP(C454,'Review Sequence'!C2:C1586,'Review Sequence'!P2:P1586),"")</x:f>
        <x:v>Yes</x:v>
      </x:c>
    </x:row>
    <x:row r="455">
      <x:c r="A455" s="6" t="str">
        <x:v>BLK-0454</x:v>
      </x:c>
      <x:c r="B455" s="6" t="str">
        <x:v>Manufacturer Scope</x:v>
      </x:c>
      <x:c r="C455" s="6" t="str">
        <x:v>MFRX-0125</x:v>
      </x:c>
      <x:c r="D455" s="6" t="str">
        <x:v>SVC000125</x:v>
      </x:c>
      <x:c r="E455" s="6" t="str"/>
      <x:c r="F455" s="6" t="str">
        <x:f>IFERROR(XLOOKUP(C455,'Review Sequence'!C2:C1586,'Review Sequence'!I2:I1586),"")</x:f>
        <x:v>Not Started</x:v>
      </x:c>
      <x:c r="G455" s="6" t="str">
        <x:f>IFERROR(XLOOKUP(C455,'Review Sequence'!C2:C1586,'Review Sequence'!J2:J1586),"")</x:f>
        <x:v>Not Started</x:v>
      </x:c>
      <x:c r="H455" s="7" t="str">
        <x:f>IFERROR(XLOOKUP(C455,'Review Sequence'!C2:C1586,'Review Sequence'!O2:O1586),"")</x:f>
      </x:c>
      <x:c r="I455" s="6" t="str">
        <x:f>IFERROR(XLOOKUP(C455,'Review Sequence'!C2:C1586,'Review Sequence'!P2:P1586),"")</x:f>
        <x:v>Yes</x:v>
      </x:c>
    </x:row>
    <x:row r="456">
      <x:c r="A456" s="6" t="str">
        <x:v>BLK-0455</x:v>
      </x:c>
      <x:c r="B456" s="6" t="str">
        <x:v>Manufacturer Scope</x:v>
      </x:c>
      <x:c r="C456" s="6" t="str">
        <x:v>MFRX-0126</x:v>
      </x:c>
      <x:c r="D456" s="6" t="str">
        <x:v>SVC000126</x:v>
      </x:c>
      <x:c r="E456" s="6" t="str"/>
      <x:c r="F456" s="6" t="str">
        <x:f>IFERROR(XLOOKUP(C456,'Review Sequence'!C2:C1586,'Review Sequence'!I2:I1586),"")</x:f>
        <x:v>Not Started</x:v>
      </x:c>
      <x:c r="G456" s="6" t="str">
        <x:f>IFERROR(XLOOKUP(C456,'Review Sequence'!C2:C1586,'Review Sequence'!J2:J1586),"")</x:f>
        <x:v>Not Started</x:v>
      </x:c>
      <x:c r="H456" s="7" t="str">
        <x:f>IFERROR(XLOOKUP(C456,'Review Sequence'!C2:C1586,'Review Sequence'!O2:O1586),"")</x:f>
      </x:c>
      <x:c r="I456" s="6" t="str">
        <x:f>IFERROR(XLOOKUP(C456,'Review Sequence'!C2:C1586,'Review Sequence'!P2:P1586),"")</x:f>
        <x:v>Yes</x:v>
      </x:c>
    </x:row>
    <x:row r="457">
      <x:c r="A457" s="6" t="str">
        <x:v>BLK-0456</x:v>
      </x:c>
      <x:c r="B457" s="6" t="str">
        <x:v>Manufacturer Scope</x:v>
      </x:c>
      <x:c r="C457" s="6" t="str">
        <x:v>MFRX-0127</x:v>
      </x:c>
      <x:c r="D457" s="6" t="str">
        <x:v>SVC000127</x:v>
      </x:c>
      <x:c r="E457" s="6" t="str"/>
      <x:c r="F457" s="6" t="str">
        <x:f>IFERROR(XLOOKUP(C457,'Review Sequence'!C2:C1586,'Review Sequence'!I2:I1586),"")</x:f>
        <x:v>Not Started</x:v>
      </x:c>
      <x:c r="G457" s="6" t="str">
        <x:f>IFERROR(XLOOKUP(C457,'Review Sequence'!C2:C1586,'Review Sequence'!J2:J1586),"")</x:f>
        <x:v>Not Started</x:v>
      </x:c>
      <x:c r="H457" s="7" t="str">
        <x:f>IFERROR(XLOOKUP(C457,'Review Sequence'!C2:C1586,'Review Sequence'!O2:O1586),"")</x:f>
      </x:c>
      <x:c r="I457" s="6" t="str">
        <x:f>IFERROR(XLOOKUP(C457,'Review Sequence'!C2:C1586,'Review Sequence'!P2:P1586),"")</x:f>
        <x:v>Yes</x:v>
      </x:c>
    </x:row>
    <x:row r="458">
      <x:c r="A458" s="6" t="str">
        <x:v>BLK-0457</x:v>
      </x:c>
      <x:c r="B458" s="6" t="str">
        <x:v>Manufacturer Scope</x:v>
      </x:c>
      <x:c r="C458" s="6" t="str">
        <x:v>MFRX-0128</x:v>
      </x:c>
      <x:c r="D458" s="6" t="str">
        <x:v>SVC000128</x:v>
      </x:c>
      <x:c r="E458" s="6" t="str"/>
      <x:c r="F458" s="6" t="str">
        <x:f>IFERROR(XLOOKUP(C458,'Review Sequence'!C2:C1586,'Review Sequence'!I2:I1586),"")</x:f>
        <x:v>Not Started</x:v>
      </x:c>
      <x:c r="G458" s="6" t="str">
        <x:f>IFERROR(XLOOKUP(C458,'Review Sequence'!C2:C1586,'Review Sequence'!J2:J1586),"")</x:f>
        <x:v>Not Started</x:v>
      </x:c>
      <x:c r="H458" s="7" t="str">
        <x:f>IFERROR(XLOOKUP(C458,'Review Sequence'!C2:C1586,'Review Sequence'!O2:O1586),"")</x:f>
      </x:c>
      <x:c r="I458" s="6" t="str">
        <x:f>IFERROR(XLOOKUP(C458,'Review Sequence'!C2:C1586,'Review Sequence'!P2:P1586),"")</x:f>
        <x:v>Yes</x:v>
      </x:c>
    </x:row>
    <x:row r="459">
      <x:c r="A459" s="6" t="str">
        <x:v>BLK-0458</x:v>
      </x:c>
      <x:c r="B459" s="6" t="str">
        <x:v>Manufacturer Scope</x:v>
      </x:c>
      <x:c r="C459" s="6" t="str">
        <x:v>MFRX-0129</x:v>
      </x:c>
      <x:c r="D459" s="6" t="str">
        <x:v>SVC000129</x:v>
      </x:c>
      <x:c r="E459" s="6" t="str"/>
      <x:c r="F459" s="6" t="str">
        <x:f>IFERROR(XLOOKUP(C459,'Review Sequence'!C2:C1586,'Review Sequence'!I2:I1586),"")</x:f>
        <x:v>Not Started</x:v>
      </x:c>
      <x:c r="G459" s="6" t="str">
        <x:f>IFERROR(XLOOKUP(C459,'Review Sequence'!C2:C1586,'Review Sequence'!J2:J1586),"")</x:f>
        <x:v>Not Started</x:v>
      </x:c>
      <x:c r="H459" s="7" t="str">
        <x:f>IFERROR(XLOOKUP(C459,'Review Sequence'!C2:C1586,'Review Sequence'!O2:O1586),"")</x:f>
      </x:c>
      <x:c r="I459" s="6" t="str">
        <x:f>IFERROR(XLOOKUP(C459,'Review Sequence'!C2:C1586,'Review Sequence'!P2:P1586),"")</x:f>
        <x:v>Yes</x:v>
      </x:c>
    </x:row>
    <x:row r="460">
      <x:c r="A460" s="6" t="str">
        <x:v>BLK-0459</x:v>
      </x:c>
      <x:c r="B460" s="6" t="str">
        <x:v>Manufacturer Scope</x:v>
      </x:c>
      <x:c r="C460" s="6" t="str">
        <x:v>MFRX-0130</x:v>
      </x:c>
      <x:c r="D460" s="6" t="str">
        <x:v>SVC000130</x:v>
      </x:c>
      <x:c r="E460" s="6" t="str"/>
      <x:c r="F460" s="6" t="str">
        <x:f>IFERROR(XLOOKUP(C460,'Review Sequence'!C2:C1586,'Review Sequence'!I2:I1586),"")</x:f>
        <x:v>Not Started</x:v>
      </x:c>
      <x:c r="G460" s="6" t="str">
        <x:f>IFERROR(XLOOKUP(C460,'Review Sequence'!C2:C1586,'Review Sequence'!J2:J1586),"")</x:f>
        <x:v>Not Started</x:v>
      </x:c>
      <x:c r="H460" s="7" t="str">
        <x:f>IFERROR(XLOOKUP(C460,'Review Sequence'!C2:C1586,'Review Sequence'!O2:O1586),"")</x:f>
      </x:c>
      <x:c r="I460" s="6" t="str">
        <x:f>IFERROR(XLOOKUP(C460,'Review Sequence'!C2:C1586,'Review Sequence'!P2:P1586),"")</x:f>
        <x:v>Yes</x:v>
      </x:c>
    </x:row>
    <x:row r="461">
      <x:c r="A461" s="6" t="str">
        <x:v>BLK-0460</x:v>
      </x:c>
      <x:c r="B461" s="6" t="str">
        <x:v>Manufacturer Scope</x:v>
      </x:c>
      <x:c r="C461" s="6" t="str">
        <x:v>MFRX-0131</x:v>
      </x:c>
      <x:c r="D461" s="6" t="str">
        <x:v>SVC000131</x:v>
      </x:c>
      <x:c r="E461" s="6" t="str"/>
      <x:c r="F461" s="6" t="str">
        <x:f>IFERROR(XLOOKUP(C461,'Review Sequence'!C2:C1586,'Review Sequence'!I2:I1586),"")</x:f>
        <x:v>Not Started</x:v>
      </x:c>
      <x:c r="G461" s="6" t="str">
        <x:f>IFERROR(XLOOKUP(C461,'Review Sequence'!C2:C1586,'Review Sequence'!J2:J1586),"")</x:f>
        <x:v>Not Started</x:v>
      </x:c>
      <x:c r="H461" s="7" t="str">
        <x:f>IFERROR(XLOOKUP(C461,'Review Sequence'!C2:C1586,'Review Sequence'!O2:O1586),"")</x:f>
      </x:c>
      <x:c r="I461" s="6" t="str">
        <x:f>IFERROR(XLOOKUP(C461,'Review Sequence'!C2:C1586,'Review Sequence'!P2:P1586),"")</x:f>
        <x:v>Yes</x:v>
      </x:c>
    </x:row>
    <x:row r="462">
      <x:c r="A462" s="6" t="str">
        <x:v>BLK-0461</x:v>
      </x:c>
      <x:c r="B462" s="6" t="str">
        <x:v>Manufacturer Scope</x:v>
      </x:c>
      <x:c r="C462" s="6" t="str">
        <x:v>MFRX-0132</x:v>
      </x:c>
      <x:c r="D462" s="6" t="str">
        <x:v>SVC000132</x:v>
      </x:c>
      <x:c r="E462" s="6" t="str"/>
      <x:c r="F462" s="6" t="str">
        <x:f>IFERROR(XLOOKUP(C462,'Review Sequence'!C2:C1586,'Review Sequence'!I2:I1586),"")</x:f>
        <x:v>Not Started</x:v>
      </x:c>
      <x:c r="G462" s="6" t="str">
        <x:f>IFERROR(XLOOKUP(C462,'Review Sequence'!C2:C1586,'Review Sequence'!J2:J1586),"")</x:f>
        <x:v>Not Started</x:v>
      </x:c>
      <x:c r="H462" s="7" t="str">
        <x:f>IFERROR(XLOOKUP(C462,'Review Sequence'!C2:C1586,'Review Sequence'!O2:O1586),"")</x:f>
      </x:c>
      <x:c r="I462" s="6" t="str">
        <x:f>IFERROR(XLOOKUP(C462,'Review Sequence'!C2:C1586,'Review Sequence'!P2:P1586),"")</x:f>
        <x:v>Yes</x:v>
      </x:c>
    </x:row>
    <x:row r="463">
      <x:c r="A463" s="6" t="str">
        <x:v>BLK-0462</x:v>
      </x:c>
      <x:c r="B463" s="6" t="str">
        <x:v>Manufacturer Scope</x:v>
      </x:c>
      <x:c r="C463" s="6" t="str">
        <x:v>MFRX-0133</x:v>
      </x:c>
      <x:c r="D463" s="6" t="str">
        <x:v>SVC000133</x:v>
      </x:c>
      <x:c r="E463" s="6" t="str"/>
      <x:c r="F463" s="6" t="str">
        <x:f>IFERROR(XLOOKUP(C463,'Review Sequence'!C2:C1586,'Review Sequence'!I2:I1586),"")</x:f>
        <x:v>Not Started</x:v>
      </x:c>
      <x:c r="G463" s="6" t="str">
        <x:f>IFERROR(XLOOKUP(C463,'Review Sequence'!C2:C1586,'Review Sequence'!J2:J1586),"")</x:f>
        <x:v>Not Started</x:v>
      </x:c>
      <x:c r="H463" s="7" t="str">
        <x:f>IFERROR(XLOOKUP(C463,'Review Sequence'!C2:C1586,'Review Sequence'!O2:O1586),"")</x:f>
      </x:c>
      <x:c r="I463" s="6" t="str">
        <x:f>IFERROR(XLOOKUP(C463,'Review Sequence'!C2:C1586,'Review Sequence'!P2:P1586),"")</x:f>
        <x:v>Yes</x:v>
      </x:c>
    </x:row>
    <x:row r="464">
      <x:c r="A464" s="6" t="str">
        <x:v>BLK-0463</x:v>
      </x:c>
      <x:c r="B464" s="6" t="str">
        <x:v>Manufacturer Scope</x:v>
      </x:c>
      <x:c r="C464" s="6" t="str">
        <x:v>MFRX-0134</x:v>
      </x:c>
      <x:c r="D464" s="6" t="str">
        <x:v>SVC000134</x:v>
      </x:c>
      <x:c r="E464" s="6" t="str"/>
      <x:c r="F464" s="6" t="str">
        <x:f>IFERROR(XLOOKUP(C464,'Review Sequence'!C2:C1586,'Review Sequence'!I2:I1586),"")</x:f>
        <x:v>Not Started</x:v>
      </x:c>
      <x:c r="G464" s="6" t="str">
        <x:f>IFERROR(XLOOKUP(C464,'Review Sequence'!C2:C1586,'Review Sequence'!J2:J1586),"")</x:f>
        <x:v>Not Started</x:v>
      </x:c>
      <x:c r="H464" s="7" t="str">
        <x:f>IFERROR(XLOOKUP(C464,'Review Sequence'!C2:C1586,'Review Sequence'!O2:O1586),"")</x:f>
      </x:c>
      <x:c r="I464" s="6" t="str">
        <x:f>IFERROR(XLOOKUP(C464,'Review Sequence'!C2:C1586,'Review Sequence'!P2:P1586),"")</x:f>
        <x:v>Yes</x:v>
      </x:c>
    </x:row>
    <x:row r="465">
      <x:c r="A465" s="6" t="str">
        <x:v>BLK-0464</x:v>
      </x:c>
      <x:c r="B465" s="6" t="str">
        <x:v>Manufacturer Scope</x:v>
      </x:c>
      <x:c r="C465" s="6" t="str">
        <x:v>MFRX-0135</x:v>
      </x:c>
      <x:c r="D465" s="6" t="str">
        <x:v>SVC000135</x:v>
      </x:c>
      <x:c r="E465" s="6" t="str"/>
      <x:c r="F465" s="6" t="str">
        <x:f>IFERROR(XLOOKUP(C465,'Review Sequence'!C2:C1586,'Review Sequence'!I2:I1586),"")</x:f>
        <x:v>Not Started</x:v>
      </x:c>
      <x:c r="G465" s="6" t="str">
        <x:f>IFERROR(XLOOKUP(C465,'Review Sequence'!C2:C1586,'Review Sequence'!J2:J1586),"")</x:f>
        <x:v>Not Started</x:v>
      </x:c>
      <x:c r="H465" s="7" t="str">
        <x:f>IFERROR(XLOOKUP(C465,'Review Sequence'!C2:C1586,'Review Sequence'!O2:O1586),"")</x:f>
      </x:c>
      <x:c r="I465" s="6" t="str">
        <x:f>IFERROR(XLOOKUP(C465,'Review Sequence'!C2:C1586,'Review Sequence'!P2:P1586),"")</x:f>
        <x:v>Yes</x:v>
      </x:c>
    </x:row>
    <x:row r="466">
      <x:c r="A466" s="6" t="str">
        <x:v>BLK-0465</x:v>
      </x:c>
      <x:c r="B466" s="6" t="str">
        <x:v>Manufacturer Scope</x:v>
      </x:c>
      <x:c r="C466" s="6" t="str">
        <x:v>MFRX-0136</x:v>
      </x:c>
      <x:c r="D466" s="6" t="str">
        <x:v>SVC000136</x:v>
      </x:c>
      <x:c r="E466" s="6" t="str"/>
      <x:c r="F466" s="6" t="str">
        <x:f>IFERROR(XLOOKUP(C466,'Review Sequence'!C2:C1586,'Review Sequence'!I2:I1586),"")</x:f>
        <x:v>Not Started</x:v>
      </x:c>
      <x:c r="G466" s="6" t="str">
        <x:f>IFERROR(XLOOKUP(C466,'Review Sequence'!C2:C1586,'Review Sequence'!J2:J1586),"")</x:f>
        <x:v>Not Started</x:v>
      </x:c>
      <x:c r="H466" s="7" t="str">
        <x:f>IFERROR(XLOOKUP(C466,'Review Sequence'!C2:C1586,'Review Sequence'!O2:O1586),"")</x:f>
      </x:c>
      <x:c r="I466" s="6" t="str">
        <x:f>IFERROR(XLOOKUP(C466,'Review Sequence'!C2:C1586,'Review Sequence'!P2:P1586),"")</x:f>
        <x:v>Yes</x:v>
      </x:c>
    </x:row>
    <x:row r="467">
      <x:c r="A467" s="6" t="str">
        <x:v>BLK-0466</x:v>
      </x:c>
      <x:c r="B467" s="6" t="str">
        <x:v>Manufacturer Scope</x:v>
      </x:c>
      <x:c r="C467" s="6" t="str">
        <x:v>MFRX-0137</x:v>
      </x:c>
      <x:c r="D467" s="6" t="str">
        <x:v>SVC000137</x:v>
      </x:c>
      <x:c r="E467" s="6" t="str"/>
      <x:c r="F467" s="6" t="str">
        <x:f>IFERROR(XLOOKUP(C467,'Review Sequence'!C2:C1586,'Review Sequence'!I2:I1586),"")</x:f>
        <x:v>Not Started</x:v>
      </x:c>
      <x:c r="G467" s="6" t="str">
        <x:f>IFERROR(XLOOKUP(C467,'Review Sequence'!C2:C1586,'Review Sequence'!J2:J1586),"")</x:f>
        <x:v>Not Started</x:v>
      </x:c>
      <x:c r="H467" s="7" t="str">
        <x:f>IFERROR(XLOOKUP(C467,'Review Sequence'!C2:C1586,'Review Sequence'!O2:O1586),"")</x:f>
      </x:c>
      <x:c r="I467" s="6" t="str">
        <x:f>IFERROR(XLOOKUP(C467,'Review Sequence'!C2:C1586,'Review Sequence'!P2:P1586),"")</x:f>
        <x:v>Yes</x:v>
      </x:c>
    </x:row>
    <x:row r="468">
      <x:c r="A468" s="6" t="str">
        <x:v>BLK-0467</x:v>
      </x:c>
      <x:c r="B468" s="6" t="str">
        <x:v>Manufacturer Scope</x:v>
      </x:c>
      <x:c r="C468" s="6" t="str">
        <x:v>MFRX-0138</x:v>
      </x:c>
      <x:c r="D468" s="6" t="str">
        <x:v>SVC000138</x:v>
      </x:c>
      <x:c r="E468" s="6" t="str"/>
      <x:c r="F468" s="6" t="str">
        <x:f>IFERROR(XLOOKUP(C468,'Review Sequence'!C2:C1586,'Review Sequence'!I2:I1586),"")</x:f>
        <x:v>Not Started</x:v>
      </x:c>
      <x:c r="G468" s="6" t="str">
        <x:f>IFERROR(XLOOKUP(C468,'Review Sequence'!C2:C1586,'Review Sequence'!J2:J1586),"")</x:f>
        <x:v>Not Started</x:v>
      </x:c>
      <x:c r="H468" s="7" t="str">
        <x:f>IFERROR(XLOOKUP(C468,'Review Sequence'!C2:C1586,'Review Sequence'!O2:O1586),"")</x:f>
      </x:c>
      <x:c r="I468" s="6" t="str">
        <x:f>IFERROR(XLOOKUP(C468,'Review Sequence'!C2:C1586,'Review Sequence'!P2:P1586),"")</x:f>
        <x:v>Yes</x:v>
      </x:c>
    </x:row>
    <x:row r="469">
      <x:c r="A469" s="6" t="str">
        <x:v>BLK-0468</x:v>
      </x:c>
      <x:c r="B469" s="6" t="str">
        <x:v>Manufacturer Scope</x:v>
      </x:c>
      <x:c r="C469" s="6" t="str">
        <x:v>MFRX-0139</x:v>
      </x:c>
      <x:c r="D469" s="6" t="str">
        <x:v>SVC000139</x:v>
      </x:c>
      <x:c r="E469" s="6" t="str"/>
      <x:c r="F469" s="6" t="str">
        <x:f>IFERROR(XLOOKUP(C469,'Review Sequence'!C2:C1586,'Review Sequence'!I2:I1586),"")</x:f>
        <x:v>Not Started</x:v>
      </x:c>
      <x:c r="G469" s="6" t="str">
        <x:f>IFERROR(XLOOKUP(C469,'Review Sequence'!C2:C1586,'Review Sequence'!J2:J1586),"")</x:f>
        <x:v>Not Started</x:v>
      </x:c>
      <x:c r="H469" s="7" t="str">
        <x:f>IFERROR(XLOOKUP(C469,'Review Sequence'!C2:C1586,'Review Sequence'!O2:O1586),"")</x:f>
      </x:c>
      <x:c r="I469" s="6" t="str">
        <x:f>IFERROR(XLOOKUP(C469,'Review Sequence'!C2:C1586,'Review Sequence'!P2:P1586),"")</x:f>
        <x:v>Yes</x:v>
      </x:c>
    </x:row>
    <x:row r="470">
      <x:c r="A470" s="6" t="str">
        <x:v>BLK-0469</x:v>
      </x:c>
      <x:c r="B470" s="6" t="str">
        <x:v>Manufacturer Scope</x:v>
      </x:c>
      <x:c r="C470" s="6" t="str">
        <x:v>MFRX-0140</x:v>
      </x:c>
      <x:c r="D470" s="6" t="str">
        <x:v>SVC000140</x:v>
      </x:c>
      <x:c r="E470" s="6" t="str"/>
      <x:c r="F470" s="6" t="str">
        <x:f>IFERROR(XLOOKUP(C470,'Review Sequence'!C2:C1586,'Review Sequence'!I2:I1586),"")</x:f>
        <x:v>Not Started</x:v>
      </x:c>
      <x:c r="G470" s="6" t="str">
        <x:f>IFERROR(XLOOKUP(C470,'Review Sequence'!C2:C1586,'Review Sequence'!J2:J1586),"")</x:f>
        <x:v>Not Started</x:v>
      </x:c>
      <x:c r="H470" s="7" t="str">
        <x:f>IFERROR(XLOOKUP(C470,'Review Sequence'!C2:C1586,'Review Sequence'!O2:O1586),"")</x:f>
      </x:c>
      <x:c r="I470" s="6" t="str">
        <x:f>IFERROR(XLOOKUP(C470,'Review Sequence'!C2:C1586,'Review Sequence'!P2:P1586),"")</x:f>
        <x:v>Yes</x:v>
      </x:c>
    </x:row>
    <x:row r="471">
      <x:c r="A471" s="6" t="str">
        <x:v>BLK-0470</x:v>
      </x:c>
      <x:c r="B471" s="6" t="str">
        <x:v>Manufacturer Scope</x:v>
      </x:c>
      <x:c r="C471" s="6" t="str">
        <x:v>MFRX-0141</x:v>
      </x:c>
      <x:c r="D471" s="6" t="str">
        <x:v>SVC000141</x:v>
      </x:c>
      <x:c r="E471" s="6" t="str"/>
      <x:c r="F471" s="6" t="str">
        <x:f>IFERROR(XLOOKUP(C471,'Review Sequence'!C2:C1586,'Review Sequence'!I2:I1586),"")</x:f>
        <x:v>Not Started</x:v>
      </x:c>
      <x:c r="G471" s="6" t="str">
        <x:f>IFERROR(XLOOKUP(C471,'Review Sequence'!C2:C1586,'Review Sequence'!J2:J1586),"")</x:f>
        <x:v>Not Started</x:v>
      </x:c>
      <x:c r="H471" s="7" t="str">
        <x:f>IFERROR(XLOOKUP(C471,'Review Sequence'!C2:C1586,'Review Sequence'!O2:O1586),"")</x:f>
      </x:c>
      <x:c r="I471" s="6" t="str">
        <x:f>IFERROR(XLOOKUP(C471,'Review Sequence'!C2:C1586,'Review Sequence'!P2:P1586),"")</x:f>
        <x:v>Yes</x:v>
      </x:c>
    </x:row>
    <x:row r="472">
      <x:c r="A472" s="6" t="str">
        <x:v>BLK-0471</x:v>
      </x:c>
      <x:c r="B472" s="6" t="str">
        <x:v>Manufacturer Scope</x:v>
      </x:c>
      <x:c r="C472" s="6" t="str">
        <x:v>MFRX-0142</x:v>
      </x:c>
      <x:c r="D472" s="6" t="str">
        <x:v>SVC000142</x:v>
      </x:c>
      <x:c r="E472" s="6" t="str"/>
      <x:c r="F472" s="6" t="str">
        <x:f>IFERROR(XLOOKUP(C472,'Review Sequence'!C2:C1586,'Review Sequence'!I2:I1586),"")</x:f>
        <x:v>Not Started</x:v>
      </x:c>
      <x:c r="G472" s="6" t="str">
        <x:f>IFERROR(XLOOKUP(C472,'Review Sequence'!C2:C1586,'Review Sequence'!J2:J1586),"")</x:f>
        <x:v>Not Started</x:v>
      </x:c>
      <x:c r="H472" s="7" t="str">
        <x:f>IFERROR(XLOOKUP(C472,'Review Sequence'!C2:C1586,'Review Sequence'!O2:O1586),"")</x:f>
      </x:c>
      <x:c r="I472" s="6" t="str">
        <x:f>IFERROR(XLOOKUP(C472,'Review Sequence'!C2:C1586,'Review Sequence'!P2:P1586),"")</x:f>
        <x:v>Yes</x:v>
      </x:c>
    </x:row>
    <x:row r="473">
      <x:c r="A473" s="6" t="str">
        <x:v>BLK-0472</x:v>
      </x:c>
      <x:c r="B473" s="6" t="str">
        <x:v>Manufacturer Scope</x:v>
      </x:c>
      <x:c r="C473" s="6" t="str">
        <x:v>MFRX-0143</x:v>
      </x:c>
      <x:c r="D473" s="6" t="str">
        <x:v>SVC000143</x:v>
      </x:c>
      <x:c r="E473" s="6" t="str"/>
      <x:c r="F473" s="6" t="str">
        <x:f>IFERROR(XLOOKUP(C473,'Review Sequence'!C2:C1586,'Review Sequence'!I2:I1586),"")</x:f>
        <x:v>Not Started</x:v>
      </x:c>
      <x:c r="G473" s="6" t="str">
        <x:f>IFERROR(XLOOKUP(C473,'Review Sequence'!C2:C1586,'Review Sequence'!J2:J1586),"")</x:f>
        <x:v>Not Started</x:v>
      </x:c>
      <x:c r="H473" s="7" t="str">
        <x:f>IFERROR(XLOOKUP(C473,'Review Sequence'!C2:C1586,'Review Sequence'!O2:O1586),"")</x:f>
      </x:c>
      <x:c r="I473" s="6" t="str">
        <x:f>IFERROR(XLOOKUP(C473,'Review Sequence'!C2:C1586,'Review Sequence'!P2:P1586),"")</x:f>
        <x:v>Yes</x:v>
      </x:c>
    </x:row>
    <x:row r="474">
      <x:c r="A474" s="6" t="str">
        <x:v>BLK-0473</x:v>
      </x:c>
      <x:c r="B474" s="6" t="str">
        <x:v>Manufacturer Scope</x:v>
      </x:c>
      <x:c r="C474" s="6" t="str">
        <x:v>MFRX-0144</x:v>
      </x:c>
      <x:c r="D474" s="6" t="str">
        <x:v>SVC000144</x:v>
      </x:c>
      <x:c r="E474" s="6" t="str"/>
      <x:c r="F474" s="6" t="str">
        <x:f>IFERROR(XLOOKUP(C474,'Review Sequence'!C2:C1586,'Review Sequence'!I2:I1586),"")</x:f>
        <x:v>Not Started</x:v>
      </x:c>
      <x:c r="G474" s="6" t="str">
        <x:f>IFERROR(XLOOKUP(C474,'Review Sequence'!C2:C1586,'Review Sequence'!J2:J1586),"")</x:f>
        <x:v>Not Started</x:v>
      </x:c>
      <x:c r="H474" s="7" t="str">
        <x:f>IFERROR(XLOOKUP(C474,'Review Sequence'!C2:C1586,'Review Sequence'!O2:O1586),"")</x:f>
      </x:c>
      <x:c r="I474" s="6" t="str">
        <x:f>IFERROR(XLOOKUP(C474,'Review Sequence'!C2:C1586,'Review Sequence'!P2:P1586),"")</x:f>
        <x:v>Yes</x:v>
      </x:c>
    </x:row>
    <x:row r="475">
      <x:c r="A475" s="6" t="str">
        <x:v>BLK-0474</x:v>
      </x:c>
      <x:c r="B475" s="6" t="str">
        <x:v>Manufacturer Scope</x:v>
      </x:c>
      <x:c r="C475" s="6" t="str">
        <x:v>MFRX-0145</x:v>
      </x:c>
      <x:c r="D475" s="6" t="str">
        <x:v>SVC000145</x:v>
      </x:c>
      <x:c r="E475" s="6" t="str"/>
      <x:c r="F475" s="6" t="str">
        <x:f>IFERROR(XLOOKUP(C475,'Review Sequence'!C2:C1586,'Review Sequence'!I2:I1586),"")</x:f>
        <x:v>Not Started</x:v>
      </x:c>
      <x:c r="G475" s="6" t="str">
        <x:f>IFERROR(XLOOKUP(C475,'Review Sequence'!C2:C1586,'Review Sequence'!J2:J1586),"")</x:f>
        <x:v>Not Started</x:v>
      </x:c>
      <x:c r="H475" s="7" t="str">
        <x:f>IFERROR(XLOOKUP(C475,'Review Sequence'!C2:C1586,'Review Sequence'!O2:O1586),"")</x:f>
      </x:c>
      <x:c r="I475" s="6" t="str">
        <x:f>IFERROR(XLOOKUP(C475,'Review Sequence'!C2:C1586,'Review Sequence'!P2:P1586),"")</x:f>
        <x:v>Yes</x:v>
      </x:c>
    </x:row>
    <x:row r="476">
      <x:c r="A476" s="6" t="str">
        <x:v>BLK-0475</x:v>
      </x:c>
      <x:c r="B476" s="6" t="str">
        <x:v>Manufacturer Scope</x:v>
      </x:c>
      <x:c r="C476" s="6" t="str">
        <x:v>MFRX-0146</x:v>
      </x:c>
      <x:c r="D476" s="6" t="str">
        <x:v>SVC000146</x:v>
      </x:c>
      <x:c r="E476" s="6" t="str"/>
      <x:c r="F476" s="6" t="str">
        <x:f>IFERROR(XLOOKUP(C476,'Review Sequence'!C2:C1586,'Review Sequence'!I2:I1586),"")</x:f>
        <x:v>Not Started</x:v>
      </x:c>
      <x:c r="G476" s="6" t="str">
        <x:f>IFERROR(XLOOKUP(C476,'Review Sequence'!C2:C1586,'Review Sequence'!J2:J1586),"")</x:f>
        <x:v>Not Started</x:v>
      </x:c>
      <x:c r="H476" s="7" t="str">
        <x:f>IFERROR(XLOOKUP(C476,'Review Sequence'!C2:C1586,'Review Sequence'!O2:O1586),"")</x:f>
      </x:c>
      <x:c r="I476" s="6" t="str">
        <x:f>IFERROR(XLOOKUP(C476,'Review Sequence'!C2:C1586,'Review Sequence'!P2:P1586),"")</x:f>
        <x:v>Yes</x:v>
      </x:c>
    </x:row>
    <x:row r="477">
      <x:c r="A477" s="6" t="str">
        <x:v>BLK-0476</x:v>
      </x:c>
      <x:c r="B477" s="6" t="str">
        <x:v>Manufacturer Scope</x:v>
      </x:c>
      <x:c r="C477" s="6" t="str">
        <x:v>MFRX-0147</x:v>
      </x:c>
      <x:c r="D477" s="6" t="str">
        <x:v>SVC000147</x:v>
      </x:c>
      <x:c r="E477" s="6" t="str"/>
      <x:c r="F477" s="6" t="str">
        <x:f>IFERROR(XLOOKUP(C477,'Review Sequence'!C2:C1586,'Review Sequence'!I2:I1586),"")</x:f>
        <x:v>Not Started</x:v>
      </x:c>
      <x:c r="G477" s="6" t="str">
        <x:f>IFERROR(XLOOKUP(C477,'Review Sequence'!C2:C1586,'Review Sequence'!J2:J1586),"")</x:f>
        <x:v>Not Started</x:v>
      </x:c>
      <x:c r="H477" s="7" t="str">
        <x:f>IFERROR(XLOOKUP(C477,'Review Sequence'!C2:C1586,'Review Sequence'!O2:O1586),"")</x:f>
      </x:c>
      <x:c r="I477" s="6" t="str">
        <x:f>IFERROR(XLOOKUP(C477,'Review Sequence'!C2:C1586,'Review Sequence'!P2:P1586),"")</x:f>
        <x:v>Yes</x:v>
      </x:c>
    </x:row>
    <x:row r="478">
      <x:c r="A478" s="6" t="str">
        <x:v>BLK-0477</x:v>
      </x:c>
      <x:c r="B478" s="6" t="str">
        <x:v>Manufacturer Scope</x:v>
      </x:c>
      <x:c r="C478" s="6" t="str">
        <x:v>MFRX-0148</x:v>
      </x:c>
      <x:c r="D478" s="6" t="str">
        <x:v>SVC000148</x:v>
      </x:c>
      <x:c r="E478" s="6" t="str"/>
      <x:c r="F478" s="6" t="str">
        <x:f>IFERROR(XLOOKUP(C478,'Review Sequence'!C2:C1586,'Review Sequence'!I2:I1586),"")</x:f>
        <x:v>Not Started</x:v>
      </x:c>
      <x:c r="G478" s="6" t="str">
        <x:f>IFERROR(XLOOKUP(C478,'Review Sequence'!C2:C1586,'Review Sequence'!J2:J1586),"")</x:f>
        <x:v>Not Started</x:v>
      </x:c>
      <x:c r="H478" s="7" t="str">
        <x:f>IFERROR(XLOOKUP(C478,'Review Sequence'!C2:C1586,'Review Sequence'!O2:O1586),"")</x:f>
      </x:c>
      <x:c r="I478" s="6" t="str">
        <x:f>IFERROR(XLOOKUP(C478,'Review Sequence'!C2:C1586,'Review Sequence'!P2:P1586),"")</x:f>
        <x:v>Yes</x:v>
      </x:c>
    </x:row>
    <x:row r="479">
      <x:c r="A479" s="6" t="str">
        <x:v>BLK-0478</x:v>
      </x:c>
      <x:c r="B479" s="6" t="str">
        <x:v>Manufacturer Scope</x:v>
      </x:c>
      <x:c r="C479" s="6" t="str">
        <x:v>MFRX-0149</x:v>
      </x:c>
      <x:c r="D479" s="6" t="str">
        <x:v>SVC000149</x:v>
      </x:c>
      <x:c r="E479" s="6" t="str"/>
      <x:c r="F479" s="6" t="str">
        <x:f>IFERROR(XLOOKUP(C479,'Review Sequence'!C2:C1586,'Review Sequence'!I2:I1586),"")</x:f>
        <x:v>Not Started</x:v>
      </x:c>
      <x:c r="G479" s="6" t="str">
        <x:f>IFERROR(XLOOKUP(C479,'Review Sequence'!C2:C1586,'Review Sequence'!J2:J1586),"")</x:f>
        <x:v>Not Started</x:v>
      </x:c>
      <x:c r="H479" s="7" t="str">
        <x:f>IFERROR(XLOOKUP(C479,'Review Sequence'!C2:C1586,'Review Sequence'!O2:O1586),"")</x:f>
      </x:c>
      <x:c r="I479" s="6" t="str">
        <x:f>IFERROR(XLOOKUP(C479,'Review Sequence'!C2:C1586,'Review Sequence'!P2:P1586),"")</x:f>
        <x:v>Yes</x:v>
      </x:c>
    </x:row>
    <x:row r="480">
      <x:c r="A480" s="6" t="str">
        <x:v>BLK-0479</x:v>
      </x:c>
      <x:c r="B480" s="6" t="str">
        <x:v>Manufacturer Scope</x:v>
      </x:c>
      <x:c r="C480" s="6" t="str">
        <x:v>MFRX-0150</x:v>
      </x:c>
      <x:c r="D480" s="6" t="str">
        <x:v>SVC000150</x:v>
      </x:c>
      <x:c r="E480" s="6" t="str"/>
      <x:c r="F480" s="6" t="str">
        <x:f>IFERROR(XLOOKUP(C480,'Review Sequence'!C2:C1586,'Review Sequence'!I2:I1586),"")</x:f>
        <x:v>Not Started</x:v>
      </x:c>
      <x:c r="G480" s="6" t="str">
        <x:f>IFERROR(XLOOKUP(C480,'Review Sequence'!C2:C1586,'Review Sequence'!J2:J1586),"")</x:f>
        <x:v>Not Started</x:v>
      </x:c>
      <x:c r="H480" s="7" t="str">
        <x:f>IFERROR(XLOOKUP(C480,'Review Sequence'!C2:C1586,'Review Sequence'!O2:O1586),"")</x:f>
      </x:c>
      <x:c r="I480" s="6" t="str">
        <x:f>IFERROR(XLOOKUP(C480,'Review Sequence'!C2:C1586,'Review Sequence'!P2:P1586),"")</x:f>
        <x:v>Yes</x:v>
      </x:c>
    </x:row>
    <x:row r="481">
      <x:c r="A481" s="6" t="str">
        <x:v>BLK-0480</x:v>
      </x:c>
      <x:c r="B481" s="6" t="str">
        <x:v>Manufacturer Scope</x:v>
      </x:c>
      <x:c r="C481" s="6" t="str">
        <x:v>MFRX-0151</x:v>
      </x:c>
      <x:c r="D481" s="6" t="str">
        <x:v>SVC000151</x:v>
      </x:c>
      <x:c r="E481" s="6" t="str"/>
      <x:c r="F481" s="6" t="str">
        <x:f>IFERROR(XLOOKUP(C481,'Review Sequence'!C2:C1586,'Review Sequence'!I2:I1586),"")</x:f>
        <x:v>Not Started</x:v>
      </x:c>
      <x:c r="G481" s="6" t="str">
        <x:f>IFERROR(XLOOKUP(C481,'Review Sequence'!C2:C1586,'Review Sequence'!J2:J1586),"")</x:f>
        <x:v>Not Started</x:v>
      </x:c>
      <x:c r="H481" s="7" t="str">
        <x:f>IFERROR(XLOOKUP(C481,'Review Sequence'!C2:C1586,'Review Sequence'!O2:O1586),"")</x:f>
      </x:c>
      <x:c r="I481" s="6" t="str">
        <x:f>IFERROR(XLOOKUP(C481,'Review Sequence'!C2:C1586,'Review Sequence'!P2:P1586),"")</x:f>
        <x:v>Yes</x:v>
      </x:c>
    </x:row>
    <x:row r="482">
      <x:c r="A482" s="6" t="str">
        <x:v>BLK-0481</x:v>
      </x:c>
      <x:c r="B482" s="6" t="str">
        <x:v>Manufacturer Scope</x:v>
      </x:c>
      <x:c r="C482" s="6" t="str">
        <x:v>MFRX-0152</x:v>
      </x:c>
      <x:c r="D482" s="6" t="str">
        <x:v>SVC000152</x:v>
      </x:c>
      <x:c r="E482" s="6" t="str"/>
      <x:c r="F482" s="6" t="str">
        <x:f>IFERROR(XLOOKUP(C482,'Review Sequence'!C2:C1586,'Review Sequence'!I2:I1586),"")</x:f>
        <x:v>Not Started</x:v>
      </x:c>
      <x:c r="G482" s="6" t="str">
        <x:f>IFERROR(XLOOKUP(C482,'Review Sequence'!C2:C1586,'Review Sequence'!J2:J1586),"")</x:f>
        <x:v>Not Started</x:v>
      </x:c>
      <x:c r="H482" s="7" t="str">
        <x:f>IFERROR(XLOOKUP(C482,'Review Sequence'!C2:C1586,'Review Sequence'!O2:O1586),"")</x:f>
      </x:c>
      <x:c r="I482" s="6" t="str">
        <x:f>IFERROR(XLOOKUP(C482,'Review Sequence'!C2:C1586,'Review Sequence'!P2:P1586),"")</x:f>
        <x:v>Yes</x:v>
      </x:c>
    </x:row>
    <x:row r="483">
      <x:c r="A483" s="6" t="str">
        <x:v>BLK-0482</x:v>
      </x:c>
      <x:c r="B483" s="6" t="str">
        <x:v>Manufacturer Scope</x:v>
      </x:c>
      <x:c r="C483" s="6" t="str">
        <x:v>MFRX-0153</x:v>
      </x:c>
      <x:c r="D483" s="6" t="str">
        <x:v>SVC000153</x:v>
      </x:c>
      <x:c r="E483" s="6" t="str"/>
      <x:c r="F483" s="6" t="str">
        <x:f>IFERROR(XLOOKUP(C483,'Review Sequence'!C2:C1586,'Review Sequence'!I2:I1586),"")</x:f>
        <x:v>Not Started</x:v>
      </x:c>
      <x:c r="G483" s="6" t="str">
        <x:f>IFERROR(XLOOKUP(C483,'Review Sequence'!C2:C1586,'Review Sequence'!J2:J1586),"")</x:f>
        <x:v>Not Started</x:v>
      </x:c>
      <x:c r="H483" s="7" t="str">
        <x:f>IFERROR(XLOOKUP(C483,'Review Sequence'!C2:C1586,'Review Sequence'!O2:O1586),"")</x:f>
      </x:c>
      <x:c r="I483" s="6" t="str">
        <x:f>IFERROR(XLOOKUP(C483,'Review Sequence'!C2:C1586,'Review Sequence'!P2:P1586),"")</x:f>
        <x:v>Yes</x:v>
      </x:c>
    </x:row>
    <x:row r="484">
      <x:c r="A484" s="6" t="str">
        <x:v>BLK-0483</x:v>
      </x:c>
      <x:c r="B484" s="6" t="str">
        <x:v>Manufacturer Scope</x:v>
      </x:c>
      <x:c r="C484" s="6" t="str">
        <x:v>MFRX-0154</x:v>
      </x:c>
      <x:c r="D484" s="6" t="str">
        <x:v>SVC000154</x:v>
      </x:c>
      <x:c r="E484" s="6" t="str"/>
      <x:c r="F484" s="6" t="str">
        <x:f>IFERROR(XLOOKUP(C484,'Review Sequence'!C2:C1586,'Review Sequence'!I2:I1586),"")</x:f>
        <x:v>Not Started</x:v>
      </x:c>
      <x:c r="G484" s="6" t="str">
        <x:f>IFERROR(XLOOKUP(C484,'Review Sequence'!C2:C1586,'Review Sequence'!J2:J1586),"")</x:f>
        <x:v>Not Started</x:v>
      </x:c>
      <x:c r="H484" s="7" t="str">
        <x:f>IFERROR(XLOOKUP(C484,'Review Sequence'!C2:C1586,'Review Sequence'!O2:O1586),"")</x:f>
      </x:c>
      <x:c r="I484" s="6" t="str">
        <x:f>IFERROR(XLOOKUP(C484,'Review Sequence'!C2:C1586,'Review Sequence'!P2:P1586),"")</x:f>
        <x:v>Yes</x:v>
      </x:c>
    </x:row>
    <x:row r="485">
      <x:c r="A485" s="6" t="str">
        <x:v>BLK-0484</x:v>
      </x:c>
      <x:c r="B485" s="6" t="str">
        <x:v>Manufacturer Scope</x:v>
      </x:c>
      <x:c r="C485" s="6" t="str">
        <x:v>MFRX-0155</x:v>
      </x:c>
      <x:c r="D485" s="6" t="str">
        <x:v>SVC000155</x:v>
      </x:c>
      <x:c r="E485" s="6" t="str"/>
      <x:c r="F485" s="6" t="str">
        <x:f>IFERROR(XLOOKUP(C485,'Review Sequence'!C2:C1586,'Review Sequence'!I2:I1586),"")</x:f>
        <x:v>Not Started</x:v>
      </x:c>
      <x:c r="G485" s="6" t="str">
        <x:f>IFERROR(XLOOKUP(C485,'Review Sequence'!C2:C1586,'Review Sequence'!J2:J1586),"")</x:f>
        <x:v>Not Started</x:v>
      </x:c>
      <x:c r="H485" s="7" t="str">
        <x:f>IFERROR(XLOOKUP(C485,'Review Sequence'!C2:C1586,'Review Sequence'!O2:O1586),"")</x:f>
      </x:c>
      <x:c r="I485" s="6" t="str">
        <x:f>IFERROR(XLOOKUP(C485,'Review Sequence'!C2:C1586,'Review Sequence'!P2:P1586),"")</x:f>
        <x:v>Yes</x:v>
      </x:c>
    </x:row>
    <x:row r="486">
      <x:c r="A486" s="6" t="str">
        <x:v>BLK-0485</x:v>
      </x:c>
      <x:c r="B486" s="6" t="str">
        <x:v>Manufacturer Scope</x:v>
      </x:c>
      <x:c r="C486" s="6" t="str">
        <x:v>MFRX-0156</x:v>
      </x:c>
      <x:c r="D486" s="6" t="str">
        <x:v>SVC000156</x:v>
      </x:c>
      <x:c r="E486" s="6" t="str"/>
      <x:c r="F486" s="6" t="str">
        <x:f>IFERROR(XLOOKUP(C486,'Review Sequence'!C2:C1586,'Review Sequence'!I2:I1586),"")</x:f>
        <x:v>Not Started</x:v>
      </x:c>
      <x:c r="G486" s="6" t="str">
        <x:f>IFERROR(XLOOKUP(C486,'Review Sequence'!C2:C1586,'Review Sequence'!J2:J1586),"")</x:f>
        <x:v>Not Started</x:v>
      </x:c>
      <x:c r="H486" s="7" t="str">
        <x:f>IFERROR(XLOOKUP(C486,'Review Sequence'!C2:C1586,'Review Sequence'!O2:O1586),"")</x:f>
      </x:c>
      <x:c r="I486" s="6" t="str">
        <x:f>IFERROR(XLOOKUP(C486,'Review Sequence'!C2:C1586,'Review Sequence'!P2:P1586),"")</x:f>
        <x:v>Yes</x:v>
      </x:c>
    </x:row>
    <x:row r="487">
      <x:c r="A487" s="6" t="str">
        <x:v>BLK-0486</x:v>
      </x:c>
      <x:c r="B487" s="6" t="str">
        <x:v>Manufacturer Scope</x:v>
      </x:c>
      <x:c r="C487" s="6" t="str">
        <x:v>MFRX-0157</x:v>
      </x:c>
      <x:c r="D487" s="6" t="str">
        <x:v>SVC000157</x:v>
      </x:c>
      <x:c r="E487" s="6" t="str"/>
      <x:c r="F487" s="6" t="str">
        <x:f>IFERROR(XLOOKUP(C487,'Review Sequence'!C2:C1586,'Review Sequence'!I2:I1586),"")</x:f>
        <x:v>Not Started</x:v>
      </x:c>
      <x:c r="G487" s="6" t="str">
        <x:f>IFERROR(XLOOKUP(C487,'Review Sequence'!C2:C1586,'Review Sequence'!J2:J1586),"")</x:f>
        <x:v>Not Started</x:v>
      </x:c>
      <x:c r="H487" s="7" t="str">
        <x:f>IFERROR(XLOOKUP(C487,'Review Sequence'!C2:C1586,'Review Sequence'!O2:O1586),"")</x:f>
      </x:c>
      <x:c r="I487" s="6" t="str">
        <x:f>IFERROR(XLOOKUP(C487,'Review Sequence'!C2:C1586,'Review Sequence'!P2:P1586),"")</x:f>
        <x:v>Yes</x:v>
      </x:c>
    </x:row>
    <x:row r="488">
      <x:c r="A488" s="6" t="str">
        <x:v>BLK-0487</x:v>
      </x:c>
      <x:c r="B488" s="6" t="str">
        <x:v>Manufacturer Scope</x:v>
      </x:c>
      <x:c r="C488" s="6" t="str">
        <x:v>MFRX-0158</x:v>
      </x:c>
      <x:c r="D488" s="6" t="str">
        <x:v>SVC000158</x:v>
      </x:c>
      <x:c r="E488" s="6" t="str"/>
      <x:c r="F488" s="6" t="str">
        <x:f>IFERROR(XLOOKUP(C488,'Review Sequence'!C2:C1586,'Review Sequence'!I2:I1586),"")</x:f>
        <x:v>Not Started</x:v>
      </x:c>
      <x:c r="G488" s="6" t="str">
        <x:f>IFERROR(XLOOKUP(C488,'Review Sequence'!C2:C1586,'Review Sequence'!J2:J1586),"")</x:f>
        <x:v>Not Started</x:v>
      </x:c>
      <x:c r="H488" s="7" t="str">
        <x:f>IFERROR(XLOOKUP(C488,'Review Sequence'!C2:C1586,'Review Sequence'!O2:O1586),"")</x:f>
      </x:c>
      <x:c r="I488" s="6" t="str">
        <x:f>IFERROR(XLOOKUP(C488,'Review Sequence'!C2:C1586,'Review Sequence'!P2:P1586),"")</x:f>
        <x:v>Yes</x:v>
      </x:c>
    </x:row>
    <x:row r="489">
      <x:c r="A489" s="6" t="str">
        <x:v>BLK-0488</x:v>
      </x:c>
      <x:c r="B489" s="6" t="str">
        <x:v>Manufacturer Scope</x:v>
      </x:c>
      <x:c r="C489" s="6" t="str">
        <x:v>MFRX-0159</x:v>
      </x:c>
      <x:c r="D489" s="6" t="str">
        <x:v>SVC000159</x:v>
      </x:c>
      <x:c r="E489" s="6" t="str"/>
      <x:c r="F489" s="6" t="str">
        <x:f>IFERROR(XLOOKUP(C489,'Review Sequence'!C2:C1586,'Review Sequence'!I2:I1586),"")</x:f>
        <x:v>Not Started</x:v>
      </x:c>
      <x:c r="G489" s="6" t="str">
        <x:f>IFERROR(XLOOKUP(C489,'Review Sequence'!C2:C1586,'Review Sequence'!J2:J1586),"")</x:f>
        <x:v>Not Started</x:v>
      </x:c>
      <x:c r="H489" s="7" t="str">
        <x:f>IFERROR(XLOOKUP(C489,'Review Sequence'!C2:C1586,'Review Sequence'!O2:O1586),"")</x:f>
      </x:c>
      <x:c r="I489" s="6" t="str">
        <x:f>IFERROR(XLOOKUP(C489,'Review Sequence'!C2:C1586,'Review Sequence'!P2:P1586),"")</x:f>
        <x:v>Yes</x:v>
      </x:c>
    </x:row>
    <x:row r="490">
      <x:c r="A490" s="6" t="str">
        <x:v>BLK-0489</x:v>
      </x:c>
      <x:c r="B490" s="6" t="str">
        <x:v>Manufacturer Scope</x:v>
      </x:c>
      <x:c r="C490" s="6" t="str">
        <x:v>MFRX-0160</x:v>
      </x:c>
      <x:c r="D490" s="6" t="str">
        <x:v>SVC000160</x:v>
      </x:c>
      <x:c r="E490" s="6" t="str"/>
      <x:c r="F490" s="6" t="str">
        <x:f>IFERROR(XLOOKUP(C490,'Review Sequence'!C2:C1586,'Review Sequence'!I2:I1586),"")</x:f>
        <x:v>Not Started</x:v>
      </x:c>
      <x:c r="G490" s="6" t="str">
        <x:f>IFERROR(XLOOKUP(C490,'Review Sequence'!C2:C1586,'Review Sequence'!J2:J1586),"")</x:f>
        <x:v>Not Started</x:v>
      </x:c>
      <x:c r="H490" s="7" t="str">
        <x:f>IFERROR(XLOOKUP(C490,'Review Sequence'!C2:C1586,'Review Sequence'!O2:O1586),"")</x:f>
      </x:c>
      <x:c r="I490" s="6" t="str">
        <x:f>IFERROR(XLOOKUP(C490,'Review Sequence'!C2:C1586,'Review Sequence'!P2:P1586),"")</x:f>
        <x:v>Yes</x:v>
      </x:c>
    </x:row>
    <x:row r="491">
      <x:c r="A491" s="6" t="str">
        <x:v>BLK-0490</x:v>
      </x:c>
      <x:c r="B491" s="6" t="str">
        <x:v>Manufacturer Scope</x:v>
      </x:c>
      <x:c r="C491" s="6" t="str">
        <x:v>MFRX-0161</x:v>
      </x:c>
      <x:c r="D491" s="6" t="str">
        <x:v>SVC000161</x:v>
      </x:c>
      <x:c r="E491" s="6" t="str"/>
      <x:c r="F491" s="6" t="str">
        <x:f>IFERROR(XLOOKUP(C491,'Review Sequence'!C2:C1586,'Review Sequence'!I2:I1586),"")</x:f>
        <x:v>Not Started</x:v>
      </x:c>
      <x:c r="G491" s="6" t="str">
        <x:f>IFERROR(XLOOKUP(C491,'Review Sequence'!C2:C1586,'Review Sequence'!J2:J1586),"")</x:f>
        <x:v>Not Started</x:v>
      </x:c>
      <x:c r="H491" s="7" t="str">
        <x:f>IFERROR(XLOOKUP(C491,'Review Sequence'!C2:C1586,'Review Sequence'!O2:O1586),"")</x:f>
      </x:c>
      <x:c r="I491" s="6" t="str">
        <x:f>IFERROR(XLOOKUP(C491,'Review Sequence'!C2:C1586,'Review Sequence'!P2:P1586),"")</x:f>
        <x:v>Yes</x:v>
      </x:c>
    </x:row>
    <x:row r="492">
      <x:c r="A492" s="6" t="str">
        <x:v>BLK-0491</x:v>
      </x:c>
      <x:c r="B492" s="6" t="str">
        <x:v>Manufacturer Scope</x:v>
      </x:c>
      <x:c r="C492" s="6" t="str">
        <x:v>MFRX-0162</x:v>
      </x:c>
      <x:c r="D492" s="6" t="str">
        <x:v>SVC000162</x:v>
      </x:c>
      <x:c r="E492" s="6" t="str"/>
      <x:c r="F492" s="6" t="str">
        <x:f>IFERROR(XLOOKUP(C492,'Review Sequence'!C2:C1586,'Review Sequence'!I2:I1586),"")</x:f>
        <x:v>Not Started</x:v>
      </x:c>
      <x:c r="G492" s="6" t="str">
        <x:f>IFERROR(XLOOKUP(C492,'Review Sequence'!C2:C1586,'Review Sequence'!J2:J1586),"")</x:f>
        <x:v>Not Started</x:v>
      </x:c>
      <x:c r="H492" s="7" t="str">
        <x:f>IFERROR(XLOOKUP(C492,'Review Sequence'!C2:C1586,'Review Sequence'!O2:O1586),"")</x:f>
      </x:c>
      <x:c r="I492" s="6" t="str">
        <x:f>IFERROR(XLOOKUP(C492,'Review Sequence'!C2:C1586,'Review Sequence'!P2:P1586),"")</x:f>
        <x:v>Yes</x:v>
      </x:c>
    </x:row>
    <x:row r="493">
      <x:c r="A493" s="6" t="str">
        <x:v>BLK-0492</x:v>
      </x:c>
      <x:c r="B493" s="6" t="str">
        <x:v>Manufacturer Scope</x:v>
      </x:c>
      <x:c r="C493" s="6" t="str">
        <x:v>MFRX-0163</x:v>
      </x:c>
      <x:c r="D493" s="6" t="str">
        <x:v>SVC000163</x:v>
      </x:c>
      <x:c r="E493" s="6" t="str"/>
      <x:c r="F493" s="6" t="str">
        <x:f>IFERROR(XLOOKUP(C493,'Review Sequence'!C2:C1586,'Review Sequence'!I2:I1586),"")</x:f>
        <x:v>Not Started</x:v>
      </x:c>
      <x:c r="G493" s="6" t="str">
        <x:f>IFERROR(XLOOKUP(C493,'Review Sequence'!C2:C1586,'Review Sequence'!J2:J1586),"")</x:f>
        <x:v>Not Started</x:v>
      </x:c>
      <x:c r="H493" s="7" t="str">
        <x:f>IFERROR(XLOOKUP(C493,'Review Sequence'!C2:C1586,'Review Sequence'!O2:O1586),"")</x:f>
      </x:c>
      <x:c r="I493" s="6" t="str">
        <x:f>IFERROR(XLOOKUP(C493,'Review Sequence'!C2:C1586,'Review Sequence'!P2:P1586),"")</x:f>
        <x:v>Yes</x:v>
      </x:c>
    </x:row>
    <x:row r="494">
      <x:c r="A494" s="6" t="str">
        <x:v>BLK-0493</x:v>
      </x:c>
      <x:c r="B494" s="6" t="str">
        <x:v>Manufacturer Scope</x:v>
      </x:c>
      <x:c r="C494" s="6" t="str">
        <x:v>MFRX-0164</x:v>
      </x:c>
      <x:c r="D494" s="6" t="str">
        <x:v>SVC000164</x:v>
      </x:c>
      <x:c r="E494" s="6" t="str"/>
      <x:c r="F494" s="6" t="str">
        <x:f>IFERROR(XLOOKUP(C494,'Review Sequence'!C2:C1586,'Review Sequence'!I2:I1586),"")</x:f>
        <x:v>Not Started</x:v>
      </x:c>
      <x:c r="G494" s="6" t="str">
        <x:f>IFERROR(XLOOKUP(C494,'Review Sequence'!C2:C1586,'Review Sequence'!J2:J1586),"")</x:f>
        <x:v>Not Started</x:v>
      </x:c>
      <x:c r="H494" s="7" t="str">
        <x:f>IFERROR(XLOOKUP(C494,'Review Sequence'!C2:C1586,'Review Sequence'!O2:O1586),"")</x:f>
      </x:c>
      <x:c r="I494" s="6" t="str">
        <x:f>IFERROR(XLOOKUP(C494,'Review Sequence'!C2:C1586,'Review Sequence'!P2:P1586),"")</x:f>
        <x:v>Yes</x:v>
      </x:c>
    </x:row>
    <x:row r="495">
      <x:c r="A495" s="6" t="str">
        <x:v>BLK-0494</x:v>
      </x:c>
      <x:c r="B495" s="6" t="str">
        <x:v>Manufacturer Scope</x:v>
      </x:c>
      <x:c r="C495" s="6" t="str">
        <x:v>MFRX-0165</x:v>
      </x:c>
      <x:c r="D495" s="6" t="str">
        <x:v>SVC000165</x:v>
      </x:c>
      <x:c r="E495" s="6" t="str"/>
      <x:c r="F495" s="6" t="str">
        <x:f>IFERROR(XLOOKUP(C495,'Review Sequence'!C2:C1586,'Review Sequence'!I2:I1586),"")</x:f>
        <x:v>Not Started</x:v>
      </x:c>
      <x:c r="G495" s="6" t="str">
        <x:f>IFERROR(XLOOKUP(C495,'Review Sequence'!C2:C1586,'Review Sequence'!J2:J1586),"")</x:f>
        <x:v>Not Started</x:v>
      </x:c>
      <x:c r="H495" s="7" t="str">
        <x:f>IFERROR(XLOOKUP(C495,'Review Sequence'!C2:C1586,'Review Sequence'!O2:O1586),"")</x:f>
      </x:c>
      <x:c r="I495" s="6" t="str">
        <x:f>IFERROR(XLOOKUP(C495,'Review Sequence'!C2:C1586,'Review Sequence'!P2:P1586),"")</x:f>
        <x:v>Yes</x:v>
      </x:c>
    </x:row>
    <x:row r="496">
      <x:c r="A496" s="6" t="str">
        <x:v>BLK-0495</x:v>
      </x:c>
      <x:c r="B496" s="6" t="str">
        <x:v>Manufacturer Scope</x:v>
      </x:c>
      <x:c r="C496" s="6" t="str">
        <x:v>MFRX-0166</x:v>
      </x:c>
      <x:c r="D496" s="6" t="str">
        <x:v>SVC000166</x:v>
      </x:c>
      <x:c r="E496" s="6" t="str"/>
      <x:c r="F496" s="6" t="str">
        <x:f>IFERROR(XLOOKUP(C496,'Review Sequence'!C2:C1586,'Review Sequence'!I2:I1586),"")</x:f>
        <x:v>Not Started</x:v>
      </x:c>
      <x:c r="G496" s="6" t="str">
        <x:f>IFERROR(XLOOKUP(C496,'Review Sequence'!C2:C1586,'Review Sequence'!J2:J1586),"")</x:f>
        <x:v>Not Started</x:v>
      </x:c>
      <x:c r="H496" s="7" t="str">
        <x:f>IFERROR(XLOOKUP(C496,'Review Sequence'!C2:C1586,'Review Sequence'!O2:O1586),"")</x:f>
      </x:c>
      <x:c r="I496" s="6" t="str">
        <x:f>IFERROR(XLOOKUP(C496,'Review Sequence'!C2:C1586,'Review Sequence'!P2:P1586),"")</x:f>
        <x:v>Yes</x:v>
      </x:c>
    </x:row>
    <x:row r="497">
      <x:c r="A497" s="6" t="str">
        <x:v>BLK-0496</x:v>
      </x:c>
      <x:c r="B497" s="6" t="str">
        <x:v>Manufacturer Scope</x:v>
      </x:c>
      <x:c r="C497" s="6" t="str">
        <x:v>MFRX-0167</x:v>
      </x:c>
      <x:c r="D497" s="6" t="str">
        <x:v>SVC000167</x:v>
      </x:c>
      <x:c r="E497" s="6" t="str"/>
      <x:c r="F497" s="6" t="str">
        <x:f>IFERROR(XLOOKUP(C497,'Review Sequence'!C2:C1586,'Review Sequence'!I2:I1586),"")</x:f>
        <x:v>Not Started</x:v>
      </x:c>
      <x:c r="G497" s="6" t="str">
        <x:f>IFERROR(XLOOKUP(C497,'Review Sequence'!C2:C1586,'Review Sequence'!J2:J1586),"")</x:f>
        <x:v>Not Started</x:v>
      </x:c>
      <x:c r="H497" s="7" t="str">
        <x:f>IFERROR(XLOOKUP(C497,'Review Sequence'!C2:C1586,'Review Sequence'!O2:O1586),"")</x:f>
      </x:c>
      <x:c r="I497" s="6" t="str">
        <x:f>IFERROR(XLOOKUP(C497,'Review Sequence'!C2:C1586,'Review Sequence'!P2:P1586),"")</x:f>
        <x:v>Yes</x:v>
      </x:c>
    </x:row>
    <x:row r="498">
      <x:c r="A498" s="6" t="str">
        <x:v>BLK-0497</x:v>
      </x:c>
      <x:c r="B498" s="6" t="str">
        <x:v>Manufacturer Scope</x:v>
      </x:c>
      <x:c r="C498" s="6" t="str">
        <x:v>MFRX-0168</x:v>
      </x:c>
      <x:c r="D498" s="6" t="str">
        <x:v>SVC000168</x:v>
      </x:c>
      <x:c r="E498" s="6" t="str"/>
      <x:c r="F498" s="6" t="str">
        <x:f>IFERROR(XLOOKUP(C498,'Review Sequence'!C2:C1586,'Review Sequence'!I2:I1586),"")</x:f>
        <x:v>Not Started</x:v>
      </x:c>
      <x:c r="G498" s="6" t="str">
        <x:f>IFERROR(XLOOKUP(C498,'Review Sequence'!C2:C1586,'Review Sequence'!J2:J1586),"")</x:f>
        <x:v>Not Started</x:v>
      </x:c>
      <x:c r="H498" s="7" t="str">
        <x:f>IFERROR(XLOOKUP(C498,'Review Sequence'!C2:C1586,'Review Sequence'!O2:O1586),"")</x:f>
      </x:c>
      <x:c r="I498" s="6" t="str">
        <x:f>IFERROR(XLOOKUP(C498,'Review Sequence'!C2:C1586,'Review Sequence'!P2:P1586),"")</x:f>
        <x:v>Yes</x:v>
      </x:c>
    </x:row>
    <x:row r="499">
      <x:c r="A499" s="6" t="str">
        <x:v>BLK-0498</x:v>
      </x:c>
      <x:c r="B499" s="6" t="str">
        <x:v>Manufacturer Scope</x:v>
      </x:c>
      <x:c r="C499" s="6" t="str">
        <x:v>MFRX-0169</x:v>
      </x:c>
      <x:c r="D499" s="6" t="str">
        <x:v>SVC000169</x:v>
      </x:c>
      <x:c r="E499" s="6" t="str"/>
      <x:c r="F499" s="6" t="str">
        <x:f>IFERROR(XLOOKUP(C499,'Review Sequence'!C2:C1586,'Review Sequence'!I2:I1586),"")</x:f>
        <x:v>Not Started</x:v>
      </x:c>
      <x:c r="G499" s="6" t="str">
        <x:f>IFERROR(XLOOKUP(C499,'Review Sequence'!C2:C1586,'Review Sequence'!J2:J1586),"")</x:f>
        <x:v>Not Started</x:v>
      </x:c>
      <x:c r="H499" s="7" t="str">
        <x:f>IFERROR(XLOOKUP(C499,'Review Sequence'!C2:C1586,'Review Sequence'!O2:O1586),"")</x:f>
      </x:c>
      <x:c r="I499" s="6" t="str">
        <x:f>IFERROR(XLOOKUP(C499,'Review Sequence'!C2:C1586,'Review Sequence'!P2:P1586),"")</x:f>
        <x:v>Yes</x:v>
      </x:c>
    </x:row>
    <x:row r="500">
      <x:c r="A500" s="6" t="str">
        <x:v>BLK-0499</x:v>
      </x:c>
      <x:c r="B500" s="6" t="str">
        <x:v>Manufacturer Scope</x:v>
      </x:c>
      <x:c r="C500" s="6" t="str">
        <x:v>MFRX-0170</x:v>
      </x:c>
      <x:c r="D500" s="6" t="str">
        <x:v>SVC000170</x:v>
      </x:c>
      <x:c r="E500" s="6" t="str"/>
      <x:c r="F500" s="6" t="str">
        <x:f>IFERROR(XLOOKUP(C500,'Review Sequence'!C2:C1586,'Review Sequence'!I2:I1586),"")</x:f>
        <x:v>Not Started</x:v>
      </x:c>
      <x:c r="G500" s="6" t="str">
        <x:f>IFERROR(XLOOKUP(C500,'Review Sequence'!C2:C1586,'Review Sequence'!J2:J1586),"")</x:f>
        <x:v>Not Started</x:v>
      </x:c>
      <x:c r="H500" s="7" t="str">
        <x:f>IFERROR(XLOOKUP(C500,'Review Sequence'!C2:C1586,'Review Sequence'!O2:O1586),"")</x:f>
      </x:c>
      <x:c r="I500" s="6" t="str">
        <x:f>IFERROR(XLOOKUP(C500,'Review Sequence'!C2:C1586,'Review Sequence'!P2:P1586),"")</x:f>
        <x:v>Yes</x:v>
      </x:c>
    </x:row>
    <x:row r="501">
      <x:c r="A501" s="6" t="str">
        <x:v>BLK-0500</x:v>
      </x:c>
      <x:c r="B501" s="6" t="str">
        <x:v>Manufacturer Scope</x:v>
      </x:c>
      <x:c r="C501" s="6" t="str">
        <x:v>MFRX-0171</x:v>
      </x:c>
      <x:c r="D501" s="6" t="str">
        <x:v>SVC000171</x:v>
      </x:c>
      <x:c r="E501" s="6" t="str"/>
      <x:c r="F501" s="6" t="str">
        <x:f>IFERROR(XLOOKUP(C501,'Review Sequence'!C2:C1586,'Review Sequence'!I2:I1586),"")</x:f>
        <x:v>Not Started</x:v>
      </x:c>
      <x:c r="G501" s="6" t="str">
        <x:f>IFERROR(XLOOKUP(C501,'Review Sequence'!C2:C1586,'Review Sequence'!J2:J1586),"")</x:f>
        <x:v>Not Started</x:v>
      </x:c>
      <x:c r="H501" s="7" t="str">
        <x:f>IFERROR(XLOOKUP(C501,'Review Sequence'!C2:C1586,'Review Sequence'!O2:O1586),"")</x:f>
      </x:c>
      <x:c r="I501" s="6" t="str">
        <x:f>IFERROR(XLOOKUP(C501,'Review Sequence'!C2:C1586,'Review Sequence'!P2:P1586),"")</x:f>
        <x:v>Yes</x:v>
      </x:c>
    </x:row>
    <x:row r="502">
      <x:c r="A502" s="6" t="str">
        <x:v>BLK-0501</x:v>
      </x:c>
      <x:c r="B502" s="6" t="str">
        <x:v>Manufacturer Scope</x:v>
      </x:c>
      <x:c r="C502" s="6" t="str">
        <x:v>MFRX-0172</x:v>
      </x:c>
      <x:c r="D502" s="6" t="str">
        <x:v>SVC000172</x:v>
      </x:c>
      <x:c r="E502" s="6" t="str"/>
      <x:c r="F502" s="6" t="str">
        <x:f>IFERROR(XLOOKUP(C502,'Review Sequence'!C2:C1586,'Review Sequence'!I2:I1586),"")</x:f>
        <x:v>Not Started</x:v>
      </x:c>
      <x:c r="G502" s="6" t="str">
        <x:f>IFERROR(XLOOKUP(C502,'Review Sequence'!C2:C1586,'Review Sequence'!J2:J1586),"")</x:f>
        <x:v>Not Started</x:v>
      </x:c>
      <x:c r="H502" s="7" t="str">
        <x:f>IFERROR(XLOOKUP(C502,'Review Sequence'!C2:C1586,'Review Sequence'!O2:O1586),"")</x:f>
      </x:c>
      <x:c r="I502" s="6" t="str">
        <x:f>IFERROR(XLOOKUP(C502,'Review Sequence'!C2:C1586,'Review Sequence'!P2:P1586),"")</x:f>
        <x:v>Yes</x:v>
      </x:c>
    </x:row>
    <x:row r="503">
      <x:c r="A503" s="6" t="str">
        <x:v>BLK-0502</x:v>
      </x:c>
      <x:c r="B503" s="6" t="str">
        <x:v>Manufacturer Scope</x:v>
      </x:c>
      <x:c r="C503" s="6" t="str">
        <x:v>MFRX-0173</x:v>
      </x:c>
      <x:c r="D503" s="6" t="str">
        <x:v>SVC000173</x:v>
      </x:c>
      <x:c r="E503" s="6" t="str"/>
      <x:c r="F503" s="6" t="str">
        <x:f>IFERROR(XLOOKUP(C503,'Review Sequence'!C2:C1586,'Review Sequence'!I2:I1586),"")</x:f>
        <x:v>Not Started</x:v>
      </x:c>
      <x:c r="G503" s="6" t="str">
        <x:f>IFERROR(XLOOKUP(C503,'Review Sequence'!C2:C1586,'Review Sequence'!J2:J1586),"")</x:f>
        <x:v>Not Started</x:v>
      </x:c>
      <x:c r="H503" s="7" t="str">
        <x:f>IFERROR(XLOOKUP(C503,'Review Sequence'!C2:C1586,'Review Sequence'!O2:O1586),"")</x:f>
      </x:c>
      <x:c r="I503" s="6" t="str">
        <x:f>IFERROR(XLOOKUP(C503,'Review Sequence'!C2:C1586,'Review Sequence'!P2:P1586),"")</x:f>
        <x:v>Yes</x:v>
      </x:c>
    </x:row>
    <x:row r="504">
      <x:c r="A504" s="6" t="str">
        <x:v>BLK-0503</x:v>
      </x:c>
      <x:c r="B504" s="6" t="str">
        <x:v>Manufacturer Scope</x:v>
      </x:c>
      <x:c r="C504" s="6" t="str">
        <x:v>MFRX-0174</x:v>
      </x:c>
      <x:c r="D504" s="6" t="str">
        <x:v>SVC000174</x:v>
      </x:c>
      <x:c r="E504" s="6" t="str"/>
      <x:c r="F504" s="6" t="str">
        <x:f>IFERROR(XLOOKUP(C504,'Review Sequence'!C2:C1586,'Review Sequence'!I2:I1586),"")</x:f>
        <x:v>Not Started</x:v>
      </x:c>
      <x:c r="G504" s="6" t="str">
        <x:f>IFERROR(XLOOKUP(C504,'Review Sequence'!C2:C1586,'Review Sequence'!J2:J1586),"")</x:f>
        <x:v>Not Started</x:v>
      </x:c>
      <x:c r="H504" s="7" t="str">
        <x:f>IFERROR(XLOOKUP(C504,'Review Sequence'!C2:C1586,'Review Sequence'!O2:O1586),"")</x:f>
      </x:c>
      <x:c r="I504" s="6" t="str">
        <x:f>IFERROR(XLOOKUP(C504,'Review Sequence'!C2:C1586,'Review Sequence'!P2:P1586),"")</x:f>
        <x:v>Yes</x:v>
      </x:c>
    </x:row>
    <x:row r="505">
      <x:c r="A505" s="6" t="str">
        <x:v>BLK-0504</x:v>
      </x:c>
      <x:c r="B505" s="6" t="str">
        <x:v>Manufacturer Scope</x:v>
      </x:c>
      <x:c r="C505" s="6" t="str">
        <x:v>MFRX-0175</x:v>
      </x:c>
      <x:c r="D505" s="6" t="str">
        <x:v>SVC000175</x:v>
      </x:c>
      <x:c r="E505" s="6" t="str"/>
      <x:c r="F505" s="6" t="str">
        <x:f>IFERROR(XLOOKUP(C505,'Review Sequence'!C2:C1586,'Review Sequence'!I2:I1586),"")</x:f>
        <x:v>Not Started</x:v>
      </x:c>
      <x:c r="G505" s="6" t="str">
        <x:f>IFERROR(XLOOKUP(C505,'Review Sequence'!C2:C1586,'Review Sequence'!J2:J1586),"")</x:f>
        <x:v>Not Started</x:v>
      </x:c>
      <x:c r="H505" s="7" t="str">
        <x:f>IFERROR(XLOOKUP(C505,'Review Sequence'!C2:C1586,'Review Sequence'!O2:O1586),"")</x:f>
      </x:c>
      <x:c r="I505" s="6" t="str">
        <x:f>IFERROR(XLOOKUP(C505,'Review Sequence'!C2:C1586,'Review Sequence'!P2:P1586),"")</x:f>
        <x:v>Yes</x:v>
      </x:c>
    </x:row>
    <x:row r="506">
      <x:c r="A506" s="6" t="str">
        <x:v>BLK-0505</x:v>
      </x:c>
      <x:c r="B506" s="6" t="str">
        <x:v>Manufacturer Scope</x:v>
      </x:c>
      <x:c r="C506" s="6" t="str">
        <x:v>MFRX-0176</x:v>
      </x:c>
      <x:c r="D506" s="6" t="str">
        <x:v>SVC000176</x:v>
      </x:c>
      <x:c r="E506" s="6" t="str"/>
      <x:c r="F506" s="6" t="str">
        <x:f>IFERROR(XLOOKUP(C506,'Review Sequence'!C2:C1586,'Review Sequence'!I2:I1586),"")</x:f>
        <x:v>Not Started</x:v>
      </x:c>
      <x:c r="G506" s="6" t="str">
        <x:f>IFERROR(XLOOKUP(C506,'Review Sequence'!C2:C1586,'Review Sequence'!J2:J1586),"")</x:f>
        <x:v>Not Started</x:v>
      </x:c>
      <x:c r="H506" s="7" t="str">
        <x:f>IFERROR(XLOOKUP(C506,'Review Sequence'!C2:C1586,'Review Sequence'!O2:O1586),"")</x:f>
      </x:c>
      <x:c r="I506" s="6" t="str">
        <x:f>IFERROR(XLOOKUP(C506,'Review Sequence'!C2:C1586,'Review Sequence'!P2:P1586),"")</x:f>
        <x:v>Yes</x:v>
      </x:c>
    </x:row>
    <x:row r="507">
      <x:c r="A507" s="6" t="str">
        <x:v>BLK-0506</x:v>
      </x:c>
      <x:c r="B507" s="6" t="str">
        <x:v>Manufacturer Scope</x:v>
      </x:c>
      <x:c r="C507" s="6" t="str">
        <x:v>MFRX-0177</x:v>
      </x:c>
      <x:c r="D507" s="6" t="str">
        <x:v>SVC000177</x:v>
      </x:c>
      <x:c r="E507" s="6" t="str"/>
      <x:c r="F507" s="6" t="str">
        <x:f>IFERROR(XLOOKUP(C507,'Review Sequence'!C2:C1586,'Review Sequence'!I2:I1586),"")</x:f>
        <x:v>Not Started</x:v>
      </x:c>
      <x:c r="G507" s="6" t="str">
        <x:f>IFERROR(XLOOKUP(C507,'Review Sequence'!C2:C1586,'Review Sequence'!J2:J1586),"")</x:f>
        <x:v>Not Started</x:v>
      </x:c>
      <x:c r="H507" s="7" t="str">
        <x:f>IFERROR(XLOOKUP(C507,'Review Sequence'!C2:C1586,'Review Sequence'!O2:O1586),"")</x:f>
      </x:c>
      <x:c r="I507" s="6" t="str">
        <x:f>IFERROR(XLOOKUP(C507,'Review Sequence'!C2:C1586,'Review Sequence'!P2:P1586),"")</x:f>
        <x:v>Yes</x:v>
      </x:c>
    </x:row>
    <x:row r="508">
      <x:c r="A508" s="6" t="str">
        <x:v>BLK-0507</x:v>
      </x:c>
      <x:c r="B508" s="6" t="str">
        <x:v>Manufacturer Scope</x:v>
      </x:c>
      <x:c r="C508" s="6" t="str">
        <x:v>MFRX-0178</x:v>
      </x:c>
      <x:c r="D508" s="6" t="str">
        <x:v>SVC000178</x:v>
      </x:c>
      <x:c r="E508" s="6" t="str"/>
      <x:c r="F508" s="6" t="str">
        <x:f>IFERROR(XLOOKUP(C508,'Review Sequence'!C2:C1586,'Review Sequence'!I2:I1586),"")</x:f>
        <x:v>Not Started</x:v>
      </x:c>
      <x:c r="G508" s="6" t="str">
        <x:f>IFERROR(XLOOKUP(C508,'Review Sequence'!C2:C1586,'Review Sequence'!J2:J1586),"")</x:f>
        <x:v>Not Started</x:v>
      </x:c>
      <x:c r="H508" s="7" t="str">
        <x:f>IFERROR(XLOOKUP(C508,'Review Sequence'!C2:C1586,'Review Sequence'!O2:O1586),"")</x:f>
      </x:c>
      <x:c r="I508" s="6" t="str">
        <x:f>IFERROR(XLOOKUP(C508,'Review Sequence'!C2:C1586,'Review Sequence'!P2:P1586),"")</x:f>
        <x:v>Yes</x:v>
      </x:c>
    </x:row>
    <x:row r="509">
      <x:c r="A509" s="6" t="str">
        <x:v>BLK-0508</x:v>
      </x:c>
      <x:c r="B509" s="6" t="str">
        <x:v>Manufacturer Scope</x:v>
      </x:c>
      <x:c r="C509" s="6" t="str">
        <x:v>MFRX-0179</x:v>
      </x:c>
      <x:c r="D509" s="6" t="str">
        <x:v>SVC000179</x:v>
      </x:c>
      <x:c r="E509" s="6" t="str"/>
      <x:c r="F509" s="6" t="str">
        <x:f>IFERROR(XLOOKUP(C509,'Review Sequence'!C2:C1586,'Review Sequence'!I2:I1586),"")</x:f>
        <x:v>Not Started</x:v>
      </x:c>
      <x:c r="G509" s="6" t="str">
        <x:f>IFERROR(XLOOKUP(C509,'Review Sequence'!C2:C1586,'Review Sequence'!J2:J1586),"")</x:f>
        <x:v>Not Started</x:v>
      </x:c>
      <x:c r="H509" s="7" t="str">
        <x:f>IFERROR(XLOOKUP(C509,'Review Sequence'!C2:C1586,'Review Sequence'!O2:O1586),"")</x:f>
      </x:c>
      <x:c r="I509" s="6" t="str">
        <x:f>IFERROR(XLOOKUP(C509,'Review Sequence'!C2:C1586,'Review Sequence'!P2:P1586),"")</x:f>
        <x:v>Yes</x:v>
      </x:c>
    </x:row>
    <x:row r="510">
      <x:c r="A510" s="6" t="str">
        <x:v>BLK-0509</x:v>
      </x:c>
      <x:c r="B510" s="6" t="str">
        <x:v>Manufacturer Scope</x:v>
      </x:c>
      <x:c r="C510" s="6" t="str">
        <x:v>MFRX-0180</x:v>
      </x:c>
      <x:c r="D510" s="6" t="str">
        <x:v>SVC000180</x:v>
      </x:c>
      <x:c r="E510" s="6" t="str"/>
      <x:c r="F510" s="6" t="str">
        <x:f>IFERROR(XLOOKUP(C510,'Review Sequence'!C2:C1586,'Review Sequence'!I2:I1586),"")</x:f>
        <x:v>Not Started</x:v>
      </x:c>
      <x:c r="G510" s="6" t="str">
        <x:f>IFERROR(XLOOKUP(C510,'Review Sequence'!C2:C1586,'Review Sequence'!J2:J1586),"")</x:f>
        <x:v>Not Started</x:v>
      </x:c>
      <x:c r="H510" s="7" t="str">
        <x:f>IFERROR(XLOOKUP(C510,'Review Sequence'!C2:C1586,'Review Sequence'!O2:O1586),"")</x:f>
      </x:c>
      <x:c r="I510" s="6" t="str">
        <x:f>IFERROR(XLOOKUP(C510,'Review Sequence'!C2:C1586,'Review Sequence'!P2:P1586),"")</x:f>
        <x:v>Yes</x:v>
      </x:c>
    </x:row>
    <x:row r="511">
      <x:c r="A511" s="6" t="str">
        <x:v>BLK-0510</x:v>
      </x:c>
      <x:c r="B511" s="6" t="str">
        <x:v>Manufacturer Scope</x:v>
      </x:c>
      <x:c r="C511" s="6" t="str">
        <x:v>MFRX-0181</x:v>
      </x:c>
      <x:c r="D511" s="6" t="str">
        <x:v>SVC000181</x:v>
      </x:c>
      <x:c r="E511" s="6" t="str"/>
      <x:c r="F511" s="6" t="str">
        <x:f>IFERROR(XLOOKUP(C511,'Review Sequence'!C2:C1586,'Review Sequence'!I2:I1586),"")</x:f>
        <x:v>Not Started</x:v>
      </x:c>
      <x:c r="G511" s="6" t="str">
        <x:f>IFERROR(XLOOKUP(C511,'Review Sequence'!C2:C1586,'Review Sequence'!J2:J1586),"")</x:f>
        <x:v>Not Started</x:v>
      </x:c>
      <x:c r="H511" s="7" t="str">
        <x:f>IFERROR(XLOOKUP(C511,'Review Sequence'!C2:C1586,'Review Sequence'!O2:O1586),"")</x:f>
      </x:c>
      <x:c r="I511" s="6" t="str">
        <x:f>IFERROR(XLOOKUP(C511,'Review Sequence'!C2:C1586,'Review Sequence'!P2:P1586),"")</x:f>
        <x:v>Yes</x:v>
      </x:c>
    </x:row>
    <x:row r="512">
      <x:c r="A512" s="6" t="str">
        <x:v>BLK-0511</x:v>
      </x:c>
      <x:c r="B512" s="6" t="str">
        <x:v>Manufacturer Scope</x:v>
      </x:c>
      <x:c r="C512" s="6" t="str">
        <x:v>MFRX-0182</x:v>
      </x:c>
      <x:c r="D512" s="6" t="str">
        <x:v>SVC000182</x:v>
      </x:c>
      <x:c r="E512" s="6" t="str"/>
      <x:c r="F512" s="6" t="str">
        <x:f>IFERROR(XLOOKUP(C512,'Review Sequence'!C2:C1586,'Review Sequence'!I2:I1586),"")</x:f>
        <x:v>Not Started</x:v>
      </x:c>
      <x:c r="G512" s="6" t="str">
        <x:f>IFERROR(XLOOKUP(C512,'Review Sequence'!C2:C1586,'Review Sequence'!J2:J1586),"")</x:f>
        <x:v>Not Started</x:v>
      </x:c>
      <x:c r="H512" s="7" t="str">
        <x:f>IFERROR(XLOOKUP(C512,'Review Sequence'!C2:C1586,'Review Sequence'!O2:O1586),"")</x:f>
      </x:c>
      <x:c r="I512" s="6" t="str">
        <x:f>IFERROR(XLOOKUP(C512,'Review Sequence'!C2:C1586,'Review Sequence'!P2:P1586),"")</x:f>
        <x:v>Yes</x:v>
      </x:c>
    </x:row>
    <x:row r="513">
      <x:c r="A513" s="6" t="str">
        <x:v>BLK-0512</x:v>
      </x:c>
      <x:c r="B513" s="6" t="str">
        <x:v>Manufacturer Scope</x:v>
      </x:c>
      <x:c r="C513" s="6" t="str">
        <x:v>MFRX-0183</x:v>
      </x:c>
      <x:c r="D513" s="6" t="str">
        <x:v>SVC000183</x:v>
      </x:c>
      <x:c r="E513" s="6" t="str"/>
      <x:c r="F513" s="6" t="str">
        <x:f>IFERROR(XLOOKUP(C513,'Review Sequence'!C2:C1586,'Review Sequence'!I2:I1586),"")</x:f>
        <x:v>Not Started</x:v>
      </x:c>
      <x:c r="G513" s="6" t="str">
        <x:f>IFERROR(XLOOKUP(C513,'Review Sequence'!C2:C1586,'Review Sequence'!J2:J1586),"")</x:f>
        <x:v>Not Started</x:v>
      </x:c>
      <x:c r="H513" s="7" t="str">
        <x:f>IFERROR(XLOOKUP(C513,'Review Sequence'!C2:C1586,'Review Sequence'!O2:O1586),"")</x:f>
      </x:c>
      <x:c r="I513" s="6" t="str">
        <x:f>IFERROR(XLOOKUP(C513,'Review Sequence'!C2:C1586,'Review Sequence'!P2:P1586),"")</x:f>
        <x:v>Yes</x:v>
      </x:c>
    </x:row>
    <x:row r="514">
      <x:c r="A514" s="6" t="str">
        <x:v>BLK-0513</x:v>
      </x:c>
      <x:c r="B514" s="6" t="str">
        <x:v>Manufacturer Scope</x:v>
      </x:c>
      <x:c r="C514" s="6" t="str">
        <x:v>MFRX-0184</x:v>
      </x:c>
      <x:c r="D514" s="6" t="str">
        <x:v>SVC000184</x:v>
      </x:c>
      <x:c r="E514" s="6" t="str"/>
      <x:c r="F514" s="6" t="str">
        <x:f>IFERROR(XLOOKUP(C514,'Review Sequence'!C2:C1586,'Review Sequence'!I2:I1586),"")</x:f>
        <x:v>Not Started</x:v>
      </x:c>
      <x:c r="G514" s="6" t="str">
        <x:f>IFERROR(XLOOKUP(C514,'Review Sequence'!C2:C1586,'Review Sequence'!J2:J1586),"")</x:f>
        <x:v>Not Started</x:v>
      </x:c>
      <x:c r="H514" s="7" t="str">
        <x:f>IFERROR(XLOOKUP(C514,'Review Sequence'!C2:C1586,'Review Sequence'!O2:O1586),"")</x:f>
      </x:c>
      <x:c r="I514" s="6" t="str">
        <x:f>IFERROR(XLOOKUP(C514,'Review Sequence'!C2:C1586,'Review Sequence'!P2:P1586),"")</x:f>
        <x:v>Yes</x:v>
      </x:c>
    </x:row>
    <x:row r="515">
      <x:c r="A515" s="6" t="str">
        <x:v>BLK-0514</x:v>
      </x:c>
      <x:c r="B515" s="6" t="str">
        <x:v>Manufacturer Scope</x:v>
      </x:c>
      <x:c r="C515" s="6" t="str">
        <x:v>MFRX-0185</x:v>
      </x:c>
      <x:c r="D515" s="6" t="str">
        <x:v>SVC000185</x:v>
      </x:c>
      <x:c r="E515" s="6" t="str"/>
      <x:c r="F515" s="6" t="str">
        <x:f>IFERROR(XLOOKUP(C515,'Review Sequence'!C2:C1586,'Review Sequence'!I2:I1586),"")</x:f>
        <x:v>Not Started</x:v>
      </x:c>
      <x:c r="G515" s="6" t="str">
        <x:f>IFERROR(XLOOKUP(C515,'Review Sequence'!C2:C1586,'Review Sequence'!J2:J1586),"")</x:f>
        <x:v>Not Started</x:v>
      </x:c>
      <x:c r="H515" s="7" t="str">
        <x:f>IFERROR(XLOOKUP(C515,'Review Sequence'!C2:C1586,'Review Sequence'!O2:O1586),"")</x:f>
      </x:c>
      <x:c r="I515" s="6" t="str">
        <x:f>IFERROR(XLOOKUP(C515,'Review Sequence'!C2:C1586,'Review Sequence'!P2:P1586),"")</x:f>
        <x:v>Yes</x:v>
      </x:c>
    </x:row>
    <x:row r="516">
      <x:c r="A516" s="6" t="str">
        <x:v>BLK-0515</x:v>
      </x:c>
      <x:c r="B516" s="6" t="str">
        <x:v>Manufacturer Scope</x:v>
      </x:c>
      <x:c r="C516" s="6" t="str">
        <x:v>MFRX-0186</x:v>
      </x:c>
      <x:c r="D516" s="6" t="str">
        <x:v>SVC000186</x:v>
      </x:c>
      <x:c r="E516" s="6" t="str"/>
      <x:c r="F516" s="6" t="str">
        <x:f>IFERROR(XLOOKUP(C516,'Review Sequence'!C2:C1586,'Review Sequence'!I2:I1586),"")</x:f>
        <x:v>Not Started</x:v>
      </x:c>
      <x:c r="G516" s="6" t="str">
        <x:f>IFERROR(XLOOKUP(C516,'Review Sequence'!C2:C1586,'Review Sequence'!J2:J1586),"")</x:f>
        <x:v>Not Started</x:v>
      </x:c>
      <x:c r="H516" s="7" t="str">
        <x:f>IFERROR(XLOOKUP(C516,'Review Sequence'!C2:C1586,'Review Sequence'!O2:O1586),"")</x:f>
      </x:c>
      <x:c r="I516" s="6" t="str">
        <x:f>IFERROR(XLOOKUP(C516,'Review Sequence'!C2:C1586,'Review Sequence'!P2:P1586),"")</x:f>
        <x:v>Yes</x:v>
      </x:c>
    </x:row>
    <x:row r="517">
      <x:c r="A517" s="6" t="str">
        <x:v>BLK-0516</x:v>
      </x:c>
      <x:c r="B517" s="6" t="str">
        <x:v>Manufacturer Scope</x:v>
      </x:c>
      <x:c r="C517" s="6" t="str">
        <x:v>MFRX-0187</x:v>
      </x:c>
      <x:c r="D517" s="6" t="str">
        <x:v>SVC000187</x:v>
      </x:c>
      <x:c r="E517" s="6" t="str"/>
      <x:c r="F517" s="6" t="str">
        <x:f>IFERROR(XLOOKUP(C517,'Review Sequence'!C2:C1586,'Review Sequence'!I2:I1586),"")</x:f>
        <x:v>Not Started</x:v>
      </x:c>
      <x:c r="G517" s="6" t="str">
        <x:f>IFERROR(XLOOKUP(C517,'Review Sequence'!C2:C1586,'Review Sequence'!J2:J1586),"")</x:f>
        <x:v>Not Started</x:v>
      </x:c>
      <x:c r="H517" s="7" t="str">
        <x:f>IFERROR(XLOOKUP(C517,'Review Sequence'!C2:C1586,'Review Sequence'!O2:O1586),"")</x:f>
      </x:c>
      <x:c r="I517" s="6" t="str">
        <x:f>IFERROR(XLOOKUP(C517,'Review Sequence'!C2:C1586,'Review Sequence'!P2:P1586),"")</x:f>
        <x:v>Yes</x:v>
      </x:c>
    </x:row>
    <x:row r="518">
      <x:c r="A518" s="6" t="str">
        <x:v>BLK-0517</x:v>
      </x:c>
      <x:c r="B518" s="6" t="str">
        <x:v>Manufacturer Scope</x:v>
      </x:c>
      <x:c r="C518" s="6" t="str">
        <x:v>MFRX-0188</x:v>
      </x:c>
      <x:c r="D518" s="6" t="str">
        <x:v>SVC000188</x:v>
      </x:c>
      <x:c r="E518" s="6" t="str"/>
      <x:c r="F518" s="6" t="str">
        <x:f>IFERROR(XLOOKUP(C518,'Review Sequence'!C2:C1586,'Review Sequence'!I2:I1586),"")</x:f>
        <x:v>Not Started</x:v>
      </x:c>
      <x:c r="G518" s="6" t="str">
        <x:f>IFERROR(XLOOKUP(C518,'Review Sequence'!C2:C1586,'Review Sequence'!J2:J1586),"")</x:f>
        <x:v>Not Started</x:v>
      </x:c>
      <x:c r="H518" s="7" t="str">
        <x:f>IFERROR(XLOOKUP(C518,'Review Sequence'!C2:C1586,'Review Sequence'!O2:O1586),"")</x:f>
      </x:c>
      <x:c r="I518" s="6" t="str">
        <x:f>IFERROR(XLOOKUP(C518,'Review Sequence'!C2:C1586,'Review Sequence'!P2:P1586),"")</x:f>
        <x:v>Yes</x:v>
      </x:c>
    </x:row>
    <x:row r="519">
      <x:c r="A519" s="6" t="str">
        <x:v>BLK-0518</x:v>
      </x:c>
      <x:c r="B519" s="6" t="str">
        <x:v>Manufacturer Scope</x:v>
      </x:c>
      <x:c r="C519" s="6" t="str">
        <x:v>MFRX-0189</x:v>
      </x:c>
      <x:c r="D519" s="6" t="str">
        <x:v>SVC000189</x:v>
      </x:c>
      <x:c r="E519" s="6" t="str"/>
      <x:c r="F519" s="6" t="str">
        <x:f>IFERROR(XLOOKUP(C519,'Review Sequence'!C2:C1586,'Review Sequence'!I2:I1586),"")</x:f>
        <x:v>Not Started</x:v>
      </x:c>
      <x:c r="G519" s="6" t="str">
        <x:f>IFERROR(XLOOKUP(C519,'Review Sequence'!C2:C1586,'Review Sequence'!J2:J1586),"")</x:f>
        <x:v>Not Started</x:v>
      </x:c>
      <x:c r="H519" s="7" t="str">
        <x:f>IFERROR(XLOOKUP(C519,'Review Sequence'!C2:C1586,'Review Sequence'!O2:O1586),"")</x:f>
      </x:c>
      <x:c r="I519" s="6" t="str">
        <x:f>IFERROR(XLOOKUP(C519,'Review Sequence'!C2:C1586,'Review Sequence'!P2:P1586),"")</x:f>
        <x:v>Yes</x:v>
      </x:c>
    </x:row>
    <x:row r="520">
      <x:c r="A520" s="6" t="str">
        <x:v>BLK-0519</x:v>
      </x:c>
      <x:c r="B520" s="6" t="str">
        <x:v>Manufacturer Scope</x:v>
      </x:c>
      <x:c r="C520" s="6" t="str">
        <x:v>MFRX-0190</x:v>
      </x:c>
      <x:c r="D520" s="6" t="str">
        <x:v>SVC000190</x:v>
      </x:c>
      <x:c r="E520" s="6" t="str"/>
      <x:c r="F520" s="6" t="str">
        <x:f>IFERROR(XLOOKUP(C520,'Review Sequence'!C2:C1586,'Review Sequence'!I2:I1586),"")</x:f>
        <x:v>Not Started</x:v>
      </x:c>
      <x:c r="G520" s="6" t="str">
        <x:f>IFERROR(XLOOKUP(C520,'Review Sequence'!C2:C1586,'Review Sequence'!J2:J1586),"")</x:f>
        <x:v>Not Started</x:v>
      </x:c>
      <x:c r="H520" s="7" t="str">
        <x:f>IFERROR(XLOOKUP(C520,'Review Sequence'!C2:C1586,'Review Sequence'!O2:O1586),"")</x:f>
      </x:c>
      <x:c r="I520" s="6" t="str">
        <x:f>IFERROR(XLOOKUP(C520,'Review Sequence'!C2:C1586,'Review Sequence'!P2:P1586),"")</x:f>
        <x:v>Yes</x:v>
      </x:c>
    </x:row>
    <x:row r="521">
      <x:c r="A521" s="6" t="str">
        <x:v>BLK-0520</x:v>
      </x:c>
      <x:c r="B521" s="6" t="str">
        <x:v>Manufacturer Scope</x:v>
      </x:c>
      <x:c r="C521" s="6" t="str">
        <x:v>MFRX-0191</x:v>
      </x:c>
      <x:c r="D521" s="6" t="str">
        <x:v>SVC000191</x:v>
      </x:c>
      <x:c r="E521" s="6" t="str"/>
      <x:c r="F521" s="6" t="str">
        <x:f>IFERROR(XLOOKUP(C521,'Review Sequence'!C2:C1586,'Review Sequence'!I2:I1586),"")</x:f>
        <x:v>Not Started</x:v>
      </x:c>
      <x:c r="G521" s="6" t="str">
        <x:f>IFERROR(XLOOKUP(C521,'Review Sequence'!C2:C1586,'Review Sequence'!J2:J1586),"")</x:f>
        <x:v>Not Started</x:v>
      </x:c>
      <x:c r="H521" s="7" t="str">
        <x:f>IFERROR(XLOOKUP(C521,'Review Sequence'!C2:C1586,'Review Sequence'!O2:O1586),"")</x:f>
      </x:c>
      <x:c r="I521" s="6" t="str">
        <x:f>IFERROR(XLOOKUP(C521,'Review Sequence'!C2:C1586,'Review Sequence'!P2:P1586),"")</x:f>
        <x:v>Yes</x:v>
      </x:c>
    </x:row>
    <x:row r="522">
      <x:c r="A522" s="6" t="str">
        <x:v>BLK-0521</x:v>
      </x:c>
      <x:c r="B522" s="6" t="str">
        <x:v>Manufacturer Scope</x:v>
      </x:c>
      <x:c r="C522" s="6" t="str">
        <x:v>MFRX-0192</x:v>
      </x:c>
      <x:c r="D522" s="6" t="str">
        <x:v>SVC000192</x:v>
      </x:c>
      <x:c r="E522" s="6" t="str"/>
      <x:c r="F522" s="6" t="str">
        <x:f>IFERROR(XLOOKUP(C522,'Review Sequence'!C2:C1586,'Review Sequence'!I2:I1586),"")</x:f>
        <x:v>Not Started</x:v>
      </x:c>
      <x:c r="G522" s="6" t="str">
        <x:f>IFERROR(XLOOKUP(C522,'Review Sequence'!C2:C1586,'Review Sequence'!J2:J1586),"")</x:f>
        <x:v>Not Started</x:v>
      </x:c>
      <x:c r="H522" s="7" t="str">
        <x:f>IFERROR(XLOOKUP(C522,'Review Sequence'!C2:C1586,'Review Sequence'!O2:O1586),"")</x:f>
      </x:c>
      <x:c r="I522" s="6" t="str">
        <x:f>IFERROR(XLOOKUP(C522,'Review Sequence'!C2:C1586,'Review Sequence'!P2:P1586),"")</x:f>
        <x:v>Yes</x:v>
      </x:c>
    </x:row>
    <x:row r="523">
      <x:c r="A523" s="6" t="str">
        <x:v>BLK-0522</x:v>
      </x:c>
      <x:c r="B523" s="6" t="str">
        <x:v>Manufacturer Scope</x:v>
      </x:c>
      <x:c r="C523" s="6" t="str">
        <x:v>MFRX-0193</x:v>
      </x:c>
      <x:c r="D523" s="6" t="str">
        <x:v>SVC000193</x:v>
      </x:c>
      <x:c r="E523" s="6" t="str"/>
      <x:c r="F523" s="6" t="str">
        <x:f>IFERROR(XLOOKUP(C523,'Review Sequence'!C2:C1586,'Review Sequence'!I2:I1586),"")</x:f>
        <x:v>Not Started</x:v>
      </x:c>
      <x:c r="G523" s="6" t="str">
        <x:f>IFERROR(XLOOKUP(C523,'Review Sequence'!C2:C1586,'Review Sequence'!J2:J1586),"")</x:f>
        <x:v>Not Started</x:v>
      </x:c>
      <x:c r="H523" s="7" t="str">
        <x:f>IFERROR(XLOOKUP(C523,'Review Sequence'!C2:C1586,'Review Sequence'!O2:O1586),"")</x:f>
      </x:c>
      <x:c r="I523" s="6" t="str">
        <x:f>IFERROR(XLOOKUP(C523,'Review Sequence'!C2:C1586,'Review Sequence'!P2:P1586),"")</x:f>
        <x:v>Yes</x:v>
      </x:c>
    </x:row>
    <x:row r="524">
      <x:c r="A524" s="6" t="str">
        <x:v>BLK-0523</x:v>
      </x:c>
      <x:c r="B524" s="6" t="str">
        <x:v>Manufacturer Scope</x:v>
      </x:c>
      <x:c r="C524" s="6" t="str">
        <x:v>MFRX-0194</x:v>
      </x:c>
      <x:c r="D524" s="6" t="str">
        <x:v>SVC000194</x:v>
      </x:c>
      <x:c r="E524" s="6" t="str"/>
      <x:c r="F524" s="6" t="str">
        <x:f>IFERROR(XLOOKUP(C524,'Review Sequence'!C2:C1586,'Review Sequence'!I2:I1586),"")</x:f>
        <x:v>Not Started</x:v>
      </x:c>
      <x:c r="G524" s="6" t="str">
        <x:f>IFERROR(XLOOKUP(C524,'Review Sequence'!C2:C1586,'Review Sequence'!J2:J1586),"")</x:f>
        <x:v>Not Started</x:v>
      </x:c>
      <x:c r="H524" s="7" t="str">
        <x:f>IFERROR(XLOOKUP(C524,'Review Sequence'!C2:C1586,'Review Sequence'!O2:O1586),"")</x:f>
      </x:c>
      <x:c r="I524" s="6" t="str">
        <x:f>IFERROR(XLOOKUP(C524,'Review Sequence'!C2:C1586,'Review Sequence'!P2:P1586),"")</x:f>
        <x:v>Yes</x:v>
      </x:c>
    </x:row>
    <x:row r="525">
      <x:c r="A525" s="6" t="str">
        <x:v>BLK-0524</x:v>
      </x:c>
      <x:c r="B525" s="6" t="str">
        <x:v>Manufacturer Scope</x:v>
      </x:c>
      <x:c r="C525" s="6" t="str">
        <x:v>MFRX-0195</x:v>
      </x:c>
      <x:c r="D525" s="6" t="str">
        <x:v>SVC000195</x:v>
      </x:c>
      <x:c r="E525" s="6" t="str"/>
      <x:c r="F525" s="6" t="str">
        <x:f>IFERROR(XLOOKUP(C525,'Review Sequence'!C2:C1586,'Review Sequence'!I2:I1586),"")</x:f>
        <x:v>Not Started</x:v>
      </x:c>
      <x:c r="G525" s="6" t="str">
        <x:f>IFERROR(XLOOKUP(C525,'Review Sequence'!C2:C1586,'Review Sequence'!J2:J1586),"")</x:f>
        <x:v>Not Started</x:v>
      </x:c>
      <x:c r="H525" s="7" t="str">
        <x:f>IFERROR(XLOOKUP(C525,'Review Sequence'!C2:C1586,'Review Sequence'!O2:O1586),"")</x:f>
      </x:c>
      <x:c r="I525" s="6" t="str">
        <x:f>IFERROR(XLOOKUP(C525,'Review Sequence'!C2:C1586,'Review Sequence'!P2:P1586),"")</x:f>
        <x:v>Yes</x:v>
      </x:c>
    </x:row>
    <x:row r="526">
      <x:c r="A526" s="6" t="str">
        <x:v>BLK-0525</x:v>
      </x:c>
      <x:c r="B526" s="6" t="str">
        <x:v>Manufacturer Scope</x:v>
      </x:c>
      <x:c r="C526" s="6" t="str">
        <x:v>MFRX-0196</x:v>
      </x:c>
      <x:c r="D526" s="6" t="str">
        <x:v>SVC000196</x:v>
      </x:c>
      <x:c r="E526" s="6" t="str"/>
      <x:c r="F526" s="6" t="str">
        <x:f>IFERROR(XLOOKUP(C526,'Review Sequence'!C2:C1586,'Review Sequence'!I2:I1586),"")</x:f>
        <x:v>Not Started</x:v>
      </x:c>
      <x:c r="G526" s="6" t="str">
        <x:f>IFERROR(XLOOKUP(C526,'Review Sequence'!C2:C1586,'Review Sequence'!J2:J1586),"")</x:f>
        <x:v>Not Started</x:v>
      </x:c>
      <x:c r="H526" s="7" t="str">
        <x:f>IFERROR(XLOOKUP(C526,'Review Sequence'!C2:C1586,'Review Sequence'!O2:O1586),"")</x:f>
      </x:c>
      <x:c r="I526" s="6" t="str">
        <x:f>IFERROR(XLOOKUP(C526,'Review Sequence'!C2:C1586,'Review Sequence'!P2:P1586),"")</x:f>
        <x:v>Yes</x:v>
      </x:c>
    </x:row>
    <x:row r="527">
      <x:c r="A527" s="6" t="str">
        <x:v>BLK-0526</x:v>
      </x:c>
      <x:c r="B527" s="6" t="str">
        <x:v>Manufacturer Scope</x:v>
      </x:c>
      <x:c r="C527" s="6" t="str">
        <x:v>MFRX-0197</x:v>
      </x:c>
      <x:c r="D527" s="6" t="str">
        <x:v>SVC000197</x:v>
      </x:c>
      <x:c r="E527" s="6" t="str"/>
      <x:c r="F527" s="6" t="str">
        <x:f>IFERROR(XLOOKUP(C527,'Review Sequence'!C2:C1586,'Review Sequence'!I2:I1586),"")</x:f>
        <x:v>Not Started</x:v>
      </x:c>
      <x:c r="G527" s="6" t="str">
        <x:f>IFERROR(XLOOKUP(C527,'Review Sequence'!C2:C1586,'Review Sequence'!J2:J1586),"")</x:f>
        <x:v>Not Started</x:v>
      </x:c>
      <x:c r="H527" s="7" t="str">
        <x:f>IFERROR(XLOOKUP(C527,'Review Sequence'!C2:C1586,'Review Sequence'!O2:O1586),"")</x:f>
      </x:c>
      <x:c r="I527" s="6" t="str">
        <x:f>IFERROR(XLOOKUP(C527,'Review Sequence'!C2:C1586,'Review Sequence'!P2:P1586),"")</x:f>
        <x:v>Yes</x:v>
      </x:c>
    </x:row>
    <x:row r="528">
      <x:c r="A528" s="6" t="str">
        <x:v>BLK-0527</x:v>
      </x:c>
      <x:c r="B528" s="6" t="str">
        <x:v>Manufacturer Scope</x:v>
      </x:c>
      <x:c r="C528" s="6" t="str">
        <x:v>MFRX-0198</x:v>
      </x:c>
      <x:c r="D528" s="6" t="str">
        <x:v>SVC000198</x:v>
      </x:c>
      <x:c r="E528" s="6" t="str"/>
      <x:c r="F528" s="6" t="str">
        <x:f>IFERROR(XLOOKUP(C528,'Review Sequence'!C2:C1586,'Review Sequence'!I2:I1586),"")</x:f>
        <x:v>Not Started</x:v>
      </x:c>
      <x:c r="G528" s="6" t="str">
        <x:f>IFERROR(XLOOKUP(C528,'Review Sequence'!C2:C1586,'Review Sequence'!J2:J1586),"")</x:f>
        <x:v>Not Started</x:v>
      </x:c>
      <x:c r="H528" s="7" t="str">
        <x:f>IFERROR(XLOOKUP(C528,'Review Sequence'!C2:C1586,'Review Sequence'!O2:O1586),"")</x:f>
      </x:c>
      <x:c r="I528" s="6" t="str">
        <x:f>IFERROR(XLOOKUP(C528,'Review Sequence'!C2:C1586,'Review Sequence'!P2:P1586),"")</x:f>
        <x:v>Yes</x:v>
      </x:c>
    </x:row>
    <x:row r="529">
      <x:c r="A529" s="6" t="str">
        <x:v>BLK-0528</x:v>
      </x:c>
      <x:c r="B529" s="6" t="str">
        <x:v>Manufacturer Scope</x:v>
      </x:c>
      <x:c r="C529" s="6" t="str">
        <x:v>MFRX-0199</x:v>
      </x:c>
      <x:c r="D529" s="6" t="str">
        <x:v>SVC000199</x:v>
      </x:c>
      <x:c r="E529" s="6" t="str"/>
      <x:c r="F529" s="6" t="str">
        <x:f>IFERROR(XLOOKUP(C529,'Review Sequence'!C2:C1586,'Review Sequence'!I2:I1586),"")</x:f>
        <x:v>Not Started</x:v>
      </x:c>
      <x:c r="G529" s="6" t="str">
        <x:f>IFERROR(XLOOKUP(C529,'Review Sequence'!C2:C1586,'Review Sequence'!J2:J1586),"")</x:f>
        <x:v>Not Started</x:v>
      </x:c>
      <x:c r="H529" s="7" t="str">
        <x:f>IFERROR(XLOOKUP(C529,'Review Sequence'!C2:C1586,'Review Sequence'!O2:O1586),"")</x:f>
      </x:c>
      <x:c r="I529" s="6" t="str">
        <x:f>IFERROR(XLOOKUP(C529,'Review Sequence'!C2:C1586,'Review Sequence'!P2:P1586),"")</x:f>
        <x:v>Yes</x:v>
      </x:c>
    </x:row>
    <x:row r="530">
      <x:c r="A530" s="6" t="str">
        <x:v>BLK-0529</x:v>
      </x:c>
      <x:c r="B530" s="6" t="str">
        <x:v>Manufacturer Scope</x:v>
      </x:c>
      <x:c r="C530" s="6" t="str">
        <x:v>MFRX-0200</x:v>
      </x:c>
      <x:c r="D530" s="6" t="str">
        <x:v>SVC000200</x:v>
      </x:c>
      <x:c r="E530" s="6" t="str"/>
      <x:c r="F530" s="6" t="str">
        <x:f>IFERROR(XLOOKUP(C530,'Review Sequence'!C2:C1586,'Review Sequence'!I2:I1586),"")</x:f>
        <x:v>Not Started</x:v>
      </x:c>
      <x:c r="G530" s="6" t="str">
        <x:f>IFERROR(XLOOKUP(C530,'Review Sequence'!C2:C1586,'Review Sequence'!J2:J1586),"")</x:f>
        <x:v>Not Started</x:v>
      </x:c>
      <x:c r="H530" s="7" t="str">
        <x:f>IFERROR(XLOOKUP(C530,'Review Sequence'!C2:C1586,'Review Sequence'!O2:O1586),"")</x:f>
      </x:c>
      <x:c r="I530" s="6" t="str">
        <x:f>IFERROR(XLOOKUP(C530,'Review Sequence'!C2:C1586,'Review Sequence'!P2:P1586),"")</x:f>
        <x:v>Yes</x:v>
      </x:c>
    </x:row>
    <x:row r="531">
      <x:c r="A531" s="6" t="str">
        <x:v>BLK-0530</x:v>
      </x:c>
      <x:c r="B531" s="6" t="str">
        <x:v>Manufacturer Scope</x:v>
      </x:c>
      <x:c r="C531" s="6" t="str">
        <x:v>MFRX-0201</x:v>
      </x:c>
      <x:c r="D531" s="6" t="str">
        <x:v>SVC000201</x:v>
      </x:c>
      <x:c r="E531" s="6" t="str"/>
      <x:c r="F531" s="6" t="str">
        <x:f>IFERROR(XLOOKUP(C531,'Review Sequence'!C2:C1586,'Review Sequence'!I2:I1586),"")</x:f>
        <x:v>Not Started</x:v>
      </x:c>
      <x:c r="G531" s="6" t="str">
        <x:f>IFERROR(XLOOKUP(C531,'Review Sequence'!C2:C1586,'Review Sequence'!J2:J1586),"")</x:f>
        <x:v>Not Started</x:v>
      </x:c>
      <x:c r="H531" s="7" t="str">
        <x:f>IFERROR(XLOOKUP(C531,'Review Sequence'!C2:C1586,'Review Sequence'!O2:O1586),"")</x:f>
      </x:c>
      <x:c r="I531" s="6" t="str">
        <x:f>IFERROR(XLOOKUP(C531,'Review Sequence'!C2:C1586,'Review Sequence'!P2:P1586),"")</x:f>
        <x:v>Yes</x:v>
      </x:c>
    </x:row>
    <x:row r="532">
      <x:c r="A532" s="6" t="str">
        <x:v>BLK-0531</x:v>
      </x:c>
      <x:c r="B532" s="6" t="str">
        <x:v>Manufacturer Scope</x:v>
      </x:c>
      <x:c r="C532" s="6" t="str">
        <x:v>MFRX-0202</x:v>
      </x:c>
      <x:c r="D532" s="6" t="str">
        <x:v>SVC000202</x:v>
      </x:c>
      <x:c r="E532" s="6" t="str"/>
      <x:c r="F532" s="6" t="str">
        <x:f>IFERROR(XLOOKUP(C532,'Review Sequence'!C2:C1586,'Review Sequence'!I2:I1586),"")</x:f>
        <x:v>Not Started</x:v>
      </x:c>
      <x:c r="G532" s="6" t="str">
        <x:f>IFERROR(XLOOKUP(C532,'Review Sequence'!C2:C1586,'Review Sequence'!J2:J1586),"")</x:f>
        <x:v>Not Started</x:v>
      </x:c>
      <x:c r="H532" s="7" t="str">
        <x:f>IFERROR(XLOOKUP(C532,'Review Sequence'!C2:C1586,'Review Sequence'!O2:O1586),"")</x:f>
      </x:c>
      <x:c r="I532" s="6" t="str">
        <x:f>IFERROR(XLOOKUP(C532,'Review Sequence'!C2:C1586,'Review Sequence'!P2:P1586),"")</x:f>
        <x:v>Yes</x:v>
      </x:c>
    </x:row>
    <x:row r="533">
      <x:c r="A533" s="6" t="str">
        <x:v>BLK-0532</x:v>
      </x:c>
      <x:c r="B533" s="6" t="str">
        <x:v>Manufacturer Scope</x:v>
      </x:c>
      <x:c r="C533" s="6" t="str">
        <x:v>MFRX-0203</x:v>
      </x:c>
      <x:c r="D533" s="6" t="str">
        <x:v>SVC000203</x:v>
      </x:c>
      <x:c r="E533" s="6" t="str"/>
      <x:c r="F533" s="6" t="str">
        <x:f>IFERROR(XLOOKUP(C533,'Review Sequence'!C2:C1586,'Review Sequence'!I2:I1586),"")</x:f>
        <x:v>Not Started</x:v>
      </x:c>
      <x:c r="G533" s="6" t="str">
        <x:f>IFERROR(XLOOKUP(C533,'Review Sequence'!C2:C1586,'Review Sequence'!J2:J1586),"")</x:f>
        <x:v>Not Started</x:v>
      </x:c>
      <x:c r="H533" s="7" t="str">
        <x:f>IFERROR(XLOOKUP(C533,'Review Sequence'!C2:C1586,'Review Sequence'!O2:O1586),"")</x:f>
      </x:c>
      <x:c r="I533" s="6" t="str">
        <x:f>IFERROR(XLOOKUP(C533,'Review Sequence'!C2:C1586,'Review Sequence'!P2:P1586),"")</x:f>
        <x:v>Yes</x:v>
      </x:c>
    </x:row>
    <x:row r="534">
      <x:c r="A534" s="6" t="str">
        <x:v>BLK-0533</x:v>
      </x:c>
      <x:c r="B534" s="6" t="str">
        <x:v>Manufacturer Scope</x:v>
      </x:c>
      <x:c r="C534" s="6" t="str">
        <x:v>MFRX-0204</x:v>
      </x:c>
      <x:c r="D534" s="6" t="str">
        <x:v>SVC000204</x:v>
      </x:c>
      <x:c r="E534" s="6" t="str"/>
      <x:c r="F534" s="6" t="str">
        <x:f>IFERROR(XLOOKUP(C534,'Review Sequence'!C2:C1586,'Review Sequence'!I2:I1586),"")</x:f>
        <x:v>Not Started</x:v>
      </x:c>
      <x:c r="G534" s="6" t="str">
        <x:f>IFERROR(XLOOKUP(C534,'Review Sequence'!C2:C1586,'Review Sequence'!J2:J1586),"")</x:f>
        <x:v>Not Started</x:v>
      </x:c>
      <x:c r="H534" s="7" t="str">
        <x:f>IFERROR(XLOOKUP(C534,'Review Sequence'!C2:C1586,'Review Sequence'!O2:O1586),"")</x:f>
      </x:c>
      <x:c r="I534" s="6" t="str">
        <x:f>IFERROR(XLOOKUP(C534,'Review Sequence'!C2:C1586,'Review Sequence'!P2:P1586),"")</x:f>
        <x:v>Yes</x:v>
      </x:c>
    </x:row>
    <x:row r="535">
      <x:c r="A535" s="6" t="str">
        <x:v>BLK-0534</x:v>
      </x:c>
      <x:c r="B535" s="6" t="str">
        <x:v>Manufacturer Scope</x:v>
      </x:c>
      <x:c r="C535" s="6" t="str">
        <x:v>MFRX-0205</x:v>
      </x:c>
      <x:c r="D535" s="6" t="str">
        <x:v>SVC000205</x:v>
      </x:c>
      <x:c r="E535" s="6" t="str"/>
      <x:c r="F535" s="6" t="str">
        <x:f>IFERROR(XLOOKUP(C535,'Review Sequence'!C2:C1586,'Review Sequence'!I2:I1586),"")</x:f>
        <x:v>Not Started</x:v>
      </x:c>
      <x:c r="G535" s="6" t="str">
        <x:f>IFERROR(XLOOKUP(C535,'Review Sequence'!C2:C1586,'Review Sequence'!J2:J1586),"")</x:f>
        <x:v>Not Started</x:v>
      </x:c>
      <x:c r="H535" s="7" t="str">
        <x:f>IFERROR(XLOOKUP(C535,'Review Sequence'!C2:C1586,'Review Sequence'!O2:O1586),"")</x:f>
      </x:c>
      <x:c r="I535" s="6" t="str">
        <x:f>IFERROR(XLOOKUP(C535,'Review Sequence'!C2:C1586,'Review Sequence'!P2:P1586),"")</x:f>
        <x:v>Yes</x:v>
      </x:c>
    </x:row>
    <x:row r="536">
      <x:c r="A536" s="6" t="str">
        <x:v>BLK-0535</x:v>
      </x:c>
      <x:c r="B536" s="6" t="str">
        <x:v>Manufacturer Scope</x:v>
      </x:c>
      <x:c r="C536" s="6" t="str">
        <x:v>MFRX-0206</x:v>
      </x:c>
      <x:c r="D536" s="6" t="str">
        <x:v>SVC000206</x:v>
      </x:c>
      <x:c r="E536" s="6" t="str"/>
      <x:c r="F536" s="6" t="str">
        <x:f>IFERROR(XLOOKUP(C536,'Review Sequence'!C2:C1586,'Review Sequence'!I2:I1586),"")</x:f>
        <x:v>Not Started</x:v>
      </x:c>
      <x:c r="G536" s="6" t="str">
        <x:f>IFERROR(XLOOKUP(C536,'Review Sequence'!C2:C1586,'Review Sequence'!J2:J1586),"")</x:f>
        <x:v>Not Started</x:v>
      </x:c>
      <x:c r="H536" s="7" t="str">
        <x:f>IFERROR(XLOOKUP(C536,'Review Sequence'!C2:C1586,'Review Sequence'!O2:O1586),"")</x:f>
      </x:c>
      <x:c r="I536" s="6" t="str">
        <x:f>IFERROR(XLOOKUP(C536,'Review Sequence'!C2:C1586,'Review Sequence'!P2:P1586),"")</x:f>
        <x:v>Yes</x:v>
      </x:c>
    </x:row>
    <x:row r="537">
      <x:c r="A537" s="6" t="str">
        <x:v>BLK-0536</x:v>
      </x:c>
      <x:c r="B537" s="6" t="str">
        <x:v>Manufacturer Scope</x:v>
      </x:c>
      <x:c r="C537" s="6" t="str">
        <x:v>MFRX-0207</x:v>
      </x:c>
      <x:c r="D537" s="6" t="str">
        <x:v>SVC000207</x:v>
      </x:c>
      <x:c r="E537" s="6" t="str"/>
      <x:c r="F537" s="6" t="str">
        <x:f>IFERROR(XLOOKUP(C537,'Review Sequence'!C2:C1586,'Review Sequence'!I2:I1586),"")</x:f>
        <x:v>Not Started</x:v>
      </x:c>
      <x:c r="G537" s="6" t="str">
        <x:f>IFERROR(XLOOKUP(C537,'Review Sequence'!C2:C1586,'Review Sequence'!J2:J1586),"")</x:f>
        <x:v>Not Started</x:v>
      </x:c>
      <x:c r="H537" s="7" t="str">
        <x:f>IFERROR(XLOOKUP(C537,'Review Sequence'!C2:C1586,'Review Sequence'!O2:O1586),"")</x:f>
      </x:c>
      <x:c r="I537" s="6" t="str">
        <x:f>IFERROR(XLOOKUP(C537,'Review Sequence'!C2:C1586,'Review Sequence'!P2:P1586),"")</x:f>
        <x:v>Yes</x:v>
      </x:c>
    </x:row>
    <x:row r="538">
      <x:c r="A538" s="6" t="str">
        <x:v>BLK-0537</x:v>
      </x:c>
      <x:c r="B538" s="6" t="str">
        <x:v>Manufacturer Scope</x:v>
      </x:c>
      <x:c r="C538" s="6" t="str">
        <x:v>MFRX-0208</x:v>
      </x:c>
      <x:c r="D538" s="6" t="str">
        <x:v>SVC000208</x:v>
      </x:c>
      <x:c r="E538" s="6" t="str"/>
      <x:c r="F538" s="6" t="str">
        <x:f>IFERROR(XLOOKUP(C538,'Review Sequence'!C2:C1586,'Review Sequence'!I2:I1586),"")</x:f>
        <x:v>Not Started</x:v>
      </x:c>
      <x:c r="G538" s="6" t="str">
        <x:f>IFERROR(XLOOKUP(C538,'Review Sequence'!C2:C1586,'Review Sequence'!J2:J1586),"")</x:f>
        <x:v>Not Started</x:v>
      </x:c>
      <x:c r="H538" s="7" t="str">
        <x:f>IFERROR(XLOOKUP(C538,'Review Sequence'!C2:C1586,'Review Sequence'!O2:O1586),"")</x:f>
      </x:c>
      <x:c r="I538" s="6" t="str">
        <x:f>IFERROR(XLOOKUP(C538,'Review Sequence'!C2:C1586,'Review Sequence'!P2:P1586),"")</x:f>
        <x:v>Yes</x:v>
      </x:c>
    </x:row>
    <x:row r="539">
      <x:c r="A539" s="6" t="str">
        <x:v>BLK-0538</x:v>
      </x:c>
      <x:c r="B539" s="6" t="str">
        <x:v>Manufacturer Scope</x:v>
      </x:c>
      <x:c r="C539" s="6" t="str">
        <x:v>MFRX-0209</x:v>
      </x:c>
      <x:c r="D539" s="6" t="str">
        <x:v>SVC000209</x:v>
      </x:c>
      <x:c r="E539" s="6" t="str"/>
      <x:c r="F539" s="6" t="str">
        <x:f>IFERROR(XLOOKUP(C539,'Review Sequence'!C2:C1586,'Review Sequence'!I2:I1586),"")</x:f>
        <x:v>Not Started</x:v>
      </x:c>
      <x:c r="G539" s="6" t="str">
        <x:f>IFERROR(XLOOKUP(C539,'Review Sequence'!C2:C1586,'Review Sequence'!J2:J1586),"")</x:f>
        <x:v>Not Started</x:v>
      </x:c>
      <x:c r="H539" s="7" t="str">
        <x:f>IFERROR(XLOOKUP(C539,'Review Sequence'!C2:C1586,'Review Sequence'!O2:O1586),"")</x:f>
      </x:c>
      <x:c r="I539" s="6" t="str">
        <x:f>IFERROR(XLOOKUP(C539,'Review Sequence'!C2:C1586,'Review Sequence'!P2:P1586),"")</x:f>
        <x:v>Yes</x:v>
      </x:c>
    </x:row>
    <x:row r="540">
      <x:c r="A540" s="6" t="str">
        <x:v>BLK-0539</x:v>
      </x:c>
      <x:c r="B540" s="6" t="str">
        <x:v>Manufacturer Scope</x:v>
      </x:c>
      <x:c r="C540" s="6" t="str">
        <x:v>MFRX-0210</x:v>
      </x:c>
      <x:c r="D540" s="6" t="str">
        <x:v>SVC000210</x:v>
      </x:c>
      <x:c r="E540" s="6" t="str"/>
      <x:c r="F540" s="6" t="str">
        <x:f>IFERROR(XLOOKUP(C540,'Review Sequence'!C2:C1586,'Review Sequence'!I2:I1586),"")</x:f>
        <x:v>Not Started</x:v>
      </x:c>
      <x:c r="G540" s="6" t="str">
        <x:f>IFERROR(XLOOKUP(C540,'Review Sequence'!C2:C1586,'Review Sequence'!J2:J1586),"")</x:f>
        <x:v>Not Started</x:v>
      </x:c>
      <x:c r="H540" s="7" t="str">
        <x:f>IFERROR(XLOOKUP(C540,'Review Sequence'!C2:C1586,'Review Sequence'!O2:O1586),"")</x:f>
      </x:c>
      <x:c r="I540" s="6" t="str">
        <x:f>IFERROR(XLOOKUP(C540,'Review Sequence'!C2:C1586,'Review Sequence'!P2:P1586),"")</x:f>
        <x:v>Yes</x:v>
      </x:c>
    </x:row>
    <x:row r="541">
      <x:c r="A541" s="6" t="str">
        <x:v>BLK-0540</x:v>
      </x:c>
      <x:c r="B541" s="6" t="str">
        <x:v>Manufacturer Scope</x:v>
      </x:c>
      <x:c r="C541" s="6" t="str">
        <x:v>MFRX-0211</x:v>
      </x:c>
      <x:c r="D541" s="6" t="str">
        <x:v>SVC000211</x:v>
      </x:c>
      <x:c r="E541" s="6" t="str"/>
      <x:c r="F541" s="6" t="str">
        <x:f>IFERROR(XLOOKUP(C541,'Review Sequence'!C2:C1586,'Review Sequence'!I2:I1586),"")</x:f>
        <x:v>Not Started</x:v>
      </x:c>
      <x:c r="G541" s="6" t="str">
        <x:f>IFERROR(XLOOKUP(C541,'Review Sequence'!C2:C1586,'Review Sequence'!J2:J1586),"")</x:f>
        <x:v>Not Started</x:v>
      </x:c>
      <x:c r="H541" s="7" t="str">
        <x:f>IFERROR(XLOOKUP(C541,'Review Sequence'!C2:C1586,'Review Sequence'!O2:O1586),"")</x:f>
      </x:c>
      <x:c r="I541" s="6" t="str">
        <x:f>IFERROR(XLOOKUP(C541,'Review Sequence'!C2:C1586,'Review Sequence'!P2:P1586),"")</x:f>
        <x:v>Yes</x:v>
      </x:c>
    </x:row>
    <x:row r="542">
      <x:c r="A542" s="6" t="str">
        <x:v>BLK-0541</x:v>
      </x:c>
      <x:c r="B542" s="6" t="str">
        <x:v>Manufacturer Scope</x:v>
      </x:c>
      <x:c r="C542" s="6" t="str">
        <x:v>MFRX-0212</x:v>
      </x:c>
      <x:c r="D542" s="6" t="str">
        <x:v>SVC000212</x:v>
      </x:c>
      <x:c r="E542" s="6" t="str"/>
      <x:c r="F542" s="6" t="str">
        <x:f>IFERROR(XLOOKUP(C542,'Review Sequence'!C2:C1586,'Review Sequence'!I2:I1586),"")</x:f>
        <x:v>Not Started</x:v>
      </x:c>
      <x:c r="G542" s="6" t="str">
        <x:f>IFERROR(XLOOKUP(C542,'Review Sequence'!C2:C1586,'Review Sequence'!J2:J1586),"")</x:f>
        <x:v>Not Started</x:v>
      </x:c>
      <x:c r="H542" s="7" t="str">
        <x:f>IFERROR(XLOOKUP(C542,'Review Sequence'!C2:C1586,'Review Sequence'!O2:O1586),"")</x:f>
      </x:c>
      <x:c r="I542" s="6" t="str">
        <x:f>IFERROR(XLOOKUP(C542,'Review Sequence'!C2:C1586,'Review Sequence'!P2:P1586),"")</x:f>
        <x:v>Yes</x:v>
      </x:c>
    </x:row>
    <x:row r="543">
      <x:c r="A543" s="6" t="str">
        <x:v>BLK-0542</x:v>
      </x:c>
      <x:c r="B543" s="6" t="str">
        <x:v>Manufacturer Scope</x:v>
      </x:c>
      <x:c r="C543" s="6" t="str">
        <x:v>MFRX-0213</x:v>
      </x:c>
      <x:c r="D543" s="6" t="str">
        <x:v>SVC000213</x:v>
      </x:c>
      <x:c r="E543" s="6" t="str"/>
      <x:c r="F543" s="6" t="str">
        <x:f>IFERROR(XLOOKUP(C543,'Review Sequence'!C2:C1586,'Review Sequence'!I2:I1586),"")</x:f>
        <x:v>Not Started</x:v>
      </x:c>
      <x:c r="G543" s="6" t="str">
        <x:f>IFERROR(XLOOKUP(C543,'Review Sequence'!C2:C1586,'Review Sequence'!J2:J1586),"")</x:f>
        <x:v>Not Started</x:v>
      </x:c>
      <x:c r="H543" s="7" t="str">
        <x:f>IFERROR(XLOOKUP(C543,'Review Sequence'!C2:C1586,'Review Sequence'!O2:O1586),"")</x:f>
      </x:c>
      <x:c r="I543" s="6" t="str">
        <x:f>IFERROR(XLOOKUP(C543,'Review Sequence'!C2:C1586,'Review Sequence'!P2:P1586),"")</x:f>
        <x:v>Yes</x:v>
      </x:c>
    </x:row>
    <x:row r="544">
      <x:c r="A544" s="6" t="str">
        <x:v>BLK-0543</x:v>
      </x:c>
      <x:c r="B544" s="6" t="str">
        <x:v>Manufacturer Scope</x:v>
      </x:c>
      <x:c r="C544" s="6" t="str">
        <x:v>MFRX-0214</x:v>
      </x:c>
      <x:c r="D544" s="6" t="str">
        <x:v>SVC000214</x:v>
      </x:c>
      <x:c r="E544" s="6" t="str"/>
      <x:c r="F544" s="6" t="str">
        <x:f>IFERROR(XLOOKUP(C544,'Review Sequence'!C2:C1586,'Review Sequence'!I2:I1586),"")</x:f>
        <x:v>Not Started</x:v>
      </x:c>
      <x:c r="G544" s="6" t="str">
        <x:f>IFERROR(XLOOKUP(C544,'Review Sequence'!C2:C1586,'Review Sequence'!J2:J1586),"")</x:f>
        <x:v>Not Started</x:v>
      </x:c>
      <x:c r="H544" s="7" t="str">
        <x:f>IFERROR(XLOOKUP(C544,'Review Sequence'!C2:C1586,'Review Sequence'!O2:O1586),"")</x:f>
      </x:c>
      <x:c r="I544" s="6" t="str">
        <x:f>IFERROR(XLOOKUP(C544,'Review Sequence'!C2:C1586,'Review Sequence'!P2:P1586),"")</x:f>
        <x:v>Yes</x:v>
      </x:c>
    </x:row>
    <x:row r="545">
      <x:c r="A545" s="6" t="str">
        <x:v>BLK-0544</x:v>
      </x:c>
      <x:c r="B545" s="6" t="str">
        <x:v>Manufacturer Scope</x:v>
      </x:c>
      <x:c r="C545" s="6" t="str">
        <x:v>MFRX-0215</x:v>
      </x:c>
      <x:c r="D545" s="6" t="str">
        <x:v>SVC000215</x:v>
      </x:c>
      <x:c r="E545" s="6" t="str"/>
      <x:c r="F545" s="6" t="str">
        <x:f>IFERROR(XLOOKUP(C545,'Review Sequence'!C2:C1586,'Review Sequence'!I2:I1586),"")</x:f>
        <x:v>Not Started</x:v>
      </x:c>
      <x:c r="G545" s="6" t="str">
        <x:f>IFERROR(XLOOKUP(C545,'Review Sequence'!C2:C1586,'Review Sequence'!J2:J1586),"")</x:f>
        <x:v>Not Started</x:v>
      </x:c>
      <x:c r="H545" s="7" t="str">
        <x:f>IFERROR(XLOOKUP(C545,'Review Sequence'!C2:C1586,'Review Sequence'!O2:O1586),"")</x:f>
      </x:c>
      <x:c r="I545" s="6" t="str">
        <x:f>IFERROR(XLOOKUP(C545,'Review Sequence'!C2:C1586,'Review Sequence'!P2:P1586),"")</x:f>
        <x:v>Yes</x:v>
      </x:c>
    </x:row>
    <x:row r="546">
      <x:c r="A546" s="6" t="str">
        <x:v>BLK-0545</x:v>
      </x:c>
      <x:c r="B546" s="6" t="str">
        <x:v>Manufacturer Scope</x:v>
      </x:c>
      <x:c r="C546" s="6" t="str">
        <x:v>MFRX-0216</x:v>
      </x:c>
      <x:c r="D546" s="6" t="str">
        <x:v>SVC000216</x:v>
      </x:c>
      <x:c r="E546" s="6" t="str"/>
      <x:c r="F546" s="6" t="str">
        <x:f>IFERROR(XLOOKUP(C546,'Review Sequence'!C2:C1586,'Review Sequence'!I2:I1586),"")</x:f>
        <x:v>Not Started</x:v>
      </x:c>
      <x:c r="G546" s="6" t="str">
        <x:f>IFERROR(XLOOKUP(C546,'Review Sequence'!C2:C1586,'Review Sequence'!J2:J1586),"")</x:f>
        <x:v>Not Started</x:v>
      </x:c>
      <x:c r="H546" s="7" t="str">
        <x:f>IFERROR(XLOOKUP(C546,'Review Sequence'!C2:C1586,'Review Sequence'!O2:O1586),"")</x:f>
      </x:c>
      <x:c r="I546" s="6" t="str">
        <x:f>IFERROR(XLOOKUP(C546,'Review Sequence'!C2:C1586,'Review Sequence'!P2:P1586),"")</x:f>
        <x:v>Yes</x:v>
      </x:c>
    </x:row>
    <x:row r="547">
      <x:c r="A547" s="6" t="str">
        <x:v>BLK-0546</x:v>
      </x:c>
      <x:c r="B547" s="6" t="str">
        <x:v>Manufacturer Scope</x:v>
      </x:c>
      <x:c r="C547" s="6" t="str">
        <x:v>MFRX-0217</x:v>
      </x:c>
      <x:c r="D547" s="6" t="str">
        <x:v>SVC000217</x:v>
      </x:c>
      <x:c r="E547" s="6" t="str"/>
      <x:c r="F547" s="6" t="str">
        <x:f>IFERROR(XLOOKUP(C547,'Review Sequence'!C2:C1586,'Review Sequence'!I2:I1586),"")</x:f>
        <x:v>Not Started</x:v>
      </x:c>
      <x:c r="G547" s="6" t="str">
        <x:f>IFERROR(XLOOKUP(C547,'Review Sequence'!C2:C1586,'Review Sequence'!J2:J1586),"")</x:f>
        <x:v>Not Started</x:v>
      </x:c>
      <x:c r="H547" s="7" t="str">
        <x:f>IFERROR(XLOOKUP(C547,'Review Sequence'!C2:C1586,'Review Sequence'!O2:O1586),"")</x:f>
      </x:c>
      <x:c r="I547" s="6" t="str">
        <x:f>IFERROR(XLOOKUP(C547,'Review Sequence'!C2:C1586,'Review Sequence'!P2:P1586),"")</x:f>
        <x:v>Yes</x:v>
      </x:c>
    </x:row>
    <x:row r="548">
      <x:c r="A548" s="6" t="str">
        <x:v>BLK-0547</x:v>
      </x:c>
      <x:c r="B548" s="6" t="str">
        <x:v>Manufacturer Scope</x:v>
      </x:c>
      <x:c r="C548" s="6" t="str">
        <x:v>MFRX-0218</x:v>
      </x:c>
      <x:c r="D548" s="6" t="str">
        <x:v>SVC000218</x:v>
      </x:c>
      <x:c r="E548" s="6" t="str"/>
      <x:c r="F548" s="6" t="str">
        <x:f>IFERROR(XLOOKUP(C548,'Review Sequence'!C2:C1586,'Review Sequence'!I2:I1586),"")</x:f>
        <x:v>Not Started</x:v>
      </x:c>
      <x:c r="G548" s="6" t="str">
        <x:f>IFERROR(XLOOKUP(C548,'Review Sequence'!C2:C1586,'Review Sequence'!J2:J1586),"")</x:f>
        <x:v>Not Started</x:v>
      </x:c>
      <x:c r="H548" s="7" t="str">
        <x:f>IFERROR(XLOOKUP(C548,'Review Sequence'!C2:C1586,'Review Sequence'!O2:O1586),"")</x:f>
      </x:c>
      <x:c r="I548" s="6" t="str">
        <x:f>IFERROR(XLOOKUP(C548,'Review Sequence'!C2:C1586,'Review Sequence'!P2:P1586),"")</x:f>
        <x:v>Yes</x:v>
      </x:c>
    </x:row>
    <x:row r="549">
      <x:c r="A549" s="6" t="str">
        <x:v>BLK-0548</x:v>
      </x:c>
      <x:c r="B549" s="6" t="str">
        <x:v>Manufacturer Scope</x:v>
      </x:c>
      <x:c r="C549" s="6" t="str">
        <x:v>MFRX-0219</x:v>
      </x:c>
      <x:c r="D549" s="6" t="str">
        <x:v>SVC000219</x:v>
      </x:c>
      <x:c r="E549" s="6" t="str"/>
      <x:c r="F549" s="6" t="str">
        <x:f>IFERROR(XLOOKUP(C549,'Review Sequence'!C2:C1586,'Review Sequence'!I2:I1586),"")</x:f>
        <x:v>Not Started</x:v>
      </x:c>
      <x:c r="G549" s="6" t="str">
        <x:f>IFERROR(XLOOKUP(C549,'Review Sequence'!C2:C1586,'Review Sequence'!J2:J1586),"")</x:f>
        <x:v>Not Started</x:v>
      </x:c>
      <x:c r="H549" s="7" t="str">
        <x:f>IFERROR(XLOOKUP(C549,'Review Sequence'!C2:C1586,'Review Sequence'!O2:O1586),"")</x:f>
      </x:c>
      <x:c r="I549" s="6" t="str">
        <x:f>IFERROR(XLOOKUP(C549,'Review Sequence'!C2:C1586,'Review Sequence'!P2:P1586),"")</x:f>
        <x:v>Yes</x:v>
      </x:c>
    </x:row>
    <x:row r="550">
      <x:c r="A550" s="6" t="str">
        <x:v>BLK-0549</x:v>
      </x:c>
      <x:c r="B550" s="6" t="str">
        <x:v>Manufacturer Scope</x:v>
      </x:c>
      <x:c r="C550" s="6" t="str">
        <x:v>MFRX-0220</x:v>
      </x:c>
      <x:c r="D550" s="6" t="str">
        <x:v>SVC000220</x:v>
      </x:c>
      <x:c r="E550" s="6" t="str"/>
      <x:c r="F550" s="6" t="str">
        <x:f>IFERROR(XLOOKUP(C550,'Review Sequence'!C2:C1586,'Review Sequence'!I2:I1586),"")</x:f>
        <x:v>Not Started</x:v>
      </x:c>
      <x:c r="G550" s="6" t="str">
        <x:f>IFERROR(XLOOKUP(C550,'Review Sequence'!C2:C1586,'Review Sequence'!J2:J1586),"")</x:f>
        <x:v>Not Started</x:v>
      </x:c>
      <x:c r="H550" s="7" t="str">
        <x:f>IFERROR(XLOOKUP(C550,'Review Sequence'!C2:C1586,'Review Sequence'!O2:O1586),"")</x:f>
      </x:c>
      <x:c r="I550" s="6" t="str">
        <x:f>IFERROR(XLOOKUP(C550,'Review Sequence'!C2:C1586,'Review Sequence'!P2:P1586),"")</x:f>
        <x:v>Yes</x:v>
      </x:c>
    </x:row>
    <x:row r="551">
      <x:c r="A551" s="6" t="str">
        <x:v>BLK-0550</x:v>
      </x:c>
      <x:c r="B551" s="6" t="str">
        <x:v>Manufacturer Scope</x:v>
      </x:c>
      <x:c r="C551" s="6" t="str">
        <x:v>MFRX-0221</x:v>
      </x:c>
      <x:c r="D551" s="6" t="str">
        <x:v>SVC000221</x:v>
      </x:c>
      <x:c r="E551" s="6" t="str"/>
      <x:c r="F551" s="6" t="str">
        <x:f>IFERROR(XLOOKUP(C551,'Review Sequence'!C2:C1586,'Review Sequence'!I2:I1586),"")</x:f>
        <x:v>Not Started</x:v>
      </x:c>
      <x:c r="G551" s="6" t="str">
        <x:f>IFERROR(XLOOKUP(C551,'Review Sequence'!C2:C1586,'Review Sequence'!J2:J1586),"")</x:f>
        <x:v>Not Started</x:v>
      </x:c>
      <x:c r="H551" s="7" t="str">
        <x:f>IFERROR(XLOOKUP(C551,'Review Sequence'!C2:C1586,'Review Sequence'!O2:O1586),"")</x:f>
      </x:c>
      <x:c r="I551" s="6" t="str">
        <x:f>IFERROR(XLOOKUP(C551,'Review Sequence'!C2:C1586,'Review Sequence'!P2:P1586),"")</x:f>
        <x:v>Yes</x:v>
      </x:c>
    </x:row>
    <x:row r="552">
      <x:c r="A552" s="6" t="str">
        <x:v>BLK-0551</x:v>
      </x:c>
      <x:c r="B552" s="6" t="str">
        <x:v>Manufacturer Scope</x:v>
      </x:c>
      <x:c r="C552" s="6" t="str">
        <x:v>MFRX-0222</x:v>
      </x:c>
      <x:c r="D552" s="6" t="str">
        <x:v>SVC000222</x:v>
      </x:c>
      <x:c r="E552" s="6" t="str"/>
      <x:c r="F552" s="6" t="str">
        <x:f>IFERROR(XLOOKUP(C552,'Review Sequence'!C2:C1586,'Review Sequence'!I2:I1586),"")</x:f>
        <x:v>Not Started</x:v>
      </x:c>
      <x:c r="G552" s="6" t="str">
        <x:f>IFERROR(XLOOKUP(C552,'Review Sequence'!C2:C1586,'Review Sequence'!J2:J1586),"")</x:f>
        <x:v>Not Started</x:v>
      </x:c>
      <x:c r="H552" s="7" t="str">
        <x:f>IFERROR(XLOOKUP(C552,'Review Sequence'!C2:C1586,'Review Sequence'!O2:O1586),"")</x:f>
      </x:c>
      <x:c r="I552" s="6" t="str">
        <x:f>IFERROR(XLOOKUP(C552,'Review Sequence'!C2:C1586,'Review Sequence'!P2:P1586),"")</x:f>
        <x:v>Yes</x:v>
      </x:c>
    </x:row>
    <x:row r="553">
      <x:c r="A553" s="6" t="str">
        <x:v>BLK-0552</x:v>
      </x:c>
      <x:c r="B553" s="6" t="str">
        <x:v>Manufacturer Scope</x:v>
      </x:c>
      <x:c r="C553" s="6" t="str">
        <x:v>MFRX-0223</x:v>
      </x:c>
      <x:c r="D553" s="6" t="str">
        <x:v>SVC000223</x:v>
      </x:c>
      <x:c r="E553" s="6" t="str"/>
      <x:c r="F553" s="6" t="str">
        <x:f>IFERROR(XLOOKUP(C553,'Review Sequence'!C2:C1586,'Review Sequence'!I2:I1586),"")</x:f>
        <x:v>Not Started</x:v>
      </x:c>
      <x:c r="G553" s="6" t="str">
        <x:f>IFERROR(XLOOKUP(C553,'Review Sequence'!C2:C1586,'Review Sequence'!J2:J1586),"")</x:f>
        <x:v>Not Started</x:v>
      </x:c>
      <x:c r="H553" s="7" t="str">
        <x:f>IFERROR(XLOOKUP(C553,'Review Sequence'!C2:C1586,'Review Sequence'!O2:O1586),"")</x:f>
      </x:c>
      <x:c r="I553" s="6" t="str">
        <x:f>IFERROR(XLOOKUP(C553,'Review Sequence'!C2:C1586,'Review Sequence'!P2:P1586),"")</x:f>
        <x:v>Yes</x:v>
      </x:c>
    </x:row>
    <x:row r="554">
      <x:c r="A554" s="6" t="str">
        <x:v>BLK-0553</x:v>
      </x:c>
      <x:c r="B554" s="6" t="str">
        <x:v>Manufacturer Scope</x:v>
      </x:c>
      <x:c r="C554" s="6" t="str">
        <x:v>MFRX-0224</x:v>
      </x:c>
      <x:c r="D554" s="6" t="str">
        <x:v>SVC000224</x:v>
      </x:c>
      <x:c r="E554" s="6" t="str"/>
      <x:c r="F554" s="6" t="str">
        <x:f>IFERROR(XLOOKUP(C554,'Review Sequence'!C2:C1586,'Review Sequence'!I2:I1586),"")</x:f>
        <x:v>Not Started</x:v>
      </x:c>
      <x:c r="G554" s="6" t="str">
        <x:f>IFERROR(XLOOKUP(C554,'Review Sequence'!C2:C1586,'Review Sequence'!J2:J1586),"")</x:f>
        <x:v>Not Started</x:v>
      </x:c>
      <x:c r="H554" s="7" t="str">
        <x:f>IFERROR(XLOOKUP(C554,'Review Sequence'!C2:C1586,'Review Sequence'!O2:O1586),"")</x:f>
      </x:c>
      <x:c r="I554" s="6" t="str">
        <x:f>IFERROR(XLOOKUP(C554,'Review Sequence'!C2:C1586,'Review Sequence'!P2:P1586),"")</x:f>
        <x:v>Yes</x:v>
      </x:c>
    </x:row>
    <x:row r="555">
      <x:c r="A555" s="6" t="str">
        <x:v>BLK-0554</x:v>
      </x:c>
      <x:c r="B555" s="6" t="str">
        <x:v>Manufacturer Scope</x:v>
      </x:c>
      <x:c r="C555" s="6" t="str">
        <x:v>MFRX-0225</x:v>
      </x:c>
      <x:c r="D555" s="6" t="str">
        <x:v>SVC000225</x:v>
      </x:c>
      <x:c r="E555" s="6" t="str"/>
      <x:c r="F555" s="6" t="str">
        <x:f>IFERROR(XLOOKUP(C555,'Review Sequence'!C2:C1586,'Review Sequence'!I2:I1586),"")</x:f>
        <x:v>Not Started</x:v>
      </x:c>
      <x:c r="G555" s="6" t="str">
        <x:f>IFERROR(XLOOKUP(C555,'Review Sequence'!C2:C1586,'Review Sequence'!J2:J1586),"")</x:f>
        <x:v>Not Started</x:v>
      </x:c>
      <x:c r="H555" s="7" t="str">
        <x:f>IFERROR(XLOOKUP(C555,'Review Sequence'!C2:C1586,'Review Sequence'!O2:O1586),"")</x:f>
      </x:c>
      <x:c r="I555" s="6" t="str">
        <x:f>IFERROR(XLOOKUP(C555,'Review Sequence'!C2:C1586,'Review Sequence'!P2:P1586),"")</x:f>
        <x:v>Yes</x:v>
      </x:c>
    </x:row>
    <x:row r="556">
      <x:c r="A556" s="6" t="str">
        <x:v>BLK-0555</x:v>
      </x:c>
      <x:c r="B556" s="6" t="str">
        <x:v>Manufacturer Scope</x:v>
      </x:c>
      <x:c r="C556" s="6" t="str">
        <x:v>MFRX-0226</x:v>
      </x:c>
      <x:c r="D556" s="6" t="str">
        <x:v>SVC000226</x:v>
      </x:c>
      <x:c r="E556" s="6" t="str"/>
      <x:c r="F556" s="6" t="str">
        <x:f>IFERROR(XLOOKUP(C556,'Review Sequence'!C2:C1586,'Review Sequence'!I2:I1586),"")</x:f>
        <x:v>Not Started</x:v>
      </x:c>
      <x:c r="G556" s="6" t="str">
        <x:f>IFERROR(XLOOKUP(C556,'Review Sequence'!C2:C1586,'Review Sequence'!J2:J1586),"")</x:f>
        <x:v>Not Started</x:v>
      </x:c>
      <x:c r="H556" s="7" t="str">
        <x:f>IFERROR(XLOOKUP(C556,'Review Sequence'!C2:C1586,'Review Sequence'!O2:O1586),"")</x:f>
      </x:c>
      <x:c r="I556" s="6" t="str">
        <x:f>IFERROR(XLOOKUP(C556,'Review Sequence'!C2:C1586,'Review Sequence'!P2:P1586),"")</x:f>
        <x:v>Yes</x:v>
      </x:c>
    </x:row>
    <x:row r="557">
      <x:c r="A557" s="6" t="str">
        <x:v>BLK-0556</x:v>
      </x:c>
      <x:c r="B557" s="6" t="str">
        <x:v>Manufacturer Scope</x:v>
      </x:c>
      <x:c r="C557" s="6" t="str">
        <x:v>MFRX-0227</x:v>
      </x:c>
      <x:c r="D557" s="6" t="str">
        <x:v>SVC000227</x:v>
      </x:c>
      <x:c r="E557" s="6" t="str"/>
      <x:c r="F557" s="6" t="str">
        <x:f>IFERROR(XLOOKUP(C557,'Review Sequence'!C2:C1586,'Review Sequence'!I2:I1586),"")</x:f>
        <x:v>Not Started</x:v>
      </x:c>
      <x:c r="G557" s="6" t="str">
        <x:f>IFERROR(XLOOKUP(C557,'Review Sequence'!C2:C1586,'Review Sequence'!J2:J1586),"")</x:f>
        <x:v>Not Started</x:v>
      </x:c>
      <x:c r="H557" s="7" t="str">
        <x:f>IFERROR(XLOOKUP(C557,'Review Sequence'!C2:C1586,'Review Sequence'!O2:O1586),"")</x:f>
      </x:c>
      <x:c r="I557" s="6" t="str">
        <x:f>IFERROR(XLOOKUP(C557,'Review Sequence'!C2:C1586,'Review Sequence'!P2:P1586),"")</x:f>
        <x:v>Yes</x:v>
      </x:c>
    </x:row>
    <x:row r="558">
      <x:c r="A558" s="6" t="str">
        <x:v>BLK-0557</x:v>
      </x:c>
      <x:c r="B558" s="6" t="str">
        <x:v>Manufacturer Scope</x:v>
      </x:c>
      <x:c r="C558" s="6" t="str">
        <x:v>MFRX-0228</x:v>
      </x:c>
      <x:c r="D558" s="6" t="str">
        <x:v>SVC000228</x:v>
      </x:c>
      <x:c r="E558" s="6" t="str"/>
      <x:c r="F558" s="6" t="str">
        <x:f>IFERROR(XLOOKUP(C558,'Review Sequence'!C2:C1586,'Review Sequence'!I2:I1586),"")</x:f>
        <x:v>Not Started</x:v>
      </x:c>
      <x:c r="G558" s="6" t="str">
        <x:f>IFERROR(XLOOKUP(C558,'Review Sequence'!C2:C1586,'Review Sequence'!J2:J1586),"")</x:f>
        <x:v>Not Started</x:v>
      </x:c>
      <x:c r="H558" s="7" t="str">
        <x:f>IFERROR(XLOOKUP(C558,'Review Sequence'!C2:C1586,'Review Sequence'!O2:O1586),"")</x:f>
      </x:c>
      <x:c r="I558" s="6" t="str">
        <x:f>IFERROR(XLOOKUP(C558,'Review Sequence'!C2:C1586,'Review Sequence'!P2:P1586),"")</x:f>
        <x:v>Yes</x:v>
      </x:c>
    </x:row>
    <x:row r="559">
      <x:c r="A559" s="6" t="str">
        <x:v>BLK-0558</x:v>
      </x:c>
      <x:c r="B559" s="6" t="str">
        <x:v>Manufacturer Scope</x:v>
      </x:c>
      <x:c r="C559" s="6" t="str">
        <x:v>MFRX-0229</x:v>
      </x:c>
      <x:c r="D559" s="6" t="str">
        <x:v>SVC000229</x:v>
      </x:c>
      <x:c r="E559" s="6" t="str"/>
      <x:c r="F559" s="6" t="str">
        <x:f>IFERROR(XLOOKUP(C559,'Review Sequence'!C2:C1586,'Review Sequence'!I2:I1586),"")</x:f>
        <x:v>Not Started</x:v>
      </x:c>
      <x:c r="G559" s="6" t="str">
        <x:f>IFERROR(XLOOKUP(C559,'Review Sequence'!C2:C1586,'Review Sequence'!J2:J1586),"")</x:f>
        <x:v>Not Started</x:v>
      </x:c>
      <x:c r="H559" s="7" t="str">
        <x:f>IFERROR(XLOOKUP(C559,'Review Sequence'!C2:C1586,'Review Sequence'!O2:O1586),"")</x:f>
      </x:c>
      <x:c r="I559" s="6" t="str">
        <x:f>IFERROR(XLOOKUP(C559,'Review Sequence'!C2:C1586,'Review Sequence'!P2:P1586),"")</x:f>
        <x:v>Yes</x:v>
      </x:c>
    </x:row>
    <x:row r="560">
      <x:c r="A560" s="6" t="str">
        <x:v>BLK-0559</x:v>
      </x:c>
      <x:c r="B560" s="6" t="str">
        <x:v>Manufacturer Scope</x:v>
      </x:c>
      <x:c r="C560" s="6" t="str">
        <x:v>MFRX-0230</x:v>
      </x:c>
      <x:c r="D560" s="6" t="str">
        <x:v>SVC000230</x:v>
      </x:c>
      <x:c r="E560" s="6" t="str"/>
      <x:c r="F560" s="6" t="str">
        <x:f>IFERROR(XLOOKUP(C560,'Review Sequence'!C2:C1586,'Review Sequence'!I2:I1586),"")</x:f>
        <x:v>Not Started</x:v>
      </x:c>
      <x:c r="G560" s="6" t="str">
        <x:f>IFERROR(XLOOKUP(C560,'Review Sequence'!C2:C1586,'Review Sequence'!J2:J1586),"")</x:f>
        <x:v>Not Started</x:v>
      </x:c>
      <x:c r="H560" s="7" t="str">
        <x:f>IFERROR(XLOOKUP(C560,'Review Sequence'!C2:C1586,'Review Sequence'!O2:O1586),"")</x:f>
      </x:c>
      <x:c r="I560" s="6" t="str">
        <x:f>IFERROR(XLOOKUP(C560,'Review Sequence'!C2:C1586,'Review Sequence'!P2:P1586),"")</x:f>
        <x:v>Yes</x:v>
      </x:c>
    </x:row>
    <x:row r="561">
      <x:c r="A561" s="6" t="str">
        <x:v>BLK-0560</x:v>
      </x:c>
      <x:c r="B561" s="6" t="str">
        <x:v>Manufacturer Scope</x:v>
      </x:c>
      <x:c r="C561" s="6" t="str">
        <x:v>MFRX-0231</x:v>
      </x:c>
      <x:c r="D561" s="6" t="str">
        <x:v>SVC000231</x:v>
      </x:c>
      <x:c r="E561" s="6" t="str"/>
      <x:c r="F561" s="6" t="str">
        <x:f>IFERROR(XLOOKUP(C561,'Review Sequence'!C2:C1586,'Review Sequence'!I2:I1586),"")</x:f>
        <x:v>Not Started</x:v>
      </x:c>
      <x:c r="G561" s="6" t="str">
        <x:f>IFERROR(XLOOKUP(C561,'Review Sequence'!C2:C1586,'Review Sequence'!J2:J1586),"")</x:f>
        <x:v>Not Started</x:v>
      </x:c>
      <x:c r="H561" s="7" t="str">
        <x:f>IFERROR(XLOOKUP(C561,'Review Sequence'!C2:C1586,'Review Sequence'!O2:O1586),"")</x:f>
      </x:c>
      <x:c r="I561" s="6" t="str">
        <x:f>IFERROR(XLOOKUP(C561,'Review Sequence'!C2:C1586,'Review Sequence'!P2:P1586),"")</x:f>
        <x:v>Yes</x:v>
      </x:c>
    </x:row>
    <x:row r="562">
      <x:c r="A562" s="6" t="str">
        <x:v>BLK-0561</x:v>
      </x:c>
      <x:c r="B562" s="6" t="str">
        <x:v>Manufacturer Scope</x:v>
      </x:c>
      <x:c r="C562" s="6" t="str">
        <x:v>MFRX-0232</x:v>
      </x:c>
      <x:c r="D562" s="6" t="str">
        <x:v>SVC000232</x:v>
      </x:c>
      <x:c r="E562" s="6" t="str"/>
      <x:c r="F562" s="6" t="str">
        <x:f>IFERROR(XLOOKUP(C562,'Review Sequence'!C2:C1586,'Review Sequence'!I2:I1586),"")</x:f>
        <x:v>Not Started</x:v>
      </x:c>
      <x:c r="G562" s="6" t="str">
        <x:f>IFERROR(XLOOKUP(C562,'Review Sequence'!C2:C1586,'Review Sequence'!J2:J1586),"")</x:f>
        <x:v>Not Started</x:v>
      </x:c>
      <x:c r="H562" s="7" t="str">
        <x:f>IFERROR(XLOOKUP(C562,'Review Sequence'!C2:C1586,'Review Sequence'!O2:O1586),"")</x:f>
      </x:c>
      <x:c r="I562" s="6" t="str">
        <x:f>IFERROR(XLOOKUP(C562,'Review Sequence'!C2:C1586,'Review Sequence'!P2:P1586),"")</x:f>
        <x:v>Yes</x:v>
      </x:c>
    </x:row>
    <x:row r="563">
      <x:c r="A563" s="6" t="str">
        <x:v>BLK-0562</x:v>
      </x:c>
      <x:c r="B563" s="6" t="str">
        <x:v>Manufacturer Scope</x:v>
      </x:c>
      <x:c r="C563" s="6" t="str">
        <x:v>MFRX-0233</x:v>
      </x:c>
      <x:c r="D563" s="6" t="str">
        <x:v>SVC000233</x:v>
      </x:c>
      <x:c r="E563" s="6" t="str"/>
      <x:c r="F563" s="6" t="str">
        <x:f>IFERROR(XLOOKUP(C563,'Review Sequence'!C2:C1586,'Review Sequence'!I2:I1586),"")</x:f>
        <x:v>Not Started</x:v>
      </x:c>
      <x:c r="G563" s="6" t="str">
        <x:f>IFERROR(XLOOKUP(C563,'Review Sequence'!C2:C1586,'Review Sequence'!J2:J1586),"")</x:f>
        <x:v>Not Started</x:v>
      </x:c>
      <x:c r="H563" s="7" t="str">
        <x:f>IFERROR(XLOOKUP(C563,'Review Sequence'!C2:C1586,'Review Sequence'!O2:O1586),"")</x:f>
      </x:c>
      <x:c r="I563" s="6" t="str">
        <x:f>IFERROR(XLOOKUP(C563,'Review Sequence'!C2:C1586,'Review Sequence'!P2:P1586),"")</x:f>
        <x:v>Yes</x:v>
      </x:c>
    </x:row>
    <x:row r="564">
      <x:c r="A564" s="6" t="str">
        <x:v>BLK-0563</x:v>
      </x:c>
      <x:c r="B564" s="6" t="str">
        <x:v>Manufacturer Scope</x:v>
      </x:c>
      <x:c r="C564" s="6" t="str">
        <x:v>MFRX-0234</x:v>
      </x:c>
      <x:c r="D564" s="6" t="str">
        <x:v>SVC000234</x:v>
      </x:c>
      <x:c r="E564" s="6" t="str"/>
      <x:c r="F564" s="6" t="str">
        <x:f>IFERROR(XLOOKUP(C564,'Review Sequence'!C2:C1586,'Review Sequence'!I2:I1586),"")</x:f>
        <x:v>Not Started</x:v>
      </x:c>
      <x:c r="G564" s="6" t="str">
        <x:f>IFERROR(XLOOKUP(C564,'Review Sequence'!C2:C1586,'Review Sequence'!J2:J1586),"")</x:f>
        <x:v>Not Started</x:v>
      </x:c>
      <x:c r="H564" s="7" t="str">
        <x:f>IFERROR(XLOOKUP(C564,'Review Sequence'!C2:C1586,'Review Sequence'!O2:O1586),"")</x:f>
      </x:c>
      <x:c r="I564" s="6" t="str">
        <x:f>IFERROR(XLOOKUP(C564,'Review Sequence'!C2:C1586,'Review Sequence'!P2:P1586),"")</x:f>
        <x:v>Yes</x:v>
      </x:c>
    </x:row>
    <x:row r="565">
      <x:c r="A565" s="6" t="str">
        <x:v>BLK-0564</x:v>
      </x:c>
      <x:c r="B565" s="6" t="str">
        <x:v>Manufacturer Scope</x:v>
      </x:c>
      <x:c r="C565" s="6" t="str">
        <x:v>MFRX-0235</x:v>
      </x:c>
      <x:c r="D565" s="6" t="str">
        <x:v>SVC000235</x:v>
      </x:c>
      <x:c r="E565" s="6" t="str"/>
      <x:c r="F565" s="6" t="str">
        <x:f>IFERROR(XLOOKUP(C565,'Review Sequence'!C2:C1586,'Review Sequence'!I2:I1586),"")</x:f>
        <x:v>Not Started</x:v>
      </x:c>
      <x:c r="G565" s="6" t="str">
        <x:f>IFERROR(XLOOKUP(C565,'Review Sequence'!C2:C1586,'Review Sequence'!J2:J1586),"")</x:f>
        <x:v>Not Started</x:v>
      </x:c>
      <x:c r="H565" s="7" t="str">
        <x:f>IFERROR(XLOOKUP(C565,'Review Sequence'!C2:C1586,'Review Sequence'!O2:O1586),"")</x:f>
      </x:c>
      <x:c r="I565" s="6" t="str">
        <x:f>IFERROR(XLOOKUP(C565,'Review Sequence'!C2:C1586,'Review Sequence'!P2:P1586),"")</x:f>
        <x:v>Yes</x:v>
      </x:c>
    </x:row>
    <x:row r="566">
      <x:c r="A566" s="6" t="str">
        <x:v>BLK-0565</x:v>
      </x:c>
      <x:c r="B566" s="6" t="str">
        <x:v>Manufacturer Scope</x:v>
      </x:c>
      <x:c r="C566" s="6" t="str">
        <x:v>MFRX-0236</x:v>
      </x:c>
      <x:c r="D566" s="6" t="str">
        <x:v>SVC000236</x:v>
      </x:c>
      <x:c r="E566" s="6" t="str"/>
      <x:c r="F566" s="6" t="str">
        <x:f>IFERROR(XLOOKUP(C566,'Review Sequence'!C2:C1586,'Review Sequence'!I2:I1586),"")</x:f>
        <x:v>Not Started</x:v>
      </x:c>
      <x:c r="G566" s="6" t="str">
        <x:f>IFERROR(XLOOKUP(C566,'Review Sequence'!C2:C1586,'Review Sequence'!J2:J1586),"")</x:f>
        <x:v>Not Started</x:v>
      </x:c>
      <x:c r="H566" s="7" t="str">
        <x:f>IFERROR(XLOOKUP(C566,'Review Sequence'!C2:C1586,'Review Sequence'!O2:O1586),"")</x:f>
      </x:c>
      <x:c r="I566" s="6" t="str">
        <x:f>IFERROR(XLOOKUP(C566,'Review Sequence'!C2:C1586,'Review Sequence'!P2:P1586),"")</x:f>
        <x:v>Yes</x:v>
      </x:c>
    </x:row>
    <x:row r="567">
      <x:c r="A567" s="6" t="str">
        <x:v>BLK-0566</x:v>
      </x:c>
      <x:c r="B567" s="6" t="str">
        <x:v>Manufacturer Scope</x:v>
      </x:c>
      <x:c r="C567" s="6" t="str">
        <x:v>MFRX-0237</x:v>
      </x:c>
      <x:c r="D567" s="6" t="str">
        <x:v>SVC000237</x:v>
      </x:c>
      <x:c r="E567" s="6" t="str"/>
      <x:c r="F567" s="6" t="str">
        <x:f>IFERROR(XLOOKUP(C567,'Review Sequence'!C2:C1586,'Review Sequence'!I2:I1586),"")</x:f>
        <x:v>Not Started</x:v>
      </x:c>
      <x:c r="G567" s="6" t="str">
        <x:f>IFERROR(XLOOKUP(C567,'Review Sequence'!C2:C1586,'Review Sequence'!J2:J1586),"")</x:f>
        <x:v>Not Started</x:v>
      </x:c>
      <x:c r="H567" s="7" t="str">
        <x:f>IFERROR(XLOOKUP(C567,'Review Sequence'!C2:C1586,'Review Sequence'!O2:O1586),"")</x:f>
      </x:c>
      <x:c r="I567" s="6" t="str">
        <x:f>IFERROR(XLOOKUP(C567,'Review Sequence'!C2:C1586,'Review Sequence'!P2:P1586),"")</x:f>
        <x:v>Yes</x:v>
      </x:c>
    </x:row>
    <x:row r="568">
      <x:c r="A568" s="6" t="str">
        <x:v>BLK-0567</x:v>
      </x:c>
      <x:c r="B568" s="6" t="str">
        <x:v>Manufacturer Scope</x:v>
      </x:c>
      <x:c r="C568" s="6" t="str">
        <x:v>MFRX-0238</x:v>
      </x:c>
      <x:c r="D568" s="6" t="str">
        <x:v>SVC000238</x:v>
      </x:c>
      <x:c r="E568" s="6" t="str"/>
      <x:c r="F568" s="6" t="str">
        <x:f>IFERROR(XLOOKUP(C568,'Review Sequence'!C2:C1586,'Review Sequence'!I2:I1586),"")</x:f>
        <x:v>Not Started</x:v>
      </x:c>
      <x:c r="G568" s="6" t="str">
        <x:f>IFERROR(XLOOKUP(C568,'Review Sequence'!C2:C1586,'Review Sequence'!J2:J1586),"")</x:f>
        <x:v>Not Started</x:v>
      </x:c>
      <x:c r="H568" s="7" t="str">
        <x:f>IFERROR(XLOOKUP(C568,'Review Sequence'!C2:C1586,'Review Sequence'!O2:O1586),"")</x:f>
      </x:c>
      <x:c r="I568" s="6" t="str">
        <x:f>IFERROR(XLOOKUP(C568,'Review Sequence'!C2:C1586,'Review Sequence'!P2:P1586),"")</x:f>
        <x:v>Yes</x:v>
      </x:c>
    </x:row>
    <x:row r="569">
      <x:c r="A569" s="6" t="str">
        <x:v>BLK-0568</x:v>
      </x:c>
      <x:c r="B569" s="6" t="str">
        <x:v>Manufacturer Scope</x:v>
      </x:c>
      <x:c r="C569" s="6" t="str">
        <x:v>MFRX-0239</x:v>
      </x:c>
      <x:c r="D569" s="6" t="str">
        <x:v>SVC000239</x:v>
      </x:c>
      <x:c r="E569" s="6" t="str"/>
      <x:c r="F569" s="6" t="str">
        <x:f>IFERROR(XLOOKUP(C569,'Review Sequence'!C2:C1586,'Review Sequence'!I2:I1586),"")</x:f>
        <x:v>Not Started</x:v>
      </x:c>
      <x:c r="G569" s="6" t="str">
        <x:f>IFERROR(XLOOKUP(C569,'Review Sequence'!C2:C1586,'Review Sequence'!J2:J1586),"")</x:f>
        <x:v>Not Started</x:v>
      </x:c>
      <x:c r="H569" s="7" t="str">
        <x:f>IFERROR(XLOOKUP(C569,'Review Sequence'!C2:C1586,'Review Sequence'!O2:O1586),"")</x:f>
      </x:c>
      <x:c r="I569" s="6" t="str">
        <x:f>IFERROR(XLOOKUP(C569,'Review Sequence'!C2:C1586,'Review Sequence'!P2:P1586),"")</x:f>
        <x:v>Yes</x:v>
      </x:c>
    </x:row>
    <x:row r="570">
      <x:c r="A570" s="6" t="str">
        <x:v>BLK-0569</x:v>
      </x:c>
      <x:c r="B570" s="6" t="str">
        <x:v>Manufacturer Scope</x:v>
      </x:c>
      <x:c r="C570" s="6" t="str">
        <x:v>MFRX-0240</x:v>
      </x:c>
      <x:c r="D570" s="6" t="str">
        <x:v>SVC000240</x:v>
      </x:c>
      <x:c r="E570" s="6" t="str"/>
      <x:c r="F570" s="6" t="str">
        <x:f>IFERROR(XLOOKUP(C570,'Review Sequence'!C2:C1586,'Review Sequence'!I2:I1586),"")</x:f>
        <x:v>Not Started</x:v>
      </x:c>
      <x:c r="G570" s="6" t="str">
        <x:f>IFERROR(XLOOKUP(C570,'Review Sequence'!C2:C1586,'Review Sequence'!J2:J1586),"")</x:f>
        <x:v>Not Started</x:v>
      </x:c>
      <x:c r="H570" s="7" t="str">
        <x:f>IFERROR(XLOOKUP(C570,'Review Sequence'!C2:C1586,'Review Sequence'!O2:O1586),"")</x:f>
      </x:c>
      <x:c r="I570" s="6" t="str">
        <x:f>IFERROR(XLOOKUP(C570,'Review Sequence'!C2:C1586,'Review Sequence'!P2:P1586),"")</x:f>
        <x:v>Yes</x:v>
      </x:c>
    </x:row>
    <x:row r="571">
      <x:c r="A571" s="6" t="str">
        <x:v>BLK-0570</x:v>
      </x:c>
      <x:c r="B571" s="6" t="str">
        <x:v>Manufacturer Scope</x:v>
      </x:c>
      <x:c r="C571" s="6" t="str">
        <x:v>MFRX-0241</x:v>
      </x:c>
      <x:c r="D571" s="6" t="str">
        <x:v>SVC000241</x:v>
      </x:c>
      <x:c r="E571" s="6" t="str"/>
      <x:c r="F571" s="6" t="str">
        <x:f>IFERROR(XLOOKUP(C571,'Review Sequence'!C2:C1586,'Review Sequence'!I2:I1586),"")</x:f>
        <x:v>Not Started</x:v>
      </x:c>
      <x:c r="G571" s="6" t="str">
        <x:f>IFERROR(XLOOKUP(C571,'Review Sequence'!C2:C1586,'Review Sequence'!J2:J1586),"")</x:f>
        <x:v>Not Started</x:v>
      </x:c>
      <x:c r="H571" s="7" t="str">
        <x:f>IFERROR(XLOOKUP(C571,'Review Sequence'!C2:C1586,'Review Sequence'!O2:O1586),"")</x:f>
      </x:c>
      <x:c r="I571" s="6" t="str">
        <x:f>IFERROR(XLOOKUP(C571,'Review Sequence'!C2:C1586,'Review Sequence'!P2:P1586),"")</x:f>
        <x:v>Yes</x:v>
      </x:c>
    </x:row>
    <x:row r="572">
      <x:c r="A572" s="6" t="str">
        <x:v>BLK-0571</x:v>
      </x:c>
      <x:c r="B572" s="6" t="str">
        <x:v>Manufacturer Scope</x:v>
      </x:c>
      <x:c r="C572" s="6" t="str">
        <x:v>MFRX-0242</x:v>
      </x:c>
      <x:c r="D572" s="6" t="str">
        <x:v>SVC000242</x:v>
      </x:c>
      <x:c r="E572" s="6" t="str"/>
      <x:c r="F572" s="6" t="str">
        <x:f>IFERROR(XLOOKUP(C572,'Review Sequence'!C2:C1586,'Review Sequence'!I2:I1586),"")</x:f>
        <x:v>Not Started</x:v>
      </x:c>
      <x:c r="G572" s="6" t="str">
        <x:f>IFERROR(XLOOKUP(C572,'Review Sequence'!C2:C1586,'Review Sequence'!J2:J1586),"")</x:f>
        <x:v>Not Started</x:v>
      </x:c>
      <x:c r="H572" s="7" t="str">
        <x:f>IFERROR(XLOOKUP(C572,'Review Sequence'!C2:C1586,'Review Sequence'!O2:O1586),"")</x:f>
      </x:c>
      <x:c r="I572" s="6" t="str">
        <x:f>IFERROR(XLOOKUP(C572,'Review Sequence'!C2:C1586,'Review Sequence'!P2:P1586),"")</x:f>
        <x:v>Yes</x:v>
      </x:c>
    </x:row>
    <x:row r="573">
      <x:c r="A573" s="6" t="str">
        <x:v>BLK-0572</x:v>
      </x:c>
      <x:c r="B573" s="6" t="str">
        <x:v>Manufacturer Scope</x:v>
      </x:c>
      <x:c r="C573" s="6" t="str">
        <x:v>MFRX-0243</x:v>
      </x:c>
      <x:c r="D573" s="6" t="str">
        <x:v>SVC000243</x:v>
      </x:c>
      <x:c r="E573" s="6" t="str"/>
      <x:c r="F573" s="6" t="str">
        <x:f>IFERROR(XLOOKUP(C573,'Review Sequence'!C2:C1586,'Review Sequence'!I2:I1586),"")</x:f>
        <x:v>Not Started</x:v>
      </x:c>
      <x:c r="G573" s="6" t="str">
        <x:f>IFERROR(XLOOKUP(C573,'Review Sequence'!C2:C1586,'Review Sequence'!J2:J1586),"")</x:f>
        <x:v>Not Started</x:v>
      </x:c>
      <x:c r="H573" s="7" t="str">
        <x:f>IFERROR(XLOOKUP(C573,'Review Sequence'!C2:C1586,'Review Sequence'!O2:O1586),"")</x:f>
      </x:c>
      <x:c r="I573" s="6" t="str">
        <x:f>IFERROR(XLOOKUP(C573,'Review Sequence'!C2:C1586,'Review Sequence'!P2:P1586),"")</x:f>
        <x:v>Yes</x:v>
      </x:c>
    </x:row>
    <x:row r="574">
      <x:c r="A574" s="6" t="str">
        <x:v>BLK-0573</x:v>
      </x:c>
      <x:c r="B574" s="6" t="str">
        <x:v>Manufacturer Scope</x:v>
      </x:c>
      <x:c r="C574" s="6" t="str">
        <x:v>MFRX-0244</x:v>
      </x:c>
      <x:c r="D574" s="6" t="str">
        <x:v>SVC000244</x:v>
      </x:c>
      <x:c r="E574" s="6" t="str"/>
      <x:c r="F574" s="6" t="str">
        <x:f>IFERROR(XLOOKUP(C574,'Review Sequence'!C2:C1586,'Review Sequence'!I2:I1586),"")</x:f>
        <x:v>Not Started</x:v>
      </x:c>
      <x:c r="G574" s="6" t="str">
        <x:f>IFERROR(XLOOKUP(C574,'Review Sequence'!C2:C1586,'Review Sequence'!J2:J1586),"")</x:f>
        <x:v>Not Started</x:v>
      </x:c>
      <x:c r="H574" s="7" t="str">
        <x:f>IFERROR(XLOOKUP(C574,'Review Sequence'!C2:C1586,'Review Sequence'!O2:O1586),"")</x:f>
      </x:c>
      <x:c r="I574" s="6" t="str">
        <x:f>IFERROR(XLOOKUP(C574,'Review Sequence'!C2:C1586,'Review Sequence'!P2:P1586),"")</x:f>
        <x:v>Yes</x:v>
      </x:c>
    </x:row>
    <x:row r="575">
      <x:c r="A575" s="6" t="str">
        <x:v>BLK-0574</x:v>
      </x:c>
      <x:c r="B575" s="6" t="str">
        <x:v>Manufacturer Scope</x:v>
      </x:c>
      <x:c r="C575" s="6" t="str">
        <x:v>MFRX-0245</x:v>
      </x:c>
      <x:c r="D575" s="6" t="str">
        <x:v>SVC000245</x:v>
      </x:c>
      <x:c r="E575" s="6" t="str"/>
      <x:c r="F575" s="6" t="str">
        <x:f>IFERROR(XLOOKUP(C575,'Review Sequence'!C2:C1586,'Review Sequence'!I2:I1586),"")</x:f>
        <x:v>Not Started</x:v>
      </x:c>
      <x:c r="G575" s="6" t="str">
        <x:f>IFERROR(XLOOKUP(C575,'Review Sequence'!C2:C1586,'Review Sequence'!J2:J1586),"")</x:f>
        <x:v>Not Started</x:v>
      </x:c>
      <x:c r="H575" s="7" t="str">
        <x:f>IFERROR(XLOOKUP(C575,'Review Sequence'!C2:C1586,'Review Sequence'!O2:O1586),"")</x:f>
      </x:c>
      <x:c r="I575" s="6" t="str">
        <x:f>IFERROR(XLOOKUP(C575,'Review Sequence'!C2:C1586,'Review Sequence'!P2:P1586),"")</x:f>
        <x:v>Yes</x:v>
      </x:c>
    </x:row>
    <x:row r="576">
      <x:c r="A576" s="6" t="str">
        <x:v>BLK-0575</x:v>
      </x:c>
      <x:c r="B576" s="6" t="str">
        <x:v>Manufacturer Scope</x:v>
      </x:c>
      <x:c r="C576" s="6" t="str">
        <x:v>MFRX-0246</x:v>
      </x:c>
      <x:c r="D576" s="6" t="str">
        <x:v>SVC000246</x:v>
      </x:c>
      <x:c r="E576" s="6" t="str"/>
      <x:c r="F576" s="6" t="str">
        <x:f>IFERROR(XLOOKUP(C576,'Review Sequence'!C2:C1586,'Review Sequence'!I2:I1586),"")</x:f>
        <x:v>Not Started</x:v>
      </x:c>
      <x:c r="G576" s="6" t="str">
        <x:f>IFERROR(XLOOKUP(C576,'Review Sequence'!C2:C1586,'Review Sequence'!J2:J1586),"")</x:f>
        <x:v>Not Started</x:v>
      </x:c>
      <x:c r="H576" s="7" t="str">
        <x:f>IFERROR(XLOOKUP(C576,'Review Sequence'!C2:C1586,'Review Sequence'!O2:O1586),"")</x:f>
      </x:c>
      <x:c r="I576" s="6" t="str">
        <x:f>IFERROR(XLOOKUP(C576,'Review Sequence'!C2:C1586,'Review Sequence'!P2:P1586),"")</x:f>
        <x:v>Yes</x:v>
      </x:c>
    </x:row>
    <x:row r="577">
      <x:c r="A577" s="6" t="str">
        <x:v>BLK-0576</x:v>
      </x:c>
      <x:c r="B577" s="6" t="str">
        <x:v>Manufacturer Scope</x:v>
      </x:c>
      <x:c r="C577" s="6" t="str">
        <x:v>MFRX-0247</x:v>
      </x:c>
      <x:c r="D577" s="6" t="str">
        <x:v>SVC000247</x:v>
      </x:c>
      <x:c r="E577" s="6" t="str"/>
      <x:c r="F577" s="6" t="str">
        <x:f>IFERROR(XLOOKUP(C577,'Review Sequence'!C2:C1586,'Review Sequence'!I2:I1586),"")</x:f>
        <x:v>Not Started</x:v>
      </x:c>
      <x:c r="G577" s="6" t="str">
        <x:f>IFERROR(XLOOKUP(C577,'Review Sequence'!C2:C1586,'Review Sequence'!J2:J1586),"")</x:f>
        <x:v>Not Started</x:v>
      </x:c>
      <x:c r="H577" s="7" t="str">
        <x:f>IFERROR(XLOOKUP(C577,'Review Sequence'!C2:C1586,'Review Sequence'!O2:O1586),"")</x:f>
      </x:c>
      <x:c r="I577" s="6" t="str">
        <x:f>IFERROR(XLOOKUP(C577,'Review Sequence'!C2:C1586,'Review Sequence'!P2:P1586),"")</x:f>
        <x:v>Yes</x:v>
      </x:c>
    </x:row>
    <x:row r="578">
      <x:c r="A578" s="6" t="str">
        <x:v>BLK-0577</x:v>
      </x:c>
      <x:c r="B578" s="6" t="str">
        <x:v>Manufacturer Scope</x:v>
      </x:c>
      <x:c r="C578" s="6" t="str">
        <x:v>MFRX-0248</x:v>
      </x:c>
      <x:c r="D578" s="6" t="str">
        <x:v>SVC000248</x:v>
      </x:c>
      <x:c r="E578" s="6" t="str"/>
      <x:c r="F578" s="6" t="str">
        <x:f>IFERROR(XLOOKUP(C578,'Review Sequence'!C2:C1586,'Review Sequence'!I2:I1586),"")</x:f>
        <x:v>Not Started</x:v>
      </x:c>
      <x:c r="G578" s="6" t="str">
        <x:f>IFERROR(XLOOKUP(C578,'Review Sequence'!C2:C1586,'Review Sequence'!J2:J1586),"")</x:f>
        <x:v>Not Started</x:v>
      </x:c>
      <x:c r="H578" s="7" t="str">
        <x:f>IFERROR(XLOOKUP(C578,'Review Sequence'!C2:C1586,'Review Sequence'!O2:O1586),"")</x:f>
      </x:c>
      <x:c r="I578" s="6" t="str">
        <x:f>IFERROR(XLOOKUP(C578,'Review Sequence'!C2:C1586,'Review Sequence'!P2:P1586),"")</x:f>
        <x:v>Yes</x:v>
      </x:c>
    </x:row>
    <x:row r="579">
      <x:c r="A579" s="6" t="str">
        <x:v>BLK-0578</x:v>
      </x:c>
      <x:c r="B579" s="6" t="str">
        <x:v>Manufacturer Scope</x:v>
      </x:c>
      <x:c r="C579" s="6" t="str">
        <x:v>MFRX-0249</x:v>
      </x:c>
      <x:c r="D579" s="6" t="str">
        <x:v>SVC000249</x:v>
      </x:c>
      <x:c r="E579" s="6" t="str"/>
      <x:c r="F579" s="6" t="str">
        <x:f>IFERROR(XLOOKUP(C579,'Review Sequence'!C2:C1586,'Review Sequence'!I2:I1586),"")</x:f>
        <x:v>Not Started</x:v>
      </x:c>
      <x:c r="G579" s="6" t="str">
        <x:f>IFERROR(XLOOKUP(C579,'Review Sequence'!C2:C1586,'Review Sequence'!J2:J1586),"")</x:f>
        <x:v>Not Started</x:v>
      </x:c>
      <x:c r="H579" s="7" t="str">
        <x:f>IFERROR(XLOOKUP(C579,'Review Sequence'!C2:C1586,'Review Sequence'!O2:O1586),"")</x:f>
      </x:c>
      <x:c r="I579" s="6" t="str">
        <x:f>IFERROR(XLOOKUP(C579,'Review Sequence'!C2:C1586,'Review Sequence'!P2:P1586),"")</x:f>
        <x:v>Yes</x:v>
      </x:c>
    </x:row>
    <x:row r="580">
      <x:c r="A580" s="6" t="str">
        <x:v>BLK-0579</x:v>
      </x:c>
      <x:c r="B580" s="6" t="str">
        <x:v>Manufacturer Scope</x:v>
      </x:c>
      <x:c r="C580" s="6" t="str">
        <x:v>MFRX-0250</x:v>
      </x:c>
      <x:c r="D580" s="6" t="str">
        <x:v>SVC000250</x:v>
      </x:c>
      <x:c r="E580" s="6" t="str"/>
      <x:c r="F580" s="6" t="str">
        <x:f>IFERROR(XLOOKUP(C580,'Review Sequence'!C2:C1586,'Review Sequence'!I2:I1586),"")</x:f>
        <x:v>Not Started</x:v>
      </x:c>
      <x:c r="G580" s="6" t="str">
        <x:f>IFERROR(XLOOKUP(C580,'Review Sequence'!C2:C1586,'Review Sequence'!J2:J1586),"")</x:f>
        <x:v>Not Started</x:v>
      </x:c>
      <x:c r="H580" s="7" t="str">
        <x:f>IFERROR(XLOOKUP(C580,'Review Sequence'!C2:C1586,'Review Sequence'!O2:O1586),"")</x:f>
      </x:c>
      <x:c r="I580" s="6" t="str">
        <x:f>IFERROR(XLOOKUP(C580,'Review Sequence'!C2:C1586,'Review Sequence'!P2:P1586),"")</x:f>
        <x:v>Yes</x:v>
      </x:c>
    </x:row>
    <x:row r="581">
      <x:c r="A581" s="6" t="str">
        <x:v>BLK-0580</x:v>
      </x:c>
      <x:c r="B581" s="6" t="str">
        <x:v>Manufacturer Scope</x:v>
      </x:c>
      <x:c r="C581" s="6" t="str">
        <x:v>MFRX-0251</x:v>
      </x:c>
      <x:c r="D581" s="6" t="str">
        <x:v>SVC000251</x:v>
      </x:c>
      <x:c r="E581" s="6" t="str"/>
      <x:c r="F581" s="6" t="str">
        <x:f>IFERROR(XLOOKUP(C581,'Review Sequence'!C2:C1586,'Review Sequence'!I2:I1586),"")</x:f>
        <x:v>Not Started</x:v>
      </x:c>
      <x:c r="G581" s="6" t="str">
        <x:f>IFERROR(XLOOKUP(C581,'Review Sequence'!C2:C1586,'Review Sequence'!J2:J1586),"")</x:f>
        <x:v>Not Started</x:v>
      </x:c>
      <x:c r="H581" s="7" t="str">
        <x:f>IFERROR(XLOOKUP(C581,'Review Sequence'!C2:C1586,'Review Sequence'!O2:O1586),"")</x:f>
      </x:c>
      <x:c r="I581" s="6" t="str">
        <x:f>IFERROR(XLOOKUP(C581,'Review Sequence'!C2:C1586,'Review Sequence'!P2:P1586),"")</x:f>
        <x:v>Yes</x:v>
      </x:c>
    </x:row>
    <x:row r="582">
      <x:c r="A582" s="6" t="str">
        <x:v>BLK-0581</x:v>
      </x:c>
      <x:c r="B582" s="6" t="str">
        <x:v>Manufacturer Scope</x:v>
      </x:c>
      <x:c r="C582" s="6" t="str">
        <x:v>MFRX-0252</x:v>
      </x:c>
      <x:c r="D582" s="6" t="str">
        <x:v>SVC000252</x:v>
      </x:c>
      <x:c r="E582" s="6" t="str"/>
      <x:c r="F582" s="6" t="str">
        <x:f>IFERROR(XLOOKUP(C582,'Review Sequence'!C2:C1586,'Review Sequence'!I2:I1586),"")</x:f>
        <x:v>Not Started</x:v>
      </x:c>
      <x:c r="G582" s="6" t="str">
        <x:f>IFERROR(XLOOKUP(C582,'Review Sequence'!C2:C1586,'Review Sequence'!J2:J1586),"")</x:f>
        <x:v>Not Started</x:v>
      </x:c>
      <x:c r="H582" s="7" t="str">
        <x:f>IFERROR(XLOOKUP(C582,'Review Sequence'!C2:C1586,'Review Sequence'!O2:O1586),"")</x:f>
      </x:c>
      <x:c r="I582" s="6" t="str">
        <x:f>IFERROR(XLOOKUP(C582,'Review Sequence'!C2:C1586,'Review Sequence'!P2:P1586),"")</x:f>
        <x:v>Yes</x:v>
      </x:c>
    </x:row>
    <x:row r="583">
      <x:c r="A583" s="6" t="str">
        <x:v>BLK-0582</x:v>
      </x:c>
      <x:c r="B583" s="6" t="str">
        <x:v>Manufacturer Scope</x:v>
      </x:c>
      <x:c r="C583" s="6" t="str">
        <x:v>MFRX-0253</x:v>
      </x:c>
      <x:c r="D583" s="6" t="str">
        <x:v>SVC000253</x:v>
      </x:c>
      <x:c r="E583" s="6" t="str"/>
      <x:c r="F583" s="6" t="str">
        <x:f>IFERROR(XLOOKUP(C583,'Review Sequence'!C2:C1586,'Review Sequence'!I2:I1586),"")</x:f>
        <x:v>Not Started</x:v>
      </x:c>
      <x:c r="G583" s="6" t="str">
        <x:f>IFERROR(XLOOKUP(C583,'Review Sequence'!C2:C1586,'Review Sequence'!J2:J1586),"")</x:f>
        <x:v>Not Started</x:v>
      </x:c>
      <x:c r="H583" s="7" t="str">
        <x:f>IFERROR(XLOOKUP(C583,'Review Sequence'!C2:C1586,'Review Sequence'!O2:O1586),"")</x:f>
      </x:c>
      <x:c r="I583" s="6" t="str">
        <x:f>IFERROR(XLOOKUP(C583,'Review Sequence'!C2:C1586,'Review Sequence'!P2:P1586),"")</x:f>
        <x:v>Yes</x:v>
      </x:c>
    </x:row>
    <x:row r="584">
      <x:c r="A584" s="6" t="str">
        <x:v>BLK-0583</x:v>
      </x:c>
      <x:c r="B584" s="6" t="str">
        <x:v>Manufacturer Scope</x:v>
      </x:c>
      <x:c r="C584" s="6" t="str">
        <x:v>MFRX-0254</x:v>
      </x:c>
      <x:c r="D584" s="6" t="str">
        <x:v>SVC000254</x:v>
      </x:c>
      <x:c r="E584" s="6" t="str"/>
      <x:c r="F584" s="6" t="str">
        <x:f>IFERROR(XLOOKUP(C584,'Review Sequence'!C2:C1586,'Review Sequence'!I2:I1586),"")</x:f>
        <x:v>Not Started</x:v>
      </x:c>
      <x:c r="G584" s="6" t="str">
        <x:f>IFERROR(XLOOKUP(C584,'Review Sequence'!C2:C1586,'Review Sequence'!J2:J1586),"")</x:f>
        <x:v>Not Started</x:v>
      </x:c>
      <x:c r="H584" s="7" t="str">
        <x:f>IFERROR(XLOOKUP(C584,'Review Sequence'!C2:C1586,'Review Sequence'!O2:O1586),"")</x:f>
      </x:c>
      <x:c r="I584" s="6" t="str">
        <x:f>IFERROR(XLOOKUP(C584,'Review Sequence'!C2:C1586,'Review Sequence'!P2:P1586),"")</x:f>
        <x:v>Yes</x:v>
      </x:c>
    </x:row>
    <x:row r="585">
      <x:c r="A585" s="6" t="str">
        <x:v>BLK-0584</x:v>
      </x:c>
      <x:c r="B585" s="6" t="str">
        <x:v>Manufacturer Scope</x:v>
      </x:c>
      <x:c r="C585" s="6" t="str">
        <x:v>MFRX-0255</x:v>
      </x:c>
      <x:c r="D585" s="6" t="str">
        <x:v>SVC000255</x:v>
      </x:c>
      <x:c r="E585" s="6" t="str"/>
      <x:c r="F585" s="6" t="str">
        <x:f>IFERROR(XLOOKUP(C585,'Review Sequence'!C2:C1586,'Review Sequence'!I2:I1586),"")</x:f>
        <x:v>Not Started</x:v>
      </x:c>
      <x:c r="G585" s="6" t="str">
        <x:f>IFERROR(XLOOKUP(C585,'Review Sequence'!C2:C1586,'Review Sequence'!J2:J1586),"")</x:f>
        <x:v>Not Started</x:v>
      </x:c>
      <x:c r="H585" s="7" t="str">
        <x:f>IFERROR(XLOOKUP(C585,'Review Sequence'!C2:C1586,'Review Sequence'!O2:O1586),"")</x:f>
      </x:c>
      <x:c r="I585" s="6" t="str">
        <x:f>IFERROR(XLOOKUP(C585,'Review Sequence'!C2:C1586,'Review Sequence'!P2:P1586),"")</x:f>
        <x:v>Yes</x:v>
      </x:c>
    </x:row>
    <x:row r="586">
      <x:c r="A586" s="6" t="str">
        <x:v>BLK-0585</x:v>
      </x:c>
      <x:c r="B586" s="6" t="str">
        <x:v>Manufacturer Scope</x:v>
      </x:c>
      <x:c r="C586" s="6" t="str">
        <x:v>MFRX-0256</x:v>
      </x:c>
      <x:c r="D586" s="6" t="str">
        <x:v>SVC000256</x:v>
      </x:c>
      <x:c r="E586" s="6" t="str"/>
      <x:c r="F586" s="6" t="str">
        <x:f>IFERROR(XLOOKUP(C586,'Review Sequence'!C2:C1586,'Review Sequence'!I2:I1586),"")</x:f>
        <x:v>Not Started</x:v>
      </x:c>
      <x:c r="G586" s="6" t="str">
        <x:f>IFERROR(XLOOKUP(C586,'Review Sequence'!C2:C1586,'Review Sequence'!J2:J1586),"")</x:f>
        <x:v>Not Started</x:v>
      </x:c>
      <x:c r="H586" s="7" t="str">
        <x:f>IFERROR(XLOOKUP(C586,'Review Sequence'!C2:C1586,'Review Sequence'!O2:O1586),"")</x:f>
      </x:c>
      <x:c r="I586" s="6" t="str">
        <x:f>IFERROR(XLOOKUP(C586,'Review Sequence'!C2:C1586,'Review Sequence'!P2:P1586),"")</x:f>
        <x:v>Yes</x:v>
      </x:c>
    </x:row>
    <x:row r="587">
      <x:c r="A587" s="6" t="str">
        <x:v>BLK-0586</x:v>
      </x:c>
      <x:c r="B587" s="6" t="str">
        <x:v>Manufacturer Scope</x:v>
      </x:c>
      <x:c r="C587" s="6" t="str">
        <x:v>MFRX-0257</x:v>
      </x:c>
      <x:c r="D587" s="6" t="str">
        <x:v>SVC000257</x:v>
      </x:c>
      <x:c r="E587" s="6" t="str"/>
      <x:c r="F587" s="6" t="str">
        <x:f>IFERROR(XLOOKUP(C587,'Review Sequence'!C2:C1586,'Review Sequence'!I2:I1586),"")</x:f>
        <x:v>Not Started</x:v>
      </x:c>
      <x:c r="G587" s="6" t="str">
        <x:f>IFERROR(XLOOKUP(C587,'Review Sequence'!C2:C1586,'Review Sequence'!J2:J1586),"")</x:f>
        <x:v>Not Started</x:v>
      </x:c>
      <x:c r="H587" s="7" t="str">
        <x:f>IFERROR(XLOOKUP(C587,'Review Sequence'!C2:C1586,'Review Sequence'!O2:O1586),"")</x:f>
      </x:c>
      <x:c r="I587" s="6" t="str">
        <x:f>IFERROR(XLOOKUP(C587,'Review Sequence'!C2:C1586,'Review Sequence'!P2:P1586),"")</x:f>
        <x:v>Yes</x:v>
      </x:c>
    </x:row>
    <x:row r="588">
      <x:c r="A588" s="6" t="str">
        <x:v>BLK-0587</x:v>
      </x:c>
      <x:c r="B588" s="6" t="str">
        <x:v>Manufacturer Scope</x:v>
      </x:c>
      <x:c r="C588" s="6" t="str">
        <x:v>MFRX-0258</x:v>
      </x:c>
      <x:c r="D588" s="6" t="str">
        <x:v>SVC000258</x:v>
      </x:c>
      <x:c r="E588" s="6" t="str"/>
      <x:c r="F588" s="6" t="str">
        <x:f>IFERROR(XLOOKUP(C588,'Review Sequence'!C2:C1586,'Review Sequence'!I2:I1586),"")</x:f>
        <x:v>Not Started</x:v>
      </x:c>
      <x:c r="G588" s="6" t="str">
        <x:f>IFERROR(XLOOKUP(C588,'Review Sequence'!C2:C1586,'Review Sequence'!J2:J1586),"")</x:f>
        <x:v>Not Started</x:v>
      </x:c>
      <x:c r="H588" s="7" t="str">
        <x:f>IFERROR(XLOOKUP(C588,'Review Sequence'!C2:C1586,'Review Sequence'!O2:O1586),"")</x:f>
      </x:c>
      <x:c r="I588" s="6" t="str">
        <x:f>IFERROR(XLOOKUP(C588,'Review Sequence'!C2:C1586,'Review Sequence'!P2:P1586),"")</x:f>
        <x:v>Yes</x:v>
      </x:c>
    </x:row>
    <x:row r="589">
      <x:c r="A589" s="6" t="str">
        <x:v>BLK-0588</x:v>
      </x:c>
      <x:c r="B589" s="6" t="str">
        <x:v>Manufacturer Scope</x:v>
      </x:c>
      <x:c r="C589" s="6" t="str">
        <x:v>MFRX-0259</x:v>
      </x:c>
      <x:c r="D589" s="6" t="str">
        <x:v>SVC000259</x:v>
      </x:c>
      <x:c r="E589" s="6" t="str"/>
      <x:c r="F589" s="6" t="str">
        <x:f>IFERROR(XLOOKUP(C589,'Review Sequence'!C2:C1586,'Review Sequence'!I2:I1586),"")</x:f>
        <x:v>Not Started</x:v>
      </x:c>
      <x:c r="G589" s="6" t="str">
        <x:f>IFERROR(XLOOKUP(C589,'Review Sequence'!C2:C1586,'Review Sequence'!J2:J1586),"")</x:f>
        <x:v>Not Started</x:v>
      </x:c>
      <x:c r="H589" s="7" t="str">
        <x:f>IFERROR(XLOOKUP(C589,'Review Sequence'!C2:C1586,'Review Sequence'!O2:O1586),"")</x:f>
      </x:c>
      <x:c r="I589" s="6" t="str">
        <x:f>IFERROR(XLOOKUP(C589,'Review Sequence'!C2:C1586,'Review Sequence'!P2:P1586),"")</x:f>
        <x:v>Yes</x:v>
      </x:c>
    </x:row>
    <x:row r="590">
      <x:c r="A590" s="6" t="str">
        <x:v>BLK-0589</x:v>
      </x:c>
      <x:c r="B590" s="6" t="str">
        <x:v>Manufacturer Scope</x:v>
      </x:c>
      <x:c r="C590" s="6" t="str">
        <x:v>MFRX-0260</x:v>
      </x:c>
      <x:c r="D590" s="6" t="str">
        <x:v>SVC000260</x:v>
      </x:c>
      <x:c r="E590" s="6" t="str"/>
      <x:c r="F590" s="6" t="str">
        <x:f>IFERROR(XLOOKUP(C590,'Review Sequence'!C2:C1586,'Review Sequence'!I2:I1586),"")</x:f>
        <x:v>Not Started</x:v>
      </x:c>
      <x:c r="G590" s="6" t="str">
        <x:f>IFERROR(XLOOKUP(C590,'Review Sequence'!C2:C1586,'Review Sequence'!J2:J1586),"")</x:f>
        <x:v>Not Started</x:v>
      </x:c>
      <x:c r="H590" s="7" t="str">
        <x:f>IFERROR(XLOOKUP(C590,'Review Sequence'!C2:C1586,'Review Sequence'!O2:O1586),"")</x:f>
      </x:c>
      <x:c r="I590" s="6" t="str">
        <x:f>IFERROR(XLOOKUP(C590,'Review Sequence'!C2:C1586,'Review Sequence'!P2:P1586),"")</x:f>
        <x:v>Yes</x:v>
      </x:c>
    </x:row>
    <x:row r="591">
      <x:c r="A591" s="6" t="str">
        <x:v>BLK-0590</x:v>
      </x:c>
      <x:c r="B591" s="6" t="str">
        <x:v>Manufacturer Scope</x:v>
      </x:c>
      <x:c r="C591" s="6" t="str">
        <x:v>MFRX-0261</x:v>
      </x:c>
      <x:c r="D591" s="6" t="str">
        <x:v>SVC000261</x:v>
      </x:c>
      <x:c r="E591" s="6" t="str"/>
      <x:c r="F591" s="6" t="str">
        <x:f>IFERROR(XLOOKUP(C591,'Review Sequence'!C2:C1586,'Review Sequence'!I2:I1586),"")</x:f>
        <x:v>Not Started</x:v>
      </x:c>
      <x:c r="G591" s="6" t="str">
        <x:f>IFERROR(XLOOKUP(C591,'Review Sequence'!C2:C1586,'Review Sequence'!J2:J1586),"")</x:f>
        <x:v>Not Started</x:v>
      </x:c>
      <x:c r="H591" s="7" t="str">
        <x:f>IFERROR(XLOOKUP(C591,'Review Sequence'!C2:C1586,'Review Sequence'!O2:O1586),"")</x:f>
      </x:c>
      <x:c r="I591" s="6" t="str">
        <x:f>IFERROR(XLOOKUP(C591,'Review Sequence'!C2:C1586,'Review Sequence'!P2:P1586),"")</x:f>
        <x:v>Yes</x:v>
      </x:c>
    </x:row>
    <x:row r="592">
      <x:c r="A592" s="6" t="str">
        <x:v>BLK-0591</x:v>
      </x:c>
      <x:c r="B592" s="6" t="str">
        <x:v>Manufacturer Scope</x:v>
      </x:c>
      <x:c r="C592" s="6" t="str">
        <x:v>MFRX-0262</x:v>
      </x:c>
      <x:c r="D592" s="6" t="str">
        <x:v>SVC000262</x:v>
      </x:c>
      <x:c r="E592" s="6" t="str"/>
      <x:c r="F592" s="6" t="str">
        <x:f>IFERROR(XLOOKUP(C592,'Review Sequence'!C2:C1586,'Review Sequence'!I2:I1586),"")</x:f>
        <x:v>Not Started</x:v>
      </x:c>
      <x:c r="G592" s="6" t="str">
        <x:f>IFERROR(XLOOKUP(C592,'Review Sequence'!C2:C1586,'Review Sequence'!J2:J1586),"")</x:f>
        <x:v>Not Started</x:v>
      </x:c>
      <x:c r="H592" s="7" t="str">
        <x:f>IFERROR(XLOOKUP(C592,'Review Sequence'!C2:C1586,'Review Sequence'!O2:O1586),"")</x:f>
      </x:c>
      <x:c r="I592" s="6" t="str">
        <x:f>IFERROR(XLOOKUP(C592,'Review Sequence'!C2:C1586,'Review Sequence'!P2:P1586),"")</x:f>
        <x:v>Yes</x:v>
      </x:c>
    </x:row>
    <x:row r="593">
      <x:c r="A593" s="6" t="str">
        <x:v>BLK-0592</x:v>
      </x:c>
      <x:c r="B593" s="6" t="str">
        <x:v>Manufacturer Scope</x:v>
      </x:c>
      <x:c r="C593" s="6" t="str">
        <x:v>MFRX-0263</x:v>
      </x:c>
      <x:c r="D593" s="6" t="str">
        <x:v>SVC000263</x:v>
      </x:c>
      <x:c r="E593" s="6" t="str"/>
      <x:c r="F593" s="6" t="str">
        <x:f>IFERROR(XLOOKUP(C593,'Review Sequence'!C2:C1586,'Review Sequence'!I2:I1586),"")</x:f>
        <x:v>Not Started</x:v>
      </x:c>
      <x:c r="G593" s="6" t="str">
        <x:f>IFERROR(XLOOKUP(C593,'Review Sequence'!C2:C1586,'Review Sequence'!J2:J1586),"")</x:f>
        <x:v>Not Started</x:v>
      </x:c>
      <x:c r="H593" s="7" t="str">
        <x:f>IFERROR(XLOOKUP(C593,'Review Sequence'!C2:C1586,'Review Sequence'!O2:O1586),"")</x:f>
      </x:c>
      <x:c r="I593" s="6" t="str">
        <x:f>IFERROR(XLOOKUP(C593,'Review Sequence'!C2:C1586,'Review Sequence'!P2:P1586),"")</x:f>
        <x:v>Yes</x:v>
      </x:c>
    </x:row>
    <x:row r="594">
      <x:c r="A594" s="6" t="str">
        <x:v>BLK-0593</x:v>
      </x:c>
      <x:c r="B594" s="6" t="str">
        <x:v>Manufacturer Scope</x:v>
      </x:c>
      <x:c r="C594" s="6" t="str">
        <x:v>MFRX-0264</x:v>
      </x:c>
      <x:c r="D594" s="6" t="str">
        <x:v>SVC000264</x:v>
      </x:c>
      <x:c r="E594" s="6" t="str"/>
      <x:c r="F594" s="6" t="str">
        <x:f>IFERROR(XLOOKUP(C594,'Review Sequence'!C2:C1586,'Review Sequence'!I2:I1586),"")</x:f>
        <x:v>Not Started</x:v>
      </x:c>
      <x:c r="G594" s="6" t="str">
        <x:f>IFERROR(XLOOKUP(C594,'Review Sequence'!C2:C1586,'Review Sequence'!J2:J1586),"")</x:f>
        <x:v>Not Started</x:v>
      </x:c>
      <x:c r="H594" s="7" t="str">
        <x:f>IFERROR(XLOOKUP(C594,'Review Sequence'!C2:C1586,'Review Sequence'!O2:O1586),"")</x:f>
      </x:c>
      <x:c r="I594" s="6" t="str">
        <x:f>IFERROR(XLOOKUP(C594,'Review Sequence'!C2:C1586,'Review Sequence'!P2:P1586),"")</x:f>
        <x:v>Yes</x:v>
      </x:c>
    </x:row>
    <x:row r="595">
      <x:c r="A595" s="6" t="str">
        <x:v>BLK-0594</x:v>
      </x:c>
      <x:c r="B595" s="6" t="str">
        <x:v>Manufacturer Scope</x:v>
      </x:c>
      <x:c r="C595" s="6" t="str">
        <x:v>MFRX-0265</x:v>
      </x:c>
      <x:c r="D595" s="6" t="str">
        <x:v>SVC000265</x:v>
      </x:c>
      <x:c r="E595" s="6" t="str"/>
      <x:c r="F595" s="6" t="str">
        <x:f>IFERROR(XLOOKUP(C595,'Review Sequence'!C2:C1586,'Review Sequence'!I2:I1586),"")</x:f>
        <x:v>Not Started</x:v>
      </x:c>
      <x:c r="G595" s="6" t="str">
        <x:f>IFERROR(XLOOKUP(C595,'Review Sequence'!C2:C1586,'Review Sequence'!J2:J1586),"")</x:f>
        <x:v>Not Started</x:v>
      </x:c>
      <x:c r="H595" s="7" t="str">
        <x:f>IFERROR(XLOOKUP(C595,'Review Sequence'!C2:C1586,'Review Sequence'!O2:O1586),"")</x:f>
      </x:c>
      <x:c r="I595" s="6" t="str">
        <x:f>IFERROR(XLOOKUP(C595,'Review Sequence'!C2:C1586,'Review Sequence'!P2:P1586),"")</x:f>
        <x:v>Yes</x:v>
      </x:c>
    </x:row>
    <x:row r="596">
      <x:c r="A596" s="6" t="str">
        <x:v>BLK-0595</x:v>
      </x:c>
      <x:c r="B596" s="6" t="str">
        <x:v>Manufacturer Scope</x:v>
      </x:c>
      <x:c r="C596" s="6" t="str">
        <x:v>MFRX-0266</x:v>
      </x:c>
      <x:c r="D596" s="6" t="str">
        <x:v>SVC000266</x:v>
      </x:c>
      <x:c r="E596" s="6" t="str"/>
      <x:c r="F596" s="6" t="str">
        <x:f>IFERROR(XLOOKUP(C596,'Review Sequence'!C2:C1586,'Review Sequence'!I2:I1586),"")</x:f>
        <x:v>Not Started</x:v>
      </x:c>
      <x:c r="G596" s="6" t="str">
        <x:f>IFERROR(XLOOKUP(C596,'Review Sequence'!C2:C1586,'Review Sequence'!J2:J1586),"")</x:f>
        <x:v>Not Started</x:v>
      </x:c>
      <x:c r="H596" s="7" t="str">
        <x:f>IFERROR(XLOOKUP(C596,'Review Sequence'!C2:C1586,'Review Sequence'!O2:O1586),"")</x:f>
      </x:c>
      <x:c r="I596" s="6" t="str">
        <x:f>IFERROR(XLOOKUP(C596,'Review Sequence'!C2:C1586,'Review Sequence'!P2:P1586),"")</x:f>
        <x:v>Yes</x:v>
      </x:c>
    </x:row>
    <x:row r="597">
      <x:c r="A597" s="6" t="str">
        <x:v>BLK-0596</x:v>
      </x:c>
      <x:c r="B597" s="6" t="str">
        <x:v>Manufacturer Scope</x:v>
      </x:c>
      <x:c r="C597" s="6" t="str">
        <x:v>MFRX-0267</x:v>
      </x:c>
      <x:c r="D597" s="6" t="str">
        <x:v>SVC000267</x:v>
      </x:c>
      <x:c r="E597" s="6" t="str"/>
      <x:c r="F597" s="6" t="str">
        <x:f>IFERROR(XLOOKUP(C597,'Review Sequence'!C2:C1586,'Review Sequence'!I2:I1586),"")</x:f>
        <x:v>Not Started</x:v>
      </x:c>
      <x:c r="G597" s="6" t="str">
        <x:f>IFERROR(XLOOKUP(C597,'Review Sequence'!C2:C1586,'Review Sequence'!J2:J1586),"")</x:f>
        <x:v>Not Started</x:v>
      </x:c>
      <x:c r="H597" s="7" t="str">
        <x:f>IFERROR(XLOOKUP(C597,'Review Sequence'!C2:C1586,'Review Sequence'!O2:O1586),"")</x:f>
      </x:c>
      <x:c r="I597" s="6" t="str">
        <x:f>IFERROR(XLOOKUP(C597,'Review Sequence'!C2:C1586,'Review Sequence'!P2:P1586),"")</x:f>
        <x:v>Yes</x:v>
      </x:c>
    </x:row>
    <x:row r="598">
      <x:c r="A598" s="6" t="str">
        <x:v>BLK-0597</x:v>
      </x:c>
      <x:c r="B598" s="6" t="str">
        <x:v>Manufacturer Scope</x:v>
      </x:c>
      <x:c r="C598" s="6" t="str">
        <x:v>MFRX-0268</x:v>
      </x:c>
      <x:c r="D598" s="6" t="str">
        <x:v>SVC000268</x:v>
      </x:c>
      <x:c r="E598" s="6" t="str"/>
      <x:c r="F598" s="6" t="str">
        <x:f>IFERROR(XLOOKUP(C598,'Review Sequence'!C2:C1586,'Review Sequence'!I2:I1586),"")</x:f>
        <x:v>Not Started</x:v>
      </x:c>
      <x:c r="G598" s="6" t="str">
        <x:f>IFERROR(XLOOKUP(C598,'Review Sequence'!C2:C1586,'Review Sequence'!J2:J1586),"")</x:f>
        <x:v>Not Started</x:v>
      </x:c>
      <x:c r="H598" s="7" t="str">
        <x:f>IFERROR(XLOOKUP(C598,'Review Sequence'!C2:C1586,'Review Sequence'!O2:O1586),"")</x:f>
      </x:c>
      <x:c r="I598" s="6" t="str">
        <x:f>IFERROR(XLOOKUP(C598,'Review Sequence'!C2:C1586,'Review Sequence'!P2:P1586),"")</x:f>
        <x:v>Yes</x:v>
      </x:c>
    </x:row>
    <x:row r="599">
      <x:c r="A599" s="6" t="str">
        <x:v>BLK-0598</x:v>
      </x:c>
      <x:c r="B599" s="6" t="str">
        <x:v>Manufacturer Scope</x:v>
      </x:c>
      <x:c r="C599" s="6" t="str">
        <x:v>MFRX-0269</x:v>
      </x:c>
      <x:c r="D599" s="6" t="str">
        <x:v>SVC000269</x:v>
      </x:c>
      <x:c r="E599" s="6" t="str"/>
      <x:c r="F599" s="6" t="str">
        <x:f>IFERROR(XLOOKUP(C599,'Review Sequence'!C2:C1586,'Review Sequence'!I2:I1586),"")</x:f>
        <x:v>Not Started</x:v>
      </x:c>
      <x:c r="G599" s="6" t="str">
        <x:f>IFERROR(XLOOKUP(C599,'Review Sequence'!C2:C1586,'Review Sequence'!J2:J1586),"")</x:f>
        <x:v>Not Started</x:v>
      </x:c>
      <x:c r="H599" s="7" t="str">
        <x:f>IFERROR(XLOOKUP(C599,'Review Sequence'!C2:C1586,'Review Sequence'!O2:O1586),"")</x:f>
      </x:c>
      <x:c r="I599" s="6" t="str">
        <x:f>IFERROR(XLOOKUP(C599,'Review Sequence'!C2:C1586,'Review Sequence'!P2:P1586),"")</x:f>
        <x:v>Yes</x:v>
      </x:c>
    </x:row>
    <x:row r="600">
      <x:c r="A600" s="6" t="str">
        <x:v>BLK-0599</x:v>
      </x:c>
      <x:c r="B600" s="6" t="str">
        <x:v>Manufacturer Scope</x:v>
      </x:c>
      <x:c r="C600" s="6" t="str">
        <x:v>MFRX-0270</x:v>
      </x:c>
      <x:c r="D600" s="6" t="str">
        <x:v>SVC000270</x:v>
      </x:c>
      <x:c r="E600" s="6" t="str"/>
      <x:c r="F600" s="6" t="str">
        <x:f>IFERROR(XLOOKUP(C600,'Review Sequence'!C2:C1586,'Review Sequence'!I2:I1586),"")</x:f>
        <x:v>Not Started</x:v>
      </x:c>
      <x:c r="G600" s="6" t="str">
        <x:f>IFERROR(XLOOKUP(C600,'Review Sequence'!C2:C1586,'Review Sequence'!J2:J1586),"")</x:f>
        <x:v>Not Started</x:v>
      </x:c>
      <x:c r="H600" s="7" t="str">
        <x:f>IFERROR(XLOOKUP(C600,'Review Sequence'!C2:C1586,'Review Sequence'!O2:O1586),"")</x:f>
      </x:c>
      <x:c r="I600" s="6" t="str">
        <x:f>IFERROR(XLOOKUP(C600,'Review Sequence'!C2:C1586,'Review Sequence'!P2:P1586),"")</x:f>
        <x:v>Yes</x:v>
      </x:c>
    </x:row>
    <x:row r="601">
      <x:c r="A601" s="6" t="str">
        <x:v>BLK-0600</x:v>
      </x:c>
      <x:c r="B601" s="6" t="str">
        <x:v>Manufacturer Scope</x:v>
      </x:c>
      <x:c r="C601" s="6" t="str">
        <x:v>MFRX-0271</x:v>
      </x:c>
      <x:c r="D601" s="6" t="str">
        <x:v>SVC000271</x:v>
      </x:c>
      <x:c r="E601" s="6" t="str"/>
      <x:c r="F601" s="6" t="str">
        <x:f>IFERROR(XLOOKUP(C601,'Review Sequence'!C2:C1586,'Review Sequence'!I2:I1586),"")</x:f>
        <x:v>Not Started</x:v>
      </x:c>
      <x:c r="G601" s="6" t="str">
        <x:f>IFERROR(XLOOKUP(C601,'Review Sequence'!C2:C1586,'Review Sequence'!J2:J1586),"")</x:f>
        <x:v>Not Started</x:v>
      </x:c>
      <x:c r="H601" s="7" t="str">
        <x:f>IFERROR(XLOOKUP(C601,'Review Sequence'!C2:C1586,'Review Sequence'!O2:O1586),"")</x:f>
      </x:c>
      <x:c r="I601" s="6" t="str">
        <x:f>IFERROR(XLOOKUP(C601,'Review Sequence'!C2:C1586,'Review Sequence'!P2:P1586),"")</x:f>
        <x:v>Yes</x:v>
      </x:c>
    </x:row>
    <x:row r="602">
      <x:c r="A602" s="6" t="str">
        <x:v>BLK-0601</x:v>
      </x:c>
      <x:c r="B602" s="6" t="str">
        <x:v>Manufacturer Scope</x:v>
      </x:c>
      <x:c r="C602" s="6" t="str">
        <x:v>MFRX-0272</x:v>
      </x:c>
      <x:c r="D602" s="6" t="str">
        <x:v>SVC000272</x:v>
      </x:c>
      <x:c r="E602" s="6" t="str"/>
      <x:c r="F602" s="6" t="str">
        <x:f>IFERROR(XLOOKUP(C602,'Review Sequence'!C2:C1586,'Review Sequence'!I2:I1586),"")</x:f>
        <x:v>Not Started</x:v>
      </x:c>
      <x:c r="G602" s="6" t="str">
        <x:f>IFERROR(XLOOKUP(C602,'Review Sequence'!C2:C1586,'Review Sequence'!J2:J1586),"")</x:f>
        <x:v>Not Started</x:v>
      </x:c>
      <x:c r="H602" s="7" t="str">
        <x:f>IFERROR(XLOOKUP(C602,'Review Sequence'!C2:C1586,'Review Sequence'!O2:O1586),"")</x:f>
      </x:c>
      <x:c r="I602" s="6" t="str">
        <x:f>IFERROR(XLOOKUP(C602,'Review Sequence'!C2:C1586,'Review Sequence'!P2:P1586),"")</x:f>
        <x:v>Yes</x:v>
      </x:c>
    </x:row>
    <x:row r="603">
      <x:c r="A603" s="6" t="str">
        <x:v>BLK-0602</x:v>
      </x:c>
      <x:c r="B603" s="6" t="str">
        <x:v>Manufacturer Scope</x:v>
      </x:c>
      <x:c r="C603" s="6" t="str">
        <x:v>MFRX-0273</x:v>
      </x:c>
      <x:c r="D603" s="6" t="str">
        <x:v>SVC000273</x:v>
      </x:c>
      <x:c r="E603" s="6" t="str"/>
      <x:c r="F603" s="6" t="str">
        <x:f>IFERROR(XLOOKUP(C603,'Review Sequence'!C2:C1586,'Review Sequence'!I2:I1586),"")</x:f>
        <x:v>Not Started</x:v>
      </x:c>
      <x:c r="G603" s="6" t="str">
        <x:f>IFERROR(XLOOKUP(C603,'Review Sequence'!C2:C1586,'Review Sequence'!J2:J1586),"")</x:f>
        <x:v>Not Started</x:v>
      </x:c>
      <x:c r="H603" s="7" t="str">
        <x:f>IFERROR(XLOOKUP(C603,'Review Sequence'!C2:C1586,'Review Sequence'!O2:O1586),"")</x:f>
      </x:c>
      <x:c r="I603" s="6" t="str">
        <x:f>IFERROR(XLOOKUP(C603,'Review Sequence'!C2:C1586,'Review Sequence'!P2:P1586),"")</x:f>
        <x:v>Yes</x:v>
      </x:c>
    </x:row>
    <x:row r="604">
      <x:c r="A604" s="6" t="str">
        <x:v>BLK-0603</x:v>
      </x:c>
      <x:c r="B604" s="6" t="str">
        <x:v>Manufacturer Scope</x:v>
      </x:c>
      <x:c r="C604" s="6" t="str">
        <x:v>MFRX-0274</x:v>
      </x:c>
      <x:c r="D604" s="6" t="str">
        <x:v>SVC000274</x:v>
      </x:c>
      <x:c r="E604" s="6" t="str"/>
      <x:c r="F604" s="6" t="str">
        <x:f>IFERROR(XLOOKUP(C604,'Review Sequence'!C2:C1586,'Review Sequence'!I2:I1586),"")</x:f>
        <x:v>Not Started</x:v>
      </x:c>
      <x:c r="G604" s="6" t="str">
        <x:f>IFERROR(XLOOKUP(C604,'Review Sequence'!C2:C1586,'Review Sequence'!J2:J1586),"")</x:f>
        <x:v>Not Started</x:v>
      </x:c>
      <x:c r="H604" s="7" t="str">
        <x:f>IFERROR(XLOOKUP(C604,'Review Sequence'!C2:C1586,'Review Sequence'!O2:O1586),"")</x:f>
      </x:c>
      <x:c r="I604" s="6" t="str">
        <x:f>IFERROR(XLOOKUP(C604,'Review Sequence'!C2:C1586,'Review Sequence'!P2:P1586),"")</x:f>
        <x:v>Yes</x:v>
      </x:c>
    </x:row>
    <x:row r="605">
      <x:c r="A605" s="6" t="str">
        <x:v>BLK-0604</x:v>
      </x:c>
      <x:c r="B605" s="6" t="str">
        <x:v>Manufacturer Scope</x:v>
      </x:c>
      <x:c r="C605" s="6" t="str">
        <x:v>MFRX-0275</x:v>
      </x:c>
      <x:c r="D605" s="6" t="str">
        <x:v>SVC000275</x:v>
      </x:c>
      <x:c r="E605" s="6" t="str"/>
      <x:c r="F605" s="6" t="str">
        <x:f>IFERROR(XLOOKUP(C605,'Review Sequence'!C2:C1586,'Review Sequence'!I2:I1586),"")</x:f>
        <x:v>Not Started</x:v>
      </x:c>
      <x:c r="G605" s="6" t="str">
        <x:f>IFERROR(XLOOKUP(C605,'Review Sequence'!C2:C1586,'Review Sequence'!J2:J1586),"")</x:f>
        <x:v>Not Started</x:v>
      </x:c>
      <x:c r="H605" s="7" t="str">
        <x:f>IFERROR(XLOOKUP(C605,'Review Sequence'!C2:C1586,'Review Sequence'!O2:O1586),"")</x:f>
      </x:c>
      <x:c r="I605" s="6" t="str">
        <x:f>IFERROR(XLOOKUP(C605,'Review Sequence'!C2:C1586,'Review Sequence'!P2:P1586),"")</x:f>
        <x:v>Yes</x:v>
      </x:c>
    </x:row>
    <x:row r="606">
      <x:c r="A606" s="6" t="str">
        <x:v>BLK-0605</x:v>
      </x:c>
      <x:c r="B606" s="6" t="str">
        <x:v>Manufacturer Scope</x:v>
      </x:c>
      <x:c r="C606" s="6" t="str">
        <x:v>MFRX-0276</x:v>
      </x:c>
      <x:c r="D606" s="6" t="str">
        <x:v>SVC000276</x:v>
      </x:c>
      <x:c r="E606" s="6" t="str"/>
      <x:c r="F606" s="6" t="str">
        <x:f>IFERROR(XLOOKUP(C606,'Review Sequence'!C2:C1586,'Review Sequence'!I2:I1586),"")</x:f>
        <x:v>Not Started</x:v>
      </x:c>
      <x:c r="G606" s="6" t="str">
        <x:f>IFERROR(XLOOKUP(C606,'Review Sequence'!C2:C1586,'Review Sequence'!J2:J1586),"")</x:f>
        <x:v>Not Started</x:v>
      </x:c>
      <x:c r="H606" s="7" t="str">
        <x:f>IFERROR(XLOOKUP(C606,'Review Sequence'!C2:C1586,'Review Sequence'!O2:O1586),"")</x:f>
      </x:c>
      <x:c r="I606" s="6" t="str">
        <x:f>IFERROR(XLOOKUP(C606,'Review Sequence'!C2:C1586,'Review Sequence'!P2:P1586),"")</x:f>
        <x:v>Yes</x:v>
      </x:c>
    </x:row>
    <x:row r="607">
      <x:c r="A607" s="6" t="str">
        <x:v>BLK-0606</x:v>
      </x:c>
      <x:c r="B607" s="6" t="str">
        <x:v>Manufacturer Scope</x:v>
      </x:c>
      <x:c r="C607" s="6" t="str">
        <x:v>MFRX-0277</x:v>
      </x:c>
      <x:c r="D607" s="6" t="str">
        <x:v>SVC000277</x:v>
      </x:c>
      <x:c r="E607" s="6" t="str"/>
      <x:c r="F607" s="6" t="str">
        <x:f>IFERROR(XLOOKUP(C607,'Review Sequence'!C2:C1586,'Review Sequence'!I2:I1586),"")</x:f>
        <x:v>Not Started</x:v>
      </x:c>
      <x:c r="G607" s="6" t="str">
        <x:f>IFERROR(XLOOKUP(C607,'Review Sequence'!C2:C1586,'Review Sequence'!J2:J1586),"")</x:f>
        <x:v>Not Started</x:v>
      </x:c>
      <x:c r="H607" s="7" t="str">
        <x:f>IFERROR(XLOOKUP(C607,'Review Sequence'!C2:C1586,'Review Sequence'!O2:O1586),"")</x:f>
      </x:c>
      <x:c r="I607" s="6" t="str">
        <x:f>IFERROR(XLOOKUP(C607,'Review Sequence'!C2:C1586,'Review Sequence'!P2:P1586),"")</x:f>
        <x:v>Yes</x:v>
      </x:c>
    </x:row>
    <x:row r="608">
      <x:c r="A608" s="6" t="str">
        <x:v>BLK-0607</x:v>
      </x:c>
      <x:c r="B608" s="6" t="str">
        <x:v>Manufacturer Scope</x:v>
      </x:c>
      <x:c r="C608" s="6" t="str">
        <x:v>MFRX-0278</x:v>
      </x:c>
      <x:c r="D608" s="6" t="str">
        <x:v>SVC000278</x:v>
      </x:c>
      <x:c r="E608" s="6" t="str"/>
      <x:c r="F608" s="6" t="str">
        <x:f>IFERROR(XLOOKUP(C608,'Review Sequence'!C2:C1586,'Review Sequence'!I2:I1586),"")</x:f>
        <x:v>Not Started</x:v>
      </x:c>
      <x:c r="G608" s="6" t="str">
        <x:f>IFERROR(XLOOKUP(C608,'Review Sequence'!C2:C1586,'Review Sequence'!J2:J1586),"")</x:f>
        <x:v>Not Started</x:v>
      </x:c>
      <x:c r="H608" s="7" t="str">
        <x:f>IFERROR(XLOOKUP(C608,'Review Sequence'!C2:C1586,'Review Sequence'!O2:O1586),"")</x:f>
      </x:c>
      <x:c r="I608" s="6" t="str">
        <x:f>IFERROR(XLOOKUP(C608,'Review Sequence'!C2:C1586,'Review Sequence'!P2:P1586),"")</x:f>
        <x:v>Yes</x:v>
      </x:c>
    </x:row>
    <x:row r="609">
      <x:c r="A609" s="6" t="str">
        <x:v>BLK-0608</x:v>
      </x:c>
      <x:c r="B609" s="6" t="str">
        <x:v>Manufacturer Scope</x:v>
      </x:c>
      <x:c r="C609" s="6" t="str">
        <x:v>MFRX-0279</x:v>
      </x:c>
      <x:c r="D609" s="6" t="str">
        <x:v>SVC000279</x:v>
      </x:c>
      <x:c r="E609" s="6" t="str"/>
      <x:c r="F609" s="6" t="str">
        <x:f>IFERROR(XLOOKUP(C609,'Review Sequence'!C2:C1586,'Review Sequence'!I2:I1586),"")</x:f>
        <x:v>Not Started</x:v>
      </x:c>
      <x:c r="G609" s="6" t="str">
        <x:f>IFERROR(XLOOKUP(C609,'Review Sequence'!C2:C1586,'Review Sequence'!J2:J1586),"")</x:f>
        <x:v>Not Started</x:v>
      </x:c>
      <x:c r="H609" s="7" t="str">
        <x:f>IFERROR(XLOOKUP(C609,'Review Sequence'!C2:C1586,'Review Sequence'!O2:O1586),"")</x:f>
      </x:c>
      <x:c r="I609" s="6" t="str">
        <x:f>IFERROR(XLOOKUP(C609,'Review Sequence'!C2:C1586,'Review Sequence'!P2:P1586),"")</x:f>
        <x:v>Yes</x:v>
      </x:c>
    </x:row>
    <x:row r="610">
      <x:c r="A610" s="6" t="str">
        <x:v>BLK-0609</x:v>
      </x:c>
      <x:c r="B610" s="6" t="str">
        <x:v>Manufacturer Scope</x:v>
      </x:c>
      <x:c r="C610" s="6" t="str">
        <x:v>MFRX-0280</x:v>
      </x:c>
      <x:c r="D610" s="6" t="str">
        <x:v>SVC000280</x:v>
      </x:c>
      <x:c r="E610" s="6" t="str"/>
      <x:c r="F610" s="6" t="str">
        <x:f>IFERROR(XLOOKUP(C610,'Review Sequence'!C2:C1586,'Review Sequence'!I2:I1586),"")</x:f>
        <x:v>Not Started</x:v>
      </x:c>
      <x:c r="G610" s="6" t="str">
        <x:f>IFERROR(XLOOKUP(C610,'Review Sequence'!C2:C1586,'Review Sequence'!J2:J1586),"")</x:f>
        <x:v>Not Started</x:v>
      </x:c>
      <x:c r="H610" s="7" t="str">
        <x:f>IFERROR(XLOOKUP(C610,'Review Sequence'!C2:C1586,'Review Sequence'!O2:O1586),"")</x:f>
      </x:c>
      <x:c r="I610" s="6" t="str">
        <x:f>IFERROR(XLOOKUP(C610,'Review Sequence'!C2:C1586,'Review Sequence'!P2:P1586),"")</x:f>
        <x:v>Yes</x:v>
      </x:c>
    </x:row>
    <x:row r="611">
      <x:c r="A611" s="6" t="str">
        <x:v>BLK-0610</x:v>
      </x:c>
      <x:c r="B611" s="6" t="str">
        <x:v>Manufacturer Scope</x:v>
      </x:c>
      <x:c r="C611" s="6" t="str">
        <x:v>MFRX-0281</x:v>
      </x:c>
      <x:c r="D611" s="6" t="str">
        <x:v>SVC000281</x:v>
      </x:c>
      <x:c r="E611" s="6" t="str"/>
      <x:c r="F611" s="6" t="str">
        <x:f>IFERROR(XLOOKUP(C611,'Review Sequence'!C2:C1586,'Review Sequence'!I2:I1586),"")</x:f>
        <x:v>Not Started</x:v>
      </x:c>
      <x:c r="G611" s="6" t="str">
        <x:f>IFERROR(XLOOKUP(C611,'Review Sequence'!C2:C1586,'Review Sequence'!J2:J1586),"")</x:f>
        <x:v>Not Started</x:v>
      </x:c>
      <x:c r="H611" s="7" t="str">
        <x:f>IFERROR(XLOOKUP(C611,'Review Sequence'!C2:C1586,'Review Sequence'!O2:O1586),"")</x:f>
      </x:c>
      <x:c r="I611" s="6" t="str">
        <x:f>IFERROR(XLOOKUP(C611,'Review Sequence'!C2:C1586,'Review Sequence'!P2:P1586),"")</x:f>
        <x:v>Yes</x:v>
      </x:c>
    </x:row>
    <x:row r="612">
      <x:c r="A612" s="6" t="str">
        <x:v>BLK-0611</x:v>
      </x:c>
      <x:c r="B612" s="6" t="str">
        <x:v>Manufacturer Scope</x:v>
      </x:c>
      <x:c r="C612" s="6" t="str">
        <x:v>MFRX-0282</x:v>
      </x:c>
      <x:c r="D612" s="6" t="str">
        <x:v>SVC000282</x:v>
      </x:c>
      <x:c r="E612" s="6" t="str"/>
      <x:c r="F612" s="6" t="str">
        <x:f>IFERROR(XLOOKUP(C612,'Review Sequence'!C2:C1586,'Review Sequence'!I2:I1586),"")</x:f>
        <x:v>Not Started</x:v>
      </x:c>
      <x:c r="G612" s="6" t="str">
        <x:f>IFERROR(XLOOKUP(C612,'Review Sequence'!C2:C1586,'Review Sequence'!J2:J1586),"")</x:f>
        <x:v>Not Started</x:v>
      </x:c>
      <x:c r="H612" s="7" t="str">
        <x:f>IFERROR(XLOOKUP(C612,'Review Sequence'!C2:C1586,'Review Sequence'!O2:O1586),"")</x:f>
      </x:c>
      <x:c r="I612" s="6" t="str">
        <x:f>IFERROR(XLOOKUP(C612,'Review Sequence'!C2:C1586,'Review Sequence'!P2:P1586),"")</x:f>
        <x:v>Yes</x:v>
      </x:c>
    </x:row>
    <x:row r="613">
      <x:c r="A613" s="6" t="str">
        <x:v>BLK-0612</x:v>
      </x:c>
      <x:c r="B613" s="6" t="str">
        <x:v>Manufacturer Scope</x:v>
      </x:c>
      <x:c r="C613" s="6" t="str">
        <x:v>MFRX-0283</x:v>
      </x:c>
      <x:c r="D613" s="6" t="str">
        <x:v>SVC000283</x:v>
      </x:c>
      <x:c r="E613" s="6" t="str"/>
      <x:c r="F613" s="6" t="str">
        <x:f>IFERROR(XLOOKUP(C613,'Review Sequence'!C2:C1586,'Review Sequence'!I2:I1586),"")</x:f>
        <x:v>Not Started</x:v>
      </x:c>
      <x:c r="G613" s="6" t="str">
        <x:f>IFERROR(XLOOKUP(C613,'Review Sequence'!C2:C1586,'Review Sequence'!J2:J1586),"")</x:f>
        <x:v>Not Started</x:v>
      </x:c>
      <x:c r="H613" s="7" t="str">
        <x:f>IFERROR(XLOOKUP(C613,'Review Sequence'!C2:C1586,'Review Sequence'!O2:O1586),"")</x:f>
      </x:c>
      <x:c r="I613" s="6" t="str">
        <x:f>IFERROR(XLOOKUP(C613,'Review Sequence'!C2:C1586,'Review Sequence'!P2:P1586),"")</x:f>
        <x:v>Yes</x:v>
      </x:c>
    </x:row>
    <x:row r="614">
      <x:c r="A614" s="6" t="str">
        <x:v>BLK-0613</x:v>
      </x:c>
      <x:c r="B614" s="6" t="str">
        <x:v>Manufacturer Scope</x:v>
      </x:c>
      <x:c r="C614" s="6" t="str">
        <x:v>MFRX-0284</x:v>
      </x:c>
      <x:c r="D614" s="6" t="str">
        <x:v>SVC000284</x:v>
      </x:c>
      <x:c r="E614" s="6" t="str"/>
      <x:c r="F614" s="6" t="str">
        <x:f>IFERROR(XLOOKUP(C614,'Review Sequence'!C2:C1586,'Review Sequence'!I2:I1586),"")</x:f>
        <x:v>Not Started</x:v>
      </x:c>
      <x:c r="G614" s="6" t="str">
        <x:f>IFERROR(XLOOKUP(C614,'Review Sequence'!C2:C1586,'Review Sequence'!J2:J1586),"")</x:f>
        <x:v>Not Started</x:v>
      </x:c>
      <x:c r="H614" s="7" t="str">
        <x:f>IFERROR(XLOOKUP(C614,'Review Sequence'!C2:C1586,'Review Sequence'!O2:O1586),"")</x:f>
      </x:c>
      <x:c r="I614" s="6" t="str">
        <x:f>IFERROR(XLOOKUP(C614,'Review Sequence'!C2:C1586,'Review Sequence'!P2:P1586),"")</x:f>
        <x:v>Yes</x:v>
      </x:c>
    </x:row>
    <x:row r="615">
      <x:c r="A615" s="6" t="str">
        <x:v>BLK-0614</x:v>
      </x:c>
      <x:c r="B615" s="6" t="str">
        <x:v>Manufacturer Scope</x:v>
      </x:c>
      <x:c r="C615" s="6" t="str">
        <x:v>MFRX-0285</x:v>
      </x:c>
      <x:c r="D615" s="6" t="str">
        <x:v>SVC000285</x:v>
      </x:c>
      <x:c r="E615" s="6" t="str"/>
      <x:c r="F615" s="6" t="str">
        <x:f>IFERROR(XLOOKUP(C615,'Review Sequence'!C2:C1586,'Review Sequence'!I2:I1586),"")</x:f>
        <x:v>Not Started</x:v>
      </x:c>
      <x:c r="G615" s="6" t="str">
        <x:f>IFERROR(XLOOKUP(C615,'Review Sequence'!C2:C1586,'Review Sequence'!J2:J1586),"")</x:f>
        <x:v>Not Started</x:v>
      </x:c>
      <x:c r="H615" s="7" t="str">
        <x:f>IFERROR(XLOOKUP(C615,'Review Sequence'!C2:C1586,'Review Sequence'!O2:O1586),"")</x:f>
      </x:c>
      <x:c r="I615" s="6" t="str">
        <x:f>IFERROR(XLOOKUP(C615,'Review Sequence'!C2:C1586,'Review Sequence'!P2:P1586),"")</x:f>
        <x:v>Yes</x:v>
      </x:c>
    </x:row>
    <x:row r="616">
      <x:c r="A616" s="6" t="str">
        <x:v>BLK-0615</x:v>
      </x:c>
      <x:c r="B616" s="6" t="str">
        <x:v>Manufacturer Scope</x:v>
      </x:c>
      <x:c r="C616" s="6" t="str">
        <x:v>MFRX-0286</x:v>
      </x:c>
      <x:c r="D616" s="6" t="str">
        <x:v>SVC000286</x:v>
      </x:c>
      <x:c r="E616" s="6" t="str"/>
      <x:c r="F616" s="6" t="str">
        <x:f>IFERROR(XLOOKUP(C616,'Review Sequence'!C2:C1586,'Review Sequence'!I2:I1586),"")</x:f>
        <x:v>Not Started</x:v>
      </x:c>
      <x:c r="G616" s="6" t="str">
        <x:f>IFERROR(XLOOKUP(C616,'Review Sequence'!C2:C1586,'Review Sequence'!J2:J1586),"")</x:f>
        <x:v>Not Started</x:v>
      </x:c>
      <x:c r="H616" s="7" t="str">
        <x:f>IFERROR(XLOOKUP(C616,'Review Sequence'!C2:C1586,'Review Sequence'!O2:O1586),"")</x:f>
      </x:c>
      <x:c r="I616" s="6" t="str">
        <x:f>IFERROR(XLOOKUP(C616,'Review Sequence'!C2:C1586,'Review Sequence'!P2:P1586),"")</x:f>
        <x:v>Yes</x:v>
      </x:c>
    </x:row>
    <x:row r="617">
      <x:c r="A617" s="6" t="str">
        <x:v>BLK-0616</x:v>
      </x:c>
      <x:c r="B617" s="6" t="str">
        <x:v>Manufacturer Scope</x:v>
      </x:c>
      <x:c r="C617" s="6" t="str">
        <x:v>MFRX-0287</x:v>
      </x:c>
      <x:c r="D617" s="6" t="str">
        <x:v>SVC000287</x:v>
      </x:c>
      <x:c r="E617" s="6" t="str"/>
      <x:c r="F617" s="6" t="str">
        <x:f>IFERROR(XLOOKUP(C617,'Review Sequence'!C2:C1586,'Review Sequence'!I2:I1586),"")</x:f>
        <x:v>Not Started</x:v>
      </x:c>
      <x:c r="G617" s="6" t="str">
        <x:f>IFERROR(XLOOKUP(C617,'Review Sequence'!C2:C1586,'Review Sequence'!J2:J1586),"")</x:f>
        <x:v>Not Started</x:v>
      </x:c>
      <x:c r="H617" s="7" t="str">
        <x:f>IFERROR(XLOOKUP(C617,'Review Sequence'!C2:C1586,'Review Sequence'!O2:O1586),"")</x:f>
      </x:c>
      <x:c r="I617" s="6" t="str">
        <x:f>IFERROR(XLOOKUP(C617,'Review Sequence'!C2:C1586,'Review Sequence'!P2:P1586),"")</x:f>
        <x:v>Yes</x:v>
      </x:c>
    </x:row>
    <x:row r="618">
      <x:c r="A618" s="6" t="str">
        <x:v>BLK-0617</x:v>
      </x:c>
      <x:c r="B618" s="6" t="str">
        <x:v>Manufacturer Scope</x:v>
      </x:c>
      <x:c r="C618" s="6" t="str">
        <x:v>MFRX-0288</x:v>
      </x:c>
      <x:c r="D618" s="6" t="str">
        <x:v>SVC000288</x:v>
      </x:c>
      <x:c r="E618" s="6" t="str"/>
      <x:c r="F618" s="6" t="str">
        <x:f>IFERROR(XLOOKUP(C618,'Review Sequence'!C2:C1586,'Review Sequence'!I2:I1586),"")</x:f>
        <x:v>Not Started</x:v>
      </x:c>
      <x:c r="G618" s="6" t="str">
        <x:f>IFERROR(XLOOKUP(C618,'Review Sequence'!C2:C1586,'Review Sequence'!J2:J1586),"")</x:f>
        <x:v>Not Started</x:v>
      </x:c>
      <x:c r="H618" s="7" t="str">
        <x:f>IFERROR(XLOOKUP(C618,'Review Sequence'!C2:C1586,'Review Sequence'!O2:O1586),"")</x:f>
      </x:c>
      <x:c r="I618" s="6" t="str">
        <x:f>IFERROR(XLOOKUP(C618,'Review Sequence'!C2:C1586,'Review Sequence'!P2:P1586),"")</x:f>
        <x:v>Yes</x:v>
      </x:c>
    </x:row>
    <x:row r="619">
      <x:c r="A619" s="6" t="str">
        <x:v>BLK-0618</x:v>
      </x:c>
      <x:c r="B619" s="6" t="str">
        <x:v>Manufacturer Scope</x:v>
      </x:c>
      <x:c r="C619" s="6" t="str">
        <x:v>MFRX-0289</x:v>
      </x:c>
      <x:c r="D619" s="6" t="str">
        <x:v>SVC000289</x:v>
      </x:c>
      <x:c r="E619" s="6" t="str"/>
      <x:c r="F619" s="6" t="str">
        <x:f>IFERROR(XLOOKUP(C619,'Review Sequence'!C2:C1586,'Review Sequence'!I2:I1586),"")</x:f>
        <x:v>Not Started</x:v>
      </x:c>
      <x:c r="G619" s="6" t="str">
        <x:f>IFERROR(XLOOKUP(C619,'Review Sequence'!C2:C1586,'Review Sequence'!J2:J1586),"")</x:f>
        <x:v>Not Started</x:v>
      </x:c>
      <x:c r="H619" s="7" t="str">
        <x:f>IFERROR(XLOOKUP(C619,'Review Sequence'!C2:C1586,'Review Sequence'!O2:O1586),"")</x:f>
      </x:c>
      <x:c r="I619" s="6" t="str">
        <x:f>IFERROR(XLOOKUP(C619,'Review Sequence'!C2:C1586,'Review Sequence'!P2:P1586),"")</x:f>
        <x:v>Yes</x:v>
      </x:c>
    </x:row>
    <x:row r="620">
      <x:c r="A620" s="6" t="str">
        <x:v>BLK-0619</x:v>
      </x:c>
      <x:c r="B620" s="6" t="str">
        <x:v>Manufacturer Scope</x:v>
      </x:c>
      <x:c r="C620" s="6" t="str">
        <x:v>MFRX-0290</x:v>
      </x:c>
      <x:c r="D620" s="6" t="str">
        <x:v>SVC000290</x:v>
      </x:c>
      <x:c r="E620" s="6" t="str"/>
      <x:c r="F620" s="6" t="str">
        <x:f>IFERROR(XLOOKUP(C620,'Review Sequence'!C2:C1586,'Review Sequence'!I2:I1586),"")</x:f>
        <x:v>Not Started</x:v>
      </x:c>
      <x:c r="G620" s="6" t="str">
        <x:f>IFERROR(XLOOKUP(C620,'Review Sequence'!C2:C1586,'Review Sequence'!J2:J1586),"")</x:f>
        <x:v>Not Started</x:v>
      </x:c>
      <x:c r="H620" s="7" t="str">
        <x:f>IFERROR(XLOOKUP(C620,'Review Sequence'!C2:C1586,'Review Sequence'!O2:O1586),"")</x:f>
      </x:c>
      <x:c r="I620" s="6" t="str">
        <x:f>IFERROR(XLOOKUP(C620,'Review Sequence'!C2:C1586,'Review Sequence'!P2:P1586),"")</x:f>
        <x:v>Yes</x:v>
      </x:c>
    </x:row>
    <x:row r="621">
      <x:c r="A621" s="6" t="str">
        <x:v>BLK-0620</x:v>
      </x:c>
      <x:c r="B621" s="6" t="str">
        <x:v>Manufacturer Scope</x:v>
      </x:c>
      <x:c r="C621" s="6" t="str">
        <x:v>MFRX-0291</x:v>
      </x:c>
      <x:c r="D621" s="6" t="str">
        <x:v>SVC000291</x:v>
      </x:c>
      <x:c r="E621" s="6" t="str"/>
      <x:c r="F621" s="6" t="str">
        <x:f>IFERROR(XLOOKUP(C621,'Review Sequence'!C2:C1586,'Review Sequence'!I2:I1586),"")</x:f>
        <x:v>Not Started</x:v>
      </x:c>
      <x:c r="G621" s="6" t="str">
        <x:f>IFERROR(XLOOKUP(C621,'Review Sequence'!C2:C1586,'Review Sequence'!J2:J1586),"")</x:f>
        <x:v>Not Started</x:v>
      </x:c>
      <x:c r="H621" s="7" t="str">
        <x:f>IFERROR(XLOOKUP(C621,'Review Sequence'!C2:C1586,'Review Sequence'!O2:O1586),"")</x:f>
      </x:c>
      <x:c r="I621" s="6" t="str">
        <x:f>IFERROR(XLOOKUP(C621,'Review Sequence'!C2:C1586,'Review Sequence'!P2:P1586),"")</x:f>
        <x:v>Yes</x:v>
      </x:c>
    </x:row>
    <x:row r="622">
      <x:c r="A622" s="6" t="str">
        <x:v>BLK-0621</x:v>
      </x:c>
      <x:c r="B622" s="6" t="str">
        <x:v>Manufacturer Scope</x:v>
      </x:c>
      <x:c r="C622" s="6" t="str">
        <x:v>MFRX-0292</x:v>
      </x:c>
      <x:c r="D622" s="6" t="str">
        <x:v>SVC000292</x:v>
      </x:c>
      <x:c r="E622" s="6" t="str"/>
      <x:c r="F622" s="6" t="str">
        <x:f>IFERROR(XLOOKUP(C622,'Review Sequence'!C2:C1586,'Review Sequence'!I2:I1586),"")</x:f>
        <x:v>Not Started</x:v>
      </x:c>
      <x:c r="G622" s="6" t="str">
        <x:f>IFERROR(XLOOKUP(C622,'Review Sequence'!C2:C1586,'Review Sequence'!J2:J1586),"")</x:f>
        <x:v>Not Started</x:v>
      </x:c>
      <x:c r="H622" s="7" t="str">
        <x:f>IFERROR(XLOOKUP(C622,'Review Sequence'!C2:C1586,'Review Sequence'!O2:O1586),"")</x:f>
      </x:c>
      <x:c r="I622" s="6" t="str">
        <x:f>IFERROR(XLOOKUP(C622,'Review Sequence'!C2:C1586,'Review Sequence'!P2:P1586),"")</x:f>
        <x:v>Yes</x:v>
      </x:c>
    </x:row>
    <x:row r="623">
      <x:c r="A623" s="6" t="str">
        <x:v>BLK-0622</x:v>
      </x:c>
      <x:c r="B623" s="6" t="str">
        <x:v>Manufacturer Scope</x:v>
      </x:c>
      <x:c r="C623" s="6" t="str">
        <x:v>MFRX-0293</x:v>
      </x:c>
      <x:c r="D623" s="6" t="str">
        <x:v>SVC000293</x:v>
      </x:c>
      <x:c r="E623" s="6" t="str"/>
      <x:c r="F623" s="6" t="str">
        <x:f>IFERROR(XLOOKUP(C623,'Review Sequence'!C2:C1586,'Review Sequence'!I2:I1586),"")</x:f>
        <x:v>Not Started</x:v>
      </x:c>
      <x:c r="G623" s="6" t="str">
        <x:f>IFERROR(XLOOKUP(C623,'Review Sequence'!C2:C1586,'Review Sequence'!J2:J1586),"")</x:f>
        <x:v>Not Started</x:v>
      </x:c>
      <x:c r="H623" s="7" t="str">
        <x:f>IFERROR(XLOOKUP(C623,'Review Sequence'!C2:C1586,'Review Sequence'!O2:O1586),"")</x:f>
      </x:c>
      <x:c r="I623" s="6" t="str">
        <x:f>IFERROR(XLOOKUP(C623,'Review Sequence'!C2:C1586,'Review Sequence'!P2:P1586),"")</x:f>
        <x:v>Yes</x:v>
      </x:c>
    </x:row>
    <x:row r="624">
      <x:c r="A624" s="6" t="str">
        <x:v>BLK-0623</x:v>
      </x:c>
      <x:c r="B624" s="6" t="str">
        <x:v>Manufacturer Scope</x:v>
      </x:c>
      <x:c r="C624" s="6" t="str">
        <x:v>MFRX-0294</x:v>
      </x:c>
      <x:c r="D624" s="6" t="str">
        <x:v>SVC000294</x:v>
      </x:c>
      <x:c r="E624" s="6" t="str"/>
      <x:c r="F624" s="6" t="str">
        <x:f>IFERROR(XLOOKUP(C624,'Review Sequence'!C2:C1586,'Review Sequence'!I2:I1586),"")</x:f>
        <x:v>Not Started</x:v>
      </x:c>
      <x:c r="G624" s="6" t="str">
        <x:f>IFERROR(XLOOKUP(C624,'Review Sequence'!C2:C1586,'Review Sequence'!J2:J1586),"")</x:f>
        <x:v>Not Started</x:v>
      </x:c>
      <x:c r="H624" s="7" t="str">
        <x:f>IFERROR(XLOOKUP(C624,'Review Sequence'!C2:C1586,'Review Sequence'!O2:O1586),"")</x:f>
      </x:c>
      <x:c r="I624" s="6" t="str">
        <x:f>IFERROR(XLOOKUP(C624,'Review Sequence'!C2:C1586,'Review Sequence'!P2:P1586),"")</x:f>
        <x:v>Yes</x:v>
      </x:c>
    </x:row>
    <x:row r="625">
      <x:c r="A625" s="6" t="str">
        <x:v>BLK-0624</x:v>
      </x:c>
      <x:c r="B625" s="6" t="str">
        <x:v>Manufacturer Scope</x:v>
      </x:c>
      <x:c r="C625" s="6" t="str">
        <x:v>MFRX-0295</x:v>
      </x:c>
      <x:c r="D625" s="6" t="str">
        <x:v>SVC000295</x:v>
      </x:c>
      <x:c r="E625" s="6" t="str"/>
      <x:c r="F625" s="6" t="str">
        <x:f>IFERROR(XLOOKUP(C625,'Review Sequence'!C2:C1586,'Review Sequence'!I2:I1586),"")</x:f>
        <x:v>Not Started</x:v>
      </x:c>
      <x:c r="G625" s="6" t="str">
        <x:f>IFERROR(XLOOKUP(C625,'Review Sequence'!C2:C1586,'Review Sequence'!J2:J1586),"")</x:f>
        <x:v>Not Started</x:v>
      </x:c>
      <x:c r="H625" s="7" t="str">
        <x:f>IFERROR(XLOOKUP(C625,'Review Sequence'!C2:C1586,'Review Sequence'!O2:O1586),"")</x:f>
      </x:c>
      <x:c r="I625" s="6" t="str">
        <x:f>IFERROR(XLOOKUP(C625,'Review Sequence'!C2:C1586,'Review Sequence'!P2:P1586),"")</x:f>
        <x:v>Yes</x:v>
      </x:c>
    </x:row>
    <x:row r="626">
      <x:c r="A626" s="6" t="str">
        <x:v>BLK-0625</x:v>
      </x:c>
      <x:c r="B626" s="6" t="str">
        <x:v>Manufacturer Scope</x:v>
      </x:c>
      <x:c r="C626" s="6" t="str">
        <x:v>MFRX-0296</x:v>
      </x:c>
      <x:c r="D626" s="6" t="str">
        <x:v>SVC000296</x:v>
      </x:c>
      <x:c r="E626" s="6" t="str"/>
      <x:c r="F626" s="6" t="str">
        <x:f>IFERROR(XLOOKUP(C626,'Review Sequence'!C2:C1586,'Review Sequence'!I2:I1586),"")</x:f>
        <x:v>Not Started</x:v>
      </x:c>
      <x:c r="G626" s="6" t="str">
        <x:f>IFERROR(XLOOKUP(C626,'Review Sequence'!C2:C1586,'Review Sequence'!J2:J1586),"")</x:f>
        <x:v>Not Started</x:v>
      </x:c>
      <x:c r="H626" s="7" t="str">
        <x:f>IFERROR(XLOOKUP(C626,'Review Sequence'!C2:C1586,'Review Sequence'!O2:O1586),"")</x:f>
      </x:c>
      <x:c r="I626" s="6" t="str">
        <x:f>IFERROR(XLOOKUP(C626,'Review Sequence'!C2:C1586,'Review Sequence'!P2:P1586),"")</x:f>
        <x:v>Yes</x:v>
      </x:c>
    </x:row>
    <x:row r="627">
      <x:c r="A627" s="6" t="str">
        <x:v>BLK-0626</x:v>
      </x:c>
      <x:c r="B627" s="6" t="str">
        <x:v>Manufacturer Scope</x:v>
      </x:c>
      <x:c r="C627" s="6" t="str">
        <x:v>MFRX-0297</x:v>
      </x:c>
      <x:c r="D627" s="6" t="str">
        <x:v>SVC000297</x:v>
      </x:c>
      <x:c r="E627" s="6" t="str"/>
      <x:c r="F627" s="6" t="str">
        <x:f>IFERROR(XLOOKUP(C627,'Review Sequence'!C2:C1586,'Review Sequence'!I2:I1586),"")</x:f>
        <x:v>Not Started</x:v>
      </x:c>
      <x:c r="G627" s="6" t="str">
        <x:f>IFERROR(XLOOKUP(C627,'Review Sequence'!C2:C1586,'Review Sequence'!J2:J1586),"")</x:f>
        <x:v>Not Started</x:v>
      </x:c>
      <x:c r="H627" s="7" t="str">
        <x:f>IFERROR(XLOOKUP(C627,'Review Sequence'!C2:C1586,'Review Sequence'!O2:O1586),"")</x:f>
      </x:c>
      <x:c r="I627" s="6" t="str">
        <x:f>IFERROR(XLOOKUP(C627,'Review Sequence'!C2:C1586,'Review Sequence'!P2:P1586),"")</x:f>
        <x:v>Yes</x:v>
      </x:c>
    </x:row>
    <x:row r="628">
      <x:c r="A628" s="6" t="str">
        <x:v>BLK-0627</x:v>
      </x:c>
      <x:c r="B628" s="6" t="str">
        <x:v>Manufacturer Scope</x:v>
      </x:c>
      <x:c r="C628" s="6" t="str">
        <x:v>MFRX-0298</x:v>
      </x:c>
      <x:c r="D628" s="6" t="str">
        <x:v>SVC000298</x:v>
      </x:c>
      <x:c r="E628" s="6" t="str"/>
      <x:c r="F628" s="6" t="str">
        <x:f>IFERROR(XLOOKUP(C628,'Review Sequence'!C2:C1586,'Review Sequence'!I2:I1586),"")</x:f>
        <x:v>Not Started</x:v>
      </x:c>
      <x:c r="G628" s="6" t="str">
        <x:f>IFERROR(XLOOKUP(C628,'Review Sequence'!C2:C1586,'Review Sequence'!J2:J1586),"")</x:f>
        <x:v>Not Started</x:v>
      </x:c>
      <x:c r="H628" s="7" t="str">
        <x:f>IFERROR(XLOOKUP(C628,'Review Sequence'!C2:C1586,'Review Sequence'!O2:O1586),"")</x:f>
      </x:c>
      <x:c r="I628" s="6" t="str">
        <x:f>IFERROR(XLOOKUP(C628,'Review Sequence'!C2:C1586,'Review Sequence'!P2:P1586),"")</x:f>
        <x:v>Yes</x:v>
      </x:c>
    </x:row>
    <x:row r="629">
      <x:c r="A629" s="6" t="str">
        <x:v>BLK-0628</x:v>
      </x:c>
      <x:c r="B629" s="6" t="str">
        <x:v>Manufacturer Scope</x:v>
      </x:c>
      <x:c r="C629" s="6" t="str">
        <x:v>MFRX-0299</x:v>
      </x:c>
      <x:c r="D629" s="6" t="str">
        <x:v>SVC000299</x:v>
      </x:c>
      <x:c r="E629" s="6" t="str"/>
      <x:c r="F629" s="6" t="str">
        <x:f>IFERROR(XLOOKUP(C629,'Review Sequence'!C2:C1586,'Review Sequence'!I2:I1586),"")</x:f>
        <x:v>Not Started</x:v>
      </x:c>
      <x:c r="G629" s="6" t="str">
        <x:f>IFERROR(XLOOKUP(C629,'Review Sequence'!C2:C1586,'Review Sequence'!J2:J1586),"")</x:f>
        <x:v>Not Started</x:v>
      </x:c>
      <x:c r="H629" s="7" t="str">
        <x:f>IFERROR(XLOOKUP(C629,'Review Sequence'!C2:C1586,'Review Sequence'!O2:O1586),"")</x:f>
      </x:c>
      <x:c r="I629" s="6" t="str">
        <x:f>IFERROR(XLOOKUP(C629,'Review Sequence'!C2:C1586,'Review Sequence'!P2:P1586),"")</x:f>
        <x:v>Yes</x:v>
      </x:c>
    </x:row>
    <x:row r="630">
      <x:c r="A630" s="6" t="str">
        <x:v>BLK-0629</x:v>
      </x:c>
      <x:c r="B630" s="6" t="str">
        <x:v>Manufacturer Scope</x:v>
      </x:c>
      <x:c r="C630" s="6" t="str">
        <x:v>MFRX-0300</x:v>
      </x:c>
      <x:c r="D630" s="6" t="str">
        <x:v>SVC000300</x:v>
      </x:c>
      <x:c r="E630" s="6" t="str"/>
      <x:c r="F630" s="6" t="str">
        <x:f>IFERROR(XLOOKUP(C630,'Review Sequence'!C2:C1586,'Review Sequence'!I2:I1586),"")</x:f>
        <x:v>Not Started</x:v>
      </x:c>
      <x:c r="G630" s="6" t="str">
        <x:f>IFERROR(XLOOKUP(C630,'Review Sequence'!C2:C1586,'Review Sequence'!J2:J1586),"")</x:f>
        <x:v>Not Started</x:v>
      </x:c>
      <x:c r="H630" s="7" t="str">
        <x:f>IFERROR(XLOOKUP(C630,'Review Sequence'!C2:C1586,'Review Sequence'!O2:O1586),"")</x:f>
      </x:c>
      <x:c r="I630" s="6" t="str">
        <x:f>IFERROR(XLOOKUP(C630,'Review Sequence'!C2:C1586,'Review Sequence'!P2:P1586),"")</x:f>
        <x:v>Yes</x:v>
      </x:c>
    </x:row>
    <x:row r="631">
      <x:c r="A631" s="6" t="str">
        <x:v>BLK-0630</x:v>
      </x:c>
      <x:c r="B631" s="6" t="str">
        <x:v>Manufacturer Scope</x:v>
      </x:c>
      <x:c r="C631" s="6" t="str">
        <x:v>MFRX-0301</x:v>
      </x:c>
      <x:c r="D631" s="6" t="str">
        <x:v>SVC000301</x:v>
      </x:c>
      <x:c r="E631" s="6" t="str"/>
      <x:c r="F631" s="6" t="str">
        <x:f>IFERROR(XLOOKUP(C631,'Review Sequence'!C2:C1586,'Review Sequence'!I2:I1586),"")</x:f>
        <x:v>Not Started</x:v>
      </x:c>
      <x:c r="G631" s="6" t="str">
        <x:f>IFERROR(XLOOKUP(C631,'Review Sequence'!C2:C1586,'Review Sequence'!J2:J1586),"")</x:f>
        <x:v>Not Started</x:v>
      </x:c>
      <x:c r="H631" s="7" t="str">
        <x:f>IFERROR(XLOOKUP(C631,'Review Sequence'!C2:C1586,'Review Sequence'!O2:O1586),"")</x:f>
      </x:c>
      <x:c r="I631" s="6" t="str">
        <x:f>IFERROR(XLOOKUP(C631,'Review Sequence'!C2:C1586,'Review Sequence'!P2:P1586),"")</x:f>
        <x:v>Yes</x:v>
      </x:c>
    </x:row>
    <x:row r="632">
      <x:c r="A632" s="6" t="str">
        <x:v>BLK-0631</x:v>
      </x:c>
      <x:c r="B632" s="6" t="str">
        <x:v>Manufacturer Scope</x:v>
      </x:c>
      <x:c r="C632" s="6" t="str">
        <x:v>MFRX-0302</x:v>
      </x:c>
      <x:c r="D632" s="6" t="str">
        <x:v>SVC000302</x:v>
      </x:c>
      <x:c r="E632" s="6" t="str"/>
      <x:c r="F632" s="6" t="str">
        <x:f>IFERROR(XLOOKUP(C632,'Review Sequence'!C2:C1586,'Review Sequence'!I2:I1586),"")</x:f>
        <x:v>Not Started</x:v>
      </x:c>
      <x:c r="G632" s="6" t="str">
        <x:f>IFERROR(XLOOKUP(C632,'Review Sequence'!C2:C1586,'Review Sequence'!J2:J1586),"")</x:f>
        <x:v>Not Started</x:v>
      </x:c>
      <x:c r="H632" s="7" t="str">
        <x:f>IFERROR(XLOOKUP(C632,'Review Sequence'!C2:C1586,'Review Sequence'!O2:O1586),"")</x:f>
      </x:c>
      <x:c r="I632" s="6" t="str">
        <x:f>IFERROR(XLOOKUP(C632,'Review Sequence'!C2:C1586,'Review Sequence'!P2:P1586),"")</x:f>
        <x:v>Yes</x:v>
      </x:c>
    </x:row>
    <x:row r="633">
      <x:c r="A633" s="6" t="str">
        <x:v>BLK-0632</x:v>
      </x:c>
      <x:c r="B633" s="6" t="str">
        <x:v>Manufacturer Scope</x:v>
      </x:c>
      <x:c r="C633" s="6" t="str">
        <x:v>MFRX-0303</x:v>
      </x:c>
      <x:c r="D633" s="6" t="str">
        <x:v>SVC000303</x:v>
      </x:c>
      <x:c r="E633" s="6" t="str"/>
      <x:c r="F633" s="6" t="str">
        <x:f>IFERROR(XLOOKUP(C633,'Review Sequence'!C2:C1586,'Review Sequence'!I2:I1586),"")</x:f>
        <x:v>Not Started</x:v>
      </x:c>
      <x:c r="G633" s="6" t="str">
        <x:f>IFERROR(XLOOKUP(C633,'Review Sequence'!C2:C1586,'Review Sequence'!J2:J1586),"")</x:f>
        <x:v>Not Started</x:v>
      </x:c>
      <x:c r="H633" s="7" t="str">
        <x:f>IFERROR(XLOOKUP(C633,'Review Sequence'!C2:C1586,'Review Sequence'!O2:O1586),"")</x:f>
      </x:c>
      <x:c r="I633" s="6" t="str">
        <x:f>IFERROR(XLOOKUP(C633,'Review Sequence'!C2:C1586,'Review Sequence'!P2:P1586),"")</x:f>
        <x:v>Yes</x:v>
      </x:c>
    </x:row>
    <x:row r="634">
      <x:c r="A634" s="6" t="str">
        <x:v>BLK-0633</x:v>
      </x:c>
      <x:c r="B634" s="6" t="str">
        <x:v>Manufacturer Scope</x:v>
      </x:c>
      <x:c r="C634" s="6" t="str">
        <x:v>MFRX-0304</x:v>
      </x:c>
      <x:c r="D634" s="6" t="str">
        <x:v>SVC000304</x:v>
      </x:c>
      <x:c r="E634" s="6" t="str"/>
      <x:c r="F634" s="6" t="str">
        <x:f>IFERROR(XLOOKUP(C634,'Review Sequence'!C2:C1586,'Review Sequence'!I2:I1586),"")</x:f>
        <x:v>Not Started</x:v>
      </x:c>
      <x:c r="G634" s="6" t="str">
        <x:f>IFERROR(XLOOKUP(C634,'Review Sequence'!C2:C1586,'Review Sequence'!J2:J1586),"")</x:f>
        <x:v>Not Started</x:v>
      </x:c>
      <x:c r="H634" s="7" t="str">
        <x:f>IFERROR(XLOOKUP(C634,'Review Sequence'!C2:C1586,'Review Sequence'!O2:O1586),"")</x:f>
      </x:c>
      <x:c r="I634" s="6" t="str">
        <x:f>IFERROR(XLOOKUP(C634,'Review Sequence'!C2:C1586,'Review Sequence'!P2:P1586),"")</x:f>
        <x:v>Yes</x:v>
      </x:c>
    </x:row>
    <x:row r="635">
      <x:c r="A635" s="6" t="str">
        <x:v>BLK-0634</x:v>
      </x:c>
      <x:c r="B635" s="6" t="str">
        <x:v>Manufacturer Scope</x:v>
      </x:c>
      <x:c r="C635" s="6" t="str">
        <x:v>MFRX-0305</x:v>
      </x:c>
      <x:c r="D635" s="6" t="str">
        <x:v>SVC000305</x:v>
      </x:c>
      <x:c r="E635" s="6" t="str"/>
      <x:c r="F635" s="6" t="str">
        <x:f>IFERROR(XLOOKUP(C635,'Review Sequence'!C2:C1586,'Review Sequence'!I2:I1586),"")</x:f>
        <x:v>Not Started</x:v>
      </x:c>
      <x:c r="G635" s="6" t="str">
        <x:f>IFERROR(XLOOKUP(C635,'Review Sequence'!C2:C1586,'Review Sequence'!J2:J1586),"")</x:f>
        <x:v>Not Started</x:v>
      </x:c>
      <x:c r="H635" s="7" t="str">
        <x:f>IFERROR(XLOOKUP(C635,'Review Sequence'!C2:C1586,'Review Sequence'!O2:O1586),"")</x:f>
      </x:c>
      <x:c r="I635" s="6" t="str">
        <x:f>IFERROR(XLOOKUP(C635,'Review Sequence'!C2:C1586,'Review Sequence'!P2:P1586),"")</x:f>
        <x:v>Yes</x:v>
      </x:c>
    </x:row>
    <x:row r="636">
      <x:c r="A636" s="6" t="str">
        <x:v>BLK-0635</x:v>
      </x:c>
      <x:c r="B636" s="6" t="str">
        <x:v>Manufacturer Scope</x:v>
      </x:c>
      <x:c r="C636" s="6" t="str">
        <x:v>MFRX-0306</x:v>
      </x:c>
      <x:c r="D636" s="6" t="str">
        <x:v>SVC000306</x:v>
      </x:c>
      <x:c r="E636" s="6" t="str"/>
      <x:c r="F636" s="6" t="str">
        <x:f>IFERROR(XLOOKUP(C636,'Review Sequence'!C2:C1586,'Review Sequence'!I2:I1586),"")</x:f>
        <x:v>Not Started</x:v>
      </x:c>
      <x:c r="G636" s="6" t="str">
        <x:f>IFERROR(XLOOKUP(C636,'Review Sequence'!C2:C1586,'Review Sequence'!J2:J1586),"")</x:f>
        <x:v>Not Started</x:v>
      </x:c>
      <x:c r="H636" s="7" t="str">
        <x:f>IFERROR(XLOOKUP(C636,'Review Sequence'!C2:C1586,'Review Sequence'!O2:O1586),"")</x:f>
      </x:c>
      <x:c r="I636" s="6" t="str">
        <x:f>IFERROR(XLOOKUP(C636,'Review Sequence'!C2:C1586,'Review Sequence'!P2:P1586),"")</x:f>
        <x:v>Yes</x:v>
      </x:c>
    </x:row>
    <x:row r="637">
      <x:c r="A637" s="6" t="str">
        <x:v>BLK-0636</x:v>
      </x:c>
      <x:c r="B637" s="6" t="str">
        <x:v>Manufacturer Scope</x:v>
      </x:c>
      <x:c r="C637" s="6" t="str">
        <x:v>MFRX-0307</x:v>
      </x:c>
      <x:c r="D637" s="6" t="str">
        <x:v>SVC000307</x:v>
      </x:c>
      <x:c r="E637" s="6" t="str"/>
      <x:c r="F637" s="6" t="str">
        <x:f>IFERROR(XLOOKUP(C637,'Review Sequence'!C2:C1586,'Review Sequence'!I2:I1586),"")</x:f>
        <x:v>Not Started</x:v>
      </x:c>
      <x:c r="G637" s="6" t="str">
        <x:f>IFERROR(XLOOKUP(C637,'Review Sequence'!C2:C1586,'Review Sequence'!J2:J1586),"")</x:f>
        <x:v>Not Started</x:v>
      </x:c>
      <x:c r="H637" s="7" t="str">
        <x:f>IFERROR(XLOOKUP(C637,'Review Sequence'!C2:C1586,'Review Sequence'!O2:O1586),"")</x:f>
      </x:c>
      <x:c r="I637" s="6" t="str">
        <x:f>IFERROR(XLOOKUP(C637,'Review Sequence'!C2:C1586,'Review Sequence'!P2:P1586),"")</x:f>
        <x:v>Yes</x:v>
      </x:c>
    </x:row>
    <x:row r="638">
      <x:c r="A638" s="6" t="str">
        <x:v>BLK-0637</x:v>
      </x:c>
      <x:c r="B638" s="6" t="str">
        <x:v>Manufacturer Scope</x:v>
      </x:c>
      <x:c r="C638" s="6" t="str">
        <x:v>MFRX-0308</x:v>
      </x:c>
      <x:c r="D638" s="6" t="str">
        <x:v>SVC000308</x:v>
      </x:c>
      <x:c r="E638" s="6" t="str"/>
      <x:c r="F638" s="6" t="str">
        <x:f>IFERROR(XLOOKUP(C638,'Review Sequence'!C2:C1586,'Review Sequence'!I2:I1586),"")</x:f>
        <x:v>Not Started</x:v>
      </x:c>
      <x:c r="G638" s="6" t="str">
        <x:f>IFERROR(XLOOKUP(C638,'Review Sequence'!C2:C1586,'Review Sequence'!J2:J1586),"")</x:f>
        <x:v>Not Started</x:v>
      </x:c>
      <x:c r="H638" s="7" t="str">
        <x:f>IFERROR(XLOOKUP(C638,'Review Sequence'!C2:C1586,'Review Sequence'!O2:O1586),"")</x:f>
      </x:c>
      <x:c r="I638" s="6" t="str">
        <x:f>IFERROR(XLOOKUP(C638,'Review Sequence'!C2:C1586,'Review Sequence'!P2:P1586),"")</x:f>
        <x:v>Yes</x:v>
      </x:c>
    </x:row>
    <x:row r="639">
      <x:c r="A639" s="6" t="str">
        <x:v>BLK-0638</x:v>
      </x:c>
      <x:c r="B639" s="6" t="str">
        <x:v>Manufacturer Scope</x:v>
      </x:c>
      <x:c r="C639" s="6" t="str">
        <x:v>MFRX-0309</x:v>
      </x:c>
      <x:c r="D639" s="6" t="str">
        <x:v>SVC000309</x:v>
      </x:c>
      <x:c r="E639" s="6" t="str"/>
      <x:c r="F639" s="6" t="str">
        <x:f>IFERROR(XLOOKUP(C639,'Review Sequence'!C2:C1586,'Review Sequence'!I2:I1586),"")</x:f>
        <x:v>Not Started</x:v>
      </x:c>
      <x:c r="G639" s="6" t="str">
        <x:f>IFERROR(XLOOKUP(C639,'Review Sequence'!C2:C1586,'Review Sequence'!J2:J1586),"")</x:f>
        <x:v>Not Started</x:v>
      </x:c>
      <x:c r="H639" s="7" t="str">
        <x:f>IFERROR(XLOOKUP(C639,'Review Sequence'!C2:C1586,'Review Sequence'!O2:O1586),"")</x:f>
      </x:c>
      <x:c r="I639" s="6" t="str">
        <x:f>IFERROR(XLOOKUP(C639,'Review Sequence'!C2:C1586,'Review Sequence'!P2:P1586),"")</x:f>
        <x:v>Yes</x:v>
      </x:c>
    </x:row>
    <x:row r="640">
      <x:c r="A640" s="6" t="str">
        <x:v>BLK-0639</x:v>
      </x:c>
      <x:c r="B640" s="6" t="str">
        <x:v>Manufacturer Scope</x:v>
      </x:c>
      <x:c r="C640" s="6" t="str">
        <x:v>MFRX-0310</x:v>
      </x:c>
      <x:c r="D640" s="6" t="str">
        <x:v>SVC000310</x:v>
      </x:c>
      <x:c r="E640" s="6" t="str"/>
      <x:c r="F640" s="6" t="str">
        <x:f>IFERROR(XLOOKUP(C640,'Review Sequence'!C2:C1586,'Review Sequence'!I2:I1586),"")</x:f>
        <x:v>Not Started</x:v>
      </x:c>
      <x:c r="G640" s="6" t="str">
        <x:f>IFERROR(XLOOKUP(C640,'Review Sequence'!C2:C1586,'Review Sequence'!J2:J1586),"")</x:f>
        <x:v>Not Started</x:v>
      </x:c>
      <x:c r="H640" s="7" t="str">
        <x:f>IFERROR(XLOOKUP(C640,'Review Sequence'!C2:C1586,'Review Sequence'!O2:O1586),"")</x:f>
      </x:c>
      <x:c r="I640" s="6" t="str">
        <x:f>IFERROR(XLOOKUP(C640,'Review Sequence'!C2:C1586,'Review Sequence'!P2:P1586),"")</x:f>
        <x:v>Yes</x:v>
      </x:c>
    </x:row>
    <x:row r="641">
      <x:c r="A641" s="6" t="str">
        <x:v>BLK-0640</x:v>
      </x:c>
      <x:c r="B641" s="6" t="str">
        <x:v>Manufacturer Scope</x:v>
      </x:c>
      <x:c r="C641" s="6" t="str">
        <x:v>MFRX-0311</x:v>
      </x:c>
      <x:c r="D641" s="6" t="str">
        <x:v>SVC000311</x:v>
      </x:c>
      <x:c r="E641" s="6" t="str"/>
      <x:c r="F641" s="6" t="str">
        <x:f>IFERROR(XLOOKUP(C641,'Review Sequence'!C2:C1586,'Review Sequence'!I2:I1586),"")</x:f>
        <x:v>Not Started</x:v>
      </x:c>
      <x:c r="G641" s="6" t="str">
        <x:f>IFERROR(XLOOKUP(C641,'Review Sequence'!C2:C1586,'Review Sequence'!J2:J1586),"")</x:f>
        <x:v>Not Started</x:v>
      </x:c>
      <x:c r="H641" s="7" t="str">
        <x:f>IFERROR(XLOOKUP(C641,'Review Sequence'!C2:C1586,'Review Sequence'!O2:O1586),"")</x:f>
      </x:c>
      <x:c r="I641" s="6" t="str">
        <x:f>IFERROR(XLOOKUP(C641,'Review Sequence'!C2:C1586,'Review Sequence'!P2:P1586),"")</x:f>
        <x:v>Yes</x:v>
      </x:c>
    </x:row>
    <x:row r="642">
      <x:c r="A642" s="6" t="str">
        <x:v>BLK-0641</x:v>
      </x:c>
      <x:c r="B642" s="6" t="str">
        <x:v>Manufacturer Scope</x:v>
      </x:c>
      <x:c r="C642" s="6" t="str">
        <x:v>MFRX-0312</x:v>
      </x:c>
      <x:c r="D642" s="6" t="str">
        <x:v>SVC000312</x:v>
      </x:c>
      <x:c r="E642" s="6" t="str"/>
      <x:c r="F642" s="6" t="str">
        <x:f>IFERROR(XLOOKUP(C642,'Review Sequence'!C2:C1586,'Review Sequence'!I2:I1586),"")</x:f>
        <x:v>Not Started</x:v>
      </x:c>
      <x:c r="G642" s="6" t="str">
        <x:f>IFERROR(XLOOKUP(C642,'Review Sequence'!C2:C1586,'Review Sequence'!J2:J1586),"")</x:f>
        <x:v>Not Started</x:v>
      </x:c>
      <x:c r="H642" s="7" t="str">
        <x:f>IFERROR(XLOOKUP(C642,'Review Sequence'!C2:C1586,'Review Sequence'!O2:O1586),"")</x:f>
      </x:c>
      <x:c r="I642" s="6" t="str">
        <x:f>IFERROR(XLOOKUP(C642,'Review Sequence'!C2:C1586,'Review Sequence'!P2:P1586),"")</x:f>
        <x:v>Yes</x:v>
      </x:c>
    </x:row>
    <x:row r="643">
      <x:c r="A643" s="6" t="str">
        <x:v>BLK-0642</x:v>
      </x:c>
      <x:c r="B643" s="6" t="str">
        <x:v>Manufacturer Scope</x:v>
      </x:c>
      <x:c r="C643" s="6" t="str">
        <x:v>MFRX-0313</x:v>
      </x:c>
      <x:c r="D643" s="6" t="str">
        <x:v>SVC000313</x:v>
      </x:c>
      <x:c r="E643" s="6" t="str"/>
      <x:c r="F643" s="6" t="str">
        <x:f>IFERROR(XLOOKUP(C643,'Review Sequence'!C2:C1586,'Review Sequence'!I2:I1586),"")</x:f>
        <x:v>Not Started</x:v>
      </x:c>
      <x:c r="G643" s="6" t="str">
        <x:f>IFERROR(XLOOKUP(C643,'Review Sequence'!C2:C1586,'Review Sequence'!J2:J1586),"")</x:f>
        <x:v>Not Started</x:v>
      </x:c>
      <x:c r="H643" s="7" t="str">
        <x:f>IFERROR(XLOOKUP(C643,'Review Sequence'!C2:C1586,'Review Sequence'!O2:O1586),"")</x:f>
      </x:c>
      <x:c r="I643" s="6" t="str">
        <x:f>IFERROR(XLOOKUP(C643,'Review Sequence'!C2:C1586,'Review Sequence'!P2:P1586),"")</x:f>
        <x:v>Yes</x:v>
      </x:c>
    </x:row>
    <x:row r="644">
      <x:c r="A644" s="6" t="str">
        <x:v>BLK-0643</x:v>
      </x:c>
      <x:c r="B644" s="6" t="str">
        <x:v>Manufacturer Scope</x:v>
      </x:c>
      <x:c r="C644" s="6" t="str">
        <x:v>MFRX-0314</x:v>
      </x:c>
      <x:c r="D644" s="6" t="str">
        <x:v>SVC000314</x:v>
      </x:c>
      <x:c r="E644" s="6" t="str"/>
      <x:c r="F644" s="6" t="str">
        <x:f>IFERROR(XLOOKUP(C644,'Review Sequence'!C2:C1586,'Review Sequence'!I2:I1586),"")</x:f>
        <x:v>Not Started</x:v>
      </x:c>
      <x:c r="G644" s="6" t="str">
        <x:f>IFERROR(XLOOKUP(C644,'Review Sequence'!C2:C1586,'Review Sequence'!J2:J1586),"")</x:f>
        <x:v>Not Started</x:v>
      </x:c>
      <x:c r="H644" s="7" t="str">
        <x:f>IFERROR(XLOOKUP(C644,'Review Sequence'!C2:C1586,'Review Sequence'!O2:O1586),"")</x:f>
      </x:c>
      <x:c r="I644" s="6" t="str">
        <x:f>IFERROR(XLOOKUP(C644,'Review Sequence'!C2:C1586,'Review Sequence'!P2:P1586),"")</x:f>
        <x:v>Yes</x:v>
      </x:c>
    </x:row>
    <x:row r="645">
      <x:c r="A645" s="6" t="str">
        <x:v>BLK-0644</x:v>
      </x:c>
      <x:c r="B645" s="6" t="str">
        <x:v>Device Applicability</x:v>
      </x:c>
      <x:c r="C645" s="6" t="str">
        <x:v>DEVX-0001</x:v>
      </x:c>
      <x:c r="D645" s="6" t="str">
        <x:v>SVC000001</x:v>
      </x:c>
      <x:c r="E645" s="6" t="str"/>
      <x:c r="F645" s="6" t="str">
        <x:f>IFERROR(XLOOKUP(C645,'Review Sequence'!C2:C1586,'Review Sequence'!I2:I1586),"")</x:f>
        <x:v>Multiple dependencies - verify source queues</x:v>
      </x:c>
      <x:c r="G645" s="6" t="str">
        <x:f>IFERROR(XLOOKUP(C645,'Review Sequence'!C2:C1586,'Review Sequence'!J2:J1586),"")</x:f>
        <x:v>Not Started</x:v>
      </x:c>
      <x:c r="H645" s="7" t="str">
        <x:f>IFERROR(XLOOKUP(C645,'Review Sequence'!C2:C1586,'Review Sequence'!O2:O1586),"")</x:f>
      </x:c>
      <x:c r="I645" s="6" t="str">
        <x:f>IFERROR(XLOOKUP(C645,'Review Sequence'!C2:C1586,'Review Sequence'!P2:P1586),"")</x:f>
        <x:v>Yes</x:v>
      </x:c>
    </x:row>
    <x:row r="646">
      <x:c r="A646" s="6" t="str">
        <x:v>BLK-0645</x:v>
      </x:c>
      <x:c r="B646" s="6" t="str">
        <x:v>Device Applicability</x:v>
      </x:c>
      <x:c r="C646" s="6" t="str">
        <x:v>DEVX-0002</x:v>
      </x:c>
      <x:c r="D646" s="6" t="str">
        <x:v>SVC000002</x:v>
      </x:c>
      <x:c r="E646" s="6" t="str"/>
      <x:c r="F646" s="6" t="str">
        <x:f>IFERROR(XLOOKUP(C646,'Review Sequence'!C2:C1586,'Review Sequence'!I2:I1586),"")</x:f>
        <x:v>Multiple dependencies - verify source queues</x:v>
      </x:c>
      <x:c r="G646" s="6" t="str">
        <x:f>IFERROR(XLOOKUP(C646,'Review Sequence'!C2:C1586,'Review Sequence'!J2:J1586),"")</x:f>
        <x:v>Not Started</x:v>
      </x:c>
      <x:c r="H646" s="7" t="str">
        <x:f>IFERROR(XLOOKUP(C646,'Review Sequence'!C2:C1586,'Review Sequence'!O2:O1586),"")</x:f>
      </x:c>
      <x:c r="I646" s="6" t="str">
        <x:f>IFERROR(XLOOKUP(C646,'Review Sequence'!C2:C1586,'Review Sequence'!P2:P1586),"")</x:f>
        <x:v>Yes</x:v>
      </x:c>
    </x:row>
    <x:row r="647">
      <x:c r="A647" s="6" t="str">
        <x:v>BLK-0646</x:v>
      </x:c>
      <x:c r="B647" s="6" t="str">
        <x:v>Device Applicability</x:v>
      </x:c>
      <x:c r="C647" s="6" t="str">
        <x:v>DEVX-0003</x:v>
      </x:c>
      <x:c r="D647" s="6" t="str">
        <x:v>SVC000003</x:v>
      </x:c>
      <x:c r="E647" s="6" t="str"/>
      <x:c r="F647" s="6" t="str">
        <x:f>IFERROR(XLOOKUP(C647,'Review Sequence'!C2:C1586,'Review Sequence'!I2:I1586),"")</x:f>
        <x:v>Multiple dependencies - verify source queues</x:v>
      </x:c>
      <x:c r="G647" s="6" t="str">
        <x:f>IFERROR(XLOOKUP(C647,'Review Sequence'!C2:C1586,'Review Sequence'!J2:J1586),"")</x:f>
        <x:v>Not Started</x:v>
      </x:c>
      <x:c r="H647" s="7" t="str">
        <x:f>IFERROR(XLOOKUP(C647,'Review Sequence'!C2:C1586,'Review Sequence'!O2:O1586),"")</x:f>
      </x:c>
      <x:c r="I647" s="6" t="str">
        <x:f>IFERROR(XLOOKUP(C647,'Review Sequence'!C2:C1586,'Review Sequence'!P2:P1586),"")</x:f>
        <x:v>Yes</x:v>
      </x:c>
    </x:row>
    <x:row r="648">
      <x:c r="A648" s="6" t="str">
        <x:v>BLK-0647</x:v>
      </x:c>
      <x:c r="B648" s="6" t="str">
        <x:v>Device Applicability</x:v>
      </x:c>
      <x:c r="C648" s="6" t="str">
        <x:v>DEVX-0004</x:v>
      </x:c>
      <x:c r="D648" s="6" t="str">
        <x:v>SVC000004</x:v>
      </x:c>
      <x:c r="E648" s="6" t="str"/>
      <x:c r="F648" s="6" t="str">
        <x:f>IFERROR(XLOOKUP(C648,'Review Sequence'!C2:C1586,'Review Sequence'!I2:I1586),"")</x:f>
        <x:v>Multiple dependencies - verify source queues</x:v>
      </x:c>
      <x:c r="G648" s="6" t="str">
        <x:f>IFERROR(XLOOKUP(C648,'Review Sequence'!C2:C1586,'Review Sequence'!J2:J1586),"")</x:f>
        <x:v>Not Started</x:v>
      </x:c>
      <x:c r="H648" s="7" t="str">
        <x:f>IFERROR(XLOOKUP(C648,'Review Sequence'!C2:C1586,'Review Sequence'!O2:O1586),"")</x:f>
      </x:c>
      <x:c r="I648" s="6" t="str">
        <x:f>IFERROR(XLOOKUP(C648,'Review Sequence'!C2:C1586,'Review Sequence'!P2:P1586),"")</x:f>
        <x:v>Yes</x:v>
      </x:c>
    </x:row>
    <x:row r="649">
      <x:c r="A649" s="6" t="str">
        <x:v>BLK-0648</x:v>
      </x:c>
      <x:c r="B649" s="6" t="str">
        <x:v>Device Applicability</x:v>
      </x:c>
      <x:c r="C649" s="6" t="str">
        <x:v>DEVX-0005</x:v>
      </x:c>
      <x:c r="D649" s="6" t="str">
        <x:v>SVC000005</x:v>
      </x:c>
      <x:c r="E649" s="6" t="str"/>
      <x:c r="F649" s="6" t="str">
        <x:f>IFERROR(XLOOKUP(C649,'Review Sequence'!C2:C1586,'Review Sequence'!I2:I1586),"")</x:f>
        <x:v>Multiple dependencies - verify source queues</x:v>
      </x:c>
      <x:c r="G649" s="6" t="str">
        <x:f>IFERROR(XLOOKUP(C649,'Review Sequence'!C2:C1586,'Review Sequence'!J2:J1586),"")</x:f>
        <x:v>Not Started</x:v>
      </x:c>
      <x:c r="H649" s="7" t="str">
        <x:f>IFERROR(XLOOKUP(C649,'Review Sequence'!C2:C1586,'Review Sequence'!O2:O1586),"")</x:f>
      </x:c>
      <x:c r="I649" s="6" t="str">
        <x:f>IFERROR(XLOOKUP(C649,'Review Sequence'!C2:C1586,'Review Sequence'!P2:P1586),"")</x:f>
        <x:v>Yes</x:v>
      </x:c>
    </x:row>
    <x:row r="650">
      <x:c r="A650" s="6" t="str">
        <x:v>BLK-0649</x:v>
      </x:c>
      <x:c r="B650" s="6" t="str">
        <x:v>Device Applicability</x:v>
      </x:c>
      <x:c r="C650" s="6" t="str">
        <x:v>DEVX-0006</x:v>
      </x:c>
      <x:c r="D650" s="6" t="str">
        <x:v>SVC000006</x:v>
      </x:c>
      <x:c r="E650" s="6" t="str"/>
      <x:c r="F650" s="6" t="str">
        <x:f>IFERROR(XLOOKUP(C650,'Review Sequence'!C2:C1586,'Review Sequence'!I2:I1586),"")</x:f>
        <x:v>Multiple dependencies - verify source queues</x:v>
      </x:c>
      <x:c r="G650" s="6" t="str">
        <x:f>IFERROR(XLOOKUP(C650,'Review Sequence'!C2:C1586,'Review Sequence'!J2:J1586),"")</x:f>
        <x:v>Not Started</x:v>
      </x:c>
      <x:c r="H650" s="7" t="str">
        <x:f>IFERROR(XLOOKUP(C650,'Review Sequence'!C2:C1586,'Review Sequence'!O2:O1586),"")</x:f>
      </x:c>
      <x:c r="I650" s="6" t="str">
        <x:f>IFERROR(XLOOKUP(C650,'Review Sequence'!C2:C1586,'Review Sequence'!P2:P1586),"")</x:f>
        <x:v>Yes</x:v>
      </x:c>
    </x:row>
    <x:row r="651">
      <x:c r="A651" s="6" t="str">
        <x:v>BLK-0650</x:v>
      </x:c>
      <x:c r="B651" s="6" t="str">
        <x:v>Device Applicability</x:v>
      </x:c>
      <x:c r="C651" s="6" t="str">
        <x:v>DEVX-0007</x:v>
      </x:c>
      <x:c r="D651" s="6" t="str">
        <x:v>SVC000007</x:v>
      </x:c>
      <x:c r="E651" s="6" t="str"/>
      <x:c r="F651" s="6" t="str">
        <x:f>IFERROR(XLOOKUP(C651,'Review Sequence'!C2:C1586,'Review Sequence'!I2:I1586),"")</x:f>
        <x:v>Multiple dependencies - verify source queues</x:v>
      </x:c>
      <x:c r="G651" s="6" t="str">
        <x:f>IFERROR(XLOOKUP(C651,'Review Sequence'!C2:C1586,'Review Sequence'!J2:J1586),"")</x:f>
        <x:v>Not Started</x:v>
      </x:c>
      <x:c r="H651" s="7" t="str">
        <x:f>IFERROR(XLOOKUP(C651,'Review Sequence'!C2:C1586,'Review Sequence'!O2:O1586),"")</x:f>
      </x:c>
      <x:c r="I651" s="6" t="str">
        <x:f>IFERROR(XLOOKUP(C651,'Review Sequence'!C2:C1586,'Review Sequence'!P2:P1586),"")</x:f>
        <x:v>Yes</x:v>
      </x:c>
    </x:row>
    <x:row r="652">
      <x:c r="A652" s="6" t="str">
        <x:v>BLK-0651</x:v>
      </x:c>
      <x:c r="B652" s="6" t="str">
        <x:v>Device Applicability</x:v>
      </x:c>
      <x:c r="C652" s="6" t="str">
        <x:v>DEVX-0008</x:v>
      </x:c>
      <x:c r="D652" s="6" t="str">
        <x:v>SVC000008</x:v>
      </x:c>
      <x:c r="E652" s="6" t="str"/>
      <x:c r="F652" s="6" t="str">
        <x:f>IFERROR(XLOOKUP(C652,'Review Sequence'!C2:C1586,'Review Sequence'!I2:I1586),"")</x:f>
        <x:v>Multiple dependencies - verify source queues</x:v>
      </x:c>
      <x:c r="G652" s="6" t="str">
        <x:f>IFERROR(XLOOKUP(C652,'Review Sequence'!C2:C1586,'Review Sequence'!J2:J1586),"")</x:f>
        <x:v>Not Started</x:v>
      </x:c>
      <x:c r="H652" s="7" t="str">
        <x:f>IFERROR(XLOOKUP(C652,'Review Sequence'!C2:C1586,'Review Sequence'!O2:O1586),"")</x:f>
      </x:c>
      <x:c r="I652" s="6" t="str">
        <x:f>IFERROR(XLOOKUP(C652,'Review Sequence'!C2:C1586,'Review Sequence'!P2:P1586),"")</x:f>
        <x:v>Yes</x:v>
      </x:c>
    </x:row>
    <x:row r="653">
      <x:c r="A653" s="6" t="str">
        <x:v>BLK-0652</x:v>
      </x:c>
      <x:c r="B653" s="6" t="str">
        <x:v>Device Applicability</x:v>
      </x:c>
      <x:c r="C653" s="6" t="str">
        <x:v>DEVX-0009</x:v>
      </x:c>
      <x:c r="D653" s="6" t="str">
        <x:v>SVC000009</x:v>
      </x:c>
      <x:c r="E653" s="6" t="str"/>
      <x:c r="F653" s="6" t="str">
        <x:f>IFERROR(XLOOKUP(C653,'Review Sequence'!C2:C1586,'Review Sequence'!I2:I1586),"")</x:f>
        <x:v>Multiple dependencies - verify source queues</x:v>
      </x:c>
      <x:c r="G653" s="6" t="str">
        <x:f>IFERROR(XLOOKUP(C653,'Review Sequence'!C2:C1586,'Review Sequence'!J2:J1586),"")</x:f>
        <x:v>Not Started</x:v>
      </x:c>
      <x:c r="H653" s="7" t="str">
        <x:f>IFERROR(XLOOKUP(C653,'Review Sequence'!C2:C1586,'Review Sequence'!O2:O1586),"")</x:f>
      </x:c>
      <x:c r="I653" s="6" t="str">
        <x:f>IFERROR(XLOOKUP(C653,'Review Sequence'!C2:C1586,'Review Sequence'!P2:P1586),"")</x:f>
        <x:v>Yes</x:v>
      </x:c>
    </x:row>
    <x:row r="654">
      <x:c r="A654" s="6" t="str">
        <x:v>BLK-0653</x:v>
      </x:c>
      <x:c r="B654" s="6" t="str">
        <x:v>Device Applicability</x:v>
      </x:c>
      <x:c r="C654" s="6" t="str">
        <x:v>DEVX-0010</x:v>
      </x:c>
      <x:c r="D654" s="6" t="str">
        <x:v>SVC000010</x:v>
      </x:c>
      <x:c r="E654" s="6" t="str"/>
      <x:c r="F654" s="6" t="str">
        <x:f>IFERROR(XLOOKUP(C654,'Review Sequence'!C2:C1586,'Review Sequence'!I2:I1586),"")</x:f>
        <x:v>Multiple dependencies - verify source queues</x:v>
      </x:c>
      <x:c r="G654" s="6" t="str">
        <x:f>IFERROR(XLOOKUP(C654,'Review Sequence'!C2:C1586,'Review Sequence'!J2:J1586),"")</x:f>
        <x:v>Not Started</x:v>
      </x:c>
      <x:c r="H654" s="7" t="str">
        <x:f>IFERROR(XLOOKUP(C654,'Review Sequence'!C2:C1586,'Review Sequence'!O2:O1586),"")</x:f>
      </x:c>
      <x:c r="I654" s="6" t="str">
        <x:f>IFERROR(XLOOKUP(C654,'Review Sequence'!C2:C1586,'Review Sequence'!P2:P1586),"")</x:f>
        <x:v>Yes</x:v>
      </x:c>
    </x:row>
    <x:row r="655">
      <x:c r="A655" s="6" t="str">
        <x:v>BLK-0654</x:v>
      </x:c>
      <x:c r="B655" s="6" t="str">
        <x:v>Device Applicability</x:v>
      </x:c>
      <x:c r="C655" s="6" t="str">
        <x:v>DEVX-0011</x:v>
      </x:c>
      <x:c r="D655" s="6" t="str">
        <x:v>SVC000011</x:v>
      </x:c>
      <x:c r="E655" s="6" t="str"/>
      <x:c r="F655" s="6" t="str">
        <x:f>IFERROR(XLOOKUP(C655,'Review Sequence'!C2:C1586,'Review Sequence'!I2:I1586),"")</x:f>
        <x:v>Multiple dependencies - verify source queues</x:v>
      </x:c>
      <x:c r="G655" s="6" t="str">
        <x:f>IFERROR(XLOOKUP(C655,'Review Sequence'!C2:C1586,'Review Sequence'!J2:J1586),"")</x:f>
        <x:v>Not Started</x:v>
      </x:c>
      <x:c r="H655" s="7" t="str">
        <x:f>IFERROR(XLOOKUP(C655,'Review Sequence'!C2:C1586,'Review Sequence'!O2:O1586),"")</x:f>
      </x:c>
      <x:c r="I655" s="6" t="str">
        <x:f>IFERROR(XLOOKUP(C655,'Review Sequence'!C2:C1586,'Review Sequence'!P2:P1586),"")</x:f>
        <x:v>Yes</x:v>
      </x:c>
    </x:row>
    <x:row r="656">
      <x:c r="A656" s="6" t="str">
        <x:v>BLK-0655</x:v>
      </x:c>
      <x:c r="B656" s="6" t="str">
        <x:v>Device Applicability</x:v>
      </x:c>
      <x:c r="C656" s="6" t="str">
        <x:v>DEVX-0012</x:v>
      </x:c>
      <x:c r="D656" s="6" t="str">
        <x:v>SVC000012</x:v>
      </x:c>
      <x:c r="E656" s="6" t="str"/>
      <x:c r="F656" s="6" t="str">
        <x:f>IFERROR(XLOOKUP(C656,'Review Sequence'!C2:C1586,'Review Sequence'!I2:I1586),"")</x:f>
        <x:v>Multiple dependencies - verify source queues</x:v>
      </x:c>
      <x:c r="G656" s="6" t="str">
        <x:f>IFERROR(XLOOKUP(C656,'Review Sequence'!C2:C1586,'Review Sequence'!J2:J1586),"")</x:f>
        <x:v>Not Started</x:v>
      </x:c>
      <x:c r="H656" s="7" t="str">
        <x:f>IFERROR(XLOOKUP(C656,'Review Sequence'!C2:C1586,'Review Sequence'!O2:O1586),"")</x:f>
      </x:c>
      <x:c r="I656" s="6" t="str">
        <x:f>IFERROR(XLOOKUP(C656,'Review Sequence'!C2:C1586,'Review Sequence'!P2:P1586),"")</x:f>
        <x:v>Yes</x:v>
      </x:c>
    </x:row>
    <x:row r="657">
      <x:c r="A657" s="6" t="str">
        <x:v>BLK-0656</x:v>
      </x:c>
      <x:c r="B657" s="6" t="str">
        <x:v>Device Applicability</x:v>
      </x:c>
      <x:c r="C657" s="6" t="str">
        <x:v>DEVX-0013</x:v>
      </x:c>
      <x:c r="D657" s="6" t="str">
        <x:v>SVC000013</x:v>
      </x:c>
      <x:c r="E657" s="6" t="str"/>
      <x:c r="F657" s="6" t="str">
        <x:f>IFERROR(XLOOKUP(C657,'Review Sequence'!C2:C1586,'Review Sequence'!I2:I1586),"")</x:f>
        <x:v>Multiple dependencies - verify source queues</x:v>
      </x:c>
      <x:c r="G657" s="6" t="str">
        <x:f>IFERROR(XLOOKUP(C657,'Review Sequence'!C2:C1586,'Review Sequence'!J2:J1586),"")</x:f>
        <x:v>Not Started</x:v>
      </x:c>
      <x:c r="H657" s="7" t="str">
        <x:f>IFERROR(XLOOKUP(C657,'Review Sequence'!C2:C1586,'Review Sequence'!O2:O1586),"")</x:f>
      </x:c>
      <x:c r="I657" s="6" t="str">
        <x:f>IFERROR(XLOOKUP(C657,'Review Sequence'!C2:C1586,'Review Sequence'!P2:P1586),"")</x:f>
        <x:v>Yes</x:v>
      </x:c>
    </x:row>
    <x:row r="658">
      <x:c r="A658" s="6" t="str">
        <x:v>BLK-0657</x:v>
      </x:c>
      <x:c r="B658" s="6" t="str">
        <x:v>Device Applicability</x:v>
      </x:c>
      <x:c r="C658" s="6" t="str">
        <x:v>DEVX-0014</x:v>
      </x:c>
      <x:c r="D658" s="6" t="str">
        <x:v>SVC000014</x:v>
      </x:c>
      <x:c r="E658" s="6" t="str"/>
      <x:c r="F658" s="6" t="str">
        <x:f>IFERROR(XLOOKUP(C658,'Review Sequence'!C2:C1586,'Review Sequence'!I2:I1586),"")</x:f>
        <x:v>Multiple dependencies - verify source queues</x:v>
      </x:c>
      <x:c r="G658" s="6" t="str">
        <x:f>IFERROR(XLOOKUP(C658,'Review Sequence'!C2:C1586,'Review Sequence'!J2:J1586),"")</x:f>
        <x:v>Not Started</x:v>
      </x:c>
      <x:c r="H658" s="7" t="str">
        <x:f>IFERROR(XLOOKUP(C658,'Review Sequence'!C2:C1586,'Review Sequence'!O2:O1586),"")</x:f>
      </x:c>
      <x:c r="I658" s="6" t="str">
        <x:f>IFERROR(XLOOKUP(C658,'Review Sequence'!C2:C1586,'Review Sequence'!P2:P1586),"")</x:f>
        <x:v>Yes</x:v>
      </x:c>
    </x:row>
    <x:row r="659">
      <x:c r="A659" s="6" t="str">
        <x:v>BLK-0658</x:v>
      </x:c>
      <x:c r="B659" s="6" t="str">
        <x:v>Device Applicability</x:v>
      </x:c>
      <x:c r="C659" s="6" t="str">
        <x:v>DEVX-0015</x:v>
      </x:c>
      <x:c r="D659" s="6" t="str">
        <x:v>SVC000015</x:v>
      </x:c>
      <x:c r="E659" s="6" t="str"/>
      <x:c r="F659" s="6" t="str">
        <x:f>IFERROR(XLOOKUP(C659,'Review Sequence'!C2:C1586,'Review Sequence'!I2:I1586),"")</x:f>
        <x:v>Multiple dependencies - verify source queues</x:v>
      </x:c>
      <x:c r="G659" s="6" t="str">
        <x:f>IFERROR(XLOOKUP(C659,'Review Sequence'!C2:C1586,'Review Sequence'!J2:J1586),"")</x:f>
        <x:v>Not Started</x:v>
      </x:c>
      <x:c r="H659" s="7" t="str">
        <x:f>IFERROR(XLOOKUP(C659,'Review Sequence'!C2:C1586,'Review Sequence'!O2:O1586),"")</x:f>
      </x:c>
      <x:c r="I659" s="6" t="str">
        <x:f>IFERROR(XLOOKUP(C659,'Review Sequence'!C2:C1586,'Review Sequence'!P2:P1586),"")</x:f>
        <x:v>Yes</x:v>
      </x:c>
    </x:row>
    <x:row r="660">
      <x:c r="A660" s="6" t="str">
        <x:v>BLK-0659</x:v>
      </x:c>
      <x:c r="B660" s="6" t="str">
        <x:v>Device Applicability</x:v>
      </x:c>
      <x:c r="C660" s="6" t="str">
        <x:v>DEVX-0016</x:v>
      </x:c>
      <x:c r="D660" s="6" t="str">
        <x:v>SVC000016</x:v>
      </x:c>
      <x:c r="E660" s="6" t="str"/>
      <x:c r="F660" s="6" t="str">
        <x:f>IFERROR(XLOOKUP(C660,'Review Sequence'!C2:C1586,'Review Sequence'!I2:I1586),"")</x:f>
        <x:v>Multiple dependencies - verify source queues</x:v>
      </x:c>
      <x:c r="G660" s="6" t="str">
        <x:f>IFERROR(XLOOKUP(C660,'Review Sequence'!C2:C1586,'Review Sequence'!J2:J1586),"")</x:f>
        <x:v>Not Started</x:v>
      </x:c>
      <x:c r="H660" s="7" t="str">
        <x:f>IFERROR(XLOOKUP(C660,'Review Sequence'!C2:C1586,'Review Sequence'!O2:O1586),"")</x:f>
      </x:c>
      <x:c r="I660" s="6" t="str">
        <x:f>IFERROR(XLOOKUP(C660,'Review Sequence'!C2:C1586,'Review Sequence'!P2:P1586),"")</x:f>
        <x:v>Yes</x:v>
      </x:c>
    </x:row>
    <x:row r="661">
      <x:c r="A661" s="6" t="str">
        <x:v>BLK-0660</x:v>
      </x:c>
      <x:c r="B661" s="6" t="str">
        <x:v>Device Applicability</x:v>
      </x:c>
      <x:c r="C661" s="6" t="str">
        <x:v>DEVX-0017</x:v>
      </x:c>
      <x:c r="D661" s="6" t="str">
        <x:v>SVC000017</x:v>
      </x:c>
      <x:c r="E661" s="6" t="str"/>
      <x:c r="F661" s="6" t="str">
        <x:f>IFERROR(XLOOKUP(C661,'Review Sequence'!C2:C1586,'Review Sequence'!I2:I1586),"")</x:f>
        <x:v>Multiple dependencies - verify source queues</x:v>
      </x:c>
      <x:c r="G661" s="6" t="str">
        <x:f>IFERROR(XLOOKUP(C661,'Review Sequence'!C2:C1586,'Review Sequence'!J2:J1586),"")</x:f>
        <x:v>Not Started</x:v>
      </x:c>
      <x:c r="H661" s="7" t="str">
        <x:f>IFERROR(XLOOKUP(C661,'Review Sequence'!C2:C1586,'Review Sequence'!O2:O1586),"")</x:f>
      </x:c>
      <x:c r="I661" s="6" t="str">
        <x:f>IFERROR(XLOOKUP(C661,'Review Sequence'!C2:C1586,'Review Sequence'!P2:P1586),"")</x:f>
        <x:v>Yes</x:v>
      </x:c>
    </x:row>
    <x:row r="662">
      <x:c r="A662" s="6" t="str">
        <x:v>BLK-0661</x:v>
      </x:c>
      <x:c r="B662" s="6" t="str">
        <x:v>Device Applicability</x:v>
      </x:c>
      <x:c r="C662" s="6" t="str">
        <x:v>DEVX-0018</x:v>
      </x:c>
      <x:c r="D662" s="6" t="str">
        <x:v>SVC000018</x:v>
      </x:c>
      <x:c r="E662" s="6" t="str"/>
      <x:c r="F662" s="6" t="str">
        <x:f>IFERROR(XLOOKUP(C662,'Review Sequence'!C2:C1586,'Review Sequence'!I2:I1586),"")</x:f>
        <x:v>Multiple dependencies - verify source queues</x:v>
      </x:c>
      <x:c r="G662" s="6" t="str">
        <x:f>IFERROR(XLOOKUP(C662,'Review Sequence'!C2:C1586,'Review Sequence'!J2:J1586),"")</x:f>
        <x:v>Not Started</x:v>
      </x:c>
      <x:c r="H662" s="7" t="str">
        <x:f>IFERROR(XLOOKUP(C662,'Review Sequence'!C2:C1586,'Review Sequence'!O2:O1586),"")</x:f>
      </x:c>
      <x:c r="I662" s="6" t="str">
        <x:f>IFERROR(XLOOKUP(C662,'Review Sequence'!C2:C1586,'Review Sequence'!P2:P1586),"")</x:f>
        <x:v>Yes</x:v>
      </x:c>
    </x:row>
    <x:row r="663">
      <x:c r="A663" s="6" t="str">
        <x:v>BLK-0662</x:v>
      </x:c>
      <x:c r="B663" s="6" t="str">
        <x:v>Device Applicability</x:v>
      </x:c>
      <x:c r="C663" s="6" t="str">
        <x:v>DEVX-0019</x:v>
      </x:c>
      <x:c r="D663" s="6" t="str">
        <x:v>SVC000019</x:v>
      </x:c>
      <x:c r="E663" s="6" t="str"/>
      <x:c r="F663" s="6" t="str">
        <x:f>IFERROR(XLOOKUP(C663,'Review Sequence'!C2:C1586,'Review Sequence'!I2:I1586),"")</x:f>
        <x:v>Multiple dependencies - verify source queues</x:v>
      </x:c>
      <x:c r="G663" s="6" t="str">
        <x:f>IFERROR(XLOOKUP(C663,'Review Sequence'!C2:C1586,'Review Sequence'!J2:J1586),"")</x:f>
        <x:v>Not Started</x:v>
      </x:c>
      <x:c r="H663" s="7" t="str">
        <x:f>IFERROR(XLOOKUP(C663,'Review Sequence'!C2:C1586,'Review Sequence'!O2:O1586),"")</x:f>
      </x:c>
      <x:c r="I663" s="6" t="str">
        <x:f>IFERROR(XLOOKUP(C663,'Review Sequence'!C2:C1586,'Review Sequence'!P2:P1586),"")</x:f>
        <x:v>Yes</x:v>
      </x:c>
    </x:row>
    <x:row r="664">
      <x:c r="A664" s="6" t="str">
        <x:v>BLK-0663</x:v>
      </x:c>
      <x:c r="B664" s="6" t="str">
        <x:v>Device Applicability</x:v>
      </x:c>
      <x:c r="C664" s="6" t="str">
        <x:v>DEVX-0020</x:v>
      </x:c>
      <x:c r="D664" s="6" t="str">
        <x:v>SVC000020</x:v>
      </x:c>
      <x:c r="E664" s="6" t="str"/>
      <x:c r="F664" s="6" t="str">
        <x:f>IFERROR(XLOOKUP(C664,'Review Sequence'!C2:C1586,'Review Sequence'!I2:I1586),"")</x:f>
        <x:v>Multiple dependencies - verify source queues</x:v>
      </x:c>
      <x:c r="G664" s="6" t="str">
        <x:f>IFERROR(XLOOKUP(C664,'Review Sequence'!C2:C1586,'Review Sequence'!J2:J1586),"")</x:f>
        <x:v>Not Started</x:v>
      </x:c>
      <x:c r="H664" s="7" t="str">
        <x:f>IFERROR(XLOOKUP(C664,'Review Sequence'!C2:C1586,'Review Sequence'!O2:O1586),"")</x:f>
      </x:c>
      <x:c r="I664" s="6" t="str">
        <x:f>IFERROR(XLOOKUP(C664,'Review Sequence'!C2:C1586,'Review Sequence'!P2:P1586),"")</x:f>
        <x:v>Yes</x:v>
      </x:c>
    </x:row>
    <x:row r="665">
      <x:c r="A665" s="6" t="str">
        <x:v>BLK-0664</x:v>
      </x:c>
      <x:c r="B665" s="6" t="str">
        <x:v>Device Applicability</x:v>
      </x:c>
      <x:c r="C665" s="6" t="str">
        <x:v>DEVX-0021</x:v>
      </x:c>
      <x:c r="D665" s="6" t="str">
        <x:v>SVC000021</x:v>
      </x:c>
      <x:c r="E665" s="6" t="str"/>
      <x:c r="F665" s="6" t="str">
        <x:f>IFERROR(XLOOKUP(C665,'Review Sequence'!C2:C1586,'Review Sequence'!I2:I1586),"")</x:f>
        <x:v>Multiple dependencies - verify source queues</x:v>
      </x:c>
      <x:c r="G665" s="6" t="str">
        <x:f>IFERROR(XLOOKUP(C665,'Review Sequence'!C2:C1586,'Review Sequence'!J2:J1586),"")</x:f>
        <x:v>Not Started</x:v>
      </x:c>
      <x:c r="H665" s="7" t="str">
        <x:f>IFERROR(XLOOKUP(C665,'Review Sequence'!C2:C1586,'Review Sequence'!O2:O1586),"")</x:f>
      </x:c>
      <x:c r="I665" s="6" t="str">
        <x:f>IFERROR(XLOOKUP(C665,'Review Sequence'!C2:C1586,'Review Sequence'!P2:P1586),"")</x:f>
        <x:v>Yes</x:v>
      </x:c>
    </x:row>
    <x:row r="666">
      <x:c r="A666" s="6" t="str">
        <x:v>BLK-0665</x:v>
      </x:c>
      <x:c r="B666" s="6" t="str">
        <x:v>Device Applicability</x:v>
      </x:c>
      <x:c r="C666" s="6" t="str">
        <x:v>DEVX-0022</x:v>
      </x:c>
      <x:c r="D666" s="6" t="str">
        <x:v>SVC000022</x:v>
      </x:c>
      <x:c r="E666" s="6" t="str"/>
      <x:c r="F666" s="6" t="str">
        <x:f>IFERROR(XLOOKUP(C666,'Review Sequence'!C2:C1586,'Review Sequence'!I2:I1586),"")</x:f>
        <x:v>Multiple dependencies - verify source queues</x:v>
      </x:c>
      <x:c r="G666" s="6" t="str">
        <x:f>IFERROR(XLOOKUP(C666,'Review Sequence'!C2:C1586,'Review Sequence'!J2:J1586),"")</x:f>
        <x:v>Not Started</x:v>
      </x:c>
      <x:c r="H666" s="7" t="str">
        <x:f>IFERROR(XLOOKUP(C666,'Review Sequence'!C2:C1586,'Review Sequence'!O2:O1586),"")</x:f>
      </x:c>
      <x:c r="I666" s="6" t="str">
        <x:f>IFERROR(XLOOKUP(C666,'Review Sequence'!C2:C1586,'Review Sequence'!P2:P1586),"")</x:f>
        <x:v>Yes</x:v>
      </x:c>
    </x:row>
    <x:row r="667">
      <x:c r="A667" s="6" t="str">
        <x:v>BLK-0666</x:v>
      </x:c>
      <x:c r="B667" s="6" t="str">
        <x:v>Device Applicability</x:v>
      </x:c>
      <x:c r="C667" s="6" t="str">
        <x:v>DEVX-0023</x:v>
      </x:c>
      <x:c r="D667" s="6" t="str">
        <x:v>SVC000023</x:v>
      </x:c>
      <x:c r="E667" s="6" t="str"/>
      <x:c r="F667" s="6" t="str">
        <x:f>IFERROR(XLOOKUP(C667,'Review Sequence'!C2:C1586,'Review Sequence'!I2:I1586),"")</x:f>
        <x:v>Multiple dependencies - verify source queues</x:v>
      </x:c>
      <x:c r="G667" s="6" t="str">
        <x:f>IFERROR(XLOOKUP(C667,'Review Sequence'!C2:C1586,'Review Sequence'!J2:J1586),"")</x:f>
        <x:v>Not Started</x:v>
      </x:c>
      <x:c r="H667" s="7" t="str">
        <x:f>IFERROR(XLOOKUP(C667,'Review Sequence'!C2:C1586,'Review Sequence'!O2:O1586),"")</x:f>
      </x:c>
      <x:c r="I667" s="6" t="str">
        <x:f>IFERROR(XLOOKUP(C667,'Review Sequence'!C2:C1586,'Review Sequence'!P2:P1586),"")</x:f>
        <x:v>Yes</x:v>
      </x:c>
    </x:row>
    <x:row r="668">
      <x:c r="A668" s="6" t="str">
        <x:v>BLK-0667</x:v>
      </x:c>
      <x:c r="B668" s="6" t="str">
        <x:v>Device Applicability</x:v>
      </x:c>
      <x:c r="C668" s="6" t="str">
        <x:v>DEVX-0024</x:v>
      </x:c>
      <x:c r="D668" s="6" t="str">
        <x:v>SVC000024</x:v>
      </x:c>
      <x:c r="E668" s="6" t="str"/>
      <x:c r="F668" s="6" t="str">
        <x:f>IFERROR(XLOOKUP(C668,'Review Sequence'!C2:C1586,'Review Sequence'!I2:I1586),"")</x:f>
        <x:v>Multiple dependencies - verify source queues</x:v>
      </x:c>
      <x:c r="G668" s="6" t="str">
        <x:f>IFERROR(XLOOKUP(C668,'Review Sequence'!C2:C1586,'Review Sequence'!J2:J1586),"")</x:f>
        <x:v>Not Started</x:v>
      </x:c>
      <x:c r="H668" s="7" t="str">
        <x:f>IFERROR(XLOOKUP(C668,'Review Sequence'!C2:C1586,'Review Sequence'!O2:O1586),"")</x:f>
      </x:c>
      <x:c r="I668" s="6" t="str">
        <x:f>IFERROR(XLOOKUP(C668,'Review Sequence'!C2:C1586,'Review Sequence'!P2:P1586),"")</x:f>
        <x:v>Yes</x:v>
      </x:c>
    </x:row>
    <x:row r="669">
      <x:c r="A669" s="6" t="str">
        <x:v>BLK-0668</x:v>
      </x:c>
      <x:c r="B669" s="6" t="str">
        <x:v>Device Applicability</x:v>
      </x:c>
      <x:c r="C669" s="6" t="str">
        <x:v>DEVX-0025</x:v>
      </x:c>
      <x:c r="D669" s="6" t="str">
        <x:v>SVC000025</x:v>
      </x:c>
      <x:c r="E669" s="6" t="str"/>
      <x:c r="F669" s="6" t="str">
        <x:f>IFERROR(XLOOKUP(C669,'Review Sequence'!C2:C1586,'Review Sequence'!I2:I1586),"")</x:f>
        <x:v>Multiple dependencies - verify source queues</x:v>
      </x:c>
      <x:c r="G669" s="6" t="str">
        <x:f>IFERROR(XLOOKUP(C669,'Review Sequence'!C2:C1586,'Review Sequence'!J2:J1586),"")</x:f>
        <x:v>Not Started</x:v>
      </x:c>
      <x:c r="H669" s="7" t="str">
        <x:f>IFERROR(XLOOKUP(C669,'Review Sequence'!C2:C1586,'Review Sequence'!O2:O1586),"")</x:f>
      </x:c>
      <x:c r="I669" s="6" t="str">
        <x:f>IFERROR(XLOOKUP(C669,'Review Sequence'!C2:C1586,'Review Sequence'!P2:P1586),"")</x:f>
        <x:v>Yes</x:v>
      </x:c>
    </x:row>
    <x:row r="670">
      <x:c r="A670" s="6" t="str">
        <x:v>BLK-0669</x:v>
      </x:c>
      <x:c r="B670" s="6" t="str">
        <x:v>Device Applicability</x:v>
      </x:c>
      <x:c r="C670" s="6" t="str">
        <x:v>DEVX-0026</x:v>
      </x:c>
      <x:c r="D670" s="6" t="str">
        <x:v>SVC000026</x:v>
      </x:c>
      <x:c r="E670" s="6" t="str"/>
      <x:c r="F670" s="6" t="str">
        <x:f>IFERROR(XLOOKUP(C670,'Review Sequence'!C2:C1586,'Review Sequence'!I2:I1586),"")</x:f>
        <x:v>Multiple dependencies - verify source queues</x:v>
      </x:c>
      <x:c r="G670" s="6" t="str">
        <x:f>IFERROR(XLOOKUP(C670,'Review Sequence'!C2:C1586,'Review Sequence'!J2:J1586),"")</x:f>
        <x:v>Not Started</x:v>
      </x:c>
      <x:c r="H670" s="7" t="str">
        <x:f>IFERROR(XLOOKUP(C670,'Review Sequence'!C2:C1586,'Review Sequence'!O2:O1586),"")</x:f>
      </x:c>
      <x:c r="I670" s="6" t="str">
        <x:f>IFERROR(XLOOKUP(C670,'Review Sequence'!C2:C1586,'Review Sequence'!P2:P1586),"")</x:f>
        <x:v>Yes</x:v>
      </x:c>
    </x:row>
    <x:row r="671">
      <x:c r="A671" s="6" t="str">
        <x:v>BLK-0670</x:v>
      </x:c>
      <x:c r="B671" s="6" t="str">
        <x:v>Device Applicability</x:v>
      </x:c>
      <x:c r="C671" s="6" t="str">
        <x:v>DEVX-0027</x:v>
      </x:c>
      <x:c r="D671" s="6" t="str">
        <x:v>SVC000027</x:v>
      </x:c>
      <x:c r="E671" s="6" t="str"/>
      <x:c r="F671" s="6" t="str">
        <x:f>IFERROR(XLOOKUP(C671,'Review Sequence'!C2:C1586,'Review Sequence'!I2:I1586),"")</x:f>
        <x:v>Multiple dependencies - verify source queues</x:v>
      </x:c>
      <x:c r="G671" s="6" t="str">
        <x:f>IFERROR(XLOOKUP(C671,'Review Sequence'!C2:C1586,'Review Sequence'!J2:J1586),"")</x:f>
        <x:v>Not Started</x:v>
      </x:c>
      <x:c r="H671" s="7" t="str">
        <x:f>IFERROR(XLOOKUP(C671,'Review Sequence'!C2:C1586,'Review Sequence'!O2:O1586),"")</x:f>
      </x:c>
      <x:c r="I671" s="6" t="str">
        <x:f>IFERROR(XLOOKUP(C671,'Review Sequence'!C2:C1586,'Review Sequence'!P2:P1586),"")</x:f>
        <x:v>Yes</x:v>
      </x:c>
    </x:row>
    <x:row r="672">
      <x:c r="A672" s="6" t="str">
        <x:v>BLK-0671</x:v>
      </x:c>
      <x:c r="B672" s="6" t="str">
        <x:v>Device Applicability</x:v>
      </x:c>
      <x:c r="C672" s="6" t="str">
        <x:v>DEVX-0028</x:v>
      </x:c>
      <x:c r="D672" s="6" t="str">
        <x:v>SVC000028</x:v>
      </x:c>
      <x:c r="E672" s="6" t="str"/>
      <x:c r="F672" s="6" t="str">
        <x:f>IFERROR(XLOOKUP(C672,'Review Sequence'!C2:C1586,'Review Sequence'!I2:I1586),"")</x:f>
        <x:v>Multiple dependencies - verify source queues</x:v>
      </x:c>
      <x:c r="G672" s="6" t="str">
        <x:f>IFERROR(XLOOKUP(C672,'Review Sequence'!C2:C1586,'Review Sequence'!J2:J1586),"")</x:f>
        <x:v>Not Started</x:v>
      </x:c>
      <x:c r="H672" s="7" t="str">
        <x:f>IFERROR(XLOOKUP(C672,'Review Sequence'!C2:C1586,'Review Sequence'!O2:O1586),"")</x:f>
      </x:c>
      <x:c r="I672" s="6" t="str">
        <x:f>IFERROR(XLOOKUP(C672,'Review Sequence'!C2:C1586,'Review Sequence'!P2:P1586),"")</x:f>
        <x:v>Yes</x:v>
      </x:c>
    </x:row>
    <x:row r="673">
      <x:c r="A673" s="6" t="str">
        <x:v>BLK-0672</x:v>
      </x:c>
      <x:c r="B673" s="6" t="str">
        <x:v>Device Applicability</x:v>
      </x:c>
      <x:c r="C673" s="6" t="str">
        <x:v>DEVX-0029</x:v>
      </x:c>
      <x:c r="D673" s="6" t="str">
        <x:v>SVC000029</x:v>
      </x:c>
      <x:c r="E673" s="6" t="str"/>
      <x:c r="F673" s="6" t="str">
        <x:f>IFERROR(XLOOKUP(C673,'Review Sequence'!C2:C1586,'Review Sequence'!I2:I1586),"")</x:f>
        <x:v>Multiple dependencies - verify source queues</x:v>
      </x:c>
      <x:c r="G673" s="6" t="str">
        <x:f>IFERROR(XLOOKUP(C673,'Review Sequence'!C2:C1586,'Review Sequence'!J2:J1586),"")</x:f>
        <x:v>Not Started</x:v>
      </x:c>
      <x:c r="H673" s="7" t="str">
        <x:f>IFERROR(XLOOKUP(C673,'Review Sequence'!C2:C1586,'Review Sequence'!O2:O1586),"")</x:f>
      </x:c>
      <x:c r="I673" s="6" t="str">
        <x:f>IFERROR(XLOOKUP(C673,'Review Sequence'!C2:C1586,'Review Sequence'!P2:P1586),"")</x:f>
        <x:v>Yes</x:v>
      </x:c>
    </x:row>
    <x:row r="674">
      <x:c r="A674" s="6" t="str">
        <x:v>BLK-0673</x:v>
      </x:c>
      <x:c r="B674" s="6" t="str">
        <x:v>Device Applicability</x:v>
      </x:c>
      <x:c r="C674" s="6" t="str">
        <x:v>DEVX-0030</x:v>
      </x:c>
      <x:c r="D674" s="6" t="str">
        <x:v>SVC000030</x:v>
      </x:c>
      <x:c r="E674" s="6" t="str"/>
      <x:c r="F674" s="6" t="str">
        <x:f>IFERROR(XLOOKUP(C674,'Review Sequence'!C2:C1586,'Review Sequence'!I2:I1586),"")</x:f>
        <x:v>Multiple dependencies - verify source queues</x:v>
      </x:c>
      <x:c r="G674" s="6" t="str">
        <x:f>IFERROR(XLOOKUP(C674,'Review Sequence'!C2:C1586,'Review Sequence'!J2:J1586),"")</x:f>
        <x:v>Not Started</x:v>
      </x:c>
      <x:c r="H674" s="7" t="str">
        <x:f>IFERROR(XLOOKUP(C674,'Review Sequence'!C2:C1586,'Review Sequence'!O2:O1586),"")</x:f>
      </x:c>
      <x:c r="I674" s="6" t="str">
        <x:f>IFERROR(XLOOKUP(C674,'Review Sequence'!C2:C1586,'Review Sequence'!P2:P1586),"")</x:f>
        <x:v>Yes</x:v>
      </x:c>
    </x:row>
    <x:row r="675">
      <x:c r="A675" s="6" t="str">
        <x:v>BLK-0674</x:v>
      </x:c>
      <x:c r="B675" s="6" t="str">
        <x:v>Device Applicability</x:v>
      </x:c>
      <x:c r="C675" s="6" t="str">
        <x:v>DEVX-0031</x:v>
      </x:c>
      <x:c r="D675" s="6" t="str">
        <x:v>SVC000031</x:v>
      </x:c>
      <x:c r="E675" s="6" t="str"/>
      <x:c r="F675" s="6" t="str">
        <x:f>IFERROR(XLOOKUP(C675,'Review Sequence'!C2:C1586,'Review Sequence'!I2:I1586),"")</x:f>
        <x:v>Multiple dependencies - verify source queues</x:v>
      </x:c>
      <x:c r="G675" s="6" t="str">
        <x:f>IFERROR(XLOOKUP(C675,'Review Sequence'!C2:C1586,'Review Sequence'!J2:J1586),"")</x:f>
        <x:v>Not Started</x:v>
      </x:c>
      <x:c r="H675" s="7" t="str">
        <x:f>IFERROR(XLOOKUP(C675,'Review Sequence'!C2:C1586,'Review Sequence'!O2:O1586),"")</x:f>
      </x:c>
      <x:c r="I675" s="6" t="str">
        <x:f>IFERROR(XLOOKUP(C675,'Review Sequence'!C2:C1586,'Review Sequence'!P2:P1586),"")</x:f>
        <x:v>Yes</x:v>
      </x:c>
    </x:row>
    <x:row r="676">
      <x:c r="A676" s="6" t="str">
        <x:v>BLK-0675</x:v>
      </x:c>
      <x:c r="B676" s="6" t="str">
        <x:v>Device Applicability</x:v>
      </x:c>
      <x:c r="C676" s="6" t="str">
        <x:v>DEVX-0032</x:v>
      </x:c>
      <x:c r="D676" s="6" t="str">
        <x:v>SVC000032</x:v>
      </x:c>
      <x:c r="E676" s="6" t="str"/>
      <x:c r="F676" s="6" t="str">
        <x:f>IFERROR(XLOOKUP(C676,'Review Sequence'!C2:C1586,'Review Sequence'!I2:I1586),"")</x:f>
        <x:v>Multiple dependencies - verify source queues</x:v>
      </x:c>
      <x:c r="G676" s="6" t="str">
        <x:f>IFERROR(XLOOKUP(C676,'Review Sequence'!C2:C1586,'Review Sequence'!J2:J1586),"")</x:f>
        <x:v>Not Started</x:v>
      </x:c>
      <x:c r="H676" s="7" t="str">
        <x:f>IFERROR(XLOOKUP(C676,'Review Sequence'!C2:C1586,'Review Sequence'!O2:O1586),"")</x:f>
      </x:c>
      <x:c r="I676" s="6" t="str">
        <x:f>IFERROR(XLOOKUP(C676,'Review Sequence'!C2:C1586,'Review Sequence'!P2:P1586),"")</x:f>
        <x:v>Yes</x:v>
      </x:c>
    </x:row>
    <x:row r="677">
      <x:c r="A677" s="6" t="str">
        <x:v>BLK-0676</x:v>
      </x:c>
      <x:c r="B677" s="6" t="str">
        <x:v>Device Applicability</x:v>
      </x:c>
      <x:c r="C677" s="6" t="str">
        <x:v>DEVX-0033</x:v>
      </x:c>
      <x:c r="D677" s="6" t="str">
        <x:v>SVC000033</x:v>
      </x:c>
      <x:c r="E677" s="6" t="str"/>
      <x:c r="F677" s="6" t="str">
        <x:f>IFERROR(XLOOKUP(C677,'Review Sequence'!C2:C1586,'Review Sequence'!I2:I1586),"")</x:f>
        <x:v>Multiple dependencies - verify source queues</x:v>
      </x:c>
      <x:c r="G677" s="6" t="str">
        <x:f>IFERROR(XLOOKUP(C677,'Review Sequence'!C2:C1586,'Review Sequence'!J2:J1586),"")</x:f>
        <x:v>Not Started</x:v>
      </x:c>
      <x:c r="H677" s="7" t="str">
        <x:f>IFERROR(XLOOKUP(C677,'Review Sequence'!C2:C1586,'Review Sequence'!O2:O1586),"")</x:f>
      </x:c>
      <x:c r="I677" s="6" t="str">
        <x:f>IFERROR(XLOOKUP(C677,'Review Sequence'!C2:C1586,'Review Sequence'!P2:P1586),"")</x:f>
        <x:v>Yes</x:v>
      </x:c>
    </x:row>
    <x:row r="678">
      <x:c r="A678" s="6" t="str">
        <x:v>BLK-0677</x:v>
      </x:c>
      <x:c r="B678" s="6" t="str">
        <x:v>Device Applicability</x:v>
      </x:c>
      <x:c r="C678" s="6" t="str">
        <x:v>DEVX-0034</x:v>
      </x:c>
      <x:c r="D678" s="6" t="str">
        <x:v>SVC000034</x:v>
      </x:c>
      <x:c r="E678" s="6" t="str"/>
      <x:c r="F678" s="6" t="str">
        <x:f>IFERROR(XLOOKUP(C678,'Review Sequence'!C2:C1586,'Review Sequence'!I2:I1586),"")</x:f>
        <x:v>Multiple dependencies - verify source queues</x:v>
      </x:c>
      <x:c r="G678" s="6" t="str">
        <x:f>IFERROR(XLOOKUP(C678,'Review Sequence'!C2:C1586,'Review Sequence'!J2:J1586),"")</x:f>
        <x:v>Not Started</x:v>
      </x:c>
      <x:c r="H678" s="7" t="str">
        <x:f>IFERROR(XLOOKUP(C678,'Review Sequence'!C2:C1586,'Review Sequence'!O2:O1586),"")</x:f>
      </x:c>
      <x:c r="I678" s="6" t="str">
        <x:f>IFERROR(XLOOKUP(C678,'Review Sequence'!C2:C1586,'Review Sequence'!P2:P1586),"")</x:f>
        <x:v>Yes</x:v>
      </x:c>
    </x:row>
    <x:row r="679">
      <x:c r="A679" s="6" t="str">
        <x:v>BLK-0678</x:v>
      </x:c>
      <x:c r="B679" s="6" t="str">
        <x:v>Device Applicability</x:v>
      </x:c>
      <x:c r="C679" s="6" t="str">
        <x:v>DEVX-0035</x:v>
      </x:c>
      <x:c r="D679" s="6" t="str">
        <x:v>SVC000035</x:v>
      </x:c>
      <x:c r="E679" s="6" t="str"/>
      <x:c r="F679" s="6" t="str">
        <x:f>IFERROR(XLOOKUP(C679,'Review Sequence'!C2:C1586,'Review Sequence'!I2:I1586),"")</x:f>
        <x:v>Multiple dependencies - verify source queues</x:v>
      </x:c>
      <x:c r="G679" s="6" t="str">
        <x:f>IFERROR(XLOOKUP(C679,'Review Sequence'!C2:C1586,'Review Sequence'!J2:J1586),"")</x:f>
        <x:v>Not Started</x:v>
      </x:c>
      <x:c r="H679" s="7" t="str">
        <x:f>IFERROR(XLOOKUP(C679,'Review Sequence'!C2:C1586,'Review Sequence'!O2:O1586),"")</x:f>
      </x:c>
      <x:c r="I679" s="6" t="str">
        <x:f>IFERROR(XLOOKUP(C679,'Review Sequence'!C2:C1586,'Review Sequence'!P2:P1586),"")</x:f>
        <x:v>Yes</x:v>
      </x:c>
    </x:row>
    <x:row r="680">
      <x:c r="A680" s="6" t="str">
        <x:v>BLK-0679</x:v>
      </x:c>
      <x:c r="B680" s="6" t="str">
        <x:v>Device Applicability</x:v>
      </x:c>
      <x:c r="C680" s="6" t="str">
        <x:v>DEVX-0036</x:v>
      </x:c>
      <x:c r="D680" s="6" t="str">
        <x:v>SVC000036</x:v>
      </x:c>
      <x:c r="E680" s="6" t="str"/>
      <x:c r="F680" s="6" t="str">
        <x:f>IFERROR(XLOOKUP(C680,'Review Sequence'!C2:C1586,'Review Sequence'!I2:I1586),"")</x:f>
        <x:v>Multiple dependencies - verify source queues</x:v>
      </x:c>
      <x:c r="G680" s="6" t="str">
        <x:f>IFERROR(XLOOKUP(C680,'Review Sequence'!C2:C1586,'Review Sequence'!J2:J1586),"")</x:f>
        <x:v>Not Started</x:v>
      </x:c>
      <x:c r="H680" s="7" t="str">
        <x:f>IFERROR(XLOOKUP(C680,'Review Sequence'!C2:C1586,'Review Sequence'!O2:O1586),"")</x:f>
      </x:c>
      <x:c r="I680" s="6" t="str">
        <x:f>IFERROR(XLOOKUP(C680,'Review Sequence'!C2:C1586,'Review Sequence'!P2:P1586),"")</x:f>
        <x:v>Yes</x:v>
      </x:c>
    </x:row>
    <x:row r="681">
      <x:c r="A681" s="6" t="str">
        <x:v>BLK-0680</x:v>
      </x:c>
      <x:c r="B681" s="6" t="str">
        <x:v>Device Applicability</x:v>
      </x:c>
      <x:c r="C681" s="6" t="str">
        <x:v>DEVX-0037</x:v>
      </x:c>
      <x:c r="D681" s="6" t="str">
        <x:v>SVC000037</x:v>
      </x:c>
      <x:c r="E681" s="6" t="str"/>
      <x:c r="F681" s="6" t="str">
        <x:f>IFERROR(XLOOKUP(C681,'Review Sequence'!C2:C1586,'Review Sequence'!I2:I1586),"")</x:f>
        <x:v>Multiple dependencies - verify source queues</x:v>
      </x:c>
      <x:c r="G681" s="6" t="str">
        <x:f>IFERROR(XLOOKUP(C681,'Review Sequence'!C2:C1586,'Review Sequence'!J2:J1586),"")</x:f>
        <x:v>Not Started</x:v>
      </x:c>
      <x:c r="H681" s="7" t="str">
        <x:f>IFERROR(XLOOKUP(C681,'Review Sequence'!C2:C1586,'Review Sequence'!O2:O1586),"")</x:f>
      </x:c>
      <x:c r="I681" s="6" t="str">
        <x:f>IFERROR(XLOOKUP(C681,'Review Sequence'!C2:C1586,'Review Sequence'!P2:P1586),"")</x:f>
        <x:v>Yes</x:v>
      </x:c>
    </x:row>
    <x:row r="682">
      <x:c r="A682" s="6" t="str">
        <x:v>BLK-0681</x:v>
      </x:c>
      <x:c r="B682" s="6" t="str">
        <x:v>Device Applicability</x:v>
      </x:c>
      <x:c r="C682" s="6" t="str">
        <x:v>DEVX-0038</x:v>
      </x:c>
      <x:c r="D682" s="6" t="str">
        <x:v>SVC000038</x:v>
      </x:c>
      <x:c r="E682" s="6" t="str"/>
      <x:c r="F682" s="6" t="str">
        <x:f>IFERROR(XLOOKUP(C682,'Review Sequence'!C2:C1586,'Review Sequence'!I2:I1586),"")</x:f>
        <x:v>Multiple dependencies - verify source queues</x:v>
      </x:c>
      <x:c r="G682" s="6" t="str">
        <x:f>IFERROR(XLOOKUP(C682,'Review Sequence'!C2:C1586,'Review Sequence'!J2:J1586),"")</x:f>
        <x:v>Not Started</x:v>
      </x:c>
      <x:c r="H682" s="7" t="str">
        <x:f>IFERROR(XLOOKUP(C682,'Review Sequence'!C2:C1586,'Review Sequence'!O2:O1586),"")</x:f>
      </x:c>
      <x:c r="I682" s="6" t="str">
        <x:f>IFERROR(XLOOKUP(C682,'Review Sequence'!C2:C1586,'Review Sequence'!P2:P1586),"")</x:f>
        <x:v>Yes</x:v>
      </x:c>
    </x:row>
    <x:row r="683">
      <x:c r="A683" s="6" t="str">
        <x:v>BLK-0682</x:v>
      </x:c>
      <x:c r="B683" s="6" t="str">
        <x:v>Device Applicability</x:v>
      </x:c>
      <x:c r="C683" s="6" t="str">
        <x:v>DEVX-0039</x:v>
      </x:c>
      <x:c r="D683" s="6" t="str">
        <x:v>SVC000039</x:v>
      </x:c>
      <x:c r="E683" s="6" t="str"/>
      <x:c r="F683" s="6" t="str">
        <x:f>IFERROR(XLOOKUP(C683,'Review Sequence'!C2:C1586,'Review Sequence'!I2:I1586),"")</x:f>
        <x:v>Multiple dependencies - verify source queues</x:v>
      </x:c>
      <x:c r="G683" s="6" t="str">
        <x:f>IFERROR(XLOOKUP(C683,'Review Sequence'!C2:C1586,'Review Sequence'!J2:J1586),"")</x:f>
        <x:v>Not Started</x:v>
      </x:c>
      <x:c r="H683" s="7" t="str">
        <x:f>IFERROR(XLOOKUP(C683,'Review Sequence'!C2:C1586,'Review Sequence'!O2:O1586),"")</x:f>
      </x:c>
      <x:c r="I683" s="6" t="str">
        <x:f>IFERROR(XLOOKUP(C683,'Review Sequence'!C2:C1586,'Review Sequence'!P2:P1586),"")</x:f>
        <x:v>Yes</x:v>
      </x:c>
    </x:row>
    <x:row r="684">
      <x:c r="A684" s="6" t="str">
        <x:v>BLK-0683</x:v>
      </x:c>
      <x:c r="B684" s="6" t="str">
        <x:v>Device Applicability</x:v>
      </x:c>
      <x:c r="C684" s="6" t="str">
        <x:v>DEVX-0040</x:v>
      </x:c>
      <x:c r="D684" s="6" t="str">
        <x:v>SVC000040</x:v>
      </x:c>
      <x:c r="E684" s="6" t="str"/>
      <x:c r="F684" s="6" t="str">
        <x:f>IFERROR(XLOOKUP(C684,'Review Sequence'!C2:C1586,'Review Sequence'!I2:I1586),"")</x:f>
        <x:v>Multiple dependencies - verify source queues</x:v>
      </x:c>
      <x:c r="G684" s="6" t="str">
        <x:f>IFERROR(XLOOKUP(C684,'Review Sequence'!C2:C1586,'Review Sequence'!J2:J1586),"")</x:f>
        <x:v>Not Started</x:v>
      </x:c>
      <x:c r="H684" s="7" t="str">
        <x:f>IFERROR(XLOOKUP(C684,'Review Sequence'!C2:C1586,'Review Sequence'!O2:O1586),"")</x:f>
      </x:c>
      <x:c r="I684" s="6" t="str">
        <x:f>IFERROR(XLOOKUP(C684,'Review Sequence'!C2:C1586,'Review Sequence'!P2:P1586),"")</x:f>
        <x:v>Yes</x:v>
      </x:c>
    </x:row>
    <x:row r="685">
      <x:c r="A685" s="6" t="str">
        <x:v>BLK-0684</x:v>
      </x:c>
      <x:c r="B685" s="6" t="str">
        <x:v>Device Applicability</x:v>
      </x:c>
      <x:c r="C685" s="6" t="str">
        <x:v>DEVX-0041</x:v>
      </x:c>
      <x:c r="D685" s="6" t="str">
        <x:v>SVC000041</x:v>
      </x:c>
      <x:c r="E685" s="6" t="str"/>
      <x:c r="F685" s="6" t="str">
        <x:f>IFERROR(XLOOKUP(C685,'Review Sequence'!C2:C1586,'Review Sequence'!I2:I1586),"")</x:f>
        <x:v>Multiple dependencies - verify source queues</x:v>
      </x:c>
      <x:c r="G685" s="6" t="str">
        <x:f>IFERROR(XLOOKUP(C685,'Review Sequence'!C2:C1586,'Review Sequence'!J2:J1586),"")</x:f>
        <x:v>Not Started</x:v>
      </x:c>
      <x:c r="H685" s="7" t="str">
        <x:f>IFERROR(XLOOKUP(C685,'Review Sequence'!C2:C1586,'Review Sequence'!O2:O1586),"")</x:f>
      </x:c>
      <x:c r="I685" s="6" t="str">
        <x:f>IFERROR(XLOOKUP(C685,'Review Sequence'!C2:C1586,'Review Sequence'!P2:P1586),"")</x:f>
        <x:v>Yes</x:v>
      </x:c>
    </x:row>
    <x:row r="686">
      <x:c r="A686" s="6" t="str">
        <x:v>BLK-0685</x:v>
      </x:c>
      <x:c r="B686" s="6" t="str">
        <x:v>Device Applicability</x:v>
      </x:c>
      <x:c r="C686" s="6" t="str">
        <x:v>DEVX-0042</x:v>
      </x:c>
      <x:c r="D686" s="6" t="str">
        <x:v>SVC000042</x:v>
      </x:c>
      <x:c r="E686" s="6" t="str"/>
      <x:c r="F686" s="6" t="str">
        <x:f>IFERROR(XLOOKUP(C686,'Review Sequence'!C2:C1586,'Review Sequence'!I2:I1586),"")</x:f>
        <x:v>Multiple dependencies - verify source queues</x:v>
      </x:c>
      <x:c r="G686" s="6" t="str">
        <x:f>IFERROR(XLOOKUP(C686,'Review Sequence'!C2:C1586,'Review Sequence'!J2:J1586),"")</x:f>
        <x:v>Not Started</x:v>
      </x:c>
      <x:c r="H686" s="7" t="str">
        <x:f>IFERROR(XLOOKUP(C686,'Review Sequence'!C2:C1586,'Review Sequence'!O2:O1586),"")</x:f>
      </x:c>
      <x:c r="I686" s="6" t="str">
        <x:f>IFERROR(XLOOKUP(C686,'Review Sequence'!C2:C1586,'Review Sequence'!P2:P1586),"")</x:f>
        <x:v>Yes</x:v>
      </x:c>
    </x:row>
    <x:row r="687">
      <x:c r="A687" s="6" t="str">
        <x:v>BLK-0686</x:v>
      </x:c>
      <x:c r="B687" s="6" t="str">
        <x:v>Device Applicability</x:v>
      </x:c>
      <x:c r="C687" s="6" t="str">
        <x:v>DEVX-0043</x:v>
      </x:c>
      <x:c r="D687" s="6" t="str">
        <x:v>SVC000043</x:v>
      </x:c>
      <x:c r="E687" s="6" t="str"/>
      <x:c r="F687" s="6" t="str">
        <x:f>IFERROR(XLOOKUP(C687,'Review Sequence'!C2:C1586,'Review Sequence'!I2:I1586),"")</x:f>
        <x:v>Multiple dependencies - verify source queues</x:v>
      </x:c>
      <x:c r="G687" s="6" t="str">
        <x:f>IFERROR(XLOOKUP(C687,'Review Sequence'!C2:C1586,'Review Sequence'!J2:J1586),"")</x:f>
        <x:v>Not Started</x:v>
      </x:c>
      <x:c r="H687" s="7" t="str">
        <x:f>IFERROR(XLOOKUP(C687,'Review Sequence'!C2:C1586,'Review Sequence'!O2:O1586),"")</x:f>
      </x:c>
      <x:c r="I687" s="6" t="str">
        <x:f>IFERROR(XLOOKUP(C687,'Review Sequence'!C2:C1586,'Review Sequence'!P2:P1586),"")</x:f>
        <x:v>Yes</x:v>
      </x:c>
    </x:row>
    <x:row r="688">
      <x:c r="A688" s="6" t="str">
        <x:v>BLK-0687</x:v>
      </x:c>
      <x:c r="B688" s="6" t="str">
        <x:v>Device Applicability</x:v>
      </x:c>
      <x:c r="C688" s="6" t="str">
        <x:v>DEVX-0044</x:v>
      </x:c>
      <x:c r="D688" s="6" t="str">
        <x:v>SVC000044</x:v>
      </x:c>
      <x:c r="E688" s="6" t="str"/>
      <x:c r="F688" s="6" t="str">
        <x:f>IFERROR(XLOOKUP(C688,'Review Sequence'!C2:C1586,'Review Sequence'!I2:I1586),"")</x:f>
        <x:v>Multiple dependencies - verify source queues</x:v>
      </x:c>
      <x:c r="G688" s="6" t="str">
        <x:f>IFERROR(XLOOKUP(C688,'Review Sequence'!C2:C1586,'Review Sequence'!J2:J1586),"")</x:f>
        <x:v>Not Started</x:v>
      </x:c>
      <x:c r="H688" s="7" t="str">
        <x:f>IFERROR(XLOOKUP(C688,'Review Sequence'!C2:C1586,'Review Sequence'!O2:O1586),"")</x:f>
      </x:c>
      <x:c r="I688" s="6" t="str">
        <x:f>IFERROR(XLOOKUP(C688,'Review Sequence'!C2:C1586,'Review Sequence'!P2:P1586),"")</x:f>
        <x:v>Yes</x:v>
      </x:c>
    </x:row>
    <x:row r="689">
      <x:c r="A689" s="6" t="str">
        <x:v>BLK-0688</x:v>
      </x:c>
      <x:c r="B689" s="6" t="str">
        <x:v>Device Applicability</x:v>
      </x:c>
      <x:c r="C689" s="6" t="str">
        <x:v>DEVX-0045</x:v>
      </x:c>
      <x:c r="D689" s="6" t="str">
        <x:v>SVC000045</x:v>
      </x:c>
      <x:c r="E689" s="6" t="str"/>
      <x:c r="F689" s="6" t="str">
        <x:f>IFERROR(XLOOKUP(C689,'Review Sequence'!C2:C1586,'Review Sequence'!I2:I1586),"")</x:f>
        <x:v>Multiple dependencies - verify source queues</x:v>
      </x:c>
      <x:c r="G689" s="6" t="str">
        <x:f>IFERROR(XLOOKUP(C689,'Review Sequence'!C2:C1586,'Review Sequence'!J2:J1586),"")</x:f>
        <x:v>Not Started</x:v>
      </x:c>
      <x:c r="H689" s="7" t="str">
        <x:f>IFERROR(XLOOKUP(C689,'Review Sequence'!C2:C1586,'Review Sequence'!O2:O1586),"")</x:f>
      </x:c>
      <x:c r="I689" s="6" t="str">
        <x:f>IFERROR(XLOOKUP(C689,'Review Sequence'!C2:C1586,'Review Sequence'!P2:P1586),"")</x:f>
        <x:v>Yes</x:v>
      </x:c>
    </x:row>
    <x:row r="690">
      <x:c r="A690" s="6" t="str">
        <x:v>BLK-0689</x:v>
      </x:c>
      <x:c r="B690" s="6" t="str">
        <x:v>Device Applicability</x:v>
      </x:c>
      <x:c r="C690" s="6" t="str">
        <x:v>DEVX-0046</x:v>
      </x:c>
      <x:c r="D690" s="6" t="str">
        <x:v>SVC000046</x:v>
      </x:c>
      <x:c r="E690" s="6" t="str"/>
      <x:c r="F690" s="6" t="str">
        <x:f>IFERROR(XLOOKUP(C690,'Review Sequence'!C2:C1586,'Review Sequence'!I2:I1586),"")</x:f>
        <x:v>Multiple dependencies - verify source queues</x:v>
      </x:c>
      <x:c r="G690" s="6" t="str">
        <x:f>IFERROR(XLOOKUP(C690,'Review Sequence'!C2:C1586,'Review Sequence'!J2:J1586),"")</x:f>
        <x:v>Not Started</x:v>
      </x:c>
      <x:c r="H690" s="7" t="str">
        <x:f>IFERROR(XLOOKUP(C690,'Review Sequence'!C2:C1586,'Review Sequence'!O2:O1586),"")</x:f>
      </x:c>
      <x:c r="I690" s="6" t="str">
        <x:f>IFERROR(XLOOKUP(C690,'Review Sequence'!C2:C1586,'Review Sequence'!P2:P1586),"")</x:f>
        <x:v>Yes</x:v>
      </x:c>
    </x:row>
    <x:row r="691">
      <x:c r="A691" s="6" t="str">
        <x:v>BLK-0690</x:v>
      </x:c>
      <x:c r="B691" s="6" t="str">
        <x:v>Device Applicability</x:v>
      </x:c>
      <x:c r="C691" s="6" t="str">
        <x:v>DEVX-0047</x:v>
      </x:c>
      <x:c r="D691" s="6" t="str">
        <x:v>SVC000047</x:v>
      </x:c>
      <x:c r="E691" s="6" t="str"/>
      <x:c r="F691" s="6" t="str">
        <x:f>IFERROR(XLOOKUP(C691,'Review Sequence'!C2:C1586,'Review Sequence'!I2:I1586),"")</x:f>
        <x:v>Multiple dependencies - verify source queues</x:v>
      </x:c>
      <x:c r="G691" s="6" t="str">
        <x:f>IFERROR(XLOOKUP(C691,'Review Sequence'!C2:C1586,'Review Sequence'!J2:J1586),"")</x:f>
        <x:v>Not Started</x:v>
      </x:c>
      <x:c r="H691" s="7" t="str">
        <x:f>IFERROR(XLOOKUP(C691,'Review Sequence'!C2:C1586,'Review Sequence'!O2:O1586),"")</x:f>
      </x:c>
      <x:c r="I691" s="6" t="str">
        <x:f>IFERROR(XLOOKUP(C691,'Review Sequence'!C2:C1586,'Review Sequence'!P2:P1586),"")</x:f>
        <x:v>Yes</x:v>
      </x:c>
    </x:row>
    <x:row r="692">
      <x:c r="A692" s="6" t="str">
        <x:v>BLK-0691</x:v>
      </x:c>
      <x:c r="B692" s="6" t="str">
        <x:v>Device Applicability</x:v>
      </x:c>
      <x:c r="C692" s="6" t="str">
        <x:v>DEVX-0048</x:v>
      </x:c>
      <x:c r="D692" s="6" t="str">
        <x:v>SVC000048</x:v>
      </x:c>
      <x:c r="E692" s="6" t="str"/>
      <x:c r="F692" s="6" t="str">
        <x:f>IFERROR(XLOOKUP(C692,'Review Sequence'!C2:C1586,'Review Sequence'!I2:I1586),"")</x:f>
        <x:v>Multiple dependencies - verify source queues</x:v>
      </x:c>
      <x:c r="G692" s="6" t="str">
        <x:f>IFERROR(XLOOKUP(C692,'Review Sequence'!C2:C1586,'Review Sequence'!J2:J1586),"")</x:f>
        <x:v>Not Started</x:v>
      </x:c>
      <x:c r="H692" s="7" t="str">
        <x:f>IFERROR(XLOOKUP(C692,'Review Sequence'!C2:C1586,'Review Sequence'!O2:O1586),"")</x:f>
      </x:c>
      <x:c r="I692" s="6" t="str">
        <x:f>IFERROR(XLOOKUP(C692,'Review Sequence'!C2:C1586,'Review Sequence'!P2:P1586),"")</x:f>
        <x:v>Yes</x:v>
      </x:c>
    </x:row>
    <x:row r="693">
      <x:c r="A693" s="6" t="str">
        <x:v>BLK-0692</x:v>
      </x:c>
      <x:c r="B693" s="6" t="str">
        <x:v>Device Applicability</x:v>
      </x:c>
      <x:c r="C693" s="6" t="str">
        <x:v>DEVX-0049</x:v>
      </x:c>
      <x:c r="D693" s="6" t="str">
        <x:v>SVC000049</x:v>
      </x:c>
      <x:c r="E693" s="6" t="str"/>
      <x:c r="F693" s="6" t="str">
        <x:f>IFERROR(XLOOKUP(C693,'Review Sequence'!C2:C1586,'Review Sequence'!I2:I1586),"")</x:f>
        <x:v>Multiple dependencies - verify source queues</x:v>
      </x:c>
      <x:c r="G693" s="6" t="str">
        <x:f>IFERROR(XLOOKUP(C693,'Review Sequence'!C2:C1586,'Review Sequence'!J2:J1586),"")</x:f>
        <x:v>Not Started</x:v>
      </x:c>
      <x:c r="H693" s="7" t="str">
        <x:f>IFERROR(XLOOKUP(C693,'Review Sequence'!C2:C1586,'Review Sequence'!O2:O1586),"")</x:f>
      </x:c>
      <x:c r="I693" s="6" t="str">
        <x:f>IFERROR(XLOOKUP(C693,'Review Sequence'!C2:C1586,'Review Sequence'!P2:P1586),"")</x:f>
        <x:v>Yes</x:v>
      </x:c>
    </x:row>
    <x:row r="694">
      <x:c r="A694" s="6" t="str">
        <x:v>BLK-0693</x:v>
      </x:c>
      <x:c r="B694" s="6" t="str">
        <x:v>Device Applicability</x:v>
      </x:c>
      <x:c r="C694" s="6" t="str">
        <x:v>DEVX-0050</x:v>
      </x:c>
      <x:c r="D694" s="6" t="str">
        <x:v>SVC000050</x:v>
      </x:c>
      <x:c r="E694" s="6" t="str"/>
      <x:c r="F694" s="6" t="str">
        <x:f>IFERROR(XLOOKUP(C694,'Review Sequence'!C2:C1586,'Review Sequence'!I2:I1586),"")</x:f>
        <x:v>Multiple dependencies - verify source queues</x:v>
      </x:c>
      <x:c r="G694" s="6" t="str">
        <x:f>IFERROR(XLOOKUP(C694,'Review Sequence'!C2:C1586,'Review Sequence'!J2:J1586),"")</x:f>
        <x:v>Not Started</x:v>
      </x:c>
      <x:c r="H694" s="7" t="str">
        <x:f>IFERROR(XLOOKUP(C694,'Review Sequence'!C2:C1586,'Review Sequence'!O2:O1586),"")</x:f>
      </x:c>
      <x:c r="I694" s="6" t="str">
        <x:f>IFERROR(XLOOKUP(C694,'Review Sequence'!C2:C1586,'Review Sequence'!P2:P1586),"")</x:f>
        <x:v>Yes</x:v>
      </x:c>
    </x:row>
    <x:row r="695">
      <x:c r="A695" s="6" t="str">
        <x:v>BLK-0694</x:v>
      </x:c>
      <x:c r="B695" s="6" t="str">
        <x:v>Device Applicability</x:v>
      </x:c>
      <x:c r="C695" s="6" t="str">
        <x:v>DEVX-0051</x:v>
      </x:c>
      <x:c r="D695" s="6" t="str">
        <x:v>SVC000051</x:v>
      </x:c>
      <x:c r="E695" s="6" t="str"/>
      <x:c r="F695" s="6" t="str">
        <x:f>IFERROR(XLOOKUP(C695,'Review Sequence'!C2:C1586,'Review Sequence'!I2:I1586),"")</x:f>
        <x:v>Multiple dependencies - verify source queues</x:v>
      </x:c>
      <x:c r="G695" s="6" t="str">
        <x:f>IFERROR(XLOOKUP(C695,'Review Sequence'!C2:C1586,'Review Sequence'!J2:J1586),"")</x:f>
        <x:v>Not Started</x:v>
      </x:c>
      <x:c r="H695" s="7" t="str">
        <x:f>IFERROR(XLOOKUP(C695,'Review Sequence'!C2:C1586,'Review Sequence'!O2:O1586),"")</x:f>
      </x:c>
      <x:c r="I695" s="6" t="str">
        <x:f>IFERROR(XLOOKUP(C695,'Review Sequence'!C2:C1586,'Review Sequence'!P2:P1586),"")</x:f>
        <x:v>Yes</x:v>
      </x:c>
    </x:row>
    <x:row r="696">
      <x:c r="A696" s="6" t="str">
        <x:v>BLK-0695</x:v>
      </x:c>
      <x:c r="B696" s="6" t="str">
        <x:v>Device Applicability</x:v>
      </x:c>
      <x:c r="C696" s="6" t="str">
        <x:v>DEVX-0052</x:v>
      </x:c>
      <x:c r="D696" s="6" t="str">
        <x:v>SVC000052</x:v>
      </x:c>
      <x:c r="E696" s="6" t="str"/>
      <x:c r="F696" s="6" t="str">
        <x:f>IFERROR(XLOOKUP(C696,'Review Sequence'!C2:C1586,'Review Sequence'!I2:I1586),"")</x:f>
        <x:v>Multiple dependencies - verify source queues</x:v>
      </x:c>
      <x:c r="G696" s="6" t="str">
        <x:f>IFERROR(XLOOKUP(C696,'Review Sequence'!C2:C1586,'Review Sequence'!J2:J1586),"")</x:f>
        <x:v>Not Started</x:v>
      </x:c>
      <x:c r="H696" s="7" t="str">
        <x:f>IFERROR(XLOOKUP(C696,'Review Sequence'!C2:C1586,'Review Sequence'!O2:O1586),"")</x:f>
      </x:c>
      <x:c r="I696" s="6" t="str">
        <x:f>IFERROR(XLOOKUP(C696,'Review Sequence'!C2:C1586,'Review Sequence'!P2:P1586),"")</x:f>
        <x:v>Yes</x:v>
      </x:c>
    </x:row>
    <x:row r="697">
      <x:c r="A697" s="6" t="str">
        <x:v>BLK-0696</x:v>
      </x:c>
      <x:c r="B697" s="6" t="str">
        <x:v>Device Applicability</x:v>
      </x:c>
      <x:c r="C697" s="6" t="str">
        <x:v>DEVX-0053</x:v>
      </x:c>
      <x:c r="D697" s="6" t="str">
        <x:v>SVC000053</x:v>
      </x:c>
      <x:c r="E697" s="6" t="str"/>
      <x:c r="F697" s="6" t="str">
        <x:f>IFERROR(XLOOKUP(C697,'Review Sequence'!C2:C1586,'Review Sequence'!I2:I1586),"")</x:f>
        <x:v>Multiple dependencies - verify source queues</x:v>
      </x:c>
      <x:c r="G697" s="6" t="str">
        <x:f>IFERROR(XLOOKUP(C697,'Review Sequence'!C2:C1586,'Review Sequence'!J2:J1586),"")</x:f>
        <x:v>Not Started</x:v>
      </x:c>
      <x:c r="H697" s="7" t="str">
        <x:f>IFERROR(XLOOKUP(C697,'Review Sequence'!C2:C1586,'Review Sequence'!O2:O1586),"")</x:f>
      </x:c>
      <x:c r="I697" s="6" t="str">
        <x:f>IFERROR(XLOOKUP(C697,'Review Sequence'!C2:C1586,'Review Sequence'!P2:P1586),"")</x:f>
        <x:v>Yes</x:v>
      </x:c>
    </x:row>
    <x:row r="698">
      <x:c r="A698" s="6" t="str">
        <x:v>BLK-0697</x:v>
      </x:c>
      <x:c r="B698" s="6" t="str">
        <x:v>Device Applicability</x:v>
      </x:c>
      <x:c r="C698" s="6" t="str">
        <x:v>DEVX-0054</x:v>
      </x:c>
      <x:c r="D698" s="6" t="str">
        <x:v>SVC000054</x:v>
      </x:c>
      <x:c r="E698" s="6" t="str"/>
      <x:c r="F698" s="6" t="str">
        <x:f>IFERROR(XLOOKUP(C698,'Review Sequence'!C2:C1586,'Review Sequence'!I2:I1586),"")</x:f>
        <x:v>Multiple dependencies - verify source queues</x:v>
      </x:c>
      <x:c r="G698" s="6" t="str">
        <x:f>IFERROR(XLOOKUP(C698,'Review Sequence'!C2:C1586,'Review Sequence'!J2:J1586),"")</x:f>
        <x:v>Not Started</x:v>
      </x:c>
      <x:c r="H698" s="7" t="str">
        <x:f>IFERROR(XLOOKUP(C698,'Review Sequence'!C2:C1586,'Review Sequence'!O2:O1586),"")</x:f>
      </x:c>
      <x:c r="I698" s="6" t="str">
        <x:f>IFERROR(XLOOKUP(C698,'Review Sequence'!C2:C1586,'Review Sequence'!P2:P1586),"")</x:f>
        <x:v>Yes</x:v>
      </x:c>
    </x:row>
    <x:row r="699">
      <x:c r="A699" s="6" t="str">
        <x:v>BLK-0698</x:v>
      </x:c>
      <x:c r="B699" s="6" t="str">
        <x:v>Device Applicability</x:v>
      </x:c>
      <x:c r="C699" s="6" t="str">
        <x:v>DEVX-0055</x:v>
      </x:c>
      <x:c r="D699" s="6" t="str">
        <x:v>SVC000055</x:v>
      </x:c>
      <x:c r="E699" s="6" t="str"/>
      <x:c r="F699" s="6" t="str">
        <x:f>IFERROR(XLOOKUP(C699,'Review Sequence'!C2:C1586,'Review Sequence'!I2:I1586),"")</x:f>
        <x:v>Multiple dependencies - verify source queues</x:v>
      </x:c>
      <x:c r="G699" s="6" t="str">
        <x:f>IFERROR(XLOOKUP(C699,'Review Sequence'!C2:C1586,'Review Sequence'!J2:J1586),"")</x:f>
        <x:v>Not Started</x:v>
      </x:c>
      <x:c r="H699" s="7" t="str">
        <x:f>IFERROR(XLOOKUP(C699,'Review Sequence'!C2:C1586,'Review Sequence'!O2:O1586),"")</x:f>
      </x:c>
      <x:c r="I699" s="6" t="str">
        <x:f>IFERROR(XLOOKUP(C699,'Review Sequence'!C2:C1586,'Review Sequence'!P2:P1586),"")</x:f>
        <x:v>Yes</x:v>
      </x:c>
    </x:row>
    <x:row r="700">
      <x:c r="A700" s="6" t="str">
        <x:v>BLK-0699</x:v>
      </x:c>
      <x:c r="B700" s="6" t="str">
        <x:v>Device Applicability</x:v>
      </x:c>
      <x:c r="C700" s="6" t="str">
        <x:v>DEVX-0056</x:v>
      </x:c>
      <x:c r="D700" s="6" t="str">
        <x:v>SVC000056</x:v>
      </x:c>
      <x:c r="E700" s="6" t="str"/>
      <x:c r="F700" s="6" t="str">
        <x:f>IFERROR(XLOOKUP(C700,'Review Sequence'!C2:C1586,'Review Sequence'!I2:I1586),"")</x:f>
        <x:v>Multiple dependencies - verify source queues</x:v>
      </x:c>
      <x:c r="G700" s="6" t="str">
        <x:f>IFERROR(XLOOKUP(C700,'Review Sequence'!C2:C1586,'Review Sequence'!J2:J1586),"")</x:f>
        <x:v>Not Started</x:v>
      </x:c>
      <x:c r="H700" s="7" t="str">
        <x:f>IFERROR(XLOOKUP(C700,'Review Sequence'!C2:C1586,'Review Sequence'!O2:O1586),"")</x:f>
      </x:c>
      <x:c r="I700" s="6" t="str">
        <x:f>IFERROR(XLOOKUP(C700,'Review Sequence'!C2:C1586,'Review Sequence'!P2:P1586),"")</x:f>
        <x:v>Yes</x:v>
      </x:c>
    </x:row>
    <x:row r="701">
      <x:c r="A701" s="6" t="str">
        <x:v>BLK-0700</x:v>
      </x:c>
      <x:c r="B701" s="6" t="str">
        <x:v>Device Applicability</x:v>
      </x:c>
      <x:c r="C701" s="6" t="str">
        <x:v>DEVX-0057</x:v>
      </x:c>
      <x:c r="D701" s="6" t="str">
        <x:v>SVC000057</x:v>
      </x:c>
      <x:c r="E701" s="6" t="str"/>
      <x:c r="F701" s="6" t="str">
        <x:f>IFERROR(XLOOKUP(C701,'Review Sequence'!C2:C1586,'Review Sequence'!I2:I1586),"")</x:f>
        <x:v>Multiple dependencies - verify source queues</x:v>
      </x:c>
      <x:c r="G701" s="6" t="str">
        <x:f>IFERROR(XLOOKUP(C701,'Review Sequence'!C2:C1586,'Review Sequence'!J2:J1586),"")</x:f>
        <x:v>Not Started</x:v>
      </x:c>
      <x:c r="H701" s="7" t="str">
        <x:f>IFERROR(XLOOKUP(C701,'Review Sequence'!C2:C1586,'Review Sequence'!O2:O1586),"")</x:f>
      </x:c>
      <x:c r="I701" s="6" t="str">
        <x:f>IFERROR(XLOOKUP(C701,'Review Sequence'!C2:C1586,'Review Sequence'!P2:P1586),"")</x:f>
        <x:v>Yes</x:v>
      </x:c>
    </x:row>
    <x:row r="702">
      <x:c r="A702" s="6" t="str">
        <x:v>BLK-0701</x:v>
      </x:c>
      <x:c r="B702" s="6" t="str">
        <x:v>Device Applicability</x:v>
      </x:c>
      <x:c r="C702" s="6" t="str">
        <x:v>DEVX-0058</x:v>
      </x:c>
      <x:c r="D702" s="6" t="str">
        <x:v>SVC000058</x:v>
      </x:c>
      <x:c r="E702" s="6" t="str"/>
      <x:c r="F702" s="6" t="str">
        <x:f>IFERROR(XLOOKUP(C702,'Review Sequence'!C2:C1586,'Review Sequence'!I2:I1586),"")</x:f>
        <x:v>Multiple dependencies - verify source queues</x:v>
      </x:c>
      <x:c r="G702" s="6" t="str">
        <x:f>IFERROR(XLOOKUP(C702,'Review Sequence'!C2:C1586,'Review Sequence'!J2:J1586),"")</x:f>
        <x:v>Not Started</x:v>
      </x:c>
      <x:c r="H702" s="7" t="str">
        <x:f>IFERROR(XLOOKUP(C702,'Review Sequence'!C2:C1586,'Review Sequence'!O2:O1586),"")</x:f>
      </x:c>
      <x:c r="I702" s="6" t="str">
        <x:f>IFERROR(XLOOKUP(C702,'Review Sequence'!C2:C1586,'Review Sequence'!P2:P1586),"")</x:f>
        <x:v>Yes</x:v>
      </x:c>
    </x:row>
    <x:row r="703">
      <x:c r="A703" s="6" t="str">
        <x:v>BLK-0702</x:v>
      </x:c>
      <x:c r="B703" s="6" t="str">
        <x:v>Device Applicability</x:v>
      </x:c>
      <x:c r="C703" s="6" t="str">
        <x:v>DEVX-0059</x:v>
      </x:c>
      <x:c r="D703" s="6" t="str">
        <x:v>SVC000059</x:v>
      </x:c>
      <x:c r="E703" s="6" t="str"/>
      <x:c r="F703" s="6" t="str">
        <x:f>IFERROR(XLOOKUP(C703,'Review Sequence'!C2:C1586,'Review Sequence'!I2:I1586),"")</x:f>
        <x:v>Multiple dependencies - verify source queues</x:v>
      </x:c>
      <x:c r="G703" s="6" t="str">
        <x:f>IFERROR(XLOOKUP(C703,'Review Sequence'!C2:C1586,'Review Sequence'!J2:J1586),"")</x:f>
        <x:v>Not Started</x:v>
      </x:c>
      <x:c r="H703" s="7" t="str">
        <x:f>IFERROR(XLOOKUP(C703,'Review Sequence'!C2:C1586,'Review Sequence'!O2:O1586),"")</x:f>
      </x:c>
      <x:c r="I703" s="6" t="str">
        <x:f>IFERROR(XLOOKUP(C703,'Review Sequence'!C2:C1586,'Review Sequence'!P2:P1586),"")</x:f>
        <x:v>Yes</x:v>
      </x:c>
    </x:row>
    <x:row r="704">
      <x:c r="A704" s="6" t="str">
        <x:v>BLK-0703</x:v>
      </x:c>
      <x:c r="B704" s="6" t="str">
        <x:v>Device Applicability</x:v>
      </x:c>
      <x:c r="C704" s="6" t="str">
        <x:v>DEVX-0060</x:v>
      </x:c>
      <x:c r="D704" s="6" t="str">
        <x:v>SVC000060</x:v>
      </x:c>
      <x:c r="E704" s="6" t="str"/>
      <x:c r="F704" s="6" t="str">
        <x:f>IFERROR(XLOOKUP(C704,'Review Sequence'!C2:C1586,'Review Sequence'!I2:I1586),"")</x:f>
        <x:v>Multiple dependencies - verify source queues</x:v>
      </x:c>
      <x:c r="G704" s="6" t="str">
        <x:f>IFERROR(XLOOKUP(C704,'Review Sequence'!C2:C1586,'Review Sequence'!J2:J1586),"")</x:f>
        <x:v>Not Started</x:v>
      </x:c>
      <x:c r="H704" s="7" t="str">
        <x:f>IFERROR(XLOOKUP(C704,'Review Sequence'!C2:C1586,'Review Sequence'!O2:O1586),"")</x:f>
      </x:c>
      <x:c r="I704" s="6" t="str">
        <x:f>IFERROR(XLOOKUP(C704,'Review Sequence'!C2:C1586,'Review Sequence'!P2:P1586),"")</x:f>
        <x:v>Yes</x:v>
      </x:c>
    </x:row>
    <x:row r="705">
      <x:c r="A705" s="6" t="str">
        <x:v>BLK-0704</x:v>
      </x:c>
      <x:c r="B705" s="6" t="str">
        <x:v>Device Applicability</x:v>
      </x:c>
      <x:c r="C705" s="6" t="str">
        <x:v>DEVX-0061</x:v>
      </x:c>
      <x:c r="D705" s="6" t="str">
        <x:v>SVC000061</x:v>
      </x:c>
      <x:c r="E705" s="6" t="str"/>
      <x:c r="F705" s="6" t="str">
        <x:f>IFERROR(XLOOKUP(C705,'Review Sequence'!C2:C1586,'Review Sequence'!I2:I1586),"")</x:f>
        <x:v>Multiple dependencies - verify source queues</x:v>
      </x:c>
      <x:c r="G705" s="6" t="str">
        <x:f>IFERROR(XLOOKUP(C705,'Review Sequence'!C2:C1586,'Review Sequence'!J2:J1586),"")</x:f>
        <x:v>Not Started</x:v>
      </x:c>
      <x:c r="H705" s="7" t="str">
        <x:f>IFERROR(XLOOKUP(C705,'Review Sequence'!C2:C1586,'Review Sequence'!O2:O1586),"")</x:f>
      </x:c>
      <x:c r="I705" s="6" t="str">
        <x:f>IFERROR(XLOOKUP(C705,'Review Sequence'!C2:C1586,'Review Sequence'!P2:P1586),"")</x:f>
        <x:v>Yes</x:v>
      </x:c>
    </x:row>
    <x:row r="706">
      <x:c r="A706" s="6" t="str">
        <x:v>BLK-0705</x:v>
      </x:c>
      <x:c r="B706" s="6" t="str">
        <x:v>Device Applicability</x:v>
      </x:c>
      <x:c r="C706" s="6" t="str">
        <x:v>DEVX-0062</x:v>
      </x:c>
      <x:c r="D706" s="6" t="str">
        <x:v>SVC000062</x:v>
      </x:c>
      <x:c r="E706" s="6" t="str"/>
      <x:c r="F706" s="6" t="str">
        <x:f>IFERROR(XLOOKUP(C706,'Review Sequence'!C2:C1586,'Review Sequence'!I2:I1586),"")</x:f>
        <x:v>Multiple dependencies - verify source queues</x:v>
      </x:c>
      <x:c r="G706" s="6" t="str">
        <x:f>IFERROR(XLOOKUP(C706,'Review Sequence'!C2:C1586,'Review Sequence'!J2:J1586),"")</x:f>
        <x:v>Not Started</x:v>
      </x:c>
      <x:c r="H706" s="7" t="str">
        <x:f>IFERROR(XLOOKUP(C706,'Review Sequence'!C2:C1586,'Review Sequence'!O2:O1586),"")</x:f>
      </x:c>
      <x:c r="I706" s="6" t="str">
        <x:f>IFERROR(XLOOKUP(C706,'Review Sequence'!C2:C1586,'Review Sequence'!P2:P1586),"")</x:f>
        <x:v>Yes</x:v>
      </x:c>
    </x:row>
    <x:row r="707">
      <x:c r="A707" s="6" t="str">
        <x:v>BLK-0706</x:v>
      </x:c>
      <x:c r="B707" s="6" t="str">
        <x:v>Device Applicability</x:v>
      </x:c>
      <x:c r="C707" s="6" t="str">
        <x:v>DEVX-0063</x:v>
      </x:c>
      <x:c r="D707" s="6" t="str">
        <x:v>SVC000063</x:v>
      </x:c>
      <x:c r="E707" s="6" t="str"/>
      <x:c r="F707" s="6" t="str">
        <x:f>IFERROR(XLOOKUP(C707,'Review Sequence'!C2:C1586,'Review Sequence'!I2:I1586),"")</x:f>
        <x:v>Multiple dependencies - verify source queues</x:v>
      </x:c>
      <x:c r="G707" s="6" t="str">
        <x:f>IFERROR(XLOOKUP(C707,'Review Sequence'!C2:C1586,'Review Sequence'!J2:J1586),"")</x:f>
        <x:v>Not Started</x:v>
      </x:c>
      <x:c r="H707" s="7" t="str">
        <x:f>IFERROR(XLOOKUP(C707,'Review Sequence'!C2:C1586,'Review Sequence'!O2:O1586),"")</x:f>
      </x:c>
      <x:c r="I707" s="6" t="str">
        <x:f>IFERROR(XLOOKUP(C707,'Review Sequence'!C2:C1586,'Review Sequence'!P2:P1586),"")</x:f>
        <x:v>Yes</x:v>
      </x:c>
    </x:row>
    <x:row r="708">
      <x:c r="A708" s="6" t="str">
        <x:v>BLK-0707</x:v>
      </x:c>
      <x:c r="B708" s="6" t="str">
        <x:v>Device Applicability</x:v>
      </x:c>
      <x:c r="C708" s="6" t="str">
        <x:v>DEVX-0064</x:v>
      </x:c>
      <x:c r="D708" s="6" t="str">
        <x:v>SVC000064</x:v>
      </x:c>
      <x:c r="E708" s="6" t="str"/>
      <x:c r="F708" s="6" t="str">
        <x:f>IFERROR(XLOOKUP(C708,'Review Sequence'!C2:C1586,'Review Sequence'!I2:I1586),"")</x:f>
        <x:v>Multiple dependencies - verify source queues</x:v>
      </x:c>
      <x:c r="G708" s="6" t="str">
        <x:f>IFERROR(XLOOKUP(C708,'Review Sequence'!C2:C1586,'Review Sequence'!J2:J1586),"")</x:f>
        <x:v>Not Started</x:v>
      </x:c>
      <x:c r="H708" s="7" t="str">
        <x:f>IFERROR(XLOOKUP(C708,'Review Sequence'!C2:C1586,'Review Sequence'!O2:O1586),"")</x:f>
      </x:c>
      <x:c r="I708" s="6" t="str">
        <x:f>IFERROR(XLOOKUP(C708,'Review Sequence'!C2:C1586,'Review Sequence'!P2:P1586),"")</x:f>
        <x:v>Yes</x:v>
      </x:c>
    </x:row>
    <x:row r="709">
      <x:c r="A709" s="6" t="str">
        <x:v>BLK-0708</x:v>
      </x:c>
      <x:c r="B709" s="6" t="str">
        <x:v>Device Applicability</x:v>
      </x:c>
      <x:c r="C709" s="6" t="str">
        <x:v>DEVX-0065</x:v>
      </x:c>
      <x:c r="D709" s="6" t="str">
        <x:v>SVC000065</x:v>
      </x:c>
      <x:c r="E709" s="6" t="str"/>
      <x:c r="F709" s="6" t="str">
        <x:f>IFERROR(XLOOKUP(C709,'Review Sequence'!C2:C1586,'Review Sequence'!I2:I1586),"")</x:f>
        <x:v>Multiple dependencies - verify source queues</x:v>
      </x:c>
      <x:c r="G709" s="6" t="str">
        <x:f>IFERROR(XLOOKUP(C709,'Review Sequence'!C2:C1586,'Review Sequence'!J2:J1586),"")</x:f>
        <x:v>Not Started</x:v>
      </x:c>
      <x:c r="H709" s="7" t="str">
        <x:f>IFERROR(XLOOKUP(C709,'Review Sequence'!C2:C1586,'Review Sequence'!O2:O1586),"")</x:f>
      </x:c>
      <x:c r="I709" s="6" t="str">
        <x:f>IFERROR(XLOOKUP(C709,'Review Sequence'!C2:C1586,'Review Sequence'!P2:P1586),"")</x:f>
        <x:v>Yes</x:v>
      </x:c>
    </x:row>
    <x:row r="710">
      <x:c r="A710" s="6" t="str">
        <x:v>BLK-0709</x:v>
      </x:c>
      <x:c r="B710" s="6" t="str">
        <x:v>Device Applicability</x:v>
      </x:c>
      <x:c r="C710" s="6" t="str">
        <x:v>DEVX-0066</x:v>
      </x:c>
      <x:c r="D710" s="6" t="str">
        <x:v>SVC000066</x:v>
      </x:c>
      <x:c r="E710" s="6" t="str"/>
      <x:c r="F710" s="6" t="str">
        <x:f>IFERROR(XLOOKUP(C710,'Review Sequence'!C2:C1586,'Review Sequence'!I2:I1586),"")</x:f>
        <x:v>Multiple dependencies - verify source queues</x:v>
      </x:c>
      <x:c r="G710" s="6" t="str">
        <x:f>IFERROR(XLOOKUP(C710,'Review Sequence'!C2:C1586,'Review Sequence'!J2:J1586),"")</x:f>
        <x:v>Not Started</x:v>
      </x:c>
      <x:c r="H710" s="7" t="str">
        <x:f>IFERROR(XLOOKUP(C710,'Review Sequence'!C2:C1586,'Review Sequence'!O2:O1586),"")</x:f>
      </x:c>
      <x:c r="I710" s="6" t="str">
        <x:f>IFERROR(XLOOKUP(C710,'Review Sequence'!C2:C1586,'Review Sequence'!P2:P1586),"")</x:f>
        <x:v>Yes</x:v>
      </x:c>
    </x:row>
    <x:row r="711">
      <x:c r="A711" s="6" t="str">
        <x:v>BLK-0710</x:v>
      </x:c>
      <x:c r="B711" s="6" t="str">
        <x:v>Device Applicability</x:v>
      </x:c>
      <x:c r="C711" s="6" t="str">
        <x:v>DEVX-0067</x:v>
      </x:c>
      <x:c r="D711" s="6" t="str">
        <x:v>SVC000067</x:v>
      </x:c>
      <x:c r="E711" s="6" t="str"/>
      <x:c r="F711" s="6" t="str">
        <x:f>IFERROR(XLOOKUP(C711,'Review Sequence'!C2:C1586,'Review Sequence'!I2:I1586),"")</x:f>
        <x:v>Multiple dependencies - verify source queues</x:v>
      </x:c>
      <x:c r="G711" s="6" t="str">
        <x:f>IFERROR(XLOOKUP(C711,'Review Sequence'!C2:C1586,'Review Sequence'!J2:J1586),"")</x:f>
        <x:v>Not Started</x:v>
      </x:c>
      <x:c r="H711" s="7" t="str">
        <x:f>IFERROR(XLOOKUP(C711,'Review Sequence'!C2:C1586,'Review Sequence'!O2:O1586),"")</x:f>
      </x:c>
      <x:c r="I711" s="6" t="str">
        <x:f>IFERROR(XLOOKUP(C711,'Review Sequence'!C2:C1586,'Review Sequence'!P2:P1586),"")</x:f>
        <x:v>Yes</x:v>
      </x:c>
    </x:row>
    <x:row r="712">
      <x:c r="A712" s="6" t="str">
        <x:v>BLK-0711</x:v>
      </x:c>
      <x:c r="B712" s="6" t="str">
        <x:v>Device Applicability</x:v>
      </x:c>
      <x:c r="C712" s="6" t="str">
        <x:v>DEVX-0068</x:v>
      </x:c>
      <x:c r="D712" s="6" t="str">
        <x:v>SVC000068</x:v>
      </x:c>
      <x:c r="E712" s="6" t="str"/>
      <x:c r="F712" s="6" t="str">
        <x:f>IFERROR(XLOOKUP(C712,'Review Sequence'!C2:C1586,'Review Sequence'!I2:I1586),"")</x:f>
        <x:v>Multiple dependencies - verify source queues</x:v>
      </x:c>
      <x:c r="G712" s="6" t="str">
        <x:f>IFERROR(XLOOKUP(C712,'Review Sequence'!C2:C1586,'Review Sequence'!J2:J1586),"")</x:f>
        <x:v>Not Started</x:v>
      </x:c>
      <x:c r="H712" s="7" t="str">
        <x:f>IFERROR(XLOOKUP(C712,'Review Sequence'!C2:C1586,'Review Sequence'!O2:O1586),"")</x:f>
      </x:c>
      <x:c r="I712" s="6" t="str">
        <x:f>IFERROR(XLOOKUP(C712,'Review Sequence'!C2:C1586,'Review Sequence'!P2:P1586),"")</x:f>
        <x:v>Yes</x:v>
      </x:c>
    </x:row>
    <x:row r="713">
      <x:c r="A713" s="6" t="str">
        <x:v>BLK-0712</x:v>
      </x:c>
      <x:c r="B713" s="6" t="str">
        <x:v>Device Applicability</x:v>
      </x:c>
      <x:c r="C713" s="6" t="str">
        <x:v>DEVX-0069</x:v>
      </x:c>
      <x:c r="D713" s="6" t="str">
        <x:v>SVC000069</x:v>
      </x:c>
      <x:c r="E713" s="6" t="str"/>
      <x:c r="F713" s="6" t="str">
        <x:f>IFERROR(XLOOKUP(C713,'Review Sequence'!C2:C1586,'Review Sequence'!I2:I1586),"")</x:f>
        <x:v>Multiple dependencies - verify source queues</x:v>
      </x:c>
      <x:c r="G713" s="6" t="str">
        <x:f>IFERROR(XLOOKUP(C713,'Review Sequence'!C2:C1586,'Review Sequence'!J2:J1586),"")</x:f>
        <x:v>Not Started</x:v>
      </x:c>
      <x:c r="H713" s="7" t="str">
        <x:f>IFERROR(XLOOKUP(C713,'Review Sequence'!C2:C1586,'Review Sequence'!O2:O1586),"")</x:f>
      </x:c>
      <x:c r="I713" s="6" t="str">
        <x:f>IFERROR(XLOOKUP(C713,'Review Sequence'!C2:C1586,'Review Sequence'!P2:P1586),"")</x:f>
        <x:v>Yes</x:v>
      </x:c>
    </x:row>
    <x:row r="714">
      <x:c r="A714" s="6" t="str">
        <x:v>BLK-0713</x:v>
      </x:c>
      <x:c r="B714" s="6" t="str">
        <x:v>Device Applicability</x:v>
      </x:c>
      <x:c r="C714" s="6" t="str">
        <x:v>DEVX-0070</x:v>
      </x:c>
      <x:c r="D714" s="6" t="str">
        <x:v>SVC000070</x:v>
      </x:c>
      <x:c r="E714" s="6" t="str"/>
      <x:c r="F714" s="6" t="str">
        <x:f>IFERROR(XLOOKUP(C714,'Review Sequence'!C2:C1586,'Review Sequence'!I2:I1586),"")</x:f>
        <x:v>Multiple dependencies - verify source queues</x:v>
      </x:c>
      <x:c r="G714" s="6" t="str">
        <x:f>IFERROR(XLOOKUP(C714,'Review Sequence'!C2:C1586,'Review Sequence'!J2:J1586),"")</x:f>
        <x:v>Not Started</x:v>
      </x:c>
      <x:c r="H714" s="7" t="str">
        <x:f>IFERROR(XLOOKUP(C714,'Review Sequence'!C2:C1586,'Review Sequence'!O2:O1586),"")</x:f>
      </x:c>
      <x:c r="I714" s="6" t="str">
        <x:f>IFERROR(XLOOKUP(C714,'Review Sequence'!C2:C1586,'Review Sequence'!P2:P1586),"")</x:f>
        <x:v>Yes</x:v>
      </x:c>
    </x:row>
    <x:row r="715">
      <x:c r="A715" s="6" t="str">
        <x:v>BLK-0714</x:v>
      </x:c>
      <x:c r="B715" s="6" t="str">
        <x:v>Device Applicability</x:v>
      </x:c>
      <x:c r="C715" s="6" t="str">
        <x:v>DEVX-0071</x:v>
      </x:c>
      <x:c r="D715" s="6" t="str">
        <x:v>SVC000071</x:v>
      </x:c>
      <x:c r="E715" s="6" t="str"/>
      <x:c r="F715" s="6" t="str">
        <x:f>IFERROR(XLOOKUP(C715,'Review Sequence'!C2:C1586,'Review Sequence'!I2:I1586),"")</x:f>
        <x:v>Multiple dependencies - verify source queues</x:v>
      </x:c>
      <x:c r="G715" s="6" t="str">
        <x:f>IFERROR(XLOOKUP(C715,'Review Sequence'!C2:C1586,'Review Sequence'!J2:J1586),"")</x:f>
        <x:v>Not Started</x:v>
      </x:c>
      <x:c r="H715" s="7" t="str">
        <x:f>IFERROR(XLOOKUP(C715,'Review Sequence'!C2:C1586,'Review Sequence'!O2:O1586),"")</x:f>
      </x:c>
      <x:c r="I715" s="6" t="str">
        <x:f>IFERROR(XLOOKUP(C715,'Review Sequence'!C2:C1586,'Review Sequence'!P2:P1586),"")</x:f>
        <x:v>Yes</x:v>
      </x:c>
    </x:row>
    <x:row r="716">
      <x:c r="A716" s="6" t="str">
        <x:v>BLK-0715</x:v>
      </x:c>
      <x:c r="B716" s="6" t="str">
        <x:v>Device Applicability</x:v>
      </x:c>
      <x:c r="C716" s="6" t="str">
        <x:v>DEVX-0072</x:v>
      </x:c>
      <x:c r="D716" s="6" t="str">
        <x:v>SVC000072</x:v>
      </x:c>
      <x:c r="E716" s="6" t="str"/>
      <x:c r="F716" s="6" t="str">
        <x:f>IFERROR(XLOOKUP(C716,'Review Sequence'!C2:C1586,'Review Sequence'!I2:I1586),"")</x:f>
        <x:v>Multiple dependencies - verify source queues</x:v>
      </x:c>
      <x:c r="G716" s="6" t="str">
        <x:f>IFERROR(XLOOKUP(C716,'Review Sequence'!C2:C1586,'Review Sequence'!J2:J1586),"")</x:f>
        <x:v>Not Started</x:v>
      </x:c>
      <x:c r="H716" s="7" t="str">
        <x:f>IFERROR(XLOOKUP(C716,'Review Sequence'!C2:C1586,'Review Sequence'!O2:O1586),"")</x:f>
      </x:c>
      <x:c r="I716" s="6" t="str">
        <x:f>IFERROR(XLOOKUP(C716,'Review Sequence'!C2:C1586,'Review Sequence'!P2:P1586),"")</x:f>
        <x:v>Yes</x:v>
      </x:c>
    </x:row>
    <x:row r="717">
      <x:c r="A717" s="6" t="str">
        <x:v>BLK-0716</x:v>
      </x:c>
      <x:c r="B717" s="6" t="str">
        <x:v>Device Applicability</x:v>
      </x:c>
      <x:c r="C717" s="6" t="str">
        <x:v>DEVX-0073</x:v>
      </x:c>
      <x:c r="D717" s="6" t="str">
        <x:v>SVC000073</x:v>
      </x:c>
      <x:c r="E717" s="6" t="str"/>
      <x:c r="F717" s="6" t="str">
        <x:f>IFERROR(XLOOKUP(C717,'Review Sequence'!C2:C1586,'Review Sequence'!I2:I1586),"")</x:f>
        <x:v>Multiple dependencies - verify source queues</x:v>
      </x:c>
      <x:c r="G717" s="6" t="str">
        <x:f>IFERROR(XLOOKUP(C717,'Review Sequence'!C2:C1586,'Review Sequence'!J2:J1586),"")</x:f>
        <x:v>Not Started</x:v>
      </x:c>
      <x:c r="H717" s="7" t="str">
        <x:f>IFERROR(XLOOKUP(C717,'Review Sequence'!C2:C1586,'Review Sequence'!O2:O1586),"")</x:f>
      </x:c>
      <x:c r="I717" s="6" t="str">
        <x:f>IFERROR(XLOOKUP(C717,'Review Sequence'!C2:C1586,'Review Sequence'!P2:P1586),"")</x:f>
        <x:v>Yes</x:v>
      </x:c>
    </x:row>
    <x:row r="718">
      <x:c r="A718" s="6" t="str">
        <x:v>BLK-0717</x:v>
      </x:c>
      <x:c r="B718" s="6" t="str">
        <x:v>Device Applicability</x:v>
      </x:c>
      <x:c r="C718" s="6" t="str">
        <x:v>DEVX-0074</x:v>
      </x:c>
      <x:c r="D718" s="6" t="str">
        <x:v>SVC000074</x:v>
      </x:c>
      <x:c r="E718" s="6" t="str"/>
      <x:c r="F718" s="6" t="str">
        <x:f>IFERROR(XLOOKUP(C718,'Review Sequence'!C2:C1586,'Review Sequence'!I2:I1586),"")</x:f>
        <x:v>Multiple dependencies - verify source queues</x:v>
      </x:c>
      <x:c r="G718" s="6" t="str">
        <x:f>IFERROR(XLOOKUP(C718,'Review Sequence'!C2:C1586,'Review Sequence'!J2:J1586),"")</x:f>
        <x:v>Not Started</x:v>
      </x:c>
      <x:c r="H718" s="7" t="str">
        <x:f>IFERROR(XLOOKUP(C718,'Review Sequence'!C2:C1586,'Review Sequence'!O2:O1586),"")</x:f>
      </x:c>
      <x:c r="I718" s="6" t="str">
        <x:f>IFERROR(XLOOKUP(C718,'Review Sequence'!C2:C1586,'Review Sequence'!P2:P1586),"")</x:f>
        <x:v>Yes</x:v>
      </x:c>
    </x:row>
    <x:row r="719">
      <x:c r="A719" s="6" t="str">
        <x:v>BLK-0718</x:v>
      </x:c>
      <x:c r="B719" s="6" t="str">
        <x:v>Device Applicability</x:v>
      </x:c>
      <x:c r="C719" s="6" t="str">
        <x:v>DEVX-0075</x:v>
      </x:c>
      <x:c r="D719" s="6" t="str">
        <x:v>SVC000075</x:v>
      </x:c>
      <x:c r="E719" s="6" t="str"/>
      <x:c r="F719" s="6" t="str">
        <x:f>IFERROR(XLOOKUP(C719,'Review Sequence'!C2:C1586,'Review Sequence'!I2:I1586),"")</x:f>
        <x:v>Multiple dependencies - verify source queues</x:v>
      </x:c>
      <x:c r="G719" s="6" t="str">
        <x:f>IFERROR(XLOOKUP(C719,'Review Sequence'!C2:C1586,'Review Sequence'!J2:J1586),"")</x:f>
        <x:v>Not Started</x:v>
      </x:c>
      <x:c r="H719" s="7" t="str">
        <x:f>IFERROR(XLOOKUP(C719,'Review Sequence'!C2:C1586,'Review Sequence'!O2:O1586),"")</x:f>
      </x:c>
      <x:c r="I719" s="6" t="str">
        <x:f>IFERROR(XLOOKUP(C719,'Review Sequence'!C2:C1586,'Review Sequence'!P2:P1586),"")</x:f>
        <x:v>Yes</x:v>
      </x:c>
    </x:row>
    <x:row r="720">
      <x:c r="A720" s="6" t="str">
        <x:v>BLK-0719</x:v>
      </x:c>
      <x:c r="B720" s="6" t="str">
        <x:v>Device Applicability</x:v>
      </x:c>
      <x:c r="C720" s="6" t="str">
        <x:v>DEVX-0076</x:v>
      </x:c>
      <x:c r="D720" s="6" t="str">
        <x:v>SVC000076</x:v>
      </x:c>
      <x:c r="E720" s="6" t="str"/>
      <x:c r="F720" s="6" t="str">
        <x:f>IFERROR(XLOOKUP(C720,'Review Sequence'!C2:C1586,'Review Sequence'!I2:I1586),"")</x:f>
        <x:v>Multiple dependencies - verify source queues</x:v>
      </x:c>
      <x:c r="G720" s="6" t="str">
        <x:f>IFERROR(XLOOKUP(C720,'Review Sequence'!C2:C1586,'Review Sequence'!J2:J1586),"")</x:f>
        <x:v>Not Started</x:v>
      </x:c>
      <x:c r="H720" s="7" t="str">
        <x:f>IFERROR(XLOOKUP(C720,'Review Sequence'!C2:C1586,'Review Sequence'!O2:O1586),"")</x:f>
      </x:c>
      <x:c r="I720" s="6" t="str">
        <x:f>IFERROR(XLOOKUP(C720,'Review Sequence'!C2:C1586,'Review Sequence'!P2:P1586),"")</x:f>
        <x:v>Yes</x:v>
      </x:c>
    </x:row>
    <x:row r="721">
      <x:c r="A721" s="6" t="str">
        <x:v>BLK-0720</x:v>
      </x:c>
      <x:c r="B721" s="6" t="str">
        <x:v>Device Applicability</x:v>
      </x:c>
      <x:c r="C721" s="6" t="str">
        <x:v>DEVX-0077</x:v>
      </x:c>
      <x:c r="D721" s="6" t="str">
        <x:v>SVC000077</x:v>
      </x:c>
      <x:c r="E721" s="6" t="str"/>
      <x:c r="F721" s="6" t="str">
        <x:f>IFERROR(XLOOKUP(C721,'Review Sequence'!C2:C1586,'Review Sequence'!I2:I1586),"")</x:f>
        <x:v>Multiple dependencies - verify source queues</x:v>
      </x:c>
      <x:c r="G721" s="6" t="str">
        <x:f>IFERROR(XLOOKUP(C721,'Review Sequence'!C2:C1586,'Review Sequence'!J2:J1586),"")</x:f>
        <x:v>Not Started</x:v>
      </x:c>
      <x:c r="H721" s="7" t="str">
        <x:f>IFERROR(XLOOKUP(C721,'Review Sequence'!C2:C1586,'Review Sequence'!O2:O1586),"")</x:f>
      </x:c>
      <x:c r="I721" s="6" t="str">
        <x:f>IFERROR(XLOOKUP(C721,'Review Sequence'!C2:C1586,'Review Sequence'!P2:P1586),"")</x:f>
        <x:v>Yes</x:v>
      </x:c>
    </x:row>
    <x:row r="722">
      <x:c r="A722" s="6" t="str">
        <x:v>BLK-0721</x:v>
      </x:c>
      <x:c r="B722" s="6" t="str">
        <x:v>Device Applicability</x:v>
      </x:c>
      <x:c r="C722" s="6" t="str">
        <x:v>DEVX-0078</x:v>
      </x:c>
      <x:c r="D722" s="6" t="str">
        <x:v>SVC000078</x:v>
      </x:c>
      <x:c r="E722" s="6" t="str"/>
      <x:c r="F722" s="6" t="str">
        <x:f>IFERROR(XLOOKUP(C722,'Review Sequence'!C2:C1586,'Review Sequence'!I2:I1586),"")</x:f>
        <x:v>Multiple dependencies - verify source queues</x:v>
      </x:c>
      <x:c r="G722" s="6" t="str">
        <x:f>IFERROR(XLOOKUP(C722,'Review Sequence'!C2:C1586,'Review Sequence'!J2:J1586),"")</x:f>
        <x:v>Not Started</x:v>
      </x:c>
      <x:c r="H722" s="7" t="str">
        <x:f>IFERROR(XLOOKUP(C722,'Review Sequence'!C2:C1586,'Review Sequence'!O2:O1586),"")</x:f>
      </x:c>
      <x:c r="I722" s="6" t="str">
        <x:f>IFERROR(XLOOKUP(C722,'Review Sequence'!C2:C1586,'Review Sequence'!P2:P1586),"")</x:f>
        <x:v>Yes</x:v>
      </x:c>
    </x:row>
    <x:row r="723">
      <x:c r="A723" s="6" t="str">
        <x:v>BLK-0722</x:v>
      </x:c>
      <x:c r="B723" s="6" t="str">
        <x:v>Device Applicability</x:v>
      </x:c>
      <x:c r="C723" s="6" t="str">
        <x:v>DEVX-0079</x:v>
      </x:c>
      <x:c r="D723" s="6" t="str">
        <x:v>SVC000079</x:v>
      </x:c>
      <x:c r="E723" s="6" t="str"/>
      <x:c r="F723" s="6" t="str">
        <x:f>IFERROR(XLOOKUP(C723,'Review Sequence'!C2:C1586,'Review Sequence'!I2:I1586),"")</x:f>
        <x:v>Multiple dependencies - verify source queues</x:v>
      </x:c>
      <x:c r="G723" s="6" t="str">
        <x:f>IFERROR(XLOOKUP(C723,'Review Sequence'!C2:C1586,'Review Sequence'!J2:J1586),"")</x:f>
        <x:v>Not Started</x:v>
      </x:c>
      <x:c r="H723" s="7" t="str">
        <x:f>IFERROR(XLOOKUP(C723,'Review Sequence'!C2:C1586,'Review Sequence'!O2:O1586),"")</x:f>
      </x:c>
      <x:c r="I723" s="6" t="str">
        <x:f>IFERROR(XLOOKUP(C723,'Review Sequence'!C2:C1586,'Review Sequence'!P2:P1586),"")</x:f>
        <x:v>Yes</x:v>
      </x:c>
    </x:row>
    <x:row r="724">
      <x:c r="A724" s="6" t="str">
        <x:v>BLK-0723</x:v>
      </x:c>
      <x:c r="B724" s="6" t="str">
        <x:v>Device Applicability</x:v>
      </x:c>
      <x:c r="C724" s="6" t="str">
        <x:v>DEVX-0080</x:v>
      </x:c>
      <x:c r="D724" s="6" t="str">
        <x:v>SVC000080</x:v>
      </x:c>
      <x:c r="E724" s="6" t="str"/>
      <x:c r="F724" s="6" t="str">
        <x:f>IFERROR(XLOOKUP(C724,'Review Sequence'!C2:C1586,'Review Sequence'!I2:I1586),"")</x:f>
        <x:v>Multiple dependencies - verify source queues</x:v>
      </x:c>
      <x:c r="G724" s="6" t="str">
        <x:f>IFERROR(XLOOKUP(C724,'Review Sequence'!C2:C1586,'Review Sequence'!J2:J1586),"")</x:f>
        <x:v>Not Started</x:v>
      </x:c>
      <x:c r="H724" s="7" t="str">
        <x:f>IFERROR(XLOOKUP(C724,'Review Sequence'!C2:C1586,'Review Sequence'!O2:O1586),"")</x:f>
      </x:c>
      <x:c r="I724" s="6" t="str">
        <x:f>IFERROR(XLOOKUP(C724,'Review Sequence'!C2:C1586,'Review Sequence'!P2:P1586),"")</x:f>
        <x:v>Yes</x:v>
      </x:c>
    </x:row>
    <x:row r="725">
      <x:c r="A725" s="6" t="str">
        <x:v>BLK-0724</x:v>
      </x:c>
      <x:c r="B725" s="6" t="str">
        <x:v>Device Applicability</x:v>
      </x:c>
      <x:c r="C725" s="6" t="str">
        <x:v>DEVX-0081</x:v>
      </x:c>
      <x:c r="D725" s="6" t="str">
        <x:v>SVC000081</x:v>
      </x:c>
      <x:c r="E725" s="6" t="str"/>
      <x:c r="F725" s="6" t="str">
        <x:f>IFERROR(XLOOKUP(C725,'Review Sequence'!C2:C1586,'Review Sequence'!I2:I1586),"")</x:f>
        <x:v>Multiple dependencies - verify source queues</x:v>
      </x:c>
      <x:c r="G725" s="6" t="str">
        <x:f>IFERROR(XLOOKUP(C725,'Review Sequence'!C2:C1586,'Review Sequence'!J2:J1586),"")</x:f>
        <x:v>Not Started</x:v>
      </x:c>
      <x:c r="H725" s="7" t="str">
        <x:f>IFERROR(XLOOKUP(C725,'Review Sequence'!C2:C1586,'Review Sequence'!O2:O1586),"")</x:f>
      </x:c>
      <x:c r="I725" s="6" t="str">
        <x:f>IFERROR(XLOOKUP(C725,'Review Sequence'!C2:C1586,'Review Sequence'!P2:P1586),"")</x:f>
        <x:v>Yes</x:v>
      </x:c>
    </x:row>
    <x:row r="726">
      <x:c r="A726" s="6" t="str">
        <x:v>BLK-0725</x:v>
      </x:c>
      <x:c r="B726" s="6" t="str">
        <x:v>Device Applicability</x:v>
      </x:c>
      <x:c r="C726" s="6" t="str">
        <x:v>DEVX-0082</x:v>
      </x:c>
      <x:c r="D726" s="6" t="str">
        <x:v>SVC000082</x:v>
      </x:c>
      <x:c r="E726" s="6" t="str"/>
      <x:c r="F726" s="6" t="str">
        <x:f>IFERROR(XLOOKUP(C726,'Review Sequence'!C2:C1586,'Review Sequence'!I2:I1586),"")</x:f>
        <x:v>Multiple dependencies - verify source queues</x:v>
      </x:c>
      <x:c r="G726" s="6" t="str">
        <x:f>IFERROR(XLOOKUP(C726,'Review Sequence'!C2:C1586,'Review Sequence'!J2:J1586),"")</x:f>
        <x:v>Not Started</x:v>
      </x:c>
      <x:c r="H726" s="7" t="str">
        <x:f>IFERROR(XLOOKUP(C726,'Review Sequence'!C2:C1586,'Review Sequence'!O2:O1586),"")</x:f>
      </x:c>
      <x:c r="I726" s="6" t="str">
        <x:f>IFERROR(XLOOKUP(C726,'Review Sequence'!C2:C1586,'Review Sequence'!P2:P1586),"")</x:f>
        <x:v>Yes</x:v>
      </x:c>
    </x:row>
    <x:row r="727">
      <x:c r="A727" s="6" t="str">
        <x:v>BLK-0726</x:v>
      </x:c>
      <x:c r="B727" s="6" t="str">
        <x:v>Device Applicability</x:v>
      </x:c>
      <x:c r="C727" s="6" t="str">
        <x:v>DEVX-0083</x:v>
      </x:c>
      <x:c r="D727" s="6" t="str">
        <x:v>SVC000083</x:v>
      </x:c>
      <x:c r="E727" s="6" t="str"/>
      <x:c r="F727" s="6" t="str">
        <x:f>IFERROR(XLOOKUP(C727,'Review Sequence'!C2:C1586,'Review Sequence'!I2:I1586),"")</x:f>
        <x:v>Multiple dependencies - verify source queues</x:v>
      </x:c>
      <x:c r="G727" s="6" t="str">
        <x:f>IFERROR(XLOOKUP(C727,'Review Sequence'!C2:C1586,'Review Sequence'!J2:J1586),"")</x:f>
        <x:v>Not Started</x:v>
      </x:c>
      <x:c r="H727" s="7" t="str">
        <x:f>IFERROR(XLOOKUP(C727,'Review Sequence'!C2:C1586,'Review Sequence'!O2:O1586),"")</x:f>
      </x:c>
      <x:c r="I727" s="6" t="str">
        <x:f>IFERROR(XLOOKUP(C727,'Review Sequence'!C2:C1586,'Review Sequence'!P2:P1586),"")</x:f>
        <x:v>Yes</x:v>
      </x:c>
    </x:row>
    <x:row r="728">
      <x:c r="A728" s="6" t="str">
        <x:v>BLK-0727</x:v>
      </x:c>
      <x:c r="B728" s="6" t="str">
        <x:v>Device Applicability</x:v>
      </x:c>
      <x:c r="C728" s="6" t="str">
        <x:v>DEVX-0084</x:v>
      </x:c>
      <x:c r="D728" s="6" t="str">
        <x:v>SVC000084</x:v>
      </x:c>
      <x:c r="E728" s="6" t="str"/>
      <x:c r="F728" s="6" t="str">
        <x:f>IFERROR(XLOOKUP(C728,'Review Sequence'!C2:C1586,'Review Sequence'!I2:I1586),"")</x:f>
        <x:v>Multiple dependencies - verify source queues</x:v>
      </x:c>
      <x:c r="G728" s="6" t="str">
        <x:f>IFERROR(XLOOKUP(C728,'Review Sequence'!C2:C1586,'Review Sequence'!J2:J1586),"")</x:f>
        <x:v>Not Started</x:v>
      </x:c>
      <x:c r="H728" s="7" t="str">
        <x:f>IFERROR(XLOOKUP(C728,'Review Sequence'!C2:C1586,'Review Sequence'!O2:O1586),"")</x:f>
      </x:c>
      <x:c r="I728" s="6" t="str">
        <x:f>IFERROR(XLOOKUP(C728,'Review Sequence'!C2:C1586,'Review Sequence'!P2:P1586),"")</x:f>
        <x:v>Yes</x:v>
      </x:c>
    </x:row>
    <x:row r="729">
      <x:c r="A729" s="6" t="str">
        <x:v>BLK-0728</x:v>
      </x:c>
      <x:c r="B729" s="6" t="str">
        <x:v>Device Applicability</x:v>
      </x:c>
      <x:c r="C729" s="6" t="str">
        <x:v>DEVX-0085</x:v>
      </x:c>
      <x:c r="D729" s="6" t="str">
        <x:v>SVC000085</x:v>
      </x:c>
      <x:c r="E729" s="6" t="str"/>
      <x:c r="F729" s="6" t="str">
        <x:f>IFERROR(XLOOKUP(C729,'Review Sequence'!C2:C1586,'Review Sequence'!I2:I1586),"")</x:f>
        <x:v>Multiple dependencies - verify source queues</x:v>
      </x:c>
      <x:c r="G729" s="6" t="str">
        <x:f>IFERROR(XLOOKUP(C729,'Review Sequence'!C2:C1586,'Review Sequence'!J2:J1586),"")</x:f>
        <x:v>Not Started</x:v>
      </x:c>
      <x:c r="H729" s="7" t="str">
        <x:f>IFERROR(XLOOKUP(C729,'Review Sequence'!C2:C1586,'Review Sequence'!O2:O1586),"")</x:f>
      </x:c>
      <x:c r="I729" s="6" t="str">
        <x:f>IFERROR(XLOOKUP(C729,'Review Sequence'!C2:C1586,'Review Sequence'!P2:P1586),"")</x:f>
        <x:v>Yes</x:v>
      </x:c>
    </x:row>
    <x:row r="730">
      <x:c r="A730" s="6" t="str">
        <x:v>BLK-0729</x:v>
      </x:c>
      <x:c r="B730" s="6" t="str">
        <x:v>Device Applicability</x:v>
      </x:c>
      <x:c r="C730" s="6" t="str">
        <x:v>DEVX-0086</x:v>
      </x:c>
      <x:c r="D730" s="6" t="str">
        <x:v>SVC000086</x:v>
      </x:c>
      <x:c r="E730" s="6" t="str"/>
      <x:c r="F730" s="6" t="str">
        <x:f>IFERROR(XLOOKUP(C730,'Review Sequence'!C2:C1586,'Review Sequence'!I2:I1586),"")</x:f>
        <x:v>Multiple dependencies - verify source queues</x:v>
      </x:c>
      <x:c r="G730" s="6" t="str">
        <x:f>IFERROR(XLOOKUP(C730,'Review Sequence'!C2:C1586,'Review Sequence'!J2:J1586),"")</x:f>
        <x:v>Not Started</x:v>
      </x:c>
      <x:c r="H730" s="7" t="str">
        <x:f>IFERROR(XLOOKUP(C730,'Review Sequence'!C2:C1586,'Review Sequence'!O2:O1586),"")</x:f>
      </x:c>
      <x:c r="I730" s="6" t="str">
        <x:f>IFERROR(XLOOKUP(C730,'Review Sequence'!C2:C1586,'Review Sequence'!P2:P1586),"")</x:f>
        <x:v>Yes</x:v>
      </x:c>
    </x:row>
    <x:row r="731">
      <x:c r="A731" s="6" t="str">
        <x:v>BLK-0730</x:v>
      </x:c>
      <x:c r="B731" s="6" t="str">
        <x:v>Device Applicability</x:v>
      </x:c>
      <x:c r="C731" s="6" t="str">
        <x:v>DEVX-0087</x:v>
      </x:c>
      <x:c r="D731" s="6" t="str">
        <x:v>SVC000087</x:v>
      </x:c>
      <x:c r="E731" s="6" t="str"/>
      <x:c r="F731" s="6" t="str">
        <x:f>IFERROR(XLOOKUP(C731,'Review Sequence'!C2:C1586,'Review Sequence'!I2:I1586),"")</x:f>
        <x:v>Multiple dependencies - verify source queues</x:v>
      </x:c>
      <x:c r="G731" s="6" t="str">
        <x:f>IFERROR(XLOOKUP(C731,'Review Sequence'!C2:C1586,'Review Sequence'!J2:J1586),"")</x:f>
        <x:v>Not Started</x:v>
      </x:c>
      <x:c r="H731" s="7" t="str">
        <x:f>IFERROR(XLOOKUP(C731,'Review Sequence'!C2:C1586,'Review Sequence'!O2:O1586),"")</x:f>
      </x:c>
      <x:c r="I731" s="6" t="str">
        <x:f>IFERROR(XLOOKUP(C731,'Review Sequence'!C2:C1586,'Review Sequence'!P2:P1586),"")</x:f>
        <x:v>Yes</x:v>
      </x:c>
    </x:row>
    <x:row r="732">
      <x:c r="A732" s="6" t="str">
        <x:v>BLK-0731</x:v>
      </x:c>
      <x:c r="B732" s="6" t="str">
        <x:v>Device Applicability</x:v>
      </x:c>
      <x:c r="C732" s="6" t="str">
        <x:v>DEVX-0088</x:v>
      </x:c>
      <x:c r="D732" s="6" t="str">
        <x:v>SVC000088</x:v>
      </x:c>
      <x:c r="E732" s="6" t="str"/>
      <x:c r="F732" s="6" t="str">
        <x:f>IFERROR(XLOOKUP(C732,'Review Sequence'!C2:C1586,'Review Sequence'!I2:I1586),"")</x:f>
        <x:v>Multiple dependencies - verify source queues</x:v>
      </x:c>
      <x:c r="G732" s="6" t="str">
        <x:f>IFERROR(XLOOKUP(C732,'Review Sequence'!C2:C1586,'Review Sequence'!J2:J1586),"")</x:f>
        <x:v>Not Started</x:v>
      </x:c>
      <x:c r="H732" s="7" t="str">
        <x:f>IFERROR(XLOOKUP(C732,'Review Sequence'!C2:C1586,'Review Sequence'!O2:O1586),"")</x:f>
      </x:c>
      <x:c r="I732" s="6" t="str">
        <x:f>IFERROR(XLOOKUP(C732,'Review Sequence'!C2:C1586,'Review Sequence'!P2:P1586),"")</x:f>
        <x:v>Yes</x:v>
      </x:c>
    </x:row>
    <x:row r="733">
      <x:c r="A733" s="6" t="str">
        <x:v>BLK-0732</x:v>
      </x:c>
      <x:c r="B733" s="6" t="str">
        <x:v>Device Applicability</x:v>
      </x:c>
      <x:c r="C733" s="6" t="str">
        <x:v>DEVX-0089</x:v>
      </x:c>
      <x:c r="D733" s="6" t="str">
        <x:v>SVC000089</x:v>
      </x:c>
      <x:c r="E733" s="6" t="str"/>
      <x:c r="F733" s="6" t="str">
        <x:f>IFERROR(XLOOKUP(C733,'Review Sequence'!C2:C1586,'Review Sequence'!I2:I1586),"")</x:f>
        <x:v>Multiple dependencies - verify source queues</x:v>
      </x:c>
      <x:c r="G733" s="6" t="str">
        <x:f>IFERROR(XLOOKUP(C733,'Review Sequence'!C2:C1586,'Review Sequence'!J2:J1586),"")</x:f>
        <x:v>Not Started</x:v>
      </x:c>
      <x:c r="H733" s="7" t="str">
        <x:f>IFERROR(XLOOKUP(C733,'Review Sequence'!C2:C1586,'Review Sequence'!O2:O1586),"")</x:f>
      </x:c>
      <x:c r="I733" s="6" t="str">
        <x:f>IFERROR(XLOOKUP(C733,'Review Sequence'!C2:C1586,'Review Sequence'!P2:P1586),"")</x:f>
        <x:v>Yes</x:v>
      </x:c>
    </x:row>
    <x:row r="734">
      <x:c r="A734" s="6" t="str">
        <x:v>BLK-0733</x:v>
      </x:c>
      <x:c r="B734" s="6" t="str">
        <x:v>Device Applicability</x:v>
      </x:c>
      <x:c r="C734" s="6" t="str">
        <x:v>DEVX-0090</x:v>
      </x:c>
      <x:c r="D734" s="6" t="str">
        <x:v>SVC000090</x:v>
      </x:c>
      <x:c r="E734" s="6" t="str"/>
      <x:c r="F734" s="6" t="str">
        <x:f>IFERROR(XLOOKUP(C734,'Review Sequence'!C2:C1586,'Review Sequence'!I2:I1586),"")</x:f>
        <x:v>Multiple dependencies - verify source queues</x:v>
      </x:c>
      <x:c r="G734" s="6" t="str">
        <x:f>IFERROR(XLOOKUP(C734,'Review Sequence'!C2:C1586,'Review Sequence'!J2:J1586),"")</x:f>
        <x:v>Not Started</x:v>
      </x:c>
      <x:c r="H734" s="7" t="str">
        <x:f>IFERROR(XLOOKUP(C734,'Review Sequence'!C2:C1586,'Review Sequence'!O2:O1586),"")</x:f>
      </x:c>
      <x:c r="I734" s="6" t="str">
        <x:f>IFERROR(XLOOKUP(C734,'Review Sequence'!C2:C1586,'Review Sequence'!P2:P1586),"")</x:f>
        <x:v>Yes</x:v>
      </x:c>
    </x:row>
    <x:row r="735">
      <x:c r="A735" s="6" t="str">
        <x:v>BLK-0734</x:v>
      </x:c>
      <x:c r="B735" s="6" t="str">
        <x:v>Device Applicability</x:v>
      </x:c>
      <x:c r="C735" s="6" t="str">
        <x:v>DEVX-0091</x:v>
      </x:c>
      <x:c r="D735" s="6" t="str">
        <x:v>SVC000091</x:v>
      </x:c>
      <x:c r="E735" s="6" t="str"/>
      <x:c r="F735" s="6" t="str">
        <x:f>IFERROR(XLOOKUP(C735,'Review Sequence'!C2:C1586,'Review Sequence'!I2:I1586),"")</x:f>
        <x:v>Multiple dependencies - verify source queues</x:v>
      </x:c>
      <x:c r="G735" s="6" t="str">
        <x:f>IFERROR(XLOOKUP(C735,'Review Sequence'!C2:C1586,'Review Sequence'!J2:J1586),"")</x:f>
        <x:v>Not Started</x:v>
      </x:c>
      <x:c r="H735" s="7" t="str">
        <x:f>IFERROR(XLOOKUP(C735,'Review Sequence'!C2:C1586,'Review Sequence'!O2:O1586),"")</x:f>
      </x:c>
      <x:c r="I735" s="6" t="str">
        <x:f>IFERROR(XLOOKUP(C735,'Review Sequence'!C2:C1586,'Review Sequence'!P2:P1586),"")</x:f>
        <x:v>Yes</x:v>
      </x:c>
    </x:row>
    <x:row r="736">
      <x:c r="A736" s="6" t="str">
        <x:v>BLK-0735</x:v>
      </x:c>
      <x:c r="B736" s="6" t="str">
        <x:v>Device Applicability</x:v>
      </x:c>
      <x:c r="C736" s="6" t="str">
        <x:v>DEVX-0092</x:v>
      </x:c>
      <x:c r="D736" s="6" t="str">
        <x:v>SVC000092</x:v>
      </x:c>
      <x:c r="E736" s="6" t="str"/>
      <x:c r="F736" s="6" t="str">
        <x:f>IFERROR(XLOOKUP(C736,'Review Sequence'!C2:C1586,'Review Sequence'!I2:I1586),"")</x:f>
        <x:v>Multiple dependencies - verify source queues</x:v>
      </x:c>
      <x:c r="G736" s="6" t="str">
        <x:f>IFERROR(XLOOKUP(C736,'Review Sequence'!C2:C1586,'Review Sequence'!J2:J1586),"")</x:f>
        <x:v>Not Started</x:v>
      </x:c>
      <x:c r="H736" s="7" t="str">
        <x:f>IFERROR(XLOOKUP(C736,'Review Sequence'!C2:C1586,'Review Sequence'!O2:O1586),"")</x:f>
      </x:c>
      <x:c r="I736" s="6" t="str">
        <x:f>IFERROR(XLOOKUP(C736,'Review Sequence'!C2:C1586,'Review Sequence'!P2:P1586),"")</x:f>
        <x:v>Yes</x:v>
      </x:c>
    </x:row>
    <x:row r="737">
      <x:c r="A737" s="6" t="str">
        <x:v>BLK-0736</x:v>
      </x:c>
      <x:c r="B737" s="6" t="str">
        <x:v>Device Applicability</x:v>
      </x:c>
      <x:c r="C737" s="6" t="str">
        <x:v>DEVX-0093</x:v>
      </x:c>
      <x:c r="D737" s="6" t="str">
        <x:v>SVC000093</x:v>
      </x:c>
      <x:c r="E737" s="6" t="str"/>
      <x:c r="F737" s="6" t="str">
        <x:f>IFERROR(XLOOKUP(C737,'Review Sequence'!C2:C1586,'Review Sequence'!I2:I1586),"")</x:f>
        <x:v>Multiple dependencies - verify source queues</x:v>
      </x:c>
      <x:c r="G737" s="6" t="str">
        <x:f>IFERROR(XLOOKUP(C737,'Review Sequence'!C2:C1586,'Review Sequence'!J2:J1586),"")</x:f>
        <x:v>Not Started</x:v>
      </x:c>
      <x:c r="H737" s="7" t="str">
        <x:f>IFERROR(XLOOKUP(C737,'Review Sequence'!C2:C1586,'Review Sequence'!O2:O1586),"")</x:f>
      </x:c>
      <x:c r="I737" s="6" t="str">
        <x:f>IFERROR(XLOOKUP(C737,'Review Sequence'!C2:C1586,'Review Sequence'!P2:P1586),"")</x:f>
        <x:v>Yes</x:v>
      </x:c>
    </x:row>
    <x:row r="738">
      <x:c r="A738" s="6" t="str">
        <x:v>BLK-0737</x:v>
      </x:c>
      <x:c r="B738" s="6" t="str">
        <x:v>Device Applicability</x:v>
      </x:c>
      <x:c r="C738" s="6" t="str">
        <x:v>DEVX-0094</x:v>
      </x:c>
      <x:c r="D738" s="6" t="str">
        <x:v>SVC000094</x:v>
      </x:c>
      <x:c r="E738" s="6" t="str"/>
      <x:c r="F738" s="6" t="str">
        <x:f>IFERROR(XLOOKUP(C738,'Review Sequence'!C2:C1586,'Review Sequence'!I2:I1586),"")</x:f>
        <x:v>Multiple dependencies - verify source queues</x:v>
      </x:c>
      <x:c r="G738" s="6" t="str">
        <x:f>IFERROR(XLOOKUP(C738,'Review Sequence'!C2:C1586,'Review Sequence'!J2:J1586),"")</x:f>
        <x:v>Not Started</x:v>
      </x:c>
      <x:c r="H738" s="7" t="str">
        <x:f>IFERROR(XLOOKUP(C738,'Review Sequence'!C2:C1586,'Review Sequence'!O2:O1586),"")</x:f>
      </x:c>
      <x:c r="I738" s="6" t="str">
        <x:f>IFERROR(XLOOKUP(C738,'Review Sequence'!C2:C1586,'Review Sequence'!P2:P1586),"")</x:f>
        <x:v>Yes</x:v>
      </x:c>
    </x:row>
    <x:row r="739">
      <x:c r="A739" s="6" t="str">
        <x:v>BLK-0738</x:v>
      </x:c>
      <x:c r="B739" s="6" t="str">
        <x:v>Device Applicability</x:v>
      </x:c>
      <x:c r="C739" s="6" t="str">
        <x:v>DEVX-0095</x:v>
      </x:c>
      <x:c r="D739" s="6" t="str">
        <x:v>SVC000095</x:v>
      </x:c>
      <x:c r="E739" s="6" t="str"/>
      <x:c r="F739" s="6" t="str">
        <x:f>IFERROR(XLOOKUP(C739,'Review Sequence'!C2:C1586,'Review Sequence'!I2:I1586),"")</x:f>
        <x:v>Multiple dependencies - verify source queues</x:v>
      </x:c>
      <x:c r="G739" s="6" t="str">
        <x:f>IFERROR(XLOOKUP(C739,'Review Sequence'!C2:C1586,'Review Sequence'!J2:J1586),"")</x:f>
        <x:v>Not Started</x:v>
      </x:c>
      <x:c r="H739" s="7" t="str">
        <x:f>IFERROR(XLOOKUP(C739,'Review Sequence'!C2:C1586,'Review Sequence'!O2:O1586),"")</x:f>
      </x:c>
      <x:c r="I739" s="6" t="str">
        <x:f>IFERROR(XLOOKUP(C739,'Review Sequence'!C2:C1586,'Review Sequence'!P2:P1586),"")</x:f>
        <x:v>Yes</x:v>
      </x:c>
    </x:row>
    <x:row r="740">
      <x:c r="A740" s="6" t="str">
        <x:v>BLK-0739</x:v>
      </x:c>
      <x:c r="B740" s="6" t="str">
        <x:v>Device Applicability</x:v>
      </x:c>
      <x:c r="C740" s="6" t="str">
        <x:v>DEVX-0096</x:v>
      </x:c>
      <x:c r="D740" s="6" t="str">
        <x:v>SVC000096</x:v>
      </x:c>
      <x:c r="E740" s="6" t="str"/>
      <x:c r="F740" s="6" t="str">
        <x:f>IFERROR(XLOOKUP(C740,'Review Sequence'!C2:C1586,'Review Sequence'!I2:I1586),"")</x:f>
        <x:v>Multiple dependencies - verify source queues</x:v>
      </x:c>
      <x:c r="G740" s="6" t="str">
        <x:f>IFERROR(XLOOKUP(C740,'Review Sequence'!C2:C1586,'Review Sequence'!J2:J1586),"")</x:f>
        <x:v>Not Started</x:v>
      </x:c>
      <x:c r="H740" s="7" t="str">
        <x:f>IFERROR(XLOOKUP(C740,'Review Sequence'!C2:C1586,'Review Sequence'!O2:O1586),"")</x:f>
      </x:c>
      <x:c r="I740" s="6" t="str">
        <x:f>IFERROR(XLOOKUP(C740,'Review Sequence'!C2:C1586,'Review Sequence'!P2:P1586),"")</x:f>
        <x:v>Yes</x:v>
      </x:c>
    </x:row>
    <x:row r="741">
      <x:c r="A741" s="6" t="str">
        <x:v>BLK-0740</x:v>
      </x:c>
      <x:c r="B741" s="6" t="str">
        <x:v>Device Applicability</x:v>
      </x:c>
      <x:c r="C741" s="6" t="str">
        <x:v>DEVX-0097</x:v>
      </x:c>
      <x:c r="D741" s="6" t="str">
        <x:v>SVC000097</x:v>
      </x:c>
      <x:c r="E741" s="6" t="str"/>
      <x:c r="F741" s="6" t="str">
        <x:f>IFERROR(XLOOKUP(C741,'Review Sequence'!C2:C1586,'Review Sequence'!I2:I1586),"")</x:f>
        <x:v>Multiple dependencies - verify source queues</x:v>
      </x:c>
      <x:c r="G741" s="6" t="str">
        <x:f>IFERROR(XLOOKUP(C741,'Review Sequence'!C2:C1586,'Review Sequence'!J2:J1586),"")</x:f>
        <x:v>Not Started</x:v>
      </x:c>
      <x:c r="H741" s="7" t="str">
        <x:f>IFERROR(XLOOKUP(C741,'Review Sequence'!C2:C1586,'Review Sequence'!O2:O1586),"")</x:f>
      </x:c>
      <x:c r="I741" s="6" t="str">
        <x:f>IFERROR(XLOOKUP(C741,'Review Sequence'!C2:C1586,'Review Sequence'!P2:P1586),"")</x:f>
        <x:v>Yes</x:v>
      </x:c>
    </x:row>
    <x:row r="742">
      <x:c r="A742" s="6" t="str">
        <x:v>BLK-0741</x:v>
      </x:c>
      <x:c r="B742" s="6" t="str">
        <x:v>Device Applicability</x:v>
      </x:c>
      <x:c r="C742" s="6" t="str">
        <x:v>DEVX-0098</x:v>
      </x:c>
      <x:c r="D742" s="6" t="str">
        <x:v>SVC000098</x:v>
      </x:c>
      <x:c r="E742" s="6" t="str"/>
      <x:c r="F742" s="6" t="str">
        <x:f>IFERROR(XLOOKUP(C742,'Review Sequence'!C2:C1586,'Review Sequence'!I2:I1586),"")</x:f>
        <x:v>Multiple dependencies - verify source queues</x:v>
      </x:c>
      <x:c r="G742" s="6" t="str">
        <x:f>IFERROR(XLOOKUP(C742,'Review Sequence'!C2:C1586,'Review Sequence'!J2:J1586),"")</x:f>
        <x:v>Not Started</x:v>
      </x:c>
      <x:c r="H742" s="7" t="str">
        <x:f>IFERROR(XLOOKUP(C742,'Review Sequence'!C2:C1586,'Review Sequence'!O2:O1586),"")</x:f>
      </x:c>
      <x:c r="I742" s="6" t="str">
        <x:f>IFERROR(XLOOKUP(C742,'Review Sequence'!C2:C1586,'Review Sequence'!P2:P1586),"")</x:f>
        <x:v>Yes</x:v>
      </x:c>
    </x:row>
    <x:row r="743">
      <x:c r="A743" s="6" t="str">
        <x:v>BLK-0742</x:v>
      </x:c>
      <x:c r="B743" s="6" t="str">
        <x:v>Device Applicability</x:v>
      </x:c>
      <x:c r="C743" s="6" t="str">
        <x:v>DEVX-0099</x:v>
      </x:c>
      <x:c r="D743" s="6" t="str">
        <x:v>SVC000099</x:v>
      </x:c>
      <x:c r="E743" s="6" t="str"/>
      <x:c r="F743" s="6" t="str">
        <x:f>IFERROR(XLOOKUP(C743,'Review Sequence'!C2:C1586,'Review Sequence'!I2:I1586),"")</x:f>
        <x:v>Multiple dependencies - verify source queues</x:v>
      </x:c>
      <x:c r="G743" s="6" t="str">
        <x:f>IFERROR(XLOOKUP(C743,'Review Sequence'!C2:C1586,'Review Sequence'!J2:J1586),"")</x:f>
        <x:v>Not Started</x:v>
      </x:c>
      <x:c r="H743" s="7" t="str">
        <x:f>IFERROR(XLOOKUP(C743,'Review Sequence'!C2:C1586,'Review Sequence'!O2:O1586),"")</x:f>
      </x:c>
      <x:c r="I743" s="6" t="str">
        <x:f>IFERROR(XLOOKUP(C743,'Review Sequence'!C2:C1586,'Review Sequence'!P2:P1586),"")</x:f>
        <x:v>Yes</x:v>
      </x:c>
    </x:row>
    <x:row r="744">
      <x:c r="A744" s="6" t="str">
        <x:v>BLK-0743</x:v>
      </x:c>
      <x:c r="B744" s="6" t="str">
        <x:v>Device Applicability</x:v>
      </x:c>
      <x:c r="C744" s="6" t="str">
        <x:v>DEVX-0100</x:v>
      </x:c>
      <x:c r="D744" s="6" t="str">
        <x:v>SVC000100</x:v>
      </x:c>
      <x:c r="E744" s="6" t="str"/>
      <x:c r="F744" s="6" t="str">
        <x:f>IFERROR(XLOOKUP(C744,'Review Sequence'!C2:C1586,'Review Sequence'!I2:I1586),"")</x:f>
        <x:v>Multiple dependencies - verify source queues</x:v>
      </x:c>
      <x:c r="G744" s="6" t="str">
        <x:f>IFERROR(XLOOKUP(C744,'Review Sequence'!C2:C1586,'Review Sequence'!J2:J1586),"")</x:f>
        <x:v>Not Started</x:v>
      </x:c>
      <x:c r="H744" s="7" t="str">
        <x:f>IFERROR(XLOOKUP(C744,'Review Sequence'!C2:C1586,'Review Sequence'!O2:O1586),"")</x:f>
      </x:c>
      <x:c r="I744" s="6" t="str">
        <x:f>IFERROR(XLOOKUP(C744,'Review Sequence'!C2:C1586,'Review Sequence'!P2:P1586),"")</x:f>
        <x:v>Yes</x:v>
      </x:c>
    </x:row>
    <x:row r="745">
      <x:c r="A745" s="6" t="str">
        <x:v>BLK-0744</x:v>
      </x:c>
      <x:c r="B745" s="6" t="str">
        <x:v>Device Applicability</x:v>
      </x:c>
      <x:c r="C745" s="6" t="str">
        <x:v>DEVX-0101</x:v>
      </x:c>
      <x:c r="D745" s="6" t="str">
        <x:v>SVC000101</x:v>
      </x:c>
      <x:c r="E745" s="6" t="str"/>
      <x:c r="F745" s="6" t="str">
        <x:f>IFERROR(XLOOKUP(C745,'Review Sequence'!C2:C1586,'Review Sequence'!I2:I1586),"")</x:f>
        <x:v>Multiple dependencies - verify source queues</x:v>
      </x:c>
      <x:c r="G745" s="6" t="str">
        <x:f>IFERROR(XLOOKUP(C745,'Review Sequence'!C2:C1586,'Review Sequence'!J2:J1586),"")</x:f>
        <x:v>Not Started</x:v>
      </x:c>
      <x:c r="H745" s="7" t="str">
        <x:f>IFERROR(XLOOKUP(C745,'Review Sequence'!C2:C1586,'Review Sequence'!O2:O1586),"")</x:f>
      </x:c>
      <x:c r="I745" s="6" t="str">
        <x:f>IFERROR(XLOOKUP(C745,'Review Sequence'!C2:C1586,'Review Sequence'!P2:P1586),"")</x:f>
        <x:v>Yes</x:v>
      </x:c>
    </x:row>
    <x:row r="746">
      <x:c r="A746" s="6" t="str">
        <x:v>BLK-0745</x:v>
      </x:c>
      <x:c r="B746" s="6" t="str">
        <x:v>Device Applicability</x:v>
      </x:c>
      <x:c r="C746" s="6" t="str">
        <x:v>DEVX-0102</x:v>
      </x:c>
      <x:c r="D746" s="6" t="str">
        <x:v>SVC000102</x:v>
      </x:c>
      <x:c r="E746" s="6" t="str"/>
      <x:c r="F746" s="6" t="str">
        <x:f>IFERROR(XLOOKUP(C746,'Review Sequence'!C2:C1586,'Review Sequence'!I2:I1586),"")</x:f>
        <x:v>Multiple dependencies - verify source queues</x:v>
      </x:c>
      <x:c r="G746" s="6" t="str">
        <x:f>IFERROR(XLOOKUP(C746,'Review Sequence'!C2:C1586,'Review Sequence'!J2:J1586),"")</x:f>
        <x:v>Not Started</x:v>
      </x:c>
      <x:c r="H746" s="7" t="str">
        <x:f>IFERROR(XLOOKUP(C746,'Review Sequence'!C2:C1586,'Review Sequence'!O2:O1586),"")</x:f>
      </x:c>
      <x:c r="I746" s="6" t="str">
        <x:f>IFERROR(XLOOKUP(C746,'Review Sequence'!C2:C1586,'Review Sequence'!P2:P1586),"")</x:f>
        <x:v>Yes</x:v>
      </x:c>
    </x:row>
    <x:row r="747">
      <x:c r="A747" s="6" t="str">
        <x:v>BLK-0746</x:v>
      </x:c>
      <x:c r="B747" s="6" t="str">
        <x:v>Device Applicability</x:v>
      </x:c>
      <x:c r="C747" s="6" t="str">
        <x:v>DEVX-0103</x:v>
      </x:c>
      <x:c r="D747" s="6" t="str">
        <x:v>SVC000103</x:v>
      </x:c>
      <x:c r="E747" s="6" t="str"/>
      <x:c r="F747" s="6" t="str">
        <x:f>IFERROR(XLOOKUP(C747,'Review Sequence'!C2:C1586,'Review Sequence'!I2:I1586),"")</x:f>
        <x:v>Multiple dependencies - verify source queues</x:v>
      </x:c>
      <x:c r="G747" s="6" t="str">
        <x:f>IFERROR(XLOOKUP(C747,'Review Sequence'!C2:C1586,'Review Sequence'!J2:J1586),"")</x:f>
        <x:v>Not Started</x:v>
      </x:c>
      <x:c r="H747" s="7" t="str">
        <x:f>IFERROR(XLOOKUP(C747,'Review Sequence'!C2:C1586,'Review Sequence'!O2:O1586),"")</x:f>
      </x:c>
      <x:c r="I747" s="6" t="str">
        <x:f>IFERROR(XLOOKUP(C747,'Review Sequence'!C2:C1586,'Review Sequence'!P2:P1586),"")</x:f>
        <x:v>Yes</x:v>
      </x:c>
    </x:row>
    <x:row r="748">
      <x:c r="A748" s="6" t="str">
        <x:v>BLK-0747</x:v>
      </x:c>
      <x:c r="B748" s="6" t="str">
        <x:v>Device Applicability</x:v>
      </x:c>
      <x:c r="C748" s="6" t="str">
        <x:v>DEVX-0104</x:v>
      </x:c>
      <x:c r="D748" s="6" t="str">
        <x:v>SVC000104</x:v>
      </x:c>
      <x:c r="E748" s="6" t="str"/>
      <x:c r="F748" s="6" t="str">
        <x:f>IFERROR(XLOOKUP(C748,'Review Sequence'!C2:C1586,'Review Sequence'!I2:I1586),"")</x:f>
        <x:v>Multiple dependencies - verify source queues</x:v>
      </x:c>
      <x:c r="G748" s="6" t="str">
        <x:f>IFERROR(XLOOKUP(C748,'Review Sequence'!C2:C1586,'Review Sequence'!J2:J1586),"")</x:f>
        <x:v>Not Started</x:v>
      </x:c>
      <x:c r="H748" s="7" t="str">
        <x:f>IFERROR(XLOOKUP(C748,'Review Sequence'!C2:C1586,'Review Sequence'!O2:O1586),"")</x:f>
      </x:c>
      <x:c r="I748" s="6" t="str">
        <x:f>IFERROR(XLOOKUP(C748,'Review Sequence'!C2:C1586,'Review Sequence'!P2:P1586),"")</x:f>
        <x:v>Yes</x:v>
      </x:c>
    </x:row>
    <x:row r="749">
      <x:c r="A749" s="6" t="str">
        <x:v>BLK-0748</x:v>
      </x:c>
      <x:c r="B749" s="6" t="str">
        <x:v>Device Applicability</x:v>
      </x:c>
      <x:c r="C749" s="6" t="str">
        <x:v>DEVX-0105</x:v>
      </x:c>
      <x:c r="D749" s="6" t="str">
        <x:v>SVC000105</x:v>
      </x:c>
      <x:c r="E749" s="6" t="str"/>
      <x:c r="F749" s="6" t="str">
        <x:f>IFERROR(XLOOKUP(C749,'Review Sequence'!C2:C1586,'Review Sequence'!I2:I1586),"")</x:f>
        <x:v>Multiple dependencies - verify source queues</x:v>
      </x:c>
      <x:c r="G749" s="6" t="str">
        <x:f>IFERROR(XLOOKUP(C749,'Review Sequence'!C2:C1586,'Review Sequence'!J2:J1586),"")</x:f>
        <x:v>Not Started</x:v>
      </x:c>
      <x:c r="H749" s="7" t="str">
        <x:f>IFERROR(XLOOKUP(C749,'Review Sequence'!C2:C1586,'Review Sequence'!O2:O1586),"")</x:f>
      </x:c>
      <x:c r="I749" s="6" t="str">
        <x:f>IFERROR(XLOOKUP(C749,'Review Sequence'!C2:C1586,'Review Sequence'!P2:P1586),"")</x:f>
        <x:v>Yes</x:v>
      </x:c>
    </x:row>
    <x:row r="750">
      <x:c r="A750" s="6" t="str">
        <x:v>BLK-0749</x:v>
      </x:c>
      <x:c r="B750" s="6" t="str">
        <x:v>Device Applicability</x:v>
      </x:c>
      <x:c r="C750" s="6" t="str">
        <x:v>DEVX-0106</x:v>
      </x:c>
      <x:c r="D750" s="6" t="str">
        <x:v>SVC000106</x:v>
      </x:c>
      <x:c r="E750" s="6" t="str"/>
      <x:c r="F750" s="6" t="str">
        <x:f>IFERROR(XLOOKUP(C750,'Review Sequence'!C2:C1586,'Review Sequence'!I2:I1586),"")</x:f>
        <x:v>Multiple dependencies - verify source queues</x:v>
      </x:c>
      <x:c r="G750" s="6" t="str">
        <x:f>IFERROR(XLOOKUP(C750,'Review Sequence'!C2:C1586,'Review Sequence'!J2:J1586),"")</x:f>
        <x:v>Not Started</x:v>
      </x:c>
      <x:c r="H750" s="7" t="str">
        <x:f>IFERROR(XLOOKUP(C750,'Review Sequence'!C2:C1586,'Review Sequence'!O2:O1586),"")</x:f>
      </x:c>
      <x:c r="I750" s="6" t="str">
        <x:f>IFERROR(XLOOKUP(C750,'Review Sequence'!C2:C1586,'Review Sequence'!P2:P1586),"")</x:f>
        <x:v>Yes</x:v>
      </x:c>
    </x:row>
    <x:row r="751">
      <x:c r="A751" s="6" t="str">
        <x:v>BLK-0750</x:v>
      </x:c>
      <x:c r="B751" s="6" t="str">
        <x:v>Device Applicability</x:v>
      </x:c>
      <x:c r="C751" s="6" t="str">
        <x:v>DEVX-0107</x:v>
      </x:c>
      <x:c r="D751" s="6" t="str">
        <x:v>SVC000107</x:v>
      </x:c>
      <x:c r="E751" s="6" t="str"/>
      <x:c r="F751" s="6" t="str">
        <x:f>IFERROR(XLOOKUP(C751,'Review Sequence'!C2:C1586,'Review Sequence'!I2:I1586),"")</x:f>
        <x:v>Multiple dependencies - verify source queues</x:v>
      </x:c>
      <x:c r="G751" s="6" t="str">
        <x:f>IFERROR(XLOOKUP(C751,'Review Sequence'!C2:C1586,'Review Sequence'!J2:J1586),"")</x:f>
        <x:v>Not Started</x:v>
      </x:c>
      <x:c r="H751" s="7" t="str">
        <x:f>IFERROR(XLOOKUP(C751,'Review Sequence'!C2:C1586,'Review Sequence'!O2:O1586),"")</x:f>
      </x:c>
      <x:c r="I751" s="6" t="str">
        <x:f>IFERROR(XLOOKUP(C751,'Review Sequence'!C2:C1586,'Review Sequence'!P2:P1586),"")</x:f>
        <x:v>Yes</x:v>
      </x:c>
    </x:row>
    <x:row r="752">
      <x:c r="A752" s="6" t="str">
        <x:v>BLK-0751</x:v>
      </x:c>
      <x:c r="B752" s="6" t="str">
        <x:v>Device Applicability</x:v>
      </x:c>
      <x:c r="C752" s="6" t="str">
        <x:v>DEVX-0108</x:v>
      </x:c>
      <x:c r="D752" s="6" t="str">
        <x:v>SVC000108</x:v>
      </x:c>
      <x:c r="E752" s="6" t="str"/>
      <x:c r="F752" s="6" t="str">
        <x:f>IFERROR(XLOOKUP(C752,'Review Sequence'!C2:C1586,'Review Sequence'!I2:I1586),"")</x:f>
        <x:v>Multiple dependencies - verify source queues</x:v>
      </x:c>
      <x:c r="G752" s="6" t="str">
        <x:f>IFERROR(XLOOKUP(C752,'Review Sequence'!C2:C1586,'Review Sequence'!J2:J1586),"")</x:f>
        <x:v>Not Started</x:v>
      </x:c>
      <x:c r="H752" s="7" t="str">
        <x:f>IFERROR(XLOOKUP(C752,'Review Sequence'!C2:C1586,'Review Sequence'!O2:O1586),"")</x:f>
      </x:c>
      <x:c r="I752" s="6" t="str">
        <x:f>IFERROR(XLOOKUP(C752,'Review Sequence'!C2:C1586,'Review Sequence'!P2:P1586),"")</x:f>
        <x:v>Yes</x:v>
      </x:c>
    </x:row>
    <x:row r="753">
      <x:c r="A753" s="6" t="str">
        <x:v>BLK-0752</x:v>
      </x:c>
      <x:c r="B753" s="6" t="str">
        <x:v>Device Applicability</x:v>
      </x:c>
      <x:c r="C753" s="6" t="str">
        <x:v>DEVX-0109</x:v>
      </x:c>
      <x:c r="D753" s="6" t="str">
        <x:v>SVC000109</x:v>
      </x:c>
      <x:c r="E753" s="6" t="str"/>
      <x:c r="F753" s="6" t="str">
        <x:f>IFERROR(XLOOKUP(C753,'Review Sequence'!C2:C1586,'Review Sequence'!I2:I1586),"")</x:f>
        <x:v>Multiple dependencies - verify source queues</x:v>
      </x:c>
      <x:c r="G753" s="6" t="str">
        <x:f>IFERROR(XLOOKUP(C753,'Review Sequence'!C2:C1586,'Review Sequence'!J2:J1586),"")</x:f>
        <x:v>Not Started</x:v>
      </x:c>
      <x:c r="H753" s="7" t="str">
        <x:f>IFERROR(XLOOKUP(C753,'Review Sequence'!C2:C1586,'Review Sequence'!O2:O1586),"")</x:f>
      </x:c>
      <x:c r="I753" s="6" t="str">
        <x:f>IFERROR(XLOOKUP(C753,'Review Sequence'!C2:C1586,'Review Sequence'!P2:P1586),"")</x:f>
        <x:v>Yes</x:v>
      </x:c>
    </x:row>
    <x:row r="754">
      <x:c r="A754" s="6" t="str">
        <x:v>BLK-0753</x:v>
      </x:c>
      <x:c r="B754" s="6" t="str">
        <x:v>Device Applicability</x:v>
      </x:c>
      <x:c r="C754" s="6" t="str">
        <x:v>DEVX-0110</x:v>
      </x:c>
      <x:c r="D754" s="6" t="str">
        <x:v>SVC000110</x:v>
      </x:c>
      <x:c r="E754" s="6" t="str"/>
      <x:c r="F754" s="6" t="str">
        <x:f>IFERROR(XLOOKUP(C754,'Review Sequence'!C2:C1586,'Review Sequence'!I2:I1586),"")</x:f>
        <x:v>Multiple dependencies - verify source queues</x:v>
      </x:c>
      <x:c r="G754" s="6" t="str">
        <x:f>IFERROR(XLOOKUP(C754,'Review Sequence'!C2:C1586,'Review Sequence'!J2:J1586),"")</x:f>
        <x:v>Not Started</x:v>
      </x:c>
      <x:c r="H754" s="7" t="str">
        <x:f>IFERROR(XLOOKUP(C754,'Review Sequence'!C2:C1586,'Review Sequence'!O2:O1586),"")</x:f>
      </x:c>
      <x:c r="I754" s="6" t="str">
        <x:f>IFERROR(XLOOKUP(C754,'Review Sequence'!C2:C1586,'Review Sequence'!P2:P1586),"")</x:f>
        <x:v>Yes</x:v>
      </x:c>
    </x:row>
    <x:row r="755">
      <x:c r="A755" s="6" t="str">
        <x:v>BLK-0754</x:v>
      </x:c>
      <x:c r="B755" s="6" t="str">
        <x:v>Device Applicability</x:v>
      </x:c>
      <x:c r="C755" s="6" t="str">
        <x:v>DEVX-0111</x:v>
      </x:c>
      <x:c r="D755" s="6" t="str">
        <x:v>SVC000111</x:v>
      </x:c>
      <x:c r="E755" s="6" t="str"/>
      <x:c r="F755" s="6" t="str">
        <x:f>IFERROR(XLOOKUP(C755,'Review Sequence'!C2:C1586,'Review Sequence'!I2:I1586),"")</x:f>
        <x:v>Multiple dependencies - verify source queues</x:v>
      </x:c>
      <x:c r="G755" s="6" t="str">
        <x:f>IFERROR(XLOOKUP(C755,'Review Sequence'!C2:C1586,'Review Sequence'!J2:J1586),"")</x:f>
        <x:v>Not Started</x:v>
      </x:c>
      <x:c r="H755" s="7" t="str">
        <x:f>IFERROR(XLOOKUP(C755,'Review Sequence'!C2:C1586,'Review Sequence'!O2:O1586),"")</x:f>
      </x:c>
      <x:c r="I755" s="6" t="str">
        <x:f>IFERROR(XLOOKUP(C755,'Review Sequence'!C2:C1586,'Review Sequence'!P2:P1586),"")</x:f>
        <x:v>Yes</x:v>
      </x:c>
    </x:row>
    <x:row r="756">
      <x:c r="A756" s="6" t="str">
        <x:v>BLK-0755</x:v>
      </x:c>
      <x:c r="B756" s="6" t="str">
        <x:v>Device Applicability</x:v>
      </x:c>
      <x:c r="C756" s="6" t="str">
        <x:v>DEVX-0112</x:v>
      </x:c>
      <x:c r="D756" s="6" t="str">
        <x:v>SVC000112</x:v>
      </x:c>
      <x:c r="E756" s="6" t="str"/>
      <x:c r="F756" s="6" t="str">
        <x:f>IFERROR(XLOOKUP(C756,'Review Sequence'!C2:C1586,'Review Sequence'!I2:I1586),"")</x:f>
        <x:v>Multiple dependencies - verify source queues</x:v>
      </x:c>
      <x:c r="G756" s="6" t="str">
        <x:f>IFERROR(XLOOKUP(C756,'Review Sequence'!C2:C1586,'Review Sequence'!J2:J1586),"")</x:f>
        <x:v>Not Started</x:v>
      </x:c>
      <x:c r="H756" s="7" t="str">
        <x:f>IFERROR(XLOOKUP(C756,'Review Sequence'!C2:C1586,'Review Sequence'!O2:O1586),"")</x:f>
      </x:c>
      <x:c r="I756" s="6" t="str">
        <x:f>IFERROR(XLOOKUP(C756,'Review Sequence'!C2:C1586,'Review Sequence'!P2:P1586),"")</x:f>
        <x:v>Yes</x:v>
      </x:c>
    </x:row>
    <x:row r="757">
      <x:c r="A757" s="6" t="str">
        <x:v>BLK-0756</x:v>
      </x:c>
      <x:c r="B757" s="6" t="str">
        <x:v>Device Applicability</x:v>
      </x:c>
      <x:c r="C757" s="6" t="str">
        <x:v>DEVX-0113</x:v>
      </x:c>
      <x:c r="D757" s="6" t="str">
        <x:v>SVC000113</x:v>
      </x:c>
      <x:c r="E757" s="6" t="str"/>
      <x:c r="F757" s="6" t="str">
        <x:f>IFERROR(XLOOKUP(C757,'Review Sequence'!C2:C1586,'Review Sequence'!I2:I1586),"")</x:f>
        <x:v>Multiple dependencies - verify source queues</x:v>
      </x:c>
      <x:c r="G757" s="6" t="str">
        <x:f>IFERROR(XLOOKUP(C757,'Review Sequence'!C2:C1586,'Review Sequence'!J2:J1586),"")</x:f>
        <x:v>Not Started</x:v>
      </x:c>
      <x:c r="H757" s="7" t="str">
        <x:f>IFERROR(XLOOKUP(C757,'Review Sequence'!C2:C1586,'Review Sequence'!O2:O1586),"")</x:f>
      </x:c>
      <x:c r="I757" s="6" t="str">
        <x:f>IFERROR(XLOOKUP(C757,'Review Sequence'!C2:C1586,'Review Sequence'!P2:P1586),"")</x:f>
        <x:v>Yes</x:v>
      </x:c>
    </x:row>
    <x:row r="758">
      <x:c r="A758" s="6" t="str">
        <x:v>BLK-0757</x:v>
      </x:c>
      <x:c r="B758" s="6" t="str">
        <x:v>Device Applicability</x:v>
      </x:c>
      <x:c r="C758" s="6" t="str">
        <x:v>DEVX-0114</x:v>
      </x:c>
      <x:c r="D758" s="6" t="str">
        <x:v>SVC000114</x:v>
      </x:c>
      <x:c r="E758" s="6" t="str"/>
      <x:c r="F758" s="6" t="str">
        <x:f>IFERROR(XLOOKUP(C758,'Review Sequence'!C2:C1586,'Review Sequence'!I2:I1586),"")</x:f>
        <x:v>Multiple dependencies - verify source queues</x:v>
      </x:c>
      <x:c r="G758" s="6" t="str">
        <x:f>IFERROR(XLOOKUP(C758,'Review Sequence'!C2:C1586,'Review Sequence'!J2:J1586),"")</x:f>
        <x:v>Not Started</x:v>
      </x:c>
      <x:c r="H758" s="7" t="str">
        <x:f>IFERROR(XLOOKUP(C758,'Review Sequence'!C2:C1586,'Review Sequence'!O2:O1586),"")</x:f>
      </x:c>
      <x:c r="I758" s="6" t="str">
        <x:f>IFERROR(XLOOKUP(C758,'Review Sequence'!C2:C1586,'Review Sequence'!P2:P1586),"")</x:f>
        <x:v>Yes</x:v>
      </x:c>
    </x:row>
    <x:row r="759">
      <x:c r="A759" s="6" t="str">
        <x:v>BLK-0758</x:v>
      </x:c>
      <x:c r="B759" s="6" t="str">
        <x:v>Device Applicability</x:v>
      </x:c>
      <x:c r="C759" s="6" t="str">
        <x:v>DEVX-0115</x:v>
      </x:c>
      <x:c r="D759" s="6" t="str">
        <x:v>SVC000115</x:v>
      </x:c>
      <x:c r="E759" s="6" t="str"/>
      <x:c r="F759" s="6" t="str">
        <x:f>IFERROR(XLOOKUP(C759,'Review Sequence'!C2:C1586,'Review Sequence'!I2:I1586),"")</x:f>
        <x:v>Multiple dependencies - verify source queues</x:v>
      </x:c>
      <x:c r="G759" s="6" t="str">
        <x:f>IFERROR(XLOOKUP(C759,'Review Sequence'!C2:C1586,'Review Sequence'!J2:J1586),"")</x:f>
        <x:v>Not Started</x:v>
      </x:c>
      <x:c r="H759" s="7" t="str">
        <x:f>IFERROR(XLOOKUP(C759,'Review Sequence'!C2:C1586,'Review Sequence'!O2:O1586),"")</x:f>
      </x:c>
      <x:c r="I759" s="6" t="str">
        <x:f>IFERROR(XLOOKUP(C759,'Review Sequence'!C2:C1586,'Review Sequence'!P2:P1586),"")</x:f>
        <x:v>Yes</x:v>
      </x:c>
    </x:row>
    <x:row r="760">
      <x:c r="A760" s="6" t="str">
        <x:v>BLK-0759</x:v>
      </x:c>
      <x:c r="B760" s="6" t="str">
        <x:v>Device Applicability</x:v>
      </x:c>
      <x:c r="C760" s="6" t="str">
        <x:v>DEVX-0116</x:v>
      </x:c>
      <x:c r="D760" s="6" t="str">
        <x:v>SVC000116</x:v>
      </x:c>
      <x:c r="E760" s="6" t="str"/>
      <x:c r="F760" s="6" t="str">
        <x:f>IFERROR(XLOOKUP(C760,'Review Sequence'!C2:C1586,'Review Sequence'!I2:I1586),"")</x:f>
        <x:v>Multiple dependencies - verify source queues</x:v>
      </x:c>
      <x:c r="G760" s="6" t="str">
        <x:f>IFERROR(XLOOKUP(C760,'Review Sequence'!C2:C1586,'Review Sequence'!J2:J1586),"")</x:f>
        <x:v>Not Started</x:v>
      </x:c>
      <x:c r="H760" s="7" t="str">
        <x:f>IFERROR(XLOOKUP(C760,'Review Sequence'!C2:C1586,'Review Sequence'!O2:O1586),"")</x:f>
      </x:c>
      <x:c r="I760" s="6" t="str">
        <x:f>IFERROR(XLOOKUP(C760,'Review Sequence'!C2:C1586,'Review Sequence'!P2:P1586),"")</x:f>
        <x:v>Yes</x:v>
      </x:c>
    </x:row>
    <x:row r="761">
      <x:c r="A761" s="6" t="str">
        <x:v>BLK-0760</x:v>
      </x:c>
      <x:c r="B761" s="6" t="str">
        <x:v>Device Applicability</x:v>
      </x:c>
      <x:c r="C761" s="6" t="str">
        <x:v>DEVX-0117</x:v>
      </x:c>
      <x:c r="D761" s="6" t="str">
        <x:v>SVC000117</x:v>
      </x:c>
      <x:c r="E761" s="6" t="str"/>
      <x:c r="F761" s="6" t="str">
        <x:f>IFERROR(XLOOKUP(C761,'Review Sequence'!C2:C1586,'Review Sequence'!I2:I1586),"")</x:f>
        <x:v>Multiple dependencies - verify source queues</x:v>
      </x:c>
      <x:c r="G761" s="6" t="str">
        <x:f>IFERROR(XLOOKUP(C761,'Review Sequence'!C2:C1586,'Review Sequence'!J2:J1586),"")</x:f>
        <x:v>Not Started</x:v>
      </x:c>
      <x:c r="H761" s="7" t="str">
        <x:f>IFERROR(XLOOKUP(C761,'Review Sequence'!C2:C1586,'Review Sequence'!O2:O1586),"")</x:f>
      </x:c>
      <x:c r="I761" s="6" t="str">
        <x:f>IFERROR(XLOOKUP(C761,'Review Sequence'!C2:C1586,'Review Sequence'!P2:P1586),"")</x:f>
        <x:v>Yes</x:v>
      </x:c>
    </x:row>
    <x:row r="762">
      <x:c r="A762" s="6" t="str">
        <x:v>BLK-0761</x:v>
      </x:c>
      <x:c r="B762" s="6" t="str">
        <x:v>Device Applicability</x:v>
      </x:c>
      <x:c r="C762" s="6" t="str">
        <x:v>DEVX-0118</x:v>
      </x:c>
      <x:c r="D762" s="6" t="str">
        <x:v>SVC000118</x:v>
      </x:c>
      <x:c r="E762" s="6" t="str"/>
      <x:c r="F762" s="6" t="str">
        <x:f>IFERROR(XLOOKUP(C762,'Review Sequence'!C2:C1586,'Review Sequence'!I2:I1586),"")</x:f>
        <x:v>Multiple dependencies - verify source queues</x:v>
      </x:c>
      <x:c r="G762" s="6" t="str">
        <x:f>IFERROR(XLOOKUP(C762,'Review Sequence'!C2:C1586,'Review Sequence'!J2:J1586),"")</x:f>
        <x:v>Not Started</x:v>
      </x:c>
      <x:c r="H762" s="7" t="str">
        <x:f>IFERROR(XLOOKUP(C762,'Review Sequence'!C2:C1586,'Review Sequence'!O2:O1586),"")</x:f>
      </x:c>
      <x:c r="I762" s="6" t="str">
        <x:f>IFERROR(XLOOKUP(C762,'Review Sequence'!C2:C1586,'Review Sequence'!P2:P1586),"")</x:f>
        <x:v>Yes</x:v>
      </x:c>
    </x:row>
    <x:row r="763">
      <x:c r="A763" s="6" t="str">
        <x:v>BLK-0762</x:v>
      </x:c>
      <x:c r="B763" s="6" t="str">
        <x:v>Device Applicability</x:v>
      </x:c>
      <x:c r="C763" s="6" t="str">
        <x:v>DEVX-0119</x:v>
      </x:c>
      <x:c r="D763" s="6" t="str">
        <x:v>SVC000119</x:v>
      </x:c>
      <x:c r="E763" s="6" t="str"/>
      <x:c r="F763" s="6" t="str">
        <x:f>IFERROR(XLOOKUP(C763,'Review Sequence'!C2:C1586,'Review Sequence'!I2:I1586),"")</x:f>
        <x:v>Multiple dependencies - verify source queues</x:v>
      </x:c>
      <x:c r="G763" s="6" t="str">
        <x:f>IFERROR(XLOOKUP(C763,'Review Sequence'!C2:C1586,'Review Sequence'!J2:J1586),"")</x:f>
        <x:v>Not Started</x:v>
      </x:c>
      <x:c r="H763" s="7" t="str">
        <x:f>IFERROR(XLOOKUP(C763,'Review Sequence'!C2:C1586,'Review Sequence'!O2:O1586),"")</x:f>
      </x:c>
      <x:c r="I763" s="6" t="str">
        <x:f>IFERROR(XLOOKUP(C763,'Review Sequence'!C2:C1586,'Review Sequence'!P2:P1586),"")</x:f>
        <x:v>Yes</x:v>
      </x:c>
    </x:row>
    <x:row r="764">
      <x:c r="A764" s="6" t="str">
        <x:v>BLK-0763</x:v>
      </x:c>
      <x:c r="B764" s="6" t="str">
        <x:v>Device Applicability</x:v>
      </x:c>
      <x:c r="C764" s="6" t="str">
        <x:v>DEVX-0120</x:v>
      </x:c>
      <x:c r="D764" s="6" t="str">
        <x:v>SVC000120</x:v>
      </x:c>
      <x:c r="E764" s="6" t="str"/>
      <x:c r="F764" s="6" t="str">
        <x:f>IFERROR(XLOOKUP(C764,'Review Sequence'!C2:C1586,'Review Sequence'!I2:I1586),"")</x:f>
        <x:v>Multiple dependencies - verify source queues</x:v>
      </x:c>
      <x:c r="G764" s="6" t="str">
        <x:f>IFERROR(XLOOKUP(C764,'Review Sequence'!C2:C1586,'Review Sequence'!J2:J1586),"")</x:f>
        <x:v>Not Started</x:v>
      </x:c>
      <x:c r="H764" s="7" t="str">
        <x:f>IFERROR(XLOOKUP(C764,'Review Sequence'!C2:C1586,'Review Sequence'!O2:O1586),"")</x:f>
      </x:c>
      <x:c r="I764" s="6" t="str">
        <x:f>IFERROR(XLOOKUP(C764,'Review Sequence'!C2:C1586,'Review Sequence'!P2:P1586),"")</x:f>
        <x:v>Yes</x:v>
      </x:c>
    </x:row>
    <x:row r="765">
      <x:c r="A765" s="6" t="str">
        <x:v>BLK-0764</x:v>
      </x:c>
      <x:c r="B765" s="6" t="str">
        <x:v>Device Applicability</x:v>
      </x:c>
      <x:c r="C765" s="6" t="str">
        <x:v>DEVX-0121</x:v>
      </x:c>
      <x:c r="D765" s="6" t="str">
        <x:v>SVC000121</x:v>
      </x:c>
      <x:c r="E765" s="6" t="str"/>
      <x:c r="F765" s="6" t="str">
        <x:f>IFERROR(XLOOKUP(C765,'Review Sequence'!C2:C1586,'Review Sequence'!I2:I1586),"")</x:f>
        <x:v>Multiple dependencies - verify source queues</x:v>
      </x:c>
      <x:c r="G765" s="6" t="str">
        <x:f>IFERROR(XLOOKUP(C765,'Review Sequence'!C2:C1586,'Review Sequence'!J2:J1586),"")</x:f>
        <x:v>Not Started</x:v>
      </x:c>
      <x:c r="H765" s="7" t="str">
        <x:f>IFERROR(XLOOKUP(C765,'Review Sequence'!C2:C1586,'Review Sequence'!O2:O1586),"")</x:f>
      </x:c>
      <x:c r="I765" s="6" t="str">
        <x:f>IFERROR(XLOOKUP(C765,'Review Sequence'!C2:C1586,'Review Sequence'!P2:P1586),"")</x:f>
        <x:v>Yes</x:v>
      </x:c>
    </x:row>
    <x:row r="766">
      <x:c r="A766" s="6" t="str">
        <x:v>BLK-0765</x:v>
      </x:c>
      <x:c r="B766" s="6" t="str">
        <x:v>Device Applicability</x:v>
      </x:c>
      <x:c r="C766" s="6" t="str">
        <x:v>DEVX-0122</x:v>
      </x:c>
      <x:c r="D766" s="6" t="str">
        <x:v>SVC000122</x:v>
      </x:c>
      <x:c r="E766" s="6" t="str"/>
      <x:c r="F766" s="6" t="str">
        <x:f>IFERROR(XLOOKUP(C766,'Review Sequence'!C2:C1586,'Review Sequence'!I2:I1586),"")</x:f>
        <x:v>Multiple dependencies - verify source queues</x:v>
      </x:c>
      <x:c r="G766" s="6" t="str">
        <x:f>IFERROR(XLOOKUP(C766,'Review Sequence'!C2:C1586,'Review Sequence'!J2:J1586),"")</x:f>
        <x:v>Not Started</x:v>
      </x:c>
      <x:c r="H766" s="7" t="str">
        <x:f>IFERROR(XLOOKUP(C766,'Review Sequence'!C2:C1586,'Review Sequence'!O2:O1586),"")</x:f>
      </x:c>
      <x:c r="I766" s="6" t="str">
        <x:f>IFERROR(XLOOKUP(C766,'Review Sequence'!C2:C1586,'Review Sequence'!P2:P1586),"")</x:f>
        <x:v>Yes</x:v>
      </x:c>
    </x:row>
    <x:row r="767">
      <x:c r="A767" s="6" t="str">
        <x:v>BLK-0766</x:v>
      </x:c>
      <x:c r="B767" s="6" t="str">
        <x:v>Device Applicability</x:v>
      </x:c>
      <x:c r="C767" s="6" t="str">
        <x:v>DEVX-0123</x:v>
      </x:c>
      <x:c r="D767" s="6" t="str">
        <x:v>SVC000123</x:v>
      </x:c>
      <x:c r="E767" s="6" t="str"/>
      <x:c r="F767" s="6" t="str">
        <x:f>IFERROR(XLOOKUP(C767,'Review Sequence'!C2:C1586,'Review Sequence'!I2:I1586),"")</x:f>
        <x:v>Multiple dependencies - verify source queues</x:v>
      </x:c>
      <x:c r="G767" s="6" t="str">
        <x:f>IFERROR(XLOOKUP(C767,'Review Sequence'!C2:C1586,'Review Sequence'!J2:J1586),"")</x:f>
        <x:v>Not Started</x:v>
      </x:c>
      <x:c r="H767" s="7" t="str">
        <x:f>IFERROR(XLOOKUP(C767,'Review Sequence'!C2:C1586,'Review Sequence'!O2:O1586),"")</x:f>
      </x:c>
      <x:c r="I767" s="6" t="str">
        <x:f>IFERROR(XLOOKUP(C767,'Review Sequence'!C2:C1586,'Review Sequence'!P2:P1586),"")</x:f>
        <x:v>Yes</x:v>
      </x:c>
    </x:row>
    <x:row r="768">
      <x:c r="A768" s="6" t="str">
        <x:v>BLK-0767</x:v>
      </x:c>
      <x:c r="B768" s="6" t="str">
        <x:v>Device Applicability</x:v>
      </x:c>
      <x:c r="C768" s="6" t="str">
        <x:v>DEVX-0124</x:v>
      </x:c>
      <x:c r="D768" s="6" t="str">
        <x:v>SVC000124</x:v>
      </x:c>
      <x:c r="E768" s="6" t="str"/>
      <x:c r="F768" s="6" t="str">
        <x:f>IFERROR(XLOOKUP(C768,'Review Sequence'!C2:C1586,'Review Sequence'!I2:I1586),"")</x:f>
        <x:v>Multiple dependencies - verify source queues</x:v>
      </x:c>
      <x:c r="G768" s="6" t="str">
        <x:f>IFERROR(XLOOKUP(C768,'Review Sequence'!C2:C1586,'Review Sequence'!J2:J1586),"")</x:f>
        <x:v>Not Started</x:v>
      </x:c>
      <x:c r="H768" s="7" t="str">
        <x:f>IFERROR(XLOOKUP(C768,'Review Sequence'!C2:C1586,'Review Sequence'!O2:O1586),"")</x:f>
      </x:c>
      <x:c r="I768" s="6" t="str">
        <x:f>IFERROR(XLOOKUP(C768,'Review Sequence'!C2:C1586,'Review Sequence'!P2:P1586),"")</x:f>
        <x:v>Yes</x:v>
      </x:c>
    </x:row>
    <x:row r="769">
      <x:c r="A769" s="6" t="str">
        <x:v>BLK-0768</x:v>
      </x:c>
      <x:c r="B769" s="6" t="str">
        <x:v>Device Applicability</x:v>
      </x:c>
      <x:c r="C769" s="6" t="str">
        <x:v>DEVX-0125</x:v>
      </x:c>
      <x:c r="D769" s="6" t="str">
        <x:v>SVC000125</x:v>
      </x:c>
      <x:c r="E769" s="6" t="str"/>
      <x:c r="F769" s="6" t="str">
        <x:f>IFERROR(XLOOKUP(C769,'Review Sequence'!C2:C1586,'Review Sequence'!I2:I1586),"")</x:f>
        <x:v>Multiple dependencies - verify source queues</x:v>
      </x:c>
      <x:c r="G769" s="6" t="str">
        <x:f>IFERROR(XLOOKUP(C769,'Review Sequence'!C2:C1586,'Review Sequence'!J2:J1586),"")</x:f>
        <x:v>Not Started</x:v>
      </x:c>
      <x:c r="H769" s="7" t="str">
        <x:f>IFERROR(XLOOKUP(C769,'Review Sequence'!C2:C1586,'Review Sequence'!O2:O1586),"")</x:f>
      </x:c>
      <x:c r="I769" s="6" t="str">
        <x:f>IFERROR(XLOOKUP(C769,'Review Sequence'!C2:C1586,'Review Sequence'!P2:P1586),"")</x:f>
        <x:v>Yes</x:v>
      </x:c>
    </x:row>
    <x:row r="770">
      <x:c r="A770" s="6" t="str">
        <x:v>BLK-0769</x:v>
      </x:c>
      <x:c r="B770" s="6" t="str">
        <x:v>Device Applicability</x:v>
      </x:c>
      <x:c r="C770" s="6" t="str">
        <x:v>DEVX-0126</x:v>
      </x:c>
      <x:c r="D770" s="6" t="str">
        <x:v>SVC000126</x:v>
      </x:c>
      <x:c r="E770" s="6" t="str"/>
      <x:c r="F770" s="6" t="str">
        <x:f>IFERROR(XLOOKUP(C770,'Review Sequence'!C2:C1586,'Review Sequence'!I2:I1586),"")</x:f>
        <x:v>Multiple dependencies - verify source queues</x:v>
      </x:c>
      <x:c r="G770" s="6" t="str">
        <x:f>IFERROR(XLOOKUP(C770,'Review Sequence'!C2:C1586,'Review Sequence'!J2:J1586),"")</x:f>
        <x:v>Not Started</x:v>
      </x:c>
      <x:c r="H770" s="7" t="str">
        <x:f>IFERROR(XLOOKUP(C770,'Review Sequence'!C2:C1586,'Review Sequence'!O2:O1586),"")</x:f>
      </x:c>
      <x:c r="I770" s="6" t="str">
        <x:f>IFERROR(XLOOKUP(C770,'Review Sequence'!C2:C1586,'Review Sequence'!P2:P1586),"")</x:f>
        <x:v>Yes</x:v>
      </x:c>
    </x:row>
    <x:row r="771">
      <x:c r="A771" s="6" t="str">
        <x:v>BLK-0770</x:v>
      </x:c>
      <x:c r="B771" s="6" t="str">
        <x:v>Device Applicability</x:v>
      </x:c>
      <x:c r="C771" s="6" t="str">
        <x:v>DEVX-0127</x:v>
      </x:c>
      <x:c r="D771" s="6" t="str">
        <x:v>SVC000127</x:v>
      </x:c>
      <x:c r="E771" s="6" t="str"/>
      <x:c r="F771" s="6" t="str">
        <x:f>IFERROR(XLOOKUP(C771,'Review Sequence'!C2:C1586,'Review Sequence'!I2:I1586),"")</x:f>
        <x:v>Multiple dependencies - verify source queues</x:v>
      </x:c>
      <x:c r="G771" s="6" t="str">
        <x:f>IFERROR(XLOOKUP(C771,'Review Sequence'!C2:C1586,'Review Sequence'!J2:J1586),"")</x:f>
        <x:v>Not Started</x:v>
      </x:c>
      <x:c r="H771" s="7" t="str">
        <x:f>IFERROR(XLOOKUP(C771,'Review Sequence'!C2:C1586,'Review Sequence'!O2:O1586),"")</x:f>
      </x:c>
      <x:c r="I771" s="6" t="str">
        <x:f>IFERROR(XLOOKUP(C771,'Review Sequence'!C2:C1586,'Review Sequence'!P2:P1586),"")</x:f>
        <x:v>Yes</x:v>
      </x:c>
    </x:row>
    <x:row r="772">
      <x:c r="A772" s="6" t="str">
        <x:v>BLK-0771</x:v>
      </x:c>
      <x:c r="B772" s="6" t="str">
        <x:v>Device Applicability</x:v>
      </x:c>
      <x:c r="C772" s="6" t="str">
        <x:v>DEVX-0128</x:v>
      </x:c>
      <x:c r="D772" s="6" t="str">
        <x:v>SVC000128</x:v>
      </x:c>
      <x:c r="E772" s="6" t="str"/>
      <x:c r="F772" s="6" t="str">
        <x:f>IFERROR(XLOOKUP(C772,'Review Sequence'!C2:C1586,'Review Sequence'!I2:I1586),"")</x:f>
        <x:v>Multiple dependencies - verify source queues</x:v>
      </x:c>
      <x:c r="G772" s="6" t="str">
        <x:f>IFERROR(XLOOKUP(C772,'Review Sequence'!C2:C1586,'Review Sequence'!J2:J1586),"")</x:f>
        <x:v>Not Started</x:v>
      </x:c>
      <x:c r="H772" s="7" t="str">
        <x:f>IFERROR(XLOOKUP(C772,'Review Sequence'!C2:C1586,'Review Sequence'!O2:O1586),"")</x:f>
      </x:c>
      <x:c r="I772" s="6" t="str">
        <x:f>IFERROR(XLOOKUP(C772,'Review Sequence'!C2:C1586,'Review Sequence'!P2:P1586),"")</x:f>
        <x:v>Yes</x:v>
      </x:c>
    </x:row>
    <x:row r="773">
      <x:c r="A773" s="6" t="str">
        <x:v>BLK-0772</x:v>
      </x:c>
      <x:c r="B773" s="6" t="str">
        <x:v>Device Applicability</x:v>
      </x:c>
      <x:c r="C773" s="6" t="str">
        <x:v>DEVX-0129</x:v>
      </x:c>
      <x:c r="D773" s="6" t="str">
        <x:v>SVC000129</x:v>
      </x:c>
      <x:c r="E773" s="6" t="str"/>
      <x:c r="F773" s="6" t="str">
        <x:f>IFERROR(XLOOKUP(C773,'Review Sequence'!C2:C1586,'Review Sequence'!I2:I1586),"")</x:f>
        <x:v>Multiple dependencies - verify source queues</x:v>
      </x:c>
      <x:c r="G773" s="6" t="str">
        <x:f>IFERROR(XLOOKUP(C773,'Review Sequence'!C2:C1586,'Review Sequence'!J2:J1586),"")</x:f>
        <x:v>Not Started</x:v>
      </x:c>
      <x:c r="H773" s="7" t="str">
        <x:f>IFERROR(XLOOKUP(C773,'Review Sequence'!C2:C1586,'Review Sequence'!O2:O1586),"")</x:f>
      </x:c>
      <x:c r="I773" s="6" t="str">
        <x:f>IFERROR(XLOOKUP(C773,'Review Sequence'!C2:C1586,'Review Sequence'!P2:P1586),"")</x:f>
        <x:v>Yes</x:v>
      </x:c>
    </x:row>
    <x:row r="774">
      <x:c r="A774" s="6" t="str">
        <x:v>BLK-0773</x:v>
      </x:c>
      <x:c r="B774" s="6" t="str">
        <x:v>Device Applicability</x:v>
      </x:c>
      <x:c r="C774" s="6" t="str">
        <x:v>DEVX-0130</x:v>
      </x:c>
      <x:c r="D774" s="6" t="str">
        <x:v>SVC000130</x:v>
      </x:c>
      <x:c r="E774" s="6" t="str"/>
      <x:c r="F774" s="6" t="str">
        <x:f>IFERROR(XLOOKUP(C774,'Review Sequence'!C2:C1586,'Review Sequence'!I2:I1586),"")</x:f>
        <x:v>Multiple dependencies - verify source queues</x:v>
      </x:c>
      <x:c r="G774" s="6" t="str">
        <x:f>IFERROR(XLOOKUP(C774,'Review Sequence'!C2:C1586,'Review Sequence'!J2:J1586),"")</x:f>
        <x:v>Not Started</x:v>
      </x:c>
      <x:c r="H774" s="7" t="str">
        <x:f>IFERROR(XLOOKUP(C774,'Review Sequence'!C2:C1586,'Review Sequence'!O2:O1586),"")</x:f>
      </x:c>
      <x:c r="I774" s="6" t="str">
        <x:f>IFERROR(XLOOKUP(C774,'Review Sequence'!C2:C1586,'Review Sequence'!P2:P1586),"")</x:f>
        <x:v>Yes</x:v>
      </x:c>
    </x:row>
    <x:row r="775">
      <x:c r="A775" s="6" t="str">
        <x:v>BLK-0774</x:v>
      </x:c>
      <x:c r="B775" s="6" t="str">
        <x:v>Device Applicability</x:v>
      </x:c>
      <x:c r="C775" s="6" t="str">
        <x:v>DEVX-0131</x:v>
      </x:c>
      <x:c r="D775" s="6" t="str">
        <x:v>SVC000131</x:v>
      </x:c>
      <x:c r="E775" s="6" t="str"/>
      <x:c r="F775" s="6" t="str">
        <x:f>IFERROR(XLOOKUP(C775,'Review Sequence'!C2:C1586,'Review Sequence'!I2:I1586),"")</x:f>
        <x:v>Multiple dependencies - verify source queues</x:v>
      </x:c>
      <x:c r="G775" s="6" t="str">
        <x:f>IFERROR(XLOOKUP(C775,'Review Sequence'!C2:C1586,'Review Sequence'!J2:J1586),"")</x:f>
        <x:v>Not Started</x:v>
      </x:c>
      <x:c r="H775" s="7" t="str">
        <x:f>IFERROR(XLOOKUP(C775,'Review Sequence'!C2:C1586,'Review Sequence'!O2:O1586),"")</x:f>
      </x:c>
      <x:c r="I775" s="6" t="str">
        <x:f>IFERROR(XLOOKUP(C775,'Review Sequence'!C2:C1586,'Review Sequence'!P2:P1586),"")</x:f>
        <x:v>Yes</x:v>
      </x:c>
    </x:row>
    <x:row r="776">
      <x:c r="A776" s="6" t="str">
        <x:v>BLK-0775</x:v>
      </x:c>
      <x:c r="B776" s="6" t="str">
        <x:v>Device Applicability</x:v>
      </x:c>
      <x:c r="C776" s="6" t="str">
        <x:v>DEVX-0132</x:v>
      </x:c>
      <x:c r="D776" s="6" t="str">
        <x:v>SVC000132</x:v>
      </x:c>
      <x:c r="E776" s="6" t="str"/>
      <x:c r="F776" s="6" t="str">
        <x:f>IFERROR(XLOOKUP(C776,'Review Sequence'!C2:C1586,'Review Sequence'!I2:I1586),"")</x:f>
        <x:v>Multiple dependencies - verify source queues</x:v>
      </x:c>
      <x:c r="G776" s="6" t="str">
        <x:f>IFERROR(XLOOKUP(C776,'Review Sequence'!C2:C1586,'Review Sequence'!J2:J1586),"")</x:f>
        <x:v>Not Started</x:v>
      </x:c>
      <x:c r="H776" s="7" t="str">
        <x:f>IFERROR(XLOOKUP(C776,'Review Sequence'!C2:C1586,'Review Sequence'!O2:O1586),"")</x:f>
      </x:c>
      <x:c r="I776" s="6" t="str">
        <x:f>IFERROR(XLOOKUP(C776,'Review Sequence'!C2:C1586,'Review Sequence'!P2:P1586),"")</x:f>
        <x:v>Yes</x:v>
      </x:c>
    </x:row>
    <x:row r="777">
      <x:c r="A777" s="6" t="str">
        <x:v>BLK-0776</x:v>
      </x:c>
      <x:c r="B777" s="6" t="str">
        <x:v>Device Applicability</x:v>
      </x:c>
      <x:c r="C777" s="6" t="str">
        <x:v>DEVX-0133</x:v>
      </x:c>
      <x:c r="D777" s="6" t="str">
        <x:v>SVC000133</x:v>
      </x:c>
      <x:c r="E777" s="6" t="str"/>
      <x:c r="F777" s="6" t="str">
        <x:f>IFERROR(XLOOKUP(C777,'Review Sequence'!C2:C1586,'Review Sequence'!I2:I1586),"")</x:f>
        <x:v>Multiple dependencies - verify source queues</x:v>
      </x:c>
      <x:c r="G777" s="6" t="str">
        <x:f>IFERROR(XLOOKUP(C777,'Review Sequence'!C2:C1586,'Review Sequence'!J2:J1586),"")</x:f>
        <x:v>Not Started</x:v>
      </x:c>
      <x:c r="H777" s="7" t="str">
        <x:f>IFERROR(XLOOKUP(C777,'Review Sequence'!C2:C1586,'Review Sequence'!O2:O1586),"")</x:f>
      </x:c>
      <x:c r="I777" s="6" t="str">
        <x:f>IFERROR(XLOOKUP(C777,'Review Sequence'!C2:C1586,'Review Sequence'!P2:P1586),"")</x:f>
        <x:v>Yes</x:v>
      </x:c>
    </x:row>
    <x:row r="778">
      <x:c r="A778" s="6" t="str">
        <x:v>BLK-0777</x:v>
      </x:c>
      <x:c r="B778" s="6" t="str">
        <x:v>Device Applicability</x:v>
      </x:c>
      <x:c r="C778" s="6" t="str">
        <x:v>DEVX-0134</x:v>
      </x:c>
      <x:c r="D778" s="6" t="str">
        <x:v>SVC000134</x:v>
      </x:c>
      <x:c r="E778" s="6" t="str"/>
      <x:c r="F778" s="6" t="str">
        <x:f>IFERROR(XLOOKUP(C778,'Review Sequence'!C2:C1586,'Review Sequence'!I2:I1586),"")</x:f>
        <x:v>Multiple dependencies - verify source queues</x:v>
      </x:c>
      <x:c r="G778" s="6" t="str">
        <x:f>IFERROR(XLOOKUP(C778,'Review Sequence'!C2:C1586,'Review Sequence'!J2:J1586),"")</x:f>
        <x:v>Not Started</x:v>
      </x:c>
      <x:c r="H778" s="7" t="str">
        <x:f>IFERROR(XLOOKUP(C778,'Review Sequence'!C2:C1586,'Review Sequence'!O2:O1586),"")</x:f>
      </x:c>
      <x:c r="I778" s="6" t="str">
        <x:f>IFERROR(XLOOKUP(C778,'Review Sequence'!C2:C1586,'Review Sequence'!P2:P1586),"")</x:f>
        <x:v>Yes</x:v>
      </x:c>
    </x:row>
    <x:row r="779">
      <x:c r="A779" s="6" t="str">
        <x:v>BLK-0778</x:v>
      </x:c>
      <x:c r="B779" s="6" t="str">
        <x:v>Device Applicability</x:v>
      </x:c>
      <x:c r="C779" s="6" t="str">
        <x:v>DEVX-0135</x:v>
      </x:c>
      <x:c r="D779" s="6" t="str">
        <x:v>SVC000135</x:v>
      </x:c>
      <x:c r="E779" s="6" t="str"/>
      <x:c r="F779" s="6" t="str">
        <x:f>IFERROR(XLOOKUP(C779,'Review Sequence'!C2:C1586,'Review Sequence'!I2:I1586),"")</x:f>
        <x:v>Multiple dependencies - verify source queues</x:v>
      </x:c>
      <x:c r="G779" s="6" t="str">
        <x:f>IFERROR(XLOOKUP(C779,'Review Sequence'!C2:C1586,'Review Sequence'!J2:J1586),"")</x:f>
        <x:v>Not Started</x:v>
      </x:c>
      <x:c r="H779" s="7" t="str">
        <x:f>IFERROR(XLOOKUP(C779,'Review Sequence'!C2:C1586,'Review Sequence'!O2:O1586),"")</x:f>
      </x:c>
      <x:c r="I779" s="6" t="str">
        <x:f>IFERROR(XLOOKUP(C779,'Review Sequence'!C2:C1586,'Review Sequence'!P2:P1586),"")</x:f>
        <x:v>Yes</x:v>
      </x:c>
    </x:row>
    <x:row r="780">
      <x:c r="A780" s="6" t="str">
        <x:v>BLK-0779</x:v>
      </x:c>
      <x:c r="B780" s="6" t="str">
        <x:v>Device Applicability</x:v>
      </x:c>
      <x:c r="C780" s="6" t="str">
        <x:v>DEVX-0136</x:v>
      </x:c>
      <x:c r="D780" s="6" t="str">
        <x:v>SVC000136</x:v>
      </x:c>
      <x:c r="E780" s="6" t="str"/>
      <x:c r="F780" s="6" t="str">
        <x:f>IFERROR(XLOOKUP(C780,'Review Sequence'!C2:C1586,'Review Sequence'!I2:I1586),"")</x:f>
        <x:v>Multiple dependencies - verify source queues</x:v>
      </x:c>
      <x:c r="G780" s="6" t="str">
        <x:f>IFERROR(XLOOKUP(C780,'Review Sequence'!C2:C1586,'Review Sequence'!J2:J1586),"")</x:f>
        <x:v>Not Started</x:v>
      </x:c>
      <x:c r="H780" s="7" t="str">
        <x:f>IFERROR(XLOOKUP(C780,'Review Sequence'!C2:C1586,'Review Sequence'!O2:O1586),"")</x:f>
      </x:c>
      <x:c r="I780" s="6" t="str">
        <x:f>IFERROR(XLOOKUP(C780,'Review Sequence'!C2:C1586,'Review Sequence'!P2:P1586),"")</x:f>
        <x:v>Yes</x:v>
      </x:c>
    </x:row>
    <x:row r="781">
      <x:c r="A781" s="6" t="str">
        <x:v>BLK-0780</x:v>
      </x:c>
      <x:c r="B781" s="6" t="str">
        <x:v>Device Applicability</x:v>
      </x:c>
      <x:c r="C781" s="6" t="str">
        <x:v>DEVX-0137</x:v>
      </x:c>
      <x:c r="D781" s="6" t="str">
        <x:v>SVC000137</x:v>
      </x:c>
      <x:c r="E781" s="6" t="str"/>
      <x:c r="F781" s="6" t="str">
        <x:f>IFERROR(XLOOKUP(C781,'Review Sequence'!C2:C1586,'Review Sequence'!I2:I1586),"")</x:f>
        <x:v>Multiple dependencies - verify source queues</x:v>
      </x:c>
      <x:c r="G781" s="6" t="str">
        <x:f>IFERROR(XLOOKUP(C781,'Review Sequence'!C2:C1586,'Review Sequence'!J2:J1586),"")</x:f>
        <x:v>Not Started</x:v>
      </x:c>
      <x:c r="H781" s="7" t="str">
        <x:f>IFERROR(XLOOKUP(C781,'Review Sequence'!C2:C1586,'Review Sequence'!O2:O1586),"")</x:f>
      </x:c>
      <x:c r="I781" s="6" t="str">
        <x:f>IFERROR(XLOOKUP(C781,'Review Sequence'!C2:C1586,'Review Sequence'!P2:P1586),"")</x:f>
        <x:v>Yes</x:v>
      </x:c>
    </x:row>
    <x:row r="782">
      <x:c r="A782" s="6" t="str">
        <x:v>BLK-0781</x:v>
      </x:c>
      <x:c r="B782" s="6" t="str">
        <x:v>Device Applicability</x:v>
      </x:c>
      <x:c r="C782" s="6" t="str">
        <x:v>DEVX-0138</x:v>
      </x:c>
      <x:c r="D782" s="6" t="str">
        <x:v>SVC000138</x:v>
      </x:c>
      <x:c r="E782" s="6" t="str"/>
      <x:c r="F782" s="6" t="str">
        <x:f>IFERROR(XLOOKUP(C782,'Review Sequence'!C2:C1586,'Review Sequence'!I2:I1586),"")</x:f>
        <x:v>Multiple dependencies - verify source queues</x:v>
      </x:c>
      <x:c r="G782" s="6" t="str">
        <x:f>IFERROR(XLOOKUP(C782,'Review Sequence'!C2:C1586,'Review Sequence'!J2:J1586),"")</x:f>
        <x:v>Not Started</x:v>
      </x:c>
      <x:c r="H782" s="7" t="str">
        <x:f>IFERROR(XLOOKUP(C782,'Review Sequence'!C2:C1586,'Review Sequence'!O2:O1586),"")</x:f>
      </x:c>
      <x:c r="I782" s="6" t="str">
        <x:f>IFERROR(XLOOKUP(C782,'Review Sequence'!C2:C1586,'Review Sequence'!P2:P1586),"")</x:f>
        <x:v>Yes</x:v>
      </x:c>
    </x:row>
    <x:row r="783">
      <x:c r="A783" s="6" t="str">
        <x:v>BLK-0782</x:v>
      </x:c>
      <x:c r="B783" s="6" t="str">
        <x:v>Device Applicability</x:v>
      </x:c>
      <x:c r="C783" s="6" t="str">
        <x:v>DEVX-0139</x:v>
      </x:c>
      <x:c r="D783" s="6" t="str">
        <x:v>SVC000139</x:v>
      </x:c>
      <x:c r="E783" s="6" t="str"/>
      <x:c r="F783" s="6" t="str">
        <x:f>IFERROR(XLOOKUP(C783,'Review Sequence'!C2:C1586,'Review Sequence'!I2:I1586),"")</x:f>
        <x:v>Multiple dependencies - verify source queues</x:v>
      </x:c>
      <x:c r="G783" s="6" t="str">
        <x:f>IFERROR(XLOOKUP(C783,'Review Sequence'!C2:C1586,'Review Sequence'!J2:J1586),"")</x:f>
        <x:v>Not Started</x:v>
      </x:c>
      <x:c r="H783" s="7" t="str">
        <x:f>IFERROR(XLOOKUP(C783,'Review Sequence'!C2:C1586,'Review Sequence'!O2:O1586),"")</x:f>
      </x:c>
      <x:c r="I783" s="6" t="str">
        <x:f>IFERROR(XLOOKUP(C783,'Review Sequence'!C2:C1586,'Review Sequence'!P2:P1586),"")</x:f>
        <x:v>Yes</x:v>
      </x:c>
    </x:row>
    <x:row r="784">
      <x:c r="A784" s="6" t="str">
        <x:v>BLK-0783</x:v>
      </x:c>
      <x:c r="B784" s="6" t="str">
        <x:v>Device Applicability</x:v>
      </x:c>
      <x:c r="C784" s="6" t="str">
        <x:v>DEVX-0140</x:v>
      </x:c>
      <x:c r="D784" s="6" t="str">
        <x:v>SVC000140</x:v>
      </x:c>
      <x:c r="E784" s="6" t="str"/>
      <x:c r="F784" s="6" t="str">
        <x:f>IFERROR(XLOOKUP(C784,'Review Sequence'!C2:C1586,'Review Sequence'!I2:I1586),"")</x:f>
        <x:v>Multiple dependencies - verify source queues</x:v>
      </x:c>
      <x:c r="G784" s="6" t="str">
        <x:f>IFERROR(XLOOKUP(C784,'Review Sequence'!C2:C1586,'Review Sequence'!J2:J1586),"")</x:f>
        <x:v>Not Started</x:v>
      </x:c>
      <x:c r="H784" s="7" t="str">
        <x:f>IFERROR(XLOOKUP(C784,'Review Sequence'!C2:C1586,'Review Sequence'!O2:O1586),"")</x:f>
      </x:c>
      <x:c r="I784" s="6" t="str">
        <x:f>IFERROR(XLOOKUP(C784,'Review Sequence'!C2:C1586,'Review Sequence'!P2:P1586),"")</x:f>
        <x:v>Yes</x:v>
      </x:c>
    </x:row>
    <x:row r="785">
      <x:c r="A785" s="6" t="str">
        <x:v>BLK-0784</x:v>
      </x:c>
      <x:c r="B785" s="6" t="str">
        <x:v>Device Applicability</x:v>
      </x:c>
      <x:c r="C785" s="6" t="str">
        <x:v>DEVX-0141</x:v>
      </x:c>
      <x:c r="D785" s="6" t="str">
        <x:v>SVC000141</x:v>
      </x:c>
      <x:c r="E785" s="6" t="str"/>
      <x:c r="F785" s="6" t="str">
        <x:f>IFERROR(XLOOKUP(C785,'Review Sequence'!C2:C1586,'Review Sequence'!I2:I1586),"")</x:f>
        <x:v>Multiple dependencies - verify source queues</x:v>
      </x:c>
      <x:c r="G785" s="6" t="str">
        <x:f>IFERROR(XLOOKUP(C785,'Review Sequence'!C2:C1586,'Review Sequence'!J2:J1586),"")</x:f>
        <x:v>Not Started</x:v>
      </x:c>
      <x:c r="H785" s="7" t="str">
        <x:f>IFERROR(XLOOKUP(C785,'Review Sequence'!C2:C1586,'Review Sequence'!O2:O1586),"")</x:f>
      </x:c>
      <x:c r="I785" s="6" t="str">
        <x:f>IFERROR(XLOOKUP(C785,'Review Sequence'!C2:C1586,'Review Sequence'!P2:P1586),"")</x:f>
        <x:v>Yes</x:v>
      </x:c>
    </x:row>
    <x:row r="786">
      <x:c r="A786" s="6" t="str">
        <x:v>BLK-0785</x:v>
      </x:c>
      <x:c r="B786" s="6" t="str">
        <x:v>Device Applicability</x:v>
      </x:c>
      <x:c r="C786" s="6" t="str">
        <x:v>DEVX-0142</x:v>
      </x:c>
      <x:c r="D786" s="6" t="str">
        <x:v>SVC000142</x:v>
      </x:c>
      <x:c r="E786" s="6" t="str"/>
      <x:c r="F786" s="6" t="str">
        <x:f>IFERROR(XLOOKUP(C786,'Review Sequence'!C2:C1586,'Review Sequence'!I2:I1586),"")</x:f>
        <x:v>Multiple dependencies - verify source queues</x:v>
      </x:c>
      <x:c r="G786" s="6" t="str">
        <x:f>IFERROR(XLOOKUP(C786,'Review Sequence'!C2:C1586,'Review Sequence'!J2:J1586),"")</x:f>
        <x:v>Not Started</x:v>
      </x:c>
      <x:c r="H786" s="7" t="str">
        <x:f>IFERROR(XLOOKUP(C786,'Review Sequence'!C2:C1586,'Review Sequence'!O2:O1586),"")</x:f>
      </x:c>
      <x:c r="I786" s="6" t="str">
        <x:f>IFERROR(XLOOKUP(C786,'Review Sequence'!C2:C1586,'Review Sequence'!P2:P1586),"")</x:f>
        <x:v>Yes</x:v>
      </x:c>
    </x:row>
    <x:row r="787">
      <x:c r="A787" s="6" t="str">
        <x:v>BLK-0786</x:v>
      </x:c>
      <x:c r="B787" s="6" t="str">
        <x:v>Device Applicability</x:v>
      </x:c>
      <x:c r="C787" s="6" t="str">
        <x:v>DEVX-0143</x:v>
      </x:c>
      <x:c r="D787" s="6" t="str">
        <x:v>SVC000143</x:v>
      </x:c>
      <x:c r="E787" s="6" t="str"/>
      <x:c r="F787" s="6" t="str">
        <x:f>IFERROR(XLOOKUP(C787,'Review Sequence'!C2:C1586,'Review Sequence'!I2:I1586),"")</x:f>
        <x:v>Multiple dependencies - verify source queues</x:v>
      </x:c>
      <x:c r="G787" s="6" t="str">
        <x:f>IFERROR(XLOOKUP(C787,'Review Sequence'!C2:C1586,'Review Sequence'!J2:J1586),"")</x:f>
        <x:v>Not Started</x:v>
      </x:c>
      <x:c r="H787" s="7" t="str">
        <x:f>IFERROR(XLOOKUP(C787,'Review Sequence'!C2:C1586,'Review Sequence'!O2:O1586),"")</x:f>
      </x:c>
      <x:c r="I787" s="6" t="str">
        <x:f>IFERROR(XLOOKUP(C787,'Review Sequence'!C2:C1586,'Review Sequence'!P2:P1586),"")</x:f>
        <x:v>Yes</x:v>
      </x:c>
    </x:row>
    <x:row r="788">
      <x:c r="A788" s="6" t="str">
        <x:v>BLK-0787</x:v>
      </x:c>
      <x:c r="B788" s="6" t="str">
        <x:v>Device Applicability</x:v>
      </x:c>
      <x:c r="C788" s="6" t="str">
        <x:v>DEVX-0144</x:v>
      </x:c>
      <x:c r="D788" s="6" t="str">
        <x:v>SVC000144</x:v>
      </x:c>
      <x:c r="E788" s="6" t="str"/>
      <x:c r="F788" s="6" t="str">
        <x:f>IFERROR(XLOOKUP(C788,'Review Sequence'!C2:C1586,'Review Sequence'!I2:I1586),"")</x:f>
        <x:v>Multiple dependencies - verify source queues</x:v>
      </x:c>
      <x:c r="G788" s="6" t="str">
        <x:f>IFERROR(XLOOKUP(C788,'Review Sequence'!C2:C1586,'Review Sequence'!J2:J1586),"")</x:f>
        <x:v>Not Started</x:v>
      </x:c>
      <x:c r="H788" s="7" t="str">
        <x:f>IFERROR(XLOOKUP(C788,'Review Sequence'!C2:C1586,'Review Sequence'!O2:O1586),"")</x:f>
      </x:c>
      <x:c r="I788" s="6" t="str">
        <x:f>IFERROR(XLOOKUP(C788,'Review Sequence'!C2:C1586,'Review Sequence'!P2:P1586),"")</x:f>
        <x:v>Yes</x:v>
      </x:c>
    </x:row>
    <x:row r="789">
      <x:c r="A789" s="6" t="str">
        <x:v>BLK-0788</x:v>
      </x:c>
      <x:c r="B789" s="6" t="str">
        <x:v>Device Applicability</x:v>
      </x:c>
      <x:c r="C789" s="6" t="str">
        <x:v>DEVX-0145</x:v>
      </x:c>
      <x:c r="D789" s="6" t="str">
        <x:v>SVC000145</x:v>
      </x:c>
      <x:c r="E789" s="6" t="str"/>
      <x:c r="F789" s="6" t="str">
        <x:f>IFERROR(XLOOKUP(C789,'Review Sequence'!C2:C1586,'Review Sequence'!I2:I1586),"")</x:f>
        <x:v>Multiple dependencies - verify source queues</x:v>
      </x:c>
      <x:c r="G789" s="6" t="str">
        <x:f>IFERROR(XLOOKUP(C789,'Review Sequence'!C2:C1586,'Review Sequence'!J2:J1586),"")</x:f>
        <x:v>Not Started</x:v>
      </x:c>
      <x:c r="H789" s="7" t="str">
        <x:f>IFERROR(XLOOKUP(C789,'Review Sequence'!C2:C1586,'Review Sequence'!O2:O1586),"")</x:f>
      </x:c>
      <x:c r="I789" s="6" t="str">
        <x:f>IFERROR(XLOOKUP(C789,'Review Sequence'!C2:C1586,'Review Sequence'!P2:P1586),"")</x:f>
        <x:v>Yes</x:v>
      </x:c>
    </x:row>
    <x:row r="790">
      <x:c r="A790" s="6" t="str">
        <x:v>BLK-0789</x:v>
      </x:c>
      <x:c r="B790" s="6" t="str">
        <x:v>Device Applicability</x:v>
      </x:c>
      <x:c r="C790" s="6" t="str">
        <x:v>DEVX-0146</x:v>
      </x:c>
      <x:c r="D790" s="6" t="str">
        <x:v>SVC000146</x:v>
      </x:c>
      <x:c r="E790" s="6" t="str"/>
      <x:c r="F790" s="6" t="str">
        <x:f>IFERROR(XLOOKUP(C790,'Review Sequence'!C2:C1586,'Review Sequence'!I2:I1586),"")</x:f>
        <x:v>Multiple dependencies - verify source queues</x:v>
      </x:c>
      <x:c r="G790" s="6" t="str">
        <x:f>IFERROR(XLOOKUP(C790,'Review Sequence'!C2:C1586,'Review Sequence'!J2:J1586),"")</x:f>
        <x:v>Not Started</x:v>
      </x:c>
      <x:c r="H790" s="7" t="str">
        <x:f>IFERROR(XLOOKUP(C790,'Review Sequence'!C2:C1586,'Review Sequence'!O2:O1586),"")</x:f>
      </x:c>
      <x:c r="I790" s="6" t="str">
        <x:f>IFERROR(XLOOKUP(C790,'Review Sequence'!C2:C1586,'Review Sequence'!P2:P1586),"")</x:f>
        <x:v>Yes</x:v>
      </x:c>
    </x:row>
    <x:row r="791">
      <x:c r="A791" s="6" t="str">
        <x:v>BLK-0790</x:v>
      </x:c>
      <x:c r="B791" s="6" t="str">
        <x:v>Device Applicability</x:v>
      </x:c>
      <x:c r="C791" s="6" t="str">
        <x:v>DEVX-0147</x:v>
      </x:c>
      <x:c r="D791" s="6" t="str">
        <x:v>SVC000147</x:v>
      </x:c>
      <x:c r="E791" s="6" t="str"/>
      <x:c r="F791" s="6" t="str">
        <x:f>IFERROR(XLOOKUP(C791,'Review Sequence'!C2:C1586,'Review Sequence'!I2:I1586),"")</x:f>
        <x:v>Multiple dependencies - verify source queues</x:v>
      </x:c>
      <x:c r="G791" s="6" t="str">
        <x:f>IFERROR(XLOOKUP(C791,'Review Sequence'!C2:C1586,'Review Sequence'!J2:J1586),"")</x:f>
        <x:v>Not Started</x:v>
      </x:c>
      <x:c r="H791" s="7" t="str">
        <x:f>IFERROR(XLOOKUP(C791,'Review Sequence'!C2:C1586,'Review Sequence'!O2:O1586),"")</x:f>
      </x:c>
      <x:c r="I791" s="6" t="str">
        <x:f>IFERROR(XLOOKUP(C791,'Review Sequence'!C2:C1586,'Review Sequence'!P2:P1586),"")</x:f>
        <x:v>Yes</x:v>
      </x:c>
    </x:row>
    <x:row r="792">
      <x:c r="A792" s="6" t="str">
        <x:v>BLK-0791</x:v>
      </x:c>
      <x:c r="B792" s="6" t="str">
        <x:v>Device Applicability</x:v>
      </x:c>
      <x:c r="C792" s="6" t="str">
        <x:v>DEVX-0148</x:v>
      </x:c>
      <x:c r="D792" s="6" t="str">
        <x:v>SVC000148</x:v>
      </x:c>
      <x:c r="E792" s="6" t="str"/>
      <x:c r="F792" s="6" t="str">
        <x:f>IFERROR(XLOOKUP(C792,'Review Sequence'!C2:C1586,'Review Sequence'!I2:I1586),"")</x:f>
        <x:v>Multiple dependencies - verify source queues</x:v>
      </x:c>
      <x:c r="G792" s="6" t="str">
        <x:f>IFERROR(XLOOKUP(C792,'Review Sequence'!C2:C1586,'Review Sequence'!J2:J1586),"")</x:f>
        <x:v>Not Started</x:v>
      </x:c>
      <x:c r="H792" s="7" t="str">
        <x:f>IFERROR(XLOOKUP(C792,'Review Sequence'!C2:C1586,'Review Sequence'!O2:O1586),"")</x:f>
      </x:c>
      <x:c r="I792" s="6" t="str">
        <x:f>IFERROR(XLOOKUP(C792,'Review Sequence'!C2:C1586,'Review Sequence'!P2:P1586),"")</x:f>
        <x:v>Yes</x:v>
      </x:c>
    </x:row>
    <x:row r="793">
      <x:c r="A793" s="6" t="str">
        <x:v>BLK-0792</x:v>
      </x:c>
      <x:c r="B793" s="6" t="str">
        <x:v>Device Applicability</x:v>
      </x:c>
      <x:c r="C793" s="6" t="str">
        <x:v>DEVX-0149</x:v>
      </x:c>
      <x:c r="D793" s="6" t="str">
        <x:v>SVC000149</x:v>
      </x:c>
      <x:c r="E793" s="6" t="str"/>
      <x:c r="F793" s="6" t="str">
        <x:f>IFERROR(XLOOKUP(C793,'Review Sequence'!C2:C1586,'Review Sequence'!I2:I1586),"")</x:f>
        <x:v>Multiple dependencies - verify source queues</x:v>
      </x:c>
      <x:c r="G793" s="6" t="str">
        <x:f>IFERROR(XLOOKUP(C793,'Review Sequence'!C2:C1586,'Review Sequence'!J2:J1586),"")</x:f>
        <x:v>Not Started</x:v>
      </x:c>
      <x:c r="H793" s="7" t="str">
        <x:f>IFERROR(XLOOKUP(C793,'Review Sequence'!C2:C1586,'Review Sequence'!O2:O1586),"")</x:f>
      </x:c>
      <x:c r="I793" s="6" t="str">
        <x:f>IFERROR(XLOOKUP(C793,'Review Sequence'!C2:C1586,'Review Sequence'!P2:P1586),"")</x:f>
        <x:v>Yes</x:v>
      </x:c>
    </x:row>
    <x:row r="794">
      <x:c r="A794" s="6" t="str">
        <x:v>BLK-0793</x:v>
      </x:c>
      <x:c r="B794" s="6" t="str">
        <x:v>Device Applicability</x:v>
      </x:c>
      <x:c r="C794" s="6" t="str">
        <x:v>DEVX-0150</x:v>
      </x:c>
      <x:c r="D794" s="6" t="str">
        <x:v>SVC000150</x:v>
      </x:c>
      <x:c r="E794" s="6" t="str"/>
      <x:c r="F794" s="6" t="str">
        <x:f>IFERROR(XLOOKUP(C794,'Review Sequence'!C2:C1586,'Review Sequence'!I2:I1586),"")</x:f>
        <x:v>Multiple dependencies - verify source queues</x:v>
      </x:c>
      <x:c r="G794" s="6" t="str">
        <x:f>IFERROR(XLOOKUP(C794,'Review Sequence'!C2:C1586,'Review Sequence'!J2:J1586),"")</x:f>
        <x:v>Not Started</x:v>
      </x:c>
      <x:c r="H794" s="7" t="str">
        <x:f>IFERROR(XLOOKUP(C794,'Review Sequence'!C2:C1586,'Review Sequence'!O2:O1586),"")</x:f>
      </x:c>
      <x:c r="I794" s="6" t="str">
        <x:f>IFERROR(XLOOKUP(C794,'Review Sequence'!C2:C1586,'Review Sequence'!P2:P1586),"")</x:f>
        <x:v>Yes</x:v>
      </x:c>
    </x:row>
    <x:row r="795">
      <x:c r="A795" s="6" t="str">
        <x:v>BLK-0794</x:v>
      </x:c>
      <x:c r="B795" s="6" t="str">
        <x:v>Device Applicability</x:v>
      </x:c>
      <x:c r="C795" s="6" t="str">
        <x:v>DEVX-0151</x:v>
      </x:c>
      <x:c r="D795" s="6" t="str">
        <x:v>SVC000151</x:v>
      </x:c>
      <x:c r="E795" s="6" t="str"/>
      <x:c r="F795" s="6" t="str">
        <x:f>IFERROR(XLOOKUP(C795,'Review Sequence'!C2:C1586,'Review Sequence'!I2:I1586),"")</x:f>
        <x:v>Multiple dependencies - verify source queues</x:v>
      </x:c>
      <x:c r="G795" s="6" t="str">
        <x:f>IFERROR(XLOOKUP(C795,'Review Sequence'!C2:C1586,'Review Sequence'!J2:J1586),"")</x:f>
        <x:v>Not Started</x:v>
      </x:c>
      <x:c r="H795" s="7" t="str">
        <x:f>IFERROR(XLOOKUP(C795,'Review Sequence'!C2:C1586,'Review Sequence'!O2:O1586),"")</x:f>
      </x:c>
      <x:c r="I795" s="6" t="str">
        <x:f>IFERROR(XLOOKUP(C795,'Review Sequence'!C2:C1586,'Review Sequence'!P2:P1586),"")</x:f>
        <x:v>Yes</x:v>
      </x:c>
    </x:row>
    <x:row r="796">
      <x:c r="A796" s="6" t="str">
        <x:v>BLK-0795</x:v>
      </x:c>
      <x:c r="B796" s="6" t="str">
        <x:v>Device Applicability</x:v>
      </x:c>
      <x:c r="C796" s="6" t="str">
        <x:v>DEVX-0152</x:v>
      </x:c>
      <x:c r="D796" s="6" t="str">
        <x:v>SVC000152</x:v>
      </x:c>
      <x:c r="E796" s="6" t="str"/>
      <x:c r="F796" s="6" t="str">
        <x:f>IFERROR(XLOOKUP(C796,'Review Sequence'!C2:C1586,'Review Sequence'!I2:I1586),"")</x:f>
        <x:v>Multiple dependencies - verify source queues</x:v>
      </x:c>
      <x:c r="G796" s="6" t="str">
        <x:f>IFERROR(XLOOKUP(C796,'Review Sequence'!C2:C1586,'Review Sequence'!J2:J1586),"")</x:f>
        <x:v>Not Started</x:v>
      </x:c>
      <x:c r="H796" s="7" t="str">
        <x:f>IFERROR(XLOOKUP(C796,'Review Sequence'!C2:C1586,'Review Sequence'!O2:O1586),"")</x:f>
      </x:c>
      <x:c r="I796" s="6" t="str">
        <x:f>IFERROR(XLOOKUP(C796,'Review Sequence'!C2:C1586,'Review Sequence'!P2:P1586),"")</x:f>
        <x:v>Yes</x:v>
      </x:c>
    </x:row>
    <x:row r="797">
      <x:c r="A797" s="6" t="str">
        <x:v>BLK-0796</x:v>
      </x:c>
      <x:c r="B797" s="6" t="str">
        <x:v>Device Applicability</x:v>
      </x:c>
      <x:c r="C797" s="6" t="str">
        <x:v>DEVX-0153</x:v>
      </x:c>
      <x:c r="D797" s="6" t="str">
        <x:v>SVC000153</x:v>
      </x:c>
      <x:c r="E797" s="6" t="str"/>
      <x:c r="F797" s="6" t="str">
        <x:f>IFERROR(XLOOKUP(C797,'Review Sequence'!C2:C1586,'Review Sequence'!I2:I1586),"")</x:f>
        <x:v>Multiple dependencies - verify source queues</x:v>
      </x:c>
      <x:c r="G797" s="6" t="str">
        <x:f>IFERROR(XLOOKUP(C797,'Review Sequence'!C2:C1586,'Review Sequence'!J2:J1586),"")</x:f>
        <x:v>Not Started</x:v>
      </x:c>
      <x:c r="H797" s="7" t="str">
        <x:f>IFERROR(XLOOKUP(C797,'Review Sequence'!C2:C1586,'Review Sequence'!O2:O1586),"")</x:f>
      </x:c>
      <x:c r="I797" s="6" t="str">
        <x:f>IFERROR(XLOOKUP(C797,'Review Sequence'!C2:C1586,'Review Sequence'!P2:P1586),"")</x:f>
        <x:v>Yes</x:v>
      </x:c>
    </x:row>
    <x:row r="798">
      <x:c r="A798" s="6" t="str">
        <x:v>BLK-0797</x:v>
      </x:c>
      <x:c r="B798" s="6" t="str">
        <x:v>Device Applicability</x:v>
      </x:c>
      <x:c r="C798" s="6" t="str">
        <x:v>DEVX-0154</x:v>
      </x:c>
      <x:c r="D798" s="6" t="str">
        <x:v>SVC000154</x:v>
      </x:c>
      <x:c r="E798" s="6" t="str"/>
      <x:c r="F798" s="6" t="str">
        <x:f>IFERROR(XLOOKUP(C798,'Review Sequence'!C2:C1586,'Review Sequence'!I2:I1586),"")</x:f>
        <x:v>Multiple dependencies - verify source queues</x:v>
      </x:c>
      <x:c r="G798" s="6" t="str">
        <x:f>IFERROR(XLOOKUP(C798,'Review Sequence'!C2:C1586,'Review Sequence'!J2:J1586),"")</x:f>
        <x:v>Not Started</x:v>
      </x:c>
      <x:c r="H798" s="7" t="str">
        <x:f>IFERROR(XLOOKUP(C798,'Review Sequence'!C2:C1586,'Review Sequence'!O2:O1586),"")</x:f>
      </x:c>
      <x:c r="I798" s="6" t="str">
        <x:f>IFERROR(XLOOKUP(C798,'Review Sequence'!C2:C1586,'Review Sequence'!P2:P1586),"")</x:f>
        <x:v>Yes</x:v>
      </x:c>
    </x:row>
    <x:row r="799">
      <x:c r="A799" s="6" t="str">
        <x:v>BLK-0798</x:v>
      </x:c>
      <x:c r="B799" s="6" t="str">
        <x:v>Device Applicability</x:v>
      </x:c>
      <x:c r="C799" s="6" t="str">
        <x:v>DEVX-0155</x:v>
      </x:c>
      <x:c r="D799" s="6" t="str">
        <x:v>SVC000155</x:v>
      </x:c>
      <x:c r="E799" s="6" t="str"/>
      <x:c r="F799" s="6" t="str">
        <x:f>IFERROR(XLOOKUP(C799,'Review Sequence'!C2:C1586,'Review Sequence'!I2:I1586),"")</x:f>
        <x:v>Multiple dependencies - verify source queues</x:v>
      </x:c>
      <x:c r="G799" s="6" t="str">
        <x:f>IFERROR(XLOOKUP(C799,'Review Sequence'!C2:C1586,'Review Sequence'!J2:J1586),"")</x:f>
        <x:v>Not Started</x:v>
      </x:c>
      <x:c r="H799" s="7" t="str">
        <x:f>IFERROR(XLOOKUP(C799,'Review Sequence'!C2:C1586,'Review Sequence'!O2:O1586),"")</x:f>
      </x:c>
      <x:c r="I799" s="6" t="str">
        <x:f>IFERROR(XLOOKUP(C799,'Review Sequence'!C2:C1586,'Review Sequence'!P2:P1586),"")</x:f>
        <x:v>Yes</x:v>
      </x:c>
    </x:row>
    <x:row r="800">
      <x:c r="A800" s="6" t="str">
        <x:v>BLK-0799</x:v>
      </x:c>
      <x:c r="B800" s="6" t="str">
        <x:v>Device Applicability</x:v>
      </x:c>
      <x:c r="C800" s="6" t="str">
        <x:v>DEVX-0156</x:v>
      </x:c>
      <x:c r="D800" s="6" t="str">
        <x:v>SVC000156</x:v>
      </x:c>
      <x:c r="E800" s="6" t="str"/>
      <x:c r="F800" s="6" t="str">
        <x:f>IFERROR(XLOOKUP(C800,'Review Sequence'!C2:C1586,'Review Sequence'!I2:I1586),"")</x:f>
        <x:v>Multiple dependencies - verify source queues</x:v>
      </x:c>
      <x:c r="G800" s="6" t="str">
        <x:f>IFERROR(XLOOKUP(C800,'Review Sequence'!C2:C1586,'Review Sequence'!J2:J1586),"")</x:f>
        <x:v>Not Started</x:v>
      </x:c>
      <x:c r="H800" s="7" t="str">
        <x:f>IFERROR(XLOOKUP(C800,'Review Sequence'!C2:C1586,'Review Sequence'!O2:O1586),"")</x:f>
      </x:c>
      <x:c r="I800" s="6" t="str">
        <x:f>IFERROR(XLOOKUP(C800,'Review Sequence'!C2:C1586,'Review Sequence'!P2:P1586),"")</x:f>
        <x:v>Yes</x:v>
      </x:c>
    </x:row>
    <x:row r="801">
      <x:c r="A801" s="6" t="str">
        <x:v>BLK-0800</x:v>
      </x:c>
      <x:c r="B801" s="6" t="str">
        <x:v>Device Applicability</x:v>
      </x:c>
      <x:c r="C801" s="6" t="str">
        <x:v>DEVX-0157</x:v>
      </x:c>
      <x:c r="D801" s="6" t="str">
        <x:v>SVC000157</x:v>
      </x:c>
      <x:c r="E801" s="6" t="str"/>
      <x:c r="F801" s="6" t="str">
        <x:f>IFERROR(XLOOKUP(C801,'Review Sequence'!C2:C1586,'Review Sequence'!I2:I1586),"")</x:f>
        <x:v>Multiple dependencies - verify source queues</x:v>
      </x:c>
      <x:c r="G801" s="6" t="str">
        <x:f>IFERROR(XLOOKUP(C801,'Review Sequence'!C2:C1586,'Review Sequence'!J2:J1586),"")</x:f>
        <x:v>Not Started</x:v>
      </x:c>
      <x:c r="H801" s="7" t="str">
        <x:f>IFERROR(XLOOKUP(C801,'Review Sequence'!C2:C1586,'Review Sequence'!O2:O1586),"")</x:f>
      </x:c>
      <x:c r="I801" s="6" t="str">
        <x:f>IFERROR(XLOOKUP(C801,'Review Sequence'!C2:C1586,'Review Sequence'!P2:P1586),"")</x:f>
        <x:v>Yes</x:v>
      </x:c>
    </x:row>
    <x:row r="802">
      <x:c r="A802" s="6" t="str">
        <x:v>BLK-0801</x:v>
      </x:c>
      <x:c r="B802" s="6" t="str">
        <x:v>Device Applicability</x:v>
      </x:c>
      <x:c r="C802" s="6" t="str">
        <x:v>DEVX-0158</x:v>
      </x:c>
      <x:c r="D802" s="6" t="str">
        <x:v>SVC000158</x:v>
      </x:c>
      <x:c r="E802" s="6" t="str"/>
      <x:c r="F802" s="6" t="str">
        <x:f>IFERROR(XLOOKUP(C802,'Review Sequence'!C2:C1586,'Review Sequence'!I2:I1586),"")</x:f>
        <x:v>Multiple dependencies - verify source queues</x:v>
      </x:c>
      <x:c r="G802" s="6" t="str">
        <x:f>IFERROR(XLOOKUP(C802,'Review Sequence'!C2:C1586,'Review Sequence'!J2:J1586),"")</x:f>
        <x:v>Not Started</x:v>
      </x:c>
      <x:c r="H802" s="7" t="str">
        <x:f>IFERROR(XLOOKUP(C802,'Review Sequence'!C2:C1586,'Review Sequence'!O2:O1586),"")</x:f>
      </x:c>
      <x:c r="I802" s="6" t="str">
        <x:f>IFERROR(XLOOKUP(C802,'Review Sequence'!C2:C1586,'Review Sequence'!P2:P1586),"")</x:f>
        <x:v>Yes</x:v>
      </x:c>
    </x:row>
    <x:row r="803">
      <x:c r="A803" s="6" t="str">
        <x:v>BLK-0802</x:v>
      </x:c>
      <x:c r="B803" s="6" t="str">
        <x:v>Device Applicability</x:v>
      </x:c>
      <x:c r="C803" s="6" t="str">
        <x:v>DEVX-0159</x:v>
      </x:c>
      <x:c r="D803" s="6" t="str">
        <x:v>SVC000159</x:v>
      </x:c>
      <x:c r="E803" s="6" t="str"/>
      <x:c r="F803" s="6" t="str">
        <x:f>IFERROR(XLOOKUP(C803,'Review Sequence'!C2:C1586,'Review Sequence'!I2:I1586),"")</x:f>
        <x:v>Multiple dependencies - verify source queues</x:v>
      </x:c>
      <x:c r="G803" s="6" t="str">
        <x:f>IFERROR(XLOOKUP(C803,'Review Sequence'!C2:C1586,'Review Sequence'!J2:J1586),"")</x:f>
        <x:v>Not Started</x:v>
      </x:c>
      <x:c r="H803" s="7" t="str">
        <x:f>IFERROR(XLOOKUP(C803,'Review Sequence'!C2:C1586,'Review Sequence'!O2:O1586),"")</x:f>
      </x:c>
      <x:c r="I803" s="6" t="str">
        <x:f>IFERROR(XLOOKUP(C803,'Review Sequence'!C2:C1586,'Review Sequence'!P2:P1586),"")</x:f>
        <x:v>Yes</x:v>
      </x:c>
    </x:row>
    <x:row r="804">
      <x:c r="A804" s="6" t="str">
        <x:v>BLK-0803</x:v>
      </x:c>
      <x:c r="B804" s="6" t="str">
        <x:v>Device Applicability</x:v>
      </x:c>
      <x:c r="C804" s="6" t="str">
        <x:v>DEVX-0160</x:v>
      </x:c>
      <x:c r="D804" s="6" t="str">
        <x:v>SVC000160</x:v>
      </x:c>
      <x:c r="E804" s="6" t="str"/>
      <x:c r="F804" s="6" t="str">
        <x:f>IFERROR(XLOOKUP(C804,'Review Sequence'!C2:C1586,'Review Sequence'!I2:I1586),"")</x:f>
        <x:v>Multiple dependencies - verify source queues</x:v>
      </x:c>
      <x:c r="G804" s="6" t="str">
        <x:f>IFERROR(XLOOKUP(C804,'Review Sequence'!C2:C1586,'Review Sequence'!J2:J1586),"")</x:f>
        <x:v>Not Started</x:v>
      </x:c>
      <x:c r="H804" s="7" t="str">
        <x:f>IFERROR(XLOOKUP(C804,'Review Sequence'!C2:C1586,'Review Sequence'!O2:O1586),"")</x:f>
      </x:c>
      <x:c r="I804" s="6" t="str">
        <x:f>IFERROR(XLOOKUP(C804,'Review Sequence'!C2:C1586,'Review Sequence'!P2:P1586),"")</x:f>
        <x:v>Yes</x:v>
      </x:c>
    </x:row>
    <x:row r="805">
      <x:c r="A805" s="6" t="str">
        <x:v>BLK-0804</x:v>
      </x:c>
      <x:c r="B805" s="6" t="str">
        <x:v>Device Applicability</x:v>
      </x:c>
      <x:c r="C805" s="6" t="str">
        <x:v>DEVX-0161</x:v>
      </x:c>
      <x:c r="D805" s="6" t="str">
        <x:v>SVC000161</x:v>
      </x:c>
      <x:c r="E805" s="6" t="str"/>
      <x:c r="F805" s="6" t="str">
        <x:f>IFERROR(XLOOKUP(C805,'Review Sequence'!C2:C1586,'Review Sequence'!I2:I1586),"")</x:f>
        <x:v>Multiple dependencies - verify source queues</x:v>
      </x:c>
      <x:c r="G805" s="6" t="str">
        <x:f>IFERROR(XLOOKUP(C805,'Review Sequence'!C2:C1586,'Review Sequence'!J2:J1586),"")</x:f>
        <x:v>Not Started</x:v>
      </x:c>
      <x:c r="H805" s="7" t="str">
        <x:f>IFERROR(XLOOKUP(C805,'Review Sequence'!C2:C1586,'Review Sequence'!O2:O1586),"")</x:f>
      </x:c>
      <x:c r="I805" s="6" t="str">
        <x:f>IFERROR(XLOOKUP(C805,'Review Sequence'!C2:C1586,'Review Sequence'!P2:P1586),"")</x:f>
        <x:v>Yes</x:v>
      </x:c>
    </x:row>
    <x:row r="806">
      <x:c r="A806" s="6" t="str">
        <x:v>BLK-0805</x:v>
      </x:c>
      <x:c r="B806" s="6" t="str">
        <x:v>Device Applicability</x:v>
      </x:c>
      <x:c r="C806" s="6" t="str">
        <x:v>DEVX-0162</x:v>
      </x:c>
      <x:c r="D806" s="6" t="str">
        <x:v>SVC000162</x:v>
      </x:c>
      <x:c r="E806" s="6" t="str"/>
      <x:c r="F806" s="6" t="str">
        <x:f>IFERROR(XLOOKUP(C806,'Review Sequence'!C2:C1586,'Review Sequence'!I2:I1586),"")</x:f>
        <x:v>Multiple dependencies - verify source queues</x:v>
      </x:c>
      <x:c r="G806" s="6" t="str">
        <x:f>IFERROR(XLOOKUP(C806,'Review Sequence'!C2:C1586,'Review Sequence'!J2:J1586),"")</x:f>
        <x:v>Not Started</x:v>
      </x:c>
      <x:c r="H806" s="7" t="str">
        <x:f>IFERROR(XLOOKUP(C806,'Review Sequence'!C2:C1586,'Review Sequence'!O2:O1586),"")</x:f>
      </x:c>
      <x:c r="I806" s="6" t="str">
        <x:f>IFERROR(XLOOKUP(C806,'Review Sequence'!C2:C1586,'Review Sequence'!P2:P1586),"")</x:f>
        <x:v>Yes</x:v>
      </x:c>
    </x:row>
    <x:row r="807">
      <x:c r="A807" s="6" t="str">
        <x:v>BLK-0806</x:v>
      </x:c>
      <x:c r="B807" s="6" t="str">
        <x:v>Device Applicability</x:v>
      </x:c>
      <x:c r="C807" s="6" t="str">
        <x:v>DEVX-0163</x:v>
      </x:c>
      <x:c r="D807" s="6" t="str">
        <x:v>SVC000163</x:v>
      </x:c>
      <x:c r="E807" s="6" t="str"/>
      <x:c r="F807" s="6" t="str">
        <x:f>IFERROR(XLOOKUP(C807,'Review Sequence'!C2:C1586,'Review Sequence'!I2:I1586),"")</x:f>
        <x:v>Multiple dependencies - verify source queues</x:v>
      </x:c>
      <x:c r="G807" s="6" t="str">
        <x:f>IFERROR(XLOOKUP(C807,'Review Sequence'!C2:C1586,'Review Sequence'!J2:J1586),"")</x:f>
        <x:v>Not Started</x:v>
      </x:c>
      <x:c r="H807" s="7" t="str">
        <x:f>IFERROR(XLOOKUP(C807,'Review Sequence'!C2:C1586,'Review Sequence'!O2:O1586),"")</x:f>
      </x:c>
      <x:c r="I807" s="6" t="str">
        <x:f>IFERROR(XLOOKUP(C807,'Review Sequence'!C2:C1586,'Review Sequence'!P2:P1586),"")</x:f>
        <x:v>Yes</x:v>
      </x:c>
    </x:row>
    <x:row r="808">
      <x:c r="A808" s="6" t="str">
        <x:v>BLK-0807</x:v>
      </x:c>
      <x:c r="B808" s="6" t="str">
        <x:v>Device Applicability</x:v>
      </x:c>
      <x:c r="C808" s="6" t="str">
        <x:v>DEVX-0164</x:v>
      </x:c>
      <x:c r="D808" s="6" t="str">
        <x:v>SVC000164</x:v>
      </x:c>
      <x:c r="E808" s="6" t="str"/>
      <x:c r="F808" s="6" t="str">
        <x:f>IFERROR(XLOOKUP(C808,'Review Sequence'!C2:C1586,'Review Sequence'!I2:I1586),"")</x:f>
        <x:v>Multiple dependencies - verify source queues</x:v>
      </x:c>
      <x:c r="G808" s="6" t="str">
        <x:f>IFERROR(XLOOKUP(C808,'Review Sequence'!C2:C1586,'Review Sequence'!J2:J1586),"")</x:f>
        <x:v>Not Started</x:v>
      </x:c>
      <x:c r="H808" s="7" t="str">
        <x:f>IFERROR(XLOOKUP(C808,'Review Sequence'!C2:C1586,'Review Sequence'!O2:O1586),"")</x:f>
      </x:c>
      <x:c r="I808" s="6" t="str">
        <x:f>IFERROR(XLOOKUP(C808,'Review Sequence'!C2:C1586,'Review Sequence'!P2:P1586),"")</x:f>
        <x:v>Yes</x:v>
      </x:c>
    </x:row>
    <x:row r="809">
      <x:c r="A809" s="6" t="str">
        <x:v>BLK-0808</x:v>
      </x:c>
      <x:c r="B809" s="6" t="str">
        <x:v>Device Applicability</x:v>
      </x:c>
      <x:c r="C809" s="6" t="str">
        <x:v>DEVX-0165</x:v>
      </x:c>
      <x:c r="D809" s="6" t="str">
        <x:v>SVC000165</x:v>
      </x:c>
      <x:c r="E809" s="6" t="str"/>
      <x:c r="F809" s="6" t="str">
        <x:f>IFERROR(XLOOKUP(C809,'Review Sequence'!C2:C1586,'Review Sequence'!I2:I1586),"")</x:f>
        <x:v>Multiple dependencies - verify source queues</x:v>
      </x:c>
      <x:c r="G809" s="6" t="str">
        <x:f>IFERROR(XLOOKUP(C809,'Review Sequence'!C2:C1586,'Review Sequence'!J2:J1586),"")</x:f>
        <x:v>Not Started</x:v>
      </x:c>
      <x:c r="H809" s="7" t="str">
        <x:f>IFERROR(XLOOKUP(C809,'Review Sequence'!C2:C1586,'Review Sequence'!O2:O1586),"")</x:f>
      </x:c>
      <x:c r="I809" s="6" t="str">
        <x:f>IFERROR(XLOOKUP(C809,'Review Sequence'!C2:C1586,'Review Sequence'!P2:P1586),"")</x:f>
        <x:v>Yes</x:v>
      </x:c>
    </x:row>
    <x:row r="810">
      <x:c r="A810" s="6" t="str">
        <x:v>BLK-0809</x:v>
      </x:c>
      <x:c r="B810" s="6" t="str">
        <x:v>Device Applicability</x:v>
      </x:c>
      <x:c r="C810" s="6" t="str">
        <x:v>DEVX-0166</x:v>
      </x:c>
      <x:c r="D810" s="6" t="str">
        <x:v>SVC000166</x:v>
      </x:c>
      <x:c r="E810" s="6" t="str"/>
      <x:c r="F810" s="6" t="str">
        <x:f>IFERROR(XLOOKUP(C810,'Review Sequence'!C2:C1586,'Review Sequence'!I2:I1586),"")</x:f>
        <x:v>Multiple dependencies - verify source queues</x:v>
      </x:c>
      <x:c r="G810" s="6" t="str">
        <x:f>IFERROR(XLOOKUP(C810,'Review Sequence'!C2:C1586,'Review Sequence'!J2:J1586),"")</x:f>
        <x:v>Not Started</x:v>
      </x:c>
      <x:c r="H810" s="7" t="str">
        <x:f>IFERROR(XLOOKUP(C810,'Review Sequence'!C2:C1586,'Review Sequence'!O2:O1586),"")</x:f>
      </x:c>
      <x:c r="I810" s="6" t="str">
        <x:f>IFERROR(XLOOKUP(C810,'Review Sequence'!C2:C1586,'Review Sequence'!P2:P1586),"")</x:f>
        <x:v>Yes</x:v>
      </x:c>
    </x:row>
    <x:row r="811">
      <x:c r="A811" s="6" t="str">
        <x:v>BLK-0810</x:v>
      </x:c>
      <x:c r="B811" s="6" t="str">
        <x:v>Device Applicability</x:v>
      </x:c>
      <x:c r="C811" s="6" t="str">
        <x:v>DEVX-0167</x:v>
      </x:c>
      <x:c r="D811" s="6" t="str">
        <x:v>SVC000167</x:v>
      </x:c>
      <x:c r="E811" s="6" t="str"/>
      <x:c r="F811" s="6" t="str">
        <x:f>IFERROR(XLOOKUP(C811,'Review Sequence'!C2:C1586,'Review Sequence'!I2:I1586),"")</x:f>
        <x:v>Multiple dependencies - verify source queues</x:v>
      </x:c>
      <x:c r="G811" s="6" t="str">
        <x:f>IFERROR(XLOOKUP(C811,'Review Sequence'!C2:C1586,'Review Sequence'!J2:J1586),"")</x:f>
        <x:v>Not Started</x:v>
      </x:c>
      <x:c r="H811" s="7" t="str">
        <x:f>IFERROR(XLOOKUP(C811,'Review Sequence'!C2:C1586,'Review Sequence'!O2:O1586),"")</x:f>
      </x:c>
      <x:c r="I811" s="6" t="str">
        <x:f>IFERROR(XLOOKUP(C811,'Review Sequence'!C2:C1586,'Review Sequence'!P2:P1586),"")</x:f>
        <x:v>Yes</x:v>
      </x:c>
    </x:row>
    <x:row r="812">
      <x:c r="A812" s="6" t="str">
        <x:v>BLK-0811</x:v>
      </x:c>
      <x:c r="B812" s="6" t="str">
        <x:v>Device Applicability</x:v>
      </x:c>
      <x:c r="C812" s="6" t="str">
        <x:v>DEVX-0168</x:v>
      </x:c>
      <x:c r="D812" s="6" t="str">
        <x:v>SVC000168</x:v>
      </x:c>
      <x:c r="E812" s="6" t="str"/>
      <x:c r="F812" s="6" t="str">
        <x:f>IFERROR(XLOOKUP(C812,'Review Sequence'!C2:C1586,'Review Sequence'!I2:I1586),"")</x:f>
        <x:v>Multiple dependencies - verify source queues</x:v>
      </x:c>
      <x:c r="G812" s="6" t="str">
        <x:f>IFERROR(XLOOKUP(C812,'Review Sequence'!C2:C1586,'Review Sequence'!J2:J1586),"")</x:f>
        <x:v>Not Started</x:v>
      </x:c>
      <x:c r="H812" s="7" t="str">
        <x:f>IFERROR(XLOOKUP(C812,'Review Sequence'!C2:C1586,'Review Sequence'!O2:O1586),"")</x:f>
      </x:c>
      <x:c r="I812" s="6" t="str">
        <x:f>IFERROR(XLOOKUP(C812,'Review Sequence'!C2:C1586,'Review Sequence'!P2:P1586),"")</x:f>
        <x:v>Yes</x:v>
      </x:c>
    </x:row>
    <x:row r="813">
      <x:c r="A813" s="6" t="str">
        <x:v>BLK-0812</x:v>
      </x:c>
      <x:c r="B813" s="6" t="str">
        <x:v>Device Applicability</x:v>
      </x:c>
      <x:c r="C813" s="6" t="str">
        <x:v>DEVX-0169</x:v>
      </x:c>
      <x:c r="D813" s="6" t="str">
        <x:v>SVC000169</x:v>
      </x:c>
      <x:c r="E813" s="6" t="str"/>
      <x:c r="F813" s="6" t="str">
        <x:f>IFERROR(XLOOKUP(C813,'Review Sequence'!C2:C1586,'Review Sequence'!I2:I1586),"")</x:f>
        <x:v>Multiple dependencies - verify source queues</x:v>
      </x:c>
      <x:c r="G813" s="6" t="str">
        <x:f>IFERROR(XLOOKUP(C813,'Review Sequence'!C2:C1586,'Review Sequence'!J2:J1586),"")</x:f>
        <x:v>Not Started</x:v>
      </x:c>
      <x:c r="H813" s="7" t="str">
        <x:f>IFERROR(XLOOKUP(C813,'Review Sequence'!C2:C1586,'Review Sequence'!O2:O1586),"")</x:f>
      </x:c>
      <x:c r="I813" s="6" t="str">
        <x:f>IFERROR(XLOOKUP(C813,'Review Sequence'!C2:C1586,'Review Sequence'!P2:P1586),"")</x:f>
        <x:v>Yes</x:v>
      </x:c>
    </x:row>
    <x:row r="814">
      <x:c r="A814" s="6" t="str">
        <x:v>BLK-0813</x:v>
      </x:c>
      <x:c r="B814" s="6" t="str">
        <x:v>Device Applicability</x:v>
      </x:c>
      <x:c r="C814" s="6" t="str">
        <x:v>DEVX-0170</x:v>
      </x:c>
      <x:c r="D814" s="6" t="str">
        <x:v>SVC000170</x:v>
      </x:c>
      <x:c r="E814" s="6" t="str"/>
      <x:c r="F814" s="6" t="str">
        <x:f>IFERROR(XLOOKUP(C814,'Review Sequence'!C2:C1586,'Review Sequence'!I2:I1586),"")</x:f>
        <x:v>Multiple dependencies - verify source queues</x:v>
      </x:c>
      <x:c r="G814" s="6" t="str">
        <x:f>IFERROR(XLOOKUP(C814,'Review Sequence'!C2:C1586,'Review Sequence'!J2:J1586),"")</x:f>
        <x:v>Not Started</x:v>
      </x:c>
      <x:c r="H814" s="7" t="str">
        <x:f>IFERROR(XLOOKUP(C814,'Review Sequence'!C2:C1586,'Review Sequence'!O2:O1586),"")</x:f>
      </x:c>
      <x:c r="I814" s="6" t="str">
        <x:f>IFERROR(XLOOKUP(C814,'Review Sequence'!C2:C1586,'Review Sequence'!P2:P1586),"")</x:f>
        <x:v>Yes</x:v>
      </x:c>
    </x:row>
    <x:row r="815">
      <x:c r="A815" s="6" t="str">
        <x:v>BLK-0814</x:v>
      </x:c>
      <x:c r="B815" s="6" t="str">
        <x:v>Device Applicability</x:v>
      </x:c>
      <x:c r="C815" s="6" t="str">
        <x:v>DEVX-0171</x:v>
      </x:c>
      <x:c r="D815" s="6" t="str">
        <x:v>SVC000171</x:v>
      </x:c>
      <x:c r="E815" s="6" t="str"/>
      <x:c r="F815" s="6" t="str">
        <x:f>IFERROR(XLOOKUP(C815,'Review Sequence'!C2:C1586,'Review Sequence'!I2:I1586),"")</x:f>
        <x:v>Multiple dependencies - verify source queues</x:v>
      </x:c>
      <x:c r="G815" s="6" t="str">
        <x:f>IFERROR(XLOOKUP(C815,'Review Sequence'!C2:C1586,'Review Sequence'!J2:J1586),"")</x:f>
        <x:v>Not Started</x:v>
      </x:c>
      <x:c r="H815" s="7" t="str">
        <x:f>IFERROR(XLOOKUP(C815,'Review Sequence'!C2:C1586,'Review Sequence'!O2:O1586),"")</x:f>
      </x:c>
      <x:c r="I815" s="6" t="str">
        <x:f>IFERROR(XLOOKUP(C815,'Review Sequence'!C2:C1586,'Review Sequence'!P2:P1586),"")</x:f>
        <x:v>Yes</x:v>
      </x:c>
    </x:row>
    <x:row r="816">
      <x:c r="A816" s="6" t="str">
        <x:v>BLK-0815</x:v>
      </x:c>
      <x:c r="B816" s="6" t="str">
        <x:v>Device Applicability</x:v>
      </x:c>
      <x:c r="C816" s="6" t="str">
        <x:v>DEVX-0172</x:v>
      </x:c>
      <x:c r="D816" s="6" t="str">
        <x:v>SVC000172</x:v>
      </x:c>
      <x:c r="E816" s="6" t="str"/>
      <x:c r="F816" s="6" t="str">
        <x:f>IFERROR(XLOOKUP(C816,'Review Sequence'!C2:C1586,'Review Sequence'!I2:I1586),"")</x:f>
        <x:v>Multiple dependencies - verify source queues</x:v>
      </x:c>
      <x:c r="G816" s="6" t="str">
        <x:f>IFERROR(XLOOKUP(C816,'Review Sequence'!C2:C1586,'Review Sequence'!J2:J1586),"")</x:f>
        <x:v>Not Started</x:v>
      </x:c>
      <x:c r="H816" s="7" t="str">
        <x:f>IFERROR(XLOOKUP(C816,'Review Sequence'!C2:C1586,'Review Sequence'!O2:O1586),"")</x:f>
      </x:c>
      <x:c r="I816" s="6" t="str">
        <x:f>IFERROR(XLOOKUP(C816,'Review Sequence'!C2:C1586,'Review Sequence'!P2:P1586),"")</x:f>
        <x:v>Yes</x:v>
      </x:c>
    </x:row>
    <x:row r="817">
      <x:c r="A817" s="6" t="str">
        <x:v>BLK-0816</x:v>
      </x:c>
      <x:c r="B817" s="6" t="str">
        <x:v>Device Applicability</x:v>
      </x:c>
      <x:c r="C817" s="6" t="str">
        <x:v>DEVX-0173</x:v>
      </x:c>
      <x:c r="D817" s="6" t="str">
        <x:v>SVC000173</x:v>
      </x:c>
      <x:c r="E817" s="6" t="str"/>
      <x:c r="F817" s="6" t="str">
        <x:f>IFERROR(XLOOKUP(C817,'Review Sequence'!C2:C1586,'Review Sequence'!I2:I1586),"")</x:f>
        <x:v>Multiple dependencies - verify source queues</x:v>
      </x:c>
      <x:c r="G817" s="6" t="str">
        <x:f>IFERROR(XLOOKUP(C817,'Review Sequence'!C2:C1586,'Review Sequence'!J2:J1586),"")</x:f>
        <x:v>Not Started</x:v>
      </x:c>
      <x:c r="H817" s="7" t="str">
        <x:f>IFERROR(XLOOKUP(C817,'Review Sequence'!C2:C1586,'Review Sequence'!O2:O1586),"")</x:f>
      </x:c>
      <x:c r="I817" s="6" t="str">
        <x:f>IFERROR(XLOOKUP(C817,'Review Sequence'!C2:C1586,'Review Sequence'!P2:P1586),"")</x:f>
        <x:v>Yes</x:v>
      </x:c>
    </x:row>
    <x:row r="818">
      <x:c r="A818" s="6" t="str">
        <x:v>BLK-0817</x:v>
      </x:c>
      <x:c r="B818" s="6" t="str">
        <x:v>Device Applicability</x:v>
      </x:c>
      <x:c r="C818" s="6" t="str">
        <x:v>DEVX-0174</x:v>
      </x:c>
      <x:c r="D818" s="6" t="str">
        <x:v>SVC000174</x:v>
      </x:c>
      <x:c r="E818" s="6" t="str"/>
      <x:c r="F818" s="6" t="str">
        <x:f>IFERROR(XLOOKUP(C818,'Review Sequence'!C2:C1586,'Review Sequence'!I2:I1586),"")</x:f>
        <x:v>Multiple dependencies - verify source queues</x:v>
      </x:c>
      <x:c r="G818" s="6" t="str">
        <x:f>IFERROR(XLOOKUP(C818,'Review Sequence'!C2:C1586,'Review Sequence'!J2:J1586),"")</x:f>
        <x:v>Not Started</x:v>
      </x:c>
      <x:c r="H818" s="7" t="str">
        <x:f>IFERROR(XLOOKUP(C818,'Review Sequence'!C2:C1586,'Review Sequence'!O2:O1586),"")</x:f>
      </x:c>
      <x:c r="I818" s="6" t="str">
        <x:f>IFERROR(XLOOKUP(C818,'Review Sequence'!C2:C1586,'Review Sequence'!P2:P1586),"")</x:f>
        <x:v>Yes</x:v>
      </x:c>
    </x:row>
    <x:row r="819">
      <x:c r="A819" s="6" t="str">
        <x:v>BLK-0818</x:v>
      </x:c>
      <x:c r="B819" s="6" t="str">
        <x:v>Device Applicability</x:v>
      </x:c>
      <x:c r="C819" s="6" t="str">
        <x:v>DEVX-0175</x:v>
      </x:c>
      <x:c r="D819" s="6" t="str">
        <x:v>SVC000175</x:v>
      </x:c>
      <x:c r="E819" s="6" t="str"/>
      <x:c r="F819" s="6" t="str">
        <x:f>IFERROR(XLOOKUP(C819,'Review Sequence'!C2:C1586,'Review Sequence'!I2:I1586),"")</x:f>
        <x:v>Multiple dependencies - verify source queues</x:v>
      </x:c>
      <x:c r="G819" s="6" t="str">
        <x:f>IFERROR(XLOOKUP(C819,'Review Sequence'!C2:C1586,'Review Sequence'!J2:J1586),"")</x:f>
        <x:v>Not Started</x:v>
      </x:c>
      <x:c r="H819" s="7" t="str">
        <x:f>IFERROR(XLOOKUP(C819,'Review Sequence'!C2:C1586,'Review Sequence'!O2:O1586),"")</x:f>
      </x:c>
      <x:c r="I819" s="6" t="str">
        <x:f>IFERROR(XLOOKUP(C819,'Review Sequence'!C2:C1586,'Review Sequence'!P2:P1586),"")</x:f>
        <x:v>Yes</x:v>
      </x:c>
    </x:row>
    <x:row r="820">
      <x:c r="A820" s="6" t="str">
        <x:v>BLK-0819</x:v>
      </x:c>
      <x:c r="B820" s="6" t="str">
        <x:v>Device Applicability</x:v>
      </x:c>
      <x:c r="C820" s="6" t="str">
        <x:v>DEVX-0176</x:v>
      </x:c>
      <x:c r="D820" s="6" t="str">
        <x:v>SVC000176</x:v>
      </x:c>
      <x:c r="E820" s="6" t="str"/>
      <x:c r="F820" s="6" t="str">
        <x:f>IFERROR(XLOOKUP(C820,'Review Sequence'!C2:C1586,'Review Sequence'!I2:I1586),"")</x:f>
        <x:v>Multiple dependencies - verify source queues</x:v>
      </x:c>
      <x:c r="G820" s="6" t="str">
        <x:f>IFERROR(XLOOKUP(C820,'Review Sequence'!C2:C1586,'Review Sequence'!J2:J1586),"")</x:f>
        <x:v>Not Started</x:v>
      </x:c>
      <x:c r="H820" s="7" t="str">
        <x:f>IFERROR(XLOOKUP(C820,'Review Sequence'!C2:C1586,'Review Sequence'!O2:O1586),"")</x:f>
      </x:c>
      <x:c r="I820" s="6" t="str">
        <x:f>IFERROR(XLOOKUP(C820,'Review Sequence'!C2:C1586,'Review Sequence'!P2:P1586),"")</x:f>
        <x:v>Yes</x:v>
      </x:c>
    </x:row>
    <x:row r="821">
      <x:c r="A821" s="6" t="str">
        <x:v>BLK-0820</x:v>
      </x:c>
      <x:c r="B821" s="6" t="str">
        <x:v>Device Applicability</x:v>
      </x:c>
      <x:c r="C821" s="6" t="str">
        <x:v>DEVX-0177</x:v>
      </x:c>
      <x:c r="D821" s="6" t="str">
        <x:v>SVC000177</x:v>
      </x:c>
      <x:c r="E821" s="6" t="str"/>
      <x:c r="F821" s="6" t="str">
        <x:f>IFERROR(XLOOKUP(C821,'Review Sequence'!C2:C1586,'Review Sequence'!I2:I1586),"")</x:f>
        <x:v>Multiple dependencies - verify source queues</x:v>
      </x:c>
      <x:c r="G821" s="6" t="str">
        <x:f>IFERROR(XLOOKUP(C821,'Review Sequence'!C2:C1586,'Review Sequence'!J2:J1586),"")</x:f>
        <x:v>Not Started</x:v>
      </x:c>
      <x:c r="H821" s="7" t="str">
        <x:f>IFERROR(XLOOKUP(C821,'Review Sequence'!C2:C1586,'Review Sequence'!O2:O1586),"")</x:f>
      </x:c>
      <x:c r="I821" s="6" t="str">
        <x:f>IFERROR(XLOOKUP(C821,'Review Sequence'!C2:C1586,'Review Sequence'!P2:P1586),"")</x:f>
        <x:v>Yes</x:v>
      </x:c>
    </x:row>
    <x:row r="822">
      <x:c r="A822" s="6" t="str">
        <x:v>BLK-0821</x:v>
      </x:c>
      <x:c r="B822" s="6" t="str">
        <x:v>Device Applicability</x:v>
      </x:c>
      <x:c r="C822" s="6" t="str">
        <x:v>DEVX-0178</x:v>
      </x:c>
      <x:c r="D822" s="6" t="str">
        <x:v>SVC000178</x:v>
      </x:c>
      <x:c r="E822" s="6" t="str"/>
      <x:c r="F822" s="6" t="str">
        <x:f>IFERROR(XLOOKUP(C822,'Review Sequence'!C2:C1586,'Review Sequence'!I2:I1586),"")</x:f>
        <x:v>Multiple dependencies - verify source queues</x:v>
      </x:c>
      <x:c r="G822" s="6" t="str">
        <x:f>IFERROR(XLOOKUP(C822,'Review Sequence'!C2:C1586,'Review Sequence'!J2:J1586),"")</x:f>
        <x:v>Not Started</x:v>
      </x:c>
      <x:c r="H822" s="7" t="str">
        <x:f>IFERROR(XLOOKUP(C822,'Review Sequence'!C2:C1586,'Review Sequence'!O2:O1586),"")</x:f>
      </x:c>
      <x:c r="I822" s="6" t="str">
        <x:f>IFERROR(XLOOKUP(C822,'Review Sequence'!C2:C1586,'Review Sequence'!P2:P1586),"")</x:f>
        <x:v>Yes</x:v>
      </x:c>
    </x:row>
    <x:row r="823">
      <x:c r="A823" s="6" t="str">
        <x:v>BLK-0822</x:v>
      </x:c>
      <x:c r="B823" s="6" t="str">
        <x:v>Device Applicability</x:v>
      </x:c>
      <x:c r="C823" s="6" t="str">
        <x:v>DEVX-0179</x:v>
      </x:c>
      <x:c r="D823" s="6" t="str">
        <x:v>SVC000179</x:v>
      </x:c>
      <x:c r="E823" s="6" t="str"/>
      <x:c r="F823" s="6" t="str">
        <x:f>IFERROR(XLOOKUP(C823,'Review Sequence'!C2:C1586,'Review Sequence'!I2:I1586),"")</x:f>
        <x:v>Multiple dependencies - verify source queues</x:v>
      </x:c>
      <x:c r="G823" s="6" t="str">
        <x:f>IFERROR(XLOOKUP(C823,'Review Sequence'!C2:C1586,'Review Sequence'!J2:J1586),"")</x:f>
        <x:v>Not Started</x:v>
      </x:c>
      <x:c r="H823" s="7" t="str">
        <x:f>IFERROR(XLOOKUP(C823,'Review Sequence'!C2:C1586,'Review Sequence'!O2:O1586),"")</x:f>
      </x:c>
      <x:c r="I823" s="6" t="str">
        <x:f>IFERROR(XLOOKUP(C823,'Review Sequence'!C2:C1586,'Review Sequence'!P2:P1586),"")</x:f>
        <x:v>Yes</x:v>
      </x:c>
    </x:row>
    <x:row r="824">
      <x:c r="A824" s="6" t="str">
        <x:v>BLK-0823</x:v>
      </x:c>
      <x:c r="B824" s="6" t="str">
        <x:v>Device Applicability</x:v>
      </x:c>
      <x:c r="C824" s="6" t="str">
        <x:v>DEVX-0180</x:v>
      </x:c>
      <x:c r="D824" s="6" t="str">
        <x:v>SVC000180</x:v>
      </x:c>
      <x:c r="E824" s="6" t="str"/>
      <x:c r="F824" s="6" t="str">
        <x:f>IFERROR(XLOOKUP(C824,'Review Sequence'!C2:C1586,'Review Sequence'!I2:I1586),"")</x:f>
        <x:v>Multiple dependencies - verify source queues</x:v>
      </x:c>
      <x:c r="G824" s="6" t="str">
        <x:f>IFERROR(XLOOKUP(C824,'Review Sequence'!C2:C1586,'Review Sequence'!J2:J1586),"")</x:f>
        <x:v>Not Started</x:v>
      </x:c>
      <x:c r="H824" s="7" t="str">
        <x:f>IFERROR(XLOOKUP(C824,'Review Sequence'!C2:C1586,'Review Sequence'!O2:O1586),"")</x:f>
      </x:c>
      <x:c r="I824" s="6" t="str">
        <x:f>IFERROR(XLOOKUP(C824,'Review Sequence'!C2:C1586,'Review Sequence'!P2:P1586),"")</x:f>
        <x:v>Yes</x:v>
      </x:c>
    </x:row>
    <x:row r="825">
      <x:c r="A825" s="6" t="str">
        <x:v>BLK-0824</x:v>
      </x:c>
      <x:c r="B825" s="6" t="str">
        <x:v>Device Applicability</x:v>
      </x:c>
      <x:c r="C825" s="6" t="str">
        <x:v>DEVX-0181</x:v>
      </x:c>
      <x:c r="D825" s="6" t="str">
        <x:v>SVC000181</x:v>
      </x:c>
      <x:c r="E825" s="6" t="str"/>
      <x:c r="F825" s="6" t="str">
        <x:f>IFERROR(XLOOKUP(C825,'Review Sequence'!C2:C1586,'Review Sequence'!I2:I1586),"")</x:f>
        <x:v>Multiple dependencies - verify source queues</x:v>
      </x:c>
      <x:c r="G825" s="6" t="str">
        <x:f>IFERROR(XLOOKUP(C825,'Review Sequence'!C2:C1586,'Review Sequence'!J2:J1586),"")</x:f>
        <x:v>Not Started</x:v>
      </x:c>
      <x:c r="H825" s="7" t="str">
        <x:f>IFERROR(XLOOKUP(C825,'Review Sequence'!C2:C1586,'Review Sequence'!O2:O1586),"")</x:f>
      </x:c>
      <x:c r="I825" s="6" t="str">
        <x:f>IFERROR(XLOOKUP(C825,'Review Sequence'!C2:C1586,'Review Sequence'!P2:P1586),"")</x:f>
        <x:v>Yes</x:v>
      </x:c>
    </x:row>
    <x:row r="826">
      <x:c r="A826" s="6" t="str">
        <x:v>BLK-0825</x:v>
      </x:c>
      <x:c r="B826" s="6" t="str">
        <x:v>Device Applicability</x:v>
      </x:c>
      <x:c r="C826" s="6" t="str">
        <x:v>DEVX-0182</x:v>
      </x:c>
      <x:c r="D826" s="6" t="str">
        <x:v>SVC000182</x:v>
      </x:c>
      <x:c r="E826" s="6" t="str"/>
      <x:c r="F826" s="6" t="str">
        <x:f>IFERROR(XLOOKUP(C826,'Review Sequence'!C2:C1586,'Review Sequence'!I2:I1586),"")</x:f>
        <x:v>Multiple dependencies - verify source queues</x:v>
      </x:c>
      <x:c r="G826" s="6" t="str">
        <x:f>IFERROR(XLOOKUP(C826,'Review Sequence'!C2:C1586,'Review Sequence'!J2:J1586),"")</x:f>
        <x:v>Not Started</x:v>
      </x:c>
      <x:c r="H826" s="7" t="str">
        <x:f>IFERROR(XLOOKUP(C826,'Review Sequence'!C2:C1586,'Review Sequence'!O2:O1586),"")</x:f>
      </x:c>
      <x:c r="I826" s="6" t="str">
        <x:f>IFERROR(XLOOKUP(C826,'Review Sequence'!C2:C1586,'Review Sequence'!P2:P1586),"")</x:f>
        <x:v>Yes</x:v>
      </x:c>
    </x:row>
    <x:row r="827">
      <x:c r="A827" s="6" t="str">
        <x:v>BLK-0826</x:v>
      </x:c>
      <x:c r="B827" s="6" t="str">
        <x:v>Device Applicability</x:v>
      </x:c>
      <x:c r="C827" s="6" t="str">
        <x:v>DEVX-0183</x:v>
      </x:c>
      <x:c r="D827" s="6" t="str">
        <x:v>SVC000183</x:v>
      </x:c>
      <x:c r="E827" s="6" t="str"/>
      <x:c r="F827" s="6" t="str">
        <x:f>IFERROR(XLOOKUP(C827,'Review Sequence'!C2:C1586,'Review Sequence'!I2:I1586),"")</x:f>
        <x:v>Multiple dependencies - verify source queues</x:v>
      </x:c>
      <x:c r="G827" s="6" t="str">
        <x:f>IFERROR(XLOOKUP(C827,'Review Sequence'!C2:C1586,'Review Sequence'!J2:J1586),"")</x:f>
        <x:v>Not Started</x:v>
      </x:c>
      <x:c r="H827" s="7" t="str">
        <x:f>IFERROR(XLOOKUP(C827,'Review Sequence'!C2:C1586,'Review Sequence'!O2:O1586),"")</x:f>
      </x:c>
      <x:c r="I827" s="6" t="str">
        <x:f>IFERROR(XLOOKUP(C827,'Review Sequence'!C2:C1586,'Review Sequence'!P2:P1586),"")</x:f>
        <x:v>Yes</x:v>
      </x:c>
    </x:row>
    <x:row r="828">
      <x:c r="A828" s="6" t="str">
        <x:v>BLK-0827</x:v>
      </x:c>
      <x:c r="B828" s="6" t="str">
        <x:v>Device Applicability</x:v>
      </x:c>
      <x:c r="C828" s="6" t="str">
        <x:v>DEVX-0184</x:v>
      </x:c>
      <x:c r="D828" s="6" t="str">
        <x:v>SVC000184</x:v>
      </x:c>
      <x:c r="E828" s="6" t="str"/>
      <x:c r="F828" s="6" t="str">
        <x:f>IFERROR(XLOOKUP(C828,'Review Sequence'!C2:C1586,'Review Sequence'!I2:I1586),"")</x:f>
        <x:v>Multiple dependencies - verify source queues</x:v>
      </x:c>
      <x:c r="G828" s="6" t="str">
        <x:f>IFERROR(XLOOKUP(C828,'Review Sequence'!C2:C1586,'Review Sequence'!J2:J1586),"")</x:f>
        <x:v>Not Started</x:v>
      </x:c>
      <x:c r="H828" s="7" t="str">
        <x:f>IFERROR(XLOOKUP(C828,'Review Sequence'!C2:C1586,'Review Sequence'!O2:O1586),"")</x:f>
      </x:c>
      <x:c r="I828" s="6" t="str">
        <x:f>IFERROR(XLOOKUP(C828,'Review Sequence'!C2:C1586,'Review Sequence'!P2:P1586),"")</x:f>
        <x:v>Yes</x:v>
      </x:c>
    </x:row>
    <x:row r="829">
      <x:c r="A829" s="6" t="str">
        <x:v>BLK-0828</x:v>
      </x:c>
      <x:c r="B829" s="6" t="str">
        <x:v>Device Applicability</x:v>
      </x:c>
      <x:c r="C829" s="6" t="str">
        <x:v>DEVX-0185</x:v>
      </x:c>
      <x:c r="D829" s="6" t="str">
        <x:v>SVC000185</x:v>
      </x:c>
      <x:c r="E829" s="6" t="str"/>
      <x:c r="F829" s="6" t="str">
        <x:f>IFERROR(XLOOKUP(C829,'Review Sequence'!C2:C1586,'Review Sequence'!I2:I1586),"")</x:f>
        <x:v>Multiple dependencies - verify source queues</x:v>
      </x:c>
      <x:c r="G829" s="6" t="str">
        <x:f>IFERROR(XLOOKUP(C829,'Review Sequence'!C2:C1586,'Review Sequence'!J2:J1586),"")</x:f>
        <x:v>Not Started</x:v>
      </x:c>
      <x:c r="H829" s="7" t="str">
        <x:f>IFERROR(XLOOKUP(C829,'Review Sequence'!C2:C1586,'Review Sequence'!O2:O1586),"")</x:f>
      </x:c>
      <x:c r="I829" s="6" t="str">
        <x:f>IFERROR(XLOOKUP(C829,'Review Sequence'!C2:C1586,'Review Sequence'!P2:P1586),"")</x:f>
        <x:v>Yes</x:v>
      </x:c>
    </x:row>
    <x:row r="830">
      <x:c r="A830" s="6" t="str">
        <x:v>BLK-0829</x:v>
      </x:c>
      <x:c r="B830" s="6" t="str">
        <x:v>Device Applicability</x:v>
      </x:c>
      <x:c r="C830" s="6" t="str">
        <x:v>DEVX-0186</x:v>
      </x:c>
      <x:c r="D830" s="6" t="str">
        <x:v>SVC000186</x:v>
      </x:c>
      <x:c r="E830" s="6" t="str"/>
      <x:c r="F830" s="6" t="str">
        <x:f>IFERROR(XLOOKUP(C830,'Review Sequence'!C2:C1586,'Review Sequence'!I2:I1586),"")</x:f>
        <x:v>Multiple dependencies - verify source queues</x:v>
      </x:c>
      <x:c r="G830" s="6" t="str">
        <x:f>IFERROR(XLOOKUP(C830,'Review Sequence'!C2:C1586,'Review Sequence'!J2:J1586),"")</x:f>
        <x:v>Not Started</x:v>
      </x:c>
      <x:c r="H830" s="7" t="str">
        <x:f>IFERROR(XLOOKUP(C830,'Review Sequence'!C2:C1586,'Review Sequence'!O2:O1586),"")</x:f>
      </x:c>
      <x:c r="I830" s="6" t="str">
        <x:f>IFERROR(XLOOKUP(C830,'Review Sequence'!C2:C1586,'Review Sequence'!P2:P1586),"")</x:f>
        <x:v>Yes</x:v>
      </x:c>
    </x:row>
    <x:row r="831">
      <x:c r="A831" s="6" t="str">
        <x:v>BLK-0830</x:v>
      </x:c>
      <x:c r="B831" s="6" t="str">
        <x:v>Device Applicability</x:v>
      </x:c>
      <x:c r="C831" s="6" t="str">
        <x:v>DEVX-0187</x:v>
      </x:c>
      <x:c r="D831" s="6" t="str">
        <x:v>SVC000187</x:v>
      </x:c>
      <x:c r="E831" s="6" t="str"/>
      <x:c r="F831" s="6" t="str">
        <x:f>IFERROR(XLOOKUP(C831,'Review Sequence'!C2:C1586,'Review Sequence'!I2:I1586),"")</x:f>
        <x:v>Multiple dependencies - verify source queues</x:v>
      </x:c>
      <x:c r="G831" s="6" t="str">
        <x:f>IFERROR(XLOOKUP(C831,'Review Sequence'!C2:C1586,'Review Sequence'!J2:J1586),"")</x:f>
        <x:v>Not Started</x:v>
      </x:c>
      <x:c r="H831" s="7" t="str">
        <x:f>IFERROR(XLOOKUP(C831,'Review Sequence'!C2:C1586,'Review Sequence'!O2:O1586),"")</x:f>
      </x:c>
      <x:c r="I831" s="6" t="str">
        <x:f>IFERROR(XLOOKUP(C831,'Review Sequence'!C2:C1586,'Review Sequence'!P2:P1586),"")</x:f>
        <x:v>Yes</x:v>
      </x:c>
    </x:row>
    <x:row r="832">
      <x:c r="A832" s="6" t="str">
        <x:v>BLK-0831</x:v>
      </x:c>
      <x:c r="B832" s="6" t="str">
        <x:v>Device Applicability</x:v>
      </x:c>
      <x:c r="C832" s="6" t="str">
        <x:v>DEVX-0188</x:v>
      </x:c>
      <x:c r="D832" s="6" t="str">
        <x:v>SVC000188</x:v>
      </x:c>
      <x:c r="E832" s="6" t="str"/>
      <x:c r="F832" s="6" t="str">
        <x:f>IFERROR(XLOOKUP(C832,'Review Sequence'!C2:C1586,'Review Sequence'!I2:I1586),"")</x:f>
        <x:v>Multiple dependencies - verify source queues</x:v>
      </x:c>
      <x:c r="G832" s="6" t="str">
        <x:f>IFERROR(XLOOKUP(C832,'Review Sequence'!C2:C1586,'Review Sequence'!J2:J1586),"")</x:f>
        <x:v>Not Started</x:v>
      </x:c>
      <x:c r="H832" s="7" t="str">
        <x:f>IFERROR(XLOOKUP(C832,'Review Sequence'!C2:C1586,'Review Sequence'!O2:O1586),"")</x:f>
      </x:c>
      <x:c r="I832" s="6" t="str">
        <x:f>IFERROR(XLOOKUP(C832,'Review Sequence'!C2:C1586,'Review Sequence'!P2:P1586),"")</x:f>
        <x:v>Yes</x:v>
      </x:c>
    </x:row>
    <x:row r="833">
      <x:c r="A833" s="6" t="str">
        <x:v>BLK-0832</x:v>
      </x:c>
      <x:c r="B833" s="6" t="str">
        <x:v>Device Applicability</x:v>
      </x:c>
      <x:c r="C833" s="6" t="str">
        <x:v>DEVX-0189</x:v>
      </x:c>
      <x:c r="D833" s="6" t="str">
        <x:v>SVC000189</x:v>
      </x:c>
      <x:c r="E833" s="6" t="str"/>
      <x:c r="F833" s="6" t="str">
        <x:f>IFERROR(XLOOKUP(C833,'Review Sequence'!C2:C1586,'Review Sequence'!I2:I1586),"")</x:f>
        <x:v>Multiple dependencies - verify source queues</x:v>
      </x:c>
      <x:c r="G833" s="6" t="str">
        <x:f>IFERROR(XLOOKUP(C833,'Review Sequence'!C2:C1586,'Review Sequence'!J2:J1586),"")</x:f>
        <x:v>Not Started</x:v>
      </x:c>
      <x:c r="H833" s="7" t="str">
        <x:f>IFERROR(XLOOKUP(C833,'Review Sequence'!C2:C1586,'Review Sequence'!O2:O1586),"")</x:f>
      </x:c>
      <x:c r="I833" s="6" t="str">
        <x:f>IFERROR(XLOOKUP(C833,'Review Sequence'!C2:C1586,'Review Sequence'!P2:P1586),"")</x:f>
        <x:v>Yes</x:v>
      </x:c>
    </x:row>
    <x:row r="834">
      <x:c r="A834" s="6" t="str">
        <x:v>BLK-0833</x:v>
      </x:c>
      <x:c r="B834" s="6" t="str">
        <x:v>Device Applicability</x:v>
      </x:c>
      <x:c r="C834" s="6" t="str">
        <x:v>DEVX-0190</x:v>
      </x:c>
      <x:c r="D834" s="6" t="str">
        <x:v>SVC000190</x:v>
      </x:c>
      <x:c r="E834" s="6" t="str"/>
      <x:c r="F834" s="6" t="str">
        <x:f>IFERROR(XLOOKUP(C834,'Review Sequence'!C2:C1586,'Review Sequence'!I2:I1586),"")</x:f>
        <x:v>Multiple dependencies - verify source queues</x:v>
      </x:c>
      <x:c r="G834" s="6" t="str">
        <x:f>IFERROR(XLOOKUP(C834,'Review Sequence'!C2:C1586,'Review Sequence'!J2:J1586),"")</x:f>
        <x:v>Not Started</x:v>
      </x:c>
      <x:c r="H834" s="7" t="str">
        <x:f>IFERROR(XLOOKUP(C834,'Review Sequence'!C2:C1586,'Review Sequence'!O2:O1586),"")</x:f>
      </x:c>
      <x:c r="I834" s="6" t="str">
        <x:f>IFERROR(XLOOKUP(C834,'Review Sequence'!C2:C1586,'Review Sequence'!P2:P1586),"")</x:f>
        <x:v>Yes</x:v>
      </x:c>
    </x:row>
    <x:row r="835">
      <x:c r="A835" s="6" t="str">
        <x:v>BLK-0834</x:v>
      </x:c>
      <x:c r="B835" s="6" t="str">
        <x:v>Device Applicability</x:v>
      </x:c>
      <x:c r="C835" s="6" t="str">
        <x:v>DEVX-0191</x:v>
      </x:c>
      <x:c r="D835" s="6" t="str">
        <x:v>SVC000191</x:v>
      </x:c>
      <x:c r="E835" s="6" t="str"/>
      <x:c r="F835" s="6" t="str">
        <x:f>IFERROR(XLOOKUP(C835,'Review Sequence'!C2:C1586,'Review Sequence'!I2:I1586),"")</x:f>
        <x:v>Multiple dependencies - verify source queues</x:v>
      </x:c>
      <x:c r="G835" s="6" t="str">
        <x:f>IFERROR(XLOOKUP(C835,'Review Sequence'!C2:C1586,'Review Sequence'!J2:J1586),"")</x:f>
        <x:v>Not Started</x:v>
      </x:c>
      <x:c r="H835" s="7" t="str">
        <x:f>IFERROR(XLOOKUP(C835,'Review Sequence'!C2:C1586,'Review Sequence'!O2:O1586),"")</x:f>
      </x:c>
      <x:c r="I835" s="6" t="str">
        <x:f>IFERROR(XLOOKUP(C835,'Review Sequence'!C2:C1586,'Review Sequence'!P2:P1586),"")</x:f>
        <x:v>Yes</x:v>
      </x:c>
    </x:row>
    <x:row r="836">
      <x:c r="A836" s="6" t="str">
        <x:v>BLK-0835</x:v>
      </x:c>
      <x:c r="B836" s="6" t="str">
        <x:v>Device Applicability</x:v>
      </x:c>
      <x:c r="C836" s="6" t="str">
        <x:v>DEVX-0192</x:v>
      </x:c>
      <x:c r="D836" s="6" t="str">
        <x:v>SVC000192</x:v>
      </x:c>
      <x:c r="E836" s="6" t="str"/>
      <x:c r="F836" s="6" t="str">
        <x:f>IFERROR(XLOOKUP(C836,'Review Sequence'!C2:C1586,'Review Sequence'!I2:I1586),"")</x:f>
        <x:v>Multiple dependencies - verify source queues</x:v>
      </x:c>
      <x:c r="G836" s="6" t="str">
        <x:f>IFERROR(XLOOKUP(C836,'Review Sequence'!C2:C1586,'Review Sequence'!J2:J1586),"")</x:f>
        <x:v>Not Started</x:v>
      </x:c>
      <x:c r="H836" s="7" t="str">
        <x:f>IFERROR(XLOOKUP(C836,'Review Sequence'!C2:C1586,'Review Sequence'!O2:O1586),"")</x:f>
      </x:c>
      <x:c r="I836" s="6" t="str">
        <x:f>IFERROR(XLOOKUP(C836,'Review Sequence'!C2:C1586,'Review Sequence'!P2:P1586),"")</x:f>
        <x:v>Yes</x:v>
      </x:c>
    </x:row>
    <x:row r="837">
      <x:c r="A837" s="6" t="str">
        <x:v>BLK-0836</x:v>
      </x:c>
      <x:c r="B837" s="6" t="str">
        <x:v>Device Applicability</x:v>
      </x:c>
      <x:c r="C837" s="6" t="str">
        <x:v>DEVX-0193</x:v>
      </x:c>
      <x:c r="D837" s="6" t="str">
        <x:v>SVC000193</x:v>
      </x:c>
      <x:c r="E837" s="6" t="str"/>
      <x:c r="F837" s="6" t="str">
        <x:f>IFERROR(XLOOKUP(C837,'Review Sequence'!C2:C1586,'Review Sequence'!I2:I1586),"")</x:f>
        <x:v>Multiple dependencies - verify source queues</x:v>
      </x:c>
      <x:c r="G837" s="6" t="str">
        <x:f>IFERROR(XLOOKUP(C837,'Review Sequence'!C2:C1586,'Review Sequence'!J2:J1586),"")</x:f>
        <x:v>Not Started</x:v>
      </x:c>
      <x:c r="H837" s="7" t="str">
        <x:f>IFERROR(XLOOKUP(C837,'Review Sequence'!C2:C1586,'Review Sequence'!O2:O1586),"")</x:f>
      </x:c>
      <x:c r="I837" s="6" t="str">
        <x:f>IFERROR(XLOOKUP(C837,'Review Sequence'!C2:C1586,'Review Sequence'!P2:P1586),"")</x:f>
        <x:v>Yes</x:v>
      </x:c>
    </x:row>
    <x:row r="838">
      <x:c r="A838" s="6" t="str">
        <x:v>BLK-0837</x:v>
      </x:c>
      <x:c r="B838" s="6" t="str">
        <x:v>Device Applicability</x:v>
      </x:c>
      <x:c r="C838" s="6" t="str">
        <x:v>DEVX-0194</x:v>
      </x:c>
      <x:c r="D838" s="6" t="str">
        <x:v>SVC000194</x:v>
      </x:c>
      <x:c r="E838" s="6" t="str"/>
      <x:c r="F838" s="6" t="str">
        <x:f>IFERROR(XLOOKUP(C838,'Review Sequence'!C2:C1586,'Review Sequence'!I2:I1586),"")</x:f>
        <x:v>Multiple dependencies - verify source queues</x:v>
      </x:c>
      <x:c r="G838" s="6" t="str">
        <x:f>IFERROR(XLOOKUP(C838,'Review Sequence'!C2:C1586,'Review Sequence'!J2:J1586),"")</x:f>
        <x:v>Not Started</x:v>
      </x:c>
      <x:c r="H838" s="7" t="str">
        <x:f>IFERROR(XLOOKUP(C838,'Review Sequence'!C2:C1586,'Review Sequence'!O2:O1586),"")</x:f>
      </x:c>
      <x:c r="I838" s="6" t="str">
        <x:f>IFERROR(XLOOKUP(C838,'Review Sequence'!C2:C1586,'Review Sequence'!P2:P1586),"")</x:f>
        <x:v>Yes</x:v>
      </x:c>
    </x:row>
    <x:row r="839">
      <x:c r="A839" s="6" t="str">
        <x:v>BLK-0838</x:v>
      </x:c>
      <x:c r="B839" s="6" t="str">
        <x:v>Device Applicability</x:v>
      </x:c>
      <x:c r="C839" s="6" t="str">
        <x:v>DEVX-0195</x:v>
      </x:c>
      <x:c r="D839" s="6" t="str">
        <x:v>SVC000195</x:v>
      </x:c>
      <x:c r="E839" s="6" t="str"/>
      <x:c r="F839" s="6" t="str">
        <x:f>IFERROR(XLOOKUP(C839,'Review Sequence'!C2:C1586,'Review Sequence'!I2:I1586),"")</x:f>
        <x:v>Multiple dependencies - verify source queues</x:v>
      </x:c>
      <x:c r="G839" s="6" t="str">
        <x:f>IFERROR(XLOOKUP(C839,'Review Sequence'!C2:C1586,'Review Sequence'!J2:J1586),"")</x:f>
        <x:v>Not Started</x:v>
      </x:c>
      <x:c r="H839" s="7" t="str">
        <x:f>IFERROR(XLOOKUP(C839,'Review Sequence'!C2:C1586,'Review Sequence'!O2:O1586),"")</x:f>
      </x:c>
      <x:c r="I839" s="6" t="str">
        <x:f>IFERROR(XLOOKUP(C839,'Review Sequence'!C2:C1586,'Review Sequence'!P2:P1586),"")</x:f>
        <x:v>Yes</x:v>
      </x:c>
    </x:row>
    <x:row r="840">
      <x:c r="A840" s="6" t="str">
        <x:v>BLK-0839</x:v>
      </x:c>
      <x:c r="B840" s="6" t="str">
        <x:v>Device Applicability</x:v>
      </x:c>
      <x:c r="C840" s="6" t="str">
        <x:v>DEVX-0196</x:v>
      </x:c>
      <x:c r="D840" s="6" t="str">
        <x:v>SVC000196</x:v>
      </x:c>
      <x:c r="E840" s="6" t="str"/>
      <x:c r="F840" s="6" t="str">
        <x:f>IFERROR(XLOOKUP(C840,'Review Sequence'!C2:C1586,'Review Sequence'!I2:I1586),"")</x:f>
        <x:v>Multiple dependencies - verify source queues</x:v>
      </x:c>
      <x:c r="G840" s="6" t="str">
        <x:f>IFERROR(XLOOKUP(C840,'Review Sequence'!C2:C1586,'Review Sequence'!J2:J1586),"")</x:f>
        <x:v>Not Started</x:v>
      </x:c>
      <x:c r="H840" s="7" t="str">
        <x:f>IFERROR(XLOOKUP(C840,'Review Sequence'!C2:C1586,'Review Sequence'!O2:O1586),"")</x:f>
      </x:c>
      <x:c r="I840" s="6" t="str">
        <x:f>IFERROR(XLOOKUP(C840,'Review Sequence'!C2:C1586,'Review Sequence'!P2:P1586),"")</x:f>
        <x:v>Yes</x:v>
      </x:c>
    </x:row>
    <x:row r="841">
      <x:c r="A841" s="6" t="str">
        <x:v>BLK-0840</x:v>
      </x:c>
      <x:c r="B841" s="6" t="str">
        <x:v>Device Applicability</x:v>
      </x:c>
      <x:c r="C841" s="6" t="str">
        <x:v>DEVX-0197</x:v>
      </x:c>
      <x:c r="D841" s="6" t="str">
        <x:v>SVC000197</x:v>
      </x:c>
      <x:c r="E841" s="6" t="str"/>
      <x:c r="F841" s="6" t="str">
        <x:f>IFERROR(XLOOKUP(C841,'Review Sequence'!C2:C1586,'Review Sequence'!I2:I1586),"")</x:f>
        <x:v>Multiple dependencies - verify source queues</x:v>
      </x:c>
      <x:c r="G841" s="6" t="str">
        <x:f>IFERROR(XLOOKUP(C841,'Review Sequence'!C2:C1586,'Review Sequence'!J2:J1586),"")</x:f>
        <x:v>Not Started</x:v>
      </x:c>
      <x:c r="H841" s="7" t="str">
        <x:f>IFERROR(XLOOKUP(C841,'Review Sequence'!C2:C1586,'Review Sequence'!O2:O1586),"")</x:f>
      </x:c>
      <x:c r="I841" s="6" t="str">
        <x:f>IFERROR(XLOOKUP(C841,'Review Sequence'!C2:C1586,'Review Sequence'!P2:P1586),"")</x:f>
        <x:v>Yes</x:v>
      </x:c>
    </x:row>
    <x:row r="842">
      <x:c r="A842" s="6" t="str">
        <x:v>BLK-0841</x:v>
      </x:c>
      <x:c r="B842" s="6" t="str">
        <x:v>Device Applicability</x:v>
      </x:c>
      <x:c r="C842" s="6" t="str">
        <x:v>DEVX-0198</x:v>
      </x:c>
      <x:c r="D842" s="6" t="str">
        <x:v>SVC000198</x:v>
      </x:c>
      <x:c r="E842" s="6" t="str"/>
      <x:c r="F842" s="6" t="str">
        <x:f>IFERROR(XLOOKUP(C842,'Review Sequence'!C2:C1586,'Review Sequence'!I2:I1586),"")</x:f>
        <x:v>Multiple dependencies - verify source queues</x:v>
      </x:c>
      <x:c r="G842" s="6" t="str">
        <x:f>IFERROR(XLOOKUP(C842,'Review Sequence'!C2:C1586,'Review Sequence'!J2:J1586),"")</x:f>
        <x:v>Not Started</x:v>
      </x:c>
      <x:c r="H842" s="7" t="str">
        <x:f>IFERROR(XLOOKUP(C842,'Review Sequence'!C2:C1586,'Review Sequence'!O2:O1586),"")</x:f>
      </x:c>
      <x:c r="I842" s="6" t="str">
        <x:f>IFERROR(XLOOKUP(C842,'Review Sequence'!C2:C1586,'Review Sequence'!P2:P1586),"")</x:f>
        <x:v>Yes</x:v>
      </x:c>
    </x:row>
    <x:row r="843">
      <x:c r="A843" s="6" t="str">
        <x:v>BLK-0842</x:v>
      </x:c>
      <x:c r="B843" s="6" t="str">
        <x:v>Device Applicability</x:v>
      </x:c>
      <x:c r="C843" s="6" t="str">
        <x:v>DEVX-0199</x:v>
      </x:c>
      <x:c r="D843" s="6" t="str">
        <x:v>SVC000199</x:v>
      </x:c>
      <x:c r="E843" s="6" t="str"/>
      <x:c r="F843" s="6" t="str">
        <x:f>IFERROR(XLOOKUP(C843,'Review Sequence'!C2:C1586,'Review Sequence'!I2:I1586),"")</x:f>
        <x:v>Multiple dependencies - verify source queues</x:v>
      </x:c>
      <x:c r="G843" s="6" t="str">
        <x:f>IFERROR(XLOOKUP(C843,'Review Sequence'!C2:C1586,'Review Sequence'!J2:J1586),"")</x:f>
        <x:v>Not Started</x:v>
      </x:c>
      <x:c r="H843" s="7" t="str">
        <x:f>IFERROR(XLOOKUP(C843,'Review Sequence'!C2:C1586,'Review Sequence'!O2:O1586),"")</x:f>
      </x:c>
      <x:c r="I843" s="6" t="str">
        <x:f>IFERROR(XLOOKUP(C843,'Review Sequence'!C2:C1586,'Review Sequence'!P2:P1586),"")</x:f>
        <x:v>Yes</x:v>
      </x:c>
    </x:row>
    <x:row r="844">
      <x:c r="A844" s="6" t="str">
        <x:v>BLK-0843</x:v>
      </x:c>
      <x:c r="B844" s="6" t="str">
        <x:v>Device Applicability</x:v>
      </x:c>
      <x:c r="C844" s="6" t="str">
        <x:v>DEVX-0200</x:v>
      </x:c>
      <x:c r="D844" s="6" t="str">
        <x:v>SVC000200</x:v>
      </x:c>
      <x:c r="E844" s="6" t="str"/>
      <x:c r="F844" s="6" t="str">
        <x:f>IFERROR(XLOOKUP(C844,'Review Sequence'!C2:C1586,'Review Sequence'!I2:I1586),"")</x:f>
        <x:v>Multiple dependencies - verify source queues</x:v>
      </x:c>
      <x:c r="G844" s="6" t="str">
        <x:f>IFERROR(XLOOKUP(C844,'Review Sequence'!C2:C1586,'Review Sequence'!J2:J1586),"")</x:f>
        <x:v>Not Started</x:v>
      </x:c>
      <x:c r="H844" s="7" t="str">
        <x:f>IFERROR(XLOOKUP(C844,'Review Sequence'!C2:C1586,'Review Sequence'!O2:O1586),"")</x:f>
      </x:c>
      <x:c r="I844" s="6" t="str">
        <x:f>IFERROR(XLOOKUP(C844,'Review Sequence'!C2:C1586,'Review Sequence'!P2:P1586),"")</x:f>
        <x:v>Yes</x:v>
      </x:c>
    </x:row>
    <x:row r="845">
      <x:c r="A845" s="6" t="str">
        <x:v>BLK-0844</x:v>
      </x:c>
      <x:c r="B845" s="6" t="str">
        <x:v>Device Applicability</x:v>
      </x:c>
      <x:c r="C845" s="6" t="str">
        <x:v>DEVX-0201</x:v>
      </x:c>
      <x:c r="D845" s="6" t="str">
        <x:v>SVC000201</x:v>
      </x:c>
      <x:c r="E845" s="6" t="str"/>
      <x:c r="F845" s="6" t="str">
        <x:f>IFERROR(XLOOKUP(C845,'Review Sequence'!C2:C1586,'Review Sequence'!I2:I1586),"")</x:f>
        <x:v>Multiple dependencies - verify source queues</x:v>
      </x:c>
      <x:c r="G845" s="6" t="str">
        <x:f>IFERROR(XLOOKUP(C845,'Review Sequence'!C2:C1586,'Review Sequence'!J2:J1586),"")</x:f>
        <x:v>Not Started</x:v>
      </x:c>
      <x:c r="H845" s="7" t="str">
        <x:f>IFERROR(XLOOKUP(C845,'Review Sequence'!C2:C1586,'Review Sequence'!O2:O1586),"")</x:f>
      </x:c>
      <x:c r="I845" s="6" t="str">
        <x:f>IFERROR(XLOOKUP(C845,'Review Sequence'!C2:C1586,'Review Sequence'!P2:P1586),"")</x:f>
        <x:v>Yes</x:v>
      </x:c>
    </x:row>
    <x:row r="846">
      <x:c r="A846" s="6" t="str">
        <x:v>BLK-0845</x:v>
      </x:c>
      <x:c r="B846" s="6" t="str">
        <x:v>Device Applicability</x:v>
      </x:c>
      <x:c r="C846" s="6" t="str">
        <x:v>DEVX-0202</x:v>
      </x:c>
      <x:c r="D846" s="6" t="str">
        <x:v>SVC000202</x:v>
      </x:c>
      <x:c r="E846" s="6" t="str"/>
      <x:c r="F846" s="6" t="str">
        <x:f>IFERROR(XLOOKUP(C846,'Review Sequence'!C2:C1586,'Review Sequence'!I2:I1586),"")</x:f>
        <x:v>Multiple dependencies - verify source queues</x:v>
      </x:c>
      <x:c r="G846" s="6" t="str">
        <x:f>IFERROR(XLOOKUP(C846,'Review Sequence'!C2:C1586,'Review Sequence'!J2:J1586),"")</x:f>
        <x:v>Not Started</x:v>
      </x:c>
      <x:c r="H846" s="7" t="str">
        <x:f>IFERROR(XLOOKUP(C846,'Review Sequence'!C2:C1586,'Review Sequence'!O2:O1586),"")</x:f>
      </x:c>
      <x:c r="I846" s="6" t="str">
        <x:f>IFERROR(XLOOKUP(C846,'Review Sequence'!C2:C1586,'Review Sequence'!P2:P1586),"")</x:f>
        <x:v>Yes</x:v>
      </x:c>
    </x:row>
    <x:row r="847">
      <x:c r="A847" s="6" t="str">
        <x:v>BLK-0846</x:v>
      </x:c>
      <x:c r="B847" s="6" t="str">
        <x:v>Device Applicability</x:v>
      </x:c>
      <x:c r="C847" s="6" t="str">
        <x:v>DEVX-0203</x:v>
      </x:c>
      <x:c r="D847" s="6" t="str">
        <x:v>SVC000203</x:v>
      </x:c>
      <x:c r="E847" s="6" t="str"/>
      <x:c r="F847" s="6" t="str">
        <x:f>IFERROR(XLOOKUP(C847,'Review Sequence'!C2:C1586,'Review Sequence'!I2:I1586),"")</x:f>
        <x:v>Multiple dependencies - verify source queues</x:v>
      </x:c>
      <x:c r="G847" s="6" t="str">
        <x:f>IFERROR(XLOOKUP(C847,'Review Sequence'!C2:C1586,'Review Sequence'!J2:J1586),"")</x:f>
        <x:v>Not Started</x:v>
      </x:c>
      <x:c r="H847" s="7" t="str">
        <x:f>IFERROR(XLOOKUP(C847,'Review Sequence'!C2:C1586,'Review Sequence'!O2:O1586),"")</x:f>
      </x:c>
      <x:c r="I847" s="6" t="str">
        <x:f>IFERROR(XLOOKUP(C847,'Review Sequence'!C2:C1586,'Review Sequence'!P2:P1586),"")</x:f>
        <x:v>Yes</x:v>
      </x:c>
    </x:row>
    <x:row r="848">
      <x:c r="A848" s="6" t="str">
        <x:v>BLK-0847</x:v>
      </x:c>
      <x:c r="B848" s="6" t="str">
        <x:v>Device Applicability</x:v>
      </x:c>
      <x:c r="C848" s="6" t="str">
        <x:v>DEVX-0204</x:v>
      </x:c>
      <x:c r="D848" s="6" t="str">
        <x:v>SVC000204</x:v>
      </x:c>
      <x:c r="E848" s="6" t="str"/>
      <x:c r="F848" s="6" t="str">
        <x:f>IFERROR(XLOOKUP(C848,'Review Sequence'!C2:C1586,'Review Sequence'!I2:I1586),"")</x:f>
        <x:v>Multiple dependencies - verify source queues</x:v>
      </x:c>
      <x:c r="G848" s="6" t="str">
        <x:f>IFERROR(XLOOKUP(C848,'Review Sequence'!C2:C1586,'Review Sequence'!J2:J1586),"")</x:f>
        <x:v>Not Started</x:v>
      </x:c>
      <x:c r="H848" s="7" t="str">
        <x:f>IFERROR(XLOOKUP(C848,'Review Sequence'!C2:C1586,'Review Sequence'!O2:O1586),"")</x:f>
      </x:c>
      <x:c r="I848" s="6" t="str">
        <x:f>IFERROR(XLOOKUP(C848,'Review Sequence'!C2:C1586,'Review Sequence'!P2:P1586),"")</x:f>
        <x:v>Yes</x:v>
      </x:c>
    </x:row>
    <x:row r="849">
      <x:c r="A849" s="6" t="str">
        <x:v>BLK-0848</x:v>
      </x:c>
      <x:c r="B849" s="6" t="str">
        <x:v>Device Applicability</x:v>
      </x:c>
      <x:c r="C849" s="6" t="str">
        <x:v>DEVX-0205</x:v>
      </x:c>
      <x:c r="D849" s="6" t="str">
        <x:v>SVC000205</x:v>
      </x:c>
      <x:c r="E849" s="6" t="str"/>
      <x:c r="F849" s="6" t="str">
        <x:f>IFERROR(XLOOKUP(C849,'Review Sequence'!C2:C1586,'Review Sequence'!I2:I1586),"")</x:f>
        <x:v>Multiple dependencies - verify source queues</x:v>
      </x:c>
      <x:c r="G849" s="6" t="str">
        <x:f>IFERROR(XLOOKUP(C849,'Review Sequence'!C2:C1586,'Review Sequence'!J2:J1586),"")</x:f>
        <x:v>Not Started</x:v>
      </x:c>
      <x:c r="H849" s="7" t="str">
        <x:f>IFERROR(XLOOKUP(C849,'Review Sequence'!C2:C1586,'Review Sequence'!O2:O1586),"")</x:f>
      </x:c>
      <x:c r="I849" s="6" t="str">
        <x:f>IFERROR(XLOOKUP(C849,'Review Sequence'!C2:C1586,'Review Sequence'!P2:P1586),"")</x:f>
        <x:v>Yes</x:v>
      </x:c>
    </x:row>
    <x:row r="850">
      <x:c r="A850" s="6" t="str">
        <x:v>BLK-0849</x:v>
      </x:c>
      <x:c r="B850" s="6" t="str">
        <x:v>Device Applicability</x:v>
      </x:c>
      <x:c r="C850" s="6" t="str">
        <x:v>DEVX-0206</x:v>
      </x:c>
      <x:c r="D850" s="6" t="str">
        <x:v>SVC000206</x:v>
      </x:c>
      <x:c r="E850" s="6" t="str"/>
      <x:c r="F850" s="6" t="str">
        <x:f>IFERROR(XLOOKUP(C850,'Review Sequence'!C2:C1586,'Review Sequence'!I2:I1586),"")</x:f>
        <x:v>Multiple dependencies - verify source queues</x:v>
      </x:c>
      <x:c r="G850" s="6" t="str">
        <x:f>IFERROR(XLOOKUP(C850,'Review Sequence'!C2:C1586,'Review Sequence'!J2:J1586),"")</x:f>
        <x:v>Not Started</x:v>
      </x:c>
      <x:c r="H850" s="7" t="str">
        <x:f>IFERROR(XLOOKUP(C850,'Review Sequence'!C2:C1586,'Review Sequence'!O2:O1586),"")</x:f>
      </x:c>
      <x:c r="I850" s="6" t="str">
        <x:f>IFERROR(XLOOKUP(C850,'Review Sequence'!C2:C1586,'Review Sequence'!P2:P1586),"")</x:f>
        <x:v>Yes</x:v>
      </x:c>
    </x:row>
    <x:row r="851">
      <x:c r="A851" s="6" t="str">
        <x:v>BLK-0850</x:v>
      </x:c>
      <x:c r="B851" s="6" t="str">
        <x:v>Device Applicability</x:v>
      </x:c>
      <x:c r="C851" s="6" t="str">
        <x:v>DEVX-0207</x:v>
      </x:c>
      <x:c r="D851" s="6" t="str">
        <x:v>SVC000207</x:v>
      </x:c>
      <x:c r="E851" s="6" t="str"/>
      <x:c r="F851" s="6" t="str">
        <x:f>IFERROR(XLOOKUP(C851,'Review Sequence'!C2:C1586,'Review Sequence'!I2:I1586),"")</x:f>
        <x:v>Multiple dependencies - verify source queues</x:v>
      </x:c>
      <x:c r="G851" s="6" t="str">
        <x:f>IFERROR(XLOOKUP(C851,'Review Sequence'!C2:C1586,'Review Sequence'!J2:J1586),"")</x:f>
        <x:v>Not Started</x:v>
      </x:c>
      <x:c r="H851" s="7" t="str">
        <x:f>IFERROR(XLOOKUP(C851,'Review Sequence'!C2:C1586,'Review Sequence'!O2:O1586),"")</x:f>
      </x:c>
      <x:c r="I851" s="6" t="str">
        <x:f>IFERROR(XLOOKUP(C851,'Review Sequence'!C2:C1586,'Review Sequence'!P2:P1586),"")</x:f>
        <x:v>Yes</x:v>
      </x:c>
    </x:row>
    <x:row r="852">
      <x:c r="A852" s="6" t="str">
        <x:v>BLK-0851</x:v>
      </x:c>
      <x:c r="B852" s="6" t="str">
        <x:v>Device Applicability</x:v>
      </x:c>
      <x:c r="C852" s="6" t="str">
        <x:v>DEVX-0208</x:v>
      </x:c>
      <x:c r="D852" s="6" t="str">
        <x:v>SVC000208</x:v>
      </x:c>
      <x:c r="E852" s="6" t="str"/>
      <x:c r="F852" s="6" t="str">
        <x:f>IFERROR(XLOOKUP(C852,'Review Sequence'!C2:C1586,'Review Sequence'!I2:I1586),"")</x:f>
        <x:v>Multiple dependencies - verify source queues</x:v>
      </x:c>
      <x:c r="G852" s="6" t="str">
        <x:f>IFERROR(XLOOKUP(C852,'Review Sequence'!C2:C1586,'Review Sequence'!J2:J1586),"")</x:f>
        <x:v>Not Started</x:v>
      </x:c>
      <x:c r="H852" s="7" t="str">
        <x:f>IFERROR(XLOOKUP(C852,'Review Sequence'!C2:C1586,'Review Sequence'!O2:O1586),"")</x:f>
      </x:c>
      <x:c r="I852" s="6" t="str">
        <x:f>IFERROR(XLOOKUP(C852,'Review Sequence'!C2:C1586,'Review Sequence'!P2:P1586),"")</x:f>
        <x:v>Yes</x:v>
      </x:c>
    </x:row>
    <x:row r="853">
      <x:c r="A853" s="6" t="str">
        <x:v>BLK-0852</x:v>
      </x:c>
      <x:c r="B853" s="6" t="str">
        <x:v>Device Applicability</x:v>
      </x:c>
      <x:c r="C853" s="6" t="str">
        <x:v>DEVX-0209</x:v>
      </x:c>
      <x:c r="D853" s="6" t="str">
        <x:v>SVC000209</x:v>
      </x:c>
      <x:c r="E853" s="6" t="str"/>
      <x:c r="F853" s="6" t="str">
        <x:f>IFERROR(XLOOKUP(C853,'Review Sequence'!C2:C1586,'Review Sequence'!I2:I1586),"")</x:f>
        <x:v>Multiple dependencies - verify source queues</x:v>
      </x:c>
      <x:c r="G853" s="6" t="str">
        <x:f>IFERROR(XLOOKUP(C853,'Review Sequence'!C2:C1586,'Review Sequence'!J2:J1586),"")</x:f>
        <x:v>Not Started</x:v>
      </x:c>
      <x:c r="H853" s="7" t="str">
        <x:f>IFERROR(XLOOKUP(C853,'Review Sequence'!C2:C1586,'Review Sequence'!O2:O1586),"")</x:f>
      </x:c>
      <x:c r="I853" s="6" t="str">
        <x:f>IFERROR(XLOOKUP(C853,'Review Sequence'!C2:C1586,'Review Sequence'!P2:P1586),"")</x:f>
        <x:v>Yes</x:v>
      </x:c>
    </x:row>
    <x:row r="854">
      <x:c r="A854" s="6" t="str">
        <x:v>BLK-0853</x:v>
      </x:c>
      <x:c r="B854" s="6" t="str">
        <x:v>Device Applicability</x:v>
      </x:c>
      <x:c r="C854" s="6" t="str">
        <x:v>DEVX-0210</x:v>
      </x:c>
      <x:c r="D854" s="6" t="str">
        <x:v>SVC000210</x:v>
      </x:c>
      <x:c r="E854" s="6" t="str"/>
      <x:c r="F854" s="6" t="str">
        <x:f>IFERROR(XLOOKUP(C854,'Review Sequence'!C2:C1586,'Review Sequence'!I2:I1586),"")</x:f>
        <x:v>Multiple dependencies - verify source queues</x:v>
      </x:c>
      <x:c r="G854" s="6" t="str">
        <x:f>IFERROR(XLOOKUP(C854,'Review Sequence'!C2:C1586,'Review Sequence'!J2:J1586),"")</x:f>
        <x:v>Not Started</x:v>
      </x:c>
      <x:c r="H854" s="7" t="str">
        <x:f>IFERROR(XLOOKUP(C854,'Review Sequence'!C2:C1586,'Review Sequence'!O2:O1586),"")</x:f>
      </x:c>
      <x:c r="I854" s="6" t="str">
        <x:f>IFERROR(XLOOKUP(C854,'Review Sequence'!C2:C1586,'Review Sequence'!P2:P1586),"")</x:f>
        <x:v>Yes</x:v>
      </x:c>
    </x:row>
    <x:row r="855">
      <x:c r="A855" s="6" t="str">
        <x:v>BLK-0854</x:v>
      </x:c>
      <x:c r="B855" s="6" t="str">
        <x:v>Device Applicability</x:v>
      </x:c>
      <x:c r="C855" s="6" t="str">
        <x:v>DEVX-0211</x:v>
      </x:c>
      <x:c r="D855" s="6" t="str">
        <x:v>SVC000211</x:v>
      </x:c>
      <x:c r="E855" s="6" t="str"/>
      <x:c r="F855" s="6" t="str">
        <x:f>IFERROR(XLOOKUP(C855,'Review Sequence'!C2:C1586,'Review Sequence'!I2:I1586),"")</x:f>
        <x:v>Multiple dependencies - verify source queues</x:v>
      </x:c>
      <x:c r="G855" s="6" t="str">
        <x:f>IFERROR(XLOOKUP(C855,'Review Sequence'!C2:C1586,'Review Sequence'!J2:J1586),"")</x:f>
        <x:v>Not Started</x:v>
      </x:c>
      <x:c r="H855" s="7" t="str">
        <x:f>IFERROR(XLOOKUP(C855,'Review Sequence'!C2:C1586,'Review Sequence'!O2:O1586),"")</x:f>
      </x:c>
      <x:c r="I855" s="6" t="str">
        <x:f>IFERROR(XLOOKUP(C855,'Review Sequence'!C2:C1586,'Review Sequence'!P2:P1586),"")</x:f>
        <x:v>Yes</x:v>
      </x:c>
    </x:row>
    <x:row r="856">
      <x:c r="A856" s="6" t="str">
        <x:v>BLK-0855</x:v>
      </x:c>
      <x:c r="B856" s="6" t="str">
        <x:v>Device Applicability</x:v>
      </x:c>
      <x:c r="C856" s="6" t="str">
        <x:v>DEVX-0212</x:v>
      </x:c>
      <x:c r="D856" s="6" t="str">
        <x:v>SVC000212</x:v>
      </x:c>
      <x:c r="E856" s="6" t="str"/>
      <x:c r="F856" s="6" t="str">
        <x:f>IFERROR(XLOOKUP(C856,'Review Sequence'!C2:C1586,'Review Sequence'!I2:I1586),"")</x:f>
        <x:v>Multiple dependencies - verify source queues</x:v>
      </x:c>
      <x:c r="G856" s="6" t="str">
        <x:f>IFERROR(XLOOKUP(C856,'Review Sequence'!C2:C1586,'Review Sequence'!J2:J1586),"")</x:f>
        <x:v>Not Started</x:v>
      </x:c>
      <x:c r="H856" s="7" t="str">
        <x:f>IFERROR(XLOOKUP(C856,'Review Sequence'!C2:C1586,'Review Sequence'!O2:O1586),"")</x:f>
      </x:c>
      <x:c r="I856" s="6" t="str">
        <x:f>IFERROR(XLOOKUP(C856,'Review Sequence'!C2:C1586,'Review Sequence'!P2:P1586),"")</x:f>
        <x:v>Yes</x:v>
      </x:c>
    </x:row>
    <x:row r="857">
      <x:c r="A857" s="6" t="str">
        <x:v>BLK-0856</x:v>
      </x:c>
      <x:c r="B857" s="6" t="str">
        <x:v>Device Applicability</x:v>
      </x:c>
      <x:c r="C857" s="6" t="str">
        <x:v>DEVX-0213</x:v>
      </x:c>
      <x:c r="D857" s="6" t="str">
        <x:v>SVC000213</x:v>
      </x:c>
      <x:c r="E857" s="6" t="str"/>
      <x:c r="F857" s="6" t="str">
        <x:f>IFERROR(XLOOKUP(C857,'Review Sequence'!C2:C1586,'Review Sequence'!I2:I1586),"")</x:f>
        <x:v>Multiple dependencies - verify source queues</x:v>
      </x:c>
      <x:c r="G857" s="6" t="str">
        <x:f>IFERROR(XLOOKUP(C857,'Review Sequence'!C2:C1586,'Review Sequence'!J2:J1586),"")</x:f>
        <x:v>Not Started</x:v>
      </x:c>
      <x:c r="H857" s="7" t="str">
        <x:f>IFERROR(XLOOKUP(C857,'Review Sequence'!C2:C1586,'Review Sequence'!O2:O1586),"")</x:f>
      </x:c>
      <x:c r="I857" s="6" t="str">
        <x:f>IFERROR(XLOOKUP(C857,'Review Sequence'!C2:C1586,'Review Sequence'!P2:P1586),"")</x:f>
        <x:v>Yes</x:v>
      </x:c>
    </x:row>
    <x:row r="858">
      <x:c r="A858" s="6" t="str">
        <x:v>BLK-0857</x:v>
      </x:c>
      <x:c r="B858" s="6" t="str">
        <x:v>Device Applicability</x:v>
      </x:c>
      <x:c r="C858" s="6" t="str">
        <x:v>DEVX-0214</x:v>
      </x:c>
      <x:c r="D858" s="6" t="str">
        <x:v>SVC000214</x:v>
      </x:c>
      <x:c r="E858" s="6" t="str"/>
      <x:c r="F858" s="6" t="str">
        <x:f>IFERROR(XLOOKUP(C858,'Review Sequence'!C2:C1586,'Review Sequence'!I2:I1586),"")</x:f>
        <x:v>Multiple dependencies - verify source queues</x:v>
      </x:c>
      <x:c r="G858" s="6" t="str">
        <x:f>IFERROR(XLOOKUP(C858,'Review Sequence'!C2:C1586,'Review Sequence'!J2:J1586),"")</x:f>
        <x:v>Not Started</x:v>
      </x:c>
      <x:c r="H858" s="7" t="str">
        <x:f>IFERROR(XLOOKUP(C858,'Review Sequence'!C2:C1586,'Review Sequence'!O2:O1586),"")</x:f>
      </x:c>
      <x:c r="I858" s="6" t="str">
        <x:f>IFERROR(XLOOKUP(C858,'Review Sequence'!C2:C1586,'Review Sequence'!P2:P1586),"")</x:f>
        <x:v>Yes</x:v>
      </x:c>
    </x:row>
    <x:row r="859">
      <x:c r="A859" s="6" t="str">
        <x:v>BLK-0858</x:v>
      </x:c>
      <x:c r="B859" s="6" t="str">
        <x:v>Device Applicability</x:v>
      </x:c>
      <x:c r="C859" s="6" t="str">
        <x:v>DEVX-0215</x:v>
      </x:c>
      <x:c r="D859" s="6" t="str">
        <x:v>SVC000215</x:v>
      </x:c>
      <x:c r="E859" s="6" t="str"/>
      <x:c r="F859" s="6" t="str">
        <x:f>IFERROR(XLOOKUP(C859,'Review Sequence'!C2:C1586,'Review Sequence'!I2:I1586),"")</x:f>
        <x:v>Multiple dependencies - verify source queues</x:v>
      </x:c>
      <x:c r="G859" s="6" t="str">
        <x:f>IFERROR(XLOOKUP(C859,'Review Sequence'!C2:C1586,'Review Sequence'!J2:J1586),"")</x:f>
        <x:v>Not Started</x:v>
      </x:c>
      <x:c r="H859" s="7" t="str">
        <x:f>IFERROR(XLOOKUP(C859,'Review Sequence'!C2:C1586,'Review Sequence'!O2:O1586),"")</x:f>
      </x:c>
      <x:c r="I859" s="6" t="str">
        <x:f>IFERROR(XLOOKUP(C859,'Review Sequence'!C2:C1586,'Review Sequence'!P2:P1586),"")</x:f>
        <x:v>Yes</x:v>
      </x:c>
    </x:row>
    <x:row r="860">
      <x:c r="A860" s="6" t="str">
        <x:v>BLK-0859</x:v>
      </x:c>
      <x:c r="B860" s="6" t="str">
        <x:v>Device Applicability</x:v>
      </x:c>
      <x:c r="C860" s="6" t="str">
        <x:v>DEVX-0216</x:v>
      </x:c>
      <x:c r="D860" s="6" t="str">
        <x:v>SVC000216</x:v>
      </x:c>
      <x:c r="E860" s="6" t="str"/>
      <x:c r="F860" s="6" t="str">
        <x:f>IFERROR(XLOOKUP(C860,'Review Sequence'!C2:C1586,'Review Sequence'!I2:I1586),"")</x:f>
        <x:v>Multiple dependencies - verify source queues</x:v>
      </x:c>
      <x:c r="G860" s="6" t="str">
        <x:f>IFERROR(XLOOKUP(C860,'Review Sequence'!C2:C1586,'Review Sequence'!J2:J1586),"")</x:f>
        <x:v>Not Started</x:v>
      </x:c>
      <x:c r="H860" s="7" t="str">
        <x:f>IFERROR(XLOOKUP(C860,'Review Sequence'!C2:C1586,'Review Sequence'!O2:O1586),"")</x:f>
      </x:c>
      <x:c r="I860" s="6" t="str">
        <x:f>IFERROR(XLOOKUP(C860,'Review Sequence'!C2:C1586,'Review Sequence'!P2:P1586),"")</x:f>
        <x:v>Yes</x:v>
      </x:c>
    </x:row>
    <x:row r="861">
      <x:c r="A861" s="6" t="str">
        <x:v>BLK-0860</x:v>
      </x:c>
      <x:c r="B861" s="6" t="str">
        <x:v>Device Applicability</x:v>
      </x:c>
      <x:c r="C861" s="6" t="str">
        <x:v>DEVX-0217</x:v>
      </x:c>
      <x:c r="D861" s="6" t="str">
        <x:v>SVC000217</x:v>
      </x:c>
      <x:c r="E861" s="6" t="str"/>
      <x:c r="F861" s="6" t="str">
        <x:f>IFERROR(XLOOKUP(C861,'Review Sequence'!C2:C1586,'Review Sequence'!I2:I1586),"")</x:f>
        <x:v>Multiple dependencies - verify source queues</x:v>
      </x:c>
      <x:c r="G861" s="6" t="str">
        <x:f>IFERROR(XLOOKUP(C861,'Review Sequence'!C2:C1586,'Review Sequence'!J2:J1586),"")</x:f>
        <x:v>Not Started</x:v>
      </x:c>
      <x:c r="H861" s="7" t="str">
        <x:f>IFERROR(XLOOKUP(C861,'Review Sequence'!C2:C1586,'Review Sequence'!O2:O1586),"")</x:f>
      </x:c>
      <x:c r="I861" s="6" t="str">
        <x:f>IFERROR(XLOOKUP(C861,'Review Sequence'!C2:C1586,'Review Sequence'!P2:P1586),"")</x:f>
        <x:v>Yes</x:v>
      </x:c>
    </x:row>
    <x:row r="862">
      <x:c r="A862" s="6" t="str">
        <x:v>BLK-0861</x:v>
      </x:c>
      <x:c r="B862" s="6" t="str">
        <x:v>Device Applicability</x:v>
      </x:c>
      <x:c r="C862" s="6" t="str">
        <x:v>DEVX-0218</x:v>
      </x:c>
      <x:c r="D862" s="6" t="str">
        <x:v>SVC000218</x:v>
      </x:c>
      <x:c r="E862" s="6" t="str"/>
      <x:c r="F862" s="6" t="str">
        <x:f>IFERROR(XLOOKUP(C862,'Review Sequence'!C2:C1586,'Review Sequence'!I2:I1586),"")</x:f>
        <x:v>Multiple dependencies - verify source queues</x:v>
      </x:c>
      <x:c r="G862" s="6" t="str">
        <x:f>IFERROR(XLOOKUP(C862,'Review Sequence'!C2:C1586,'Review Sequence'!J2:J1586),"")</x:f>
        <x:v>Not Started</x:v>
      </x:c>
      <x:c r="H862" s="7" t="str">
        <x:f>IFERROR(XLOOKUP(C862,'Review Sequence'!C2:C1586,'Review Sequence'!O2:O1586),"")</x:f>
      </x:c>
      <x:c r="I862" s="6" t="str">
        <x:f>IFERROR(XLOOKUP(C862,'Review Sequence'!C2:C1586,'Review Sequence'!P2:P1586),"")</x:f>
        <x:v>Yes</x:v>
      </x:c>
    </x:row>
    <x:row r="863">
      <x:c r="A863" s="6" t="str">
        <x:v>BLK-0862</x:v>
      </x:c>
      <x:c r="B863" s="6" t="str">
        <x:v>Device Applicability</x:v>
      </x:c>
      <x:c r="C863" s="6" t="str">
        <x:v>DEVX-0219</x:v>
      </x:c>
      <x:c r="D863" s="6" t="str">
        <x:v>SVC000219</x:v>
      </x:c>
      <x:c r="E863" s="6" t="str"/>
      <x:c r="F863" s="6" t="str">
        <x:f>IFERROR(XLOOKUP(C863,'Review Sequence'!C2:C1586,'Review Sequence'!I2:I1586),"")</x:f>
        <x:v>Multiple dependencies - verify source queues</x:v>
      </x:c>
      <x:c r="G863" s="6" t="str">
        <x:f>IFERROR(XLOOKUP(C863,'Review Sequence'!C2:C1586,'Review Sequence'!J2:J1586),"")</x:f>
        <x:v>Not Started</x:v>
      </x:c>
      <x:c r="H863" s="7" t="str">
        <x:f>IFERROR(XLOOKUP(C863,'Review Sequence'!C2:C1586,'Review Sequence'!O2:O1586),"")</x:f>
      </x:c>
      <x:c r="I863" s="6" t="str">
        <x:f>IFERROR(XLOOKUP(C863,'Review Sequence'!C2:C1586,'Review Sequence'!P2:P1586),"")</x:f>
        <x:v>Yes</x:v>
      </x:c>
    </x:row>
    <x:row r="864">
      <x:c r="A864" s="6" t="str">
        <x:v>BLK-0863</x:v>
      </x:c>
      <x:c r="B864" s="6" t="str">
        <x:v>Device Applicability</x:v>
      </x:c>
      <x:c r="C864" s="6" t="str">
        <x:v>DEVX-0220</x:v>
      </x:c>
      <x:c r="D864" s="6" t="str">
        <x:v>SVC000220</x:v>
      </x:c>
      <x:c r="E864" s="6" t="str"/>
      <x:c r="F864" s="6" t="str">
        <x:f>IFERROR(XLOOKUP(C864,'Review Sequence'!C2:C1586,'Review Sequence'!I2:I1586),"")</x:f>
        <x:v>Multiple dependencies - verify source queues</x:v>
      </x:c>
      <x:c r="G864" s="6" t="str">
        <x:f>IFERROR(XLOOKUP(C864,'Review Sequence'!C2:C1586,'Review Sequence'!J2:J1586),"")</x:f>
        <x:v>Not Started</x:v>
      </x:c>
      <x:c r="H864" s="7" t="str">
        <x:f>IFERROR(XLOOKUP(C864,'Review Sequence'!C2:C1586,'Review Sequence'!O2:O1586),"")</x:f>
      </x:c>
      <x:c r="I864" s="6" t="str">
        <x:f>IFERROR(XLOOKUP(C864,'Review Sequence'!C2:C1586,'Review Sequence'!P2:P1586),"")</x:f>
        <x:v>Yes</x:v>
      </x:c>
    </x:row>
    <x:row r="865">
      <x:c r="A865" s="6" t="str">
        <x:v>BLK-0864</x:v>
      </x:c>
      <x:c r="B865" s="6" t="str">
        <x:v>Device Applicability</x:v>
      </x:c>
      <x:c r="C865" s="6" t="str">
        <x:v>DEVX-0221</x:v>
      </x:c>
      <x:c r="D865" s="6" t="str">
        <x:v>SVC000221</x:v>
      </x:c>
      <x:c r="E865" s="6" t="str"/>
      <x:c r="F865" s="6" t="str">
        <x:f>IFERROR(XLOOKUP(C865,'Review Sequence'!C2:C1586,'Review Sequence'!I2:I1586),"")</x:f>
        <x:v>Multiple dependencies - verify source queues</x:v>
      </x:c>
      <x:c r="G865" s="6" t="str">
        <x:f>IFERROR(XLOOKUP(C865,'Review Sequence'!C2:C1586,'Review Sequence'!J2:J1586),"")</x:f>
        <x:v>Not Started</x:v>
      </x:c>
      <x:c r="H865" s="7" t="str">
        <x:f>IFERROR(XLOOKUP(C865,'Review Sequence'!C2:C1586,'Review Sequence'!O2:O1586),"")</x:f>
      </x:c>
      <x:c r="I865" s="6" t="str">
        <x:f>IFERROR(XLOOKUP(C865,'Review Sequence'!C2:C1586,'Review Sequence'!P2:P1586),"")</x:f>
        <x:v>Yes</x:v>
      </x:c>
    </x:row>
    <x:row r="866">
      <x:c r="A866" s="6" t="str">
        <x:v>BLK-0865</x:v>
      </x:c>
      <x:c r="B866" s="6" t="str">
        <x:v>Device Applicability</x:v>
      </x:c>
      <x:c r="C866" s="6" t="str">
        <x:v>DEVX-0222</x:v>
      </x:c>
      <x:c r="D866" s="6" t="str">
        <x:v>SVC000222</x:v>
      </x:c>
      <x:c r="E866" s="6" t="str"/>
      <x:c r="F866" s="6" t="str">
        <x:f>IFERROR(XLOOKUP(C866,'Review Sequence'!C2:C1586,'Review Sequence'!I2:I1586),"")</x:f>
        <x:v>Multiple dependencies - verify source queues</x:v>
      </x:c>
      <x:c r="G866" s="6" t="str">
        <x:f>IFERROR(XLOOKUP(C866,'Review Sequence'!C2:C1586,'Review Sequence'!J2:J1586),"")</x:f>
        <x:v>Not Started</x:v>
      </x:c>
      <x:c r="H866" s="7" t="str">
        <x:f>IFERROR(XLOOKUP(C866,'Review Sequence'!C2:C1586,'Review Sequence'!O2:O1586),"")</x:f>
      </x:c>
      <x:c r="I866" s="6" t="str">
        <x:f>IFERROR(XLOOKUP(C866,'Review Sequence'!C2:C1586,'Review Sequence'!P2:P1586),"")</x:f>
        <x:v>Yes</x:v>
      </x:c>
    </x:row>
    <x:row r="867">
      <x:c r="A867" s="6" t="str">
        <x:v>BLK-0866</x:v>
      </x:c>
      <x:c r="B867" s="6" t="str">
        <x:v>Device Applicability</x:v>
      </x:c>
      <x:c r="C867" s="6" t="str">
        <x:v>DEVX-0223</x:v>
      </x:c>
      <x:c r="D867" s="6" t="str">
        <x:v>SVC000223</x:v>
      </x:c>
      <x:c r="E867" s="6" t="str"/>
      <x:c r="F867" s="6" t="str">
        <x:f>IFERROR(XLOOKUP(C867,'Review Sequence'!C2:C1586,'Review Sequence'!I2:I1586),"")</x:f>
        <x:v>Multiple dependencies - verify source queues</x:v>
      </x:c>
      <x:c r="G867" s="6" t="str">
        <x:f>IFERROR(XLOOKUP(C867,'Review Sequence'!C2:C1586,'Review Sequence'!J2:J1586),"")</x:f>
        <x:v>Not Started</x:v>
      </x:c>
      <x:c r="H867" s="7" t="str">
        <x:f>IFERROR(XLOOKUP(C867,'Review Sequence'!C2:C1586,'Review Sequence'!O2:O1586),"")</x:f>
      </x:c>
      <x:c r="I867" s="6" t="str">
        <x:f>IFERROR(XLOOKUP(C867,'Review Sequence'!C2:C1586,'Review Sequence'!P2:P1586),"")</x:f>
        <x:v>Yes</x:v>
      </x:c>
    </x:row>
    <x:row r="868">
      <x:c r="A868" s="6" t="str">
        <x:v>BLK-0867</x:v>
      </x:c>
      <x:c r="B868" s="6" t="str">
        <x:v>Device Applicability</x:v>
      </x:c>
      <x:c r="C868" s="6" t="str">
        <x:v>DEVX-0224</x:v>
      </x:c>
      <x:c r="D868" s="6" t="str">
        <x:v>SVC000224</x:v>
      </x:c>
      <x:c r="E868" s="6" t="str"/>
      <x:c r="F868" s="6" t="str">
        <x:f>IFERROR(XLOOKUP(C868,'Review Sequence'!C2:C1586,'Review Sequence'!I2:I1586),"")</x:f>
        <x:v>Multiple dependencies - verify source queues</x:v>
      </x:c>
      <x:c r="G868" s="6" t="str">
        <x:f>IFERROR(XLOOKUP(C868,'Review Sequence'!C2:C1586,'Review Sequence'!J2:J1586),"")</x:f>
        <x:v>Not Started</x:v>
      </x:c>
      <x:c r="H868" s="7" t="str">
        <x:f>IFERROR(XLOOKUP(C868,'Review Sequence'!C2:C1586,'Review Sequence'!O2:O1586),"")</x:f>
      </x:c>
      <x:c r="I868" s="6" t="str">
        <x:f>IFERROR(XLOOKUP(C868,'Review Sequence'!C2:C1586,'Review Sequence'!P2:P1586),"")</x:f>
        <x:v>Yes</x:v>
      </x:c>
    </x:row>
    <x:row r="869">
      <x:c r="A869" s="6" t="str">
        <x:v>BLK-0868</x:v>
      </x:c>
      <x:c r="B869" s="6" t="str">
        <x:v>Device Applicability</x:v>
      </x:c>
      <x:c r="C869" s="6" t="str">
        <x:v>DEVX-0225</x:v>
      </x:c>
      <x:c r="D869" s="6" t="str">
        <x:v>SVC000225</x:v>
      </x:c>
      <x:c r="E869" s="6" t="str"/>
      <x:c r="F869" s="6" t="str">
        <x:f>IFERROR(XLOOKUP(C869,'Review Sequence'!C2:C1586,'Review Sequence'!I2:I1586),"")</x:f>
        <x:v>Multiple dependencies - verify source queues</x:v>
      </x:c>
      <x:c r="G869" s="6" t="str">
        <x:f>IFERROR(XLOOKUP(C869,'Review Sequence'!C2:C1586,'Review Sequence'!J2:J1586),"")</x:f>
        <x:v>Not Started</x:v>
      </x:c>
      <x:c r="H869" s="7" t="str">
        <x:f>IFERROR(XLOOKUP(C869,'Review Sequence'!C2:C1586,'Review Sequence'!O2:O1586),"")</x:f>
      </x:c>
      <x:c r="I869" s="6" t="str">
        <x:f>IFERROR(XLOOKUP(C869,'Review Sequence'!C2:C1586,'Review Sequence'!P2:P1586),"")</x:f>
        <x:v>Yes</x:v>
      </x:c>
    </x:row>
    <x:row r="870">
      <x:c r="A870" s="6" t="str">
        <x:v>BLK-0869</x:v>
      </x:c>
      <x:c r="B870" s="6" t="str">
        <x:v>Device Applicability</x:v>
      </x:c>
      <x:c r="C870" s="6" t="str">
        <x:v>DEVX-0226</x:v>
      </x:c>
      <x:c r="D870" s="6" t="str">
        <x:v>SVC000226</x:v>
      </x:c>
      <x:c r="E870" s="6" t="str"/>
      <x:c r="F870" s="6" t="str">
        <x:f>IFERROR(XLOOKUP(C870,'Review Sequence'!C2:C1586,'Review Sequence'!I2:I1586),"")</x:f>
        <x:v>Multiple dependencies - verify source queues</x:v>
      </x:c>
      <x:c r="G870" s="6" t="str">
        <x:f>IFERROR(XLOOKUP(C870,'Review Sequence'!C2:C1586,'Review Sequence'!J2:J1586),"")</x:f>
        <x:v>Not Started</x:v>
      </x:c>
      <x:c r="H870" s="7" t="str">
        <x:f>IFERROR(XLOOKUP(C870,'Review Sequence'!C2:C1586,'Review Sequence'!O2:O1586),"")</x:f>
      </x:c>
      <x:c r="I870" s="6" t="str">
        <x:f>IFERROR(XLOOKUP(C870,'Review Sequence'!C2:C1586,'Review Sequence'!P2:P1586),"")</x:f>
        <x:v>Yes</x:v>
      </x:c>
    </x:row>
    <x:row r="871">
      <x:c r="A871" s="6" t="str">
        <x:v>BLK-0870</x:v>
      </x:c>
      <x:c r="B871" s="6" t="str">
        <x:v>Device Applicability</x:v>
      </x:c>
      <x:c r="C871" s="6" t="str">
        <x:v>DEVX-0227</x:v>
      </x:c>
      <x:c r="D871" s="6" t="str">
        <x:v>SVC000227</x:v>
      </x:c>
      <x:c r="E871" s="6" t="str"/>
      <x:c r="F871" s="6" t="str">
        <x:f>IFERROR(XLOOKUP(C871,'Review Sequence'!C2:C1586,'Review Sequence'!I2:I1586),"")</x:f>
        <x:v>Multiple dependencies - verify source queues</x:v>
      </x:c>
      <x:c r="G871" s="6" t="str">
        <x:f>IFERROR(XLOOKUP(C871,'Review Sequence'!C2:C1586,'Review Sequence'!J2:J1586),"")</x:f>
        <x:v>Not Started</x:v>
      </x:c>
      <x:c r="H871" s="7" t="str">
        <x:f>IFERROR(XLOOKUP(C871,'Review Sequence'!C2:C1586,'Review Sequence'!O2:O1586),"")</x:f>
      </x:c>
      <x:c r="I871" s="6" t="str">
        <x:f>IFERROR(XLOOKUP(C871,'Review Sequence'!C2:C1586,'Review Sequence'!P2:P1586),"")</x:f>
        <x:v>Yes</x:v>
      </x:c>
    </x:row>
    <x:row r="872">
      <x:c r="A872" s="6" t="str">
        <x:v>BLK-0871</x:v>
      </x:c>
      <x:c r="B872" s="6" t="str">
        <x:v>Device Applicability</x:v>
      </x:c>
      <x:c r="C872" s="6" t="str">
        <x:v>DEVX-0228</x:v>
      </x:c>
      <x:c r="D872" s="6" t="str">
        <x:v>SVC000228</x:v>
      </x:c>
      <x:c r="E872" s="6" t="str"/>
      <x:c r="F872" s="6" t="str">
        <x:f>IFERROR(XLOOKUP(C872,'Review Sequence'!C2:C1586,'Review Sequence'!I2:I1586),"")</x:f>
        <x:v>Multiple dependencies - verify source queues</x:v>
      </x:c>
      <x:c r="G872" s="6" t="str">
        <x:f>IFERROR(XLOOKUP(C872,'Review Sequence'!C2:C1586,'Review Sequence'!J2:J1586),"")</x:f>
        <x:v>Not Started</x:v>
      </x:c>
      <x:c r="H872" s="7" t="str">
        <x:f>IFERROR(XLOOKUP(C872,'Review Sequence'!C2:C1586,'Review Sequence'!O2:O1586),"")</x:f>
      </x:c>
      <x:c r="I872" s="6" t="str">
        <x:f>IFERROR(XLOOKUP(C872,'Review Sequence'!C2:C1586,'Review Sequence'!P2:P1586),"")</x:f>
        <x:v>Yes</x:v>
      </x:c>
    </x:row>
    <x:row r="873">
      <x:c r="A873" s="6" t="str">
        <x:v>BLK-0872</x:v>
      </x:c>
      <x:c r="B873" s="6" t="str">
        <x:v>Device Applicability</x:v>
      </x:c>
      <x:c r="C873" s="6" t="str">
        <x:v>DEVX-0229</x:v>
      </x:c>
      <x:c r="D873" s="6" t="str">
        <x:v>SVC000229</x:v>
      </x:c>
      <x:c r="E873" s="6" t="str"/>
      <x:c r="F873" s="6" t="str">
        <x:f>IFERROR(XLOOKUP(C873,'Review Sequence'!C2:C1586,'Review Sequence'!I2:I1586),"")</x:f>
        <x:v>Multiple dependencies - verify source queues</x:v>
      </x:c>
      <x:c r="G873" s="6" t="str">
        <x:f>IFERROR(XLOOKUP(C873,'Review Sequence'!C2:C1586,'Review Sequence'!J2:J1586),"")</x:f>
        <x:v>Not Started</x:v>
      </x:c>
      <x:c r="H873" s="7" t="str">
        <x:f>IFERROR(XLOOKUP(C873,'Review Sequence'!C2:C1586,'Review Sequence'!O2:O1586),"")</x:f>
      </x:c>
      <x:c r="I873" s="6" t="str">
        <x:f>IFERROR(XLOOKUP(C873,'Review Sequence'!C2:C1586,'Review Sequence'!P2:P1586),"")</x:f>
        <x:v>Yes</x:v>
      </x:c>
    </x:row>
    <x:row r="874">
      <x:c r="A874" s="6" t="str">
        <x:v>BLK-0873</x:v>
      </x:c>
      <x:c r="B874" s="6" t="str">
        <x:v>Device Applicability</x:v>
      </x:c>
      <x:c r="C874" s="6" t="str">
        <x:v>DEVX-0230</x:v>
      </x:c>
      <x:c r="D874" s="6" t="str">
        <x:v>SVC000230</x:v>
      </x:c>
      <x:c r="E874" s="6" t="str"/>
      <x:c r="F874" s="6" t="str">
        <x:f>IFERROR(XLOOKUP(C874,'Review Sequence'!C2:C1586,'Review Sequence'!I2:I1586),"")</x:f>
        <x:v>Multiple dependencies - verify source queues</x:v>
      </x:c>
      <x:c r="G874" s="6" t="str">
        <x:f>IFERROR(XLOOKUP(C874,'Review Sequence'!C2:C1586,'Review Sequence'!J2:J1586),"")</x:f>
        <x:v>Not Started</x:v>
      </x:c>
      <x:c r="H874" s="7" t="str">
        <x:f>IFERROR(XLOOKUP(C874,'Review Sequence'!C2:C1586,'Review Sequence'!O2:O1586),"")</x:f>
      </x:c>
      <x:c r="I874" s="6" t="str">
        <x:f>IFERROR(XLOOKUP(C874,'Review Sequence'!C2:C1586,'Review Sequence'!P2:P1586),"")</x:f>
        <x:v>Yes</x:v>
      </x:c>
    </x:row>
    <x:row r="875">
      <x:c r="A875" s="6" t="str">
        <x:v>BLK-0874</x:v>
      </x:c>
      <x:c r="B875" s="6" t="str">
        <x:v>Device Applicability</x:v>
      </x:c>
      <x:c r="C875" s="6" t="str">
        <x:v>DEVX-0231</x:v>
      </x:c>
      <x:c r="D875" s="6" t="str">
        <x:v>SVC000231</x:v>
      </x:c>
      <x:c r="E875" s="6" t="str"/>
      <x:c r="F875" s="6" t="str">
        <x:f>IFERROR(XLOOKUP(C875,'Review Sequence'!C2:C1586,'Review Sequence'!I2:I1586),"")</x:f>
        <x:v>Multiple dependencies - verify source queues</x:v>
      </x:c>
      <x:c r="G875" s="6" t="str">
        <x:f>IFERROR(XLOOKUP(C875,'Review Sequence'!C2:C1586,'Review Sequence'!J2:J1586),"")</x:f>
        <x:v>Not Started</x:v>
      </x:c>
      <x:c r="H875" s="7" t="str">
        <x:f>IFERROR(XLOOKUP(C875,'Review Sequence'!C2:C1586,'Review Sequence'!O2:O1586),"")</x:f>
      </x:c>
      <x:c r="I875" s="6" t="str">
        <x:f>IFERROR(XLOOKUP(C875,'Review Sequence'!C2:C1586,'Review Sequence'!P2:P1586),"")</x:f>
        <x:v>Yes</x:v>
      </x:c>
    </x:row>
    <x:row r="876">
      <x:c r="A876" s="6" t="str">
        <x:v>BLK-0875</x:v>
      </x:c>
      <x:c r="B876" s="6" t="str">
        <x:v>Device Applicability</x:v>
      </x:c>
      <x:c r="C876" s="6" t="str">
        <x:v>DEVX-0232</x:v>
      </x:c>
      <x:c r="D876" s="6" t="str">
        <x:v>SVC000232</x:v>
      </x:c>
      <x:c r="E876" s="6" t="str"/>
      <x:c r="F876" s="6" t="str">
        <x:f>IFERROR(XLOOKUP(C876,'Review Sequence'!C2:C1586,'Review Sequence'!I2:I1586),"")</x:f>
        <x:v>Multiple dependencies - verify source queues</x:v>
      </x:c>
      <x:c r="G876" s="6" t="str">
        <x:f>IFERROR(XLOOKUP(C876,'Review Sequence'!C2:C1586,'Review Sequence'!J2:J1586),"")</x:f>
        <x:v>Not Started</x:v>
      </x:c>
      <x:c r="H876" s="7" t="str">
        <x:f>IFERROR(XLOOKUP(C876,'Review Sequence'!C2:C1586,'Review Sequence'!O2:O1586),"")</x:f>
      </x:c>
      <x:c r="I876" s="6" t="str">
        <x:f>IFERROR(XLOOKUP(C876,'Review Sequence'!C2:C1586,'Review Sequence'!P2:P1586),"")</x:f>
        <x:v>Yes</x:v>
      </x:c>
    </x:row>
    <x:row r="877">
      <x:c r="A877" s="6" t="str">
        <x:v>BLK-0876</x:v>
      </x:c>
      <x:c r="B877" s="6" t="str">
        <x:v>Device Applicability</x:v>
      </x:c>
      <x:c r="C877" s="6" t="str">
        <x:v>DEVX-0233</x:v>
      </x:c>
      <x:c r="D877" s="6" t="str">
        <x:v>SVC000233</x:v>
      </x:c>
      <x:c r="E877" s="6" t="str"/>
      <x:c r="F877" s="6" t="str">
        <x:f>IFERROR(XLOOKUP(C877,'Review Sequence'!C2:C1586,'Review Sequence'!I2:I1586),"")</x:f>
        <x:v>Multiple dependencies - verify source queues</x:v>
      </x:c>
      <x:c r="G877" s="6" t="str">
        <x:f>IFERROR(XLOOKUP(C877,'Review Sequence'!C2:C1586,'Review Sequence'!J2:J1586),"")</x:f>
        <x:v>Not Started</x:v>
      </x:c>
      <x:c r="H877" s="7" t="str">
        <x:f>IFERROR(XLOOKUP(C877,'Review Sequence'!C2:C1586,'Review Sequence'!O2:O1586),"")</x:f>
      </x:c>
      <x:c r="I877" s="6" t="str">
        <x:f>IFERROR(XLOOKUP(C877,'Review Sequence'!C2:C1586,'Review Sequence'!P2:P1586),"")</x:f>
        <x:v>Yes</x:v>
      </x:c>
    </x:row>
    <x:row r="878">
      <x:c r="A878" s="6" t="str">
        <x:v>BLK-0877</x:v>
      </x:c>
      <x:c r="B878" s="6" t="str">
        <x:v>Device Applicability</x:v>
      </x:c>
      <x:c r="C878" s="6" t="str">
        <x:v>DEVX-0234</x:v>
      </x:c>
      <x:c r="D878" s="6" t="str">
        <x:v>SVC000234</x:v>
      </x:c>
      <x:c r="E878" s="6" t="str"/>
      <x:c r="F878" s="6" t="str">
        <x:f>IFERROR(XLOOKUP(C878,'Review Sequence'!C2:C1586,'Review Sequence'!I2:I1586),"")</x:f>
        <x:v>Multiple dependencies - verify source queues</x:v>
      </x:c>
      <x:c r="G878" s="6" t="str">
        <x:f>IFERROR(XLOOKUP(C878,'Review Sequence'!C2:C1586,'Review Sequence'!J2:J1586),"")</x:f>
        <x:v>Not Started</x:v>
      </x:c>
      <x:c r="H878" s="7" t="str">
        <x:f>IFERROR(XLOOKUP(C878,'Review Sequence'!C2:C1586,'Review Sequence'!O2:O1586),"")</x:f>
      </x:c>
      <x:c r="I878" s="6" t="str">
        <x:f>IFERROR(XLOOKUP(C878,'Review Sequence'!C2:C1586,'Review Sequence'!P2:P1586),"")</x:f>
        <x:v>Yes</x:v>
      </x:c>
    </x:row>
    <x:row r="879">
      <x:c r="A879" s="6" t="str">
        <x:v>BLK-0878</x:v>
      </x:c>
      <x:c r="B879" s="6" t="str">
        <x:v>Device Applicability</x:v>
      </x:c>
      <x:c r="C879" s="6" t="str">
        <x:v>DEVX-0235</x:v>
      </x:c>
      <x:c r="D879" s="6" t="str">
        <x:v>SVC000235</x:v>
      </x:c>
      <x:c r="E879" s="6" t="str"/>
      <x:c r="F879" s="6" t="str">
        <x:f>IFERROR(XLOOKUP(C879,'Review Sequence'!C2:C1586,'Review Sequence'!I2:I1586),"")</x:f>
        <x:v>Multiple dependencies - verify source queues</x:v>
      </x:c>
      <x:c r="G879" s="6" t="str">
        <x:f>IFERROR(XLOOKUP(C879,'Review Sequence'!C2:C1586,'Review Sequence'!J2:J1586),"")</x:f>
        <x:v>Not Started</x:v>
      </x:c>
      <x:c r="H879" s="7" t="str">
        <x:f>IFERROR(XLOOKUP(C879,'Review Sequence'!C2:C1586,'Review Sequence'!O2:O1586),"")</x:f>
      </x:c>
      <x:c r="I879" s="6" t="str">
        <x:f>IFERROR(XLOOKUP(C879,'Review Sequence'!C2:C1586,'Review Sequence'!P2:P1586),"")</x:f>
        <x:v>Yes</x:v>
      </x:c>
    </x:row>
    <x:row r="880">
      <x:c r="A880" s="6" t="str">
        <x:v>BLK-0879</x:v>
      </x:c>
      <x:c r="B880" s="6" t="str">
        <x:v>Device Applicability</x:v>
      </x:c>
      <x:c r="C880" s="6" t="str">
        <x:v>DEVX-0236</x:v>
      </x:c>
      <x:c r="D880" s="6" t="str">
        <x:v>SVC000236</x:v>
      </x:c>
      <x:c r="E880" s="6" t="str"/>
      <x:c r="F880" s="6" t="str">
        <x:f>IFERROR(XLOOKUP(C880,'Review Sequence'!C2:C1586,'Review Sequence'!I2:I1586),"")</x:f>
        <x:v>Multiple dependencies - verify source queues</x:v>
      </x:c>
      <x:c r="G880" s="6" t="str">
        <x:f>IFERROR(XLOOKUP(C880,'Review Sequence'!C2:C1586,'Review Sequence'!J2:J1586),"")</x:f>
        <x:v>Not Started</x:v>
      </x:c>
      <x:c r="H880" s="7" t="str">
        <x:f>IFERROR(XLOOKUP(C880,'Review Sequence'!C2:C1586,'Review Sequence'!O2:O1586),"")</x:f>
      </x:c>
      <x:c r="I880" s="6" t="str">
        <x:f>IFERROR(XLOOKUP(C880,'Review Sequence'!C2:C1586,'Review Sequence'!P2:P1586),"")</x:f>
        <x:v>Yes</x:v>
      </x:c>
    </x:row>
    <x:row r="881">
      <x:c r="A881" s="6" t="str">
        <x:v>BLK-0880</x:v>
      </x:c>
      <x:c r="B881" s="6" t="str">
        <x:v>Device Applicability</x:v>
      </x:c>
      <x:c r="C881" s="6" t="str">
        <x:v>DEVX-0237</x:v>
      </x:c>
      <x:c r="D881" s="6" t="str">
        <x:v>SVC000237</x:v>
      </x:c>
      <x:c r="E881" s="6" t="str"/>
      <x:c r="F881" s="6" t="str">
        <x:f>IFERROR(XLOOKUP(C881,'Review Sequence'!C2:C1586,'Review Sequence'!I2:I1586),"")</x:f>
        <x:v>Multiple dependencies - verify source queues</x:v>
      </x:c>
      <x:c r="G881" s="6" t="str">
        <x:f>IFERROR(XLOOKUP(C881,'Review Sequence'!C2:C1586,'Review Sequence'!J2:J1586),"")</x:f>
        <x:v>Not Started</x:v>
      </x:c>
      <x:c r="H881" s="7" t="str">
        <x:f>IFERROR(XLOOKUP(C881,'Review Sequence'!C2:C1586,'Review Sequence'!O2:O1586),"")</x:f>
      </x:c>
      <x:c r="I881" s="6" t="str">
        <x:f>IFERROR(XLOOKUP(C881,'Review Sequence'!C2:C1586,'Review Sequence'!P2:P1586),"")</x:f>
        <x:v>Yes</x:v>
      </x:c>
    </x:row>
    <x:row r="882">
      <x:c r="A882" s="6" t="str">
        <x:v>BLK-0881</x:v>
      </x:c>
      <x:c r="B882" s="6" t="str">
        <x:v>Device Applicability</x:v>
      </x:c>
      <x:c r="C882" s="6" t="str">
        <x:v>DEVX-0238</x:v>
      </x:c>
      <x:c r="D882" s="6" t="str">
        <x:v>SVC000238</x:v>
      </x:c>
      <x:c r="E882" s="6" t="str"/>
      <x:c r="F882" s="6" t="str">
        <x:f>IFERROR(XLOOKUP(C882,'Review Sequence'!C2:C1586,'Review Sequence'!I2:I1586),"")</x:f>
        <x:v>Multiple dependencies - verify source queues</x:v>
      </x:c>
      <x:c r="G882" s="6" t="str">
        <x:f>IFERROR(XLOOKUP(C882,'Review Sequence'!C2:C1586,'Review Sequence'!J2:J1586),"")</x:f>
        <x:v>Not Started</x:v>
      </x:c>
      <x:c r="H882" s="7" t="str">
        <x:f>IFERROR(XLOOKUP(C882,'Review Sequence'!C2:C1586,'Review Sequence'!O2:O1586),"")</x:f>
      </x:c>
      <x:c r="I882" s="6" t="str">
        <x:f>IFERROR(XLOOKUP(C882,'Review Sequence'!C2:C1586,'Review Sequence'!P2:P1586),"")</x:f>
        <x:v>Yes</x:v>
      </x:c>
    </x:row>
    <x:row r="883">
      <x:c r="A883" s="6" t="str">
        <x:v>BLK-0882</x:v>
      </x:c>
      <x:c r="B883" s="6" t="str">
        <x:v>Device Applicability</x:v>
      </x:c>
      <x:c r="C883" s="6" t="str">
        <x:v>DEVX-0239</x:v>
      </x:c>
      <x:c r="D883" s="6" t="str">
        <x:v>SVC000239</x:v>
      </x:c>
      <x:c r="E883" s="6" t="str"/>
      <x:c r="F883" s="6" t="str">
        <x:f>IFERROR(XLOOKUP(C883,'Review Sequence'!C2:C1586,'Review Sequence'!I2:I1586),"")</x:f>
        <x:v>Multiple dependencies - verify source queues</x:v>
      </x:c>
      <x:c r="G883" s="6" t="str">
        <x:f>IFERROR(XLOOKUP(C883,'Review Sequence'!C2:C1586,'Review Sequence'!J2:J1586),"")</x:f>
        <x:v>Not Started</x:v>
      </x:c>
      <x:c r="H883" s="7" t="str">
        <x:f>IFERROR(XLOOKUP(C883,'Review Sequence'!C2:C1586,'Review Sequence'!O2:O1586),"")</x:f>
      </x:c>
      <x:c r="I883" s="6" t="str">
        <x:f>IFERROR(XLOOKUP(C883,'Review Sequence'!C2:C1586,'Review Sequence'!P2:P1586),"")</x:f>
        <x:v>Yes</x:v>
      </x:c>
    </x:row>
    <x:row r="884">
      <x:c r="A884" s="6" t="str">
        <x:v>BLK-0883</x:v>
      </x:c>
      <x:c r="B884" s="6" t="str">
        <x:v>Device Applicability</x:v>
      </x:c>
      <x:c r="C884" s="6" t="str">
        <x:v>DEVX-0240</x:v>
      </x:c>
      <x:c r="D884" s="6" t="str">
        <x:v>SVC000240</x:v>
      </x:c>
      <x:c r="E884" s="6" t="str"/>
      <x:c r="F884" s="6" t="str">
        <x:f>IFERROR(XLOOKUP(C884,'Review Sequence'!C2:C1586,'Review Sequence'!I2:I1586),"")</x:f>
        <x:v>Multiple dependencies - verify source queues</x:v>
      </x:c>
      <x:c r="G884" s="6" t="str">
        <x:f>IFERROR(XLOOKUP(C884,'Review Sequence'!C2:C1586,'Review Sequence'!J2:J1586),"")</x:f>
        <x:v>Not Started</x:v>
      </x:c>
      <x:c r="H884" s="7" t="str">
        <x:f>IFERROR(XLOOKUP(C884,'Review Sequence'!C2:C1586,'Review Sequence'!O2:O1586),"")</x:f>
      </x:c>
      <x:c r="I884" s="6" t="str">
        <x:f>IFERROR(XLOOKUP(C884,'Review Sequence'!C2:C1586,'Review Sequence'!P2:P1586),"")</x:f>
        <x:v>Yes</x:v>
      </x:c>
    </x:row>
    <x:row r="885">
      <x:c r="A885" s="6" t="str">
        <x:v>BLK-0884</x:v>
      </x:c>
      <x:c r="B885" s="6" t="str">
        <x:v>Device Applicability</x:v>
      </x:c>
      <x:c r="C885" s="6" t="str">
        <x:v>DEVX-0241</x:v>
      </x:c>
      <x:c r="D885" s="6" t="str">
        <x:v>SVC000241</x:v>
      </x:c>
      <x:c r="E885" s="6" t="str"/>
      <x:c r="F885" s="6" t="str">
        <x:f>IFERROR(XLOOKUP(C885,'Review Sequence'!C2:C1586,'Review Sequence'!I2:I1586),"")</x:f>
        <x:v>Multiple dependencies - verify source queues</x:v>
      </x:c>
      <x:c r="G885" s="6" t="str">
        <x:f>IFERROR(XLOOKUP(C885,'Review Sequence'!C2:C1586,'Review Sequence'!J2:J1586),"")</x:f>
        <x:v>Not Started</x:v>
      </x:c>
      <x:c r="H885" s="7" t="str">
        <x:f>IFERROR(XLOOKUP(C885,'Review Sequence'!C2:C1586,'Review Sequence'!O2:O1586),"")</x:f>
      </x:c>
      <x:c r="I885" s="6" t="str">
        <x:f>IFERROR(XLOOKUP(C885,'Review Sequence'!C2:C1586,'Review Sequence'!P2:P1586),"")</x:f>
        <x:v>Yes</x:v>
      </x:c>
    </x:row>
    <x:row r="886">
      <x:c r="A886" s="6" t="str">
        <x:v>BLK-0885</x:v>
      </x:c>
      <x:c r="B886" s="6" t="str">
        <x:v>Device Applicability</x:v>
      </x:c>
      <x:c r="C886" s="6" t="str">
        <x:v>DEVX-0242</x:v>
      </x:c>
      <x:c r="D886" s="6" t="str">
        <x:v>SVC000242</x:v>
      </x:c>
      <x:c r="E886" s="6" t="str"/>
      <x:c r="F886" s="6" t="str">
        <x:f>IFERROR(XLOOKUP(C886,'Review Sequence'!C2:C1586,'Review Sequence'!I2:I1586),"")</x:f>
        <x:v>Multiple dependencies - verify source queues</x:v>
      </x:c>
      <x:c r="G886" s="6" t="str">
        <x:f>IFERROR(XLOOKUP(C886,'Review Sequence'!C2:C1586,'Review Sequence'!J2:J1586),"")</x:f>
        <x:v>Not Started</x:v>
      </x:c>
      <x:c r="H886" s="7" t="str">
        <x:f>IFERROR(XLOOKUP(C886,'Review Sequence'!C2:C1586,'Review Sequence'!O2:O1586),"")</x:f>
      </x:c>
      <x:c r="I886" s="6" t="str">
        <x:f>IFERROR(XLOOKUP(C886,'Review Sequence'!C2:C1586,'Review Sequence'!P2:P1586),"")</x:f>
        <x:v>Yes</x:v>
      </x:c>
    </x:row>
    <x:row r="887">
      <x:c r="A887" s="6" t="str">
        <x:v>BLK-0886</x:v>
      </x:c>
      <x:c r="B887" s="6" t="str">
        <x:v>Device Applicability</x:v>
      </x:c>
      <x:c r="C887" s="6" t="str">
        <x:v>DEVX-0243</x:v>
      </x:c>
      <x:c r="D887" s="6" t="str">
        <x:v>SVC000243</x:v>
      </x:c>
      <x:c r="E887" s="6" t="str"/>
      <x:c r="F887" s="6" t="str">
        <x:f>IFERROR(XLOOKUP(C887,'Review Sequence'!C2:C1586,'Review Sequence'!I2:I1586),"")</x:f>
        <x:v>Multiple dependencies - verify source queues</x:v>
      </x:c>
      <x:c r="G887" s="6" t="str">
        <x:f>IFERROR(XLOOKUP(C887,'Review Sequence'!C2:C1586,'Review Sequence'!J2:J1586),"")</x:f>
        <x:v>Not Started</x:v>
      </x:c>
      <x:c r="H887" s="7" t="str">
        <x:f>IFERROR(XLOOKUP(C887,'Review Sequence'!C2:C1586,'Review Sequence'!O2:O1586),"")</x:f>
      </x:c>
      <x:c r="I887" s="6" t="str">
        <x:f>IFERROR(XLOOKUP(C887,'Review Sequence'!C2:C1586,'Review Sequence'!P2:P1586),"")</x:f>
        <x:v>Yes</x:v>
      </x:c>
    </x:row>
    <x:row r="888">
      <x:c r="A888" s="6" t="str">
        <x:v>BLK-0887</x:v>
      </x:c>
      <x:c r="B888" s="6" t="str">
        <x:v>Device Applicability</x:v>
      </x:c>
      <x:c r="C888" s="6" t="str">
        <x:v>DEVX-0244</x:v>
      </x:c>
      <x:c r="D888" s="6" t="str">
        <x:v>SVC000244</x:v>
      </x:c>
      <x:c r="E888" s="6" t="str"/>
      <x:c r="F888" s="6" t="str">
        <x:f>IFERROR(XLOOKUP(C888,'Review Sequence'!C2:C1586,'Review Sequence'!I2:I1586),"")</x:f>
        <x:v>Multiple dependencies - verify source queues</x:v>
      </x:c>
      <x:c r="G888" s="6" t="str">
        <x:f>IFERROR(XLOOKUP(C888,'Review Sequence'!C2:C1586,'Review Sequence'!J2:J1586),"")</x:f>
        <x:v>Not Started</x:v>
      </x:c>
      <x:c r="H888" s="7" t="str">
        <x:f>IFERROR(XLOOKUP(C888,'Review Sequence'!C2:C1586,'Review Sequence'!O2:O1586),"")</x:f>
      </x:c>
      <x:c r="I888" s="6" t="str">
        <x:f>IFERROR(XLOOKUP(C888,'Review Sequence'!C2:C1586,'Review Sequence'!P2:P1586),"")</x:f>
        <x:v>Yes</x:v>
      </x:c>
    </x:row>
    <x:row r="889">
      <x:c r="A889" s="6" t="str">
        <x:v>BLK-0888</x:v>
      </x:c>
      <x:c r="B889" s="6" t="str">
        <x:v>Device Applicability</x:v>
      </x:c>
      <x:c r="C889" s="6" t="str">
        <x:v>DEVX-0245</x:v>
      </x:c>
      <x:c r="D889" s="6" t="str">
        <x:v>SVC000245</x:v>
      </x:c>
      <x:c r="E889" s="6" t="str"/>
      <x:c r="F889" s="6" t="str">
        <x:f>IFERROR(XLOOKUP(C889,'Review Sequence'!C2:C1586,'Review Sequence'!I2:I1586),"")</x:f>
        <x:v>Multiple dependencies - verify source queues</x:v>
      </x:c>
      <x:c r="G889" s="6" t="str">
        <x:f>IFERROR(XLOOKUP(C889,'Review Sequence'!C2:C1586,'Review Sequence'!J2:J1586),"")</x:f>
        <x:v>Not Started</x:v>
      </x:c>
      <x:c r="H889" s="7" t="str">
        <x:f>IFERROR(XLOOKUP(C889,'Review Sequence'!C2:C1586,'Review Sequence'!O2:O1586),"")</x:f>
      </x:c>
      <x:c r="I889" s="6" t="str">
        <x:f>IFERROR(XLOOKUP(C889,'Review Sequence'!C2:C1586,'Review Sequence'!P2:P1586),"")</x:f>
        <x:v>Yes</x:v>
      </x:c>
    </x:row>
    <x:row r="890">
      <x:c r="A890" s="6" t="str">
        <x:v>BLK-0889</x:v>
      </x:c>
      <x:c r="B890" s="6" t="str">
        <x:v>Device Applicability</x:v>
      </x:c>
      <x:c r="C890" s="6" t="str">
        <x:v>DEVX-0246</x:v>
      </x:c>
      <x:c r="D890" s="6" t="str">
        <x:v>SVC000246</x:v>
      </x:c>
      <x:c r="E890" s="6" t="str"/>
      <x:c r="F890" s="6" t="str">
        <x:f>IFERROR(XLOOKUP(C890,'Review Sequence'!C2:C1586,'Review Sequence'!I2:I1586),"")</x:f>
        <x:v>Multiple dependencies - verify source queues</x:v>
      </x:c>
      <x:c r="G890" s="6" t="str">
        <x:f>IFERROR(XLOOKUP(C890,'Review Sequence'!C2:C1586,'Review Sequence'!J2:J1586),"")</x:f>
        <x:v>Not Started</x:v>
      </x:c>
      <x:c r="H890" s="7" t="str">
        <x:f>IFERROR(XLOOKUP(C890,'Review Sequence'!C2:C1586,'Review Sequence'!O2:O1586),"")</x:f>
      </x:c>
      <x:c r="I890" s="6" t="str">
        <x:f>IFERROR(XLOOKUP(C890,'Review Sequence'!C2:C1586,'Review Sequence'!P2:P1586),"")</x:f>
        <x:v>Yes</x:v>
      </x:c>
    </x:row>
    <x:row r="891">
      <x:c r="A891" s="6" t="str">
        <x:v>BLK-0890</x:v>
      </x:c>
      <x:c r="B891" s="6" t="str">
        <x:v>Device Applicability</x:v>
      </x:c>
      <x:c r="C891" s="6" t="str">
        <x:v>DEVX-0247</x:v>
      </x:c>
      <x:c r="D891" s="6" t="str">
        <x:v>SVC000247</x:v>
      </x:c>
      <x:c r="E891" s="6" t="str"/>
      <x:c r="F891" s="6" t="str">
        <x:f>IFERROR(XLOOKUP(C891,'Review Sequence'!C2:C1586,'Review Sequence'!I2:I1586),"")</x:f>
        <x:v>Multiple dependencies - verify source queues</x:v>
      </x:c>
      <x:c r="G891" s="6" t="str">
        <x:f>IFERROR(XLOOKUP(C891,'Review Sequence'!C2:C1586,'Review Sequence'!J2:J1586),"")</x:f>
        <x:v>Not Started</x:v>
      </x:c>
      <x:c r="H891" s="7" t="str">
        <x:f>IFERROR(XLOOKUP(C891,'Review Sequence'!C2:C1586,'Review Sequence'!O2:O1586),"")</x:f>
      </x:c>
      <x:c r="I891" s="6" t="str">
        <x:f>IFERROR(XLOOKUP(C891,'Review Sequence'!C2:C1586,'Review Sequence'!P2:P1586),"")</x:f>
        <x:v>Yes</x:v>
      </x:c>
    </x:row>
    <x:row r="892">
      <x:c r="A892" s="6" t="str">
        <x:v>BLK-0891</x:v>
      </x:c>
      <x:c r="B892" s="6" t="str">
        <x:v>Device Applicability</x:v>
      </x:c>
      <x:c r="C892" s="6" t="str">
        <x:v>DEVX-0248</x:v>
      </x:c>
      <x:c r="D892" s="6" t="str">
        <x:v>SVC000248</x:v>
      </x:c>
      <x:c r="E892" s="6" t="str"/>
      <x:c r="F892" s="6" t="str">
        <x:f>IFERROR(XLOOKUP(C892,'Review Sequence'!C2:C1586,'Review Sequence'!I2:I1586),"")</x:f>
        <x:v>Multiple dependencies - verify source queues</x:v>
      </x:c>
      <x:c r="G892" s="6" t="str">
        <x:f>IFERROR(XLOOKUP(C892,'Review Sequence'!C2:C1586,'Review Sequence'!J2:J1586),"")</x:f>
        <x:v>Not Started</x:v>
      </x:c>
      <x:c r="H892" s="7" t="str">
        <x:f>IFERROR(XLOOKUP(C892,'Review Sequence'!C2:C1586,'Review Sequence'!O2:O1586),"")</x:f>
      </x:c>
      <x:c r="I892" s="6" t="str">
        <x:f>IFERROR(XLOOKUP(C892,'Review Sequence'!C2:C1586,'Review Sequence'!P2:P1586),"")</x:f>
        <x:v>Yes</x:v>
      </x:c>
    </x:row>
    <x:row r="893">
      <x:c r="A893" s="6" t="str">
        <x:v>BLK-0892</x:v>
      </x:c>
      <x:c r="B893" s="6" t="str">
        <x:v>Device Applicability</x:v>
      </x:c>
      <x:c r="C893" s="6" t="str">
        <x:v>DEVX-0249</x:v>
      </x:c>
      <x:c r="D893" s="6" t="str">
        <x:v>SVC000249</x:v>
      </x:c>
      <x:c r="E893" s="6" t="str"/>
      <x:c r="F893" s="6" t="str">
        <x:f>IFERROR(XLOOKUP(C893,'Review Sequence'!C2:C1586,'Review Sequence'!I2:I1586),"")</x:f>
        <x:v>Multiple dependencies - verify source queues</x:v>
      </x:c>
      <x:c r="G893" s="6" t="str">
        <x:f>IFERROR(XLOOKUP(C893,'Review Sequence'!C2:C1586,'Review Sequence'!J2:J1586),"")</x:f>
        <x:v>Not Started</x:v>
      </x:c>
      <x:c r="H893" s="7" t="str">
        <x:f>IFERROR(XLOOKUP(C893,'Review Sequence'!C2:C1586,'Review Sequence'!O2:O1586),"")</x:f>
      </x:c>
      <x:c r="I893" s="6" t="str">
        <x:f>IFERROR(XLOOKUP(C893,'Review Sequence'!C2:C1586,'Review Sequence'!P2:P1586),"")</x:f>
        <x:v>Yes</x:v>
      </x:c>
    </x:row>
    <x:row r="894">
      <x:c r="A894" s="6" t="str">
        <x:v>BLK-0893</x:v>
      </x:c>
      <x:c r="B894" s="6" t="str">
        <x:v>Device Applicability</x:v>
      </x:c>
      <x:c r="C894" s="6" t="str">
        <x:v>DEVX-0250</x:v>
      </x:c>
      <x:c r="D894" s="6" t="str">
        <x:v>SVC000250</x:v>
      </x:c>
      <x:c r="E894" s="6" t="str"/>
      <x:c r="F894" s="6" t="str">
        <x:f>IFERROR(XLOOKUP(C894,'Review Sequence'!C2:C1586,'Review Sequence'!I2:I1586),"")</x:f>
        <x:v>Multiple dependencies - verify source queues</x:v>
      </x:c>
      <x:c r="G894" s="6" t="str">
        <x:f>IFERROR(XLOOKUP(C894,'Review Sequence'!C2:C1586,'Review Sequence'!J2:J1586),"")</x:f>
        <x:v>Not Started</x:v>
      </x:c>
      <x:c r="H894" s="7" t="str">
        <x:f>IFERROR(XLOOKUP(C894,'Review Sequence'!C2:C1586,'Review Sequence'!O2:O1586),"")</x:f>
      </x:c>
      <x:c r="I894" s="6" t="str">
        <x:f>IFERROR(XLOOKUP(C894,'Review Sequence'!C2:C1586,'Review Sequence'!P2:P1586),"")</x:f>
        <x:v>Yes</x:v>
      </x:c>
    </x:row>
    <x:row r="895">
      <x:c r="A895" s="6" t="str">
        <x:v>BLK-0894</x:v>
      </x:c>
      <x:c r="B895" s="6" t="str">
        <x:v>Device Applicability</x:v>
      </x:c>
      <x:c r="C895" s="6" t="str">
        <x:v>DEVX-0251</x:v>
      </x:c>
      <x:c r="D895" s="6" t="str">
        <x:v>SVC000251</x:v>
      </x:c>
      <x:c r="E895" s="6" t="str"/>
      <x:c r="F895" s="6" t="str">
        <x:f>IFERROR(XLOOKUP(C895,'Review Sequence'!C2:C1586,'Review Sequence'!I2:I1586),"")</x:f>
        <x:v>Multiple dependencies - verify source queues</x:v>
      </x:c>
      <x:c r="G895" s="6" t="str">
        <x:f>IFERROR(XLOOKUP(C895,'Review Sequence'!C2:C1586,'Review Sequence'!J2:J1586),"")</x:f>
        <x:v>Not Started</x:v>
      </x:c>
      <x:c r="H895" s="7" t="str">
        <x:f>IFERROR(XLOOKUP(C895,'Review Sequence'!C2:C1586,'Review Sequence'!O2:O1586),"")</x:f>
      </x:c>
      <x:c r="I895" s="6" t="str">
        <x:f>IFERROR(XLOOKUP(C895,'Review Sequence'!C2:C1586,'Review Sequence'!P2:P1586),"")</x:f>
        <x:v>Yes</x:v>
      </x:c>
    </x:row>
    <x:row r="896">
      <x:c r="A896" s="6" t="str">
        <x:v>BLK-0895</x:v>
      </x:c>
      <x:c r="B896" s="6" t="str">
        <x:v>Device Applicability</x:v>
      </x:c>
      <x:c r="C896" s="6" t="str">
        <x:v>DEVX-0252</x:v>
      </x:c>
      <x:c r="D896" s="6" t="str">
        <x:v>SVC000252</x:v>
      </x:c>
      <x:c r="E896" s="6" t="str"/>
      <x:c r="F896" s="6" t="str">
        <x:f>IFERROR(XLOOKUP(C896,'Review Sequence'!C2:C1586,'Review Sequence'!I2:I1586),"")</x:f>
        <x:v>Multiple dependencies - verify source queues</x:v>
      </x:c>
      <x:c r="G896" s="6" t="str">
        <x:f>IFERROR(XLOOKUP(C896,'Review Sequence'!C2:C1586,'Review Sequence'!J2:J1586),"")</x:f>
        <x:v>Not Started</x:v>
      </x:c>
      <x:c r="H896" s="7" t="str">
        <x:f>IFERROR(XLOOKUP(C896,'Review Sequence'!C2:C1586,'Review Sequence'!O2:O1586),"")</x:f>
      </x:c>
      <x:c r="I896" s="6" t="str">
        <x:f>IFERROR(XLOOKUP(C896,'Review Sequence'!C2:C1586,'Review Sequence'!P2:P1586),"")</x:f>
        <x:v>Yes</x:v>
      </x:c>
    </x:row>
    <x:row r="897">
      <x:c r="A897" s="6" t="str">
        <x:v>BLK-0896</x:v>
      </x:c>
      <x:c r="B897" s="6" t="str">
        <x:v>Device Applicability</x:v>
      </x:c>
      <x:c r="C897" s="6" t="str">
        <x:v>DEVX-0253</x:v>
      </x:c>
      <x:c r="D897" s="6" t="str">
        <x:v>SVC000253</x:v>
      </x:c>
      <x:c r="E897" s="6" t="str"/>
      <x:c r="F897" s="6" t="str">
        <x:f>IFERROR(XLOOKUP(C897,'Review Sequence'!C2:C1586,'Review Sequence'!I2:I1586),"")</x:f>
        <x:v>Multiple dependencies - verify source queues</x:v>
      </x:c>
      <x:c r="G897" s="6" t="str">
        <x:f>IFERROR(XLOOKUP(C897,'Review Sequence'!C2:C1586,'Review Sequence'!J2:J1586),"")</x:f>
        <x:v>Not Started</x:v>
      </x:c>
      <x:c r="H897" s="7" t="str">
        <x:f>IFERROR(XLOOKUP(C897,'Review Sequence'!C2:C1586,'Review Sequence'!O2:O1586),"")</x:f>
      </x:c>
      <x:c r="I897" s="6" t="str">
        <x:f>IFERROR(XLOOKUP(C897,'Review Sequence'!C2:C1586,'Review Sequence'!P2:P1586),"")</x:f>
        <x:v>Yes</x:v>
      </x:c>
    </x:row>
    <x:row r="898">
      <x:c r="A898" s="6" t="str">
        <x:v>BLK-0897</x:v>
      </x:c>
      <x:c r="B898" s="6" t="str">
        <x:v>Device Applicability</x:v>
      </x:c>
      <x:c r="C898" s="6" t="str">
        <x:v>DEVX-0254</x:v>
      </x:c>
      <x:c r="D898" s="6" t="str">
        <x:v>SVC000254</x:v>
      </x:c>
      <x:c r="E898" s="6" t="str"/>
      <x:c r="F898" s="6" t="str">
        <x:f>IFERROR(XLOOKUP(C898,'Review Sequence'!C2:C1586,'Review Sequence'!I2:I1586),"")</x:f>
        <x:v>Multiple dependencies - verify source queues</x:v>
      </x:c>
      <x:c r="G898" s="6" t="str">
        <x:f>IFERROR(XLOOKUP(C898,'Review Sequence'!C2:C1586,'Review Sequence'!J2:J1586),"")</x:f>
        <x:v>Not Started</x:v>
      </x:c>
      <x:c r="H898" s="7" t="str">
        <x:f>IFERROR(XLOOKUP(C898,'Review Sequence'!C2:C1586,'Review Sequence'!O2:O1586),"")</x:f>
      </x:c>
      <x:c r="I898" s="6" t="str">
        <x:f>IFERROR(XLOOKUP(C898,'Review Sequence'!C2:C1586,'Review Sequence'!P2:P1586),"")</x:f>
        <x:v>Yes</x:v>
      </x:c>
    </x:row>
    <x:row r="899">
      <x:c r="A899" s="6" t="str">
        <x:v>BLK-0898</x:v>
      </x:c>
      <x:c r="B899" s="6" t="str">
        <x:v>Device Applicability</x:v>
      </x:c>
      <x:c r="C899" s="6" t="str">
        <x:v>DEVX-0255</x:v>
      </x:c>
      <x:c r="D899" s="6" t="str">
        <x:v>SVC000255</x:v>
      </x:c>
      <x:c r="E899" s="6" t="str"/>
      <x:c r="F899" s="6" t="str">
        <x:f>IFERROR(XLOOKUP(C899,'Review Sequence'!C2:C1586,'Review Sequence'!I2:I1586),"")</x:f>
        <x:v>Multiple dependencies - verify source queues</x:v>
      </x:c>
      <x:c r="G899" s="6" t="str">
        <x:f>IFERROR(XLOOKUP(C899,'Review Sequence'!C2:C1586,'Review Sequence'!J2:J1586),"")</x:f>
        <x:v>Not Started</x:v>
      </x:c>
      <x:c r="H899" s="7" t="str">
        <x:f>IFERROR(XLOOKUP(C899,'Review Sequence'!C2:C1586,'Review Sequence'!O2:O1586),"")</x:f>
      </x:c>
      <x:c r="I899" s="6" t="str">
        <x:f>IFERROR(XLOOKUP(C899,'Review Sequence'!C2:C1586,'Review Sequence'!P2:P1586),"")</x:f>
        <x:v>Yes</x:v>
      </x:c>
    </x:row>
    <x:row r="900">
      <x:c r="A900" s="6" t="str">
        <x:v>BLK-0899</x:v>
      </x:c>
      <x:c r="B900" s="6" t="str">
        <x:v>Device Applicability</x:v>
      </x:c>
      <x:c r="C900" s="6" t="str">
        <x:v>DEVX-0256</x:v>
      </x:c>
      <x:c r="D900" s="6" t="str">
        <x:v>SVC000256</x:v>
      </x:c>
      <x:c r="E900" s="6" t="str"/>
      <x:c r="F900" s="6" t="str">
        <x:f>IFERROR(XLOOKUP(C900,'Review Sequence'!C2:C1586,'Review Sequence'!I2:I1586),"")</x:f>
        <x:v>Multiple dependencies - verify source queues</x:v>
      </x:c>
      <x:c r="G900" s="6" t="str">
        <x:f>IFERROR(XLOOKUP(C900,'Review Sequence'!C2:C1586,'Review Sequence'!J2:J1586),"")</x:f>
        <x:v>Not Started</x:v>
      </x:c>
      <x:c r="H900" s="7" t="str">
        <x:f>IFERROR(XLOOKUP(C900,'Review Sequence'!C2:C1586,'Review Sequence'!O2:O1586),"")</x:f>
      </x:c>
      <x:c r="I900" s="6" t="str">
        <x:f>IFERROR(XLOOKUP(C900,'Review Sequence'!C2:C1586,'Review Sequence'!P2:P1586),"")</x:f>
        <x:v>Yes</x:v>
      </x:c>
    </x:row>
    <x:row r="901">
      <x:c r="A901" s="6" t="str">
        <x:v>BLK-0900</x:v>
      </x:c>
      <x:c r="B901" s="6" t="str">
        <x:v>Device Applicability</x:v>
      </x:c>
      <x:c r="C901" s="6" t="str">
        <x:v>DEVX-0257</x:v>
      </x:c>
      <x:c r="D901" s="6" t="str">
        <x:v>SVC000257</x:v>
      </x:c>
      <x:c r="E901" s="6" t="str"/>
      <x:c r="F901" s="6" t="str">
        <x:f>IFERROR(XLOOKUP(C901,'Review Sequence'!C2:C1586,'Review Sequence'!I2:I1586),"")</x:f>
        <x:v>Multiple dependencies - verify source queues</x:v>
      </x:c>
      <x:c r="G901" s="6" t="str">
        <x:f>IFERROR(XLOOKUP(C901,'Review Sequence'!C2:C1586,'Review Sequence'!J2:J1586),"")</x:f>
        <x:v>Not Started</x:v>
      </x:c>
      <x:c r="H901" s="7" t="str">
        <x:f>IFERROR(XLOOKUP(C901,'Review Sequence'!C2:C1586,'Review Sequence'!O2:O1586),"")</x:f>
      </x:c>
      <x:c r="I901" s="6" t="str">
        <x:f>IFERROR(XLOOKUP(C901,'Review Sequence'!C2:C1586,'Review Sequence'!P2:P1586),"")</x:f>
        <x:v>Yes</x:v>
      </x:c>
    </x:row>
    <x:row r="902">
      <x:c r="A902" s="6" t="str">
        <x:v>BLK-0901</x:v>
      </x:c>
      <x:c r="B902" s="6" t="str">
        <x:v>Device Applicability</x:v>
      </x:c>
      <x:c r="C902" s="6" t="str">
        <x:v>DEVX-0258</x:v>
      </x:c>
      <x:c r="D902" s="6" t="str">
        <x:v>SVC000258</x:v>
      </x:c>
      <x:c r="E902" s="6" t="str"/>
      <x:c r="F902" s="6" t="str">
        <x:f>IFERROR(XLOOKUP(C902,'Review Sequence'!C2:C1586,'Review Sequence'!I2:I1586),"")</x:f>
        <x:v>Multiple dependencies - verify source queues</x:v>
      </x:c>
      <x:c r="G902" s="6" t="str">
        <x:f>IFERROR(XLOOKUP(C902,'Review Sequence'!C2:C1586,'Review Sequence'!J2:J1586),"")</x:f>
        <x:v>Not Started</x:v>
      </x:c>
      <x:c r="H902" s="7" t="str">
        <x:f>IFERROR(XLOOKUP(C902,'Review Sequence'!C2:C1586,'Review Sequence'!O2:O1586),"")</x:f>
      </x:c>
      <x:c r="I902" s="6" t="str">
        <x:f>IFERROR(XLOOKUP(C902,'Review Sequence'!C2:C1586,'Review Sequence'!P2:P1586),"")</x:f>
        <x:v>Yes</x:v>
      </x:c>
    </x:row>
    <x:row r="903">
      <x:c r="A903" s="6" t="str">
        <x:v>BLK-0902</x:v>
      </x:c>
      <x:c r="B903" s="6" t="str">
        <x:v>Device Applicability</x:v>
      </x:c>
      <x:c r="C903" s="6" t="str">
        <x:v>DEVX-0259</x:v>
      </x:c>
      <x:c r="D903" s="6" t="str">
        <x:v>SVC000259</x:v>
      </x:c>
      <x:c r="E903" s="6" t="str"/>
      <x:c r="F903" s="6" t="str">
        <x:f>IFERROR(XLOOKUP(C903,'Review Sequence'!C2:C1586,'Review Sequence'!I2:I1586),"")</x:f>
        <x:v>Multiple dependencies - verify source queues</x:v>
      </x:c>
      <x:c r="G903" s="6" t="str">
        <x:f>IFERROR(XLOOKUP(C903,'Review Sequence'!C2:C1586,'Review Sequence'!J2:J1586),"")</x:f>
        <x:v>Not Started</x:v>
      </x:c>
      <x:c r="H903" s="7" t="str">
        <x:f>IFERROR(XLOOKUP(C903,'Review Sequence'!C2:C1586,'Review Sequence'!O2:O1586),"")</x:f>
      </x:c>
      <x:c r="I903" s="6" t="str">
        <x:f>IFERROR(XLOOKUP(C903,'Review Sequence'!C2:C1586,'Review Sequence'!P2:P1586),"")</x:f>
        <x:v>Yes</x:v>
      </x:c>
    </x:row>
    <x:row r="904">
      <x:c r="A904" s="6" t="str">
        <x:v>BLK-0903</x:v>
      </x:c>
      <x:c r="B904" s="6" t="str">
        <x:v>Device Applicability</x:v>
      </x:c>
      <x:c r="C904" s="6" t="str">
        <x:v>DEVX-0260</x:v>
      </x:c>
      <x:c r="D904" s="6" t="str">
        <x:v>SVC000260</x:v>
      </x:c>
      <x:c r="E904" s="6" t="str"/>
      <x:c r="F904" s="6" t="str">
        <x:f>IFERROR(XLOOKUP(C904,'Review Sequence'!C2:C1586,'Review Sequence'!I2:I1586),"")</x:f>
        <x:v>Multiple dependencies - verify source queues</x:v>
      </x:c>
      <x:c r="G904" s="6" t="str">
        <x:f>IFERROR(XLOOKUP(C904,'Review Sequence'!C2:C1586,'Review Sequence'!J2:J1586),"")</x:f>
        <x:v>Not Started</x:v>
      </x:c>
      <x:c r="H904" s="7" t="str">
        <x:f>IFERROR(XLOOKUP(C904,'Review Sequence'!C2:C1586,'Review Sequence'!O2:O1586),"")</x:f>
      </x:c>
      <x:c r="I904" s="6" t="str">
        <x:f>IFERROR(XLOOKUP(C904,'Review Sequence'!C2:C1586,'Review Sequence'!P2:P1586),"")</x:f>
        <x:v>Yes</x:v>
      </x:c>
    </x:row>
    <x:row r="905">
      <x:c r="A905" s="6" t="str">
        <x:v>BLK-0904</x:v>
      </x:c>
      <x:c r="B905" s="6" t="str">
        <x:v>Device Applicability</x:v>
      </x:c>
      <x:c r="C905" s="6" t="str">
        <x:v>DEVX-0261</x:v>
      </x:c>
      <x:c r="D905" s="6" t="str">
        <x:v>SVC000261</x:v>
      </x:c>
      <x:c r="E905" s="6" t="str"/>
      <x:c r="F905" s="6" t="str">
        <x:f>IFERROR(XLOOKUP(C905,'Review Sequence'!C2:C1586,'Review Sequence'!I2:I1586),"")</x:f>
        <x:v>Multiple dependencies - verify source queues</x:v>
      </x:c>
      <x:c r="G905" s="6" t="str">
        <x:f>IFERROR(XLOOKUP(C905,'Review Sequence'!C2:C1586,'Review Sequence'!J2:J1586),"")</x:f>
        <x:v>Not Started</x:v>
      </x:c>
      <x:c r="H905" s="7" t="str">
        <x:f>IFERROR(XLOOKUP(C905,'Review Sequence'!C2:C1586,'Review Sequence'!O2:O1586),"")</x:f>
      </x:c>
      <x:c r="I905" s="6" t="str">
        <x:f>IFERROR(XLOOKUP(C905,'Review Sequence'!C2:C1586,'Review Sequence'!P2:P1586),"")</x:f>
        <x:v>Yes</x:v>
      </x:c>
    </x:row>
    <x:row r="906">
      <x:c r="A906" s="6" t="str">
        <x:v>BLK-0905</x:v>
      </x:c>
      <x:c r="B906" s="6" t="str">
        <x:v>Device Applicability</x:v>
      </x:c>
      <x:c r="C906" s="6" t="str">
        <x:v>DEVX-0262</x:v>
      </x:c>
      <x:c r="D906" s="6" t="str">
        <x:v>SVC000262</x:v>
      </x:c>
      <x:c r="E906" s="6" t="str"/>
      <x:c r="F906" s="6" t="str">
        <x:f>IFERROR(XLOOKUP(C906,'Review Sequence'!C2:C1586,'Review Sequence'!I2:I1586),"")</x:f>
        <x:v>Multiple dependencies - verify source queues</x:v>
      </x:c>
      <x:c r="G906" s="6" t="str">
        <x:f>IFERROR(XLOOKUP(C906,'Review Sequence'!C2:C1586,'Review Sequence'!J2:J1586),"")</x:f>
        <x:v>Not Started</x:v>
      </x:c>
      <x:c r="H906" s="7" t="str">
        <x:f>IFERROR(XLOOKUP(C906,'Review Sequence'!C2:C1586,'Review Sequence'!O2:O1586),"")</x:f>
      </x:c>
      <x:c r="I906" s="6" t="str">
        <x:f>IFERROR(XLOOKUP(C906,'Review Sequence'!C2:C1586,'Review Sequence'!P2:P1586),"")</x:f>
        <x:v>Yes</x:v>
      </x:c>
    </x:row>
    <x:row r="907">
      <x:c r="A907" s="6" t="str">
        <x:v>BLK-0906</x:v>
      </x:c>
      <x:c r="B907" s="6" t="str">
        <x:v>Device Applicability</x:v>
      </x:c>
      <x:c r="C907" s="6" t="str">
        <x:v>DEVX-0263</x:v>
      </x:c>
      <x:c r="D907" s="6" t="str">
        <x:v>SVC000263</x:v>
      </x:c>
      <x:c r="E907" s="6" t="str"/>
      <x:c r="F907" s="6" t="str">
        <x:f>IFERROR(XLOOKUP(C907,'Review Sequence'!C2:C1586,'Review Sequence'!I2:I1586),"")</x:f>
        <x:v>Multiple dependencies - verify source queues</x:v>
      </x:c>
      <x:c r="G907" s="6" t="str">
        <x:f>IFERROR(XLOOKUP(C907,'Review Sequence'!C2:C1586,'Review Sequence'!J2:J1586),"")</x:f>
        <x:v>Not Started</x:v>
      </x:c>
      <x:c r="H907" s="7" t="str">
        <x:f>IFERROR(XLOOKUP(C907,'Review Sequence'!C2:C1586,'Review Sequence'!O2:O1586),"")</x:f>
      </x:c>
      <x:c r="I907" s="6" t="str">
        <x:f>IFERROR(XLOOKUP(C907,'Review Sequence'!C2:C1586,'Review Sequence'!P2:P1586),"")</x:f>
        <x:v>Yes</x:v>
      </x:c>
    </x:row>
    <x:row r="908">
      <x:c r="A908" s="6" t="str">
        <x:v>BLK-0907</x:v>
      </x:c>
      <x:c r="B908" s="6" t="str">
        <x:v>Device Applicability</x:v>
      </x:c>
      <x:c r="C908" s="6" t="str">
        <x:v>DEVX-0264</x:v>
      </x:c>
      <x:c r="D908" s="6" t="str">
        <x:v>SVC000264</x:v>
      </x:c>
      <x:c r="E908" s="6" t="str"/>
      <x:c r="F908" s="6" t="str">
        <x:f>IFERROR(XLOOKUP(C908,'Review Sequence'!C2:C1586,'Review Sequence'!I2:I1586),"")</x:f>
        <x:v>Multiple dependencies - verify source queues</x:v>
      </x:c>
      <x:c r="G908" s="6" t="str">
        <x:f>IFERROR(XLOOKUP(C908,'Review Sequence'!C2:C1586,'Review Sequence'!J2:J1586),"")</x:f>
        <x:v>Not Started</x:v>
      </x:c>
      <x:c r="H908" s="7" t="str">
        <x:f>IFERROR(XLOOKUP(C908,'Review Sequence'!C2:C1586,'Review Sequence'!O2:O1586),"")</x:f>
      </x:c>
      <x:c r="I908" s="6" t="str">
        <x:f>IFERROR(XLOOKUP(C908,'Review Sequence'!C2:C1586,'Review Sequence'!P2:P1586),"")</x:f>
        <x:v>Yes</x:v>
      </x:c>
    </x:row>
    <x:row r="909">
      <x:c r="A909" s="6" t="str">
        <x:v>BLK-0908</x:v>
      </x:c>
      <x:c r="B909" s="6" t="str">
        <x:v>Device Applicability</x:v>
      </x:c>
      <x:c r="C909" s="6" t="str">
        <x:v>DEVX-0265</x:v>
      </x:c>
      <x:c r="D909" s="6" t="str">
        <x:v>SVC000265</x:v>
      </x:c>
      <x:c r="E909" s="6" t="str"/>
      <x:c r="F909" s="6" t="str">
        <x:f>IFERROR(XLOOKUP(C909,'Review Sequence'!C2:C1586,'Review Sequence'!I2:I1586),"")</x:f>
        <x:v>Multiple dependencies - verify source queues</x:v>
      </x:c>
      <x:c r="G909" s="6" t="str">
        <x:f>IFERROR(XLOOKUP(C909,'Review Sequence'!C2:C1586,'Review Sequence'!J2:J1586),"")</x:f>
        <x:v>Not Started</x:v>
      </x:c>
      <x:c r="H909" s="7" t="str">
        <x:f>IFERROR(XLOOKUP(C909,'Review Sequence'!C2:C1586,'Review Sequence'!O2:O1586),"")</x:f>
      </x:c>
      <x:c r="I909" s="6" t="str">
        <x:f>IFERROR(XLOOKUP(C909,'Review Sequence'!C2:C1586,'Review Sequence'!P2:P1586),"")</x:f>
        <x:v>Yes</x:v>
      </x:c>
    </x:row>
    <x:row r="910">
      <x:c r="A910" s="6" t="str">
        <x:v>BLK-0909</x:v>
      </x:c>
      <x:c r="B910" s="6" t="str">
        <x:v>Device Applicability</x:v>
      </x:c>
      <x:c r="C910" s="6" t="str">
        <x:v>DEVX-0266</x:v>
      </x:c>
      <x:c r="D910" s="6" t="str">
        <x:v>SVC000266</x:v>
      </x:c>
      <x:c r="E910" s="6" t="str"/>
      <x:c r="F910" s="6" t="str">
        <x:f>IFERROR(XLOOKUP(C910,'Review Sequence'!C2:C1586,'Review Sequence'!I2:I1586),"")</x:f>
        <x:v>Multiple dependencies - verify source queues</x:v>
      </x:c>
      <x:c r="G910" s="6" t="str">
        <x:f>IFERROR(XLOOKUP(C910,'Review Sequence'!C2:C1586,'Review Sequence'!J2:J1586),"")</x:f>
        <x:v>Not Started</x:v>
      </x:c>
      <x:c r="H910" s="7" t="str">
        <x:f>IFERROR(XLOOKUP(C910,'Review Sequence'!C2:C1586,'Review Sequence'!O2:O1586),"")</x:f>
      </x:c>
      <x:c r="I910" s="6" t="str">
        <x:f>IFERROR(XLOOKUP(C910,'Review Sequence'!C2:C1586,'Review Sequence'!P2:P1586),"")</x:f>
        <x:v>Yes</x:v>
      </x:c>
    </x:row>
    <x:row r="911">
      <x:c r="A911" s="6" t="str">
        <x:v>BLK-0910</x:v>
      </x:c>
      <x:c r="B911" s="6" t="str">
        <x:v>Device Applicability</x:v>
      </x:c>
      <x:c r="C911" s="6" t="str">
        <x:v>DEVX-0267</x:v>
      </x:c>
      <x:c r="D911" s="6" t="str">
        <x:v>SVC000267</x:v>
      </x:c>
      <x:c r="E911" s="6" t="str"/>
      <x:c r="F911" s="6" t="str">
        <x:f>IFERROR(XLOOKUP(C911,'Review Sequence'!C2:C1586,'Review Sequence'!I2:I1586),"")</x:f>
        <x:v>Multiple dependencies - verify source queues</x:v>
      </x:c>
      <x:c r="G911" s="6" t="str">
        <x:f>IFERROR(XLOOKUP(C911,'Review Sequence'!C2:C1586,'Review Sequence'!J2:J1586),"")</x:f>
        <x:v>Not Started</x:v>
      </x:c>
      <x:c r="H911" s="7" t="str">
        <x:f>IFERROR(XLOOKUP(C911,'Review Sequence'!C2:C1586,'Review Sequence'!O2:O1586),"")</x:f>
      </x:c>
      <x:c r="I911" s="6" t="str">
        <x:f>IFERROR(XLOOKUP(C911,'Review Sequence'!C2:C1586,'Review Sequence'!P2:P1586),"")</x:f>
        <x:v>Yes</x:v>
      </x:c>
    </x:row>
    <x:row r="912">
      <x:c r="A912" s="6" t="str">
        <x:v>BLK-0911</x:v>
      </x:c>
      <x:c r="B912" s="6" t="str">
        <x:v>Device Applicability</x:v>
      </x:c>
      <x:c r="C912" s="6" t="str">
        <x:v>DEVX-0268</x:v>
      </x:c>
      <x:c r="D912" s="6" t="str">
        <x:v>SVC000268</x:v>
      </x:c>
      <x:c r="E912" s="6" t="str"/>
      <x:c r="F912" s="6" t="str">
        <x:f>IFERROR(XLOOKUP(C912,'Review Sequence'!C2:C1586,'Review Sequence'!I2:I1586),"")</x:f>
        <x:v>Multiple dependencies - verify source queues</x:v>
      </x:c>
      <x:c r="G912" s="6" t="str">
        <x:f>IFERROR(XLOOKUP(C912,'Review Sequence'!C2:C1586,'Review Sequence'!J2:J1586),"")</x:f>
        <x:v>Not Started</x:v>
      </x:c>
      <x:c r="H912" s="7" t="str">
        <x:f>IFERROR(XLOOKUP(C912,'Review Sequence'!C2:C1586,'Review Sequence'!O2:O1586),"")</x:f>
      </x:c>
      <x:c r="I912" s="6" t="str">
        <x:f>IFERROR(XLOOKUP(C912,'Review Sequence'!C2:C1586,'Review Sequence'!P2:P1586),"")</x:f>
        <x:v>Yes</x:v>
      </x:c>
    </x:row>
    <x:row r="913">
      <x:c r="A913" s="6" t="str">
        <x:v>BLK-0912</x:v>
      </x:c>
      <x:c r="B913" s="6" t="str">
        <x:v>Device Applicability</x:v>
      </x:c>
      <x:c r="C913" s="6" t="str">
        <x:v>DEVX-0269</x:v>
      </x:c>
      <x:c r="D913" s="6" t="str">
        <x:v>SVC000269</x:v>
      </x:c>
      <x:c r="E913" s="6" t="str"/>
      <x:c r="F913" s="6" t="str">
        <x:f>IFERROR(XLOOKUP(C913,'Review Sequence'!C2:C1586,'Review Sequence'!I2:I1586),"")</x:f>
        <x:v>Multiple dependencies - verify source queues</x:v>
      </x:c>
      <x:c r="G913" s="6" t="str">
        <x:f>IFERROR(XLOOKUP(C913,'Review Sequence'!C2:C1586,'Review Sequence'!J2:J1586),"")</x:f>
        <x:v>Not Started</x:v>
      </x:c>
      <x:c r="H913" s="7" t="str">
        <x:f>IFERROR(XLOOKUP(C913,'Review Sequence'!C2:C1586,'Review Sequence'!O2:O1586),"")</x:f>
      </x:c>
      <x:c r="I913" s="6" t="str">
        <x:f>IFERROR(XLOOKUP(C913,'Review Sequence'!C2:C1586,'Review Sequence'!P2:P1586),"")</x:f>
        <x:v>Yes</x:v>
      </x:c>
    </x:row>
    <x:row r="914">
      <x:c r="A914" s="6" t="str">
        <x:v>BLK-0913</x:v>
      </x:c>
      <x:c r="B914" s="6" t="str">
        <x:v>Device Applicability</x:v>
      </x:c>
      <x:c r="C914" s="6" t="str">
        <x:v>DEVX-0270</x:v>
      </x:c>
      <x:c r="D914" s="6" t="str">
        <x:v>SVC000270</x:v>
      </x:c>
      <x:c r="E914" s="6" t="str"/>
      <x:c r="F914" s="6" t="str">
        <x:f>IFERROR(XLOOKUP(C914,'Review Sequence'!C2:C1586,'Review Sequence'!I2:I1586),"")</x:f>
        <x:v>Multiple dependencies - verify source queues</x:v>
      </x:c>
      <x:c r="G914" s="6" t="str">
        <x:f>IFERROR(XLOOKUP(C914,'Review Sequence'!C2:C1586,'Review Sequence'!J2:J1586),"")</x:f>
        <x:v>Not Started</x:v>
      </x:c>
      <x:c r="H914" s="7" t="str">
        <x:f>IFERROR(XLOOKUP(C914,'Review Sequence'!C2:C1586,'Review Sequence'!O2:O1586),"")</x:f>
      </x:c>
      <x:c r="I914" s="6" t="str">
        <x:f>IFERROR(XLOOKUP(C914,'Review Sequence'!C2:C1586,'Review Sequence'!P2:P1586),"")</x:f>
        <x:v>Yes</x:v>
      </x:c>
    </x:row>
    <x:row r="915">
      <x:c r="A915" s="6" t="str">
        <x:v>BLK-0914</x:v>
      </x:c>
      <x:c r="B915" s="6" t="str">
        <x:v>Device Applicability</x:v>
      </x:c>
      <x:c r="C915" s="6" t="str">
        <x:v>DEVX-0271</x:v>
      </x:c>
      <x:c r="D915" s="6" t="str">
        <x:v>SVC000271</x:v>
      </x:c>
      <x:c r="E915" s="6" t="str"/>
      <x:c r="F915" s="6" t="str">
        <x:f>IFERROR(XLOOKUP(C915,'Review Sequence'!C2:C1586,'Review Sequence'!I2:I1586),"")</x:f>
        <x:v>Multiple dependencies - verify source queues</x:v>
      </x:c>
      <x:c r="G915" s="6" t="str">
        <x:f>IFERROR(XLOOKUP(C915,'Review Sequence'!C2:C1586,'Review Sequence'!J2:J1586),"")</x:f>
        <x:v>Not Started</x:v>
      </x:c>
      <x:c r="H915" s="7" t="str">
        <x:f>IFERROR(XLOOKUP(C915,'Review Sequence'!C2:C1586,'Review Sequence'!O2:O1586),"")</x:f>
      </x:c>
      <x:c r="I915" s="6" t="str">
        <x:f>IFERROR(XLOOKUP(C915,'Review Sequence'!C2:C1586,'Review Sequence'!P2:P1586),"")</x:f>
        <x:v>Yes</x:v>
      </x:c>
    </x:row>
    <x:row r="916">
      <x:c r="A916" s="6" t="str">
        <x:v>BLK-0915</x:v>
      </x:c>
      <x:c r="B916" s="6" t="str">
        <x:v>Device Applicability</x:v>
      </x:c>
      <x:c r="C916" s="6" t="str">
        <x:v>DEVX-0272</x:v>
      </x:c>
      <x:c r="D916" s="6" t="str">
        <x:v>SVC000272</x:v>
      </x:c>
      <x:c r="E916" s="6" t="str"/>
      <x:c r="F916" s="6" t="str">
        <x:f>IFERROR(XLOOKUP(C916,'Review Sequence'!C2:C1586,'Review Sequence'!I2:I1586),"")</x:f>
        <x:v>Multiple dependencies - verify source queues</x:v>
      </x:c>
      <x:c r="G916" s="6" t="str">
        <x:f>IFERROR(XLOOKUP(C916,'Review Sequence'!C2:C1586,'Review Sequence'!J2:J1586),"")</x:f>
        <x:v>Not Started</x:v>
      </x:c>
      <x:c r="H916" s="7" t="str">
        <x:f>IFERROR(XLOOKUP(C916,'Review Sequence'!C2:C1586,'Review Sequence'!O2:O1586),"")</x:f>
      </x:c>
      <x:c r="I916" s="6" t="str">
        <x:f>IFERROR(XLOOKUP(C916,'Review Sequence'!C2:C1586,'Review Sequence'!P2:P1586),"")</x:f>
        <x:v>Yes</x:v>
      </x:c>
    </x:row>
    <x:row r="917">
      <x:c r="A917" s="6" t="str">
        <x:v>BLK-0916</x:v>
      </x:c>
      <x:c r="B917" s="6" t="str">
        <x:v>Device Applicability</x:v>
      </x:c>
      <x:c r="C917" s="6" t="str">
        <x:v>DEVX-0273</x:v>
      </x:c>
      <x:c r="D917" s="6" t="str">
        <x:v>SVC000273</x:v>
      </x:c>
      <x:c r="E917" s="6" t="str"/>
      <x:c r="F917" s="6" t="str">
        <x:f>IFERROR(XLOOKUP(C917,'Review Sequence'!C2:C1586,'Review Sequence'!I2:I1586),"")</x:f>
        <x:v>Multiple dependencies - verify source queues</x:v>
      </x:c>
      <x:c r="G917" s="6" t="str">
        <x:f>IFERROR(XLOOKUP(C917,'Review Sequence'!C2:C1586,'Review Sequence'!J2:J1586),"")</x:f>
        <x:v>Not Started</x:v>
      </x:c>
      <x:c r="H917" s="7" t="str">
        <x:f>IFERROR(XLOOKUP(C917,'Review Sequence'!C2:C1586,'Review Sequence'!O2:O1586),"")</x:f>
      </x:c>
      <x:c r="I917" s="6" t="str">
        <x:f>IFERROR(XLOOKUP(C917,'Review Sequence'!C2:C1586,'Review Sequence'!P2:P1586),"")</x:f>
        <x:v>Yes</x:v>
      </x:c>
    </x:row>
    <x:row r="918">
      <x:c r="A918" s="6" t="str">
        <x:v>BLK-0917</x:v>
      </x:c>
      <x:c r="B918" s="6" t="str">
        <x:v>Device Applicability</x:v>
      </x:c>
      <x:c r="C918" s="6" t="str">
        <x:v>DEVX-0274</x:v>
      </x:c>
      <x:c r="D918" s="6" t="str">
        <x:v>SVC000274</x:v>
      </x:c>
      <x:c r="E918" s="6" t="str"/>
      <x:c r="F918" s="6" t="str">
        <x:f>IFERROR(XLOOKUP(C918,'Review Sequence'!C2:C1586,'Review Sequence'!I2:I1586),"")</x:f>
        <x:v>Multiple dependencies - verify source queues</x:v>
      </x:c>
      <x:c r="G918" s="6" t="str">
        <x:f>IFERROR(XLOOKUP(C918,'Review Sequence'!C2:C1586,'Review Sequence'!J2:J1586),"")</x:f>
        <x:v>Not Started</x:v>
      </x:c>
      <x:c r="H918" s="7" t="str">
        <x:f>IFERROR(XLOOKUP(C918,'Review Sequence'!C2:C1586,'Review Sequence'!O2:O1586),"")</x:f>
      </x:c>
      <x:c r="I918" s="6" t="str">
        <x:f>IFERROR(XLOOKUP(C918,'Review Sequence'!C2:C1586,'Review Sequence'!P2:P1586),"")</x:f>
        <x:v>Yes</x:v>
      </x:c>
    </x:row>
    <x:row r="919">
      <x:c r="A919" s="6" t="str">
        <x:v>BLK-0918</x:v>
      </x:c>
      <x:c r="B919" s="6" t="str">
        <x:v>Device Applicability</x:v>
      </x:c>
      <x:c r="C919" s="6" t="str">
        <x:v>DEVX-0275</x:v>
      </x:c>
      <x:c r="D919" s="6" t="str">
        <x:v>SVC000275</x:v>
      </x:c>
      <x:c r="E919" s="6" t="str"/>
      <x:c r="F919" s="6" t="str">
        <x:f>IFERROR(XLOOKUP(C919,'Review Sequence'!C2:C1586,'Review Sequence'!I2:I1586),"")</x:f>
        <x:v>Multiple dependencies - verify source queues</x:v>
      </x:c>
      <x:c r="G919" s="6" t="str">
        <x:f>IFERROR(XLOOKUP(C919,'Review Sequence'!C2:C1586,'Review Sequence'!J2:J1586),"")</x:f>
        <x:v>Not Started</x:v>
      </x:c>
      <x:c r="H919" s="7" t="str">
        <x:f>IFERROR(XLOOKUP(C919,'Review Sequence'!C2:C1586,'Review Sequence'!O2:O1586),"")</x:f>
      </x:c>
      <x:c r="I919" s="6" t="str">
        <x:f>IFERROR(XLOOKUP(C919,'Review Sequence'!C2:C1586,'Review Sequence'!P2:P1586),"")</x:f>
        <x:v>Yes</x:v>
      </x:c>
    </x:row>
    <x:row r="920">
      <x:c r="A920" s="6" t="str">
        <x:v>BLK-0919</x:v>
      </x:c>
      <x:c r="B920" s="6" t="str">
        <x:v>Device Applicability</x:v>
      </x:c>
      <x:c r="C920" s="6" t="str">
        <x:v>DEVX-0276</x:v>
      </x:c>
      <x:c r="D920" s="6" t="str">
        <x:v>SVC000276</x:v>
      </x:c>
      <x:c r="E920" s="6" t="str"/>
      <x:c r="F920" s="6" t="str">
        <x:f>IFERROR(XLOOKUP(C920,'Review Sequence'!C2:C1586,'Review Sequence'!I2:I1586),"")</x:f>
        <x:v>Multiple dependencies - verify source queues</x:v>
      </x:c>
      <x:c r="G920" s="6" t="str">
        <x:f>IFERROR(XLOOKUP(C920,'Review Sequence'!C2:C1586,'Review Sequence'!J2:J1586),"")</x:f>
        <x:v>Not Started</x:v>
      </x:c>
      <x:c r="H920" s="7" t="str">
        <x:f>IFERROR(XLOOKUP(C920,'Review Sequence'!C2:C1586,'Review Sequence'!O2:O1586),"")</x:f>
      </x:c>
      <x:c r="I920" s="6" t="str">
        <x:f>IFERROR(XLOOKUP(C920,'Review Sequence'!C2:C1586,'Review Sequence'!P2:P1586),"")</x:f>
        <x:v>Yes</x:v>
      </x:c>
    </x:row>
    <x:row r="921">
      <x:c r="A921" s="6" t="str">
        <x:v>BLK-0920</x:v>
      </x:c>
      <x:c r="B921" s="6" t="str">
        <x:v>Device Applicability</x:v>
      </x:c>
      <x:c r="C921" s="6" t="str">
        <x:v>DEVX-0277</x:v>
      </x:c>
      <x:c r="D921" s="6" t="str">
        <x:v>SVC000277</x:v>
      </x:c>
      <x:c r="E921" s="6" t="str"/>
      <x:c r="F921" s="6" t="str">
        <x:f>IFERROR(XLOOKUP(C921,'Review Sequence'!C2:C1586,'Review Sequence'!I2:I1586),"")</x:f>
        <x:v>Multiple dependencies - verify source queues</x:v>
      </x:c>
      <x:c r="G921" s="6" t="str">
        <x:f>IFERROR(XLOOKUP(C921,'Review Sequence'!C2:C1586,'Review Sequence'!J2:J1586),"")</x:f>
        <x:v>Not Started</x:v>
      </x:c>
      <x:c r="H921" s="7" t="str">
        <x:f>IFERROR(XLOOKUP(C921,'Review Sequence'!C2:C1586,'Review Sequence'!O2:O1586),"")</x:f>
      </x:c>
      <x:c r="I921" s="6" t="str">
        <x:f>IFERROR(XLOOKUP(C921,'Review Sequence'!C2:C1586,'Review Sequence'!P2:P1586),"")</x:f>
        <x:v>Yes</x:v>
      </x:c>
    </x:row>
    <x:row r="922">
      <x:c r="A922" s="6" t="str">
        <x:v>BLK-0921</x:v>
      </x:c>
      <x:c r="B922" s="6" t="str">
        <x:v>Device Applicability</x:v>
      </x:c>
      <x:c r="C922" s="6" t="str">
        <x:v>DEVX-0278</x:v>
      </x:c>
      <x:c r="D922" s="6" t="str">
        <x:v>SVC000278</x:v>
      </x:c>
      <x:c r="E922" s="6" t="str"/>
      <x:c r="F922" s="6" t="str">
        <x:f>IFERROR(XLOOKUP(C922,'Review Sequence'!C2:C1586,'Review Sequence'!I2:I1586),"")</x:f>
        <x:v>Multiple dependencies - verify source queues</x:v>
      </x:c>
      <x:c r="G922" s="6" t="str">
        <x:f>IFERROR(XLOOKUP(C922,'Review Sequence'!C2:C1586,'Review Sequence'!J2:J1586),"")</x:f>
        <x:v>Not Started</x:v>
      </x:c>
      <x:c r="H922" s="7" t="str">
        <x:f>IFERROR(XLOOKUP(C922,'Review Sequence'!C2:C1586,'Review Sequence'!O2:O1586),"")</x:f>
      </x:c>
      <x:c r="I922" s="6" t="str">
        <x:f>IFERROR(XLOOKUP(C922,'Review Sequence'!C2:C1586,'Review Sequence'!P2:P1586),"")</x:f>
        <x:v>Yes</x:v>
      </x:c>
    </x:row>
    <x:row r="923">
      <x:c r="A923" s="6" t="str">
        <x:v>BLK-0922</x:v>
      </x:c>
      <x:c r="B923" s="6" t="str">
        <x:v>Device Applicability</x:v>
      </x:c>
      <x:c r="C923" s="6" t="str">
        <x:v>DEVX-0279</x:v>
      </x:c>
      <x:c r="D923" s="6" t="str">
        <x:v>SVC000279</x:v>
      </x:c>
      <x:c r="E923" s="6" t="str"/>
      <x:c r="F923" s="6" t="str">
        <x:f>IFERROR(XLOOKUP(C923,'Review Sequence'!C2:C1586,'Review Sequence'!I2:I1586),"")</x:f>
        <x:v>Multiple dependencies - verify source queues</x:v>
      </x:c>
      <x:c r="G923" s="6" t="str">
        <x:f>IFERROR(XLOOKUP(C923,'Review Sequence'!C2:C1586,'Review Sequence'!J2:J1586),"")</x:f>
        <x:v>Not Started</x:v>
      </x:c>
      <x:c r="H923" s="7" t="str">
        <x:f>IFERROR(XLOOKUP(C923,'Review Sequence'!C2:C1586,'Review Sequence'!O2:O1586),"")</x:f>
      </x:c>
      <x:c r="I923" s="6" t="str">
        <x:f>IFERROR(XLOOKUP(C923,'Review Sequence'!C2:C1586,'Review Sequence'!P2:P1586),"")</x:f>
        <x:v>Yes</x:v>
      </x:c>
    </x:row>
    <x:row r="924">
      <x:c r="A924" s="6" t="str">
        <x:v>BLK-0923</x:v>
      </x:c>
      <x:c r="B924" s="6" t="str">
        <x:v>Device Applicability</x:v>
      </x:c>
      <x:c r="C924" s="6" t="str">
        <x:v>DEVX-0280</x:v>
      </x:c>
      <x:c r="D924" s="6" t="str">
        <x:v>SVC000280</x:v>
      </x:c>
      <x:c r="E924" s="6" t="str"/>
      <x:c r="F924" s="6" t="str">
        <x:f>IFERROR(XLOOKUP(C924,'Review Sequence'!C2:C1586,'Review Sequence'!I2:I1586),"")</x:f>
        <x:v>Multiple dependencies - verify source queues</x:v>
      </x:c>
      <x:c r="G924" s="6" t="str">
        <x:f>IFERROR(XLOOKUP(C924,'Review Sequence'!C2:C1586,'Review Sequence'!J2:J1586),"")</x:f>
        <x:v>Not Started</x:v>
      </x:c>
      <x:c r="H924" s="7" t="str">
        <x:f>IFERROR(XLOOKUP(C924,'Review Sequence'!C2:C1586,'Review Sequence'!O2:O1586),"")</x:f>
      </x:c>
      <x:c r="I924" s="6" t="str">
        <x:f>IFERROR(XLOOKUP(C924,'Review Sequence'!C2:C1586,'Review Sequence'!P2:P1586),"")</x:f>
        <x:v>Yes</x:v>
      </x:c>
    </x:row>
    <x:row r="925">
      <x:c r="A925" s="6" t="str">
        <x:v>BLK-0924</x:v>
      </x:c>
      <x:c r="B925" s="6" t="str">
        <x:v>Device Applicability</x:v>
      </x:c>
      <x:c r="C925" s="6" t="str">
        <x:v>DEVX-0281</x:v>
      </x:c>
      <x:c r="D925" s="6" t="str">
        <x:v>SVC000281</x:v>
      </x:c>
      <x:c r="E925" s="6" t="str"/>
      <x:c r="F925" s="6" t="str">
        <x:f>IFERROR(XLOOKUP(C925,'Review Sequence'!C2:C1586,'Review Sequence'!I2:I1586),"")</x:f>
        <x:v>Multiple dependencies - verify source queues</x:v>
      </x:c>
      <x:c r="G925" s="6" t="str">
        <x:f>IFERROR(XLOOKUP(C925,'Review Sequence'!C2:C1586,'Review Sequence'!J2:J1586),"")</x:f>
        <x:v>Not Started</x:v>
      </x:c>
      <x:c r="H925" s="7" t="str">
        <x:f>IFERROR(XLOOKUP(C925,'Review Sequence'!C2:C1586,'Review Sequence'!O2:O1586),"")</x:f>
      </x:c>
      <x:c r="I925" s="6" t="str">
        <x:f>IFERROR(XLOOKUP(C925,'Review Sequence'!C2:C1586,'Review Sequence'!P2:P1586),"")</x:f>
        <x:v>Yes</x:v>
      </x:c>
    </x:row>
    <x:row r="926">
      <x:c r="A926" s="6" t="str">
        <x:v>BLK-0925</x:v>
      </x:c>
      <x:c r="B926" s="6" t="str">
        <x:v>Device Applicability</x:v>
      </x:c>
      <x:c r="C926" s="6" t="str">
        <x:v>DEVX-0282</x:v>
      </x:c>
      <x:c r="D926" s="6" t="str">
        <x:v>SVC000282</x:v>
      </x:c>
      <x:c r="E926" s="6" t="str"/>
      <x:c r="F926" s="6" t="str">
        <x:f>IFERROR(XLOOKUP(C926,'Review Sequence'!C2:C1586,'Review Sequence'!I2:I1586),"")</x:f>
        <x:v>Multiple dependencies - verify source queues</x:v>
      </x:c>
      <x:c r="G926" s="6" t="str">
        <x:f>IFERROR(XLOOKUP(C926,'Review Sequence'!C2:C1586,'Review Sequence'!J2:J1586),"")</x:f>
        <x:v>Not Started</x:v>
      </x:c>
      <x:c r="H926" s="7" t="str">
        <x:f>IFERROR(XLOOKUP(C926,'Review Sequence'!C2:C1586,'Review Sequence'!O2:O1586),"")</x:f>
      </x:c>
      <x:c r="I926" s="6" t="str">
        <x:f>IFERROR(XLOOKUP(C926,'Review Sequence'!C2:C1586,'Review Sequence'!P2:P1586),"")</x:f>
        <x:v>Yes</x:v>
      </x:c>
    </x:row>
    <x:row r="927">
      <x:c r="A927" s="6" t="str">
        <x:v>BLK-0926</x:v>
      </x:c>
      <x:c r="B927" s="6" t="str">
        <x:v>Device Applicability</x:v>
      </x:c>
      <x:c r="C927" s="6" t="str">
        <x:v>DEVX-0283</x:v>
      </x:c>
      <x:c r="D927" s="6" t="str">
        <x:v>SVC000283</x:v>
      </x:c>
      <x:c r="E927" s="6" t="str"/>
      <x:c r="F927" s="6" t="str">
        <x:f>IFERROR(XLOOKUP(C927,'Review Sequence'!C2:C1586,'Review Sequence'!I2:I1586),"")</x:f>
        <x:v>Multiple dependencies - verify source queues</x:v>
      </x:c>
      <x:c r="G927" s="6" t="str">
        <x:f>IFERROR(XLOOKUP(C927,'Review Sequence'!C2:C1586,'Review Sequence'!J2:J1586),"")</x:f>
        <x:v>Not Started</x:v>
      </x:c>
      <x:c r="H927" s="7" t="str">
        <x:f>IFERROR(XLOOKUP(C927,'Review Sequence'!C2:C1586,'Review Sequence'!O2:O1586),"")</x:f>
      </x:c>
      <x:c r="I927" s="6" t="str">
        <x:f>IFERROR(XLOOKUP(C927,'Review Sequence'!C2:C1586,'Review Sequence'!P2:P1586),"")</x:f>
        <x:v>Yes</x:v>
      </x:c>
    </x:row>
    <x:row r="928">
      <x:c r="A928" s="6" t="str">
        <x:v>BLK-0927</x:v>
      </x:c>
      <x:c r="B928" s="6" t="str">
        <x:v>Device Applicability</x:v>
      </x:c>
      <x:c r="C928" s="6" t="str">
        <x:v>DEVX-0284</x:v>
      </x:c>
      <x:c r="D928" s="6" t="str">
        <x:v>SVC000284</x:v>
      </x:c>
      <x:c r="E928" s="6" t="str"/>
      <x:c r="F928" s="6" t="str">
        <x:f>IFERROR(XLOOKUP(C928,'Review Sequence'!C2:C1586,'Review Sequence'!I2:I1586),"")</x:f>
        <x:v>Multiple dependencies - verify source queues</x:v>
      </x:c>
      <x:c r="G928" s="6" t="str">
        <x:f>IFERROR(XLOOKUP(C928,'Review Sequence'!C2:C1586,'Review Sequence'!J2:J1586),"")</x:f>
        <x:v>Not Started</x:v>
      </x:c>
      <x:c r="H928" s="7" t="str">
        <x:f>IFERROR(XLOOKUP(C928,'Review Sequence'!C2:C1586,'Review Sequence'!O2:O1586),"")</x:f>
      </x:c>
      <x:c r="I928" s="6" t="str">
        <x:f>IFERROR(XLOOKUP(C928,'Review Sequence'!C2:C1586,'Review Sequence'!P2:P1586),"")</x:f>
        <x:v>Yes</x:v>
      </x:c>
    </x:row>
    <x:row r="929">
      <x:c r="A929" s="6" t="str">
        <x:v>BLK-0928</x:v>
      </x:c>
      <x:c r="B929" s="6" t="str">
        <x:v>Device Applicability</x:v>
      </x:c>
      <x:c r="C929" s="6" t="str">
        <x:v>DEVX-0285</x:v>
      </x:c>
      <x:c r="D929" s="6" t="str">
        <x:v>SVC000285</x:v>
      </x:c>
      <x:c r="E929" s="6" t="str"/>
      <x:c r="F929" s="6" t="str">
        <x:f>IFERROR(XLOOKUP(C929,'Review Sequence'!C2:C1586,'Review Sequence'!I2:I1586),"")</x:f>
        <x:v>Multiple dependencies - verify source queues</x:v>
      </x:c>
      <x:c r="G929" s="6" t="str">
        <x:f>IFERROR(XLOOKUP(C929,'Review Sequence'!C2:C1586,'Review Sequence'!J2:J1586),"")</x:f>
        <x:v>Not Started</x:v>
      </x:c>
      <x:c r="H929" s="7" t="str">
        <x:f>IFERROR(XLOOKUP(C929,'Review Sequence'!C2:C1586,'Review Sequence'!O2:O1586),"")</x:f>
      </x:c>
      <x:c r="I929" s="6" t="str">
        <x:f>IFERROR(XLOOKUP(C929,'Review Sequence'!C2:C1586,'Review Sequence'!P2:P1586),"")</x:f>
        <x:v>Yes</x:v>
      </x:c>
    </x:row>
    <x:row r="930">
      <x:c r="A930" s="6" t="str">
        <x:v>BLK-0929</x:v>
      </x:c>
      <x:c r="B930" s="6" t="str">
        <x:v>Device Applicability</x:v>
      </x:c>
      <x:c r="C930" s="6" t="str">
        <x:v>DEVX-0286</x:v>
      </x:c>
      <x:c r="D930" s="6" t="str">
        <x:v>SVC000286</x:v>
      </x:c>
      <x:c r="E930" s="6" t="str"/>
      <x:c r="F930" s="6" t="str">
        <x:f>IFERROR(XLOOKUP(C930,'Review Sequence'!C2:C1586,'Review Sequence'!I2:I1586),"")</x:f>
        <x:v>Multiple dependencies - verify source queues</x:v>
      </x:c>
      <x:c r="G930" s="6" t="str">
        <x:f>IFERROR(XLOOKUP(C930,'Review Sequence'!C2:C1586,'Review Sequence'!J2:J1586),"")</x:f>
        <x:v>Not Started</x:v>
      </x:c>
      <x:c r="H930" s="7" t="str">
        <x:f>IFERROR(XLOOKUP(C930,'Review Sequence'!C2:C1586,'Review Sequence'!O2:O1586),"")</x:f>
      </x:c>
      <x:c r="I930" s="6" t="str">
        <x:f>IFERROR(XLOOKUP(C930,'Review Sequence'!C2:C1586,'Review Sequence'!P2:P1586),"")</x:f>
        <x:v>Yes</x:v>
      </x:c>
    </x:row>
    <x:row r="931">
      <x:c r="A931" s="6" t="str">
        <x:v>BLK-0930</x:v>
      </x:c>
      <x:c r="B931" s="6" t="str">
        <x:v>Device Applicability</x:v>
      </x:c>
      <x:c r="C931" s="6" t="str">
        <x:v>DEVX-0287</x:v>
      </x:c>
      <x:c r="D931" s="6" t="str">
        <x:v>SVC000287</x:v>
      </x:c>
      <x:c r="E931" s="6" t="str"/>
      <x:c r="F931" s="6" t="str">
        <x:f>IFERROR(XLOOKUP(C931,'Review Sequence'!C2:C1586,'Review Sequence'!I2:I1586),"")</x:f>
        <x:v>Multiple dependencies - verify source queues</x:v>
      </x:c>
      <x:c r="G931" s="6" t="str">
        <x:f>IFERROR(XLOOKUP(C931,'Review Sequence'!C2:C1586,'Review Sequence'!J2:J1586),"")</x:f>
        <x:v>Not Started</x:v>
      </x:c>
      <x:c r="H931" s="7" t="str">
        <x:f>IFERROR(XLOOKUP(C931,'Review Sequence'!C2:C1586,'Review Sequence'!O2:O1586),"")</x:f>
      </x:c>
      <x:c r="I931" s="6" t="str">
        <x:f>IFERROR(XLOOKUP(C931,'Review Sequence'!C2:C1586,'Review Sequence'!P2:P1586),"")</x:f>
        <x:v>Yes</x:v>
      </x:c>
    </x:row>
    <x:row r="932">
      <x:c r="A932" s="6" t="str">
        <x:v>BLK-0931</x:v>
      </x:c>
      <x:c r="B932" s="6" t="str">
        <x:v>Device Applicability</x:v>
      </x:c>
      <x:c r="C932" s="6" t="str">
        <x:v>DEVX-0288</x:v>
      </x:c>
      <x:c r="D932" s="6" t="str">
        <x:v>SVC000288</x:v>
      </x:c>
      <x:c r="E932" s="6" t="str"/>
      <x:c r="F932" s="6" t="str">
        <x:f>IFERROR(XLOOKUP(C932,'Review Sequence'!C2:C1586,'Review Sequence'!I2:I1586),"")</x:f>
        <x:v>Multiple dependencies - verify source queues</x:v>
      </x:c>
      <x:c r="G932" s="6" t="str">
        <x:f>IFERROR(XLOOKUP(C932,'Review Sequence'!C2:C1586,'Review Sequence'!J2:J1586),"")</x:f>
        <x:v>Not Started</x:v>
      </x:c>
      <x:c r="H932" s="7" t="str">
        <x:f>IFERROR(XLOOKUP(C932,'Review Sequence'!C2:C1586,'Review Sequence'!O2:O1586),"")</x:f>
      </x:c>
      <x:c r="I932" s="6" t="str">
        <x:f>IFERROR(XLOOKUP(C932,'Review Sequence'!C2:C1586,'Review Sequence'!P2:P1586),"")</x:f>
        <x:v>Yes</x:v>
      </x:c>
    </x:row>
    <x:row r="933">
      <x:c r="A933" s="6" t="str">
        <x:v>BLK-0932</x:v>
      </x:c>
      <x:c r="B933" s="6" t="str">
        <x:v>Device Applicability</x:v>
      </x:c>
      <x:c r="C933" s="6" t="str">
        <x:v>DEVX-0289</x:v>
      </x:c>
      <x:c r="D933" s="6" t="str">
        <x:v>SVC000289</x:v>
      </x:c>
      <x:c r="E933" s="6" t="str"/>
      <x:c r="F933" s="6" t="str">
        <x:f>IFERROR(XLOOKUP(C933,'Review Sequence'!C2:C1586,'Review Sequence'!I2:I1586),"")</x:f>
        <x:v>Multiple dependencies - verify source queues</x:v>
      </x:c>
      <x:c r="G933" s="6" t="str">
        <x:f>IFERROR(XLOOKUP(C933,'Review Sequence'!C2:C1586,'Review Sequence'!J2:J1586),"")</x:f>
        <x:v>Not Started</x:v>
      </x:c>
      <x:c r="H933" s="7" t="str">
        <x:f>IFERROR(XLOOKUP(C933,'Review Sequence'!C2:C1586,'Review Sequence'!O2:O1586),"")</x:f>
      </x:c>
      <x:c r="I933" s="6" t="str">
        <x:f>IFERROR(XLOOKUP(C933,'Review Sequence'!C2:C1586,'Review Sequence'!P2:P1586),"")</x:f>
        <x:v>Yes</x:v>
      </x:c>
    </x:row>
    <x:row r="934">
      <x:c r="A934" s="6" t="str">
        <x:v>BLK-0933</x:v>
      </x:c>
      <x:c r="B934" s="6" t="str">
        <x:v>Device Applicability</x:v>
      </x:c>
      <x:c r="C934" s="6" t="str">
        <x:v>DEVX-0290</x:v>
      </x:c>
      <x:c r="D934" s="6" t="str">
        <x:v>SVC000290</x:v>
      </x:c>
      <x:c r="E934" s="6" t="str"/>
      <x:c r="F934" s="6" t="str">
        <x:f>IFERROR(XLOOKUP(C934,'Review Sequence'!C2:C1586,'Review Sequence'!I2:I1586),"")</x:f>
        <x:v>Multiple dependencies - verify source queues</x:v>
      </x:c>
      <x:c r="G934" s="6" t="str">
        <x:f>IFERROR(XLOOKUP(C934,'Review Sequence'!C2:C1586,'Review Sequence'!J2:J1586),"")</x:f>
        <x:v>Not Started</x:v>
      </x:c>
      <x:c r="H934" s="7" t="str">
        <x:f>IFERROR(XLOOKUP(C934,'Review Sequence'!C2:C1586,'Review Sequence'!O2:O1586),"")</x:f>
      </x:c>
      <x:c r="I934" s="6" t="str">
        <x:f>IFERROR(XLOOKUP(C934,'Review Sequence'!C2:C1586,'Review Sequence'!P2:P1586),"")</x:f>
        <x:v>Yes</x:v>
      </x:c>
    </x:row>
    <x:row r="935">
      <x:c r="A935" s="6" t="str">
        <x:v>BLK-0934</x:v>
      </x:c>
      <x:c r="B935" s="6" t="str">
        <x:v>Device Applicability</x:v>
      </x:c>
      <x:c r="C935" s="6" t="str">
        <x:v>DEVX-0291</x:v>
      </x:c>
      <x:c r="D935" s="6" t="str">
        <x:v>SVC000291</x:v>
      </x:c>
      <x:c r="E935" s="6" t="str"/>
      <x:c r="F935" s="6" t="str">
        <x:f>IFERROR(XLOOKUP(C935,'Review Sequence'!C2:C1586,'Review Sequence'!I2:I1586),"")</x:f>
        <x:v>Multiple dependencies - verify source queues</x:v>
      </x:c>
      <x:c r="G935" s="6" t="str">
        <x:f>IFERROR(XLOOKUP(C935,'Review Sequence'!C2:C1586,'Review Sequence'!J2:J1586),"")</x:f>
        <x:v>Not Started</x:v>
      </x:c>
      <x:c r="H935" s="7" t="str">
        <x:f>IFERROR(XLOOKUP(C935,'Review Sequence'!C2:C1586,'Review Sequence'!O2:O1586),"")</x:f>
      </x:c>
      <x:c r="I935" s="6" t="str">
        <x:f>IFERROR(XLOOKUP(C935,'Review Sequence'!C2:C1586,'Review Sequence'!P2:P1586),"")</x:f>
        <x:v>Yes</x:v>
      </x:c>
    </x:row>
    <x:row r="936">
      <x:c r="A936" s="6" t="str">
        <x:v>BLK-0935</x:v>
      </x:c>
      <x:c r="B936" s="6" t="str">
        <x:v>Device Applicability</x:v>
      </x:c>
      <x:c r="C936" s="6" t="str">
        <x:v>DEVX-0292</x:v>
      </x:c>
      <x:c r="D936" s="6" t="str">
        <x:v>SVC000292</x:v>
      </x:c>
      <x:c r="E936" s="6" t="str"/>
      <x:c r="F936" s="6" t="str">
        <x:f>IFERROR(XLOOKUP(C936,'Review Sequence'!C2:C1586,'Review Sequence'!I2:I1586),"")</x:f>
        <x:v>Multiple dependencies - verify source queues</x:v>
      </x:c>
      <x:c r="G936" s="6" t="str">
        <x:f>IFERROR(XLOOKUP(C936,'Review Sequence'!C2:C1586,'Review Sequence'!J2:J1586),"")</x:f>
        <x:v>Not Started</x:v>
      </x:c>
      <x:c r="H936" s="7" t="str">
        <x:f>IFERROR(XLOOKUP(C936,'Review Sequence'!C2:C1586,'Review Sequence'!O2:O1586),"")</x:f>
      </x:c>
      <x:c r="I936" s="6" t="str">
        <x:f>IFERROR(XLOOKUP(C936,'Review Sequence'!C2:C1586,'Review Sequence'!P2:P1586),"")</x:f>
        <x:v>Yes</x:v>
      </x:c>
    </x:row>
    <x:row r="937">
      <x:c r="A937" s="6" t="str">
        <x:v>BLK-0936</x:v>
      </x:c>
      <x:c r="B937" s="6" t="str">
        <x:v>Device Applicability</x:v>
      </x:c>
      <x:c r="C937" s="6" t="str">
        <x:v>DEVX-0293</x:v>
      </x:c>
      <x:c r="D937" s="6" t="str">
        <x:v>SVC000293</x:v>
      </x:c>
      <x:c r="E937" s="6" t="str"/>
      <x:c r="F937" s="6" t="str">
        <x:f>IFERROR(XLOOKUP(C937,'Review Sequence'!C2:C1586,'Review Sequence'!I2:I1586),"")</x:f>
        <x:v>Multiple dependencies - verify source queues</x:v>
      </x:c>
      <x:c r="G937" s="6" t="str">
        <x:f>IFERROR(XLOOKUP(C937,'Review Sequence'!C2:C1586,'Review Sequence'!J2:J1586),"")</x:f>
        <x:v>Not Started</x:v>
      </x:c>
      <x:c r="H937" s="7" t="str">
        <x:f>IFERROR(XLOOKUP(C937,'Review Sequence'!C2:C1586,'Review Sequence'!O2:O1586),"")</x:f>
      </x:c>
      <x:c r="I937" s="6" t="str">
        <x:f>IFERROR(XLOOKUP(C937,'Review Sequence'!C2:C1586,'Review Sequence'!P2:P1586),"")</x:f>
        <x:v>Yes</x:v>
      </x:c>
    </x:row>
    <x:row r="938">
      <x:c r="A938" s="6" t="str">
        <x:v>BLK-0937</x:v>
      </x:c>
      <x:c r="B938" s="6" t="str">
        <x:v>Device Applicability</x:v>
      </x:c>
      <x:c r="C938" s="6" t="str">
        <x:v>DEVX-0294</x:v>
      </x:c>
      <x:c r="D938" s="6" t="str">
        <x:v>SVC000294</x:v>
      </x:c>
      <x:c r="E938" s="6" t="str"/>
      <x:c r="F938" s="6" t="str">
        <x:f>IFERROR(XLOOKUP(C938,'Review Sequence'!C2:C1586,'Review Sequence'!I2:I1586),"")</x:f>
        <x:v>Multiple dependencies - verify source queues</x:v>
      </x:c>
      <x:c r="G938" s="6" t="str">
        <x:f>IFERROR(XLOOKUP(C938,'Review Sequence'!C2:C1586,'Review Sequence'!J2:J1586),"")</x:f>
        <x:v>Not Started</x:v>
      </x:c>
      <x:c r="H938" s="7" t="str">
        <x:f>IFERROR(XLOOKUP(C938,'Review Sequence'!C2:C1586,'Review Sequence'!O2:O1586),"")</x:f>
      </x:c>
      <x:c r="I938" s="6" t="str">
        <x:f>IFERROR(XLOOKUP(C938,'Review Sequence'!C2:C1586,'Review Sequence'!P2:P1586),"")</x:f>
        <x:v>Yes</x:v>
      </x:c>
    </x:row>
    <x:row r="939">
      <x:c r="A939" s="6" t="str">
        <x:v>BLK-0938</x:v>
      </x:c>
      <x:c r="B939" s="6" t="str">
        <x:v>Device Applicability</x:v>
      </x:c>
      <x:c r="C939" s="6" t="str">
        <x:v>DEVX-0295</x:v>
      </x:c>
      <x:c r="D939" s="6" t="str">
        <x:v>SVC000295</x:v>
      </x:c>
      <x:c r="E939" s="6" t="str"/>
      <x:c r="F939" s="6" t="str">
        <x:f>IFERROR(XLOOKUP(C939,'Review Sequence'!C2:C1586,'Review Sequence'!I2:I1586),"")</x:f>
        <x:v>Multiple dependencies - verify source queues</x:v>
      </x:c>
      <x:c r="G939" s="6" t="str">
        <x:f>IFERROR(XLOOKUP(C939,'Review Sequence'!C2:C1586,'Review Sequence'!J2:J1586),"")</x:f>
        <x:v>Not Started</x:v>
      </x:c>
      <x:c r="H939" s="7" t="str">
        <x:f>IFERROR(XLOOKUP(C939,'Review Sequence'!C2:C1586,'Review Sequence'!O2:O1586),"")</x:f>
      </x:c>
      <x:c r="I939" s="6" t="str">
        <x:f>IFERROR(XLOOKUP(C939,'Review Sequence'!C2:C1586,'Review Sequence'!P2:P1586),"")</x:f>
        <x:v>Yes</x:v>
      </x:c>
    </x:row>
    <x:row r="940">
      <x:c r="A940" s="6" t="str">
        <x:v>BLK-0939</x:v>
      </x:c>
      <x:c r="B940" s="6" t="str">
        <x:v>Device Applicability</x:v>
      </x:c>
      <x:c r="C940" s="6" t="str">
        <x:v>DEVX-0296</x:v>
      </x:c>
      <x:c r="D940" s="6" t="str">
        <x:v>SVC000296</x:v>
      </x:c>
      <x:c r="E940" s="6" t="str"/>
      <x:c r="F940" s="6" t="str">
        <x:f>IFERROR(XLOOKUP(C940,'Review Sequence'!C2:C1586,'Review Sequence'!I2:I1586),"")</x:f>
        <x:v>Multiple dependencies - verify source queues</x:v>
      </x:c>
      <x:c r="G940" s="6" t="str">
        <x:f>IFERROR(XLOOKUP(C940,'Review Sequence'!C2:C1586,'Review Sequence'!J2:J1586),"")</x:f>
        <x:v>Not Started</x:v>
      </x:c>
      <x:c r="H940" s="7" t="str">
        <x:f>IFERROR(XLOOKUP(C940,'Review Sequence'!C2:C1586,'Review Sequence'!O2:O1586),"")</x:f>
      </x:c>
      <x:c r="I940" s="6" t="str">
        <x:f>IFERROR(XLOOKUP(C940,'Review Sequence'!C2:C1586,'Review Sequence'!P2:P1586),"")</x:f>
        <x:v>Yes</x:v>
      </x:c>
    </x:row>
    <x:row r="941">
      <x:c r="A941" s="6" t="str">
        <x:v>BLK-0940</x:v>
      </x:c>
      <x:c r="B941" s="6" t="str">
        <x:v>Device Applicability</x:v>
      </x:c>
      <x:c r="C941" s="6" t="str">
        <x:v>DEVX-0297</x:v>
      </x:c>
      <x:c r="D941" s="6" t="str">
        <x:v>SVC000297</x:v>
      </x:c>
      <x:c r="E941" s="6" t="str"/>
      <x:c r="F941" s="6" t="str">
        <x:f>IFERROR(XLOOKUP(C941,'Review Sequence'!C2:C1586,'Review Sequence'!I2:I1586),"")</x:f>
        <x:v>Multiple dependencies - verify source queues</x:v>
      </x:c>
      <x:c r="G941" s="6" t="str">
        <x:f>IFERROR(XLOOKUP(C941,'Review Sequence'!C2:C1586,'Review Sequence'!J2:J1586),"")</x:f>
        <x:v>Not Started</x:v>
      </x:c>
      <x:c r="H941" s="7" t="str">
        <x:f>IFERROR(XLOOKUP(C941,'Review Sequence'!C2:C1586,'Review Sequence'!O2:O1586),"")</x:f>
      </x:c>
      <x:c r="I941" s="6" t="str">
        <x:f>IFERROR(XLOOKUP(C941,'Review Sequence'!C2:C1586,'Review Sequence'!P2:P1586),"")</x:f>
        <x:v>Yes</x:v>
      </x:c>
    </x:row>
    <x:row r="942">
      <x:c r="A942" s="6" t="str">
        <x:v>BLK-0941</x:v>
      </x:c>
      <x:c r="B942" s="6" t="str">
        <x:v>Device Applicability</x:v>
      </x:c>
      <x:c r="C942" s="6" t="str">
        <x:v>DEVX-0298</x:v>
      </x:c>
      <x:c r="D942" s="6" t="str">
        <x:v>SVC000298</x:v>
      </x:c>
      <x:c r="E942" s="6" t="str"/>
      <x:c r="F942" s="6" t="str">
        <x:f>IFERROR(XLOOKUP(C942,'Review Sequence'!C2:C1586,'Review Sequence'!I2:I1586),"")</x:f>
        <x:v>Multiple dependencies - verify source queues</x:v>
      </x:c>
      <x:c r="G942" s="6" t="str">
        <x:f>IFERROR(XLOOKUP(C942,'Review Sequence'!C2:C1586,'Review Sequence'!J2:J1586),"")</x:f>
        <x:v>Not Started</x:v>
      </x:c>
      <x:c r="H942" s="7" t="str">
        <x:f>IFERROR(XLOOKUP(C942,'Review Sequence'!C2:C1586,'Review Sequence'!O2:O1586),"")</x:f>
      </x:c>
      <x:c r="I942" s="6" t="str">
        <x:f>IFERROR(XLOOKUP(C942,'Review Sequence'!C2:C1586,'Review Sequence'!P2:P1586),"")</x:f>
        <x:v>Yes</x:v>
      </x:c>
    </x:row>
    <x:row r="943">
      <x:c r="A943" s="6" t="str">
        <x:v>BLK-0942</x:v>
      </x:c>
      <x:c r="B943" s="6" t="str">
        <x:v>Device Applicability</x:v>
      </x:c>
      <x:c r="C943" s="6" t="str">
        <x:v>DEVX-0299</x:v>
      </x:c>
      <x:c r="D943" s="6" t="str">
        <x:v>SVC000299</x:v>
      </x:c>
      <x:c r="E943" s="6" t="str"/>
      <x:c r="F943" s="6" t="str">
        <x:f>IFERROR(XLOOKUP(C943,'Review Sequence'!C2:C1586,'Review Sequence'!I2:I1586),"")</x:f>
        <x:v>Multiple dependencies - verify source queues</x:v>
      </x:c>
      <x:c r="G943" s="6" t="str">
        <x:f>IFERROR(XLOOKUP(C943,'Review Sequence'!C2:C1586,'Review Sequence'!J2:J1586),"")</x:f>
        <x:v>Not Started</x:v>
      </x:c>
      <x:c r="H943" s="7" t="str">
        <x:f>IFERROR(XLOOKUP(C943,'Review Sequence'!C2:C1586,'Review Sequence'!O2:O1586),"")</x:f>
      </x:c>
      <x:c r="I943" s="6" t="str">
        <x:f>IFERROR(XLOOKUP(C943,'Review Sequence'!C2:C1586,'Review Sequence'!P2:P1586),"")</x:f>
        <x:v>Yes</x:v>
      </x:c>
    </x:row>
    <x:row r="944">
      <x:c r="A944" s="6" t="str">
        <x:v>BLK-0943</x:v>
      </x:c>
      <x:c r="B944" s="6" t="str">
        <x:v>Device Applicability</x:v>
      </x:c>
      <x:c r="C944" s="6" t="str">
        <x:v>DEVX-0300</x:v>
      </x:c>
      <x:c r="D944" s="6" t="str">
        <x:v>SVC000300</x:v>
      </x:c>
      <x:c r="E944" s="6" t="str"/>
      <x:c r="F944" s="6" t="str">
        <x:f>IFERROR(XLOOKUP(C944,'Review Sequence'!C2:C1586,'Review Sequence'!I2:I1586),"")</x:f>
        <x:v>Multiple dependencies - verify source queues</x:v>
      </x:c>
      <x:c r="G944" s="6" t="str">
        <x:f>IFERROR(XLOOKUP(C944,'Review Sequence'!C2:C1586,'Review Sequence'!J2:J1586),"")</x:f>
        <x:v>Not Started</x:v>
      </x:c>
      <x:c r="H944" s="7" t="str">
        <x:f>IFERROR(XLOOKUP(C944,'Review Sequence'!C2:C1586,'Review Sequence'!O2:O1586),"")</x:f>
      </x:c>
      <x:c r="I944" s="6" t="str">
        <x:f>IFERROR(XLOOKUP(C944,'Review Sequence'!C2:C1586,'Review Sequence'!P2:P1586),"")</x:f>
        <x:v>Yes</x:v>
      </x:c>
    </x:row>
    <x:row r="945">
      <x:c r="A945" s="6" t="str">
        <x:v>BLK-0944</x:v>
      </x:c>
      <x:c r="B945" s="6" t="str">
        <x:v>Device Applicability</x:v>
      </x:c>
      <x:c r="C945" s="6" t="str">
        <x:v>DEVX-0301</x:v>
      </x:c>
      <x:c r="D945" s="6" t="str">
        <x:v>SVC000301</x:v>
      </x:c>
      <x:c r="E945" s="6" t="str"/>
      <x:c r="F945" s="6" t="str">
        <x:f>IFERROR(XLOOKUP(C945,'Review Sequence'!C2:C1586,'Review Sequence'!I2:I1586),"")</x:f>
        <x:v>Multiple dependencies - verify source queues</x:v>
      </x:c>
      <x:c r="G945" s="6" t="str">
        <x:f>IFERROR(XLOOKUP(C945,'Review Sequence'!C2:C1586,'Review Sequence'!J2:J1586),"")</x:f>
        <x:v>Not Started</x:v>
      </x:c>
      <x:c r="H945" s="7" t="str">
        <x:f>IFERROR(XLOOKUP(C945,'Review Sequence'!C2:C1586,'Review Sequence'!O2:O1586),"")</x:f>
      </x:c>
      <x:c r="I945" s="6" t="str">
        <x:f>IFERROR(XLOOKUP(C945,'Review Sequence'!C2:C1586,'Review Sequence'!P2:P1586),"")</x:f>
        <x:v>Yes</x:v>
      </x:c>
    </x:row>
    <x:row r="946">
      <x:c r="A946" s="6" t="str">
        <x:v>BLK-0945</x:v>
      </x:c>
      <x:c r="B946" s="6" t="str">
        <x:v>Device Applicability</x:v>
      </x:c>
      <x:c r="C946" s="6" t="str">
        <x:v>DEVX-0302</x:v>
      </x:c>
      <x:c r="D946" s="6" t="str">
        <x:v>SVC000302</x:v>
      </x:c>
      <x:c r="E946" s="6" t="str"/>
      <x:c r="F946" s="6" t="str">
        <x:f>IFERROR(XLOOKUP(C946,'Review Sequence'!C2:C1586,'Review Sequence'!I2:I1586),"")</x:f>
        <x:v>Multiple dependencies - verify source queues</x:v>
      </x:c>
      <x:c r="G946" s="6" t="str">
        <x:f>IFERROR(XLOOKUP(C946,'Review Sequence'!C2:C1586,'Review Sequence'!J2:J1586),"")</x:f>
        <x:v>Not Started</x:v>
      </x:c>
      <x:c r="H946" s="7" t="str">
        <x:f>IFERROR(XLOOKUP(C946,'Review Sequence'!C2:C1586,'Review Sequence'!O2:O1586),"")</x:f>
      </x:c>
      <x:c r="I946" s="6" t="str">
        <x:f>IFERROR(XLOOKUP(C946,'Review Sequence'!C2:C1586,'Review Sequence'!P2:P1586),"")</x:f>
        <x:v>Yes</x:v>
      </x:c>
    </x:row>
    <x:row r="947">
      <x:c r="A947" s="6" t="str">
        <x:v>BLK-0946</x:v>
      </x:c>
      <x:c r="B947" s="6" t="str">
        <x:v>Device Applicability</x:v>
      </x:c>
      <x:c r="C947" s="6" t="str">
        <x:v>DEVX-0303</x:v>
      </x:c>
      <x:c r="D947" s="6" t="str">
        <x:v>SVC000303</x:v>
      </x:c>
      <x:c r="E947" s="6" t="str"/>
      <x:c r="F947" s="6" t="str">
        <x:f>IFERROR(XLOOKUP(C947,'Review Sequence'!C2:C1586,'Review Sequence'!I2:I1586),"")</x:f>
        <x:v>Multiple dependencies - verify source queues</x:v>
      </x:c>
      <x:c r="G947" s="6" t="str">
        <x:f>IFERROR(XLOOKUP(C947,'Review Sequence'!C2:C1586,'Review Sequence'!J2:J1586),"")</x:f>
        <x:v>Not Started</x:v>
      </x:c>
      <x:c r="H947" s="7" t="str">
        <x:f>IFERROR(XLOOKUP(C947,'Review Sequence'!C2:C1586,'Review Sequence'!O2:O1586),"")</x:f>
      </x:c>
      <x:c r="I947" s="6" t="str">
        <x:f>IFERROR(XLOOKUP(C947,'Review Sequence'!C2:C1586,'Review Sequence'!P2:P1586),"")</x:f>
        <x:v>Yes</x:v>
      </x:c>
    </x:row>
    <x:row r="948">
      <x:c r="A948" s="6" t="str">
        <x:v>BLK-0947</x:v>
      </x:c>
      <x:c r="B948" s="6" t="str">
        <x:v>Device Applicability</x:v>
      </x:c>
      <x:c r="C948" s="6" t="str">
        <x:v>DEVX-0304</x:v>
      </x:c>
      <x:c r="D948" s="6" t="str">
        <x:v>SVC000304</x:v>
      </x:c>
      <x:c r="E948" s="6" t="str"/>
      <x:c r="F948" s="6" t="str">
        <x:f>IFERROR(XLOOKUP(C948,'Review Sequence'!C2:C1586,'Review Sequence'!I2:I1586),"")</x:f>
        <x:v>Multiple dependencies - verify source queues</x:v>
      </x:c>
      <x:c r="G948" s="6" t="str">
        <x:f>IFERROR(XLOOKUP(C948,'Review Sequence'!C2:C1586,'Review Sequence'!J2:J1586),"")</x:f>
        <x:v>Not Started</x:v>
      </x:c>
      <x:c r="H948" s="7" t="str">
        <x:f>IFERROR(XLOOKUP(C948,'Review Sequence'!C2:C1586,'Review Sequence'!O2:O1586),"")</x:f>
      </x:c>
      <x:c r="I948" s="6" t="str">
        <x:f>IFERROR(XLOOKUP(C948,'Review Sequence'!C2:C1586,'Review Sequence'!P2:P1586),"")</x:f>
        <x:v>Yes</x:v>
      </x:c>
    </x:row>
    <x:row r="949">
      <x:c r="A949" s="6" t="str">
        <x:v>BLK-0948</x:v>
      </x:c>
      <x:c r="B949" s="6" t="str">
        <x:v>Device Applicability</x:v>
      </x:c>
      <x:c r="C949" s="6" t="str">
        <x:v>DEVX-0305</x:v>
      </x:c>
      <x:c r="D949" s="6" t="str">
        <x:v>SVC000305</x:v>
      </x:c>
      <x:c r="E949" s="6" t="str"/>
      <x:c r="F949" s="6" t="str">
        <x:f>IFERROR(XLOOKUP(C949,'Review Sequence'!C2:C1586,'Review Sequence'!I2:I1586),"")</x:f>
        <x:v>Multiple dependencies - verify source queues</x:v>
      </x:c>
      <x:c r="G949" s="6" t="str">
        <x:f>IFERROR(XLOOKUP(C949,'Review Sequence'!C2:C1586,'Review Sequence'!J2:J1586),"")</x:f>
        <x:v>Not Started</x:v>
      </x:c>
      <x:c r="H949" s="7" t="str">
        <x:f>IFERROR(XLOOKUP(C949,'Review Sequence'!C2:C1586,'Review Sequence'!O2:O1586),"")</x:f>
      </x:c>
      <x:c r="I949" s="6" t="str">
        <x:f>IFERROR(XLOOKUP(C949,'Review Sequence'!C2:C1586,'Review Sequence'!P2:P1586),"")</x:f>
        <x:v>Yes</x:v>
      </x:c>
    </x:row>
    <x:row r="950">
      <x:c r="A950" s="6" t="str">
        <x:v>BLK-0949</x:v>
      </x:c>
      <x:c r="B950" s="6" t="str">
        <x:v>Device Applicability</x:v>
      </x:c>
      <x:c r="C950" s="6" t="str">
        <x:v>DEVX-0306</x:v>
      </x:c>
      <x:c r="D950" s="6" t="str">
        <x:v>SVC000306</x:v>
      </x:c>
      <x:c r="E950" s="6" t="str"/>
      <x:c r="F950" s="6" t="str">
        <x:f>IFERROR(XLOOKUP(C950,'Review Sequence'!C2:C1586,'Review Sequence'!I2:I1586),"")</x:f>
        <x:v>Multiple dependencies - verify source queues</x:v>
      </x:c>
      <x:c r="G950" s="6" t="str">
        <x:f>IFERROR(XLOOKUP(C950,'Review Sequence'!C2:C1586,'Review Sequence'!J2:J1586),"")</x:f>
        <x:v>Not Started</x:v>
      </x:c>
      <x:c r="H950" s="7" t="str">
        <x:f>IFERROR(XLOOKUP(C950,'Review Sequence'!C2:C1586,'Review Sequence'!O2:O1586),"")</x:f>
      </x:c>
      <x:c r="I950" s="6" t="str">
        <x:f>IFERROR(XLOOKUP(C950,'Review Sequence'!C2:C1586,'Review Sequence'!P2:P1586),"")</x:f>
        <x:v>Yes</x:v>
      </x:c>
    </x:row>
    <x:row r="951">
      <x:c r="A951" s="6" t="str">
        <x:v>BLK-0950</x:v>
      </x:c>
      <x:c r="B951" s="6" t="str">
        <x:v>Device Applicability</x:v>
      </x:c>
      <x:c r="C951" s="6" t="str">
        <x:v>DEVX-0307</x:v>
      </x:c>
      <x:c r="D951" s="6" t="str">
        <x:v>SVC000307</x:v>
      </x:c>
      <x:c r="E951" s="6" t="str"/>
      <x:c r="F951" s="6" t="str">
        <x:f>IFERROR(XLOOKUP(C951,'Review Sequence'!C2:C1586,'Review Sequence'!I2:I1586),"")</x:f>
        <x:v>Multiple dependencies - verify source queues</x:v>
      </x:c>
      <x:c r="G951" s="6" t="str">
        <x:f>IFERROR(XLOOKUP(C951,'Review Sequence'!C2:C1586,'Review Sequence'!J2:J1586),"")</x:f>
        <x:v>Not Started</x:v>
      </x:c>
      <x:c r="H951" s="7" t="str">
        <x:f>IFERROR(XLOOKUP(C951,'Review Sequence'!C2:C1586,'Review Sequence'!O2:O1586),"")</x:f>
      </x:c>
      <x:c r="I951" s="6" t="str">
        <x:f>IFERROR(XLOOKUP(C951,'Review Sequence'!C2:C1586,'Review Sequence'!P2:P1586),"")</x:f>
        <x:v>Yes</x:v>
      </x:c>
    </x:row>
    <x:row r="952">
      <x:c r="A952" s="6" t="str">
        <x:v>BLK-0951</x:v>
      </x:c>
      <x:c r="B952" s="6" t="str">
        <x:v>Device Applicability</x:v>
      </x:c>
      <x:c r="C952" s="6" t="str">
        <x:v>DEVX-0308</x:v>
      </x:c>
      <x:c r="D952" s="6" t="str">
        <x:v>SVC000308</x:v>
      </x:c>
      <x:c r="E952" s="6" t="str"/>
      <x:c r="F952" s="6" t="str">
        <x:f>IFERROR(XLOOKUP(C952,'Review Sequence'!C2:C1586,'Review Sequence'!I2:I1586),"")</x:f>
        <x:v>Multiple dependencies - verify source queues</x:v>
      </x:c>
      <x:c r="G952" s="6" t="str">
        <x:f>IFERROR(XLOOKUP(C952,'Review Sequence'!C2:C1586,'Review Sequence'!J2:J1586),"")</x:f>
        <x:v>Not Started</x:v>
      </x:c>
      <x:c r="H952" s="7" t="str">
        <x:f>IFERROR(XLOOKUP(C952,'Review Sequence'!C2:C1586,'Review Sequence'!O2:O1586),"")</x:f>
      </x:c>
      <x:c r="I952" s="6" t="str">
        <x:f>IFERROR(XLOOKUP(C952,'Review Sequence'!C2:C1586,'Review Sequence'!P2:P1586),"")</x:f>
        <x:v>Yes</x:v>
      </x:c>
    </x:row>
    <x:row r="953">
      <x:c r="A953" s="6" t="str">
        <x:v>BLK-0952</x:v>
      </x:c>
      <x:c r="B953" s="6" t="str">
        <x:v>Device Applicability</x:v>
      </x:c>
      <x:c r="C953" s="6" t="str">
        <x:v>DEVX-0309</x:v>
      </x:c>
      <x:c r="D953" s="6" t="str">
        <x:v>SVC000309</x:v>
      </x:c>
      <x:c r="E953" s="6" t="str"/>
      <x:c r="F953" s="6" t="str">
        <x:f>IFERROR(XLOOKUP(C953,'Review Sequence'!C2:C1586,'Review Sequence'!I2:I1586),"")</x:f>
        <x:v>Multiple dependencies - verify source queues</x:v>
      </x:c>
      <x:c r="G953" s="6" t="str">
        <x:f>IFERROR(XLOOKUP(C953,'Review Sequence'!C2:C1586,'Review Sequence'!J2:J1586),"")</x:f>
        <x:v>Not Started</x:v>
      </x:c>
      <x:c r="H953" s="7" t="str">
        <x:f>IFERROR(XLOOKUP(C953,'Review Sequence'!C2:C1586,'Review Sequence'!O2:O1586),"")</x:f>
      </x:c>
      <x:c r="I953" s="6" t="str">
        <x:f>IFERROR(XLOOKUP(C953,'Review Sequence'!C2:C1586,'Review Sequence'!P2:P1586),"")</x:f>
        <x:v>Yes</x:v>
      </x:c>
    </x:row>
    <x:row r="954">
      <x:c r="A954" s="6" t="str">
        <x:v>BLK-0953</x:v>
      </x:c>
      <x:c r="B954" s="6" t="str">
        <x:v>Device Applicability</x:v>
      </x:c>
      <x:c r="C954" s="6" t="str">
        <x:v>DEVX-0310</x:v>
      </x:c>
      <x:c r="D954" s="6" t="str">
        <x:v>SVC000310</x:v>
      </x:c>
      <x:c r="E954" s="6" t="str"/>
      <x:c r="F954" s="6" t="str">
        <x:f>IFERROR(XLOOKUP(C954,'Review Sequence'!C2:C1586,'Review Sequence'!I2:I1586),"")</x:f>
        <x:v>Multiple dependencies - verify source queues</x:v>
      </x:c>
      <x:c r="G954" s="6" t="str">
        <x:f>IFERROR(XLOOKUP(C954,'Review Sequence'!C2:C1586,'Review Sequence'!J2:J1586),"")</x:f>
        <x:v>Not Started</x:v>
      </x:c>
      <x:c r="H954" s="7" t="str">
        <x:f>IFERROR(XLOOKUP(C954,'Review Sequence'!C2:C1586,'Review Sequence'!O2:O1586),"")</x:f>
      </x:c>
      <x:c r="I954" s="6" t="str">
        <x:f>IFERROR(XLOOKUP(C954,'Review Sequence'!C2:C1586,'Review Sequence'!P2:P1586),"")</x:f>
        <x:v>Yes</x:v>
      </x:c>
    </x:row>
    <x:row r="955">
      <x:c r="A955" s="6" t="str">
        <x:v>BLK-0954</x:v>
      </x:c>
      <x:c r="B955" s="6" t="str">
        <x:v>Device Applicability</x:v>
      </x:c>
      <x:c r="C955" s="6" t="str">
        <x:v>DEVX-0311</x:v>
      </x:c>
      <x:c r="D955" s="6" t="str">
        <x:v>SVC000311</x:v>
      </x:c>
      <x:c r="E955" s="6" t="str"/>
      <x:c r="F955" s="6" t="str">
        <x:f>IFERROR(XLOOKUP(C955,'Review Sequence'!C2:C1586,'Review Sequence'!I2:I1586),"")</x:f>
        <x:v>Multiple dependencies - verify source queues</x:v>
      </x:c>
      <x:c r="G955" s="6" t="str">
        <x:f>IFERROR(XLOOKUP(C955,'Review Sequence'!C2:C1586,'Review Sequence'!J2:J1586),"")</x:f>
        <x:v>Not Started</x:v>
      </x:c>
      <x:c r="H955" s="7" t="str">
        <x:f>IFERROR(XLOOKUP(C955,'Review Sequence'!C2:C1586,'Review Sequence'!O2:O1586),"")</x:f>
      </x:c>
      <x:c r="I955" s="6" t="str">
        <x:f>IFERROR(XLOOKUP(C955,'Review Sequence'!C2:C1586,'Review Sequence'!P2:P1586),"")</x:f>
        <x:v>Yes</x:v>
      </x:c>
    </x:row>
    <x:row r="956">
      <x:c r="A956" s="6" t="str">
        <x:v>BLK-0955</x:v>
      </x:c>
      <x:c r="B956" s="6" t="str">
        <x:v>Device Applicability</x:v>
      </x:c>
      <x:c r="C956" s="6" t="str">
        <x:v>DEVX-0312</x:v>
      </x:c>
      <x:c r="D956" s="6" t="str">
        <x:v>SVC000312</x:v>
      </x:c>
      <x:c r="E956" s="6" t="str"/>
      <x:c r="F956" s="6" t="str">
        <x:f>IFERROR(XLOOKUP(C956,'Review Sequence'!C2:C1586,'Review Sequence'!I2:I1586),"")</x:f>
        <x:v>Multiple dependencies - verify source queues</x:v>
      </x:c>
      <x:c r="G956" s="6" t="str">
        <x:f>IFERROR(XLOOKUP(C956,'Review Sequence'!C2:C1586,'Review Sequence'!J2:J1586),"")</x:f>
        <x:v>Not Started</x:v>
      </x:c>
      <x:c r="H956" s="7" t="str">
        <x:f>IFERROR(XLOOKUP(C956,'Review Sequence'!C2:C1586,'Review Sequence'!O2:O1586),"")</x:f>
      </x:c>
      <x:c r="I956" s="6" t="str">
        <x:f>IFERROR(XLOOKUP(C956,'Review Sequence'!C2:C1586,'Review Sequence'!P2:P1586),"")</x:f>
        <x:v>Yes</x:v>
      </x:c>
    </x:row>
    <x:row r="957">
      <x:c r="A957" s="6" t="str">
        <x:v>BLK-0956</x:v>
      </x:c>
      <x:c r="B957" s="6" t="str">
        <x:v>Device Applicability</x:v>
      </x:c>
      <x:c r="C957" s="6" t="str">
        <x:v>DEVX-0313</x:v>
      </x:c>
      <x:c r="D957" s="6" t="str">
        <x:v>SVC000313</x:v>
      </x:c>
      <x:c r="E957" s="6" t="str"/>
      <x:c r="F957" s="6" t="str">
        <x:f>IFERROR(XLOOKUP(C957,'Review Sequence'!C2:C1586,'Review Sequence'!I2:I1586),"")</x:f>
        <x:v>Multiple dependencies - verify source queues</x:v>
      </x:c>
      <x:c r="G957" s="6" t="str">
        <x:f>IFERROR(XLOOKUP(C957,'Review Sequence'!C2:C1586,'Review Sequence'!J2:J1586),"")</x:f>
        <x:v>Not Started</x:v>
      </x:c>
      <x:c r="H957" s="7" t="str">
        <x:f>IFERROR(XLOOKUP(C957,'Review Sequence'!C2:C1586,'Review Sequence'!O2:O1586),"")</x:f>
      </x:c>
      <x:c r="I957" s="6" t="str">
        <x:f>IFERROR(XLOOKUP(C957,'Review Sequence'!C2:C1586,'Review Sequence'!P2:P1586),"")</x:f>
        <x:v>Yes</x:v>
      </x:c>
    </x:row>
    <x:row r="958">
      <x:c r="A958" s="6" t="str">
        <x:v>BLK-0957</x:v>
      </x:c>
      <x:c r="B958" s="6" t="str">
        <x:v>Device Applicability</x:v>
      </x:c>
      <x:c r="C958" s="6" t="str">
        <x:v>DEVX-0314</x:v>
      </x:c>
      <x:c r="D958" s="6" t="str">
        <x:v>SVC000314</x:v>
      </x:c>
      <x:c r="E958" s="6" t="str"/>
      <x:c r="F958" s="6" t="str">
        <x:f>IFERROR(XLOOKUP(C958,'Review Sequence'!C2:C1586,'Review Sequence'!I2:I1586),"")</x:f>
        <x:v>Multiple dependencies - verify source queues</x:v>
      </x:c>
      <x:c r="G958" s="6" t="str">
        <x:f>IFERROR(XLOOKUP(C958,'Review Sequence'!C2:C1586,'Review Sequence'!J2:J1586),"")</x:f>
        <x:v>Not Started</x:v>
      </x:c>
      <x:c r="H958" s="7" t="str">
        <x:f>IFERROR(XLOOKUP(C958,'Review Sequence'!C2:C1586,'Review Sequence'!O2:O1586),"")</x:f>
      </x:c>
      <x:c r="I958" s="6" t="str">
        <x:f>IFERROR(XLOOKUP(C958,'Review Sequence'!C2:C1586,'Review Sequence'!P2:P1586),"")</x:f>
        <x:v>Yes</x:v>
      </x:c>
    </x:row>
    <x:row r="959">
      <x:c r="A959" s="6" t="str">
        <x:v>BLK-0958</x:v>
      </x:c>
      <x:c r="B959" s="6" t="str">
        <x:v>Part Requirement</x:v>
      </x:c>
      <x:c r="C959" s="6" t="str">
        <x:v>PRTX-0001</x:v>
      </x:c>
      <x:c r="D959" s="6" t="str">
        <x:v>SVC000001</x:v>
      </x:c>
      <x:c r="E959" s="6" t="str"/>
      <x:c r="F959" s="6" t="str">
        <x:f>IFERROR(XLOOKUP(C959,'Review Sequence'!C2:C1586,'Review Sequence'!I2:I1586),"")</x:f>
        <x:v>Not Started</x:v>
      </x:c>
      <x:c r="G959" s="6" t="str">
        <x:f>IFERROR(XLOOKUP(C959,'Review Sequence'!C2:C1586,'Review Sequence'!J2:J1586),"")</x:f>
        <x:v>Not Started</x:v>
      </x:c>
      <x:c r="H959" s="7" t="str">
        <x:f>IFERROR(XLOOKUP(C959,'Review Sequence'!C2:C1586,'Review Sequence'!O2:O1586),"")</x:f>
      </x:c>
      <x:c r="I959" s="6" t="str">
        <x:f>IFERROR(XLOOKUP(C959,'Review Sequence'!C2:C1586,'Review Sequence'!P2:P1586),"")</x:f>
        <x:v>Yes</x:v>
      </x:c>
    </x:row>
    <x:row r="960">
      <x:c r="A960" s="6" t="str">
        <x:v>BLK-0959</x:v>
      </x:c>
      <x:c r="B960" s="6" t="str">
        <x:v>Part Requirement</x:v>
      </x:c>
      <x:c r="C960" s="6" t="str">
        <x:v>PRTX-0002</x:v>
      </x:c>
      <x:c r="D960" s="6" t="str">
        <x:v>SVC000002</x:v>
      </x:c>
      <x:c r="E960" s="6" t="str"/>
      <x:c r="F960" s="6" t="str">
        <x:f>IFERROR(XLOOKUP(C960,'Review Sequence'!C2:C1586,'Review Sequence'!I2:I1586),"")</x:f>
        <x:v>Not Started</x:v>
      </x:c>
      <x:c r="G960" s="6" t="str">
        <x:f>IFERROR(XLOOKUP(C960,'Review Sequence'!C2:C1586,'Review Sequence'!J2:J1586),"")</x:f>
        <x:v>Not Started</x:v>
      </x:c>
      <x:c r="H960" s="7" t="str">
        <x:f>IFERROR(XLOOKUP(C960,'Review Sequence'!C2:C1586,'Review Sequence'!O2:O1586),"")</x:f>
      </x:c>
      <x:c r="I960" s="6" t="str">
        <x:f>IFERROR(XLOOKUP(C960,'Review Sequence'!C2:C1586,'Review Sequence'!P2:P1586),"")</x:f>
        <x:v>Yes</x:v>
      </x:c>
    </x:row>
    <x:row r="961">
      <x:c r="A961" s="6" t="str">
        <x:v>BLK-0960</x:v>
      </x:c>
      <x:c r="B961" s="6" t="str">
        <x:v>Part Requirement</x:v>
      </x:c>
      <x:c r="C961" s="6" t="str">
        <x:v>PRTX-0003</x:v>
      </x:c>
      <x:c r="D961" s="6" t="str">
        <x:v>SVC000003</x:v>
      </x:c>
      <x:c r="E961" s="6" t="str"/>
      <x:c r="F961" s="6" t="str">
        <x:f>IFERROR(XLOOKUP(C961,'Review Sequence'!C2:C1586,'Review Sequence'!I2:I1586),"")</x:f>
        <x:v>Not Started</x:v>
      </x:c>
      <x:c r="G961" s="6" t="str">
        <x:f>IFERROR(XLOOKUP(C961,'Review Sequence'!C2:C1586,'Review Sequence'!J2:J1586),"")</x:f>
        <x:v>Not Started</x:v>
      </x:c>
      <x:c r="H961" s="7" t="str">
        <x:f>IFERROR(XLOOKUP(C961,'Review Sequence'!C2:C1586,'Review Sequence'!O2:O1586),"")</x:f>
      </x:c>
      <x:c r="I961" s="6" t="str">
        <x:f>IFERROR(XLOOKUP(C961,'Review Sequence'!C2:C1586,'Review Sequence'!P2:P1586),"")</x:f>
        <x:v>Yes</x:v>
      </x:c>
    </x:row>
    <x:row r="962">
      <x:c r="A962" s="6" t="str">
        <x:v>BLK-0961</x:v>
      </x:c>
      <x:c r="B962" s="6" t="str">
        <x:v>Part Requirement</x:v>
      </x:c>
      <x:c r="C962" s="6" t="str">
        <x:v>PRTX-0004</x:v>
      </x:c>
      <x:c r="D962" s="6" t="str">
        <x:v>SVC000004</x:v>
      </x:c>
      <x:c r="E962" s="6" t="str"/>
      <x:c r="F962" s="6" t="str">
        <x:f>IFERROR(XLOOKUP(C962,'Review Sequence'!C2:C1586,'Review Sequence'!I2:I1586),"")</x:f>
        <x:v>Not Started</x:v>
      </x:c>
      <x:c r="G962" s="6" t="str">
        <x:f>IFERROR(XLOOKUP(C962,'Review Sequence'!C2:C1586,'Review Sequence'!J2:J1586),"")</x:f>
        <x:v>Not Started</x:v>
      </x:c>
      <x:c r="H962" s="7" t="str">
        <x:f>IFERROR(XLOOKUP(C962,'Review Sequence'!C2:C1586,'Review Sequence'!O2:O1586),"")</x:f>
      </x:c>
      <x:c r="I962" s="6" t="str">
        <x:f>IFERROR(XLOOKUP(C962,'Review Sequence'!C2:C1586,'Review Sequence'!P2:P1586),"")</x:f>
        <x:v>Yes</x:v>
      </x:c>
    </x:row>
    <x:row r="963">
      <x:c r="A963" s="6" t="str">
        <x:v>BLK-0962</x:v>
      </x:c>
      <x:c r="B963" s="6" t="str">
        <x:v>Part Requirement</x:v>
      </x:c>
      <x:c r="C963" s="6" t="str">
        <x:v>PRTX-0005</x:v>
      </x:c>
      <x:c r="D963" s="6" t="str">
        <x:v>SVC000005</x:v>
      </x:c>
      <x:c r="E963" s="6" t="str"/>
      <x:c r="F963" s="6" t="str">
        <x:f>IFERROR(XLOOKUP(C963,'Review Sequence'!C2:C1586,'Review Sequence'!I2:I1586),"")</x:f>
        <x:v>Not Started</x:v>
      </x:c>
      <x:c r="G963" s="6" t="str">
        <x:f>IFERROR(XLOOKUP(C963,'Review Sequence'!C2:C1586,'Review Sequence'!J2:J1586),"")</x:f>
        <x:v>Not Started</x:v>
      </x:c>
      <x:c r="H963" s="7" t="str">
        <x:f>IFERROR(XLOOKUP(C963,'Review Sequence'!C2:C1586,'Review Sequence'!O2:O1586),"")</x:f>
      </x:c>
      <x:c r="I963" s="6" t="str">
        <x:f>IFERROR(XLOOKUP(C963,'Review Sequence'!C2:C1586,'Review Sequence'!P2:P1586),"")</x:f>
        <x:v>Yes</x:v>
      </x:c>
    </x:row>
    <x:row r="964">
      <x:c r="A964" s="6" t="str">
        <x:v>BLK-0963</x:v>
      </x:c>
      <x:c r="B964" s="6" t="str">
        <x:v>Part Requirement</x:v>
      </x:c>
      <x:c r="C964" s="6" t="str">
        <x:v>PRTX-0006</x:v>
      </x:c>
      <x:c r="D964" s="6" t="str">
        <x:v>SVC000006</x:v>
      </x:c>
      <x:c r="E964" s="6" t="str"/>
      <x:c r="F964" s="6" t="str">
        <x:f>IFERROR(XLOOKUP(C964,'Review Sequence'!C2:C1586,'Review Sequence'!I2:I1586),"")</x:f>
        <x:v>Not Started</x:v>
      </x:c>
      <x:c r="G964" s="6" t="str">
        <x:f>IFERROR(XLOOKUP(C964,'Review Sequence'!C2:C1586,'Review Sequence'!J2:J1586),"")</x:f>
        <x:v>Not Started</x:v>
      </x:c>
      <x:c r="H964" s="7" t="str">
        <x:f>IFERROR(XLOOKUP(C964,'Review Sequence'!C2:C1586,'Review Sequence'!O2:O1586),"")</x:f>
      </x:c>
      <x:c r="I964" s="6" t="str">
        <x:f>IFERROR(XLOOKUP(C964,'Review Sequence'!C2:C1586,'Review Sequence'!P2:P1586),"")</x:f>
        <x:v>Yes</x:v>
      </x:c>
    </x:row>
    <x:row r="965">
      <x:c r="A965" s="6" t="str">
        <x:v>BLK-0964</x:v>
      </x:c>
      <x:c r="B965" s="6" t="str">
        <x:v>Part Requirement</x:v>
      </x:c>
      <x:c r="C965" s="6" t="str">
        <x:v>PRTX-0007</x:v>
      </x:c>
      <x:c r="D965" s="6" t="str">
        <x:v>SVC000007</x:v>
      </x:c>
      <x:c r="E965" s="6" t="str"/>
      <x:c r="F965" s="6" t="str">
        <x:f>IFERROR(XLOOKUP(C965,'Review Sequence'!C2:C1586,'Review Sequence'!I2:I1586),"")</x:f>
        <x:v>Not Started</x:v>
      </x:c>
      <x:c r="G965" s="6" t="str">
        <x:f>IFERROR(XLOOKUP(C965,'Review Sequence'!C2:C1586,'Review Sequence'!J2:J1586),"")</x:f>
        <x:v>Not Started</x:v>
      </x:c>
      <x:c r="H965" s="7" t="str">
        <x:f>IFERROR(XLOOKUP(C965,'Review Sequence'!C2:C1586,'Review Sequence'!O2:O1586),"")</x:f>
      </x:c>
      <x:c r="I965" s="6" t="str">
        <x:f>IFERROR(XLOOKUP(C965,'Review Sequence'!C2:C1586,'Review Sequence'!P2:P1586),"")</x:f>
        <x:v>Yes</x:v>
      </x:c>
    </x:row>
    <x:row r="966">
      <x:c r="A966" s="6" t="str">
        <x:v>BLK-0965</x:v>
      </x:c>
      <x:c r="B966" s="6" t="str">
        <x:v>Part Requirement</x:v>
      </x:c>
      <x:c r="C966" s="6" t="str">
        <x:v>PRTX-0008</x:v>
      </x:c>
      <x:c r="D966" s="6" t="str">
        <x:v>SVC000008</x:v>
      </x:c>
      <x:c r="E966" s="6" t="str"/>
      <x:c r="F966" s="6" t="str">
        <x:f>IFERROR(XLOOKUP(C966,'Review Sequence'!C2:C1586,'Review Sequence'!I2:I1586),"")</x:f>
        <x:v>Not Started</x:v>
      </x:c>
      <x:c r="G966" s="6" t="str">
        <x:f>IFERROR(XLOOKUP(C966,'Review Sequence'!C2:C1586,'Review Sequence'!J2:J1586),"")</x:f>
        <x:v>Not Started</x:v>
      </x:c>
      <x:c r="H966" s="7" t="str">
        <x:f>IFERROR(XLOOKUP(C966,'Review Sequence'!C2:C1586,'Review Sequence'!O2:O1586),"")</x:f>
      </x:c>
      <x:c r="I966" s="6" t="str">
        <x:f>IFERROR(XLOOKUP(C966,'Review Sequence'!C2:C1586,'Review Sequence'!P2:P1586),"")</x:f>
        <x:v>Yes</x:v>
      </x:c>
    </x:row>
    <x:row r="967">
      <x:c r="A967" s="6" t="str">
        <x:v>BLK-0966</x:v>
      </x:c>
      <x:c r="B967" s="6" t="str">
        <x:v>Part Requirement</x:v>
      </x:c>
      <x:c r="C967" s="6" t="str">
        <x:v>PRTX-0009</x:v>
      </x:c>
      <x:c r="D967" s="6" t="str">
        <x:v>SVC000009</x:v>
      </x:c>
      <x:c r="E967" s="6" t="str"/>
      <x:c r="F967" s="6" t="str">
        <x:f>IFERROR(XLOOKUP(C967,'Review Sequence'!C2:C1586,'Review Sequence'!I2:I1586),"")</x:f>
        <x:v>Not Started</x:v>
      </x:c>
      <x:c r="G967" s="6" t="str">
        <x:f>IFERROR(XLOOKUP(C967,'Review Sequence'!C2:C1586,'Review Sequence'!J2:J1586),"")</x:f>
        <x:v>Not Started</x:v>
      </x:c>
      <x:c r="H967" s="7" t="str">
        <x:f>IFERROR(XLOOKUP(C967,'Review Sequence'!C2:C1586,'Review Sequence'!O2:O1586),"")</x:f>
      </x:c>
      <x:c r="I967" s="6" t="str">
        <x:f>IFERROR(XLOOKUP(C967,'Review Sequence'!C2:C1586,'Review Sequence'!P2:P1586),"")</x:f>
        <x:v>Yes</x:v>
      </x:c>
    </x:row>
    <x:row r="968">
      <x:c r="A968" s="6" t="str">
        <x:v>BLK-0967</x:v>
      </x:c>
      <x:c r="B968" s="6" t="str">
        <x:v>Part Requirement</x:v>
      </x:c>
      <x:c r="C968" s="6" t="str">
        <x:v>PRTX-0010</x:v>
      </x:c>
      <x:c r="D968" s="6" t="str">
        <x:v>SVC000010</x:v>
      </x:c>
      <x:c r="E968" s="6" t="str"/>
      <x:c r="F968" s="6" t="str">
        <x:f>IFERROR(XLOOKUP(C968,'Review Sequence'!C2:C1586,'Review Sequence'!I2:I1586),"")</x:f>
        <x:v>Not Started</x:v>
      </x:c>
      <x:c r="G968" s="6" t="str">
        <x:f>IFERROR(XLOOKUP(C968,'Review Sequence'!C2:C1586,'Review Sequence'!J2:J1586),"")</x:f>
        <x:v>Not Started</x:v>
      </x:c>
      <x:c r="H968" s="7" t="str">
        <x:f>IFERROR(XLOOKUP(C968,'Review Sequence'!C2:C1586,'Review Sequence'!O2:O1586),"")</x:f>
      </x:c>
      <x:c r="I968" s="6" t="str">
        <x:f>IFERROR(XLOOKUP(C968,'Review Sequence'!C2:C1586,'Review Sequence'!P2:P1586),"")</x:f>
        <x:v>Yes</x:v>
      </x:c>
    </x:row>
    <x:row r="969">
      <x:c r="A969" s="6" t="str">
        <x:v>BLK-0968</x:v>
      </x:c>
      <x:c r="B969" s="6" t="str">
        <x:v>Part Requirement</x:v>
      </x:c>
      <x:c r="C969" s="6" t="str">
        <x:v>PRTX-0011</x:v>
      </x:c>
      <x:c r="D969" s="6" t="str">
        <x:v>SVC000011</x:v>
      </x:c>
      <x:c r="E969" s="6" t="str"/>
      <x:c r="F969" s="6" t="str">
        <x:f>IFERROR(XLOOKUP(C969,'Review Sequence'!C2:C1586,'Review Sequence'!I2:I1586),"")</x:f>
        <x:v>Not Started</x:v>
      </x:c>
      <x:c r="G969" s="6" t="str">
        <x:f>IFERROR(XLOOKUP(C969,'Review Sequence'!C2:C1586,'Review Sequence'!J2:J1586),"")</x:f>
        <x:v>Not Started</x:v>
      </x:c>
      <x:c r="H969" s="7" t="str">
        <x:f>IFERROR(XLOOKUP(C969,'Review Sequence'!C2:C1586,'Review Sequence'!O2:O1586),"")</x:f>
      </x:c>
      <x:c r="I969" s="6" t="str">
        <x:f>IFERROR(XLOOKUP(C969,'Review Sequence'!C2:C1586,'Review Sequence'!P2:P1586),"")</x:f>
        <x:v>Yes</x:v>
      </x:c>
    </x:row>
    <x:row r="970">
      <x:c r="A970" s="6" t="str">
        <x:v>BLK-0969</x:v>
      </x:c>
      <x:c r="B970" s="6" t="str">
        <x:v>Part Requirement</x:v>
      </x:c>
      <x:c r="C970" s="6" t="str">
        <x:v>PRTX-0012</x:v>
      </x:c>
      <x:c r="D970" s="6" t="str">
        <x:v>SVC000012</x:v>
      </x:c>
      <x:c r="E970" s="6" t="str"/>
      <x:c r="F970" s="6" t="str">
        <x:f>IFERROR(XLOOKUP(C970,'Review Sequence'!C2:C1586,'Review Sequence'!I2:I1586),"")</x:f>
        <x:v>Not Started</x:v>
      </x:c>
      <x:c r="G970" s="6" t="str">
        <x:f>IFERROR(XLOOKUP(C970,'Review Sequence'!C2:C1586,'Review Sequence'!J2:J1586),"")</x:f>
        <x:v>Not Started</x:v>
      </x:c>
      <x:c r="H970" s="7" t="str">
        <x:f>IFERROR(XLOOKUP(C970,'Review Sequence'!C2:C1586,'Review Sequence'!O2:O1586),"")</x:f>
      </x:c>
      <x:c r="I970" s="6" t="str">
        <x:f>IFERROR(XLOOKUP(C970,'Review Sequence'!C2:C1586,'Review Sequence'!P2:P1586),"")</x:f>
        <x:v>Yes</x:v>
      </x:c>
    </x:row>
    <x:row r="971">
      <x:c r="A971" s="6" t="str">
        <x:v>BLK-0970</x:v>
      </x:c>
      <x:c r="B971" s="6" t="str">
        <x:v>Part Requirement</x:v>
      </x:c>
      <x:c r="C971" s="6" t="str">
        <x:v>PRTX-0013</x:v>
      </x:c>
      <x:c r="D971" s="6" t="str">
        <x:v>SVC000013</x:v>
      </x:c>
      <x:c r="E971" s="6" t="str"/>
      <x:c r="F971" s="6" t="str">
        <x:f>IFERROR(XLOOKUP(C971,'Review Sequence'!C2:C1586,'Review Sequence'!I2:I1586),"")</x:f>
        <x:v>Not Started</x:v>
      </x:c>
      <x:c r="G971" s="6" t="str">
        <x:f>IFERROR(XLOOKUP(C971,'Review Sequence'!C2:C1586,'Review Sequence'!J2:J1586),"")</x:f>
        <x:v>Not Started</x:v>
      </x:c>
      <x:c r="H971" s="7" t="str">
        <x:f>IFERROR(XLOOKUP(C971,'Review Sequence'!C2:C1586,'Review Sequence'!O2:O1586),"")</x:f>
      </x:c>
      <x:c r="I971" s="6" t="str">
        <x:f>IFERROR(XLOOKUP(C971,'Review Sequence'!C2:C1586,'Review Sequence'!P2:P1586),"")</x:f>
        <x:v>Yes</x:v>
      </x:c>
    </x:row>
    <x:row r="972">
      <x:c r="A972" s="6" t="str">
        <x:v>BLK-0971</x:v>
      </x:c>
      <x:c r="B972" s="6" t="str">
        <x:v>Part Requirement</x:v>
      </x:c>
      <x:c r="C972" s="6" t="str">
        <x:v>PRTX-0014</x:v>
      </x:c>
      <x:c r="D972" s="6" t="str">
        <x:v>SVC000014</x:v>
      </x:c>
      <x:c r="E972" s="6" t="str"/>
      <x:c r="F972" s="6" t="str">
        <x:f>IFERROR(XLOOKUP(C972,'Review Sequence'!C2:C1586,'Review Sequence'!I2:I1586),"")</x:f>
        <x:v>Not Started</x:v>
      </x:c>
      <x:c r="G972" s="6" t="str">
        <x:f>IFERROR(XLOOKUP(C972,'Review Sequence'!C2:C1586,'Review Sequence'!J2:J1586),"")</x:f>
        <x:v>Not Started</x:v>
      </x:c>
      <x:c r="H972" s="7" t="str">
        <x:f>IFERROR(XLOOKUP(C972,'Review Sequence'!C2:C1586,'Review Sequence'!O2:O1586),"")</x:f>
      </x:c>
      <x:c r="I972" s="6" t="str">
        <x:f>IFERROR(XLOOKUP(C972,'Review Sequence'!C2:C1586,'Review Sequence'!P2:P1586),"")</x:f>
        <x:v>Yes</x:v>
      </x:c>
    </x:row>
    <x:row r="973">
      <x:c r="A973" s="6" t="str">
        <x:v>BLK-0972</x:v>
      </x:c>
      <x:c r="B973" s="6" t="str">
        <x:v>Part Requirement</x:v>
      </x:c>
      <x:c r="C973" s="6" t="str">
        <x:v>PRTX-0015</x:v>
      </x:c>
      <x:c r="D973" s="6" t="str">
        <x:v>SVC000015</x:v>
      </x:c>
      <x:c r="E973" s="6" t="str"/>
      <x:c r="F973" s="6" t="str">
        <x:f>IFERROR(XLOOKUP(C973,'Review Sequence'!C2:C1586,'Review Sequence'!I2:I1586),"")</x:f>
        <x:v>Not Started</x:v>
      </x:c>
      <x:c r="G973" s="6" t="str">
        <x:f>IFERROR(XLOOKUP(C973,'Review Sequence'!C2:C1586,'Review Sequence'!J2:J1586),"")</x:f>
        <x:v>Not Started</x:v>
      </x:c>
      <x:c r="H973" s="7" t="str">
        <x:f>IFERROR(XLOOKUP(C973,'Review Sequence'!C2:C1586,'Review Sequence'!O2:O1586),"")</x:f>
      </x:c>
      <x:c r="I973" s="6" t="str">
        <x:f>IFERROR(XLOOKUP(C973,'Review Sequence'!C2:C1586,'Review Sequence'!P2:P1586),"")</x:f>
        <x:v>Yes</x:v>
      </x:c>
    </x:row>
    <x:row r="974">
      <x:c r="A974" s="6" t="str">
        <x:v>BLK-0973</x:v>
      </x:c>
      <x:c r="B974" s="6" t="str">
        <x:v>Part Requirement</x:v>
      </x:c>
      <x:c r="C974" s="6" t="str">
        <x:v>PRTX-0016</x:v>
      </x:c>
      <x:c r="D974" s="6" t="str">
        <x:v>SVC000016</x:v>
      </x:c>
      <x:c r="E974" s="6" t="str"/>
      <x:c r="F974" s="6" t="str">
        <x:f>IFERROR(XLOOKUP(C974,'Review Sequence'!C2:C1586,'Review Sequence'!I2:I1586),"")</x:f>
        <x:v>Not Started</x:v>
      </x:c>
      <x:c r="G974" s="6" t="str">
        <x:f>IFERROR(XLOOKUP(C974,'Review Sequence'!C2:C1586,'Review Sequence'!J2:J1586),"")</x:f>
        <x:v>Not Started</x:v>
      </x:c>
      <x:c r="H974" s="7" t="str">
        <x:f>IFERROR(XLOOKUP(C974,'Review Sequence'!C2:C1586,'Review Sequence'!O2:O1586),"")</x:f>
      </x:c>
      <x:c r="I974" s="6" t="str">
        <x:f>IFERROR(XLOOKUP(C974,'Review Sequence'!C2:C1586,'Review Sequence'!P2:P1586),"")</x:f>
        <x:v>Yes</x:v>
      </x:c>
    </x:row>
    <x:row r="975">
      <x:c r="A975" s="6" t="str">
        <x:v>BLK-0974</x:v>
      </x:c>
      <x:c r="B975" s="6" t="str">
        <x:v>Part Requirement</x:v>
      </x:c>
      <x:c r="C975" s="6" t="str">
        <x:v>PRTX-0017</x:v>
      </x:c>
      <x:c r="D975" s="6" t="str">
        <x:v>SVC000017</x:v>
      </x:c>
      <x:c r="E975" s="6" t="str"/>
      <x:c r="F975" s="6" t="str">
        <x:f>IFERROR(XLOOKUP(C975,'Review Sequence'!C2:C1586,'Review Sequence'!I2:I1586),"")</x:f>
        <x:v>Not Started</x:v>
      </x:c>
      <x:c r="G975" s="6" t="str">
        <x:f>IFERROR(XLOOKUP(C975,'Review Sequence'!C2:C1586,'Review Sequence'!J2:J1586),"")</x:f>
        <x:v>Not Started</x:v>
      </x:c>
      <x:c r="H975" s="7" t="str">
        <x:f>IFERROR(XLOOKUP(C975,'Review Sequence'!C2:C1586,'Review Sequence'!O2:O1586),"")</x:f>
      </x:c>
      <x:c r="I975" s="6" t="str">
        <x:f>IFERROR(XLOOKUP(C975,'Review Sequence'!C2:C1586,'Review Sequence'!P2:P1586),"")</x:f>
        <x:v>Yes</x:v>
      </x:c>
    </x:row>
    <x:row r="976">
      <x:c r="A976" s="6" t="str">
        <x:v>BLK-0975</x:v>
      </x:c>
      <x:c r="B976" s="6" t="str">
        <x:v>Part Requirement</x:v>
      </x:c>
      <x:c r="C976" s="6" t="str">
        <x:v>PRTX-0018</x:v>
      </x:c>
      <x:c r="D976" s="6" t="str">
        <x:v>SVC000018</x:v>
      </x:c>
      <x:c r="E976" s="6" t="str"/>
      <x:c r="F976" s="6" t="str">
        <x:f>IFERROR(XLOOKUP(C976,'Review Sequence'!C2:C1586,'Review Sequence'!I2:I1586),"")</x:f>
        <x:v>Not Started</x:v>
      </x:c>
      <x:c r="G976" s="6" t="str">
        <x:f>IFERROR(XLOOKUP(C976,'Review Sequence'!C2:C1586,'Review Sequence'!J2:J1586),"")</x:f>
        <x:v>Not Started</x:v>
      </x:c>
      <x:c r="H976" s="7" t="str">
        <x:f>IFERROR(XLOOKUP(C976,'Review Sequence'!C2:C1586,'Review Sequence'!O2:O1586),"")</x:f>
      </x:c>
      <x:c r="I976" s="6" t="str">
        <x:f>IFERROR(XLOOKUP(C976,'Review Sequence'!C2:C1586,'Review Sequence'!P2:P1586),"")</x:f>
        <x:v>Yes</x:v>
      </x:c>
    </x:row>
    <x:row r="977">
      <x:c r="A977" s="6" t="str">
        <x:v>BLK-0976</x:v>
      </x:c>
      <x:c r="B977" s="6" t="str">
        <x:v>Part Requirement</x:v>
      </x:c>
      <x:c r="C977" s="6" t="str">
        <x:v>PRTX-0019</x:v>
      </x:c>
      <x:c r="D977" s="6" t="str">
        <x:v>SVC000019</x:v>
      </x:c>
      <x:c r="E977" s="6" t="str"/>
      <x:c r="F977" s="6" t="str">
        <x:f>IFERROR(XLOOKUP(C977,'Review Sequence'!C2:C1586,'Review Sequence'!I2:I1586),"")</x:f>
        <x:v>Not Started</x:v>
      </x:c>
      <x:c r="G977" s="6" t="str">
        <x:f>IFERROR(XLOOKUP(C977,'Review Sequence'!C2:C1586,'Review Sequence'!J2:J1586),"")</x:f>
        <x:v>Not Started</x:v>
      </x:c>
      <x:c r="H977" s="7" t="str">
        <x:f>IFERROR(XLOOKUP(C977,'Review Sequence'!C2:C1586,'Review Sequence'!O2:O1586),"")</x:f>
      </x:c>
      <x:c r="I977" s="6" t="str">
        <x:f>IFERROR(XLOOKUP(C977,'Review Sequence'!C2:C1586,'Review Sequence'!P2:P1586),"")</x:f>
        <x:v>Yes</x:v>
      </x:c>
    </x:row>
    <x:row r="978">
      <x:c r="A978" s="6" t="str">
        <x:v>BLK-0977</x:v>
      </x:c>
      <x:c r="B978" s="6" t="str">
        <x:v>Part Requirement</x:v>
      </x:c>
      <x:c r="C978" s="6" t="str">
        <x:v>PRTX-0020</x:v>
      </x:c>
      <x:c r="D978" s="6" t="str">
        <x:v>SVC000020</x:v>
      </x:c>
      <x:c r="E978" s="6" t="str"/>
      <x:c r="F978" s="6" t="str">
        <x:f>IFERROR(XLOOKUP(C978,'Review Sequence'!C2:C1586,'Review Sequence'!I2:I1586),"")</x:f>
        <x:v>Not Started</x:v>
      </x:c>
      <x:c r="G978" s="6" t="str">
        <x:f>IFERROR(XLOOKUP(C978,'Review Sequence'!C2:C1586,'Review Sequence'!J2:J1586),"")</x:f>
        <x:v>Not Started</x:v>
      </x:c>
      <x:c r="H978" s="7" t="str">
        <x:f>IFERROR(XLOOKUP(C978,'Review Sequence'!C2:C1586,'Review Sequence'!O2:O1586),"")</x:f>
      </x:c>
      <x:c r="I978" s="6" t="str">
        <x:f>IFERROR(XLOOKUP(C978,'Review Sequence'!C2:C1586,'Review Sequence'!P2:P1586),"")</x:f>
        <x:v>Yes</x:v>
      </x:c>
    </x:row>
    <x:row r="979">
      <x:c r="A979" s="6" t="str">
        <x:v>BLK-0978</x:v>
      </x:c>
      <x:c r="B979" s="6" t="str">
        <x:v>Part Requirement</x:v>
      </x:c>
      <x:c r="C979" s="6" t="str">
        <x:v>PRTX-0021</x:v>
      </x:c>
      <x:c r="D979" s="6" t="str">
        <x:v>SVC000021</x:v>
      </x:c>
      <x:c r="E979" s="6" t="str"/>
      <x:c r="F979" s="6" t="str">
        <x:f>IFERROR(XLOOKUP(C979,'Review Sequence'!C2:C1586,'Review Sequence'!I2:I1586),"")</x:f>
        <x:v>Not Started</x:v>
      </x:c>
      <x:c r="G979" s="6" t="str">
        <x:f>IFERROR(XLOOKUP(C979,'Review Sequence'!C2:C1586,'Review Sequence'!J2:J1586),"")</x:f>
        <x:v>Not Started</x:v>
      </x:c>
      <x:c r="H979" s="7" t="str">
        <x:f>IFERROR(XLOOKUP(C979,'Review Sequence'!C2:C1586,'Review Sequence'!O2:O1586),"")</x:f>
      </x:c>
      <x:c r="I979" s="6" t="str">
        <x:f>IFERROR(XLOOKUP(C979,'Review Sequence'!C2:C1586,'Review Sequence'!P2:P1586),"")</x:f>
        <x:v>Yes</x:v>
      </x:c>
    </x:row>
    <x:row r="980">
      <x:c r="A980" s="6" t="str">
        <x:v>BLK-0979</x:v>
      </x:c>
      <x:c r="B980" s="6" t="str">
        <x:v>Part Requirement</x:v>
      </x:c>
      <x:c r="C980" s="6" t="str">
        <x:v>PRTX-0022</x:v>
      </x:c>
      <x:c r="D980" s="6" t="str">
        <x:v>SVC000022</x:v>
      </x:c>
      <x:c r="E980" s="6" t="str"/>
      <x:c r="F980" s="6" t="str">
        <x:f>IFERROR(XLOOKUP(C980,'Review Sequence'!C2:C1586,'Review Sequence'!I2:I1586),"")</x:f>
        <x:v>Not Started</x:v>
      </x:c>
      <x:c r="G980" s="6" t="str">
        <x:f>IFERROR(XLOOKUP(C980,'Review Sequence'!C2:C1586,'Review Sequence'!J2:J1586),"")</x:f>
        <x:v>Not Started</x:v>
      </x:c>
      <x:c r="H980" s="7" t="str">
        <x:f>IFERROR(XLOOKUP(C980,'Review Sequence'!C2:C1586,'Review Sequence'!O2:O1586),"")</x:f>
      </x:c>
      <x:c r="I980" s="6" t="str">
        <x:f>IFERROR(XLOOKUP(C980,'Review Sequence'!C2:C1586,'Review Sequence'!P2:P1586),"")</x:f>
        <x:v>Yes</x:v>
      </x:c>
    </x:row>
    <x:row r="981">
      <x:c r="A981" s="6" t="str">
        <x:v>BLK-0980</x:v>
      </x:c>
      <x:c r="B981" s="6" t="str">
        <x:v>Part Requirement</x:v>
      </x:c>
      <x:c r="C981" s="6" t="str">
        <x:v>PRTX-0023</x:v>
      </x:c>
      <x:c r="D981" s="6" t="str">
        <x:v>SVC000023</x:v>
      </x:c>
      <x:c r="E981" s="6" t="str"/>
      <x:c r="F981" s="6" t="str">
        <x:f>IFERROR(XLOOKUP(C981,'Review Sequence'!C2:C1586,'Review Sequence'!I2:I1586),"")</x:f>
        <x:v>Not Started</x:v>
      </x:c>
      <x:c r="G981" s="6" t="str">
        <x:f>IFERROR(XLOOKUP(C981,'Review Sequence'!C2:C1586,'Review Sequence'!J2:J1586),"")</x:f>
        <x:v>Not Started</x:v>
      </x:c>
      <x:c r="H981" s="7" t="str">
        <x:f>IFERROR(XLOOKUP(C981,'Review Sequence'!C2:C1586,'Review Sequence'!O2:O1586),"")</x:f>
      </x:c>
      <x:c r="I981" s="6" t="str">
        <x:f>IFERROR(XLOOKUP(C981,'Review Sequence'!C2:C1586,'Review Sequence'!P2:P1586),"")</x:f>
        <x:v>Yes</x:v>
      </x:c>
    </x:row>
    <x:row r="982">
      <x:c r="A982" s="6" t="str">
        <x:v>BLK-0981</x:v>
      </x:c>
      <x:c r="B982" s="6" t="str">
        <x:v>Part Requirement</x:v>
      </x:c>
      <x:c r="C982" s="6" t="str">
        <x:v>PRTX-0024</x:v>
      </x:c>
      <x:c r="D982" s="6" t="str">
        <x:v>SVC000024</x:v>
      </x:c>
      <x:c r="E982" s="6" t="str"/>
      <x:c r="F982" s="6" t="str">
        <x:f>IFERROR(XLOOKUP(C982,'Review Sequence'!C2:C1586,'Review Sequence'!I2:I1586),"")</x:f>
        <x:v>Not Started</x:v>
      </x:c>
      <x:c r="G982" s="6" t="str">
        <x:f>IFERROR(XLOOKUP(C982,'Review Sequence'!C2:C1586,'Review Sequence'!J2:J1586),"")</x:f>
        <x:v>Not Started</x:v>
      </x:c>
      <x:c r="H982" s="7" t="str">
        <x:f>IFERROR(XLOOKUP(C982,'Review Sequence'!C2:C1586,'Review Sequence'!O2:O1586),"")</x:f>
      </x:c>
      <x:c r="I982" s="6" t="str">
        <x:f>IFERROR(XLOOKUP(C982,'Review Sequence'!C2:C1586,'Review Sequence'!P2:P1586),"")</x:f>
        <x:v>Yes</x:v>
      </x:c>
    </x:row>
    <x:row r="983">
      <x:c r="A983" s="6" t="str">
        <x:v>BLK-0982</x:v>
      </x:c>
      <x:c r="B983" s="6" t="str">
        <x:v>Part Requirement</x:v>
      </x:c>
      <x:c r="C983" s="6" t="str">
        <x:v>PRTX-0025</x:v>
      </x:c>
      <x:c r="D983" s="6" t="str">
        <x:v>SVC000025</x:v>
      </x:c>
      <x:c r="E983" s="6" t="str"/>
      <x:c r="F983" s="6" t="str">
        <x:f>IFERROR(XLOOKUP(C983,'Review Sequence'!C2:C1586,'Review Sequence'!I2:I1586),"")</x:f>
        <x:v>Not Started</x:v>
      </x:c>
      <x:c r="G983" s="6" t="str">
        <x:f>IFERROR(XLOOKUP(C983,'Review Sequence'!C2:C1586,'Review Sequence'!J2:J1586),"")</x:f>
        <x:v>Not Started</x:v>
      </x:c>
      <x:c r="H983" s="7" t="str">
        <x:f>IFERROR(XLOOKUP(C983,'Review Sequence'!C2:C1586,'Review Sequence'!O2:O1586),"")</x:f>
      </x:c>
      <x:c r="I983" s="6" t="str">
        <x:f>IFERROR(XLOOKUP(C983,'Review Sequence'!C2:C1586,'Review Sequence'!P2:P1586),"")</x:f>
        <x:v>Yes</x:v>
      </x:c>
    </x:row>
    <x:row r="984">
      <x:c r="A984" s="6" t="str">
        <x:v>BLK-0983</x:v>
      </x:c>
      <x:c r="B984" s="6" t="str">
        <x:v>Part Requirement</x:v>
      </x:c>
      <x:c r="C984" s="6" t="str">
        <x:v>PRTX-0026</x:v>
      </x:c>
      <x:c r="D984" s="6" t="str">
        <x:v>SVC000026</x:v>
      </x:c>
      <x:c r="E984" s="6" t="str"/>
      <x:c r="F984" s="6" t="str">
        <x:f>IFERROR(XLOOKUP(C984,'Review Sequence'!C2:C1586,'Review Sequence'!I2:I1586),"")</x:f>
        <x:v>Not Started</x:v>
      </x:c>
      <x:c r="G984" s="6" t="str">
        <x:f>IFERROR(XLOOKUP(C984,'Review Sequence'!C2:C1586,'Review Sequence'!J2:J1586),"")</x:f>
        <x:v>Not Started</x:v>
      </x:c>
      <x:c r="H984" s="7" t="str">
        <x:f>IFERROR(XLOOKUP(C984,'Review Sequence'!C2:C1586,'Review Sequence'!O2:O1586),"")</x:f>
      </x:c>
      <x:c r="I984" s="6" t="str">
        <x:f>IFERROR(XLOOKUP(C984,'Review Sequence'!C2:C1586,'Review Sequence'!P2:P1586),"")</x:f>
        <x:v>Yes</x:v>
      </x:c>
    </x:row>
    <x:row r="985">
      <x:c r="A985" s="6" t="str">
        <x:v>BLK-0984</x:v>
      </x:c>
      <x:c r="B985" s="6" t="str">
        <x:v>Part Requirement</x:v>
      </x:c>
      <x:c r="C985" s="6" t="str">
        <x:v>PRTX-0027</x:v>
      </x:c>
      <x:c r="D985" s="6" t="str">
        <x:v>SVC000027</x:v>
      </x:c>
      <x:c r="E985" s="6" t="str"/>
      <x:c r="F985" s="6" t="str">
        <x:f>IFERROR(XLOOKUP(C985,'Review Sequence'!C2:C1586,'Review Sequence'!I2:I1586),"")</x:f>
        <x:v>Not Started</x:v>
      </x:c>
      <x:c r="G985" s="6" t="str">
        <x:f>IFERROR(XLOOKUP(C985,'Review Sequence'!C2:C1586,'Review Sequence'!J2:J1586),"")</x:f>
        <x:v>Not Started</x:v>
      </x:c>
      <x:c r="H985" s="7" t="str">
        <x:f>IFERROR(XLOOKUP(C985,'Review Sequence'!C2:C1586,'Review Sequence'!O2:O1586),"")</x:f>
      </x:c>
      <x:c r="I985" s="6" t="str">
        <x:f>IFERROR(XLOOKUP(C985,'Review Sequence'!C2:C1586,'Review Sequence'!P2:P1586),"")</x:f>
        <x:v>Yes</x:v>
      </x:c>
    </x:row>
    <x:row r="986">
      <x:c r="A986" s="6" t="str">
        <x:v>BLK-0985</x:v>
      </x:c>
      <x:c r="B986" s="6" t="str">
        <x:v>Part Requirement</x:v>
      </x:c>
      <x:c r="C986" s="6" t="str">
        <x:v>PRTX-0028</x:v>
      </x:c>
      <x:c r="D986" s="6" t="str">
        <x:v>SVC000028</x:v>
      </x:c>
      <x:c r="E986" s="6" t="str"/>
      <x:c r="F986" s="6" t="str">
        <x:f>IFERROR(XLOOKUP(C986,'Review Sequence'!C2:C1586,'Review Sequence'!I2:I1586),"")</x:f>
        <x:v>Not Started</x:v>
      </x:c>
      <x:c r="G986" s="6" t="str">
        <x:f>IFERROR(XLOOKUP(C986,'Review Sequence'!C2:C1586,'Review Sequence'!J2:J1586),"")</x:f>
        <x:v>Not Started</x:v>
      </x:c>
      <x:c r="H986" s="7" t="str">
        <x:f>IFERROR(XLOOKUP(C986,'Review Sequence'!C2:C1586,'Review Sequence'!O2:O1586),"")</x:f>
      </x:c>
      <x:c r="I986" s="6" t="str">
        <x:f>IFERROR(XLOOKUP(C986,'Review Sequence'!C2:C1586,'Review Sequence'!P2:P1586),"")</x:f>
        <x:v>Yes</x:v>
      </x:c>
    </x:row>
    <x:row r="987">
      <x:c r="A987" s="6" t="str">
        <x:v>BLK-0986</x:v>
      </x:c>
      <x:c r="B987" s="6" t="str">
        <x:v>Part Requirement</x:v>
      </x:c>
      <x:c r="C987" s="6" t="str">
        <x:v>PRTX-0029</x:v>
      </x:c>
      <x:c r="D987" s="6" t="str">
        <x:v>SVC000029</x:v>
      </x:c>
      <x:c r="E987" s="6" t="str"/>
      <x:c r="F987" s="6" t="str">
        <x:f>IFERROR(XLOOKUP(C987,'Review Sequence'!C2:C1586,'Review Sequence'!I2:I1586),"")</x:f>
        <x:v>Not Started</x:v>
      </x:c>
      <x:c r="G987" s="6" t="str">
        <x:f>IFERROR(XLOOKUP(C987,'Review Sequence'!C2:C1586,'Review Sequence'!J2:J1586),"")</x:f>
        <x:v>Not Started</x:v>
      </x:c>
      <x:c r="H987" s="7" t="str">
        <x:f>IFERROR(XLOOKUP(C987,'Review Sequence'!C2:C1586,'Review Sequence'!O2:O1586),"")</x:f>
      </x:c>
      <x:c r="I987" s="6" t="str">
        <x:f>IFERROR(XLOOKUP(C987,'Review Sequence'!C2:C1586,'Review Sequence'!P2:P1586),"")</x:f>
        <x:v>Yes</x:v>
      </x:c>
    </x:row>
    <x:row r="988">
      <x:c r="A988" s="6" t="str">
        <x:v>BLK-0987</x:v>
      </x:c>
      <x:c r="B988" s="6" t="str">
        <x:v>Part Requirement</x:v>
      </x:c>
      <x:c r="C988" s="6" t="str">
        <x:v>PRTX-0030</x:v>
      </x:c>
      <x:c r="D988" s="6" t="str">
        <x:v>SVC000030</x:v>
      </x:c>
      <x:c r="E988" s="6" t="str"/>
      <x:c r="F988" s="6" t="str">
        <x:f>IFERROR(XLOOKUP(C988,'Review Sequence'!C2:C1586,'Review Sequence'!I2:I1586),"")</x:f>
        <x:v>Not Started</x:v>
      </x:c>
      <x:c r="G988" s="6" t="str">
        <x:f>IFERROR(XLOOKUP(C988,'Review Sequence'!C2:C1586,'Review Sequence'!J2:J1586),"")</x:f>
        <x:v>Not Started</x:v>
      </x:c>
      <x:c r="H988" s="7" t="str">
        <x:f>IFERROR(XLOOKUP(C988,'Review Sequence'!C2:C1586,'Review Sequence'!O2:O1586),"")</x:f>
      </x:c>
      <x:c r="I988" s="6" t="str">
        <x:f>IFERROR(XLOOKUP(C988,'Review Sequence'!C2:C1586,'Review Sequence'!P2:P1586),"")</x:f>
        <x:v>Yes</x:v>
      </x:c>
    </x:row>
    <x:row r="989">
      <x:c r="A989" s="6" t="str">
        <x:v>BLK-0988</x:v>
      </x:c>
      <x:c r="B989" s="6" t="str">
        <x:v>Part Requirement</x:v>
      </x:c>
      <x:c r="C989" s="6" t="str">
        <x:v>PRTX-0031</x:v>
      </x:c>
      <x:c r="D989" s="6" t="str">
        <x:v>SVC000031</x:v>
      </x:c>
      <x:c r="E989" s="6" t="str"/>
      <x:c r="F989" s="6" t="str">
        <x:f>IFERROR(XLOOKUP(C989,'Review Sequence'!C2:C1586,'Review Sequence'!I2:I1586),"")</x:f>
        <x:v>Not Started</x:v>
      </x:c>
      <x:c r="G989" s="6" t="str">
        <x:f>IFERROR(XLOOKUP(C989,'Review Sequence'!C2:C1586,'Review Sequence'!J2:J1586),"")</x:f>
        <x:v>Not Started</x:v>
      </x:c>
      <x:c r="H989" s="7" t="str">
        <x:f>IFERROR(XLOOKUP(C989,'Review Sequence'!C2:C1586,'Review Sequence'!O2:O1586),"")</x:f>
      </x:c>
      <x:c r="I989" s="6" t="str">
        <x:f>IFERROR(XLOOKUP(C989,'Review Sequence'!C2:C1586,'Review Sequence'!P2:P1586),"")</x:f>
        <x:v>Yes</x:v>
      </x:c>
    </x:row>
    <x:row r="990">
      <x:c r="A990" s="6" t="str">
        <x:v>BLK-0989</x:v>
      </x:c>
      <x:c r="B990" s="6" t="str">
        <x:v>Part Requirement</x:v>
      </x:c>
      <x:c r="C990" s="6" t="str">
        <x:v>PRTX-0032</x:v>
      </x:c>
      <x:c r="D990" s="6" t="str">
        <x:v>SVC000032</x:v>
      </x:c>
      <x:c r="E990" s="6" t="str"/>
      <x:c r="F990" s="6" t="str">
        <x:f>IFERROR(XLOOKUP(C990,'Review Sequence'!C2:C1586,'Review Sequence'!I2:I1586),"")</x:f>
        <x:v>Not Started</x:v>
      </x:c>
      <x:c r="G990" s="6" t="str">
        <x:f>IFERROR(XLOOKUP(C990,'Review Sequence'!C2:C1586,'Review Sequence'!J2:J1586),"")</x:f>
        <x:v>Not Started</x:v>
      </x:c>
      <x:c r="H990" s="7" t="str">
        <x:f>IFERROR(XLOOKUP(C990,'Review Sequence'!C2:C1586,'Review Sequence'!O2:O1586),"")</x:f>
      </x:c>
      <x:c r="I990" s="6" t="str">
        <x:f>IFERROR(XLOOKUP(C990,'Review Sequence'!C2:C1586,'Review Sequence'!P2:P1586),"")</x:f>
        <x:v>Yes</x:v>
      </x:c>
    </x:row>
    <x:row r="991">
      <x:c r="A991" s="6" t="str">
        <x:v>BLK-0990</x:v>
      </x:c>
      <x:c r="B991" s="6" t="str">
        <x:v>Part Requirement</x:v>
      </x:c>
      <x:c r="C991" s="6" t="str">
        <x:v>PRTX-0033</x:v>
      </x:c>
      <x:c r="D991" s="6" t="str">
        <x:v>SVC000033</x:v>
      </x:c>
      <x:c r="E991" s="6" t="str"/>
      <x:c r="F991" s="6" t="str">
        <x:f>IFERROR(XLOOKUP(C991,'Review Sequence'!C2:C1586,'Review Sequence'!I2:I1586),"")</x:f>
        <x:v>Not Started</x:v>
      </x:c>
      <x:c r="G991" s="6" t="str">
        <x:f>IFERROR(XLOOKUP(C991,'Review Sequence'!C2:C1586,'Review Sequence'!J2:J1586),"")</x:f>
        <x:v>Not Started</x:v>
      </x:c>
      <x:c r="H991" s="7" t="str">
        <x:f>IFERROR(XLOOKUP(C991,'Review Sequence'!C2:C1586,'Review Sequence'!O2:O1586),"")</x:f>
      </x:c>
      <x:c r="I991" s="6" t="str">
        <x:f>IFERROR(XLOOKUP(C991,'Review Sequence'!C2:C1586,'Review Sequence'!P2:P1586),"")</x:f>
        <x:v>Yes</x:v>
      </x:c>
    </x:row>
    <x:row r="992">
      <x:c r="A992" s="6" t="str">
        <x:v>BLK-0991</x:v>
      </x:c>
      <x:c r="B992" s="6" t="str">
        <x:v>Part Requirement</x:v>
      </x:c>
      <x:c r="C992" s="6" t="str">
        <x:v>PRTX-0034</x:v>
      </x:c>
      <x:c r="D992" s="6" t="str">
        <x:v>SVC000034</x:v>
      </x:c>
      <x:c r="E992" s="6" t="str"/>
      <x:c r="F992" s="6" t="str">
        <x:f>IFERROR(XLOOKUP(C992,'Review Sequence'!C2:C1586,'Review Sequence'!I2:I1586),"")</x:f>
        <x:v>Not Started</x:v>
      </x:c>
      <x:c r="G992" s="6" t="str">
        <x:f>IFERROR(XLOOKUP(C992,'Review Sequence'!C2:C1586,'Review Sequence'!J2:J1586),"")</x:f>
        <x:v>Not Started</x:v>
      </x:c>
      <x:c r="H992" s="7" t="str">
        <x:f>IFERROR(XLOOKUP(C992,'Review Sequence'!C2:C1586,'Review Sequence'!O2:O1586),"")</x:f>
      </x:c>
      <x:c r="I992" s="6" t="str">
        <x:f>IFERROR(XLOOKUP(C992,'Review Sequence'!C2:C1586,'Review Sequence'!P2:P1586),"")</x:f>
        <x:v>Yes</x:v>
      </x:c>
    </x:row>
    <x:row r="993">
      <x:c r="A993" s="6" t="str">
        <x:v>BLK-0992</x:v>
      </x:c>
      <x:c r="B993" s="6" t="str">
        <x:v>Part Requirement</x:v>
      </x:c>
      <x:c r="C993" s="6" t="str">
        <x:v>PRTX-0035</x:v>
      </x:c>
      <x:c r="D993" s="6" t="str">
        <x:v>SVC000035</x:v>
      </x:c>
      <x:c r="E993" s="6" t="str"/>
      <x:c r="F993" s="6" t="str">
        <x:f>IFERROR(XLOOKUP(C993,'Review Sequence'!C2:C1586,'Review Sequence'!I2:I1586),"")</x:f>
        <x:v>Not Started</x:v>
      </x:c>
      <x:c r="G993" s="6" t="str">
        <x:f>IFERROR(XLOOKUP(C993,'Review Sequence'!C2:C1586,'Review Sequence'!J2:J1586),"")</x:f>
        <x:v>Not Started</x:v>
      </x:c>
      <x:c r="H993" s="7" t="str">
        <x:f>IFERROR(XLOOKUP(C993,'Review Sequence'!C2:C1586,'Review Sequence'!O2:O1586),"")</x:f>
      </x:c>
      <x:c r="I993" s="6" t="str">
        <x:f>IFERROR(XLOOKUP(C993,'Review Sequence'!C2:C1586,'Review Sequence'!P2:P1586),"")</x:f>
        <x:v>Yes</x:v>
      </x:c>
    </x:row>
    <x:row r="994">
      <x:c r="A994" s="6" t="str">
        <x:v>BLK-0993</x:v>
      </x:c>
      <x:c r="B994" s="6" t="str">
        <x:v>Part Requirement</x:v>
      </x:c>
      <x:c r="C994" s="6" t="str">
        <x:v>PRTX-0036</x:v>
      </x:c>
      <x:c r="D994" s="6" t="str">
        <x:v>SVC000036</x:v>
      </x:c>
      <x:c r="E994" s="6" t="str"/>
      <x:c r="F994" s="6" t="str">
        <x:f>IFERROR(XLOOKUP(C994,'Review Sequence'!C2:C1586,'Review Sequence'!I2:I1586),"")</x:f>
        <x:v>Not Started</x:v>
      </x:c>
      <x:c r="G994" s="6" t="str">
        <x:f>IFERROR(XLOOKUP(C994,'Review Sequence'!C2:C1586,'Review Sequence'!J2:J1586),"")</x:f>
        <x:v>Not Started</x:v>
      </x:c>
      <x:c r="H994" s="7" t="str">
        <x:f>IFERROR(XLOOKUP(C994,'Review Sequence'!C2:C1586,'Review Sequence'!O2:O1586),"")</x:f>
      </x:c>
      <x:c r="I994" s="6" t="str">
        <x:f>IFERROR(XLOOKUP(C994,'Review Sequence'!C2:C1586,'Review Sequence'!P2:P1586),"")</x:f>
        <x:v>Yes</x:v>
      </x:c>
    </x:row>
    <x:row r="995">
      <x:c r="A995" s="6" t="str">
        <x:v>BLK-0994</x:v>
      </x:c>
      <x:c r="B995" s="6" t="str">
        <x:v>Part Requirement</x:v>
      </x:c>
      <x:c r="C995" s="6" t="str">
        <x:v>PRTX-0037</x:v>
      </x:c>
      <x:c r="D995" s="6" t="str">
        <x:v>SVC000037</x:v>
      </x:c>
      <x:c r="E995" s="6" t="str"/>
      <x:c r="F995" s="6" t="str">
        <x:f>IFERROR(XLOOKUP(C995,'Review Sequence'!C2:C1586,'Review Sequence'!I2:I1586),"")</x:f>
        <x:v>Not Started</x:v>
      </x:c>
      <x:c r="G995" s="6" t="str">
        <x:f>IFERROR(XLOOKUP(C995,'Review Sequence'!C2:C1586,'Review Sequence'!J2:J1586),"")</x:f>
        <x:v>Not Started</x:v>
      </x:c>
      <x:c r="H995" s="7" t="str">
        <x:f>IFERROR(XLOOKUP(C995,'Review Sequence'!C2:C1586,'Review Sequence'!O2:O1586),"")</x:f>
      </x:c>
      <x:c r="I995" s="6" t="str">
        <x:f>IFERROR(XLOOKUP(C995,'Review Sequence'!C2:C1586,'Review Sequence'!P2:P1586),"")</x:f>
        <x:v>Yes</x:v>
      </x:c>
    </x:row>
    <x:row r="996">
      <x:c r="A996" s="6" t="str">
        <x:v>BLK-0995</x:v>
      </x:c>
      <x:c r="B996" s="6" t="str">
        <x:v>Part Requirement</x:v>
      </x:c>
      <x:c r="C996" s="6" t="str">
        <x:v>PRTX-0038</x:v>
      </x:c>
      <x:c r="D996" s="6" t="str">
        <x:v>SVC000038</x:v>
      </x:c>
      <x:c r="E996" s="6" t="str"/>
      <x:c r="F996" s="6" t="str">
        <x:f>IFERROR(XLOOKUP(C996,'Review Sequence'!C2:C1586,'Review Sequence'!I2:I1586),"")</x:f>
        <x:v>Not Started</x:v>
      </x:c>
      <x:c r="G996" s="6" t="str">
        <x:f>IFERROR(XLOOKUP(C996,'Review Sequence'!C2:C1586,'Review Sequence'!J2:J1586),"")</x:f>
        <x:v>Not Started</x:v>
      </x:c>
      <x:c r="H996" s="7" t="str">
        <x:f>IFERROR(XLOOKUP(C996,'Review Sequence'!C2:C1586,'Review Sequence'!O2:O1586),"")</x:f>
      </x:c>
      <x:c r="I996" s="6" t="str">
        <x:f>IFERROR(XLOOKUP(C996,'Review Sequence'!C2:C1586,'Review Sequence'!P2:P1586),"")</x:f>
        <x:v>Yes</x:v>
      </x:c>
    </x:row>
    <x:row r="997">
      <x:c r="A997" s="6" t="str">
        <x:v>BLK-0996</x:v>
      </x:c>
      <x:c r="B997" s="6" t="str">
        <x:v>Part Requirement</x:v>
      </x:c>
      <x:c r="C997" s="6" t="str">
        <x:v>PRTX-0039</x:v>
      </x:c>
      <x:c r="D997" s="6" t="str">
        <x:v>SVC000039</x:v>
      </x:c>
      <x:c r="E997" s="6" t="str"/>
      <x:c r="F997" s="6" t="str">
        <x:f>IFERROR(XLOOKUP(C997,'Review Sequence'!C2:C1586,'Review Sequence'!I2:I1586),"")</x:f>
        <x:v>Not Started</x:v>
      </x:c>
      <x:c r="G997" s="6" t="str">
        <x:f>IFERROR(XLOOKUP(C997,'Review Sequence'!C2:C1586,'Review Sequence'!J2:J1586),"")</x:f>
        <x:v>Not Started</x:v>
      </x:c>
      <x:c r="H997" s="7" t="str">
        <x:f>IFERROR(XLOOKUP(C997,'Review Sequence'!C2:C1586,'Review Sequence'!O2:O1586),"")</x:f>
      </x:c>
      <x:c r="I997" s="6" t="str">
        <x:f>IFERROR(XLOOKUP(C997,'Review Sequence'!C2:C1586,'Review Sequence'!P2:P1586),"")</x:f>
        <x:v>Yes</x:v>
      </x:c>
    </x:row>
    <x:row r="998">
      <x:c r="A998" s="6" t="str">
        <x:v>BLK-0997</x:v>
      </x:c>
      <x:c r="B998" s="6" t="str">
        <x:v>Part Requirement</x:v>
      </x:c>
      <x:c r="C998" s="6" t="str">
        <x:v>PRTX-0040</x:v>
      </x:c>
      <x:c r="D998" s="6" t="str">
        <x:v>SVC000040</x:v>
      </x:c>
      <x:c r="E998" s="6" t="str"/>
      <x:c r="F998" s="6" t="str">
        <x:f>IFERROR(XLOOKUP(C998,'Review Sequence'!C2:C1586,'Review Sequence'!I2:I1586),"")</x:f>
        <x:v>Not Started</x:v>
      </x:c>
      <x:c r="G998" s="6" t="str">
        <x:f>IFERROR(XLOOKUP(C998,'Review Sequence'!C2:C1586,'Review Sequence'!J2:J1586),"")</x:f>
        <x:v>Not Started</x:v>
      </x:c>
      <x:c r="H998" s="7" t="str">
        <x:f>IFERROR(XLOOKUP(C998,'Review Sequence'!C2:C1586,'Review Sequence'!O2:O1586),"")</x:f>
      </x:c>
      <x:c r="I998" s="6" t="str">
        <x:f>IFERROR(XLOOKUP(C998,'Review Sequence'!C2:C1586,'Review Sequence'!P2:P1586),"")</x:f>
        <x:v>Yes</x:v>
      </x:c>
    </x:row>
    <x:row r="999">
      <x:c r="A999" s="6" t="str">
        <x:v>BLK-0998</x:v>
      </x:c>
      <x:c r="B999" s="6" t="str">
        <x:v>Part Requirement</x:v>
      </x:c>
      <x:c r="C999" s="6" t="str">
        <x:v>PRTX-0041</x:v>
      </x:c>
      <x:c r="D999" s="6" t="str">
        <x:v>SVC000041</x:v>
      </x:c>
      <x:c r="E999" s="6" t="str"/>
      <x:c r="F999" s="6" t="str">
        <x:f>IFERROR(XLOOKUP(C999,'Review Sequence'!C2:C1586,'Review Sequence'!I2:I1586),"")</x:f>
        <x:v>Not Started</x:v>
      </x:c>
      <x:c r="G999" s="6" t="str">
        <x:f>IFERROR(XLOOKUP(C999,'Review Sequence'!C2:C1586,'Review Sequence'!J2:J1586),"")</x:f>
        <x:v>Not Started</x:v>
      </x:c>
      <x:c r="H999" s="7" t="str">
        <x:f>IFERROR(XLOOKUP(C999,'Review Sequence'!C2:C1586,'Review Sequence'!O2:O1586),"")</x:f>
      </x:c>
      <x:c r="I999" s="6" t="str">
        <x:f>IFERROR(XLOOKUP(C999,'Review Sequence'!C2:C1586,'Review Sequence'!P2:P1586),"")</x:f>
        <x:v>Yes</x:v>
      </x:c>
    </x:row>
    <x:row r="1000">
      <x:c r="A1000" s="6" t="str">
        <x:v>BLK-0999</x:v>
      </x:c>
      <x:c r="B1000" s="6" t="str">
        <x:v>Part Requirement</x:v>
      </x:c>
      <x:c r="C1000" s="6" t="str">
        <x:v>PRTX-0042</x:v>
      </x:c>
      <x:c r="D1000" s="6" t="str">
        <x:v>SVC000042</x:v>
      </x:c>
      <x:c r="E1000" s="6" t="str"/>
      <x:c r="F1000" s="6" t="str">
        <x:f>IFERROR(XLOOKUP(C1000,'Review Sequence'!C2:C1586,'Review Sequence'!I2:I1586),"")</x:f>
        <x:v>Not Started</x:v>
      </x:c>
      <x:c r="G1000" s="6" t="str">
        <x:f>IFERROR(XLOOKUP(C1000,'Review Sequence'!C2:C1586,'Review Sequence'!J2:J1586),"")</x:f>
        <x:v>Not Started</x:v>
      </x:c>
      <x:c r="H1000" s="7" t="str">
        <x:f>IFERROR(XLOOKUP(C1000,'Review Sequence'!C2:C1586,'Review Sequence'!O2:O1586),"")</x:f>
      </x:c>
      <x:c r="I1000" s="6" t="str">
        <x:f>IFERROR(XLOOKUP(C1000,'Review Sequence'!C2:C1586,'Review Sequence'!P2:P1586),"")</x:f>
        <x:v>Yes</x:v>
      </x:c>
    </x:row>
    <x:row r="1001">
      <x:c r="A1001" s="6" t="str">
        <x:v>BLK-1000</x:v>
      </x:c>
      <x:c r="B1001" s="6" t="str">
        <x:v>Part Requirement</x:v>
      </x:c>
      <x:c r="C1001" s="6" t="str">
        <x:v>PRTX-0043</x:v>
      </x:c>
      <x:c r="D1001" s="6" t="str">
        <x:v>SVC000043</x:v>
      </x:c>
      <x:c r="E1001" s="6" t="str"/>
      <x:c r="F1001" s="6" t="str">
        <x:f>IFERROR(XLOOKUP(C1001,'Review Sequence'!C2:C1586,'Review Sequence'!I2:I1586),"")</x:f>
        <x:v>Not Started</x:v>
      </x:c>
      <x:c r="G1001" s="6" t="str">
        <x:f>IFERROR(XLOOKUP(C1001,'Review Sequence'!C2:C1586,'Review Sequence'!J2:J1586),"")</x:f>
        <x:v>Not Started</x:v>
      </x:c>
      <x:c r="H1001" s="7" t="str">
        <x:f>IFERROR(XLOOKUP(C1001,'Review Sequence'!C2:C1586,'Review Sequence'!O2:O1586),"")</x:f>
      </x:c>
      <x:c r="I1001" s="6" t="str">
        <x:f>IFERROR(XLOOKUP(C1001,'Review Sequence'!C2:C1586,'Review Sequence'!P2:P1586),"")</x:f>
        <x:v>Yes</x:v>
      </x:c>
    </x:row>
    <x:row r="1002">
      <x:c r="A1002" s="6" t="str">
        <x:v>BLK-1001</x:v>
      </x:c>
      <x:c r="B1002" s="6" t="str">
        <x:v>Part Requirement</x:v>
      </x:c>
      <x:c r="C1002" s="6" t="str">
        <x:v>PRTX-0044</x:v>
      </x:c>
      <x:c r="D1002" s="6" t="str">
        <x:v>SVC000044</x:v>
      </x:c>
      <x:c r="E1002" s="6" t="str"/>
      <x:c r="F1002" s="6" t="str">
        <x:f>IFERROR(XLOOKUP(C1002,'Review Sequence'!C2:C1586,'Review Sequence'!I2:I1586),"")</x:f>
        <x:v>Not Started</x:v>
      </x:c>
      <x:c r="G1002" s="6" t="str">
        <x:f>IFERROR(XLOOKUP(C1002,'Review Sequence'!C2:C1586,'Review Sequence'!J2:J1586),"")</x:f>
        <x:v>Not Started</x:v>
      </x:c>
      <x:c r="H1002" s="7" t="str">
        <x:f>IFERROR(XLOOKUP(C1002,'Review Sequence'!C2:C1586,'Review Sequence'!O2:O1586),"")</x:f>
      </x:c>
      <x:c r="I1002" s="6" t="str">
        <x:f>IFERROR(XLOOKUP(C1002,'Review Sequence'!C2:C1586,'Review Sequence'!P2:P1586),"")</x:f>
        <x:v>Yes</x:v>
      </x:c>
    </x:row>
    <x:row r="1003">
      <x:c r="A1003" s="6" t="str">
        <x:v>BLK-1002</x:v>
      </x:c>
      <x:c r="B1003" s="6" t="str">
        <x:v>Part Requirement</x:v>
      </x:c>
      <x:c r="C1003" s="6" t="str">
        <x:v>PRTX-0045</x:v>
      </x:c>
      <x:c r="D1003" s="6" t="str">
        <x:v>SVC000045</x:v>
      </x:c>
      <x:c r="E1003" s="6" t="str"/>
      <x:c r="F1003" s="6" t="str">
        <x:f>IFERROR(XLOOKUP(C1003,'Review Sequence'!C2:C1586,'Review Sequence'!I2:I1586),"")</x:f>
        <x:v>Not Started</x:v>
      </x:c>
      <x:c r="G1003" s="6" t="str">
        <x:f>IFERROR(XLOOKUP(C1003,'Review Sequence'!C2:C1586,'Review Sequence'!J2:J1586),"")</x:f>
        <x:v>Not Started</x:v>
      </x:c>
      <x:c r="H1003" s="7" t="str">
        <x:f>IFERROR(XLOOKUP(C1003,'Review Sequence'!C2:C1586,'Review Sequence'!O2:O1586),"")</x:f>
      </x:c>
      <x:c r="I1003" s="6" t="str">
        <x:f>IFERROR(XLOOKUP(C1003,'Review Sequence'!C2:C1586,'Review Sequence'!P2:P1586),"")</x:f>
        <x:v>Yes</x:v>
      </x:c>
    </x:row>
    <x:row r="1004">
      <x:c r="A1004" s="6" t="str">
        <x:v>BLK-1003</x:v>
      </x:c>
      <x:c r="B1004" s="6" t="str">
        <x:v>Part Requirement</x:v>
      </x:c>
      <x:c r="C1004" s="6" t="str">
        <x:v>PRTX-0046</x:v>
      </x:c>
      <x:c r="D1004" s="6" t="str">
        <x:v>SVC000046</x:v>
      </x:c>
      <x:c r="E1004" s="6" t="str"/>
      <x:c r="F1004" s="6" t="str">
        <x:f>IFERROR(XLOOKUP(C1004,'Review Sequence'!C2:C1586,'Review Sequence'!I2:I1586),"")</x:f>
        <x:v>Not Started</x:v>
      </x:c>
      <x:c r="G1004" s="6" t="str">
        <x:f>IFERROR(XLOOKUP(C1004,'Review Sequence'!C2:C1586,'Review Sequence'!J2:J1586),"")</x:f>
        <x:v>Not Started</x:v>
      </x:c>
      <x:c r="H1004" s="7" t="str">
        <x:f>IFERROR(XLOOKUP(C1004,'Review Sequence'!C2:C1586,'Review Sequence'!O2:O1586),"")</x:f>
      </x:c>
      <x:c r="I1004" s="6" t="str">
        <x:f>IFERROR(XLOOKUP(C1004,'Review Sequence'!C2:C1586,'Review Sequence'!P2:P1586),"")</x:f>
        <x:v>Yes</x:v>
      </x:c>
    </x:row>
    <x:row r="1005">
      <x:c r="A1005" s="6" t="str">
        <x:v>BLK-1004</x:v>
      </x:c>
      <x:c r="B1005" s="6" t="str">
        <x:v>Part Requirement</x:v>
      </x:c>
      <x:c r="C1005" s="6" t="str">
        <x:v>PRTX-0047</x:v>
      </x:c>
      <x:c r="D1005" s="6" t="str">
        <x:v>SVC000047</x:v>
      </x:c>
      <x:c r="E1005" s="6" t="str"/>
      <x:c r="F1005" s="6" t="str">
        <x:f>IFERROR(XLOOKUP(C1005,'Review Sequence'!C2:C1586,'Review Sequence'!I2:I1586),"")</x:f>
        <x:v>Not Started</x:v>
      </x:c>
      <x:c r="G1005" s="6" t="str">
        <x:f>IFERROR(XLOOKUP(C1005,'Review Sequence'!C2:C1586,'Review Sequence'!J2:J1586),"")</x:f>
        <x:v>Not Started</x:v>
      </x:c>
      <x:c r="H1005" s="7" t="str">
        <x:f>IFERROR(XLOOKUP(C1005,'Review Sequence'!C2:C1586,'Review Sequence'!O2:O1586),"")</x:f>
      </x:c>
      <x:c r="I1005" s="6" t="str">
        <x:f>IFERROR(XLOOKUP(C1005,'Review Sequence'!C2:C1586,'Review Sequence'!P2:P1586),"")</x:f>
        <x:v>Yes</x:v>
      </x:c>
    </x:row>
    <x:row r="1006">
      <x:c r="A1006" s="6" t="str">
        <x:v>BLK-1005</x:v>
      </x:c>
      <x:c r="B1006" s="6" t="str">
        <x:v>Part Requirement</x:v>
      </x:c>
      <x:c r="C1006" s="6" t="str">
        <x:v>PRTX-0048</x:v>
      </x:c>
      <x:c r="D1006" s="6" t="str">
        <x:v>SVC000048</x:v>
      </x:c>
      <x:c r="E1006" s="6" t="str"/>
      <x:c r="F1006" s="6" t="str">
        <x:f>IFERROR(XLOOKUP(C1006,'Review Sequence'!C2:C1586,'Review Sequence'!I2:I1586),"")</x:f>
        <x:v>Not Started</x:v>
      </x:c>
      <x:c r="G1006" s="6" t="str">
        <x:f>IFERROR(XLOOKUP(C1006,'Review Sequence'!C2:C1586,'Review Sequence'!J2:J1586),"")</x:f>
        <x:v>Not Started</x:v>
      </x:c>
      <x:c r="H1006" s="7" t="str">
        <x:f>IFERROR(XLOOKUP(C1006,'Review Sequence'!C2:C1586,'Review Sequence'!O2:O1586),"")</x:f>
      </x:c>
      <x:c r="I1006" s="6" t="str">
        <x:f>IFERROR(XLOOKUP(C1006,'Review Sequence'!C2:C1586,'Review Sequence'!P2:P1586),"")</x:f>
        <x:v>Yes</x:v>
      </x:c>
    </x:row>
    <x:row r="1007">
      <x:c r="A1007" s="6" t="str">
        <x:v>BLK-1006</x:v>
      </x:c>
      <x:c r="B1007" s="6" t="str">
        <x:v>Part Requirement</x:v>
      </x:c>
      <x:c r="C1007" s="6" t="str">
        <x:v>PRTX-0049</x:v>
      </x:c>
      <x:c r="D1007" s="6" t="str">
        <x:v>SVC000049</x:v>
      </x:c>
      <x:c r="E1007" s="6" t="str"/>
      <x:c r="F1007" s="6" t="str">
        <x:f>IFERROR(XLOOKUP(C1007,'Review Sequence'!C2:C1586,'Review Sequence'!I2:I1586),"")</x:f>
        <x:v>Not Started</x:v>
      </x:c>
      <x:c r="G1007" s="6" t="str">
        <x:f>IFERROR(XLOOKUP(C1007,'Review Sequence'!C2:C1586,'Review Sequence'!J2:J1586),"")</x:f>
        <x:v>Not Started</x:v>
      </x:c>
      <x:c r="H1007" s="7" t="str">
        <x:f>IFERROR(XLOOKUP(C1007,'Review Sequence'!C2:C1586,'Review Sequence'!O2:O1586),"")</x:f>
      </x:c>
      <x:c r="I1007" s="6" t="str">
        <x:f>IFERROR(XLOOKUP(C1007,'Review Sequence'!C2:C1586,'Review Sequence'!P2:P1586),"")</x:f>
        <x:v>Yes</x:v>
      </x:c>
    </x:row>
    <x:row r="1008">
      <x:c r="A1008" s="6" t="str">
        <x:v>BLK-1007</x:v>
      </x:c>
      <x:c r="B1008" s="6" t="str">
        <x:v>Part Requirement</x:v>
      </x:c>
      <x:c r="C1008" s="6" t="str">
        <x:v>PRTX-0050</x:v>
      </x:c>
      <x:c r="D1008" s="6" t="str">
        <x:v>SVC000050</x:v>
      </x:c>
      <x:c r="E1008" s="6" t="str"/>
      <x:c r="F1008" s="6" t="str">
        <x:f>IFERROR(XLOOKUP(C1008,'Review Sequence'!C2:C1586,'Review Sequence'!I2:I1586),"")</x:f>
        <x:v>Not Started</x:v>
      </x:c>
      <x:c r="G1008" s="6" t="str">
        <x:f>IFERROR(XLOOKUP(C1008,'Review Sequence'!C2:C1586,'Review Sequence'!J2:J1586),"")</x:f>
        <x:v>Not Started</x:v>
      </x:c>
      <x:c r="H1008" s="7" t="str">
        <x:f>IFERROR(XLOOKUP(C1008,'Review Sequence'!C2:C1586,'Review Sequence'!O2:O1586),"")</x:f>
      </x:c>
      <x:c r="I1008" s="6" t="str">
        <x:f>IFERROR(XLOOKUP(C1008,'Review Sequence'!C2:C1586,'Review Sequence'!P2:P1586),"")</x:f>
        <x:v>Yes</x:v>
      </x:c>
    </x:row>
    <x:row r="1009">
      <x:c r="A1009" s="6" t="str">
        <x:v>BLK-1008</x:v>
      </x:c>
      <x:c r="B1009" s="6" t="str">
        <x:v>Part Requirement</x:v>
      </x:c>
      <x:c r="C1009" s="6" t="str">
        <x:v>PRTX-0051</x:v>
      </x:c>
      <x:c r="D1009" s="6" t="str">
        <x:v>SVC000051</x:v>
      </x:c>
      <x:c r="E1009" s="6" t="str"/>
      <x:c r="F1009" s="6" t="str">
        <x:f>IFERROR(XLOOKUP(C1009,'Review Sequence'!C2:C1586,'Review Sequence'!I2:I1586),"")</x:f>
        <x:v>Not Started</x:v>
      </x:c>
      <x:c r="G1009" s="6" t="str">
        <x:f>IFERROR(XLOOKUP(C1009,'Review Sequence'!C2:C1586,'Review Sequence'!J2:J1586),"")</x:f>
        <x:v>Not Started</x:v>
      </x:c>
      <x:c r="H1009" s="7" t="str">
        <x:f>IFERROR(XLOOKUP(C1009,'Review Sequence'!C2:C1586,'Review Sequence'!O2:O1586),"")</x:f>
      </x:c>
      <x:c r="I1009" s="6" t="str">
        <x:f>IFERROR(XLOOKUP(C1009,'Review Sequence'!C2:C1586,'Review Sequence'!P2:P1586),"")</x:f>
        <x:v>Yes</x:v>
      </x:c>
    </x:row>
    <x:row r="1010">
      <x:c r="A1010" s="6" t="str">
        <x:v>BLK-1009</x:v>
      </x:c>
      <x:c r="B1010" s="6" t="str">
        <x:v>Part Requirement</x:v>
      </x:c>
      <x:c r="C1010" s="6" t="str">
        <x:v>PRTX-0052</x:v>
      </x:c>
      <x:c r="D1010" s="6" t="str">
        <x:v>SVC000052</x:v>
      </x:c>
      <x:c r="E1010" s="6" t="str"/>
      <x:c r="F1010" s="6" t="str">
        <x:f>IFERROR(XLOOKUP(C1010,'Review Sequence'!C2:C1586,'Review Sequence'!I2:I1586),"")</x:f>
        <x:v>Not Started</x:v>
      </x:c>
      <x:c r="G1010" s="6" t="str">
        <x:f>IFERROR(XLOOKUP(C1010,'Review Sequence'!C2:C1586,'Review Sequence'!J2:J1586),"")</x:f>
        <x:v>Not Started</x:v>
      </x:c>
      <x:c r="H1010" s="7" t="str">
        <x:f>IFERROR(XLOOKUP(C1010,'Review Sequence'!C2:C1586,'Review Sequence'!O2:O1586),"")</x:f>
      </x:c>
      <x:c r="I1010" s="6" t="str">
        <x:f>IFERROR(XLOOKUP(C1010,'Review Sequence'!C2:C1586,'Review Sequence'!P2:P1586),"")</x:f>
        <x:v>Yes</x:v>
      </x:c>
    </x:row>
    <x:row r="1011">
      <x:c r="A1011" s="6" t="str">
        <x:v>BLK-1010</x:v>
      </x:c>
      <x:c r="B1011" s="6" t="str">
        <x:v>Part Requirement</x:v>
      </x:c>
      <x:c r="C1011" s="6" t="str">
        <x:v>PRTX-0053</x:v>
      </x:c>
      <x:c r="D1011" s="6" t="str">
        <x:v>SVC000053</x:v>
      </x:c>
      <x:c r="E1011" s="6" t="str"/>
      <x:c r="F1011" s="6" t="str">
        <x:f>IFERROR(XLOOKUP(C1011,'Review Sequence'!C2:C1586,'Review Sequence'!I2:I1586),"")</x:f>
        <x:v>Not Started</x:v>
      </x:c>
      <x:c r="G1011" s="6" t="str">
        <x:f>IFERROR(XLOOKUP(C1011,'Review Sequence'!C2:C1586,'Review Sequence'!J2:J1586),"")</x:f>
        <x:v>Not Started</x:v>
      </x:c>
      <x:c r="H1011" s="7" t="str">
        <x:f>IFERROR(XLOOKUP(C1011,'Review Sequence'!C2:C1586,'Review Sequence'!O2:O1586),"")</x:f>
      </x:c>
      <x:c r="I1011" s="6" t="str">
        <x:f>IFERROR(XLOOKUP(C1011,'Review Sequence'!C2:C1586,'Review Sequence'!P2:P1586),"")</x:f>
        <x:v>Yes</x:v>
      </x:c>
    </x:row>
    <x:row r="1012">
      <x:c r="A1012" s="6" t="str">
        <x:v>BLK-1011</x:v>
      </x:c>
      <x:c r="B1012" s="6" t="str">
        <x:v>Part Requirement</x:v>
      </x:c>
      <x:c r="C1012" s="6" t="str">
        <x:v>PRTX-0054</x:v>
      </x:c>
      <x:c r="D1012" s="6" t="str">
        <x:v>SVC000054</x:v>
      </x:c>
      <x:c r="E1012" s="6" t="str"/>
      <x:c r="F1012" s="6" t="str">
        <x:f>IFERROR(XLOOKUP(C1012,'Review Sequence'!C2:C1586,'Review Sequence'!I2:I1586),"")</x:f>
        <x:v>Not Started</x:v>
      </x:c>
      <x:c r="G1012" s="6" t="str">
        <x:f>IFERROR(XLOOKUP(C1012,'Review Sequence'!C2:C1586,'Review Sequence'!J2:J1586),"")</x:f>
        <x:v>Not Started</x:v>
      </x:c>
      <x:c r="H1012" s="7" t="str">
        <x:f>IFERROR(XLOOKUP(C1012,'Review Sequence'!C2:C1586,'Review Sequence'!O2:O1586),"")</x:f>
      </x:c>
      <x:c r="I1012" s="6" t="str">
        <x:f>IFERROR(XLOOKUP(C1012,'Review Sequence'!C2:C1586,'Review Sequence'!P2:P1586),"")</x:f>
        <x:v>Yes</x:v>
      </x:c>
    </x:row>
    <x:row r="1013">
      <x:c r="A1013" s="6" t="str">
        <x:v>BLK-1012</x:v>
      </x:c>
      <x:c r="B1013" s="6" t="str">
        <x:v>Part Requirement</x:v>
      </x:c>
      <x:c r="C1013" s="6" t="str">
        <x:v>PRTX-0055</x:v>
      </x:c>
      <x:c r="D1013" s="6" t="str">
        <x:v>SVC000055</x:v>
      </x:c>
      <x:c r="E1013" s="6" t="str"/>
      <x:c r="F1013" s="6" t="str">
        <x:f>IFERROR(XLOOKUP(C1013,'Review Sequence'!C2:C1586,'Review Sequence'!I2:I1586),"")</x:f>
        <x:v>Not Started</x:v>
      </x:c>
      <x:c r="G1013" s="6" t="str">
        <x:f>IFERROR(XLOOKUP(C1013,'Review Sequence'!C2:C1586,'Review Sequence'!J2:J1586),"")</x:f>
        <x:v>Not Started</x:v>
      </x:c>
      <x:c r="H1013" s="7" t="str">
        <x:f>IFERROR(XLOOKUP(C1013,'Review Sequence'!C2:C1586,'Review Sequence'!O2:O1586),"")</x:f>
      </x:c>
      <x:c r="I1013" s="6" t="str">
        <x:f>IFERROR(XLOOKUP(C1013,'Review Sequence'!C2:C1586,'Review Sequence'!P2:P1586),"")</x:f>
        <x:v>Yes</x:v>
      </x:c>
    </x:row>
    <x:row r="1014">
      <x:c r="A1014" s="6" t="str">
        <x:v>BLK-1013</x:v>
      </x:c>
      <x:c r="B1014" s="6" t="str">
        <x:v>Part Requirement</x:v>
      </x:c>
      <x:c r="C1014" s="6" t="str">
        <x:v>PRTX-0056</x:v>
      </x:c>
      <x:c r="D1014" s="6" t="str">
        <x:v>SVC000056</x:v>
      </x:c>
      <x:c r="E1014" s="6" t="str"/>
      <x:c r="F1014" s="6" t="str">
        <x:f>IFERROR(XLOOKUP(C1014,'Review Sequence'!C2:C1586,'Review Sequence'!I2:I1586),"")</x:f>
        <x:v>Not Started</x:v>
      </x:c>
      <x:c r="G1014" s="6" t="str">
        <x:f>IFERROR(XLOOKUP(C1014,'Review Sequence'!C2:C1586,'Review Sequence'!J2:J1586),"")</x:f>
        <x:v>Not Started</x:v>
      </x:c>
      <x:c r="H1014" s="7" t="str">
        <x:f>IFERROR(XLOOKUP(C1014,'Review Sequence'!C2:C1586,'Review Sequence'!O2:O1586),"")</x:f>
      </x:c>
      <x:c r="I1014" s="6" t="str">
        <x:f>IFERROR(XLOOKUP(C1014,'Review Sequence'!C2:C1586,'Review Sequence'!P2:P1586),"")</x:f>
        <x:v>Yes</x:v>
      </x:c>
    </x:row>
    <x:row r="1015">
      <x:c r="A1015" s="6" t="str">
        <x:v>BLK-1014</x:v>
      </x:c>
      <x:c r="B1015" s="6" t="str">
        <x:v>Part Requirement</x:v>
      </x:c>
      <x:c r="C1015" s="6" t="str">
        <x:v>PRTX-0057</x:v>
      </x:c>
      <x:c r="D1015" s="6" t="str">
        <x:v>SVC000057</x:v>
      </x:c>
      <x:c r="E1015" s="6" t="str"/>
      <x:c r="F1015" s="6" t="str">
        <x:f>IFERROR(XLOOKUP(C1015,'Review Sequence'!C2:C1586,'Review Sequence'!I2:I1586),"")</x:f>
        <x:v>Not Started</x:v>
      </x:c>
      <x:c r="G1015" s="6" t="str">
        <x:f>IFERROR(XLOOKUP(C1015,'Review Sequence'!C2:C1586,'Review Sequence'!J2:J1586),"")</x:f>
        <x:v>Not Started</x:v>
      </x:c>
      <x:c r="H1015" s="7" t="str">
        <x:f>IFERROR(XLOOKUP(C1015,'Review Sequence'!C2:C1586,'Review Sequence'!O2:O1586),"")</x:f>
      </x:c>
      <x:c r="I1015" s="6" t="str">
        <x:f>IFERROR(XLOOKUP(C1015,'Review Sequence'!C2:C1586,'Review Sequence'!P2:P1586),"")</x:f>
        <x:v>Yes</x:v>
      </x:c>
    </x:row>
    <x:row r="1016">
      <x:c r="A1016" s="6" t="str">
        <x:v>BLK-1015</x:v>
      </x:c>
      <x:c r="B1016" s="6" t="str">
        <x:v>Part Requirement</x:v>
      </x:c>
      <x:c r="C1016" s="6" t="str">
        <x:v>PRTX-0058</x:v>
      </x:c>
      <x:c r="D1016" s="6" t="str">
        <x:v>SVC000058</x:v>
      </x:c>
      <x:c r="E1016" s="6" t="str"/>
      <x:c r="F1016" s="6" t="str">
        <x:f>IFERROR(XLOOKUP(C1016,'Review Sequence'!C2:C1586,'Review Sequence'!I2:I1586),"")</x:f>
        <x:v>Not Started</x:v>
      </x:c>
      <x:c r="G1016" s="6" t="str">
        <x:f>IFERROR(XLOOKUP(C1016,'Review Sequence'!C2:C1586,'Review Sequence'!J2:J1586),"")</x:f>
        <x:v>Not Started</x:v>
      </x:c>
      <x:c r="H1016" s="7" t="str">
        <x:f>IFERROR(XLOOKUP(C1016,'Review Sequence'!C2:C1586,'Review Sequence'!O2:O1586),"")</x:f>
      </x:c>
      <x:c r="I1016" s="6" t="str">
        <x:f>IFERROR(XLOOKUP(C1016,'Review Sequence'!C2:C1586,'Review Sequence'!P2:P1586),"")</x:f>
        <x:v>Yes</x:v>
      </x:c>
    </x:row>
    <x:row r="1017">
      <x:c r="A1017" s="6" t="str">
        <x:v>BLK-1016</x:v>
      </x:c>
      <x:c r="B1017" s="6" t="str">
        <x:v>Part Requirement</x:v>
      </x:c>
      <x:c r="C1017" s="6" t="str">
        <x:v>PRTX-0059</x:v>
      </x:c>
      <x:c r="D1017" s="6" t="str">
        <x:v>SVC000059</x:v>
      </x:c>
      <x:c r="E1017" s="6" t="str"/>
      <x:c r="F1017" s="6" t="str">
        <x:f>IFERROR(XLOOKUP(C1017,'Review Sequence'!C2:C1586,'Review Sequence'!I2:I1586),"")</x:f>
        <x:v>Not Started</x:v>
      </x:c>
      <x:c r="G1017" s="6" t="str">
        <x:f>IFERROR(XLOOKUP(C1017,'Review Sequence'!C2:C1586,'Review Sequence'!J2:J1586),"")</x:f>
        <x:v>Not Started</x:v>
      </x:c>
      <x:c r="H1017" s="7" t="str">
        <x:f>IFERROR(XLOOKUP(C1017,'Review Sequence'!C2:C1586,'Review Sequence'!O2:O1586),"")</x:f>
      </x:c>
      <x:c r="I1017" s="6" t="str">
        <x:f>IFERROR(XLOOKUP(C1017,'Review Sequence'!C2:C1586,'Review Sequence'!P2:P1586),"")</x:f>
        <x:v>Yes</x:v>
      </x:c>
    </x:row>
    <x:row r="1018">
      <x:c r="A1018" s="6" t="str">
        <x:v>BLK-1017</x:v>
      </x:c>
      <x:c r="B1018" s="6" t="str">
        <x:v>Part Requirement</x:v>
      </x:c>
      <x:c r="C1018" s="6" t="str">
        <x:v>PRTX-0060</x:v>
      </x:c>
      <x:c r="D1018" s="6" t="str">
        <x:v>SVC000060</x:v>
      </x:c>
      <x:c r="E1018" s="6" t="str"/>
      <x:c r="F1018" s="6" t="str">
        <x:f>IFERROR(XLOOKUP(C1018,'Review Sequence'!C2:C1586,'Review Sequence'!I2:I1586),"")</x:f>
        <x:v>Not Started</x:v>
      </x:c>
      <x:c r="G1018" s="6" t="str">
        <x:f>IFERROR(XLOOKUP(C1018,'Review Sequence'!C2:C1586,'Review Sequence'!J2:J1586),"")</x:f>
        <x:v>Not Started</x:v>
      </x:c>
      <x:c r="H1018" s="7" t="str">
        <x:f>IFERROR(XLOOKUP(C1018,'Review Sequence'!C2:C1586,'Review Sequence'!O2:O1586),"")</x:f>
      </x:c>
      <x:c r="I1018" s="6" t="str">
        <x:f>IFERROR(XLOOKUP(C1018,'Review Sequence'!C2:C1586,'Review Sequence'!P2:P1586),"")</x:f>
        <x:v>Yes</x:v>
      </x:c>
    </x:row>
    <x:row r="1019">
      <x:c r="A1019" s="6" t="str">
        <x:v>BLK-1018</x:v>
      </x:c>
      <x:c r="B1019" s="6" t="str">
        <x:v>Part Requirement</x:v>
      </x:c>
      <x:c r="C1019" s="6" t="str">
        <x:v>PRTX-0061</x:v>
      </x:c>
      <x:c r="D1019" s="6" t="str">
        <x:v>SVC000061</x:v>
      </x:c>
      <x:c r="E1019" s="6" t="str"/>
      <x:c r="F1019" s="6" t="str">
        <x:f>IFERROR(XLOOKUP(C1019,'Review Sequence'!C2:C1586,'Review Sequence'!I2:I1586),"")</x:f>
        <x:v>Not Started</x:v>
      </x:c>
      <x:c r="G1019" s="6" t="str">
        <x:f>IFERROR(XLOOKUP(C1019,'Review Sequence'!C2:C1586,'Review Sequence'!J2:J1586),"")</x:f>
        <x:v>Not Started</x:v>
      </x:c>
      <x:c r="H1019" s="7" t="str">
        <x:f>IFERROR(XLOOKUP(C1019,'Review Sequence'!C2:C1586,'Review Sequence'!O2:O1586),"")</x:f>
      </x:c>
      <x:c r="I1019" s="6" t="str">
        <x:f>IFERROR(XLOOKUP(C1019,'Review Sequence'!C2:C1586,'Review Sequence'!P2:P1586),"")</x:f>
        <x:v>Yes</x:v>
      </x:c>
    </x:row>
    <x:row r="1020">
      <x:c r="A1020" s="6" t="str">
        <x:v>BLK-1019</x:v>
      </x:c>
      <x:c r="B1020" s="6" t="str">
        <x:v>Part Requirement</x:v>
      </x:c>
      <x:c r="C1020" s="6" t="str">
        <x:v>PRTX-0062</x:v>
      </x:c>
      <x:c r="D1020" s="6" t="str">
        <x:v>SVC000062</x:v>
      </x:c>
      <x:c r="E1020" s="6" t="str"/>
      <x:c r="F1020" s="6" t="str">
        <x:f>IFERROR(XLOOKUP(C1020,'Review Sequence'!C2:C1586,'Review Sequence'!I2:I1586),"")</x:f>
        <x:v>Not Started</x:v>
      </x:c>
      <x:c r="G1020" s="6" t="str">
        <x:f>IFERROR(XLOOKUP(C1020,'Review Sequence'!C2:C1586,'Review Sequence'!J2:J1586),"")</x:f>
        <x:v>Not Started</x:v>
      </x:c>
      <x:c r="H1020" s="7" t="str">
        <x:f>IFERROR(XLOOKUP(C1020,'Review Sequence'!C2:C1586,'Review Sequence'!O2:O1586),"")</x:f>
      </x:c>
      <x:c r="I1020" s="6" t="str">
        <x:f>IFERROR(XLOOKUP(C1020,'Review Sequence'!C2:C1586,'Review Sequence'!P2:P1586),"")</x:f>
        <x:v>Yes</x:v>
      </x:c>
    </x:row>
    <x:row r="1021">
      <x:c r="A1021" s="6" t="str">
        <x:v>BLK-1020</x:v>
      </x:c>
      <x:c r="B1021" s="6" t="str">
        <x:v>Part Requirement</x:v>
      </x:c>
      <x:c r="C1021" s="6" t="str">
        <x:v>PRTX-0063</x:v>
      </x:c>
      <x:c r="D1021" s="6" t="str">
        <x:v>SVC000063</x:v>
      </x:c>
      <x:c r="E1021" s="6" t="str"/>
      <x:c r="F1021" s="6" t="str">
        <x:f>IFERROR(XLOOKUP(C1021,'Review Sequence'!C2:C1586,'Review Sequence'!I2:I1586),"")</x:f>
        <x:v>Not Started</x:v>
      </x:c>
      <x:c r="G1021" s="6" t="str">
        <x:f>IFERROR(XLOOKUP(C1021,'Review Sequence'!C2:C1586,'Review Sequence'!J2:J1586),"")</x:f>
        <x:v>Not Started</x:v>
      </x:c>
      <x:c r="H1021" s="7" t="str">
        <x:f>IFERROR(XLOOKUP(C1021,'Review Sequence'!C2:C1586,'Review Sequence'!O2:O1586),"")</x:f>
      </x:c>
      <x:c r="I1021" s="6" t="str">
        <x:f>IFERROR(XLOOKUP(C1021,'Review Sequence'!C2:C1586,'Review Sequence'!P2:P1586),"")</x:f>
        <x:v>Yes</x:v>
      </x:c>
    </x:row>
    <x:row r="1022">
      <x:c r="A1022" s="6" t="str">
        <x:v>BLK-1021</x:v>
      </x:c>
      <x:c r="B1022" s="6" t="str">
        <x:v>Part Requirement</x:v>
      </x:c>
      <x:c r="C1022" s="6" t="str">
        <x:v>PRTX-0064</x:v>
      </x:c>
      <x:c r="D1022" s="6" t="str">
        <x:v>SVC000064</x:v>
      </x:c>
      <x:c r="E1022" s="6" t="str"/>
      <x:c r="F1022" s="6" t="str">
        <x:f>IFERROR(XLOOKUP(C1022,'Review Sequence'!C2:C1586,'Review Sequence'!I2:I1586),"")</x:f>
        <x:v>Not Started</x:v>
      </x:c>
      <x:c r="G1022" s="6" t="str">
        <x:f>IFERROR(XLOOKUP(C1022,'Review Sequence'!C2:C1586,'Review Sequence'!J2:J1586),"")</x:f>
        <x:v>Not Started</x:v>
      </x:c>
      <x:c r="H1022" s="7" t="str">
        <x:f>IFERROR(XLOOKUP(C1022,'Review Sequence'!C2:C1586,'Review Sequence'!O2:O1586),"")</x:f>
      </x:c>
      <x:c r="I1022" s="6" t="str">
        <x:f>IFERROR(XLOOKUP(C1022,'Review Sequence'!C2:C1586,'Review Sequence'!P2:P1586),"")</x:f>
        <x:v>Yes</x:v>
      </x:c>
    </x:row>
    <x:row r="1023">
      <x:c r="A1023" s="6" t="str">
        <x:v>BLK-1022</x:v>
      </x:c>
      <x:c r="B1023" s="6" t="str">
        <x:v>Part Requirement</x:v>
      </x:c>
      <x:c r="C1023" s="6" t="str">
        <x:v>PRTX-0065</x:v>
      </x:c>
      <x:c r="D1023" s="6" t="str">
        <x:v>SVC000065</x:v>
      </x:c>
      <x:c r="E1023" s="6" t="str"/>
      <x:c r="F1023" s="6" t="str">
        <x:f>IFERROR(XLOOKUP(C1023,'Review Sequence'!C2:C1586,'Review Sequence'!I2:I1586),"")</x:f>
        <x:v>Not Started</x:v>
      </x:c>
      <x:c r="G1023" s="6" t="str">
        <x:f>IFERROR(XLOOKUP(C1023,'Review Sequence'!C2:C1586,'Review Sequence'!J2:J1586),"")</x:f>
        <x:v>Not Started</x:v>
      </x:c>
      <x:c r="H1023" s="7" t="str">
        <x:f>IFERROR(XLOOKUP(C1023,'Review Sequence'!C2:C1586,'Review Sequence'!O2:O1586),"")</x:f>
      </x:c>
      <x:c r="I1023" s="6" t="str">
        <x:f>IFERROR(XLOOKUP(C1023,'Review Sequence'!C2:C1586,'Review Sequence'!P2:P1586),"")</x:f>
        <x:v>Yes</x:v>
      </x:c>
    </x:row>
    <x:row r="1024">
      <x:c r="A1024" s="6" t="str">
        <x:v>BLK-1023</x:v>
      </x:c>
      <x:c r="B1024" s="6" t="str">
        <x:v>Part Requirement</x:v>
      </x:c>
      <x:c r="C1024" s="6" t="str">
        <x:v>PRTX-0066</x:v>
      </x:c>
      <x:c r="D1024" s="6" t="str">
        <x:v>SVC000066</x:v>
      </x:c>
      <x:c r="E1024" s="6" t="str"/>
      <x:c r="F1024" s="6" t="str">
        <x:f>IFERROR(XLOOKUP(C1024,'Review Sequence'!C2:C1586,'Review Sequence'!I2:I1586),"")</x:f>
        <x:v>Not Started</x:v>
      </x:c>
      <x:c r="G1024" s="6" t="str">
        <x:f>IFERROR(XLOOKUP(C1024,'Review Sequence'!C2:C1586,'Review Sequence'!J2:J1586),"")</x:f>
        <x:v>Not Started</x:v>
      </x:c>
      <x:c r="H1024" s="7" t="str">
        <x:f>IFERROR(XLOOKUP(C1024,'Review Sequence'!C2:C1586,'Review Sequence'!O2:O1586),"")</x:f>
      </x:c>
      <x:c r="I1024" s="6" t="str">
        <x:f>IFERROR(XLOOKUP(C1024,'Review Sequence'!C2:C1586,'Review Sequence'!P2:P1586),"")</x:f>
        <x:v>Yes</x:v>
      </x:c>
    </x:row>
    <x:row r="1025">
      <x:c r="A1025" s="6" t="str">
        <x:v>BLK-1024</x:v>
      </x:c>
      <x:c r="B1025" s="6" t="str">
        <x:v>Part Requirement</x:v>
      </x:c>
      <x:c r="C1025" s="6" t="str">
        <x:v>PRTX-0067</x:v>
      </x:c>
      <x:c r="D1025" s="6" t="str">
        <x:v>SVC000067</x:v>
      </x:c>
      <x:c r="E1025" s="6" t="str"/>
      <x:c r="F1025" s="6" t="str">
        <x:f>IFERROR(XLOOKUP(C1025,'Review Sequence'!C2:C1586,'Review Sequence'!I2:I1586),"")</x:f>
        <x:v>Not Started</x:v>
      </x:c>
      <x:c r="G1025" s="6" t="str">
        <x:f>IFERROR(XLOOKUP(C1025,'Review Sequence'!C2:C1586,'Review Sequence'!J2:J1586),"")</x:f>
        <x:v>Not Started</x:v>
      </x:c>
      <x:c r="H1025" s="7" t="str">
        <x:f>IFERROR(XLOOKUP(C1025,'Review Sequence'!C2:C1586,'Review Sequence'!O2:O1586),"")</x:f>
      </x:c>
      <x:c r="I1025" s="6" t="str">
        <x:f>IFERROR(XLOOKUP(C1025,'Review Sequence'!C2:C1586,'Review Sequence'!P2:P1586),"")</x:f>
        <x:v>Yes</x:v>
      </x:c>
    </x:row>
    <x:row r="1026">
      <x:c r="A1026" s="6" t="str">
        <x:v>BLK-1025</x:v>
      </x:c>
      <x:c r="B1026" s="6" t="str">
        <x:v>Part Requirement</x:v>
      </x:c>
      <x:c r="C1026" s="6" t="str">
        <x:v>PRTX-0068</x:v>
      </x:c>
      <x:c r="D1026" s="6" t="str">
        <x:v>SVC000068</x:v>
      </x:c>
      <x:c r="E1026" s="6" t="str"/>
      <x:c r="F1026" s="6" t="str">
        <x:f>IFERROR(XLOOKUP(C1026,'Review Sequence'!C2:C1586,'Review Sequence'!I2:I1586),"")</x:f>
        <x:v>Not Started</x:v>
      </x:c>
      <x:c r="G1026" s="6" t="str">
        <x:f>IFERROR(XLOOKUP(C1026,'Review Sequence'!C2:C1586,'Review Sequence'!J2:J1586),"")</x:f>
        <x:v>Not Started</x:v>
      </x:c>
      <x:c r="H1026" s="7" t="str">
        <x:f>IFERROR(XLOOKUP(C1026,'Review Sequence'!C2:C1586,'Review Sequence'!O2:O1586),"")</x:f>
      </x:c>
      <x:c r="I1026" s="6" t="str">
        <x:f>IFERROR(XLOOKUP(C1026,'Review Sequence'!C2:C1586,'Review Sequence'!P2:P1586),"")</x:f>
        <x:v>Yes</x:v>
      </x:c>
    </x:row>
    <x:row r="1027">
      <x:c r="A1027" s="6" t="str">
        <x:v>BLK-1026</x:v>
      </x:c>
      <x:c r="B1027" s="6" t="str">
        <x:v>Part Requirement</x:v>
      </x:c>
      <x:c r="C1027" s="6" t="str">
        <x:v>PRTX-0069</x:v>
      </x:c>
      <x:c r="D1027" s="6" t="str">
        <x:v>SVC000069</x:v>
      </x:c>
      <x:c r="E1027" s="6" t="str"/>
      <x:c r="F1027" s="6" t="str">
        <x:f>IFERROR(XLOOKUP(C1027,'Review Sequence'!C2:C1586,'Review Sequence'!I2:I1586),"")</x:f>
        <x:v>Not Started</x:v>
      </x:c>
      <x:c r="G1027" s="6" t="str">
        <x:f>IFERROR(XLOOKUP(C1027,'Review Sequence'!C2:C1586,'Review Sequence'!J2:J1586),"")</x:f>
        <x:v>Not Started</x:v>
      </x:c>
      <x:c r="H1027" s="7" t="str">
        <x:f>IFERROR(XLOOKUP(C1027,'Review Sequence'!C2:C1586,'Review Sequence'!O2:O1586),"")</x:f>
      </x:c>
      <x:c r="I1027" s="6" t="str">
        <x:f>IFERROR(XLOOKUP(C1027,'Review Sequence'!C2:C1586,'Review Sequence'!P2:P1586),"")</x:f>
        <x:v>Yes</x:v>
      </x:c>
    </x:row>
    <x:row r="1028">
      <x:c r="A1028" s="6" t="str">
        <x:v>BLK-1027</x:v>
      </x:c>
      <x:c r="B1028" s="6" t="str">
        <x:v>Part Requirement</x:v>
      </x:c>
      <x:c r="C1028" s="6" t="str">
        <x:v>PRTX-0070</x:v>
      </x:c>
      <x:c r="D1028" s="6" t="str">
        <x:v>SVC000070</x:v>
      </x:c>
      <x:c r="E1028" s="6" t="str"/>
      <x:c r="F1028" s="6" t="str">
        <x:f>IFERROR(XLOOKUP(C1028,'Review Sequence'!C2:C1586,'Review Sequence'!I2:I1586),"")</x:f>
        <x:v>Not Started</x:v>
      </x:c>
      <x:c r="G1028" s="6" t="str">
        <x:f>IFERROR(XLOOKUP(C1028,'Review Sequence'!C2:C1586,'Review Sequence'!J2:J1586),"")</x:f>
        <x:v>Not Started</x:v>
      </x:c>
      <x:c r="H1028" s="7" t="str">
        <x:f>IFERROR(XLOOKUP(C1028,'Review Sequence'!C2:C1586,'Review Sequence'!O2:O1586),"")</x:f>
      </x:c>
      <x:c r="I1028" s="6" t="str">
        <x:f>IFERROR(XLOOKUP(C1028,'Review Sequence'!C2:C1586,'Review Sequence'!P2:P1586),"")</x:f>
        <x:v>Yes</x:v>
      </x:c>
    </x:row>
    <x:row r="1029">
      <x:c r="A1029" s="6" t="str">
        <x:v>BLK-1028</x:v>
      </x:c>
      <x:c r="B1029" s="6" t="str">
        <x:v>Part Requirement</x:v>
      </x:c>
      <x:c r="C1029" s="6" t="str">
        <x:v>PRTX-0071</x:v>
      </x:c>
      <x:c r="D1029" s="6" t="str">
        <x:v>SVC000071</x:v>
      </x:c>
      <x:c r="E1029" s="6" t="str"/>
      <x:c r="F1029" s="6" t="str">
        <x:f>IFERROR(XLOOKUP(C1029,'Review Sequence'!C2:C1586,'Review Sequence'!I2:I1586),"")</x:f>
        <x:v>Not Started</x:v>
      </x:c>
      <x:c r="G1029" s="6" t="str">
        <x:f>IFERROR(XLOOKUP(C1029,'Review Sequence'!C2:C1586,'Review Sequence'!J2:J1586),"")</x:f>
        <x:v>Not Started</x:v>
      </x:c>
      <x:c r="H1029" s="7" t="str">
        <x:f>IFERROR(XLOOKUP(C1029,'Review Sequence'!C2:C1586,'Review Sequence'!O2:O1586),"")</x:f>
      </x:c>
      <x:c r="I1029" s="6" t="str">
        <x:f>IFERROR(XLOOKUP(C1029,'Review Sequence'!C2:C1586,'Review Sequence'!P2:P1586),"")</x:f>
        <x:v>Yes</x:v>
      </x:c>
    </x:row>
    <x:row r="1030">
      <x:c r="A1030" s="6" t="str">
        <x:v>BLK-1029</x:v>
      </x:c>
      <x:c r="B1030" s="6" t="str">
        <x:v>Part Requirement</x:v>
      </x:c>
      <x:c r="C1030" s="6" t="str">
        <x:v>PRTX-0072</x:v>
      </x:c>
      <x:c r="D1030" s="6" t="str">
        <x:v>SVC000072</x:v>
      </x:c>
      <x:c r="E1030" s="6" t="str"/>
      <x:c r="F1030" s="6" t="str">
        <x:f>IFERROR(XLOOKUP(C1030,'Review Sequence'!C2:C1586,'Review Sequence'!I2:I1586),"")</x:f>
        <x:v>Not Started</x:v>
      </x:c>
      <x:c r="G1030" s="6" t="str">
        <x:f>IFERROR(XLOOKUP(C1030,'Review Sequence'!C2:C1586,'Review Sequence'!J2:J1586),"")</x:f>
        <x:v>Not Started</x:v>
      </x:c>
      <x:c r="H1030" s="7" t="str">
        <x:f>IFERROR(XLOOKUP(C1030,'Review Sequence'!C2:C1586,'Review Sequence'!O2:O1586),"")</x:f>
      </x:c>
      <x:c r="I1030" s="6" t="str">
        <x:f>IFERROR(XLOOKUP(C1030,'Review Sequence'!C2:C1586,'Review Sequence'!P2:P1586),"")</x:f>
        <x:v>Yes</x:v>
      </x:c>
    </x:row>
    <x:row r="1031">
      <x:c r="A1031" s="6" t="str">
        <x:v>BLK-1030</x:v>
      </x:c>
      <x:c r="B1031" s="6" t="str">
        <x:v>Part Requirement</x:v>
      </x:c>
      <x:c r="C1031" s="6" t="str">
        <x:v>PRTX-0073</x:v>
      </x:c>
      <x:c r="D1031" s="6" t="str">
        <x:v>SVC000073</x:v>
      </x:c>
      <x:c r="E1031" s="6" t="str"/>
      <x:c r="F1031" s="6" t="str">
        <x:f>IFERROR(XLOOKUP(C1031,'Review Sequence'!C2:C1586,'Review Sequence'!I2:I1586),"")</x:f>
        <x:v>Not Started</x:v>
      </x:c>
      <x:c r="G1031" s="6" t="str">
        <x:f>IFERROR(XLOOKUP(C1031,'Review Sequence'!C2:C1586,'Review Sequence'!J2:J1586),"")</x:f>
        <x:v>Not Started</x:v>
      </x:c>
      <x:c r="H1031" s="7" t="str">
        <x:f>IFERROR(XLOOKUP(C1031,'Review Sequence'!C2:C1586,'Review Sequence'!O2:O1586),"")</x:f>
      </x:c>
      <x:c r="I1031" s="6" t="str">
        <x:f>IFERROR(XLOOKUP(C1031,'Review Sequence'!C2:C1586,'Review Sequence'!P2:P1586),"")</x:f>
        <x:v>Yes</x:v>
      </x:c>
    </x:row>
    <x:row r="1032">
      <x:c r="A1032" s="6" t="str">
        <x:v>BLK-1031</x:v>
      </x:c>
      <x:c r="B1032" s="6" t="str">
        <x:v>Part Requirement</x:v>
      </x:c>
      <x:c r="C1032" s="6" t="str">
        <x:v>PRTX-0074</x:v>
      </x:c>
      <x:c r="D1032" s="6" t="str">
        <x:v>SVC000074</x:v>
      </x:c>
      <x:c r="E1032" s="6" t="str"/>
      <x:c r="F1032" s="6" t="str">
        <x:f>IFERROR(XLOOKUP(C1032,'Review Sequence'!C2:C1586,'Review Sequence'!I2:I1586),"")</x:f>
        <x:v>Not Started</x:v>
      </x:c>
      <x:c r="G1032" s="6" t="str">
        <x:f>IFERROR(XLOOKUP(C1032,'Review Sequence'!C2:C1586,'Review Sequence'!J2:J1586),"")</x:f>
        <x:v>Not Started</x:v>
      </x:c>
      <x:c r="H1032" s="7" t="str">
        <x:f>IFERROR(XLOOKUP(C1032,'Review Sequence'!C2:C1586,'Review Sequence'!O2:O1586),"")</x:f>
      </x:c>
      <x:c r="I1032" s="6" t="str">
        <x:f>IFERROR(XLOOKUP(C1032,'Review Sequence'!C2:C1586,'Review Sequence'!P2:P1586),"")</x:f>
        <x:v>Yes</x:v>
      </x:c>
    </x:row>
    <x:row r="1033">
      <x:c r="A1033" s="6" t="str">
        <x:v>BLK-1032</x:v>
      </x:c>
      <x:c r="B1033" s="6" t="str">
        <x:v>Part Requirement</x:v>
      </x:c>
      <x:c r="C1033" s="6" t="str">
        <x:v>PRTX-0075</x:v>
      </x:c>
      <x:c r="D1033" s="6" t="str">
        <x:v>SVC000075</x:v>
      </x:c>
      <x:c r="E1033" s="6" t="str"/>
      <x:c r="F1033" s="6" t="str">
        <x:f>IFERROR(XLOOKUP(C1033,'Review Sequence'!C2:C1586,'Review Sequence'!I2:I1586),"")</x:f>
        <x:v>Not Started</x:v>
      </x:c>
      <x:c r="G1033" s="6" t="str">
        <x:f>IFERROR(XLOOKUP(C1033,'Review Sequence'!C2:C1586,'Review Sequence'!J2:J1586),"")</x:f>
        <x:v>Not Started</x:v>
      </x:c>
      <x:c r="H1033" s="7" t="str">
        <x:f>IFERROR(XLOOKUP(C1033,'Review Sequence'!C2:C1586,'Review Sequence'!O2:O1586),"")</x:f>
      </x:c>
      <x:c r="I1033" s="6" t="str">
        <x:f>IFERROR(XLOOKUP(C1033,'Review Sequence'!C2:C1586,'Review Sequence'!P2:P1586),"")</x:f>
        <x:v>Yes</x:v>
      </x:c>
    </x:row>
    <x:row r="1034">
      <x:c r="A1034" s="6" t="str">
        <x:v>BLK-1033</x:v>
      </x:c>
      <x:c r="B1034" s="6" t="str">
        <x:v>Part Requirement</x:v>
      </x:c>
      <x:c r="C1034" s="6" t="str">
        <x:v>PRTX-0076</x:v>
      </x:c>
      <x:c r="D1034" s="6" t="str">
        <x:v>SVC000076</x:v>
      </x:c>
      <x:c r="E1034" s="6" t="str"/>
      <x:c r="F1034" s="6" t="str">
        <x:f>IFERROR(XLOOKUP(C1034,'Review Sequence'!C2:C1586,'Review Sequence'!I2:I1586),"")</x:f>
        <x:v>Not Started</x:v>
      </x:c>
      <x:c r="G1034" s="6" t="str">
        <x:f>IFERROR(XLOOKUP(C1034,'Review Sequence'!C2:C1586,'Review Sequence'!J2:J1586),"")</x:f>
        <x:v>Not Started</x:v>
      </x:c>
      <x:c r="H1034" s="7" t="str">
        <x:f>IFERROR(XLOOKUP(C1034,'Review Sequence'!C2:C1586,'Review Sequence'!O2:O1586),"")</x:f>
      </x:c>
      <x:c r="I1034" s="6" t="str">
        <x:f>IFERROR(XLOOKUP(C1034,'Review Sequence'!C2:C1586,'Review Sequence'!P2:P1586),"")</x:f>
        <x:v>Yes</x:v>
      </x:c>
    </x:row>
    <x:row r="1035">
      <x:c r="A1035" s="6" t="str">
        <x:v>BLK-1034</x:v>
      </x:c>
      <x:c r="B1035" s="6" t="str">
        <x:v>Part Requirement</x:v>
      </x:c>
      <x:c r="C1035" s="6" t="str">
        <x:v>PRTX-0077</x:v>
      </x:c>
      <x:c r="D1035" s="6" t="str">
        <x:v>SVC000077</x:v>
      </x:c>
      <x:c r="E1035" s="6" t="str"/>
      <x:c r="F1035" s="6" t="str">
        <x:f>IFERROR(XLOOKUP(C1035,'Review Sequence'!C2:C1586,'Review Sequence'!I2:I1586),"")</x:f>
        <x:v>Not Started</x:v>
      </x:c>
      <x:c r="G1035" s="6" t="str">
        <x:f>IFERROR(XLOOKUP(C1035,'Review Sequence'!C2:C1586,'Review Sequence'!J2:J1586),"")</x:f>
        <x:v>Not Started</x:v>
      </x:c>
      <x:c r="H1035" s="7" t="str">
        <x:f>IFERROR(XLOOKUP(C1035,'Review Sequence'!C2:C1586,'Review Sequence'!O2:O1586),"")</x:f>
      </x:c>
      <x:c r="I1035" s="6" t="str">
        <x:f>IFERROR(XLOOKUP(C1035,'Review Sequence'!C2:C1586,'Review Sequence'!P2:P1586),"")</x:f>
        <x:v>Yes</x:v>
      </x:c>
    </x:row>
    <x:row r="1036">
      <x:c r="A1036" s="6" t="str">
        <x:v>BLK-1035</x:v>
      </x:c>
      <x:c r="B1036" s="6" t="str">
        <x:v>Part Requirement</x:v>
      </x:c>
      <x:c r="C1036" s="6" t="str">
        <x:v>PRTX-0078</x:v>
      </x:c>
      <x:c r="D1036" s="6" t="str">
        <x:v>SVC000078</x:v>
      </x:c>
      <x:c r="E1036" s="6" t="str"/>
      <x:c r="F1036" s="6" t="str">
        <x:f>IFERROR(XLOOKUP(C1036,'Review Sequence'!C2:C1586,'Review Sequence'!I2:I1586),"")</x:f>
        <x:v>Not Started</x:v>
      </x:c>
      <x:c r="G1036" s="6" t="str">
        <x:f>IFERROR(XLOOKUP(C1036,'Review Sequence'!C2:C1586,'Review Sequence'!J2:J1586),"")</x:f>
        <x:v>Not Started</x:v>
      </x:c>
      <x:c r="H1036" s="7" t="str">
        <x:f>IFERROR(XLOOKUP(C1036,'Review Sequence'!C2:C1586,'Review Sequence'!O2:O1586),"")</x:f>
      </x:c>
      <x:c r="I1036" s="6" t="str">
        <x:f>IFERROR(XLOOKUP(C1036,'Review Sequence'!C2:C1586,'Review Sequence'!P2:P1586),"")</x:f>
        <x:v>Yes</x:v>
      </x:c>
    </x:row>
    <x:row r="1037">
      <x:c r="A1037" s="6" t="str">
        <x:v>BLK-1036</x:v>
      </x:c>
      <x:c r="B1037" s="6" t="str">
        <x:v>Part Requirement</x:v>
      </x:c>
      <x:c r="C1037" s="6" t="str">
        <x:v>PRTX-0079</x:v>
      </x:c>
      <x:c r="D1037" s="6" t="str">
        <x:v>SVC000079</x:v>
      </x:c>
      <x:c r="E1037" s="6" t="str"/>
      <x:c r="F1037" s="6" t="str">
        <x:f>IFERROR(XLOOKUP(C1037,'Review Sequence'!C2:C1586,'Review Sequence'!I2:I1586),"")</x:f>
        <x:v>Not Started</x:v>
      </x:c>
      <x:c r="G1037" s="6" t="str">
        <x:f>IFERROR(XLOOKUP(C1037,'Review Sequence'!C2:C1586,'Review Sequence'!J2:J1586),"")</x:f>
        <x:v>Not Started</x:v>
      </x:c>
      <x:c r="H1037" s="7" t="str">
        <x:f>IFERROR(XLOOKUP(C1037,'Review Sequence'!C2:C1586,'Review Sequence'!O2:O1586),"")</x:f>
      </x:c>
      <x:c r="I1037" s="6" t="str">
        <x:f>IFERROR(XLOOKUP(C1037,'Review Sequence'!C2:C1586,'Review Sequence'!P2:P1586),"")</x:f>
        <x:v>Yes</x:v>
      </x:c>
    </x:row>
    <x:row r="1038">
      <x:c r="A1038" s="6" t="str">
        <x:v>BLK-1037</x:v>
      </x:c>
      <x:c r="B1038" s="6" t="str">
        <x:v>Part Requirement</x:v>
      </x:c>
      <x:c r="C1038" s="6" t="str">
        <x:v>PRTX-0080</x:v>
      </x:c>
      <x:c r="D1038" s="6" t="str">
        <x:v>SVC000080</x:v>
      </x:c>
      <x:c r="E1038" s="6" t="str"/>
      <x:c r="F1038" s="6" t="str">
        <x:f>IFERROR(XLOOKUP(C1038,'Review Sequence'!C2:C1586,'Review Sequence'!I2:I1586),"")</x:f>
        <x:v>Not Started</x:v>
      </x:c>
      <x:c r="G1038" s="6" t="str">
        <x:f>IFERROR(XLOOKUP(C1038,'Review Sequence'!C2:C1586,'Review Sequence'!J2:J1586),"")</x:f>
        <x:v>Not Started</x:v>
      </x:c>
      <x:c r="H1038" s="7" t="str">
        <x:f>IFERROR(XLOOKUP(C1038,'Review Sequence'!C2:C1586,'Review Sequence'!O2:O1586),"")</x:f>
      </x:c>
      <x:c r="I1038" s="6" t="str">
        <x:f>IFERROR(XLOOKUP(C1038,'Review Sequence'!C2:C1586,'Review Sequence'!P2:P1586),"")</x:f>
        <x:v>Yes</x:v>
      </x:c>
    </x:row>
    <x:row r="1039">
      <x:c r="A1039" s="6" t="str">
        <x:v>BLK-1038</x:v>
      </x:c>
      <x:c r="B1039" s="6" t="str">
        <x:v>Part Requirement</x:v>
      </x:c>
      <x:c r="C1039" s="6" t="str">
        <x:v>PRTX-0081</x:v>
      </x:c>
      <x:c r="D1039" s="6" t="str">
        <x:v>SVC000081</x:v>
      </x:c>
      <x:c r="E1039" s="6" t="str"/>
      <x:c r="F1039" s="6" t="str">
        <x:f>IFERROR(XLOOKUP(C1039,'Review Sequence'!C2:C1586,'Review Sequence'!I2:I1586),"")</x:f>
        <x:v>Not Started</x:v>
      </x:c>
      <x:c r="G1039" s="6" t="str">
        <x:f>IFERROR(XLOOKUP(C1039,'Review Sequence'!C2:C1586,'Review Sequence'!J2:J1586),"")</x:f>
        <x:v>Not Started</x:v>
      </x:c>
      <x:c r="H1039" s="7" t="str">
        <x:f>IFERROR(XLOOKUP(C1039,'Review Sequence'!C2:C1586,'Review Sequence'!O2:O1586),"")</x:f>
      </x:c>
      <x:c r="I1039" s="6" t="str">
        <x:f>IFERROR(XLOOKUP(C1039,'Review Sequence'!C2:C1586,'Review Sequence'!P2:P1586),"")</x:f>
        <x:v>Yes</x:v>
      </x:c>
    </x:row>
    <x:row r="1040">
      <x:c r="A1040" s="6" t="str">
        <x:v>BLK-1039</x:v>
      </x:c>
      <x:c r="B1040" s="6" t="str">
        <x:v>Part Requirement</x:v>
      </x:c>
      <x:c r="C1040" s="6" t="str">
        <x:v>PRTX-0082</x:v>
      </x:c>
      <x:c r="D1040" s="6" t="str">
        <x:v>SVC000082</x:v>
      </x:c>
      <x:c r="E1040" s="6" t="str"/>
      <x:c r="F1040" s="6" t="str">
        <x:f>IFERROR(XLOOKUP(C1040,'Review Sequence'!C2:C1586,'Review Sequence'!I2:I1586),"")</x:f>
        <x:v>Not Started</x:v>
      </x:c>
      <x:c r="G1040" s="6" t="str">
        <x:f>IFERROR(XLOOKUP(C1040,'Review Sequence'!C2:C1586,'Review Sequence'!J2:J1586),"")</x:f>
        <x:v>Not Started</x:v>
      </x:c>
      <x:c r="H1040" s="7" t="str">
        <x:f>IFERROR(XLOOKUP(C1040,'Review Sequence'!C2:C1586,'Review Sequence'!O2:O1586),"")</x:f>
      </x:c>
      <x:c r="I1040" s="6" t="str">
        <x:f>IFERROR(XLOOKUP(C1040,'Review Sequence'!C2:C1586,'Review Sequence'!P2:P1586),"")</x:f>
        <x:v>Yes</x:v>
      </x:c>
    </x:row>
    <x:row r="1041">
      <x:c r="A1041" s="6" t="str">
        <x:v>BLK-1040</x:v>
      </x:c>
      <x:c r="B1041" s="6" t="str">
        <x:v>Part Requirement</x:v>
      </x:c>
      <x:c r="C1041" s="6" t="str">
        <x:v>PRTX-0083</x:v>
      </x:c>
      <x:c r="D1041" s="6" t="str">
        <x:v>SVC000083</x:v>
      </x:c>
      <x:c r="E1041" s="6" t="str"/>
      <x:c r="F1041" s="6" t="str">
        <x:f>IFERROR(XLOOKUP(C1041,'Review Sequence'!C2:C1586,'Review Sequence'!I2:I1586),"")</x:f>
        <x:v>Not Started</x:v>
      </x:c>
      <x:c r="G1041" s="6" t="str">
        <x:f>IFERROR(XLOOKUP(C1041,'Review Sequence'!C2:C1586,'Review Sequence'!J2:J1586),"")</x:f>
        <x:v>Not Started</x:v>
      </x:c>
      <x:c r="H1041" s="7" t="str">
        <x:f>IFERROR(XLOOKUP(C1041,'Review Sequence'!C2:C1586,'Review Sequence'!O2:O1586),"")</x:f>
      </x:c>
      <x:c r="I1041" s="6" t="str">
        <x:f>IFERROR(XLOOKUP(C1041,'Review Sequence'!C2:C1586,'Review Sequence'!P2:P1586),"")</x:f>
        <x:v>Yes</x:v>
      </x:c>
    </x:row>
    <x:row r="1042">
      <x:c r="A1042" s="6" t="str">
        <x:v>BLK-1041</x:v>
      </x:c>
      <x:c r="B1042" s="6" t="str">
        <x:v>Part Requirement</x:v>
      </x:c>
      <x:c r="C1042" s="6" t="str">
        <x:v>PRTX-0084</x:v>
      </x:c>
      <x:c r="D1042" s="6" t="str">
        <x:v>SVC000084</x:v>
      </x:c>
      <x:c r="E1042" s="6" t="str"/>
      <x:c r="F1042" s="6" t="str">
        <x:f>IFERROR(XLOOKUP(C1042,'Review Sequence'!C2:C1586,'Review Sequence'!I2:I1586),"")</x:f>
        <x:v>Not Started</x:v>
      </x:c>
      <x:c r="G1042" s="6" t="str">
        <x:f>IFERROR(XLOOKUP(C1042,'Review Sequence'!C2:C1586,'Review Sequence'!J2:J1586),"")</x:f>
        <x:v>Not Started</x:v>
      </x:c>
      <x:c r="H1042" s="7" t="str">
        <x:f>IFERROR(XLOOKUP(C1042,'Review Sequence'!C2:C1586,'Review Sequence'!O2:O1586),"")</x:f>
      </x:c>
      <x:c r="I1042" s="6" t="str">
        <x:f>IFERROR(XLOOKUP(C1042,'Review Sequence'!C2:C1586,'Review Sequence'!P2:P1586),"")</x:f>
        <x:v>Yes</x:v>
      </x:c>
    </x:row>
    <x:row r="1043">
      <x:c r="A1043" s="6" t="str">
        <x:v>BLK-1042</x:v>
      </x:c>
      <x:c r="B1043" s="6" t="str">
        <x:v>Part Requirement</x:v>
      </x:c>
      <x:c r="C1043" s="6" t="str">
        <x:v>PRTX-0085</x:v>
      </x:c>
      <x:c r="D1043" s="6" t="str">
        <x:v>SVC000085</x:v>
      </x:c>
      <x:c r="E1043" s="6" t="str"/>
      <x:c r="F1043" s="6" t="str">
        <x:f>IFERROR(XLOOKUP(C1043,'Review Sequence'!C2:C1586,'Review Sequence'!I2:I1586),"")</x:f>
        <x:v>Not Started</x:v>
      </x:c>
      <x:c r="G1043" s="6" t="str">
        <x:f>IFERROR(XLOOKUP(C1043,'Review Sequence'!C2:C1586,'Review Sequence'!J2:J1586),"")</x:f>
        <x:v>Not Started</x:v>
      </x:c>
      <x:c r="H1043" s="7" t="str">
        <x:f>IFERROR(XLOOKUP(C1043,'Review Sequence'!C2:C1586,'Review Sequence'!O2:O1586),"")</x:f>
      </x:c>
      <x:c r="I1043" s="6" t="str">
        <x:f>IFERROR(XLOOKUP(C1043,'Review Sequence'!C2:C1586,'Review Sequence'!P2:P1586),"")</x:f>
        <x:v>Yes</x:v>
      </x:c>
    </x:row>
    <x:row r="1044">
      <x:c r="A1044" s="6" t="str">
        <x:v>BLK-1043</x:v>
      </x:c>
      <x:c r="B1044" s="6" t="str">
        <x:v>Part Requirement</x:v>
      </x:c>
      <x:c r="C1044" s="6" t="str">
        <x:v>PRTX-0086</x:v>
      </x:c>
      <x:c r="D1044" s="6" t="str">
        <x:v>SVC000086</x:v>
      </x:c>
      <x:c r="E1044" s="6" t="str"/>
      <x:c r="F1044" s="6" t="str">
        <x:f>IFERROR(XLOOKUP(C1044,'Review Sequence'!C2:C1586,'Review Sequence'!I2:I1586),"")</x:f>
        <x:v>Not Started</x:v>
      </x:c>
      <x:c r="G1044" s="6" t="str">
        <x:f>IFERROR(XLOOKUP(C1044,'Review Sequence'!C2:C1586,'Review Sequence'!J2:J1586),"")</x:f>
        <x:v>Not Started</x:v>
      </x:c>
      <x:c r="H1044" s="7" t="str">
        <x:f>IFERROR(XLOOKUP(C1044,'Review Sequence'!C2:C1586,'Review Sequence'!O2:O1586),"")</x:f>
      </x:c>
      <x:c r="I1044" s="6" t="str">
        <x:f>IFERROR(XLOOKUP(C1044,'Review Sequence'!C2:C1586,'Review Sequence'!P2:P1586),"")</x:f>
        <x:v>Yes</x:v>
      </x:c>
    </x:row>
    <x:row r="1045">
      <x:c r="A1045" s="6" t="str">
        <x:v>BLK-1044</x:v>
      </x:c>
      <x:c r="B1045" s="6" t="str">
        <x:v>Part Requirement</x:v>
      </x:c>
      <x:c r="C1045" s="6" t="str">
        <x:v>PRTX-0087</x:v>
      </x:c>
      <x:c r="D1045" s="6" t="str">
        <x:v>SVC000087</x:v>
      </x:c>
      <x:c r="E1045" s="6" t="str"/>
      <x:c r="F1045" s="6" t="str">
        <x:f>IFERROR(XLOOKUP(C1045,'Review Sequence'!C2:C1586,'Review Sequence'!I2:I1586),"")</x:f>
        <x:v>Not Started</x:v>
      </x:c>
      <x:c r="G1045" s="6" t="str">
        <x:f>IFERROR(XLOOKUP(C1045,'Review Sequence'!C2:C1586,'Review Sequence'!J2:J1586),"")</x:f>
        <x:v>Not Started</x:v>
      </x:c>
      <x:c r="H1045" s="7" t="str">
        <x:f>IFERROR(XLOOKUP(C1045,'Review Sequence'!C2:C1586,'Review Sequence'!O2:O1586),"")</x:f>
      </x:c>
      <x:c r="I1045" s="6" t="str">
        <x:f>IFERROR(XLOOKUP(C1045,'Review Sequence'!C2:C1586,'Review Sequence'!P2:P1586),"")</x:f>
        <x:v>Yes</x:v>
      </x:c>
    </x:row>
    <x:row r="1046">
      <x:c r="A1046" s="6" t="str">
        <x:v>BLK-1045</x:v>
      </x:c>
      <x:c r="B1046" s="6" t="str">
        <x:v>Part Requirement</x:v>
      </x:c>
      <x:c r="C1046" s="6" t="str">
        <x:v>PRTX-0088</x:v>
      </x:c>
      <x:c r="D1046" s="6" t="str">
        <x:v>SVC000088</x:v>
      </x:c>
      <x:c r="E1046" s="6" t="str"/>
      <x:c r="F1046" s="6" t="str">
        <x:f>IFERROR(XLOOKUP(C1046,'Review Sequence'!C2:C1586,'Review Sequence'!I2:I1586),"")</x:f>
        <x:v>Not Started</x:v>
      </x:c>
      <x:c r="G1046" s="6" t="str">
        <x:f>IFERROR(XLOOKUP(C1046,'Review Sequence'!C2:C1586,'Review Sequence'!J2:J1586),"")</x:f>
        <x:v>Not Started</x:v>
      </x:c>
      <x:c r="H1046" s="7" t="str">
        <x:f>IFERROR(XLOOKUP(C1046,'Review Sequence'!C2:C1586,'Review Sequence'!O2:O1586),"")</x:f>
      </x:c>
      <x:c r="I1046" s="6" t="str">
        <x:f>IFERROR(XLOOKUP(C1046,'Review Sequence'!C2:C1586,'Review Sequence'!P2:P1586),"")</x:f>
        <x:v>Yes</x:v>
      </x:c>
    </x:row>
    <x:row r="1047">
      <x:c r="A1047" s="6" t="str">
        <x:v>BLK-1046</x:v>
      </x:c>
      <x:c r="B1047" s="6" t="str">
        <x:v>Part Requirement</x:v>
      </x:c>
      <x:c r="C1047" s="6" t="str">
        <x:v>PRTX-0089</x:v>
      </x:c>
      <x:c r="D1047" s="6" t="str">
        <x:v>SVC000089</x:v>
      </x:c>
      <x:c r="E1047" s="6" t="str"/>
      <x:c r="F1047" s="6" t="str">
        <x:f>IFERROR(XLOOKUP(C1047,'Review Sequence'!C2:C1586,'Review Sequence'!I2:I1586),"")</x:f>
        <x:v>Not Started</x:v>
      </x:c>
      <x:c r="G1047" s="6" t="str">
        <x:f>IFERROR(XLOOKUP(C1047,'Review Sequence'!C2:C1586,'Review Sequence'!J2:J1586),"")</x:f>
        <x:v>Not Started</x:v>
      </x:c>
      <x:c r="H1047" s="7" t="str">
        <x:f>IFERROR(XLOOKUP(C1047,'Review Sequence'!C2:C1586,'Review Sequence'!O2:O1586),"")</x:f>
      </x:c>
      <x:c r="I1047" s="6" t="str">
        <x:f>IFERROR(XLOOKUP(C1047,'Review Sequence'!C2:C1586,'Review Sequence'!P2:P1586),"")</x:f>
        <x:v>Yes</x:v>
      </x:c>
    </x:row>
    <x:row r="1048">
      <x:c r="A1048" s="6" t="str">
        <x:v>BLK-1047</x:v>
      </x:c>
      <x:c r="B1048" s="6" t="str">
        <x:v>Part Requirement</x:v>
      </x:c>
      <x:c r="C1048" s="6" t="str">
        <x:v>PRTX-0090</x:v>
      </x:c>
      <x:c r="D1048" s="6" t="str">
        <x:v>SVC000090</x:v>
      </x:c>
      <x:c r="E1048" s="6" t="str"/>
      <x:c r="F1048" s="6" t="str">
        <x:f>IFERROR(XLOOKUP(C1048,'Review Sequence'!C2:C1586,'Review Sequence'!I2:I1586),"")</x:f>
        <x:v>Not Started</x:v>
      </x:c>
      <x:c r="G1048" s="6" t="str">
        <x:f>IFERROR(XLOOKUP(C1048,'Review Sequence'!C2:C1586,'Review Sequence'!J2:J1586),"")</x:f>
        <x:v>Not Started</x:v>
      </x:c>
      <x:c r="H1048" s="7" t="str">
        <x:f>IFERROR(XLOOKUP(C1048,'Review Sequence'!C2:C1586,'Review Sequence'!O2:O1586),"")</x:f>
      </x:c>
      <x:c r="I1048" s="6" t="str">
        <x:f>IFERROR(XLOOKUP(C1048,'Review Sequence'!C2:C1586,'Review Sequence'!P2:P1586),"")</x:f>
        <x:v>Yes</x:v>
      </x:c>
    </x:row>
    <x:row r="1049">
      <x:c r="A1049" s="6" t="str">
        <x:v>BLK-1048</x:v>
      </x:c>
      <x:c r="B1049" s="6" t="str">
        <x:v>Part Requirement</x:v>
      </x:c>
      <x:c r="C1049" s="6" t="str">
        <x:v>PRTX-0091</x:v>
      </x:c>
      <x:c r="D1049" s="6" t="str">
        <x:v>SVC000091</x:v>
      </x:c>
      <x:c r="E1049" s="6" t="str"/>
      <x:c r="F1049" s="6" t="str">
        <x:f>IFERROR(XLOOKUP(C1049,'Review Sequence'!C2:C1586,'Review Sequence'!I2:I1586),"")</x:f>
        <x:v>Not Started</x:v>
      </x:c>
      <x:c r="G1049" s="6" t="str">
        <x:f>IFERROR(XLOOKUP(C1049,'Review Sequence'!C2:C1586,'Review Sequence'!J2:J1586),"")</x:f>
        <x:v>Not Started</x:v>
      </x:c>
      <x:c r="H1049" s="7" t="str">
        <x:f>IFERROR(XLOOKUP(C1049,'Review Sequence'!C2:C1586,'Review Sequence'!O2:O1586),"")</x:f>
      </x:c>
      <x:c r="I1049" s="6" t="str">
        <x:f>IFERROR(XLOOKUP(C1049,'Review Sequence'!C2:C1586,'Review Sequence'!P2:P1586),"")</x:f>
        <x:v>Yes</x:v>
      </x:c>
    </x:row>
    <x:row r="1050">
      <x:c r="A1050" s="6" t="str">
        <x:v>BLK-1049</x:v>
      </x:c>
      <x:c r="B1050" s="6" t="str">
        <x:v>Part Requirement</x:v>
      </x:c>
      <x:c r="C1050" s="6" t="str">
        <x:v>PRTX-0092</x:v>
      </x:c>
      <x:c r="D1050" s="6" t="str">
        <x:v>SVC000092</x:v>
      </x:c>
      <x:c r="E1050" s="6" t="str"/>
      <x:c r="F1050" s="6" t="str">
        <x:f>IFERROR(XLOOKUP(C1050,'Review Sequence'!C2:C1586,'Review Sequence'!I2:I1586),"")</x:f>
        <x:v>Not Started</x:v>
      </x:c>
      <x:c r="G1050" s="6" t="str">
        <x:f>IFERROR(XLOOKUP(C1050,'Review Sequence'!C2:C1586,'Review Sequence'!J2:J1586),"")</x:f>
        <x:v>Not Started</x:v>
      </x:c>
      <x:c r="H1050" s="7" t="str">
        <x:f>IFERROR(XLOOKUP(C1050,'Review Sequence'!C2:C1586,'Review Sequence'!O2:O1586),"")</x:f>
      </x:c>
      <x:c r="I1050" s="6" t="str">
        <x:f>IFERROR(XLOOKUP(C1050,'Review Sequence'!C2:C1586,'Review Sequence'!P2:P1586),"")</x:f>
        <x:v>Yes</x:v>
      </x:c>
    </x:row>
    <x:row r="1051">
      <x:c r="A1051" s="6" t="str">
        <x:v>BLK-1050</x:v>
      </x:c>
      <x:c r="B1051" s="6" t="str">
        <x:v>Part Requirement</x:v>
      </x:c>
      <x:c r="C1051" s="6" t="str">
        <x:v>PRTX-0093</x:v>
      </x:c>
      <x:c r="D1051" s="6" t="str">
        <x:v>SVC000093</x:v>
      </x:c>
      <x:c r="E1051" s="6" t="str"/>
      <x:c r="F1051" s="6" t="str">
        <x:f>IFERROR(XLOOKUP(C1051,'Review Sequence'!C2:C1586,'Review Sequence'!I2:I1586),"")</x:f>
        <x:v>Not Started</x:v>
      </x:c>
      <x:c r="G1051" s="6" t="str">
        <x:f>IFERROR(XLOOKUP(C1051,'Review Sequence'!C2:C1586,'Review Sequence'!J2:J1586),"")</x:f>
        <x:v>Not Started</x:v>
      </x:c>
      <x:c r="H1051" s="7" t="str">
        <x:f>IFERROR(XLOOKUP(C1051,'Review Sequence'!C2:C1586,'Review Sequence'!O2:O1586),"")</x:f>
      </x:c>
      <x:c r="I1051" s="6" t="str">
        <x:f>IFERROR(XLOOKUP(C1051,'Review Sequence'!C2:C1586,'Review Sequence'!P2:P1586),"")</x:f>
        <x:v>Yes</x:v>
      </x:c>
    </x:row>
    <x:row r="1052">
      <x:c r="A1052" s="6" t="str">
        <x:v>BLK-1051</x:v>
      </x:c>
      <x:c r="B1052" s="6" t="str">
        <x:v>Part Requirement</x:v>
      </x:c>
      <x:c r="C1052" s="6" t="str">
        <x:v>PRTX-0094</x:v>
      </x:c>
      <x:c r="D1052" s="6" t="str">
        <x:v>SVC000094</x:v>
      </x:c>
      <x:c r="E1052" s="6" t="str"/>
      <x:c r="F1052" s="6" t="str">
        <x:f>IFERROR(XLOOKUP(C1052,'Review Sequence'!C2:C1586,'Review Sequence'!I2:I1586),"")</x:f>
        <x:v>Not Started</x:v>
      </x:c>
      <x:c r="G1052" s="6" t="str">
        <x:f>IFERROR(XLOOKUP(C1052,'Review Sequence'!C2:C1586,'Review Sequence'!J2:J1586),"")</x:f>
        <x:v>Not Started</x:v>
      </x:c>
      <x:c r="H1052" s="7" t="str">
        <x:f>IFERROR(XLOOKUP(C1052,'Review Sequence'!C2:C1586,'Review Sequence'!O2:O1586),"")</x:f>
      </x:c>
      <x:c r="I1052" s="6" t="str">
        <x:f>IFERROR(XLOOKUP(C1052,'Review Sequence'!C2:C1586,'Review Sequence'!P2:P1586),"")</x:f>
        <x:v>Yes</x:v>
      </x:c>
    </x:row>
    <x:row r="1053">
      <x:c r="A1053" s="6" t="str">
        <x:v>BLK-1052</x:v>
      </x:c>
      <x:c r="B1053" s="6" t="str">
        <x:v>Part Requirement</x:v>
      </x:c>
      <x:c r="C1053" s="6" t="str">
        <x:v>PRTX-0095</x:v>
      </x:c>
      <x:c r="D1053" s="6" t="str">
        <x:v>SVC000095</x:v>
      </x:c>
      <x:c r="E1053" s="6" t="str"/>
      <x:c r="F1053" s="6" t="str">
        <x:f>IFERROR(XLOOKUP(C1053,'Review Sequence'!C2:C1586,'Review Sequence'!I2:I1586),"")</x:f>
        <x:v>Not Started</x:v>
      </x:c>
      <x:c r="G1053" s="6" t="str">
        <x:f>IFERROR(XLOOKUP(C1053,'Review Sequence'!C2:C1586,'Review Sequence'!J2:J1586),"")</x:f>
        <x:v>Not Started</x:v>
      </x:c>
      <x:c r="H1053" s="7" t="str">
        <x:f>IFERROR(XLOOKUP(C1053,'Review Sequence'!C2:C1586,'Review Sequence'!O2:O1586),"")</x:f>
      </x:c>
      <x:c r="I1053" s="6" t="str">
        <x:f>IFERROR(XLOOKUP(C1053,'Review Sequence'!C2:C1586,'Review Sequence'!P2:P1586),"")</x:f>
        <x:v>Yes</x:v>
      </x:c>
    </x:row>
    <x:row r="1054">
      <x:c r="A1054" s="6" t="str">
        <x:v>BLK-1053</x:v>
      </x:c>
      <x:c r="B1054" s="6" t="str">
        <x:v>Part Requirement</x:v>
      </x:c>
      <x:c r="C1054" s="6" t="str">
        <x:v>PRTX-0096</x:v>
      </x:c>
      <x:c r="D1054" s="6" t="str">
        <x:v>SVC000096</x:v>
      </x:c>
      <x:c r="E1054" s="6" t="str"/>
      <x:c r="F1054" s="6" t="str">
        <x:f>IFERROR(XLOOKUP(C1054,'Review Sequence'!C2:C1586,'Review Sequence'!I2:I1586),"")</x:f>
        <x:v>Not Started</x:v>
      </x:c>
      <x:c r="G1054" s="6" t="str">
        <x:f>IFERROR(XLOOKUP(C1054,'Review Sequence'!C2:C1586,'Review Sequence'!J2:J1586),"")</x:f>
        <x:v>Not Started</x:v>
      </x:c>
      <x:c r="H1054" s="7" t="str">
        <x:f>IFERROR(XLOOKUP(C1054,'Review Sequence'!C2:C1586,'Review Sequence'!O2:O1586),"")</x:f>
      </x:c>
      <x:c r="I1054" s="6" t="str">
        <x:f>IFERROR(XLOOKUP(C1054,'Review Sequence'!C2:C1586,'Review Sequence'!P2:P1586),"")</x:f>
        <x:v>Yes</x:v>
      </x:c>
    </x:row>
    <x:row r="1055">
      <x:c r="A1055" s="6" t="str">
        <x:v>BLK-1054</x:v>
      </x:c>
      <x:c r="B1055" s="6" t="str">
        <x:v>Part Requirement</x:v>
      </x:c>
      <x:c r="C1055" s="6" t="str">
        <x:v>PRTX-0097</x:v>
      </x:c>
      <x:c r="D1055" s="6" t="str">
        <x:v>SVC000097</x:v>
      </x:c>
      <x:c r="E1055" s="6" t="str"/>
      <x:c r="F1055" s="6" t="str">
        <x:f>IFERROR(XLOOKUP(C1055,'Review Sequence'!C2:C1586,'Review Sequence'!I2:I1586),"")</x:f>
        <x:v>Not Started</x:v>
      </x:c>
      <x:c r="G1055" s="6" t="str">
        <x:f>IFERROR(XLOOKUP(C1055,'Review Sequence'!C2:C1586,'Review Sequence'!J2:J1586),"")</x:f>
        <x:v>Not Started</x:v>
      </x:c>
      <x:c r="H1055" s="7" t="str">
        <x:f>IFERROR(XLOOKUP(C1055,'Review Sequence'!C2:C1586,'Review Sequence'!O2:O1586),"")</x:f>
      </x:c>
      <x:c r="I1055" s="6" t="str">
        <x:f>IFERROR(XLOOKUP(C1055,'Review Sequence'!C2:C1586,'Review Sequence'!P2:P1586),"")</x:f>
        <x:v>Yes</x:v>
      </x:c>
    </x:row>
    <x:row r="1056">
      <x:c r="A1056" s="6" t="str">
        <x:v>BLK-1055</x:v>
      </x:c>
      <x:c r="B1056" s="6" t="str">
        <x:v>Part Requirement</x:v>
      </x:c>
      <x:c r="C1056" s="6" t="str">
        <x:v>PRTX-0098</x:v>
      </x:c>
      <x:c r="D1056" s="6" t="str">
        <x:v>SVC000098</x:v>
      </x:c>
      <x:c r="E1056" s="6" t="str"/>
      <x:c r="F1056" s="6" t="str">
        <x:f>IFERROR(XLOOKUP(C1056,'Review Sequence'!C2:C1586,'Review Sequence'!I2:I1586),"")</x:f>
        <x:v>Not Started</x:v>
      </x:c>
      <x:c r="G1056" s="6" t="str">
        <x:f>IFERROR(XLOOKUP(C1056,'Review Sequence'!C2:C1586,'Review Sequence'!J2:J1586),"")</x:f>
        <x:v>Not Started</x:v>
      </x:c>
      <x:c r="H1056" s="7" t="str">
        <x:f>IFERROR(XLOOKUP(C1056,'Review Sequence'!C2:C1586,'Review Sequence'!O2:O1586),"")</x:f>
      </x:c>
      <x:c r="I1056" s="6" t="str">
        <x:f>IFERROR(XLOOKUP(C1056,'Review Sequence'!C2:C1586,'Review Sequence'!P2:P1586),"")</x:f>
        <x:v>Yes</x:v>
      </x:c>
    </x:row>
    <x:row r="1057">
      <x:c r="A1057" s="6" t="str">
        <x:v>BLK-1056</x:v>
      </x:c>
      <x:c r="B1057" s="6" t="str">
        <x:v>Part Requirement</x:v>
      </x:c>
      <x:c r="C1057" s="6" t="str">
        <x:v>PRTX-0099</x:v>
      </x:c>
      <x:c r="D1057" s="6" t="str">
        <x:v>SVC000099</x:v>
      </x:c>
      <x:c r="E1057" s="6" t="str"/>
      <x:c r="F1057" s="6" t="str">
        <x:f>IFERROR(XLOOKUP(C1057,'Review Sequence'!C2:C1586,'Review Sequence'!I2:I1586),"")</x:f>
        <x:v>Not Started</x:v>
      </x:c>
      <x:c r="G1057" s="6" t="str">
        <x:f>IFERROR(XLOOKUP(C1057,'Review Sequence'!C2:C1586,'Review Sequence'!J2:J1586),"")</x:f>
        <x:v>Not Started</x:v>
      </x:c>
      <x:c r="H1057" s="7" t="str">
        <x:f>IFERROR(XLOOKUP(C1057,'Review Sequence'!C2:C1586,'Review Sequence'!O2:O1586),"")</x:f>
      </x:c>
      <x:c r="I1057" s="6" t="str">
        <x:f>IFERROR(XLOOKUP(C1057,'Review Sequence'!C2:C1586,'Review Sequence'!P2:P1586),"")</x:f>
        <x:v>Yes</x:v>
      </x:c>
    </x:row>
    <x:row r="1058">
      <x:c r="A1058" s="6" t="str">
        <x:v>BLK-1057</x:v>
      </x:c>
      <x:c r="B1058" s="6" t="str">
        <x:v>Part Requirement</x:v>
      </x:c>
      <x:c r="C1058" s="6" t="str">
        <x:v>PRTX-0100</x:v>
      </x:c>
      <x:c r="D1058" s="6" t="str">
        <x:v>SVC000100</x:v>
      </x:c>
      <x:c r="E1058" s="6" t="str"/>
      <x:c r="F1058" s="6" t="str">
        <x:f>IFERROR(XLOOKUP(C1058,'Review Sequence'!C2:C1586,'Review Sequence'!I2:I1586),"")</x:f>
        <x:v>Not Started</x:v>
      </x:c>
      <x:c r="G1058" s="6" t="str">
        <x:f>IFERROR(XLOOKUP(C1058,'Review Sequence'!C2:C1586,'Review Sequence'!J2:J1586),"")</x:f>
        <x:v>Not Started</x:v>
      </x:c>
      <x:c r="H1058" s="7" t="str">
        <x:f>IFERROR(XLOOKUP(C1058,'Review Sequence'!C2:C1586,'Review Sequence'!O2:O1586),"")</x:f>
      </x:c>
      <x:c r="I1058" s="6" t="str">
        <x:f>IFERROR(XLOOKUP(C1058,'Review Sequence'!C2:C1586,'Review Sequence'!P2:P1586),"")</x:f>
        <x:v>Yes</x:v>
      </x:c>
    </x:row>
    <x:row r="1059">
      <x:c r="A1059" s="6" t="str">
        <x:v>BLK-1058</x:v>
      </x:c>
      <x:c r="B1059" s="6" t="str">
        <x:v>Part Requirement</x:v>
      </x:c>
      <x:c r="C1059" s="6" t="str">
        <x:v>PRTX-0101</x:v>
      </x:c>
      <x:c r="D1059" s="6" t="str">
        <x:v>SVC000101</x:v>
      </x:c>
      <x:c r="E1059" s="6" t="str"/>
      <x:c r="F1059" s="6" t="str">
        <x:f>IFERROR(XLOOKUP(C1059,'Review Sequence'!C2:C1586,'Review Sequence'!I2:I1586),"")</x:f>
        <x:v>Not Started</x:v>
      </x:c>
      <x:c r="G1059" s="6" t="str">
        <x:f>IFERROR(XLOOKUP(C1059,'Review Sequence'!C2:C1586,'Review Sequence'!J2:J1586),"")</x:f>
        <x:v>Not Started</x:v>
      </x:c>
      <x:c r="H1059" s="7" t="str">
        <x:f>IFERROR(XLOOKUP(C1059,'Review Sequence'!C2:C1586,'Review Sequence'!O2:O1586),"")</x:f>
      </x:c>
      <x:c r="I1059" s="6" t="str">
        <x:f>IFERROR(XLOOKUP(C1059,'Review Sequence'!C2:C1586,'Review Sequence'!P2:P1586),"")</x:f>
        <x:v>Yes</x:v>
      </x:c>
    </x:row>
    <x:row r="1060">
      <x:c r="A1060" s="6" t="str">
        <x:v>BLK-1059</x:v>
      </x:c>
      <x:c r="B1060" s="6" t="str">
        <x:v>Part Requirement</x:v>
      </x:c>
      <x:c r="C1060" s="6" t="str">
        <x:v>PRTX-0102</x:v>
      </x:c>
      <x:c r="D1060" s="6" t="str">
        <x:v>SVC000102</x:v>
      </x:c>
      <x:c r="E1060" s="6" t="str"/>
      <x:c r="F1060" s="6" t="str">
        <x:f>IFERROR(XLOOKUP(C1060,'Review Sequence'!C2:C1586,'Review Sequence'!I2:I1586),"")</x:f>
        <x:v>Not Started</x:v>
      </x:c>
      <x:c r="G1060" s="6" t="str">
        <x:f>IFERROR(XLOOKUP(C1060,'Review Sequence'!C2:C1586,'Review Sequence'!J2:J1586),"")</x:f>
        <x:v>Not Started</x:v>
      </x:c>
      <x:c r="H1060" s="7" t="str">
        <x:f>IFERROR(XLOOKUP(C1060,'Review Sequence'!C2:C1586,'Review Sequence'!O2:O1586),"")</x:f>
      </x:c>
      <x:c r="I1060" s="6" t="str">
        <x:f>IFERROR(XLOOKUP(C1060,'Review Sequence'!C2:C1586,'Review Sequence'!P2:P1586),"")</x:f>
        <x:v>Yes</x:v>
      </x:c>
    </x:row>
    <x:row r="1061">
      <x:c r="A1061" s="6" t="str">
        <x:v>BLK-1060</x:v>
      </x:c>
      <x:c r="B1061" s="6" t="str">
        <x:v>Part Requirement</x:v>
      </x:c>
      <x:c r="C1061" s="6" t="str">
        <x:v>PRTX-0103</x:v>
      </x:c>
      <x:c r="D1061" s="6" t="str">
        <x:v>SVC000103</x:v>
      </x:c>
      <x:c r="E1061" s="6" t="str"/>
      <x:c r="F1061" s="6" t="str">
        <x:f>IFERROR(XLOOKUP(C1061,'Review Sequence'!C2:C1586,'Review Sequence'!I2:I1586),"")</x:f>
        <x:v>Not Started</x:v>
      </x:c>
      <x:c r="G1061" s="6" t="str">
        <x:f>IFERROR(XLOOKUP(C1061,'Review Sequence'!C2:C1586,'Review Sequence'!J2:J1586),"")</x:f>
        <x:v>Not Started</x:v>
      </x:c>
      <x:c r="H1061" s="7" t="str">
        <x:f>IFERROR(XLOOKUP(C1061,'Review Sequence'!C2:C1586,'Review Sequence'!O2:O1586),"")</x:f>
      </x:c>
      <x:c r="I1061" s="6" t="str">
        <x:f>IFERROR(XLOOKUP(C1061,'Review Sequence'!C2:C1586,'Review Sequence'!P2:P1586),"")</x:f>
        <x:v>Yes</x:v>
      </x:c>
    </x:row>
    <x:row r="1062">
      <x:c r="A1062" s="6" t="str">
        <x:v>BLK-1061</x:v>
      </x:c>
      <x:c r="B1062" s="6" t="str">
        <x:v>Part Requirement</x:v>
      </x:c>
      <x:c r="C1062" s="6" t="str">
        <x:v>PRTX-0104</x:v>
      </x:c>
      <x:c r="D1062" s="6" t="str">
        <x:v>SVC000104</x:v>
      </x:c>
      <x:c r="E1062" s="6" t="str"/>
      <x:c r="F1062" s="6" t="str">
        <x:f>IFERROR(XLOOKUP(C1062,'Review Sequence'!C2:C1586,'Review Sequence'!I2:I1586),"")</x:f>
        <x:v>Not Started</x:v>
      </x:c>
      <x:c r="G1062" s="6" t="str">
        <x:f>IFERROR(XLOOKUP(C1062,'Review Sequence'!C2:C1586,'Review Sequence'!J2:J1586),"")</x:f>
        <x:v>Not Started</x:v>
      </x:c>
      <x:c r="H1062" s="7" t="str">
        <x:f>IFERROR(XLOOKUP(C1062,'Review Sequence'!C2:C1586,'Review Sequence'!O2:O1586),"")</x:f>
      </x:c>
      <x:c r="I1062" s="6" t="str">
        <x:f>IFERROR(XLOOKUP(C1062,'Review Sequence'!C2:C1586,'Review Sequence'!P2:P1586),"")</x:f>
        <x:v>Yes</x:v>
      </x:c>
    </x:row>
    <x:row r="1063">
      <x:c r="A1063" s="6" t="str">
        <x:v>BLK-1062</x:v>
      </x:c>
      <x:c r="B1063" s="6" t="str">
        <x:v>Part Requirement</x:v>
      </x:c>
      <x:c r="C1063" s="6" t="str">
        <x:v>PRTX-0105</x:v>
      </x:c>
      <x:c r="D1063" s="6" t="str">
        <x:v>SVC000105</x:v>
      </x:c>
      <x:c r="E1063" s="6" t="str"/>
      <x:c r="F1063" s="6" t="str">
        <x:f>IFERROR(XLOOKUP(C1063,'Review Sequence'!C2:C1586,'Review Sequence'!I2:I1586),"")</x:f>
        <x:v>Not Started</x:v>
      </x:c>
      <x:c r="G1063" s="6" t="str">
        <x:f>IFERROR(XLOOKUP(C1063,'Review Sequence'!C2:C1586,'Review Sequence'!J2:J1586),"")</x:f>
        <x:v>Not Started</x:v>
      </x:c>
      <x:c r="H1063" s="7" t="str">
        <x:f>IFERROR(XLOOKUP(C1063,'Review Sequence'!C2:C1586,'Review Sequence'!O2:O1586),"")</x:f>
      </x:c>
      <x:c r="I1063" s="6" t="str">
        <x:f>IFERROR(XLOOKUP(C1063,'Review Sequence'!C2:C1586,'Review Sequence'!P2:P1586),"")</x:f>
        <x:v>Yes</x:v>
      </x:c>
    </x:row>
    <x:row r="1064">
      <x:c r="A1064" s="6" t="str">
        <x:v>BLK-1063</x:v>
      </x:c>
      <x:c r="B1064" s="6" t="str">
        <x:v>Part Requirement</x:v>
      </x:c>
      <x:c r="C1064" s="6" t="str">
        <x:v>PRTX-0106</x:v>
      </x:c>
      <x:c r="D1064" s="6" t="str">
        <x:v>SVC000106</x:v>
      </x:c>
      <x:c r="E1064" s="6" t="str"/>
      <x:c r="F1064" s="6" t="str">
        <x:f>IFERROR(XLOOKUP(C1064,'Review Sequence'!C2:C1586,'Review Sequence'!I2:I1586),"")</x:f>
        <x:v>Not Started</x:v>
      </x:c>
      <x:c r="G1064" s="6" t="str">
        <x:f>IFERROR(XLOOKUP(C1064,'Review Sequence'!C2:C1586,'Review Sequence'!J2:J1586),"")</x:f>
        <x:v>Not Started</x:v>
      </x:c>
      <x:c r="H1064" s="7" t="str">
        <x:f>IFERROR(XLOOKUP(C1064,'Review Sequence'!C2:C1586,'Review Sequence'!O2:O1586),"")</x:f>
      </x:c>
      <x:c r="I1064" s="6" t="str">
        <x:f>IFERROR(XLOOKUP(C1064,'Review Sequence'!C2:C1586,'Review Sequence'!P2:P1586),"")</x:f>
        <x:v>Yes</x:v>
      </x:c>
    </x:row>
    <x:row r="1065">
      <x:c r="A1065" s="6" t="str">
        <x:v>BLK-1064</x:v>
      </x:c>
      <x:c r="B1065" s="6" t="str">
        <x:v>Part Requirement</x:v>
      </x:c>
      <x:c r="C1065" s="6" t="str">
        <x:v>PRTX-0107</x:v>
      </x:c>
      <x:c r="D1065" s="6" t="str">
        <x:v>SVC000107</x:v>
      </x:c>
      <x:c r="E1065" s="6" t="str"/>
      <x:c r="F1065" s="6" t="str">
        <x:f>IFERROR(XLOOKUP(C1065,'Review Sequence'!C2:C1586,'Review Sequence'!I2:I1586),"")</x:f>
        <x:v>Not Started</x:v>
      </x:c>
      <x:c r="G1065" s="6" t="str">
        <x:f>IFERROR(XLOOKUP(C1065,'Review Sequence'!C2:C1586,'Review Sequence'!J2:J1586),"")</x:f>
        <x:v>Not Started</x:v>
      </x:c>
      <x:c r="H1065" s="7" t="str">
        <x:f>IFERROR(XLOOKUP(C1065,'Review Sequence'!C2:C1586,'Review Sequence'!O2:O1586),"")</x:f>
      </x:c>
      <x:c r="I1065" s="6" t="str">
        <x:f>IFERROR(XLOOKUP(C1065,'Review Sequence'!C2:C1586,'Review Sequence'!P2:P1586),"")</x:f>
        <x:v>Yes</x:v>
      </x:c>
    </x:row>
    <x:row r="1066">
      <x:c r="A1066" s="6" t="str">
        <x:v>BLK-1065</x:v>
      </x:c>
      <x:c r="B1066" s="6" t="str">
        <x:v>Part Requirement</x:v>
      </x:c>
      <x:c r="C1066" s="6" t="str">
        <x:v>PRTX-0108</x:v>
      </x:c>
      <x:c r="D1066" s="6" t="str">
        <x:v>SVC000108</x:v>
      </x:c>
      <x:c r="E1066" s="6" t="str"/>
      <x:c r="F1066" s="6" t="str">
        <x:f>IFERROR(XLOOKUP(C1066,'Review Sequence'!C2:C1586,'Review Sequence'!I2:I1586),"")</x:f>
        <x:v>Not Started</x:v>
      </x:c>
      <x:c r="G1066" s="6" t="str">
        <x:f>IFERROR(XLOOKUP(C1066,'Review Sequence'!C2:C1586,'Review Sequence'!J2:J1586),"")</x:f>
        <x:v>Not Started</x:v>
      </x:c>
      <x:c r="H1066" s="7" t="str">
        <x:f>IFERROR(XLOOKUP(C1066,'Review Sequence'!C2:C1586,'Review Sequence'!O2:O1586),"")</x:f>
      </x:c>
      <x:c r="I1066" s="6" t="str">
        <x:f>IFERROR(XLOOKUP(C1066,'Review Sequence'!C2:C1586,'Review Sequence'!P2:P1586),"")</x:f>
        <x:v>Yes</x:v>
      </x:c>
    </x:row>
    <x:row r="1067">
      <x:c r="A1067" s="6" t="str">
        <x:v>BLK-1066</x:v>
      </x:c>
      <x:c r="B1067" s="6" t="str">
        <x:v>Part Requirement</x:v>
      </x:c>
      <x:c r="C1067" s="6" t="str">
        <x:v>PRTX-0109</x:v>
      </x:c>
      <x:c r="D1067" s="6" t="str">
        <x:v>SVC000109</x:v>
      </x:c>
      <x:c r="E1067" s="6" t="str"/>
      <x:c r="F1067" s="6" t="str">
        <x:f>IFERROR(XLOOKUP(C1067,'Review Sequence'!C2:C1586,'Review Sequence'!I2:I1586),"")</x:f>
        <x:v>Not Started</x:v>
      </x:c>
      <x:c r="G1067" s="6" t="str">
        <x:f>IFERROR(XLOOKUP(C1067,'Review Sequence'!C2:C1586,'Review Sequence'!J2:J1586),"")</x:f>
        <x:v>Not Started</x:v>
      </x:c>
      <x:c r="H1067" s="7" t="str">
        <x:f>IFERROR(XLOOKUP(C1067,'Review Sequence'!C2:C1586,'Review Sequence'!O2:O1586),"")</x:f>
      </x:c>
      <x:c r="I1067" s="6" t="str">
        <x:f>IFERROR(XLOOKUP(C1067,'Review Sequence'!C2:C1586,'Review Sequence'!P2:P1586),"")</x:f>
        <x:v>Yes</x:v>
      </x:c>
    </x:row>
    <x:row r="1068">
      <x:c r="A1068" s="6" t="str">
        <x:v>BLK-1067</x:v>
      </x:c>
      <x:c r="B1068" s="6" t="str">
        <x:v>Part Requirement</x:v>
      </x:c>
      <x:c r="C1068" s="6" t="str">
        <x:v>PRTX-0110</x:v>
      </x:c>
      <x:c r="D1068" s="6" t="str">
        <x:v>SVC000110</x:v>
      </x:c>
      <x:c r="E1068" s="6" t="str"/>
      <x:c r="F1068" s="6" t="str">
        <x:f>IFERROR(XLOOKUP(C1068,'Review Sequence'!C2:C1586,'Review Sequence'!I2:I1586),"")</x:f>
        <x:v>Not Started</x:v>
      </x:c>
      <x:c r="G1068" s="6" t="str">
        <x:f>IFERROR(XLOOKUP(C1068,'Review Sequence'!C2:C1586,'Review Sequence'!J2:J1586),"")</x:f>
        <x:v>Not Started</x:v>
      </x:c>
      <x:c r="H1068" s="7" t="str">
        <x:f>IFERROR(XLOOKUP(C1068,'Review Sequence'!C2:C1586,'Review Sequence'!O2:O1586),"")</x:f>
      </x:c>
      <x:c r="I1068" s="6" t="str">
        <x:f>IFERROR(XLOOKUP(C1068,'Review Sequence'!C2:C1586,'Review Sequence'!P2:P1586),"")</x:f>
        <x:v>Yes</x:v>
      </x:c>
    </x:row>
    <x:row r="1069">
      <x:c r="A1069" s="6" t="str">
        <x:v>BLK-1068</x:v>
      </x:c>
      <x:c r="B1069" s="6" t="str">
        <x:v>Part Requirement</x:v>
      </x:c>
      <x:c r="C1069" s="6" t="str">
        <x:v>PRTX-0111</x:v>
      </x:c>
      <x:c r="D1069" s="6" t="str">
        <x:v>SVC000111</x:v>
      </x:c>
      <x:c r="E1069" s="6" t="str"/>
      <x:c r="F1069" s="6" t="str">
        <x:f>IFERROR(XLOOKUP(C1069,'Review Sequence'!C2:C1586,'Review Sequence'!I2:I1586),"")</x:f>
        <x:v>Not Started</x:v>
      </x:c>
      <x:c r="G1069" s="6" t="str">
        <x:f>IFERROR(XLOOKUP(C1069,'Review Sequence'!C2:C1586,'Review Sequence'!J2:J1586),"")</x:f>
        <x:v>Not Started</x:v>
      </x:c>
      <x:c r="H1069" s="7" t="str">
        <x:f>IFERROR(XLOOKUP(C1069,'Review Sequence'!C2:C1586,'Review Sequence'!O2:O1586),"")</x:f>
      </x:c>
      <x:c r="I1069" s="6" t="str">
        <x:f>IFERROR(XLOOKUP(C1069,'Review Sequence'!C2:C1586,'Review Sequence'!P2:P1586),"")</x:f>
        <x:v>Yes</x:v>
      </x:c>
    </x:row>
    <x:row r="1070">
      <x:c r="A1070" s="6" t="str">
        <x:v>BLK-1069</x:v>
      </x:c>
      <x:c r="B1070" s="6" t="str">
        <x:v>Part Requirement</x:v>
      </x:c>
      <x:c r="C1070" s="6" t="str">
        <x:v>PRTX-0112</x:v>
      </x:c>
      <x:c r="D1070" s="6" t="str">
        <x:v>SVC000112</x:v>
      </x:c>
      <x:c r="E1070" s="6" t="str"/>
      <x:c r="F1070" s="6" t="str">
        <x:f>IFERROR(XLOOKUP(C1070,'Review Sequence'!C2:C1586,'Review Sequence'!I2:I1586),"")</x:f>
        <x:v>Not Started</x:v>
      </x:c>
      <x:c r="G1070" s="6" t="str">
        <x:f>IFERROR(XLOOKUP(C1070,'Review Sequence'!C2:C1586,'Review Sequence'!J2:J1586),"")</x:f>
        <x:v>Not Started</x:v>
      </x:c>
      <x:c r="H1070" s="7" t="str">
        <x:f>IFERROR(XLOOKUP(C1070,'Review Sequence'!C2:C1586,'Review Sequence'!O2:O1586),"")</x:f>
      </x:c>
      <x:c r="I1070" s="6" t="str">
        <x:f>IFERROR(XLOOKUP(C1070,'Review Sequence'!C2:C1586,'Review Sequence'!P2:P1586),"")</x:f>
        <x:v>Yes</x:v>
      </x:c>
    </x:row>
    <x:row r="1071">
      <x:c r="A1071" s="6" t="str">
        <x:v>BLK-1070</x:v>
      </x:c>
      <x:c r="B1071" s="6" t="str">
        <x:v>Part Requirement</x:v>
      </x:c>
      <x:c r="C1071" s="6" t="str">
        <x:v>PRTX-0113</x:v>
      </x:c>
      <x:c r="D1071" s="6" t="str">
        <x:v>SVC000113</x:v>
      </x:c>
      <x:c r="E1071" s="6" t="str"/>
      <x:c r="F1071" s="6" t="str">
        <x:f>IFERROR(XLOOKUP(C1071,'Review Sequence'!C2:C1586,'Review Sequence'!I2:I1586),"")</x:f>
        <x:v>Not Started</x:v>
      </x:c>
      <x:c r="G1071" s="6" t="str">
        <x:f>IFERROR(XLOOKUP(C1071,'Review Sequence'!C2:C1586,'Review Sequence'!J2:J1586),"")</x:f>
        <x:v>Not Started</x:v>
      </x:c>
      <x:c r="H1071" s="7" t="str">
        <x:f>IFERROR(XLOOKUP(C1071,'Review Sequence'!C2:C1586,'Review Sequence'!O2:O1586),"")</x:f>
      </x:c>
      <x:c r="I1071" s="6" t="str">
        <x:f>IFERROR(XLOOKUP(C1071,'Review Sequence'!C2:C1586,'Review Sequence'!P2:P1586),"")</x:f>
        <x:v>Yes</x:v>
      </x:c>
    </x:row>
    <x:row r="1072">
      <x:c r="A1072" s="6" t="str">
        <x:v>BLK-1071</x:v>
      </x:c>
      <x:c r="B1072" s="6" t="str">
        <x:v>Part Requirement</x:v>
      </x:c>
      <x:c r="C1072" s="6" t="str">
        <x:v>PRTX-0114</x:v>
      </x:c>
      <x:c r="D1072" s="6" t="str">
        <x:v>SVC000114</x:v>
      </x:c>
      <x:c r="E1072" s="6" t="str"/>
      <x:c r="F1072" s="6" t="str">
        <x:f>IFERROR(XLOOKUP(C1072,'Review Sequence'!C2:C1586,'Review Sequence'!I2:I1586),"")</x:f>
        <x:v>Not Started</x:v>
      </x:c>
      <x:c r="G1072" s="6" t="str">
        <x:f>IFERROR(XLOOKUP(C1072,'Review Sequence'!C2:C1586,'Review Sequence'!J2:J1586),"")</x:f>
        <x:v>Not Started</x:v>
      </x:c>
      <x:c r="H1072" s="7" t="str">
        <x:f>IFERROR(XLOOKUP(C1072,'Review Sequence'!C2:C1586,'Review Sequence'!O2:O1586),"")</x:f>
      </x:c>
      <x:c r="I1072" s="6" t="str">
        <x:f>IFERROR(XLOOKUP(C1072,'Review Sequence'!C2:C1586,'Review Sequence'!P2:P1586),"")</x:f>
        <x:v>Yes</x:v>
      </x:c>
    </x:row>
    <x:row r="1073">
      <x:c r="A1073" s="6" t="str">
        <x:v>BLK-1072</x:v>
      </x:c>
      <x:c r="B1073" s="6" t="str">
        <x:v>Part Requirement</x:v>
      </x:c>
      <x:c r="C1073" s="6" t="str">
        <x:v>PRTX-0115</x:v>
      </x:c>
      <x:c r="D1073" s="6" t="str">
        <x:v>SVC000115</x:v>
      </x:c>
      <x:c r="E1073" s="6" t="str"/>
      <x:c r="F1073" s="6" t="str">
        <x:f>IFERROR(XLOOKUP(C1073,'Review Sequence'!C2:C1586,'Review Sequence'!I2:I1586),"")</x:f>
        <x:v>Not Started</x:v>
      </x:c>
      <x:c r="G1073" s="6" t="str">
        <x:f>IFERROR(XLOOKUP(C1073,'Review Sequence'!C2:C1586,'Review Sequence'!J2:J1586),"")</x:f>
        <x:v>Not Started</x:v>
      </x:c>
      <x:c r="H1073" s="7" t="str">
        <x:f>IFERROR(XLOOKUP(C1073,'Review Sequence'!C2:C1586,'Review Sequence'!O2:O1586),"")</x:f>
      </x:c>
      <x:c r="I1073" s="6" t="str">
        <x:f>IFERROR(XLOOKUP(C1073,'Review Sequence'!C2:C1586,'Review Sequence'!P2:P1586),"")</x:f>
        <x:v>Yes</x:v>
      </x:c>
    </x:row>
    <x:row r="1074">
      <x:c r="A1074" s="6" t="str">
        <x:v>BLK-1073</x:v>
      </x:c>
      <x:c r="B1074" s="6" t="str">
        <x:v>Part Requirement</x:v>
      </x:c>
      <x:c r="C1074" s="6" t="str">
        <x:v>PRTX-0116</x:v>
      </x:c>
      <x:c r="D1074" s="6" t="str">
        <x:v>SVC000116</x:v>
      </x:c>
      <x:c r="E1074" s="6" t="str"/>
      <x:c r="F1074" s="6" t="str">
        <x:f>IFERROR(XLOOKUP(C1074,'Review Sequence'!C2:C1586,'Review Sequence'!I2:I1586),"")</x:f>
        <x:v>Not Started</x:v>
      </x:c>
      <x:c r="G1074" s="6" t="str">
        <x:f>IFERROR(XLOOKUP(C1074,'Review Sequence'!C2:C1586,'Review Sequence'!J2:J1586),"")</x:f>
        <x:v>Not Started</x:v>
      </x:c>
      <x:c r="H1074" s="7" t="str">
        <x:f>IFERROR(XLOOKUP(C1074,'Review Sequence'!C2:C1586,'Review Sequence'!O2:O1586),"")</x:f>
      </x:c>
      <x:c r="I1074" s="6" t="str">
        <x:f>IFERROR(XLOOKUP(C1074,'Review Sequence'!C2:C1586,'Review Sequence'!P2:P1586),"")</x:f>
        <x:v>Yes</x:v>
      </x:c>
    </x:row>
    <x:row r="1075">
      <x:c r="A1075" s="6" t="str">
        <x:v>BLK-1074</x:v>
      </x:c>
      <x:c r="B1075" s="6" t="str">
        <x:v>Part Requirement</x:v>
      </x:c>
      <x:c r="C1075" s="6" t="str">
        <x:v>PRTX-0117</x:v>
      </x:c>
      <x:c r="D1075" s="6" t="str">
        <x:v>SVC000117</x:v>
      </x:c>
      <x:c r="E1075" s="6" t="str"/>
      <x:c r="F1075" s="6" t="str">
        <x:f>IFERROR(XLOOKUP(C1075,'Review Sequence'!C2:C1586,'Review Sequence'!I2:I1586),"")</x:f>
        <x:v>Not Started</x:v>
      </x:c>
      <x:c r="G1075" s="6" t="str">
        <x:f>IFERROR(XLOOKUP(C1075,'Review Sequence'!C2:C1586,'Review Sequence'!J2:J1586),"")</x:f>
        <x:v>Not Started</x:v>
      </x:c>
      <x:c r="H1075" s="7" t="str">
        <x:f>IFERROR(XLOOKUP(C1075,'Review Sequence'!C2:C1586,'Review Sequence'!O2:O1586),"")</x:f>
      </x:c>
      <x:c r="I1075" s="6" t="str">
        <x:f>IFERROR(XLOOKUP(C1075,'Review Sequence'!C2:C1586,'Review Sequence'!P2:P1586),"")</x:f>
        <x:v>Yes</x:v>
      </x:c>
    </x:row>
    <x:row r="1076">
      <x:c r="A1076" s="6" t="str">
        <x:v>BLK-1075</x:v>
      </x:c>
      <x:c r="B1076" s="6" t="str">
        <x:v>Part Requirement</x:v>
      </x:c>
      <x:c r="C1076" s="6" t="str">
        <x:v>PRTX-0118</x:v>
      </x:c>
      <x:c r="D1076" s="6" t="str">
        <x:v>SVC000118</x:v>
      </x:c>
      <x:c r="E1076" s="6" t="str"/>
      <x:c r="F1076" s="6" t="str">
        <x:f>IFERROR(XLOOKUP(C1076,'Review Sequence'!C2:C1586,'Review Sequence'!I2:I1586),"")</x:f>
        <x:v>Not Started</x:v>
      </x:c>
      <x:c r="G1076" s="6" t="str">
        <x:f>IFERROR(XLOOKUP(C1076,'Review Sequence'!C2:C1586,'Review Sequence'!J2:J1586),"")</x:f>
        <x:v>Not Started</x:v>
      </x:c>
      <x:c r="H1076" s="7" t="str">
        <x:f>IFERROR(XLOOKUP(C1076,'Review Sequence'!C2:C1586,'Review Sequence'!O2:O1586),"")</x:f>
      </x:c>
      <x:c r="I1076" s="6" t="str">
        <x:f>IFERROR(XLOOKUP(C1076,'Review Sequence'!C2:C1586,'Review Sequence'!P2:P1586),"")</x:f>
        <x:v>Yes</x:v>
      </x:c>
    </x:row>
    <x:row r="1077">
      <x:c r="A1077" s="6" t="str">
        <x:v>BLK-1076</x:v>
      </x:c>
      <x:c r="B1077" s="6" t="str">
        <x:v>Part Requirement</x:v>
      </x:c>
      <x:c r="C1077" s="6" t="str">
        <x:v>PRTX-0119</x:v>
      </x:c>
      <x:c r="D1077" s="6" t="str">
        <x:v>SVC000119</x:v>
      </x:c>
      <x:c r="E1077" s="6" t="str"/>
      <x:c r="F1077" s="6" t="str">
        <x:f>IFERROR(XLOOKUP(C1077,'Review Sequence'!C2:C1586,'Review Sequence'!I2:I1586),"")</x:f>
        <x:v>Not Started</x:v>
      </x:c>
      <x:c r="G1077" s="6" t="str">
        <x:f>IFERROR(XLOOKUP(C1077,'Review Sequence'!C2:C1586,'Review Sequence'!J2:J1586),"")</x:f>
        <x:v>Not Started</x:v>
      </x:c>
      <x:c r="H1077" s="7" t="str">
        <x:f>IFERROR(XLOOKUP(C1077,'Review Sequence'!C2:C1586,'Review Sequence'!O2:O1586),"")</x:f>
      </x:c>
      <x:c r="I1077" s="6" t="str">
        <x:f>IFERROR(XLOOKUP(C1077,'Review Sequence'!C2:C1586,'Review Sequence'!P2:P1586),"")</x:f>
        <x:v>Yes</x:v>
      </x:c>
    </x:row>
    <x:row r="1078">
      <x:c r="A1078" s="6" t="str">
        <x:v>BLK-1077</x:v>
      </x:c>
      <x:c r="B1078" s="6" t="str">
        <x:v>Part Requirement</x:v>
      </x:c>
      <x:c r="C1078" s="6" t="str">
        <x:v>PRTX-0120</x:v>
      </x:c>
      <x:c r="D1078" s="6" t="str">
        <x:v>SVC000120</x:v>
      </x:c>
      <x:c r="E1078" s="6" t="str"/>
      <x:c r="F1078" s="6" t="str">
        <x:f>IFERROR(XLOOKUP(C1078,'Review Sequence'!C2:C1586,'Review Sequence'!I2:I1586),"")</x:f>
        <x:v>Not Started</x:v>
      </x:c>
      <x:c r="G1078" s="6" t="str">
        <x:f>IFERROR(XLOOKUP(C1078,'Review Sequence'!C2:C1586,'Review Sequence'!J2:J1586),"")</x:f>
        <x:v>Not Started</x:v>
      </x:c>
      <x:c r="H1078" s="7" t="str">
        <x:f>IFERROR(XLOOKUP(C1078,'Review Sequence'!C2:C1586,'Review Sequence'!O2:O1586),"")</x:f>
      </x:c>
      <x:c r="I1078" s="6" t="str">
        <x:f>IFERROR(XLOOKUP(C1078,'Review Sequence'!C2:C1586,'Review Sequence'!P2:P1586),"")</x:f>
        <x:v>Yes</x:v>
      </x:c>
    </x:row>
    <x:row r="1079">
      <x:c r="A1079" s="6" t="str">
        <x:v>BLK-1078</x:v>
      </x:c>
      <x:c r="B1079" s="6" t="str">
        <x:v>Part Requirement</x:v>
      </x:c>
      <x:c r="C1079" s="6" t="str">
        <x:v>PRTX-0121</x:v>
      </x:c>
      <x:c r="D1079" s="6" t="str">
        <x:v>SVC000121</x:v>
      </x:c>
      <x:c r="E1079" s="6" t="str"/>
      <x:c r="F1079" s="6" t="str">
        <x:f>IFERROR(XLOOKUP(C1079,'Review Sequence'!C2:C1586,'Review Sequence'!I2:I1586),"")</x:f>
        <x:v>Not Started</x:v>
      </x:c>
      <x:c r="G1079" s="6" t="str">
        <x:f>IFERROR(XLOOKUP(C1079,'Review Sequence'!C2:C1586,'Review Sequence'!J2:J1586),"")</x:f>
        <x:v>Not Started</x:v>
      </x:c>
      <x:c r="H1079" s="7" t="str">
        <x:f>IFERROR(XLOOKUP(C1079,'Review Sequence'!C2:C1586,'Review Sequence'!O2:O1586),"")</x:f>
      </x:c>
      <x:c r="I1079" s="6" t="str">
        <x:f>IFERROR(XLOOKUP(C1079,'Review Sequence'!C2:C1586,'Review Sequence'!P2:P1586),"")</x:f>
        <x:v>Yes</x:v>
      </x:c>
    </x:row>
    <x:row r="1080">
      <x:c r="A1080" s="6" t="str">
        <x:v>BLK-1079</x:v>
      </x:c>
      <x:c r="B1080" s="6" t="str">
        <x:v>Part Requirement</x:v>
      </x:c>
      <x:c r="C1080" s="6" t="str">
        <x:v>PRTX-0122</x:v>
      </x:c>
      <x:c r="D1080" s="6" t="str">
        <x:v>SVC000122</x:v>
      </x:c>
      <x:c r="E1080" s="6" t="str"/>
      <x:c r="F1080" s="6" t="str">
        <x:f>IFERROR(XLOOKUP(C1080,'Review Sequence'!C2:C1586,'Review Sequence'!I2:I1586),"")</x:f>
        <x:v>Not Started</x:v>
      </x:c>
      <x:c r="G1080" s="6" t="str">
        <x:f>IFERROR(XLOOKUP(C1080,'Review Sequence'!C2:C1586,'Review Sequence'!J2:J1586),"")</x:f>
        <x:v>Not Started</x:v>
      </x:c>
      <x:c r="H1080" s="7" t="str">
        <x:f>IFERROR(XLOOKUP(C1080,'Review Sequence'!C2:C1586,'Review Sequence'!O2:O1586),"")</x:f>
      </x:c>
      <x:c r="I1080" s="6" t="str">
        <x:f>IFERROR(XLOOKUP(C1080,'Review Sequence'!C2:C1586,'Review Sequence'!P2:P1586),"")</x:f>
        <x:v>Yes</x:v>
      </x:c>
    </x:row>
    <x:row r="1081">
      <x:c r="A1081" s="6" t="str">
        <x:v>BLK-1080</x:v>
      </x:c>
      <x:c r="B1081" s="6" t="str">
        <x:v>Part Requirement</x:v>
      </x:c>
      <x:c r="C1081" s="6" t="str">
        <x:v>PRTX-0123</x:v>
      </x:c>
      <x:c r="D1081" s="6" t="str">
        <x:v>SVC000123</x:v>
      </x:c>
      <x:c r="E1081" s="6" t="str"/>
      <x:c r="F1081" s="6" t="str">
        <x:f>IFERROR(XLOOKUP(C1081,'Review Sequence'!C2:C1586,'Review Sequence'!I2:I1586),"")</x:f>
        <x:v>Not Started</x:v>
      </x:c>
      <x:c r="G1081" s="6" t="str">
        <x:f>IFERROR(XLOOKUP(C1081,'Review Sequence'!C2:C1586,'Review Sequence'!J2:J1586),"")</x:f>
        <x:v>Not Started</x:v>
      </x:c>
      <x:c r="H1081" s="7" t="str">
        <x:f>IFERROR(XLOOKUP(C1081,'Review Sequence'!C2:C1586,'Review Sequence'!O2:O1586),"")</x:f>
      </x:c>
      <x:c r="I1081" s="6" t="str">
        <x:f>IFERROR(XLOOKUP(C1081,'Review Sequence'!C2:C1586,'Review Sequence'!P2:P1586),"")</x:f>
        <x:v>Yes</x:v>
      </x:c>
    </x:row>
    <x:row r="1082">
      <x:c r="A1082" s="6" t="str">
        <x:v>BLK-1081</x:v>
      </x:c>
      <x:c r="B1082" s="6" t="str">
        <x:v>Part Requirement</x:v>
      </x:c>
      <x:c r="C1082" s="6" t="str">
        <x:v>PRTX-0124</x:v>
      </x:c>
      <x:c r="D1082" s="6" t="str">
        <x:v>SVC000124</x:v>
      </x:c>
      <x:c r="E1082" s="6" t="str"/>
      <x:c r="F1082" s="6" t="str">
        <x:f>IFERROR(XLOOKUP(C1082,'Review Sequence'!C2:C1586,'Review Sequence'!I2:I1586),"")</x:f>
        <x:v>Not Started</x:v>
      </x:c>
      <x:c r="G1082" s="6" t="str">
        <x:f>IFERROR(XLOOKUP(C1082,'Review Sequence'!C2:C1586,'Review Sequence'!J2:J1586),"")</x:f>
        <x:v>Not Started</x:v>
      </x:c>
      <x:c r="H1082" s="7" t="str">
        <x:f>IFERROR(XLOOKUP(C1082,'Review Sequence'!C2:C1586,'Review Sequence'!O2:O1586),"")</x:f>
      </x:c>
      <x:c r="I1082" s="6" t="str">
        <x:f>IFERROR(XLOOKUP(C1082,'Review Sequence'!C2:C1586,'Review Sequence'!P2:P1586),"")</x:f>
        <x:v>Yes</x:v>
      </x:c>
    </x:row>
    <x:row r="1083">
      <x:c r="A1083" s="6" t="str">
        <x:v>BLK-1082</x:v>
      </x:c>
      <x:c r="B1083" s="6" t="str">
        <x:v>Part Requirement</x:v>
      </x:c>
      <x:c r="C1083" s="6" t="str">
        <x:v>PRTX-0125</x:v>
      </x:c>
      <x:c r="D1083" s="6" t="str">
        <x:v>SVC000125</x:v>
      </x:c>
      <x:c r="E1083" s="6" t="str"/>
      <x:c r="F1083" s="6" t="str">
        <x:f>IFERROR(XLOOKUP(C1083,'Review Sequence'!C2:C1586,'Review Sequence'!I2:I1586),"")</x:f>
        <x:v>Not Started</x:v>
      </x:c>
      <x:c r="G1083" s="6" t="str">
        <x:f>IFERROR(XLOOKUP(C1083,'Review Sequence'!C2:C1586,'Review Sequence'!J2:J1586),"")</x:f>
        <x:v>Not Started</x:v>
      </x:c>
      <x:c r="H1083" s="7" t="str">
        <x:f>IFERROR(XLOOKUP(C1083,'Review Sequence'!C2:C1586,'Review Sequence'!O2:O1586),"")</x:f>
      </x:c>
      <x:c r="I1083" s="6" t="str">
        <x:f>IFERROR(XLOOKUP(C1083,'Review Sequence'!C2:C1586,'Review Sequence'!P2:P1586),"")</x:f>
        <x:v>Yes</x:v>
      </x:c>
    </x:row>
    <x:row r="1084">
      <x:c r="A1084" s="6" t="str">
        <x:v>BLK-1083</x:v>
      </x:c>
      <x:c r="B1084" s="6" t="str">
        <x:v>Part Requirement</x:v>
      </x:c>
      <x:c r="C1084" s="6" t="str">
        <x:v>PRTX-0126</x:v>
      </x:c>
      <x:c r="D1084" s="6" t="str">
        <x:v>SVC000126</x:v>
      </x:c>
      <x:c r="E1084" s="6" t="str"/>
      <x:c r="F1084" s="6" t="str">
        <x:f>IFERROR(XLOOKUP(C1084,'Review Sequence'!C2:C1586,'Review Sequence'!I2:I1586),"")</x:f>
        <x:v>Not Started</x:v>
      </x:c>
      <x:c r="G1084" s="6" t="str">
        <x:f>IFERROR(XLOOKUP(C1084,'Review Sequence'!C2:C1586,'Review Sequence'!J2:J1586),"")</x:f>
        <x:v>Not Started</x:v>
      </x:c>
      <x:c r="H1084" s="7" t="str">
        <x:f>IFERROR(XLOOKUP(C1084,'Review Sequence'!C2:C1586,'Review Sequence'!O2:O1586),"")</x:f>
      </x:c>
      <x:c r="I1084" s="6" t="str">
        <x:f>IFERROR(XLOOKUP(C1084,'Review Sequence'!C2:C1586,'Review Sequence'!P2:P1586),"")</x:f>
        <x:v>Yes</x:v>
      </x:c>
    </x:row>
    <x:row r="1085">
      <x:c r="A1085" s="6" t="str">
        <x:v>BLK-1084</x:v>
      </x:c>
      <x:c r="B1085" s="6" t="str">
        <x:v>Part Requirement</x:v>
      </x:c>
      <x:c r="C1085" s="6" t="str">
        <x:v>PRTX-0127</x:v>
      </x:c>
      <x:c r="D1085" s="6" t="str">
        <x:v>SVC000127</x:v>
      </x:c>
      <x:c r="E1085" s="6" t="str"/>
      <x:c r="F1085" s="6" t="str">
        <x:f>IFERROR(XLOOKUP(C1085,'Review Sequence'!C2:C1586,'Review Sequence'!I2:I1586),"")</x:f>
        <x:v>Not Started</x:v>
      </x:c>
      <x:c r="G1085" s="6" t="str">
        <x:f>IFERROR(XLOOKUP(C1085,'Review Sequence'!C2:C1586,'Review Sequence'!J2:J1586),"")</x:f>
        <x:v>Not Started</x:v>
      </x:c>
      <x:c r="H1085" s="7" t="str">
        <x:f>IFERROR(XLOOKUP(C1085,'Review Sequence'!C2:C1586,'Review Sequence'!O2:O1586),"")</x:f>
      </x:c>
      <x:c r="I1085" s="6" t="str">
        <x:f>IFERROR(XLOOKUP(C1085,'Review Sequence'!C2:C1586,'Review Sequence'!P2:P1586),"")</x:f>
        <x:v>Yes</x:v>
      </x:c>
    </x:row>
    <x:row r="1086">
      <x:c r="A1086" s="6" t="str">
        <x:v>BLK-1085</x:v>
      </x:c>
      <x:c r="B1086" s="6" t="str">
        <x:v>Part Requirement</x:v>
      </x:c>
      <x:c r="C1086" s="6" t="str">
        <x:v>PRTX-0128</x:v>
      </x:c>
      <x:c r="D1086" s="6" t="str">
        <x:v>SVC000128</x:v>
      </x:c>
      <x:c r="E1086" s="6" t="str"/>
      <x:c r="F1086" s="6" t="str">
        <x:f>IFERROR(XLOOKUP(C1086,'Review Sequence'!C2:C1586,'Review Sequence'!I2:I1586),"")</x:f>
        <x:v>Not Started</x:v>
      </x:c>
      <x:c r="G1086" s="6" t="str">
        <x:f>IFERROR(XLOOKUP(C1086,'Review Sequence'!C2:C1586,'Review Sequence'!J2:J1586),"")</x:f>
        <x:v>Not Started</x:v>
      </x:c>
      <x:c r="H1086" s="7" t="str">
        <x:f>IFERROR(XLOOKUP(C1086,'Review Sequence'!C2:C1586,'Review Sequence'!O2:O1586),"")</x:f>
      </x:c>
      <x:c r="I1086" s="6" t="str">
        <x:f>IFERROR(XLOOKUP(C1086,'Review Sequence'!C2:C1586,'Review Sequence'!P2:P1586),"")</x:f>
        <x:v>Yes</x:v>
      </x:c>
    </x:row>
    <x:row r="1087">
      <x:c r="A1087" s="6" t="str">
        <x:v>BLK-1086</x:v>
      </x:c>
      <x:c r="B1087" s="6" t="str">
        <x:v>Part Requirement</x:v>
      </x:c>
      <x:c r="C1087" s="6" t="str">
        <x:v>PRTX-0129</x:v>
      </x:c>
      <x:c r="D1087" s="6" t="str">
        <x:v>SVC000129</x:v>
      </x:c>
      <x:c r="E1087" s="6" t="str"/>
      <x:c r="F1087" s="6" t="str">
        <x:f>IFERROR(XLOOKUP(C1087,'Review Sequence'!C2:C1586,'Review Sequence'!I2:I1586),"")</x:f>
        <x:v>Not Started</x:v>
      </x:c>
      <x:c r="G1087" s="6" t="str">
        <x:f>IFERROR(XLOOKUP(C1087,'Review Sequence'!C2:C1586,'Review Sequence'!J2:J1586),"")</x:f>
        <x:v>Not Started</x:v>
      </x:c>
      <x:c r="H1087" s="7" t="str">
        <x:f>IFERROR(XLOOKUP(C1087,'Review Sequence'!C2:C1586,'Review Sequence'!O2:O1586),"")</x:f>
      </x:c>
      <x:c r="I1087" s="6" t="str">
        <x:f>IFERROR(XLOOKUP(C1087,'Review Sequence'!C2:C1586,'Review Sequence'!P2:P1586),"")</x:f>
        <x:v>Yes</x:v>
      </x:c>
    </x:row>
    <x:row r="1088">
      <x:c r="A1088" s="6" t="str">
        <x:v>BLK-1087</x:v>
      </x:c>
      <x:c r="B1088" s="6" t="str">
        <x:v>Part Requirement</x:v>
      </x:c>
      <x:c r="C1088" s="6" t="str">
        <x:v>PRTX-0130</x:v>
      </x:c>
      <x:c r="D1088" s="6" t="str">
        <x:v>SVC000130</x:v>
      </x:c>
      <x:c r="E1088" s="6" t="str"/>
      <x:c r="F1088" s="6" t="str">
        <x:f>IFERROR(XLOOKUP(C1088,'Review Sequence'!C2:C1586,'Review Sequence'!I2:I1586),"")</x:f>
        <x:v>Not Started</x:v>
      </x:c>
      <x:c r="G1088" s="6" t="str">
        <x:f>IFERROR(XLOOKUP(C1088,'Review Sequence'!C2:C1586,'Review Sequence'!J2:J1586),"")</x:f>
        <x:v>Not Started</x:v>
      </x:c>
      <x:c r="H1088" s="7" t="str">
        <x:f>IFERROR(XLOOKUP(C1088,'Review Sequence'!C2:C1586,'Review Sequence'!O2:O1586),"")</x:f>
      </x:c>
      <x:c r="I1088" s="6" t="str">
        <x:f>IFERROR(XLOOKUP(C1088,'Review Sequence'!C2:C1586,'Review Sequence'!P2:P1586),"")</x:f>
        <x:v>Yes</x:v>
      </x:c>
    </x:row>
    <x:row r="1089">
      <x:c r="A1089" s="6" t="str">
        <x:v>BLK-1088</x:v>
      </x:c>
      <x:c r="B1089" s="6" t="str">
        <x:v>Part Requirement</x:v>
      </x:c>
      <x:c r="C1089" s="6" t="str">
        <x:v>PRTX-0131</x:v>
      </x:c>
      <x:c r="D1089" s="6" t="str">
        <x:v>SVC000131</x:v>
      </x:c>
      <x:c r="E1089" s="6" t="str"/>
      <x:c r="F1089" s="6" t="str">
        <x:f>IFERROR(XLOOKUP(C1089,'Review Sequence'!C2:C1586,'Review Sequence'!I2:I1586),"")</x:f>
        <x:v>Not Started</x:v>
      </x:c>
      <x:c r="G1089" s="6" t="str">
        <x:f>IFERROR(XLOOKUP(C1089,'Review Sequence'!C2:C1586,'Review Sequence'!J2:J1586),"")</x:f>
        <x:v>Not Started</x:v>
      </x:c>
      <x:c r="H1089" s="7" t="str">
        <x:f>IFERROR(XLOOKUP(C1089,'Review Sequence'!C2:C1586,'Review Sequence'!O2:O1586),"")</x:f>
      </x:c>
      <x:c r="I1089" s="6" t="str">
        <x:f>IFERROR(XLOOKUP(C1089,'Review Sequence'!C2:C1586,'Review Sequence'!P2:P1586),"")</x:f>
        <x:v>Yes</x:v>
      </x:c>
    </x:row>
    <x:row r="1090">
      <x:c r="A1090" s="6" t="str">
        <x:v>BLK-1089</x:v>
      </x:c>
      <x:c r="B1090" s="6" t="str">
        <x:v>Part Requirement</x:v>
      </x:c>
      <x:c r="C1090" s="6" t="str">
        <x:v>PRTX-0132</x:v>
      </x:c>
      <x:c r="D1090" s="6" t="str">
        <x:v>SVC000132</x:v>
      </x:c>
      <x:c r="E1090" s="6" t="str"/>
      <x:c r="F1090" s="6" t="str">
        <x:f>IFERROR(XLOOKUP(C1090,'Review Sequence'!C2:C1586,'Review Sequence'!I2:I1586),"")</x:f>
        <x:v>Not Started</x:v>
      </x:c>
      <x:c r="G1090" s="6" t="str">
        <x:f>IFERROR(XLOOKUP(C1090,'Review Sequence'!C2:C1586,'Review Sequence'!J2:J1586),"")</x:f>
        <x:v>Not Started</x:v>
      </x:c>
      <x:c r="H1090" s="7" t="str">
        <x:f>IFERROR(XLOOKUP(C1090,'Review Sequence'!C2:C1586,'Review Sequence'!O2:O1586),"")</x:f>
      </x:c>
      <x:c r="I1090" s="6" t="str">
        <x:f>IFERROR(XLOOKUP(C1090,'Review Sequence'!C2:C1586,'Review Sequence'!P2:P1586),"")</x:f>
        <x:v>Yes</x:v>
      </x:c>
    </x:row>
    <x:row r="1091">
      <x:c r="A1091" s="6" t="str">
        <x:v>BLK-1090</x:v>
      </x:c>
      <x:c r="B1091" s="6" t="str">
        <x:v>Part Requirement</x:v>
      </x:c>
      <x:c r="C1091" s="6" t="str">
        <x:v>PRTX-0133</x:v>
      </x:c>
      <x:c r="D1091" s="6" t="str">
        <x:v>SVC000133</x:v>
      </x:c>
      <x:c r="E1091" s="6" t="str"/>
      <x:c r="F1091" s="6" t="str">
        <x:f>IFERROR(XLOOKUP(C1091,'Review Sequence'!C2:C1586,'Review Sequence'!I2:I1586),"")</x:f>
        <x:v>Not Started</x:v>
      </x:c>
      <x:c r="G1091" s="6" t="str">
        <x:f>IFERROR(XLOOKUP(C1091,'Review Sequence'!C2:C1586,'Review Sequence'!J2:J1586),"")</x:f>
        <x:v>Not Started</x:v>
      </x:c>
      <x:c r="H1091" s="7" t="str">
        <x:f>IFERROR(XLOOKUP(C1091,'Review Sequence'!C2:C1586,'Review Sequence'!O2:O1586),"")</x:f>
      </x:c>
      <x:c r="I1091" s="6" t="str">
        <x:f>IFERROR(XLOOKUP(C1091,'Review Sequence'!C2:C1586,'Review Sequence'!P2:P1586),"")</x:f>
        <x:v>Yes</x:v>
      </x:c>
    </x:row>
    <x:row r="1092">
      <x:c r="A1092" s="6" t="str">
        <x:v>BLK-1091</x:v>
      </x:c>
      <x:c r="B1092" s="6" t="str">
        <x:v>Part Requirement</x:v>
      </x:c>
      <x:c r="C1092" s="6" t="str">
        <x:v>PRTX-0134</x:v>
      </x:c>
      <x:c r="D1092" s="6" t="str">
        <x:v>SVC000134</x:v>
      </x:c>
      <x:c r="E1092" s="6" t="str"/>
      <x:c r="F1092" s="6" t="str">
        <x:f>IFERROR(XLOOKUP(C1092,'Review Sequence'!C2:C1586,'Review Sequence'!I2:I1586),"")</x:f>
        <x:v>Not Started</x:v>
      </x:c>
      <x:c r="G1092" s="6" t="str">
        <x:f>IFERROR(XLOOKUP(C1092,'Review Sequence'!C2:C1586,'Review Sequence'!J2:J1586),"")</x:f>
        <x:v>Not Started</x:v>
      </x:c>
      <x:c r="H1092" s="7" t="str">
        <x:f>IFERROR(XLOOKUP(C1092,'Review Sequence'!C2:C1586,'Review Sequence'!O2:O1586),"")</x:f>
      </x:c>
      <x:c r="I1092" s="6" t="str">
        <x:f>IFERROR(XLOOKUP(C1092,'Review Sequence'!C2:C1586,'Review Sequence'!P2:P1586),"")</x:f>
        <x:v>Yes</x:v>
      </x:c>
    </x:row>
    <x:row r="1093">
      <x:c r="A1093" s="6" t="str">
        <x:v>BLK-1092</x:v>
      </x:c>
      <x:c r="B1093" s="6" t="str">
        <x:v>Part Requirement</x:v>
      </x:c>
      <x:c r="C1093" s="6" t="str">
        <x:v>PRTX-0135</x:v>
      </x:c>
      <x:c r="D1093" s="6" t="str">
        <x:v>SVC000135</x:v>
      </x:c>
      <x:c r="E1093" s="6" t="str"/>
      <x:c r="F1093" s="6" t="str">
        <x:f>IFERROR(XLOOKUP(C1093,'Review Sequence'!C2:C1586,'Review Sequence'!I2:I1586),"")</x:f>
        <x:v>Not Started</x:v>
      </x:c>
      <x:c r="G1093" s="6" t="str">
        <x:f>IFERROR(XLOOKUP(C1093,'Review Sequence'!C2:C1586,'Review Sequence'!J2:J1586),"")</x:f>
        <x:v>Not Started</x:v>
      </x:c>
      <x:c r="H1093" s="7" t="str">
        <x:f>IFERROR(XLOOKUP(C1093,'Review Sequence'!C2:C1586,'Review Sequence'!O2:O1586),"")</x:f>
      </x:c>
      <x:c r="I1093" s="6" t="str">
        <x:f>IFERROR(XLOOKUP(C1093,'Review Sequence'!C2:C1586,'Review Sequence'!P2:P1586),"")</x:f>
        <x:v>Yes</x:v>
      </x:c>
    </x:row>
    <x:row r="1094">
      <x:c r="A1094" s="6" t="str">
        <x:v>BLK-1093</x:v>
      </x:c>
      <x:c r="B1094" s="6" t="str">
        <x:v>Part Requirement</x:v>
      </x:c>
      <x:c r="C1094" s="6" t="str">
        <x:v>PRTX-0136</x:v>
      </x:c>
      <x:c r="D1094" s="6" t="str">
        <x:v>SVC000136</x:v>
      </x:c>
      <x:c r="E1094" s="6" t="str"/>
      <x:c r="F1094" s="6" t="str">
        <x:f>IFERROR(XLOOKUP(C1094,'Review Sequence'!C2:C1586,'Review Sequence'!I2:I1586),"")</x:f>
        <x:v>Not Started</x:v>
      </x:c>
      <x:c r="G1094" s="6" t="str">
        <x:f>IFERROR(XLOOKUP(C1094,'Review Sequence'!C2:C1586,'Review Sequence'!J2:J1586),"")</x:f>
        <x:v>Not Started</x:v>
      </x:c>
      <x:c r="H1094" s="7" t="str">
        <x:f>IFERROR(XLOOKUP(C1094,'Review Sequence'!C2:C1586,'Review Sequence'!O2:O1586),"")</x:f>
      </x:c>
      <x:c r="I1094" s="6" t="str">
        <x:f>IFERROR(XLOOKUP(C1094,'Review Sequence'!C2:C1586,'Review Sequence'!P2:P1586),"")</x:f>
        <x:v>Yes</x:v>
      </x:c>
    </x:row>
    <x:row r="1095">
      <x:c r="A1095" s="6" t="str">
        <x:v>BLK-1094</x:v>
      </x:c>
      <x:c r="B1095" s="6" t="str">
        <x:v>Part Requirement</x:v>
      </x:c>
      <x:c r="C1095" s="6" t="str">
        <x:v>PRTX-0137</x:v>
      </x:c>
      <x:c r="D1095" s="6" t="str">
        <x:v>SVC000137</x:v>
      </x:c>
      <x:c r="E1095" s="6" t="str"/>
      <x:c r="F1095" s="6" t="str">
        <x:f>IFERROR(XLOOKUP(C1095,'Review Sequence'!C2:C1586,'Review Sequence'!I2:I1586),"")</x:f>
        <x:v>Not Started</x:v>
      </x:c>
      <x:c r="G1095" s="6" t="str">
        <x:f>IFERROR(XLOOKUP(C1095,'Review Sequence'!C2:C1586,'Review Sequence'!J2:J1586),"")</x:f>
        <x:v>Not Started</x:v>
      </x:c>
      <x:c r="H1095" s="7" t="str">
        <x:f>IFERROR(XLOOKUP(C1095,'Review Sequence'!C2:C1586,'Review Sequence'!O2:O1586),"")</x:f>
      </x:c>
      <x:c r="I1095" s="6" t="str">
        <x:f>IFERROR(XLOOKUP(C1095,'Review Sequence'!C2:C1586,'Review Sequence'!P2:P1586),"")</x:f>
        <x:v>Yes</x:v>
      </x:c>
    </x:row>
    <x:row r="1096">
      <x:c r="A1096" s="6" t="str">
        <x:v>BLK-1095</x:v>
      </x:c>
      <x:c r="B1096" s="6" t="str">
        <x:v>Part Requirement</x:v>
      </x:c>
      <x:c r="C1096" s="6" t="str">
        <x:v>PRTX-0138</x:v>
      </x:c>
      <x:c r="D1096" s="6" t="str">
        <x:v>SVC000138</x:v>
      </x:c>
      <x:c r="E1096" s="6" t="str"/>
      <x:c r="F1096" s="6" t="str">
        <x:f>IFERROR(XLOOKUP(C1096,'Review Sequence'!C2:C1586,'Review Sequence'!I2:I1586),"")</x:f>
        <x:v>Not Started</x:v>
      </x:c>
      <x:c r="G1096" s="6" t="str">
        <x:f>IFERROR(XLOOKUP(C1096,'Review Sequence'!C2:C1586,'Review Sequence'!J2:J1586),"")</x:f>
        <x:v>Not Started</x:v>
      </x:c>
      <x:c r="H1096" s="7" t="str">
        <x:f>IFERROR(XLOOKUP(C1096,'Review Sequence'!C2:C1586,'Review Sequence'!O2:O1586),"")</x:f>
      </x:c>
      <x:c r="I1096" s="6" t="str">
        <x:f>IFERROR(XLOOKUP(C1096,'Review Sequence'!C2:C1586,'Review Sequence'!P2:P1586),"")</x:f>
        <x:v>Yes</x:v>
      </x:c>
    </x:row>
    <x:row r="1097">
      <x:c r="A1097" s="6" t="str">
        <x:v>BLK-1096</x:v>
      </x:c>
      <x:c r="B1097" s="6" t="str">
        <x:v>Part Requirement</x:v>
      </x:c>
      <x:c r="C1097" s="6" t="str">
        <x:v>PRTX-0139</x:v>
      </x:c>
      <x:c r="D1097" s="6" t="str">
        <x:v>SVC000139</x:v>
      </x:c>
      <x:c r="E1097" s="6" t="str"/>
      <x:c r="F1097" s="6" t="str">
        <x:f>IFERROR(XLOOKUP(C1097,'Review Sequence'!C2:C1586,'Review Sequence'!I2:I1586),"")</x:f>
        <x:v>Not Started</x:v>
      </x:c>
      <x:c r="G1097" s="6" t="str">
        <x:f>IFERROR(XLOOKUP(C1097,'Review Sequence'!C2:C1586,'Review Sequence'!J2:J1586),"")</x:f>
        <x:v>Not Started</x:v>
      </x:c>
      <x:c r="H1097" s="7" t="str">
        <x:f>IFERROR(XLOOKUP(C1097,'Review Sequence'!C2:C1586,'Review Sequence'!O2:O1586),"")</x:f>
      </x:c>
      <x:c r="I1097" s="6" t="str">
        <x:f>IFERROR(XLOOKUP(C1097,'Review Sequence'!C2:C1586,'Review Sequence'!P2:P1586),"")</x:f>
        <x:v>Yes</x:v>
      </x:c>
    </x:row>
    <x:row r="1098">
      <x:c r="A1098" s="6" t="str">
        <x:v>BLK-1097</x:v>
      </x:c>
      <x:c r="B1098" s="6" t="str">
        <x:v>Part Requirement</x:v>
      </x:c>
      <x:c r="C1098" s="6" t="str">
        <x:v>PRTX-0140</x:v>
      </x:c>
      <x:c r="D1098" s="6" t="str">
        <x:v>SVC000140</x:v>
      </x:c>
      <x:c r="E1098" s="6" t="str"/>
      <x:c r="F1098" s="6" t="str">
        <x:f>IFERROR(XLOOKUP(C1098,'Review Sequence'!C2:C1586,'Review Sequence'!I2:I1586),"")</x:f>
        <x:v>Not Started</x:v>
      </x:c>
      <x:c r="G1098" s="6" t="str">
        <x:f>IFERROR(XLOOKUP(C1098,'Review Sequence'!C2:C1586,'Review Sequence'!J2:J1586),"")</x:f>
        <x:v>Not Started</x:v>
      </x:c>
      <x:c r="H1098" s="7" t="str">
        <x:f>IFERROR(XLOOKUP(C1098,'Review Sequence'!C2:C1586,'Review Sequence'!O2:O1586),"")</x:f>
      </x:c>
      <x:c r="I1098" s="6" t="str">
        <x:f>IFERROR(XLOOKUP(C1098,'Review Sequence'!C2:C1586,'Review Sequence'!P2:P1586),"")</x:f>
        <x:v>Yes</x:v>
      </x:c>
    </x:row>
    <x:row r="1099">
      <x:c r="A1099" s="6" t="str">
        <x:v>BLK-1098</x:v>
      </x:c>
      <x:c r="B1099" s="6" t="str">
        <x:v>Part Requirement</x:v>
      </x:c>
      <x:c r="C1099" s="6" t="str">
        <x:v>PRTX-0141</x:v>
      </x:c>
      <x:c r="D1099" s="6" t="str">
        <x:v>SVC000141</x:v>
      </x:c>
      <x:c r="E1099" s="6" t="str"/>
      <x:c r="F1099" s="6" t="str">
        <x:f>IFERROR(XLOOKUP(C1099,'Review Sequence'!C2:C1586,'Review Sequence'!I2:I1586),"")</x:f>
        <x:v>Not Started</x:v>
      </x:c>
      <x:c r="G1099" s="6" t="str">
        <x:f>IFERROR(XLOOKUP(C1099,'Review Sequence'!C2:C1586,'Review Sequence'!J2:J1586),"")</x:f>
        <x:v>Not Started</x:v>
      </x:c>
      <x:c r="H1099" s="7" t="str">
        <x:f>IFERROR(XLOOKUP(C1099,'Review Sequence'!C2:C1586,'Review Sequence'!O2:O1586),"")</x:f>
      </x:c>
      <x:c r="I1099" s="6" t="str">
        <x:f>IFERROR(XLOOKUP(C1099,'Review Sequence'!C2:C1586,'Review Sequence'!P2:P1586),"")</x:f>
        <x:v>Yes</x:v>
      </x:c>
    </x:row>
    <x:row r="1100">
      <x:c r="A1100" s="6" t="str">
        <x:v>BLK-1099</x:v>
      </x:c>
      <x:c r="B1100" s="6" t="str">
        <x:v>Part Requirement</x:v>
      </x:c>
      <x:c r="C1100" s="6" t="str">
        <x:v>PRTX-0142</x:v>
      </x:c>
      <x:c r="D1100" s="6" t="str">
        <x:v>SVC000142</x:v>
      </x:c>
      <x:c r="E1100" s="6" t="str"/>
      <x:c r="F1100" s="6" t="str">
        <x:f>IFERROR(XLOOKUP(C1100,'Review Sequence'!C2:C1586,'Review Sequence'!I2:I1586),"")</x:f>
        <x:v>Not Started</x:v>
      </x:c>
      <x:c r="G1100" s="6" t="str">
        <x:f>IFERROR(XLOOKUP(C1100,'Review Sequence'!C2:C1586,'Review Sequence'!J2:J1586),"")</x:f>
        <x:v>Not Started</x:v>
      </x:c>
      <x:c r="H1100" s="7" t="str">
        <x:f>IFERROR(XLOOKUP(C1100,'Review Sequence'!C2:C1586,'Review Sequence'!O2:O1586),"")</x:f>
      </x:c>
      <x:c r="I1100" s="6" t="str">
        <x:f>IFERROR(XLOOKUP(C1100,'Review Sequence'!C2:C1586,'Review Sequence'!P2:P1586),"")</x:f>
        <x:v>Yes</x:v>
      </x:c>
    </x:row>
    <x:row r="1101">
      <x:c r="A1101" s="6" t="str">
        <x:v>BLK-1100</x:v>
      </x:c>
      <x:c r="B1101" s="6" t="str">
        <x:v>Part Requirement</x:v>
      </x:c>
      <x:c r="C1101" s="6" t="str">
        <x:v>PRTX-0143</x:v>
      </x:c>
      <x:c r="D1101" s="6" t="str">
        <x:v>SVC000143</x:v>
      </x:c>
      <x:c r="E1101" s="6" t="str"/>
      <x:c r="F1101" s="6" t="str">
        <x:f>IFERROR(XLOOKUP(C1101,'Review Sequence'!C2:C1586,'Review Sequence'!I2:I1586),"")</x:f>
        <x:v>Not Started</x:v>
      </x:c>
      <x:c r="G1101" s="6" t="str">
        <x:f>IFERROR(XLOOKUP(C1101,'Review Sequence'!C2:C1586,'Review Sequence'!J2:J1586),"")</x:f>
        <x:v>Not Started</x:v>
      </x:c>
      <x:c r="H1101" s="7" t="str">
        <x:f>IFERROR(XLOOKUP(C1101,'Review Sequence'!C2:C1586,'Review Sequence'!O2:O1586),"")</x:f>
      </x:c>
      <x:c r="I1101" s="6" t="str">
        <x:f>IFERROR(XLOOKUP(C1101,'Review Sequence'!C2:C1586,'Review Sequence'!P2:P1586),"")</x:f>
        <x:v>Yes</x:v>
      </x:c>
    </x:row>
    <x:row r="1102">
      <x:c r="A1102" s="6" t="str">
        <x:v>BLK-1101</x:v>
      </x:c>
      <x:c r="B1102" s="6" t="str">
        <x:v>Part Requirement</x:v>
      </x:c>
      <x:c r="C1102" s="6" t="str">
        <x:v>PRTX-0144</x:v>
      </x:c>
      <x:c r="D1102" s="6" t="str">
        <x:v>SVC000144</x:v>
      </x:c>
      <x:c r="E1102" s="6" t="str"/>
      <x:c r="F1102" s="6" t="str">
        <x:f>IFERROR(XLOOKUP(C1102,'Review Sequence'!C2:C1586,'Review Sequence'!I2:I1586),"")</x:f>
        <x:v>Not Started</x:v>
      </x:c>
      <x:c r="G1102" s="6" t="str">
        <x:f>IFERROR(XLOOKUP(C1102,'Review Sequence'!C2:C1586,'Review Sequence'!J2:J1586),"")</x:f>
        <x:v>Not Started</x:v>
      </x:c>
      <x:c r="H1102" s="7" t="str">
        <x:f>IFERROR(XLOOKUP(C1102,'Review Sequence'!C2:C1586,'Review Sequence'!O2:O1586),"")</x:f>
      </x:c>
      <x:c r="I1102" s="6" t="str">
        <x:f>IFERROR(XLOOKUP(C1102,'Review Sequence'!C2:C1586,'Review Sequence'!P2:P1586),"")</x:f>
        <x:v>Yes</x:v>
      </x:c>
    </x:row>
    <x:row r="1103">
      <x:c r="A1103" s="6" t="str">
        <x:v>BLK-1102</x:v>
      </x:c>
      <x:c r="B1103" s="6" t="str">
        <x:v>Part Requirement</x:v>
      </x:c>
      <x:c r="C1103" s="6" t="str">
        <x:v>PRTX-0145</x:v>
      </x:c>
      <x:c r="D1103" s="6" t="str">
        <x:v>SVC000145</x:v>
      </x:c>
      <x:c r="E1103" s="6" t="str"/>
      <x:c r="F1103" s="6" t="str">
        <x:f>IFERROR(XLOOKUP(C1103,'Review Sequence'!C2:C1586,'Review Sequence'!I2:I1586),"")</x:f>
        <x:v>Not Started</x:v>
      </x:c>
      <x:c r="G1103" s="6" t="str">
        <x:f>IFERROR(XLOOKUP(C1103,'Review Sequence'!C2:C1586,'Review Sequence'!J2:J1586),"")</x:f>
        <x:v>Not Started</x:v>
      </x:c>
      <x:c r="H1103" s="7" t="str">
        <x:f>IFERROR(XLOOKUP(C1103,'Review Sequence'!C2:C1586,'Review Sequence'!O2:O1586),"")</x:f>
      </x:c>
      <x:c r="I1103" s="6" t="str">
        <x:f>IFERROR(XLOOKUP(C1103,'Review Sequence'!C2:C1586,'Review Sequence'!P2:P1586),"")</x:f>
        <x:v>Yes</x:v>
      </x:c>
    </x:row>
    <x:row r="1104">
      <x:c r="A1104" s="6" t="str">
        <x:v>BLK-1103</x:v>
      </x:c>
      <x:c r="B1104" s="6" t="str">
        <x:v>Part Requirement</x:v>
      </x:c>
      <x:c r="C1104" s="6" t="str">
        <x:v>PRTX-0146</x:v>
      </x:c>
      <x:c r="D1104" s="6" t="str">
        <x:v>SVC000146</x:v>
      </x:c>
      <x:c r="E1104" s="6" t="str"/>
      <x:c r="F1104" s="6" t="str">
        <x:f>IFERROR(XLOOKUP(C1104,'Review Sequence'!C2:C1586,'Review Sequence'!I2:I1586),"")</x:f>
        <x:v>Not Started</x:v>
      </x:c>
      <x:c r="G1104" s="6" t="str">
        <x:f>IFERROR(XLOOKUP(C1104,'Review Sequence'!C2:C1586,'Review Sequence'!J2:J1586),"")</x:f>
        <x:v>Not Started</x:v>
      </x:c>
      <x:c r="H1104" s="7" t="str">
        <x:f>IFERROR(XLOOKUP(C1104,'Review Sequence'!C2:C1586,'Review Sequence'!O2:O1586),"")</x:f>
      </x:c>
      <x:c r="I1104" s="6" t="str">
        <x:f>IFERROR(XLOOKUP(C1104,'Review Sequence'!C2:C1586,'Review Sequence'!P2:P1586),"")</x:f>
        <x:v>Yes</x:v>
      </x:c>
    </x:row>
    <x:row r="1105">
      <x:c r="A1105" s="6" t="str">
        <x:v>BLK-1104</x:v>
      </x:c>
      <x:c r="B1105" s="6" t="str">
        <x:v>Part Requirement</x:v>
      </x:c>
      <x:c r="C1105" s="6" t="str">
        <x:v>PRTX-0147</x:v>
      </x:c>
      <x:c r="D1105" s="6" t="str">
        <x:v>SVC000147</x:v>
      </x:c>
      <x:c r="E1105" s="6" t="str"/>
      <x:c r="F1105" s="6" t="str">
        <x:f>IFERROR(XLOOKUP(C1105,'Review Sequence'!C2:C1586,'Review Sequence'!I2:I1586),"")</x:f>
        <x:v>Not Started</x:v>
      </x:c>
      <x:c r="G1105" s="6" t="str">
        <x:f>IFERROR(XLOOKUP(C1105,'Review Sequence'!C2:C1586,'Review Sequence'!J2:J1586),"")</x:f>
        <x:v>Not Started</x:v>
      </x:c>
      <x:c r="H1105" s="7" t="str">
        <x:f>IFERROR(XLOOKUP(C1105,'Review Sequence'!C2:C1586,'Review Sequence'!O2:O1586),"")</x:f>
      </x:c>
      <x:c r="I1105" s="6" t="str">
        <x:f>IFERROR(XLOOKUP(C1105,'Review Sequence'!C2:C1586,'Review Sequence'!P2:P1586),"")</x:f>
        <x:v>Yes</x:v>
      </x:c>
    </x:row>
    <x:row r="1106">
      <x:c r="A1106" s="6" t="str">
        <x:v>BLK-1105</x:v>
      </x:c>
      <x:c r="B1106" s="6" t="str">
        <x:v>Part Requirement</x:v>
      </x:c>
      <x:c r="C1106" s="6" t="str">
        <x:v>PRTX-0148</x:v>
      </x:c>
      <x:c r="D1106" s="6" t="str">
        <x:v>SVC000148</x:v>
      </x:c>
      <x:c r="E1106" s="6" t="str"/>
      <x:c r="F1106" s="6" t="str">
        <x:f>IFERROR(XLOOKUP(C1106,'Review Sequence'!C2:C1586,'Review Sequence'!I2:I1586),"")</x:f>
        <x:v>Not Started</x:v>
      </x:c>
      <x:c r="G1106" s="6" t="str">
        <x:f>IFERROR(XLOOKUP(C1106,'Review Sequence'!C2:C1586,'Review Sequence'!J2:J1586),"")</x:f>
        <x:v>Not Started</x:v>
      </x:c>
      <x:c r="H1106" s="7" t="str">
        <x:f>IFERROR(XLOOKUP(C1106,'Review Sequence'!C2:C1586,'Review Sequence'!O2:O1586),"")</x:f>
      </x:c>
      <x:c r="I1106" s="6" t="str">
        <x:f>IFERROR(XLOOKUP(C1106,'Review Sequence'!C2:C1586,'Review Sequence'!P2:P1586),"")</x:f>
        <x:v>Yes</x:v>
      </x:c>
    </x:row>
    <x:row r="1107">
      <x:c r="A1107" s="6" t="str">
        <x:v>BLK-1106</x:v>
      </x:c>
      <x:c r="B1107" s="6" t="str">
        <x:v>Part Requirement</x:v>
      </x:c>
      <x:c r="C1107" s="6" t="str">
        <x:v>PRTX-0149</x:v>
      </x:c>
      <x:c r="D1107" s="6" t="str">
        <x:v>SVC000149</x:v>
      </x:c>
      <x:c r="E1107" s="6" t="str"/>
      <x:c r="F1107" s="6" t="str">
        <x:f>IFERROR(XLOOKUP(C1107,'Review Sequence'!C2:C1586,'Review Sequence'!I2:I1586),"")</x:f>
        <x:v>Not Started</x:v>
      </x:c>
      <x:c r="G1107" s="6" t="str">
        <x:f>IFERROR(XLOOKUP(C1107,'Review Sequence'!C2:C1586,'Review Sequence'!J2:J1586),"")</x:f>
        <x:v>Not Started</x:v>
      </x:c>
      <x:c r="H1107" s="7" t="str">
        <x:f>IFERROR(XLOOKUP(C1107,'Review Sequence'!C2:C1586,'Review Sequence'!O2:O1586),"")</x:f>
      </x:c>
      <x:c r="I1107" s="6" t="str">
        <x:f>IFERROR(XLOOKUP(C1107,'Review Sequence'!C2:C1586,'Review Sequence'!P2:P1586),"")</x:f>
        <x:v>Yes</x:v>
      </x:c>
    </x:row>
    <x:row r="1108">
      <x:c r="A1108" s="6" t="str">
        <x:v>BLK-1107</x:v>
      </x:c>
      <x:c r="B1108" s="6" t="str">
        <x:v>Part Requirement</x:v>
      </x:c>
      <x:c r="C1108" s="6" t="str">
        <x:v>PRTX-0150</x:v>
      </x:c>
      <x:c r="D1108" s="6" t="str">
        <x:v>SVC000150</x:v>
      </x:c>
      <x:c r="E1108" s="6" t="str"/>
      <x:c r="F1108" s="6" t="str">
        <x:f>IFERROR(XLOOKUP(C1108,'Review Sequence'!C2:C1586,'Review Sequence'!I2:I1586),"")</x:f>
        <x:v>Not Started</x:v>
      </x:c>
      <x:c r="G1108" s="6" t="str">
        <x:f>IFERROR(XLOOKUP(C1108,'Review Sequence'!C2:C1586,'Review Sequence'!J2:J1586),"")</x:f>
        <x:v>Not Started</x:v>
      </x:c>
      <x:c r="H1108" s="7" t="str">
        <x:f>IFERROR(XLOOKUP(C1108,'Review Sequence'!C2:C1586,'Review Sequence'!O2:O1586),"")</x:f>
      </x:c>
      <x:c r="I1108" s="6" t="str">
        <x:f>IFERROR(XLOOKUP(C1108,'Review Sequence'!C2:C1586,'Review Sequence'!P2:P1586),"")</x:f>
        <x:v>Yes</x:v>
      </x:c>
    </x:row>
    <x:row r="1109">
      <x:c r="A1109" s="6" t="str">
        <x:v>BLK-1108</x:v>
      </x:c>
      <x:c r="B1109" s="6" t="str">
        <x:v>Part Requirement</x:v>
      </x:c>
      <x:c r="C1109" s="6" t="str">
        <x:v>PRTX-0151</x:v>
      </x:c>
      <x:c r="D1109" s="6" t="str">
        <x:v>SVC000151</x:v>
      </x:c>
      <x:c r="E1109" s="6" t="str"/>
      <x:c r="F1109" s="6" t="str">
        <x:f>IFERROR(XLOOKUP(C1109,'Review Sequence'!C2:C1586,'Review Sequence'!I2:I1586),"")</x:f>
        <x:v>Not Started</x:v>
      </x:c>
      <x:c r="G1109" s="6" t="str">
        <x:f>IFERROR(XLOOKUP(C1109,'Review Sequence'!C2:C1586,'Review Sequence'!J2:J1586),"")</x:f>
        <x:v>Not Started</x:v>
      </x:c>
      <x:c r="H1109" s="7" t="str">
        <x:f>IFERROR(XLOOKUP(C1109,'Review Sequence'!C2:C1586,'Review Sequence'!O2:O1586),"")</x:f>
      </x:c>
      <x:c r="I1109" s="6" t="str">
        <x:f>IFERROR(XLOOKUP(C1109,'Review Sequence'!C2:C1586,'Review Sequence'!P2:P1586),"")</x:f>
        <x:v>Yes</x:v>
      </x:c>
    </x:row>
    <x:row r="1110">
      <x:c r="A1110" s="6" t="str">
        <x:v>BLK-1109</x:v>
      </x:c>
      <x:c r="B1110" s="6" t="str">
        <x:v>Part Requirement</x:v>
      </x:c>
      <x:c r="C1110" s="6" t="str">
        <x:v>PRTX-0152</x:v>
      </x:c>
      <x:c r="D1110" s="6" t="str">
        <x:v>SVC000152</x:v>
      </x:c>
      <x:c r="E1110" s="6" t="str"/>
      <x:c r="F1110" s="6" t="str">
        <x:f>IFERROR(XLOOKUP(C1110,'Review Sequence'!C2:C1586,'Review Sequence'!I2:I1586),"")</x:f>
        <x:v>Not Started</x:v>
      </x:c>
      <x:c r="G1110" s="6" t="str">
        <x:f>IFERROR(XLOOKUP(C1110,'Review Sequence'!C2:C1586,'Review Sequence'!J2:J1586),"")</x:f>
        <x:v>Not Started</x:v>
      </x:c>
      <x:c r="H1110" s="7" t="str">
        <x:f>IFERROR(XLOOKUP(C1110,'Review Sequence'!C2:C1586,'Review Sequence'!O2:O1586),"")</x:f>
      </x:c>
      <x:c r="I1110" s="6" t="str">
        <x:f>IFERROR(XLOOKUP(C1110,'Review Sequence'!C2:C1586,'Review Sequence'!P2:P1586),"")</x:f>
        <x:v>Yes</x:v>
      </x:c>
    </x:row>
    <x:row r="1111">
      <x:c r="A1111" s="6" t="str">
        <x:v>BLK-1110</x:v>
      </x:c>
      <x:c r="B1111" s="6" t="str">
        <x:v>Part Requirement</x:v>
      </x:c>
      <x:c r="C1111" s="6" t="str">
        <x:v>PRTX-0153</x:v>
      </x:c>
      <x:c r="D1111" s="6" t="str">
        <x:v>SVC000153</x:v>
      </x:c>
      <x:c r="E1111" s="6" t="str"/>
      <x:c r="F1111" s="6" t="str">
        <x:f>IFERROR(XLOOKUP(C1111,'Review Sequence'!C2:C1586,'Review Sequence'!I2:I1586),"")</x:f>
        <x:v>Not Started</x:v>
      </x:c>
      <x:c r="G1111" s="6" t="str">
        <x:f>IFERROR(XLOOKUP(C1111,'Review Sequence'!C2:C1586,'Review Sequence'!J2:J1586),"")</x:f>
        <x:v>Not Started</x:v>
      </x:c>
      <x:c r="H1111" s="7" t="str">
        <x:f>IFERROR(XLOOKUP(C1111,'Review Sequence'!C2:C1586,'Review Sequence'!O2:O1586),"")</x:f>
      </x:c>
      <x:c r="I1111" s="6" t="str">
        <x:f>IFERROR(XLOOKUP(C1111,'Review Sequence'!C2:C1586,'Review Sequence'!P2:P1586),"")</x:f>
        <x:v>Yes</x:v>
      </x:c>
    </x:row>
    <x:row r="1112">
      <x:c r="A1112" s="6" t="str">
        <x:v>BLK-1111</x:v>
      </x:c>
      <x:c r="B1112" s="6" t="str">
        <x:v>Part Requirement</x:v>
      </x:c>
      <x:c r="C1112" s="6" t="str">
        <x:v>PRTX-0154</x:v>
      </x:c>
      <x:c r="D1112" s="6" t="str">
        <x:v>SVC000154</x:v>
      </x:c>
      <x:c r="E1112" s="6" t="str"/>
      <x:c r="F1112" s="6" t="str">
        <x:f>IFERROR(XLOOKUP(C1112,'Review Sequence'!C2:C1586,'Review Sequence'!I2:I1586),"")</x:f>
        <x:v>Not Started</x:v>
      </x:c>
      <x:c r="G1112" s="6" t="str">
        <x:f>IFERROR(XLOOKUP(C1112,'Review Sequence'!C2:C1586,'Review Sequence'!J2:J1586),"")</x:f>
        <x:v>Not Started</x:v>
      </x:c>
      <x:c r="H1112" s="7" t="str">
        <x:f>IFERROR(XLOOKUP(C1112,'Review Sequence'!C2:C1586,'Review Sequence'!O2:O1586),"")</x:f>
      </x:c>
      <x:c r="I1112" s="6" t="str">
        <x:f>IFERROR(XLOOKUP(C1112,'Review Sequence'!C2:C1586,'Review Sequence'!P2:P1586),"")</x:f>
        <x:v>Yes</x:v>
      </x:c>
    </x:row>
    <x:row r="1113">
      <x:c r="A1113" s="6" t="str">
        <x:v>BLK-1112</x:v>
      </x:c>
      <x:c r="B1113" s="6" t="str">
        <x:v>Part Requirement</x:v>
      </x:c>
      <x:c r="C1113" s="6" t="str">
        <x:v>PRTX-0155</x:v>
      </x:c>
      <x:c r="D1113" s="6" t="str">
        <x:v>SVC000155</x:v>
      </x:c>
      <x:c r="E1113" s="6" t="str"/>
      <x:c r="F1113" s="6" t="str">
        <x:f>IFERROR(XLOOKUP(C1113,'Review Sequence'!C2:C1586,'Review Sequence'!I2:I1586),"")</x:f>
        <x:v>Not Started</x:v>
      </x:c>
      <x:c r="G1113" s="6" t="str">
        <x:f>IFERROR(XLOOKUP(C1113,'Review Sequence'!C2:C1586,'Review Sequence'!J2:J1586),"")</x:f>
        <x:v>Not Started</x:v>
      </x:c>
      <x:c r="H1113" s="7" t="str">
        <x:f>IFERROR(XLOOKUP(C1113,'Review Sequence'!C2:C1586,'Review Sequence'!O2:O1586),"")</x:f>
      </x:c>
      <x:c r="I1113" s="6" t="str">
        <x:f>IFERROR(XLOOKUP(C1113,'Review Sequence'!C2:C1586,'Review Sequence'!P2:P1586),"")</x:f>
        <x:v>Yes</x:v>
      </x:c>
    </x:row>
    <x:row r="1114">
      <x:c r="A1114" s="6" t="str">
        <x:v>BLK-1113</x:v>
      </x:c>
      <x:c r="B1114" s="6" t="str">
        <x:v>Part Requirement</x:v>
      </x:c>
      <x:c r="C1114" s="6" t="str">
        <x:v>PRTX-0156</x:v>
      </x:c>
      <x:c r="D1114" s="6" t="str">
        <x:v>SVC000156</x:v>
      </x:c>
      <x:c r="E1114" s="6" t="str"/>
      <x:c r="F1114" s="6" t="str">
        <x:f>IFERROR(XLOOKUP(C1114,'Review Sequence'!C2:C1586,'Review Sequence'!I2:I1586),"")</x:f>
        <x:v>Not Started</x:v>
      </x:c>
      <x:c r="G1114" s="6" t="str">
        <x:f>IFERROR(XLOOKUP(C1114,'Review Sequence'!C2:C1586,'Review Sequence'!J2:J1586),"")</x:f>
        <x:v>Not Started</x:v>
      </x:c>
      <x:c r="H1114" s="7" t="str">
        <x:f>IFERROR(XLOOKUP(C1114,'Review Sequence'!C2:C1586,'Review Sequence'!O2:O1586),"")</x:f>
      </x:c>
      <x:c r="I1114" s="6" t="str">
        <x:f>IFERROR(XLOOKUP(C1114,'Review Sequence'!C2:C1586,'Review Sequence'!P2:P1586),"")</x:f>
        <x:v>Yes</x:v>
      </x:c>
    </x:row>
    <x:row r="1115">
      <x:c r="A1115" s="6" t="str">
        <x:v>BLK-1114</x:v>
      </x:c>
      <x:c r="B1115" s="6" t="str">
        <x:v>Part Requirement</x:v>
      </x:c>
      <x:c r="C1115" s="6" t="str">
        <x:v>PRTX-0157</x:v>
      </x:c>
      <x:c r="D1115" s="6" t="str">
        <x:v>SVC000157</x:v>
      </x:c>
      <x:c r="E1115" s="6" t="str"/>
      <x:c r="F1115" s="6" t="str">
        <x:f>IFERROR(XLOOKUP(C1115,'Review Sequence'!C2:C1586,'Review Sequence'!I2:I1586),"")</x:f>
        <x:v>Not Started</x:v>
      </x:c>
      <x:c r="G1115" s="6" t="str">
        <x:f>IFERROR(XLOOKUP(C1115,'Review Sequence'!C2:C1586,'Review Sequence'!J2:J1586),"")</x:f>
        <x:v>Not Started</x:v>
      </x:c>
      <x:c r="H1115" s="7" t="str">
        <x:f>IFERROR(XLOOKUP(C1115,'Review Sequence'!C2:C1586,'Review Sequence'!O2:O1586),"")</x:f>
      </x:c>
      <x:c r="I1115" s="6" t="str">
        <x:f>IFERROR(XLOOKUP(C1115,'Review Sequence'!C2:C1586,'Review Sequence'!P2:P1586),"")</x:f>
        <x:v>Yes</x:v>
      </x:c>
    </x:row>
    <x:row r="1116">
      <x:c r="A1116" s="6" t="str">
        <x:v>BLK-1115</x:v>
      </x:c>
      <x:c r="B1116" s="6" t="str">
        <x:v>Part Requirement</x:v>
      </x:c>
      <x:c r="C1116" s="6" t="str">
        <x:v>PRTX-0158</x:v>
      </x:c>
      <x:c r="D1116" s="6" t="str">
        <x:v>SVC000158</x:v>
      </x:c>
      <x:c r="E1116" s="6" t="str"/>
      <x:c r="F1116" s="6" t="str">
        <x:f>IFERROR(XLOOKUP(C1116,'Review Sequence'!C2:C1586,'Review Sequence'!I2:I1586),"")</x:f>
        <x:v>Not Started</x:v>
      </x:c>
      <x:c r="G1116" s="6" t="str">
        <x:f>IFERROR(XLOOKUP(C1116,'Review Sequence'!C2:C1586,'Review Sequence'!J2:J1586),"")</x:f>
        <x:v>Not Started</x:v>
      </x:c>
      <x:c r="H1116" s="7" t="str">
        <x:f>IFERROR(XLOOKUP(C1116,'Review Sequence'!C2:C1586,'Review Sequence'!O2:O1586),"")</x:f>
      </x:c>
      <x:c r="I1116" s="6" t="str">
        <x:f>IFERROR(XLOOKUP(C1116,'Review Sequence'!C2:C1586,'Review Sequence'!P2:P1586),"")</x:f>
        <x:v>Yes</x:v>
      </x:c>
    </x:row>
    <x:row r="1117">
      <x:c r="A1117" s="6" t="str">
        <x:v>BLK-1116</x:v>
      </x:c>
      <x:c r="B1117" s="6" t="str">
        <x:v>Part Requirement</x:v>
      </x:c>
      <x:c r="C1117" s="6" t="str">
        <x:v>PRTX-0159</x:v>
      </x:c>
      <x:c r="D1117" s="6" t="str">
        <x:v>SVC000159</x:v>
      </x:c>
      <x:c r="E1117" s="6" t="str"/>
      <x:c r="F1117" s="6" t="str">
        <x:f>IFERROR(XLOOKUP(C1117,'Review Sequence'!C2:C1586,'Review Sequence'!I2:I1586),"")</x:f>
        <x:v>Not Started</x:v>
      </x:c>
      <x:c r="G1117" s="6" t="str">
        <x:f>IFERROR(XLOOKUP(C1117,'Review Sequence'!C2:C1586,'Review Sequence'!J2:J1586),"")</x:f>
        <x:v>Not Started</x:v>
      </x:c>
      <x:c r="H1117" s="7" t="str">
        <x:f>IFERROR(XLOOKUP(C1117,'Review Sequence'!C2:C1586,'Review Sequence'!O2:O1586),"")</x:f>
      </x:c>
      <x:c r="I1117" s="6" t="str">
        <x:f>IFERROR(XLOOKUP(C1117,'Review Sequence'!C2:C1586,'Review Sequence'!P2:P1586),"")</x:f>
        <x:v>Yes</x:v>
      </x:c>
    </x:row>
    <x:row r="1118">
      <x:c r="A1118" s="6" t="str">
        <x:v>BLK-1117</x:v>
      </x:c>
      <x:c r="B1118" s="6" t="str">
        <x:v>Part Requirement</x:v>
      </x:c>
      <x:c r="C1118" s="6" t="str">
        <x:v>PRTX-0160</x:v>
      </x:c>
      <x:c r="D1118" s="6" t="str">
        <x:v>SVC000160</x:v>
      </x:c>
      <x:c r="E1118" s="6" t="str"/>
      <x:c r="F1118" s="6" t="str">
        <x:f>IFERROR(XLOOKUP(C1118,'Review Sequence'!C2:C1586,'Review Sequence'!I2:I1586),"")</x:f>
        <x:v>Not Started</x:v>
      </x:c>
      <x:c r="G1118" s="6" t="str">
        <x:f>IFERROR(XLOOKUP(C1118,'Review Sequence'!C2:C1586,'Review Sequence'!J2:J1586),"")</x:f>
        <x:v>Not Started</x:v>
      </x:c>
      <x:c r="H1118" s="7" t="str">
        <x:f>IFERROR(XLOOKUP(C1118,'Review Sequence'!C2:C1586,'Review Sequence'!O2:O1586),"")</x:f>
      </x:c>
      <x:c r="I1118" s="6" t="str">
        <x:f>IFERROR(XLOOKUP(C1118,'Review Sequence'!C2:C1586,'Review Sequence'!P2:P1586),"")</x:f>
        <x:v>Yes</x:v>
      </x:c>
    </x:row>
    <x:row r="1119">
      <x:c r="A1119" s="6" t="str">
        <x:v>BLK-1118</x:v>
      </x:c>
      <x:c r="B1119" s="6" t="str">
        <x:v>Part Requirement</x:v>
      </x:c>
      <x:c r="C1119" s="6" t="str">
        <x:v>PRTX-0161</x:v>
      </x:c>
      <x:c r="D1119" s="6" t="str">
        <x:v>SVC000161</x:v>
      </x:c>
      <x:c r="E1119" s="6" t="str"/>
      <x:c r="F1119" s="6" t="str">
        <x:f>IFERROR(XLOOKUP(C1119,'Review Sequence'!C2:C1586,'Review Sequence'!I2:I1586),"")</x:f>
        <x:v>Not Started</x:v>
      </x:c>
      <x:c r="G1119" s="6" t="str">
        <x:f>IFERROR(XLOOKUP(C1119,'Review Sequence'!C2:C1586,'Review Sequence'!J2:J1586),"")</x:f>
        <x:v>Not Started</x:v>
      </x:c>
      <x:c r="H1119" s="7" t="str">
        <x:f>IFERROR(XLOOKUP(C1119,'Review Sequence'!C2:C1586,'Review Sequence'!O2:O1586),"")</x:f>
      </x:c>
      <x:c r="I1119" s="6" t="str">
        <x:f>IFERROR(XLOOKUP(C1119,'Review Sequence'!C2:C1586,'Review Sequence'!P2:P1586),"")</x:f>
        <x:v>Yes</x:v>
      </x:c>
    </x:row>
    <x:row r="1120">
      <x:c r="A1120" s="6" t="str">
        <x:v>BLK-1119</x:v>
      </x:c>
      <x:c r="B1120" s="6" t="str">
        <x:v>Part Requirement</x:v>
      </x:c>
      <x:c r="C1120" s="6" t="str">
        <x:v>PRTX-0162</x:v>
      </x:c>
      <x:c r="D1120" s="6" t="str">
        <x:v>SVC000162</x:v>
      </x:c>
      <x:c r="E1120" s="6" t="str"/>
      <x:c r="F1120" s="6" t="str">
        <x:f>IFERROR(XLOOKUP(C1120,'Review Sequence'!C2:C1586,'Review Sequence'!I2:I1586),"")</x:f>
        <x:v>Not Started</x:v>
      </x:c>
      <x:c r="G1120" s="6" t="str">
        <x:f>IFERROR(XLOOKUP(C1120,'Review Sequence'!C2:C1586,'Review Sequence'!J2:J1586),"")</x:f>
        <x:v>Not Started</x:v>
      </x:c>
      <x:c r="H1120" s="7" t="str">
        <x:f>IFERROR(XLOOKUP(C1120,'Review Sequence'!C2:C1586,'Review Sequence'!O2:O1586),"")</x:f>
      </x:c>
      <x:c r="I1120" s="6" t="str">
        <x:f>IFERROR(XLOOKUP(C1120,'Review Sequence'!C2:C1586,'Review Sequence'!P2:P1586),"")</x:f>
        <x:v>Yes</x:v>
      </x:c>
    </x:row>
    <x:row r="1121">
      <x:c r="A1121" s="6" t="str">
        <x:v>BLK-1120</x:v>
      </x:c>
      <x:c r="B1121" s="6" t="str">
        <x:v>Part Requirement</x:v>
      </x:c>
      <x:c r="C1121" s="6" t="str">
        <x:v>PRTX-0163</x:v>
      </x:c>
      <x:c r="D1121" s="6" t="str">
        <x:v>SVC000163</x:v>
      </x:c>
      <x:c r="E1121" s="6" t="str"/>
      <x:c r="F1121" s="6" t="str">
        <x:f>IFERROR(XLOOKUP(C1121,'Review Sequence'!C2:C1586,'Review Sequence'!I2:I1586),"")</x:f>
        <x:v>Not Started</x:v>
      </x:c>
      <x:c r="G1121" s="6" t="str">
        <x:f>IFERROR(XLOOKUP(C1121,'Review Sequence'!C2:C1586,'Review Sequence'!J2:J1586),"")</x:f>
        <x:v>Not Started</x:v>
      </x:c>
      <x:c r="H1121" s="7" t="str">
        <x:f>IFERROR(XLOOKUP(C1121,'Review Sequence'!C2:C1586,'Review Sequence'!O2:O1586),"")</x:f>
      </x:c>
      <x:c r="I1121" s="6" t="str">
        <x:f>IFERROR(XLOOKUP(C1121,'Review Sequence'!C2:C1586,'Review Sequence'!P2:P1586),"")</x:f>
        <x:v>Yes</x:v>
      </x:c>
    </x:row>
    <x:row r="1122">
      <x:c r="A1122" s="6" t="str">
        <x:v>BLK-1121</x:v>
      </x:c>
      <x:c r="B1122" s="6" t="str">
        <x:v>Part Requirement</x:v>
      </x:c>
      <x:c r="C1122" s="6" t="str">
        <x:v>PRTX-0164</x:v>
      </x:c>
      <x:c r="D1122" s="6" t="str">
        <x:v>SVC000164</x:v>
      </x:c>
      <x:c r="E1122" s="6" t="str"/>
      <x:c r="F1122" s="6" t="str">
        <x:f>IFERROR(XLOOKUP(C1122,'Review Sequence'!C2:C1586,'Review Sequence'!I2:I1586),"")</x:f>
        <x:v>Not Started</x:v>
      </x:c>
      <x:c r="G1122" s="6" t="str">
        <x:f>IFERROR(XLOOKUP(C1122,'Review Sequence'!C2:C1586,'Review Sequence'!J2:J1586),"")</x:f>
        <x:v>Not Started</x:v>
      </x:c>
      <x:c r="H1122" s="7" t="str">
        <x:f>IFERROR(XLOOKUP(C1122,'Review Sequence'!C2:C1586,'Review Sequence'!O2:O1586),"")</x:f>
      </x:c>
      <x:c r="I1122" s="6" t="str">
        <x:f>IFERROR(XLOOKUP(C1122,'Review Sequence'!C2:C1586,'Review Sequence'!P2:P1586),"")</x:f>
        <x:v>Yes</x:v>
      </x:c>
    </x:row>
    <x:row r="1123">
      <x:c r="A1123" s="6" t="str">
        <x:v>BLK-1122</x:v>
      </x:c>
      <x:c r="B1123" s="6" t="str">
        <x:v>Part Requirement</x:v>
      </x:c>
      <x:c r="C1123" s="6" t="str">
        <x:v>PRTX-0165</x:v>
      </x:c>
      <x:c r="D1123" s="6" t="str">
        <x:v>SVC000165</x:v>
      </x:c>
      <x:c r="E1123" s="6" t="str"/>
      <x:c r="F1123" s="6" t="str">
        <x:f>IFERROR(XLOOKUP(C1123,'Review Sequence'!C2:C1586,'Review Sequence'!I2:I1586),"")</x:f>
        <x:v>Not Started</x:v>
      </x:c>
      <x:c r="G1123" s="6" t="str">
        <x:f>IFERROR(XLOOKUP(C1123,'Review Sequence'!C2:C1586,'Review Sequence'!J2:J1586),"")</x:f>
        <x:v>Not Started</x:v>
      </x:c>
      <x:c r="H1123" s="7" t="str">
        <x:f>IFERROR(XLOOKUP(C1123,'Review Sequence'!C2:C1586,'Review Sequence'!O2:O1586),"")</x:f>
      </x:c>
      <x:c r="I1123" s="6" t="str">
        <x:f>IFERROR(XLOOKUP(C1123,'Review Sequence'!C2:C1586,'Review Sequence'!P2:P1586),"")</x:f>
        <x:v>Yes</x:v>
      </x:c>
    </x:row>
    <x:row r="1124">
      <x:c r="A1124" s="6" t="str">
        <x:v>BLK-1123</x:v>
      </x:c>
      <x:c r="B1124" s="6" t="str">
        <x:v>Part Requirement</x:v>
      </x:c>
      <x:c r="C1124" s="6" t="str">
        <x:v>PRTX-0166</x:v>
      </x:c>
      <x:c r="D1124" s="6" t="str">
        <x:v>SVC000166</x:v>
      </x:c>
      <x:c r="E1124" s="6" t="str"/>
      <x:c r="F1124" s="6" t="str">
        <x:f>IFERROR(XLOOKUP(C1124,'Review Sequence'!C2:C1586,'Review Sequence'!I2:I1586),"")</x:f>
        <x:v>Not Started</x:v>
      </x:c>
      <x:c r="G1124" s="6" t="str">
        <x:f>IFERROR(XLOOKUP(C1124,'Review Sequence'!C2:C1586,'Review Sequence'!J2:J1586),"")</x:f>
        <x:v>Not Started</x:v>
      </x:c>
      <x:c r="H1124" s="7" t="str">
        <x:f>IFERROR(XLOOKUP(C1124,'Review Sequence'!C2:C1586,'Review Sequence'!O2:O1586),"")</x:f>
      </x:c>
      <x:c r="I1124" s="6" t="str">
        <x:f>IFERROR(XLOOKUP(C1124,'Review Sequence'!C2:C1586,'Review Sequence'!P2:P1586),"")</x:f>
        <x:v>Yes</x:v>
      </x:c>
    </x:row>
    <x:row r="1125">
      <x:c r="A1125" s="6" t="str">
        <x:v>BLK-1124</x:v>
      </x:c>
      <x:c r="B1125" s="6" t="str">
        <x:v>Part Requirement</x:v>
      </x:c>
      <x:c r="C1125" s="6" t="str">
        <x:v>PRTX-0167</x:v>
      </x:c>
      <x:c r="D1125" s="6" t="str">
        <x:v>SVC000167</x:v>
      </x:c>
      <x:c r="E1125" s="6" t="str"/>
      <x:c r="F1125" s="6" t="str">
        <x:f>IFERROR(XLOOKUP(C1125,'Review Sequence'!C2:C1586,'Review Sequence'!I2:I1586),"")</x:f>
        <x:v>Not Started</x:v>
      </x:c>
      <x:c r="G1125" s="6" t="str">
        <x:f>IFERROR(XLOOKUP(C1125,'Review Sequence'!C2:C1586,'Review Sequence'!J2:J1586),"")</x:f>
        <x:v>Not Started</x:v>
      </x:c>
      <x:c r="H1125" s="7" t="str">
        <x:f>IFERROR(XLOOKUP(C1125,'Review Sequence'!C2:C1586,'Review Sequence'!O2:O1586),"")</x:f>
      </x:c>
      <x:c r="I1125" s="6" t="str">
        <x:f>IFERROR(XLOOKUP(C1125,'Review Sequence'!C2:C1586,'Review Sequence'!P2:P1586),"")</x:f>
        <x:v>Yes</x:v>
      </x:c>
    </x:row>
    <x:row r="1126">
      <x:c r="A1126" s="6" t="str">
        <x:v>BLK-1125</x:v>
      </x:c>
      <x:c r="B1126" s="6" t="str">
        <x:v>Part Requirement</x:v>
      </x:c>
      <x:c r="C1126" s="6" t="str">
        <x:v>PRTX-0168</x:v>
      </x:c>
      <x:c r="D1126" s="6" t="str">
        <x:v>SVC000168</x:v>
      </x:c>
      <x:c r="E1126" s="6" t="str"/>
      <x:c r="F1126" s="6" t="str">
        <x:f>IFERROR(XLOOKUP(C1126,'Review Sequence'!C2:C1586,'Review Sequence'!I2:I1586),"")</x:f>
        <x:v>Not Started</x:v>
      </x:c>
      <x:c r="G1126" s="6" t="str">
        <x:f>IFERROR(XLOOKUP(C1126,'Review Sequence'!C2:C1586,'Review Sequence'!J2:J1586),"")</x:f>
        <x:v>Not Started</x:v>
      </x:c>
      <x:c r="H1126" s="7" t="str">
        <x:f>IFERROR(XLOOKUP(C1126,'Review Sequence'!C2:C1586,'Review Sequence'!O2:O1586),"")</x:f>
      </x:c>
      <x:c r="I1126" s="6" t="str">
        <x:f>IFERROR(XLOOKUP(C1126,'Review Sequence'!C2:C1586,'Review Sequence'!P2:P1586),"")</x:f>
        <x:v>Yes</x:v>
      </x:c>
    </x:row>
    <x:row r="1127">
      <x:c r="A1127" s="6" t="str">
        <x:v>BLK-1126</x:v>
      </x:c>
      <x:c r="B1127" s="6" t="str">
        <x:v>Part Requirement</x:v>
      </x:c>
      <x:c r="C1127" s="6" t="str">
        <x:v>PRTX-0169</x:v>
      </x:c>
      <x:c r="D1127" s="6" t="str">
        <x:v>SVC000169</x:v>
      </x:c>
      <x:c r="E1127" s="6" t="str"/>
      <x:c r="F1127" s="6" t="str">
        <x:f>IFERROR(XLOOKUP(C1127,'Review Sequence'!C2:C1586,'Review Sequence'!I2:I1586),"")</x:f>
        <x:v>Not Started</x:v>
      </x:c>
      <x:c r="G1127" s="6" t="str">
        <x:f>IFERROR(XLOOKUP(C1127,'Review Sequence'!C2:C1586,'Review Sequence'!J2:J1586),"")</x:f>
        <x:v>Not Started</x:v>
      </x:c>
      <x:c r="H1127" s="7" t="str">
        <x:f>IFERROR(XLOOKUP(C1127,'Review Sequence'!C2:C1586,'Review Sequence'!O2:O1586),"")</x:f>
      </x:c>
      <x:c r="I1127" s="6" t="str">
        <x:f>IFERROR(XLOOKUP(C1127,'Review Sequence'!C2:C1586,'Review Sequence'!P2:P1586),"")</x:f>
        <x:v>Yes</x:v>
      </x:c>
    </x:row>
    <x:row r="1128">
      <x:c r="A1128" s="6" t="str">
        <x:v>BLK-1127</x:v>
      </x:c>
      <x:c r="B1128" s="6" t="str">
        <x:v>Part Requirement</x:v>
      </x:c>
      <x:c r="C1128" s="6" t="str">
        <x:v>PRTX-0170</x:v>
      </x:c>
      <x:c r="D1128" s="6" t="str">
        <x:v>SVC000170</x:v>
      </x:c>
      <x:c r="E1128" s="6" t="str"/>
      <x:c r="F1128" s="6" t="str">
        <x:f>IFERROR(XLOOKUP(C1128,'Review Sequence'!C2:C1586,'Review Sequence'!I2:I1586),"")</x:f>
        <x:v>Not Started</x:v>
      </x:c>
      <x:c r="G1128" s="6" t="str">
        <x:f>IFERROR(XLOOKUP(C1128,'Review Sequence'!C2:C1586,'Review Sequence'!J2:J1586),"")</x:f>
        <x:v>Not Started</x:v>
      </x:c>
      <x:c r="H1128" s="7" t="str">
        <x:f>IFERROR(XLOOKUP(C1128,'Review Sequence'!C2:C1586,'Review Sequence'!O2:O1586),"")</x:f>
      </x:c>
      <x:c r="I1128" s="6" t="str">
        <x:f>IFERROR(XLOOKUP(C1128,'Review Sequence'!C2:C1586,'Review Sequence'!P2:P1586),"")</x:f>
        <x:v>Yes</x:v>
      </x:c>
    </x:row>
    <x:row r="1129">
      <x:c r="A1129" s="6" t="str">
        <x:v>BLK-1128</x:v>
      </x:c>
      <x:c r="B1129" s="6" t="str">
        <x:v>Part Requirement</x:v>
      </x:c>
      <x:c r="C1129" s="6" t="str">
        <x:v>PRTX-0171</x:v>
      </x:c>
      <x:c r="D1129" s="6" t="str">
        <x:v>SVC000171</x:v>
      </x:c>
      <x:c r="E1129" s="6" t="str"/>
      <x:c r="F1129" s="6" t="str">
        <x:f>IFERROR(XLOOKUP(C1129,'Review Sequence'!C2:C1586,'Review Sequence'!I2:I1586),"")</x:f>
        <x:v>Not Started</x:v>
      </x:c>
      <x:c r="G1129" s="6" t="str">
        <x:f>IFERROR(XLOOKUP(C1129,'Review Sequence'!C2:C1586,'Review Sequence'!J2:J1586),"")</x:f>
        <x:v>Not Started</x:v>
      </x:c>
      <x:c r="H1129" s="7" t="str">
        <x:f>IFERROR(XLOOKUP(C1129,'Review Sequence'!C2:C1586,'Review Sequence'!O2:O1586),"")</x:f>
      </x:c>
      <x:c r="I1129" s="6" t="str">
        <x:f>IFERROR(XLOOKUP(C1129,'Review Sequence'!C2:C1586,'Review Sequence'!P2:P1586),"")</x:f>
        <x:v>Yes</x:v>
      </x:c>
    </x:row>
    <x:row r="1130">
      <x:c r="A1130" s="6" t="str">
        <x:v>BLK-1129</x:v>
      </x:c>
      <x:c r="B1130" s="6" t="str">
        <x:v>Part Requirement</x:v>
      </x:c>
      <x:c r="C1130" s="6" t="str">
        <x:v>PRTX-0172</x:v>
      </x:c>
      <x:c r="D1130" s="6" t="str">
        <x:v>SVC000172</x:v>
      </x:c>
      <x:c r="E1130" s="6" t="str"/>
      <x:c r="F1130" s="6" t="str">
        <x:f>IFERROR(XLOOKUP(C1130,'Review Sequence'!C2:C1586,'Review Sequence'!I2:I1586),"")</x:f>
        <x:v>Not Started</x:v>
      </x:c>
      <x:c r="G1130" s="6" t="str">
        <x:f>IFERROR(XLOOKUP(C1130,'Review Sequence'!C2:C1586,'Review Sequence'!J2:J1586),"")</x:f>
        <x:v>Not Started</x:v>
      </x:c>
      <x:c r="H1130" s="7" t="str">
        <x:f>IFERROR(XLOOKUP(C1130,'Review Sequence'!C2:C1586,'Review Sequence'!O2:O1586),"")</x:f>
      </x:c>
      <x:c r="I1130" s="6" t="str">
        <x:f>IFERROR(XLOOKUP(C1130,'Review Sequence'!C2:C1586,'Review Sequence'!P2:P1586),"")</x:f>
        <x:v>Yes</x:v>
      </x:c>
    </x:row>
    <x:row r="1131">
      <x:c r="A1131" s="6" t="str">
        <x:v>BLK-1130</x:v>
      </x:c>
      <x:c r="B1131" s="6" t="str">
        <x:v>Part Requirement</x:v>
      </x:c>
      <x:c r="C1131" s="6" t="str">
        <x:v>PRTX-0173</x:v>
      </x:c>
      <x:c r="D1131" s="6" t="str">
        <x:v>SVC000173</x:v>
      </x:c>
      <x:c r="E1131" s="6" t="str"/>
      <x:c r="F1131" s="6" t="str">
        <x:f>IFERROR(XLOOKUP(C1131,'Review Sequence'!C2:C1586,'Review Sequence'!I2:I1586),"")</x:f>
        <x:v>Not Started</x:v>
      </x:c>
      <x:c r="G1131" s="6" t="str">
        <x:f>IFERROR(XLOOKUP(C1131,'Review Sequence'!C2:C1586,'Review Sequence'!J2:J1586),"")</x:f>
        <x:v>Not Started</x:v>
      </x:c>
      <x:c r="H1131" s="7" t="str">
        <x:f>IFERROR(XLOOKUP(C1131,'Review Sequence'!C2:C1586,'Review Sequence'!O2:O1586),"")</x:f>
      </x:c>
      <x:c r="I1131" s="6" t="str">
        <x:f>IFERROR(XLOOKUP(C1131,'Review Sequence'!C2:C1586,'Review Sequence'!P2:P1586),"")</x:f>
        <x:v>Yes</x:v>
      </x:c>
    </x:row>
    <x:row r="1132">
      <x:c r="A1132" s="6" t="str">
        <x:v>BLK-1131</x:v>
      </x:c>
      <x:c r="B1132" s="6" t="str">
        <x:v>Part Requirement</x:v>
      </x:c>
      <x:c r="C1132" s="6" t="str">
        <x:v>PRTX-0174</x:v>
      </x:c>
      <x:c r="D1132" s="6" t="str">
        <x:v>SVC000174</x:v>
      </x:c>
      <x:c r="E1132" s="6" t="str"/>
      <x:c r="F1132" s="6" t="str">
        <x:f>IFERROR(XLOOKUP(C1132,'Review Sequence'!C2:C1586,'Review Sequence'!I2:I1586),"")</x:f>
        <x:v>Not Started</x:v>
      </x:c>
      <x:c r="G1132" s="6" t="str">
        <x:f>IFERROR(XLOOKUP(C1132,'Review Sequence'!C2:C1586,'Review Sequence'!J2:J1586),"")</x:f>
        <x:v>Not Started</x:v>
      </x:c>
      <x:c r="H1132" s="7" t="str">
        <x:f>IFERROR(XLOOKUP(C1132,'Review Sequence'!C2:C1586,'Review Sequence'!O2:O1586),"")</x:f>
      </x:c>
      <x:c r="I1132" s="6" t="str">
        <x:f>IFERROR(XLOOKUP(C1132,'Review Sequence'!C2:C1586,'Review Sequence'!P2:P1586),"")</x:f>
        <x:v>Yes</x:v>
      </x:c>
    </x:row>
    <x:row r="1133">
      <x:c r="A1133" s="6" t="str">
        <x:v>BLK-1132</x:v>
      </x:c>
      <x:c r="B1133" s="6" t="str">
        <x:v>Part Requirement</x:v>
      </x:c>
      <x:c r="C1133" s="6" t="str">
        <x:v>PRTX-0175</x:v>
      </x:c>
      <x:c r="D1133" s="6" t="str">
        <x:v>SVC000175</x:v>
      </x:c>
      <x:c r="E1133" s="6" t="str"/>
      <x:c r="F1133" s="6" t="str">
        <x:f>IFERROR(XLOOKUP(C1133,'Review Sequence'!C2:C1586,'Review Sequence'!I2:I1586),"")</x:f>
        <x:v>Not Started</x:v>
      </x:c>
      <x:c r="G1133" s="6" t="str">
        <x:f>IFERROR(XLOOKUP(C1133,'Review Sequence'!C2:C1586,'Review Sequence'!J2:J1586),"")</x:f>
        <x:v>Not Started</x:v>
      </x:c>
      <x:c r="H1133" s="7" t="str">
        <x:f>IFERROR(XLOOKUP(C1133,'Review Sequence'!C2:C1586,'Review Sequence'!O2:O1586),"")</x:f>
      </x:c>
      <x:c r="I1133" s="6" t="str">
        <x:f>IFERROR(XLOOKUP(C1133,'Review Sequence'!C2:C1586,'Review Sequence'!P2:P1586),"")</x:f>
        <x:v>Yes</x:v>
      </x:c>
    </x:row>
    <x:row r="1134">
      <x:c r="A1134" s="6" t="str">
        <x:v>BLK-1133</x:v>
      </x:c>
      <x:c r="B1134" s="6" t="str">
        <x:v>Part Requirement</x:v>
      </x:c>
      <x:c r="C1134" s="6" t="str">
        <x:v>PRTX-0176</x:v>
      </x:c>
      <x:c r="D1134" s="6" t="str">
        <x:v>SVC000176</x:v>
      </x:c>
      <x:c r="E1134" s="6" t="str"/>
      <x:c r="F1134" s="6" t="str">
        <x:f>IFERROR(XLOOKUP(C1134,'Review Sequence'!C2:C1586,'Review Sequence'!I2:I1586),"")</x:f>
        <x:v>Not Started</x:v>
      </x:c>
      <x:c r="G1134" s="6" t="str">
        <x:f>IFERROR(XLOOKUP(C1134,'Review Sequence'!C2:C1586,'Review Sequence'!J2:J1586),"")</x:f>
        <x:v>Not Started</x:v>
      </x:c>
      <x:c r="H1134" s="7" t="str">
        <x:f>IFERROR(XLOOKUP(C1134,'Review Sequence'!C2:C1586,'Review Sequence'!O2:O1586),"")</x:f>
      </x:c>
      <x:c r="I1134" s="6" t="str">
        <x:f>IFERROR(XLOOKUP(C1134,'Review Sequence'!C2:C1586,'Review Sequence'!P2:P1586),"")</x:f>
        <x:v>Yes</x:v>
      </x:c>
    </x:row>
    <x:row r="1135">
      <x:c r="A1135" s="6" t="str">
        <x:v>BLK-1134</x:v>
      </x:c>
      <x:c r="B1135" s="6" t="str">
        <x:v>Part Requirement</x:v>
      </x:c>
      <x:c r="C1135" s="6" t="str">
        <x:v>PRTX-0177</x:v>
      </x:c>
      <x:c r="D1135" s="6" t="str">
        <x:v>SVC000177</x:v>
      </x:c>
      <x:c r="E1135" s="6" t="str"/>
      <x:c r="F1135" s="6" t="str">
        <x:f>IFERROR(XLOOKUP(C1135,'Review Sequence'!C2:C1586,'Review Sequence'!I2:I1586),"")</x:f>
        <x:v>Not Started</x:v>
      </x:c>
      <x:c r="G1135" s="6" t="str">
        <x:f>IFERROR(XLOOKUP(C1135,'Review Sequence'!C2:C1586,'Review Sequence'!J2:J1586),"")</x:f>
        <x:v>Not Started</x:v>
      </x:c>
      <x:c r="H1135" s="7" t="str">
        <x:f>IFERROR(XLOOKUP(C1135,'Review Sequence'!C2:C1586,'Review Sequence'!O2:O1586),"")</x:f>
      </x:c>
      <x:c r="I1135" s="6" t="str">
        <x:f>IFERROR(XLOOKUP(C1135,'Review Sequence'!C2:C1586,'Review Sequence'!P2:P1586),"")</x:f>
        <x:v>Yes</x:v>
      </x:c>
    </x:row>
    <x:row r="1136">
      <x:c r="A1136" s="6" t="str">
        <x:v>BLK-1135</x:v>
      </x:c>
      <x:c r="B1136" s="6" t="str">
        <x:v>Part Requirement</x:v>
      </x:c>
      <x:c r="C1136" s="6" t="str">
        <x:v>PRTX-0178</x:v>
      </x:c>
      <x:c r="D1136" s="6" t="str">
        <x:v>SVC000178</x:v>
      </x:c>
      <x:c r="E1136" s="6" t="str"/>
      <x:c r="F1136" s="6" t="str">
        <x:f>IFERROR(XLOOKUP(C1136,'Review Sequence'!C2:C1586,'Review Sequence'!I2:I1586),"")</x:f>
        <x:v>Not Started</x:v>
      </x:c>
      <x:c r="G1136" s="6" t="str">
        <x:f>IFERROR(XLOOKUP(C1136,'Review Sequence'!C2:C1586,'Review Sequence'!J2:J1586),"")</x:f>
        <x:v>Not Started</x:v>
      </x:c>
      <x:c r="H1136" s="7" t="str">
        <x:f>IFERROR(XLOOKUP(C1136,'Review Sequence'!C2:C1586,'Review Sequence'!O2:O1586),"")</x:f>
      </x:c>
      <x:c r="I1136" s="6" t="str">
        <x:f>IFERROR(XLOOKUP(C1136,'Review Sequence'!C2:C1586,'Review Sequence'!P2:P1586),"")</x:f>
        <x:v>Yes</x:v>
      </x:c>
    </x:row>
    <x:row r="1137">
      <x:c r="A1137" s="6" t="str">
        <x:v>BLK-1136</x:v>
      </x:c>
      <x:c r="B1137" s="6" t="str">
        <x:v>Part Requirement</x:v>
      </x:c>
      <x:c r="C1137" s="6" t="str">
        <x:v>PRTX-0179</x:v>
      </x:c>
      <x:c r="D1137" s="6" t="str">
        <x:v>SVC000179</x:v>
      </x:c>
      <x:c r="E1137" s="6" t="str"/>
      <x:c r="F1137" s="6" t="str">
        <x:f>IFERROR(XLOOKUP(C1137,'Review Sequence'!C2:C1586,'Review Sequence'!I2:I1586),"")</x:f>
        <x:v>Not Started</x:v>
      </x:c>
      <x:c r="G1137" s="6" t="str">
        <x:f>IFERROR(XLOOKUP(C1137,'Review Sequence'!C2:C1586,'Review Sequence'!J2:J1586),"")</x:f>
        <x:v>Not Started</x:v>
      </x:c>
      <x:c r="H1137" s="7" t="str">
        <x:f>IFERROR(XLOOKUP(C1137,'Review Sequence'!C2:C1586,'Review Sequence'!O2:O1586),"")</x:f>
      </x:c>
      <x:c r="I1137" s="6" t="str">
        <x:f>IFERROR(XLOOKUP(C1137,'Review Sequence'!C2:C1586,'Review Sequence'!P2:P1586),"")</x:f>
        <x:v>Yes</x:v>
      </x:c>
    </x:row>
    <x:row r="1138">
      <x:c r="A1138" s="6" t="str">
        <x:v>BLK-1137</x:v>
      </x:c>
      <x:c r="B1138" s="6" t="str">
        <x:v>Part Requirement</x:v>
      </x:c>
      <x:c r="C1138" s="6" t="str">
        <x:v>PRTX-0180</x:v>
      </x:c>
      <x:c r="D1138" s="6" t="str">
        <x:v>SVC000180</x:v>
      </x:c>
      <x:c r="E1138" s="6" t="str"/>
      <x:c r="F1138" s="6" t="str">
        <x:f>IFERROR(XLOOKUP(C1138,'Review Sequence'!C2:C1586,'Review Sequence'!I2:I1586),"")</x:f>
        <x:v>Not Started</x:v>
      </x:c>
      <x:c r="G1138" s="6" t="str">
        <x:f>IFERROR(XLOOKUP(C1138,'Review Sequence'!C2:C1586,'Review Sequence'!J2:J1586),"")</x:f>
        <x:v>Not Started</x:v>
      </x:c>
      <x:c r="H1138" s="7" t="str">
        <x:f>IFERROR(XLOOKUP(C1138,'Review Sequence'!C2:C1586,'Review Sequence'!O2:O1586),"")</x:f>
      </x:c>
      <x:c r="I1138" s="6" t="str">
        <x:f>IFERROR(XLOOKUP(C1138,'Review Sequence'!C2:C1586,'Review Sequence'!P2:P1586),"")</x:f>
        <x:v>Yes</x:v>
      </x:c>
    </x:row>
    <x:row r="1139">
      <x:c r="A1139" s="6" t="str">
        <x:v>BLK-1138</x:v>
      </x:c>
      <x:c r="B1139" s="6" t="str">
        <x:v>Part Requirement</x:v>
      </x:c>
      <x:c r="C1139" s="6" t="str">
        <x:v>PRTX-0181</x:v>
      </x:c>
      <x:c r="D1139" s="6" t="str">
        <x:v>SVC000181</x:v>
      </x:c>
      <x:c r="E1139" s="6" t="str"/>
      <x:c r="F1139" s="6" t="str">
        <x:f>IFERROR(XLOOKUP(C1139,'Review Sequence'!C2:C1586,'Review Sequence'!I2:I1586),"")</x:f>
        <x:v>Not Started</x:v>
      </x:c>
      <x:c r="G1139" s="6" t="str">
        <x:f>IFERROR(XLOOKUP(C1139,'Review Sequence'!C2:C1586,'Review Sequence'!J2:J1586),"")</x:f>
        <x:v>Not Started</x:v>
      </x:c>
      <x:c r="H1139" s="7" t="str">
        <x:f>IFERROR(XLOOKUP(C1139,'Review Sequence'!C2:C1586,'Review Sequence'!O2:O1586),"")</x:f>
      </x:c>
      <x:c r="I1139" s="6" t="str">
        <x:f>IFERROR(XLOOKUP(C1139,'Review Sequence'!C2:C1586,'Review Sequence'!P2:P1586),"")</x:f>
        <x:v>Yes</x:v>
      </x:c>
    </x:row>
    <x:row r="1140">
      <x:c r="A1140" s="6" t="str">
        <x:v>BLK-1139</x:v>
      </x:c>
      <x:c r="B1140" s="6" t="str">
        <x:v>Part Requirement</x:v>
      </x:c>
      <x:c r="C1140" s="6" t="str">
        <x:v>PRTX-0182</x:v>
      </x:c>
      <x:c r="D1140" s="6" t="str">
        <x:v>SVC000182</x:v>
      </x:c>
      <x:c r="E1140" s="6" t="str"/>
      <x:c r="F1140" s="6" t="str">
        <x:f>IFERROR(XLOOKUP(C1140,'Review Sequence'!C2:C1586,'Review Sequence'!I2:I1586),"")</x:f>
        <x:v>Not Started</x:v>
      </x:c>
      <x:c r="G1140" s="6" t="str">
        <x:f>IFERROR(XLOOKUP(C1140,'Review Sequence'!C2:C1586,'Review Sequence'!J2:J1586),"")</x:f>
        <x:v>Not Started</x:v>
      </x:c>
      <x:c r="H1140" s="7" t="str">
        <x:f>IFERROR(XLOOKUP(C1140,'Review Sequence'!C2:C1586,'Review Sequence'!O2:O1586),"")</x:f>
      </x:c>
      <x:c r="I1140" s="6" t="str">
        <x:f>IFERROR(XLOOKUP(C1140,'Review Sequence'!C2:C1586,'Review Sequence'!P2:P1586),"")</x:f>
        <x:v>Yes</x:v>
      </x:c>
    </x:row>
    <x:row r="1141">
      <x:c r="A1141" s="6" t="str">
        <x:v>BLK-1140</x:v>
      </x:c>
      <x:c r="B1141" s="6" t="str">
        <x:v>Part Requirement</x:v>
      </x:c>
      <x:c r="C1141" s="6" t="str">
        <x:v>PRTX-0183</x:v>
      </x:c>
      <x:c r="D1141" s="6" t="str">
        <x:v>SVC000183</x:v>
      </x:c>
      <x:c r="E1141" s="6" t="str"/>
      <x:c r="F1141" s="6" t="str">
        <x:f>IFERROR(XLOOKUP(C1141,'Review Sequence'!C2:C1586,'Review Sequence'!I2:I1586),"")</x:f>
        <x:v>Not Started</x:v>
      </x:c>
      <x:c r="G1141" s="6" t="str">
        <x:f>IFERROR(XLOOKUP(C1141,'Review Sequence'!C2:C1586,'Review Sequence'!J2:J1586),"")</x:f>
        <x:v>Not Started</x:v>
      </x:c>
      <x:c r="H1141" s="7" t="str">
        <x:f>IFERROR(XLOOKUP(C1141,'Review Sequence'!C2:C1586,'Review Sequence'!O2:O1586),"")</x:f>
      </x:c>
      <x:c r="I1141" s="6" t="str">
        <x:f>IFERROR(XLOOKUP(C1141,'Review Sequence'!C2:C1586,'Review Sequence'!P2:P1586),"")</x:f>
        <x:v>Yes</x:v>
      </x:c>
    </x:row>
    <x:row r="1142">
      <x:c r="A1142" s="6" t="str">
        <x:v>BLK-1141</x:v>
      </x:c>
      <x:c r="B1142" s="6" t="str">
        <x:v>Part Requirement</x:v>
      </x:c>
      <x:c r="C1142" s="6" t="str">
        <x:v>PRTX-0184</x:v>
      </x:c>
      <x:c r="D1142" s="6" t="str">
        <x:v>SVC000184</x:v>
      </x:c>
      <x:c r="E1142" s="6" t="str"/>
      <x:c r="F1142" s="6" t="str">
        <x:f>IFERROR(XLOOKUP(C1142,'Review Sequence'!C2:C1586,'Review Sequence'!I2:I1586),"")</x:f>
        <x:v>Not Started</x:v>
      </x:c>
      <x:c r="G1142" s="6" t="str">
        <x:f>IFERROR(XLOOKUP(C1142,'Review Sequence'!C2:C1586,'Review Sequence'!J2:J1586),"")</x:f>
        <x:v>Not Started</x:v>
      </x:c>
      <x:c r="H1142" s="7" t="str">
        <x:f>IFERROR(XLOOKUP(C1142,'Review Sequence'!C2:C1586,'Review Sequence'!O2:O1586),"")</x:f>
      </x:c>
      <x:c r="I1142" s="6" t="str">
        <x:f>IFERROR(XLOOKUP(C1142,'Review Sequence'!C2:C1586,'Review Sequence'!P2:P1586),"")</x:f>
        <x:v>Yes</x:v>
      </x:c>
    </x:row>
    <x:row r="1143">
      <x:c r="A1143" s="6" t="str">
        <x:v>BLK-1142</x:v>
      </x:c>
      <x:c r="B1143" s="6" t="str">
        <x:v>Part Requirement</x:v>
      </x:c>
      <x:c r="C1143" s="6" t="str">
        <x:v>PRTX-0185</x:v>
      </x:c>
      <x:c r="D1143" s="6" t="str">
        <x:v>SVC000185</x:v>
      </x:c>
      <x:c r="E1143" s="6" t="str"/>
      <x:c r="F1143" s="6" t="str">
        <x:f>IFERROR(XLOOKUP(C1143,'Review Sequence'!C2:C1586,'Review Sequence'!I2:I1586),"")</x:f>
        <x:v>Not Started</x:v>
      </x:c>
      <x:c r="G1143" s="6" t="str">
        <x:f>IFERROR(XLOOKUP(C1143,'Review Sequence'!C2:C1586,'Review Sequence'!J2:J1586),"")</x:f>
        <x:v>Not Started</x:v>
      </x:c>
      <x:c r="H1143" s="7" t="str">
        <x:f>IFERROR(XLOOKUP(C1143,'Review Sequence'!C2:C1586,'Review Sequence'!O2:O1586),"")</x:f>
      </x:c>
      <x:c r="I1143" s="6" t="str">
        <x:f>IFERROR(XLOOKUP(C1143,'Review Sequence'!C2:C1586,'Review Sequence'!P2:P1586),"")</x:f>
        <x:v>Yes</x:v>
      </x:c>
    </x:row>
    <x:row r="1144">
      <x:c r="A1144" s="6" t="str">
        <x:v>BLK-1143</x:v>
      </x:c>
      <x:c r="B1144" s="6" t="str">
        <x:v>Part Requirement</x:v>
      </x:c>
      <x:c r="C1144" s="6" t="str">
        <x:v>PRTX-0186</x:v>
      </x:c>
      <x:c r="D1144" s="6" t="str">
        <x:v>SVC000186</x:v>
      </x:c>
      <x:c r="E1144" s="6" t="str"/>
      <x:c r="F1144" s="6" t="str">
        <x:f>IFERROR(XLOOKUP(C1144,'Review Sequence'!C2:C1586,'Review Sequence'!I2:I1586),"")</x:f>
        <x:v>Not Started</x:v>
      </x:c>
      <x:c r="G1144" s="6" t="str">
        <x:f>IFERROR(XLOOKUP(C1144,'Review Sequence'!C2:C1586,'Review Sequence'!J2:J1586),"")</x:f>
        <x:v>Not Started</x:v>
      </x:c>
      <x:c r="H1144" s="7" t="str">
        <x:f>IFERROR(XLOOKUP(C1144,'Review Sequence'!C2:C1586,'Review Sequence'!O2:O1586),"")</x:f>
      </x:c>
      <x:c r="I1144" s="6" t="str">
        <x:f>IFERROR(XLOOKUP(C1144,'Review Sequence'!C2:C1586,'Review Sequence'!P2:P1586),"")</x:f>
        <x:v>Yes</x:v>
      </x:c>
    </x:row>
    <x:row r="1145">
      <x:c r="A1145" s="6" t="str">
        <x:v>BLK-1144</x:v>
      </x:c>
      <x:c r="B1145" s="6" t="str">
        <x:v>Part Requirement</x:v>
      </x:c>
      <x:c r="C1145" s="6" t="str">
        <x:v>PRTX-0187</x:v>
      </x:c>
      <x:c r="D1145" s="6" t="str">
        <x:v>SVC000187</x:v>
      </x:c>
      <x:c r="E1145" s="6" t="str"/>
      <x:c r="F1145" s="6" t="str">
        <x:f>IFERROR(XLOOKUP(C1145,'Review Sequence'!C2:C1586,'Review Sequence'!I2:I1586),"")</x:f>
        <x:v>Not Started</x:v>
      </x:c>
      <x:c r="G1145" s="6" t="str">
        <x:f>IFERROR(XLOOKUP(C1145,'Review Sequence'!C2:C1586,'Review Sequence'!J2:J1586),"")</x:f>
        <x:v>Not Started</x:v>
      </x:c>
      <x:c r="H1145" s="7" t="str">
        <x:f>IFERROR(XLOOKUP(C1145,'Review Sequence'!C2:C1586,'Review Sequence'!O2:O1586),"")</x:f>
      </x:c>
      <x:c r="I1145" s="6" t="str">
        <x:f>IFERROR(XLOOKUP(C1145,'Review Sequence'!C2:C1586,'Review Sequence'!P2:P1586),"")</x:f>
        <x:v>Yes</x:v>
      </x:c>
    </x:row>
    <x:row r="1146">
      <x:c r="A1146" s="6" t="str">
        <x:v>BLK-1145</x:v>
      </x:c>
      <x:c r="B1146" s="6" t="str">
        <x:v>Part Requirement</x:v>
      </x:c>
      <x:c r="C1146" s="6" t="str">
        <x:v>PRTX-0188</x:v>
      </x:c>
      <x:c r="D1146" s="6" t="str">
        <x:v>SVC000188</x:v>
      </x:c>
      <x:c r="E1146" s="6" t="str"/>
      <x:c r="F1146" s="6" t="str">
        <x:f>IFERROR(XLOOKUP(C1146,'Review Sequence'!C2:C1586,'Review Sequence'!I2:I1586),"")</x:f>
        <x:v>Not Started</x:v>
      </x:c>
      <x:c r="G1146" s="6" t="str">
        <x:f>IFERROR(XLOOKUP(C1146,'Review Sequence'!C2:C1586,'Review Sequence'!J2:J1586),"")</x:f>
        <x:v>Not Started</x:v>
      </x:c>
      <x:c r="H1146" s="7" t="str">
        <x:f>IFERROR(XLOOKUP(C1146,'Review Sequence'!C2:C1586,'Review Sequence'!O2:O1586),"")</x:f>
      </x:c>
      <x:c r="I1146" s="6" t="str">
        <x:f>IFERROR(XLOOKUP(C1146,'Review Sequence'!C2:C1586,'Review Sequence'!P2:P1586),"")</x:f>
        <x:v>Yes</x:v>
      </x:c>
    </x:row>
    <x:row r="1147">
      <x:c r="A1147" s="6" t="str">
        <x:v>BLK-1146</x:v>
      </x:c>
      <x:c r="B1147" s="6" t="str">
        <x:v>Part Requirement</x:v>
      </x:c>
      <x:c r="C1147" s="6" t="str">
        <x:v>PRTX-0189</x:v>
      </x:c>
      <x:c r="D1147" s="6" t="str">
        <x:v>SVC000189</x:v>
      </x:c>
      <x:c r="E1147" s="6" t="str"/>
      <x:c r="F1147" s="6" t="str">
        <x:f>IFERROR(XLOOKUP(C1147,'Review Sequence'!C2:C1586,'Review Sequence'!I2:I1586),"")</x:f>
        <x:v>Not Started</x:v>
      </x:c>
      <x:c r="G1147" s="6" t="str">
        <x:f>IFERROR(XLOOKUP(C1147,'Review Sequence'!C2:C1586,'Review Sequence'!J2:J1586),"")</x:f>
        <x:v>Not Started</x:v>
      </x:c>
      <x:c r="H1147" s="7" t="str">
        <x:f>IFERROR(XLOOKUP(C1147,'Review Sequence'!C2:C1586,'Review Sequence'!O2:O1586),"")</x:f>
      </x:c>
      <x:c r="I1147" s="6" t="str">
        <x:f>IFERROR(XLOOKUP(C1147,'Review Sequence'!C2:C1586,'Review Sequence'!P2:P1586),"")</x:f>
        <x:v>Yes</x:v>
      </x:c>
    </x:row>
    <x:row r="1148">
      <x:c r="A1148" s="6" t="str">
        <x:v>BLK-1147</x:v>
      </x:c>
      <x:c r="B1148" s="6" t="str">
        <x:v>Part Requirement</x:v>
      </x:c>
      <x:c r="C1148" s="6" t="str">
        <x:v>PRTX-0190</x:v>
      </x:c>
      <x:c r="D1148" s="6" t="str">
        <x:v>SVC000190</x:v>
      </x:c>
      <x:c r="E1148" s="6" t="str"/>
      <x:c r="F1148" s="6" t="str">
        <x:f>IFERROR(XLOOKUP(C1148,'Review Sequence'!C2:C1586,'Review Sequence'!I2:I1586),"")</x:f>
        <x:v>Not Started</x:v>
      </x:c>
      <x:c r="G1148" s="6" t="str">
        <x:f>IFERROR(XLOOKUP(C1148,'Review Sequence'!C2:C1586,'Review Sequence'!J2:J1586),"")</x:f>
        <x:v>Not Started</x:v>
      </x:c>
      <x:c r="H1148" s="7" t="str">
        <x:f>IFERROR(XLOOKUP(C1148,'Review Sequence'!C2:C1586,'Review Sequence'!O2:O1586),"")</x:f>
      </x:c>
      <x:c r="I1148" s="6" t="str">
        <x:f>IFERROR(XLOOKUP(C1148,'Review Sequence'!C2:C1586,'Review Sequence'!P2:P1586),"")</x:f>
        <x:v>Yes</x:v>
      </x:c>
    </x:row>
    <x:row r="1149">
      <x:c r="A1149" s="6" t="str">
        <x:v>BLK-1148</x:v>
      </x:c>
      <x:c r="B1149" s="6" t="str">
        <x:v>Part Requirement</x:v>
      </x:c>
      <x:c r="C1149" s="6" t="str">
        <x:v>PRTX-0191</x:v>
      </x:c>
      <x:c r="D1149" s="6" t="str">
        <x:v>SVC000191</x:v>
      </x:c>
      <x:c r="E1149" s="6" t="str"/>
      <x:c r="F1149" s="6" t="str">
        <x:f>IFERROR(XLOOKUP(C1149,'Review Sequence'!C2:C1586,'Review Sequence'!I2:I1586),"")</x:f>
        <x:v>Not Started</x:v>
      </x:c>
      <x:c r="G1149" s="6" t="str">
        <x:f>IFERROR(XLOOKUP(C1149,'Review Sequence'!C2:C1586,'Review Sequence'!J2:J1586),"")</x:f>
        <x:v>Not Started</x:v>
      </x:c>
      <x:c r="H1149" s="7" t="str">
        <x:f>IFERROR(XLOOKUP(C1149,'Review Sequence'!C2:C1586,'Review Sequence'!O2:O1586),"")</x:f>
      </x:c>
      <x:c r="I1149" s="6" t="str">
        <x:f>IFERROR(XLOOKUP(C1149,'Review Sequence'!C2:C1586,'Review Sequence'!P2:P1586),"")</x:f>
        <x:v>Yes</x:v>
      </x:c>
    </x:row>
    <x:row r="1150">
      <x:c r="A1150" s="6" t="str">
        <x:v>BLK-1149</x:v>
      </x:c>
      <x:c r="B1150" s="6" t="str">
        <x:v>Part Requirement</x:v>
      </x:c>
      <x:c r="C1150" s="6" t="str">
        <x:v>PRTX-0192</x:v>
      </x:c>
      <x:c r="D1150" s="6" t="str">
        <x:v>SVC000192</x:v>
      </x:c>
      <x:c r="E1150" s="6" t="str"/>
      <x:c r="F1150" s="6" t="str">
        <x:f>IFERROR(XLOOKUP(C1150,'Review Sequence'!C2:C1586,'Review Sequence'!I2:I1586),"")</x:f>
        <x:v>Not Started</x:v>
      </x:c>
      <x:c r="G1150" s="6" t="str">
        <x:f>IFERROR(XLOOKUP(C1150,'Review Sequence'!C2:C1586,'Review Sequence'!J2:J1586),"")</x:f>
        <x:v>Not Started</x:v>
      </x:c>
      <x:c r="H1150" s="7" t="str">
        <x:f>IFERROR(XLOOKUP(C1150,'Review Sequence'!C2:C1586,'Review Sequence'!O2:O1586),"")</x:f>
      </x:c>
      <x:c r="I1150" s="6" t="str">
        <x:f>IFERROR(XLOOKUP(C1150,'Review Sequence'!C2:C1586,'Review Sequence'!P2:P1586),"")</x:f>
        <x:v>Yes</x:v>
      </x:c>
    </x:row>
    <x:row r="1151">
      <x:c r="A1151" s="6" t="str">
        <x:v>BLK-1150</x:v>
      </x:c>
      <x:c r="B1151" s="6" t="str">
        <x:v>Part Requirement</x:v>
      </x:c>
      <x:c r="C1151" s="6" t="str">
        <x:v>PRTX-0193</x:v>
      </x:c>
      <x:c r="D1151" s="6" t="str">
        <x:v>SVC000193</x:v>
      </x:c>
      <x:c r="E1151" s="6" t="str"/>
      <x:c r="F1151" s="6" t="str">
        <x:f>IFERROR(XLOOKUP(C1151,'Review Sequence'!C2:C1586,'Review Sequence'!I2:I1586),"")</x:f>
        <x:v>Not Started</x:v>
      </x:c>
      <x:c r="G1151" s="6" t="str">
        <x:f>IFERROR(XLOOKUP(C1151,'Review Sequence'!C2:C1586,'Review Sequence'!J2:J1586),"")</x:f>
        <x:v>Not Started</x:v>
      </x:c>
      <x:c r="H1151" s="7" t="str">
        <x:f>IFERROR(XLOOKUP(C1151,'Review Sequence'!C2:C1586,'Review Sequence'!O2:O1586),"")</x:f>
      </x:c>
      <x:c r="I1151" s="6" t="str">
        <x:f>IFERROR(XLOOKUP(C1151,'Review Sequence'!C2:C1586,'Review Sequence'!P2:P1586),"")</x:f>
        <x:v>Yes</x:v>
      </x:c>
    </x:row>
    <x:row r="1152">
      <x:c r="A1152" s="6" t="str">
        <x:v>BLK-1151</x:v>
      </x:c>
      <x:c r="B1152" s="6" t="str">
        <x:v>Part Requirement</x:v>
      </x:c>
      <x:c r="C1152" s="6" t="str">
        <x:v>PRTX-0194</x:v>
      </x:c>
      <x:c r="D1152" s="6" t="str">
        <x:v>SVC000194</x:v>
      </x:c>
      <x:c r="E1152" s="6" t="str"/>
      <x:c r="F1152" s="6" t="str">
        <x:f>IFERROR(XLOOKUP(C1152,'Review Sequence'!C2:C1586,'Review Sequence'!I2:I1586),"")</x:f>
        <x:v>Not Started</x:v>
      </x:c>
      <x:c r="G1152" s="6" t="str">
        <x:f>IFERROR(XLOOKUP(C1152,'Review Sequence'!C2:C1586,'Review Sequence'!J2:J1586),"")</x:f>
        <x:v>Not Started</x:v>
      </x:c>
      <x:c r="H1152" s="7" t="str">
        <x:f>IFERROR(XLOOKUP(C1152,'Review Sequence'!C2:C1586,'Review Sequence'!O2:O1586),"")</x:f>
      </x:c>
      <x:c r="I1152" s="6" t="str">
        <x:f>IFERROR(XLOOKUP(C1152,'Review Sequence'!C2:C1586,'Review Sequence'!P2:P1586),"")</x:f>
        <x:v>Yes</x:v>
      </x:c>
    </x:row>
    <x:row r="1153">
      <x:c r="A1153" s="6" t="str">
        <x:v>BLK-1152</x:v>
      </x:c>
      <x:c r="B1153" s="6" t="str">
        <x:v>Part Requirement</x:v>
      </x:c>
      <x:c r="C1153" s="6" t="str">
        <x:v>PRTX-0195</x:v>
      </x:c>
      <x:c r="D1153" s="6" t="str">
        <x:v>SVC000195</x:v>
      </x:c>
      <x:c r="E1153" s="6" t="str"/>
      <x:c r="F1153" s="6" t="str">
        <x:f>IFERROR(XLOOKUP(C1153,'Review Sequence'!C2:C1586,'Review Sequence'!I2:I1586),"")</x:f>
        <x:v>Not Started</x:v>
      </x:c>
      <x:c r="G1153" s="6" t="str">
        <x:f>IFERROR(XLOOKUP(C1153,'Review Sequence'!C2:C1586,'Review Sequence'!J2:J1586),"")</x:f>
        <x:v>Not Started</x:v>
      </x:c>
      <x:c r="H1153" s="7" t="str">
        <x:f>IFERROR(XLOOKUP(C1153,'Review Sequence'!C2:C1586,'Review Sequence'!O2:O1586),"")</x:f>
      </x:c>
      <x:c r="I1153" s="6" t="str">
        <x:f>IFERROR(XLOOKUP(C1153,'Review Sequence'!C2:C1586,'Review Sequence'!P2:P1586),"")</x:f>
        <x:v>Yes</x:v>
      </x:c>
    </x:row>
    <x:row r="1154">
      <x:c r="A1154" s="6" t="str">
        <x:v>BLK-1153</x:v>
      </x:c>
      <x:c r="B1154" s="6" t="str">
        <x:v>Part Requirement</x:v>
      </x:c>
      <x:c r="C1154" s="6" t="str">
        <x:v>PRTX-0196</x:v>
      </x:c>
      <x:c r="D1154" s="6" t="str">
        <x:v>SVC000196</x:v>
      </x:c>
      <x:c r="E1154" s="6" t="str"/>
      <x:c r="F1154" s="6" t="str">
        <x:f>IFERROR(XLOOKUP(C1154,'Review Sequence'!C2:C1586,'Review Sequence'!I2:I1586),"")</x:f>
        <x:v>Not Started</x:v>
      </x:c>
      <x:c r="G1154" s="6" t="str">
        <x:f>IFERROR(XLOOKUP(C1154,'Review Sequence'!C2:C1586,'Review Sequence'!J2:J1586),"")</x:f>
        <x:v>Not Started</x:v>
      </x:c>
      <x:c r="H1154" s="7" t="str">
        <x:f>IFERROR(XLOOKUP(C1154,'Review Sequence'!C2:C1586,'Review Sequence'!O2:O1586),"")</x:f>
      </x:c>
      <x:c r="I1154" s="6" t="str">
        <x:f>IFERROR(XLOOKUP(C1154,'Review Sequence'!C2:C1586,'Review Sequence'!P2:P1586),"")</x:f>
        <x:v>Yes</x:v>
      </x:c>
    </x:row>
    <x:row r="1155">
      <x:c r="A1155" s="6" t="str">
        <x:v>BLK-1154</x:v>
      </x:c>
      <x:c r="B1155" s="6" t="str">
        <x:v>Part Requirement</x:v>
      </x:c>
      <x:c r="C1155" s="6" t="str">
        <x:v>PRTX-0197</x:v>
      </x:c>
      <x:c r="D1155" s="6" t="str">
        <x:v>SVC000197</x:v>
      </x:c>
      <x:c r="E1155" s="6" t="str"/>
      <x:c r="F1155" s="6" t="str">
        <x:f>IFERROR(XLOOKUP(C1155,'Review Sequence'!C2:C1586,'Review Sequence'!I2:I1586),"")</x:f>
        <x:v>Not Started</x:v>
      </x:c>
      <x:c r="G1155" s="6" t="str">
        <x:f>IFERROR(XLOOKUP(C1155,'Review Sequence'!C2:C1586,'Review Sequence'!J2:J1586),"")</x:f>
        <x:v>Not Started</x:v>
      </x:c>
      <x:c r="H1155" s="7" t="str">
        <x:f>IFERROR(XLOOKUP(C1155,'Review Sequence'!C2:C1586,'Review Sequence'!O2:O1586),"")</x:f>
      </x:c>
      <x:c r="I1155" s="6" t="str">
        <x:f>IFERROR(XLOOKUP(C1155,'Review Sequence'!C2:C1586,'Review Sequence'!P2:P1586),"")</x:f>
        <x:v>Yes</x:v>
      </x:c>
    </x:row>
    <x:row r="1156">
      <x:c r="A1156" s="6" t="str">
        <x:v>BLK-1155</x:v>
      </x:c>
      <x:c r="B1156" s="6" t="str">
        <x:v>Part Requirement</x:v>
      </x:c>
      <x:c r="C1156" s="6" t="str">
        <x:v>PRTX-0198</x:v>
      </x:c>
      <x:c r="D1156" s="6" t="str">
        <x:v>SVC000198</x:v>
      </x:c>
      <x:c r="E1156" s="6" t="str"/>
      <x:c r="F1156" s="6" t="str">
        <x:f>IFERROR(XLOOKUP(C1156,'Review Sequence'!C2:C1586,'Review Sequence'!I2:I1586),"")</x:f>
        <x:v>Not Started</x:v>
      </x:c>
      <x:c r="G1156" s="6" t="str">
        <x:f>IFERROR(XLOOKUP(C1156,'Review Sequence'!C2:C1586,'Review Sequence'!J2:J1586),"")</x:f>
        <x:v>Not Started</x:v>
      </x:c>
      <x:c r="H1156" s="7" t="str">
        <x:f>IFERROR(XLOOKUP(C1156,'Review Sequence'!C2:C1586,'Review Sequence'!O2:O1586),"")</x:f>
      </x:c>
      <x:c r="I1156" s="6" t="str">
        <x:f>IFERROR(XLOOKUP(C1156,'Review Sequence'!C2:C1586,'Review Sequence'!P2:P1586),"")</x:f>
        <x:v>Yes</x:v>
      </x:c>
    </x:row>
    <x:row r="1157">
      <x:c r="A1157" s="6" t="str">
        <x:v>BLK-1156</x:v>
      </x:c>
      <x:c r="B1157" s="6" t="str">
        <x:v>Part Requirement</x:v>
      </x:c>
      <x:c r="C1157" s="6" t="str">
        <x:v>PRTX-0199</x:v>
      </x:c>
      <x:c r="D1157" s="6" t="str">
        <x:v>SVC000199</x:v>
      </x:c>
      <x:c r="E1157" s="6" t="str"/>
      <x:c r="F1157" s="6" t="str">
        <x:f>IFERROR(XLOOKUP(C1157,'Review Sequence'!C2:C1586,'Review Sequence'!I2:I1586),"")</x:f>
        <x:v>Not Started</x:v>
      </x:c>
      <x:c r="G1157" s="6" t="str">
        <x:f>IFERROR(XLOOKUP(C1157,'Review Sequence'!C2:C1586,'Review Sequence'!J2:J1586),"")</x:f>
        <x:v>Not Started</x:v>
      </x:c>
      <x:c r="H1157" s="7" t="str">
        <x:f>IFERROR(XLOOKUP(C1157,'Review Sequence'!C2:C1586,'Review Sequence'!O2:O1586),"")</x:f>
      </x:c>
      <x:c r="I1157" s="6" t="str">
        <x:f>IFERROR(XLOOKUP(C1157,'Review Sequence'!C2:C1586,'Review Sequence'!P2:P1586),"")</x:f>
        <x:v>Yes</x:v>
      </x:c>
    </x:row>
    <x:row r="1158">
      <x:c r="A1158" s="6" t="str">
        <x:v>BLK-1157</x:v>
      </x:c>
      <x:c r="B1158" s="6" t="str">
        <x:v>Part Requirement</x:v>
      </x:c>
      <x:c r="C1158" s="6" t="str">
        <x:v>PRTX-0200</x:v>
      </x:c>
      <x:c r="D1158" s="6" t="str">
        <x:v>SVC000200</x:v>
      </x:c>
      <x:c r="E1158" s="6" t="str"/>
      <x:c r="F1158" s="6" t="str">
        <x:f>IFERROR(XLOOKUP(C1158,'Review Sequence'!C2:C1586,'Review Sequence'!I2:I1586),"")</x:f>
        <x:v>Not Started</x:v>
      </x:c>
      <x:c r="G1158" s="6" t="str">
        <x:f>IFERROR(XLOOKUP(C1158,'Review Sequence'!C2:C1586,'Review Sequence'!J2:J1586),"")</x:f>
        <x:v>Not Started</x:v>
      </x:c>
      <x:c r="H1158" s="7" t="str">
        <x:f>IFERROR(XLOOKUP(C1158,'Review Sequence'!C2:C1586,'Review Sequence'!O2:O1586),"")</x:f>
      </x:c>
      <x:c r="I1158" s="6" t="str">
        <x:f>IFERROR(XLOOKUP(C1158,'Review Sequence'!C2:C1586,'Review Sequence'!P2:P1586),"")</x:f>
        <x:v>Yes</x:v>
      </x:c>
    </x:row>
    <x:row r="1159">
      <x:c r="A1159" s="6" t="str">
        <x:v>BLK-1158</x:v>
      </x:c>
      <x:c r="B1159" s="6" t="str">
        <x:v>Part Requirement</x:v>
      </x:c>
      <x:c r="C1159" s="6" t="str">
        <x:v>PRTX-0201</x:v>
      </x:c>
      <x:c r="D1159" s="6" t="str">
        <x:v>SVC000201</x:v>
      </x:c>
      <x:c r="E1159" s="6" t="str"/>
      <x:c r="F1159" s="6" t="str">
        <x:f>IFERROR(XLOOKUP(C1159,'Review Sequence'!C2:C1586,'Review Sequence'!I2:I1586),"")</x:f>
        <x:v>Not Started</x:v>
      </x:c>
      <x:c r="G1159" s="6" t="str">
        <x:f>IFERROR(XLOOKUP(C1159,'Review Sequence'!C2:C1586,'Review Sequence'!J2:J1586),"")</x:f>
        <x:v>Not Started</x:v>
      </x:c>
      <x:c r="H1159" s="7" t="str">
        <x:f>IFERROR(XLOOKUP(C1159,'Review Sequence'!C2:C1586,'Review Sequence'!O2:O1586),"")</x:f>
      </x:c>
      <x:c r="I1159" s="6" t="str">
        <x:f>IFERROR(XLOOKUP(C1159,'Review Sequence'!C2:C1586,'Review Sequence'!P2:P1586),"")</x:f>
        <x:v>Yes</x:v>
      </x:c>
    </x:row>
    <x:row r="1160">
      <x:c r="A1160" s="6" t="str">
        <x:v>BLK-1159</x:v>
      </x:c>
      <x:c r="B1160" s="6" t="str">
        <x:v>Part Requirement</x:v>
      </x:c>
      <x:c r="C1160" s="6" t="str">
        <x:v>PRTX-0202</x:v>
      </x:c>
      <x:c r="D1160" s="6" t="str">
        <x:v>SVC000202</x:v>
      </x:c>
      <x:c r="E1160" s="6" t="str"/>
      <x:c r="F1160" s="6" t="str">
        <x:f>IFERROR(XLOOKUP(C1160,'Review Sequence'!C2:C1586,'Review Sequence'!I2:I1586),"")</x:f>
        <x:v>Not Started</x:v>
      </x:c>
      <x:c r="G1160" s="6" t="str">
        <x:f>IFERROR(XLOOKUP(C1160,'Review Sequence'!C2:C1586,'Review Sequence'!J2:J1586),"")</x:f>
        <x:v>Not Started</x:v>
      </x:c>
      <x:c r="H1160" s="7" t="str">
        <x:f>IFERROR(XLOOKUP(C1160,'Review Sequence'!C2:C1586,'Review Sequence'!O2:O1586),"")</x:f>
      </x:c>
      <x:c r="I1160" s="6" t="str">
        <x:f>IFERROR(XLOOKUP(C1160,'Review Sequence'!C2:C1586,'Review Sequence'!P2:P1586),"")</x:f>
        <x:v>Yes</x:v>
      </x:c>
    </x:row>
    <x:row r="1161">
      <x:c r="A1161" s="6" t="str">
        <x:v>BLK-1160</x:v>
      </x:c>
      <x:c r="B1161" s="6" t="str">
        <x:v>Part Requirement</x:v>
      </x:c>
      <x:c r="C1161" s="6" t="str">
        <x:v>PRTX-0203</x:v>
      </x:c>
      <x:c r="D1161" s="6" t="str">
        <x:v>SVC000203</x:v>
      </x:c>
      <x:c r="E1161" s="6" t="str"/>
      <x:c r="F1161" s="6" t="str">
        <x:f>IFERROR(XLOOKUP(C1161,'Review Sequence'!C2:C1586,'Review Sequence'!I2:I1586),"")</x:f>
        <x:v>Not Started</x:v>
      </x:c>
      <x:c r="G1161" s="6" t="str">
        <x:f>IFERROR(XLOOKUP(C1161,'Review Sequence'!C2:C1586,'Review Sequence'!J2:J1586),"")</x:f>
        <x:v>Not Started</x:v>
      </x:c>
      <x:c r="H1161" s="7" t="str">
        <x:f>IFERROR(XLOOKUP(C1161,'Review Sequence'!C2:C1586,'Review Sequence'!O2:O1586),"")</x:f>
      </x:c>
      <x:c r="I1161" s="6" t="str">
        <x:f>IFERROR(XLOOKUP(C1161,'Review Sequence'!C2:C1586,'Review Sequence'!P2:P1586),"")</x:f>
        <x:v>Yes</x:v>
      </x:c>
    </x:row>
    <x:row r="1162">
      <x:c r="A1162" s="6" t="str">
        <x:v>BLK-1161</x:v>
      </x:c>
      <x:c r="B1162" s="6" t="str">
        <x:v>Part Requirement</x:v>
      </x:c>
      <x:c r="C1162" s="6" t="str">
        <x:v>PRTX-0204</x:v>
      </x:c>
      <x:c r="D1162" s="6" t="str">
        <x:v>SVC000204</x:v>
      </x:c>
      <x:c r="E1162" s="6" t="str"/>
      <x:c r="F1162" s="6" t="str">
        <x:f>IFERROR(XLOOKUP(C1162,'Review Sequence'!C2:C1586,'Review Sequence'!I2:I1586),"")</x:f>
        <x:v>Not Started</x:v>
      </x:c>
      <x:c r="G1162" s="6" t="str">
        <x:f>IFERROR(XLOOKUP(C1162,'Review Sequence'!C2:C1586,'Review Sequence'!J2:J1586),"")</x:f>
        <x:v>Not Started</x:v>
      </x:c>
      <x:c r="H1162" s="7" t="str">
        <x:f>IFERROR(XLOOKUP(C1162,'Review Sequence'!C2:C1586,'Review Sequence'!O2:O1586),"")</x:f>
      </x:c>
      <x:c r="I1162" s="6" t="str">
        <x:f>IFERROR(XLOOKUP(C1162,'Review Sequence'!C2:C1586,'Review Sequence'!P2:P1586),"")</x:f>
        <x:v>Yes</x:v>
      </x:c>
    </x:row>
    <x:row r="1163">
      <x:c r="A1163" s="6" t="str">
        <x:v>BLK-1162</x:v>
      </x:c>
      <x:c r="B1163" s="6" t="str">
        <x:v>Part Requirement</x:v>
      </x:c>
      <x:c r="C1163" s="6" t="str">
        <x:v>PRTX-0205</x:v>
      </x:c>
      <x:c r="D1163" s="6" t="str">
        <x:v>SVC000205</x:v>
      </x:c>
      <x:c r="E1163" s="6" t="str"/>
      <x:c r="F1163" s="6" t="str">
        <x:f>IFERROR(XLOOKUP(C1163,'Review Sequence'!C2:C1586,'Review Sequence'!I2:I1586),"")</x:f>
        <x:v>Not Started</x:v>
      </x:c>
      <x:c r="G1163" s="6" t="str">
        <x:f>IFERROR(XLOOKUP(C1163,'Review Sequence'!C2:C1586,'Review Sequence'!J2:J1586),"")</x:f>
        <x:v>Not Started</x:v>
      </x:c>
      <x:c r="H1163" s="7" t="str">
        <x:f>IFERROR(XLOOKUP(C1163,'Review Sequence'!C2:C1586,'Review Sequence'!O2:O1586),"")</x:f>
      </x:c>
      <x:c r="I1163" s="6" t="str">
        <x:f>IFERROR(XLOOKUP(C1163,'Review Sequence'!C2:C1586,'Review Sequence'!P2:P1586),"")</x:f>
        <x:v>Yes</x:v>
      </x:c>
    </x:row>
    <x:row r="1164">
      <x:c r="A1164" s="6" t="str">
        <x:v>BLK-1163</x:v>
      </x:c>
      <x:c r="B1164" s="6" t="str">
        <x:v>Part Requirement</x:v>
      </x:c>
      <x:c r="C1164" s="6" t="str">
        <x:v>PRTX-0206</x:v>
      </x:c>
      <x:c r="D1164" s="6" t="str">
        <x:v>SVC000206</x:v>
      </x:c>
      <x:c r="E1164" s="6" t="str"/>
      <x:c r="F1164" s="6" t="str">
        <x:f>IFERROR(XLOOKUP(C1164,'Review Sequence'!C2:C1586,'Review Sequence'!I2:I1586),"")</x:f>
        <x:v>Not Started</x:v>
      </x:c>
      <x:c r="G1164" s="6" t="str">
        <x:f>IFERROR(XLOOKUP(C1164,'Review Sequence'!C2:C1586,'Review Sequence'!J2:J1586),"")</x:f>
        <x:v>Not Started</x:v>
      </x:c>
      <x:c r="H1164" s="7" t="str">
        <x:f>IFERROR(XLOOKUP(C1164,'Review Sequence'!C2:C1586,'Review Sequence'!O2:O1586),"")</x:f>
      </x:c>
      <x:c r="I1164" s="6" t="str">
        <x:f>IFERROR(XLOOKUP(C1164,'Review Sequence'!C2:C1586,'Review Sequence'!P2:P1586),"")</x:f>
        <x:v>Yes</x:v>
      </x:c>
    </x:row>
    <x:row r="1165">
      <x:c r="A1165" s="6" t="str">
        <x:v>BLK-1164</x:v>
      </x:c>
      <x:c r="B1165" s="6" t="str">
        <x:v>Part Requirement</x:v>
      </x:c>
      <x:c r="C1165" s="6" t="str">
        <x:v>PRTX-0207</x:v>
      </x:c>
      <x:c r="D1165" s="6" t="str">
        <x:v>SVC000207</x:v>
      </x:c>
      <x:c r="E1165" s="6" t="str"/>
      <x:c r="F1165" s="6" t="str">
        <x:f>IFERROR(XLOOKUP(C1165,'Review Sequence'!C2:C1586,'Review Sequence'!I2:I1586),"")</x:f>
        <x:v>Not Started</x:v>
      </x:c>
      <x:c r="G1165" s="6" t="str">
        <x:f>IFERROR(XLOOKUP(C1165,'Review Sequence'!C2:C1586,'Review Sequence'!J2:J1586),"")</x:f>
        <x:v>Not Started</x:v>
      </x:c>
      <x:c r="H1165" s="7" t="str">
        <x:f>IFERROR(XLOOKUP(C1165,'Review Sequence'!C2:C1586,'Review Sequence'!O2:O1586),"")</x:f>
      </x:c>
      <x:c r="I1165" s="6" t="str">
        <x:f>IFERROR(XLOOKUP(C1165,'Review Sequence'!C2:C1586,'Review Sequence'!P2:P1586),"")</x:f>
        <x:v>Yes</x:v>
      </x:c>
    </x:row>
    <x:row r="1166">
      <x:c r="A1166" s="6" t="str">
        <x:v>BLK-1165</x:v>
      </x:c>
      <x:c r="B1166" s="6" t="str">
        <x:v>Part Requirement</x:v>
      </x:c>
      <x:c r="C1166" s="6" t="str">
        <x:v>PRTX-0208</x:v>
      </x:c>
      <x:c r="D1166" s="6" t="str">
        <x:v>SVC000208</x:v>
      </x:c>
      <x:c r="E1166" s="6" t="str"/>
      <x:c r="F1166" s="6" t="str">
        <x:f>IFERROR(XLOOKUP(C1166,'Review Sequence'!C2:C1586,'Review Sequence'!I2:I1586),"")</x:f>
        <x:v>Not Started</x:v>
      </x:c>
      <x:c r="G1166" s="6" t="str">
        <x:f>IFERROR(XLOOKUP(C1166,'Review Sequence'!C2:C1586,'Review Sequence'!J2:J1586),"")</x:f>
        <x:v>Not Started</x:v>
      </x:c>
      <x:c r="H1166" s="7" t="str">
        <x:f>IFERROR(XLOOKUP(C1166,'Review Sequence'!C2:C1586,'Review Sequence'!O2:O1586),"")</x:f>
      </x:c>
      <x:c r="I1166" s="6" t="str">
        <x:f>IFERROR(XLOOKUP(C1166,'Review Sequence'!C2:C1586,'Review Sequence'!P2:P1586),"")</x:f>
        <x:v>Yes</x:v>
      </x:c>
    </x:row>
    <x:row r="1167">
      <x:c r="A1167" s="6" t="str">
        <x:v>BLK-1166</x:v>
      </x:c>
      <x:c r="B1167" s="6" t="str">
        <x:v>Part Requirement</x:v>
      </x:c>
      <x:c r="C1167" s="6" t="str">
        <x:v>PRTX-0209</x:v>
      </x:c>
      <x:c r="D1167" s="6" t="str">
        <x:v>SVC000209</x:v>
      </x:c>
      <x:c r="E1167" s="6" t="str"/>
      <x:c r="F1167" s="6" t="str">
        <x:f>IFERROR(XLOOKUP(C1167,'Review Sequence'!C2:C1586,'Review Sequence'!I2:I1586),"")</x:f>
        <x:v>Not Started</x:v>
      </x:c>
      <x:c r="G1167" s="6" t="str">
        <x:f>IFERROR(XLOOKUP(C1167,'Review Sequence'!C2:C1586,'Review Sequence'!J2:J1586),"")</x:f>
        <x:v>Not Started</x:v>
      </x:c>
      <x:c r="H1167" s="7" t="str">
        <x:f>IFERROR(XLOOKUP(C1167,'Review Sequence'!C2:C1586,'Review Sequence'!O2:O1586),"")</x:f>
      </x:c>
      <x:c r="I1167" s="6" t="str">
        <x:f>IFERROR(XLOOKUP(C1167,'Review Sequence'!C2:C1586,'Review Sequence'!P2:P1586),"")</x:f>
        <x:v>Yes</x:v>
      </x:c>
    </x:row>
    <x:row r="1168">
      <x:c r="A1168" s="6" t="str">
        <x:v>BLK-1167</x:v>
      </x:c>
      <x:c r="B1168" s="6" t="str">
        <x:v>Part Requirement</x:v>
      </x:c>
      <x:c r="C1168" s="6" t="str">
        <x:v>PRTX-0210</x:v>
      </x:c>
      <x:c r="D1168" s="6" t="str">
        <x:v>SVC000210</x:v>
      </x:c>
      <x:c r="E1168" s="6" t="str"/>
      <x:c r="F1168" s="6" t="str">
        <x:f>IFERROR(XLOOKUP(C1168,'Review Sequence'!C2:C1586,'Review Sequence'!I2:I1586),"")</x:f>
        <x:v>Not Started</x:v>
      </x:c>
      <x:c r="G1168" s="6" t="str">
        <x:f>IFERROR(XLOOKUP(C1168,'Review Sequence'!C2:C1586,'Review Sequence'!J2:J1586),"")</x:f>
        <x:v>Not Started</x:v>
      </x:c>
      <x:c r="H1168" s="7" t="str">
        <x:f>IFERROR(XLOOKUP(C1168,'Review Sequence'!C2:C1586,'Review Sequence'!O2:O1586),"")</x:f>
      </x:c>
      <x:c r="I1168" s="6" t="str">
        <x:f>IFERROR(XLOOKUP(C1168,'Review Sequence'!C2:C1586,'Review Sequence'!P2:P1586),"")</x:f>
        <x:v>Yes</x:v>
      </x:c>
    </x:row>
    <x:row r="1169">
      <x:c r="A1169" s="6" t="str">
        <x:v>BLK-1168</x:v>
      </x:c>
      <x:c r="B1169" s="6" t="str">
        <x:v>Part Requirement</x:v>
      </x:c>
      <x:c r="C1169" s="6" t="str">
        <x:v>PRTX-0211</x:v>
      </x:c>
      <x:c r="D1169" s="6" t="str">
        <x:v>SVC000211</x:v>
      </x:c>
      <x:c r="E1169" s="6" t="str"/>
      <x:c r="F1169" s="6" t="str">
        <x:f>IFERROR(XLOOKUP(C1169,'Review Sequence'!C2:C1586,'Review Sequence'!I2:I1586),"")</x:f>
        <x:v>Not Started</x:v>
      </x:c>
      <x:c r="G1169" s="6" t="str">
        <x:f>IFERROR(XLOOKUP(C1169,'Review Sequence'!C2:C1586,'Review Sequence'!J2:J1586),"")</x:f>
        <x:v>Not Started</x:v>
      </x:c>
      <x:c r="H1169" s="7" t="str">
        <x:f>IFERROR(XLOOKUP(C1169,'Review Sequence'!C2:C1586,'Review Sequence'!O2:O1586),"")</x:f>
      </x:c>
      <x:c r="I1169" s="6" t="str">
        <x:f>IFERROR(XLOOKUP(C1169,'Review Sequence'!C2:C1586,'Review Sequence'!P2:P1586),"")</x:f>
        <x:v>Yes</x:v>
      </x:c>
    </x:row>
    <x:row r="1170">
      <x:c r="A1170" s="6" t="str">
        <x:v>BLK-1169</x:v>
      </x:c>
      <x:c r="B1170" s="6" t="str">
        <x:v>Part Requirement</x:v>
      </x:c>
      <x:c r="C1170" s="6" t="str">
        <x:v>PRTX-0212</x:v>
      </x:c>
      <x:c r="D1170" s="6" t="str">
        <x:v>SVC000212</x:v>
      </x:c>
      <x:c r="E1170" s="6" t="str"/>
      <x:c r="F1170" s="6" t="str">
        <x:f>IFERROR(XLOOKUP(C1170,'Review Sequence'!C2:C1586,'Review Sequence'!I2:I1586),"")</x:f>
        <x:v>Not Started</x:v>
      </x:c>
      <x:c r="G1170" s="6" t="str">
        <x:f>IFERROR(XLOOKUP(C1170,'Review Sequence'!C2:C1586,'Review Sequence'!J2:J1586),"")</x:f>
        <x:v>Not Started</x:v>
      </x:c>
      <x:c r="H1170" s="7" t="str">
        <x:f>IFERROR(XLOOKUP(C1170,'Review Sequence'!C2:C1586,'Review Sequence'!O2:O1586),"")</x:f>
      </x:c>
      <x:c r="I1170" s="6" t="str">
        <x:f>IFERROR(XLOOKUP(C1170,'Review Sequence'!C2:C1586,'Review Sequence'!P2:P1586),"")</x:f>
        <x:v>Yes</x:v>
      </x:c>
    </x:row>
    <x:row r="1171">
      <x:c r="A1171" s="6" t="str">
        <x:v>BLK-1170</x:v>
      </x:c>
      <x:c r="B1171" s="6" t="str">
        <x:v>Part Requirement</x:v>
      </x:c>
      <x:c r="C1171" s="6" t="str">
        <x:v>PRTX-0213</x:v>
      </x:c>
      <x:c r="D1171" s="6" t="str">
        <x:v>SVC000213</x:v>
      </x:c>
      <x:c r="E1171" s="6" t="str"/>
      <x:c r="F1171" s="6" t="str">
        <x:f>IFERROR(XLOOKUP(C1171,'Review Sequence'!C2:C1586,'Review Sequence'!I2:I1586),"")</x:f>
        <x:v>Not Started</x:v>
      </x:c>
      <x:c r="G1171" s="6" t="str">
        <x:f>IFERROR(XLOOKUP(C1171,'Review Sequence'!C2:C1586,'Review Sequence'!J2:J1586),"")</x:f>
        <x:v>Not Started</x:v>
      </x:c>
      <x:c r="H1171" s="7" t="str">
        <x:f>IFERROR(XLOOKUP(C1171,'Review Sequence'!C2:C1586,'Review Sequence'!O2:O1586),"")</x:f>
      </x:c>
      <x:c r="I1171" s="6" t="str">
        <x:f>IFERROR(XLOOKUP(C1171,'Review Sequence'!C2:C1586,'Review Sequence'!P2:P1586),"")</x:f>
        <x:v>Yes</x:v>
      </x:c>
    </x:row>
    <x:row r="1172">
      <x:c r="A1172" s="6" t="str">
        <x:v>BLK-1171</x:v>
      </x:c>
      <x:c r="B1172" s="6" t="str">
        <x:v>Part Requirement</x:v>
      </x:c>
      <x:c r="C1172" s="6" t="str">
        <x:v>PRTX-0214</x:v>
      </x:c>
      <x:c r="D1172" s="6" t="str">
        <x:v>SVC000214</x:v>
      </x:c>
      <x:c r="E1172" s="6" t="str"/>
      <x:c r="F1172" s="6" t="str">
        <x:f>IFERROR(XLOOKUP(C1172,'Review Sequence'!C2:C1586,'Review Sequence'!I2:I1586),"")</x:f>
        <x:v>Not Started</x:v>
      </x:c>
      <x:c r="G1172" s="6" t="str">
        <x:f>IFERROR(XLOOKUP(C1172,'Review Sequence'!C2:C1586,'Review Sequence'!J2:J1586),"")</x:f>
        <x:v>Not Started</x:v>
      </x:c>
      <x:c r="H1172" s="7" t="str">
        <x:f>IFERROR(XLOOKUP(C1172,'Review Sequence'!C2:C1586,'Review Sequence'!O2:O1586),"")</x:f>
      </x:c>
      <x:c r="I1172" s="6" t="str">
        <x:f>IFERROR(XLOOKUP(C1172,'Review Sequence'!C2:C1586,'Review Sequence'!P2:P1586),"")</x:f>
        <x:v>Yes</x:v>
      </x:c>
    </x:row>
    <x:row r="1173">
      <x:c r="A1173" s="6" t="str">
        <x:v>BLK-1172</x:v>
      </x:c>
      <x:c r="B1173" s="6" t="str">
        <x:v>Part Requirement</x:v>
      </x:c>
      <x:c r="C1173" s="6" t="str">
        <x:v>PRTX-0215</x:v>
      </x:c>
      <x:c r="D1173" s="6" t="str">
        <x:v>SVC000215</x:v>
      </x:c>
      <x:c r="E1173" s="6" t="str"/>
      <x:c r="F1173" s="6" t="str">
        <x:f>IFERROR(XLOOKUP(C1173,'Review Sequence'!C2:C1586,'Review Sequence'!I2:I1586),"")</x:f>
        <x:v>Not Started</x:v>
      </x:c>
      <x:c r="G1173" s="6" t="str">
        <x:f>IFERROR(XLOOKUP(C1173,'Review Sequence'!C2:C1586,'Review Sequence'!J2:J1586),"")</x:f>
        <x:v>Not Started</x:v>
      </x:c>
      <x:c r="H1173" s="7" t="str">
        <x:f>IFERROR(XLOOKUP(C1173,'Review Sequence'!C2:C1586,'Review Sequence'!O2:O1586),"")</x:f>
      </x:c>
      <x:c r="I1173" s="6" t="str">
        <x:f>IFERROR(XLOOKUP(C1173,'Review Sequence'!C2:C1586,'Review Sequence'!P2:P1586),"")</x:f>
        <x:v>Yes</x:v>
      </x:c>
    </x:row>
    <x:row r="1174">
      <x:c r="A1174" s="6" t="str">
        <x:v>BLK-1173</x:v>
      </x:c>
      <x:c r="B1174" s="6" t="str">
        <x:v>Part Requirement</x:v>
      </x:c>
      <x:c r="C1174" s="6" t="str">
        <x:v>PRTX-0216</x:v>
      </x:c>
      <x:c r="D1174" s="6" t="str">
        <x:v>SVC000216</x:v>
      </x:c>
      <x:c r="E1174" s="6" t="str"/>
      <x:c r="F1174" s="6" t="str">
        <x:f>IFERROR(XLOOKUP(C1174,'Review Sequence'!C2:C1586,'Review Sequence'!I2:I1586),"")</x:f>
        <x:v>Not Started</x:v>
      </x:c>
      <x:c r="G1174" s="6" t="str">
        <x:f>IFERROR(XLOOKUP(C1174,'Review Sequence'!C2:C1586,'Review Sequence'!J2:J1586),"")</x:f>
        <x:v>Not Started</x:v>
      </x:c>
      <x:c r="H1174" s="7" t="str">
        <x:f>IFERROR(XLOOKUP(C1174,'Review Sequence'!C2:C1586,'Review Sequence'!O2:O1586),"")</x:f>
      </x:c>
      <x:c r="I1174" s="6" t="str">
        <x:f>IFERROR(XLOOKUP(C1174,'Review Sequence'!C2:C1586,'Review Sequence'!P2:P1586),"")</x:f>
        <x:v>Yes</x:v>
      </x:c>
    </x:row>
    <x:row r="1175">
      <x:c r="A1175" s="6" t="str">
        <x:v>BLK-1174</x:v>
      </x:c>
      <x:c r="B1175" s="6" t="str">
        <x:v>Part Requirement</x:v>
      </x:c>
      <x:c r="C1175" s="6" t="str">
        <x:v>PRTX-0217</x:v>
      </x:c>
      <x:c r="D1175" s="6" t="str">
        <x:v>SVC000217</x:v>
      </x:c>
      <x:c r="E1175" s="6" t="str"/>
      <x:c r="F1175" s="6" t="str">
        <x:f>IFERROR(XLOOKUP(C1175,'Review Sequence'!C2:C1586,'Review Sequence'!I2:I1586),"")</x:f>
        <x:v>Not Started</x:v>
      </x:c>
      <x:c r="G1175" s="6" t="str">
        <x:f>IFERROR(XLOOKUP(C1175,'Review Sequence'!C2:C1586,'Review Sequence'!J2:J1586),"")</x:f>
        <x:v>Not Started</x:v>
      </x:c>
      <x:c r="H1175" s="7" t="str">
        <x:f>IFERROR(XLOOKUP(C1175,'Review Sequence'!C2:C1586,'Review Sequence'!O2:O1586),"")</x:f>
      </x:c>
      <x:c r="I1175" s="6" t="str">
        <x:f>IFERROR(XLOOKUP(C1175,'Review Sequence'!C2:C1586,'Review Sequence'!P2:P1586),"")</x:f>
        <x:v>Yes</x:v>
      </x:c>
    </x:row>
    <x:row r="1176">
      <x:c r="A1176" s="6" t="str">
        <x:v>BLK-1175</x:v>
      </x:c>
      <x:c r="B1176" s="6" t="str">
        <x:v>Part Requirement</x:v>
      </x:c>
      <x:c r="C1176" s="6" t="str">
        <x:v>PRTX-0218</x:v>
      </x:c>
      <x:c r="D1176" s="6" t="str">
        <x:v>SVC000218</x:v>
      </x:c>
      <x:c r="E1176" s="6" t="str"/>
      <x:c r="F1176" s="6" t="str">
        <x:f>IFERROR(XLOOKUP(C1176,'Review Sequence'!C2:C1586,'Review Sequence'!I2:I1586),"")</x:f>
        <x:v>Not Started</x:v>
      </x:c>
      <x:c r="G1176" s="6" t="str">
        <x:f>IFERROR(XLOOKUP(C1176,'Review Sequence'!C2:C1586,'Review Sequence'!J2:J1586),"")</x:f>
        <x:v>Not Started</x:v>
      </x:c>
      <x:c r="H1176" s="7" t="str">
        <x:f>IFERROR(XLOOKUP(C1176,'Review Sequence'!C2:C1586,'Review Sequence'!O2:O1586),"")</x:f>
      </x:c>
      <x:c r="I1176" s="6" t="str">
        <x:f>IFERROR(XLOOKUP(C1176,'Review Sequence'!C2:C1586,'Review Sequence'!P2:P1586),"")</x:f>
        <x:v>Yes</x:v>
      </x:c>
    </x:row>
    <x:row r="1177">
      <x:c r="A1177" s="6" t="str">
        <x:v>BLK-1176</x:v>
      </x:c>
      <x:c r="B1177" s="6" t="str">
        <x:v>Part Requirement</x:v>
      </x:c>
      <x:c r="C1177" s="6" t="str">
        <x:v>PRTX-0219</x:v>
      </x:c>
      <x:c r="D1177" s="6" t="str">
        <x:v>SVC000219</x:v>
      </x:c>
      <x:c r="E1177" s="6" t="str"/>
      <x:c r="F1177" s="6" t="str">
        <x:f>IFERROR(XLOOKUP(C1177,'Review Sequence'!C2:C1586,'Review Sequence'!I2:I1586),"")</x:f>
        <x:v>Not Started</x:v>
      </x:c>
      <x:c r="G1177" s="6" t="str">
        <x:f>IFERROR(XLOOKUP(C1177,'Review Sequence'!C2:C1586,'Review Sequence'!J2:J1586),"")</x:f>
        <x:v>Not Started</x:v>
      </x:c>
      <x:c r="H1177" s="7" t="str">
        <x:f>IFERROR(XLOOKUP(C1177,'Review Sequence'!C2:C1586,'Review Sequence'!O2:O1586),"")</x:f>
      </x:c>
      <x:c r="I1177" s="6" t="str">
        <x:f>IFERROR(XLOOKUP(C1177,'Review Sequence'!C2:C1586,'Review Sequence'!P2:P1586),"")</x:f>
        <x:v>Yes</x:v>
      </x:c>
    </x:row>
    <x:row r="1178">
      <x:c r="A1178" s="6" t="str">
        <x:v>BLK-1177</x:v>
      </x:c>
      <x:c r="B1178" s="6" t="str">
        <x:v>Part Requirement</x:v>
      </x:c>
      <x:c r="C1178" s="6" t="str">
        <x:v>PRTX-0220</x:v>
      </x:c>
      <x:c r="D1178" s="6" t="str">
        <x:v>SVC000220</x:v>
      </x:c>
      <x:c r="E1178" s="6" t="str"/>
      <x:c r="F1178" s="6" t="str">
        <x:f>IFERROR(XLOOKUP(C1178,'Review Sequence'!C2:C1586,'Review Sequence'!I2:I1586),"")</x:f>
        <x:v>Not Started</x:v>
      </x:c>
      <x:c r="G1178" s="6" t="str">
        <x:f>IFERROR(XLOOKUP(C1178,'Review Sequence'!C2:C1586,'Review Sequence'!J2:J1586),"")</x:f>
        <x:v>Not Started</x:v>
      </x:c>
      <x:c r="H1178" s="7" t="str">
        <x:f>IFERROR(XLOOKUP(C1178,'Review Sequence'!C2:C1586,'Review Sequence'!O2:O1586),"")</x:f>
      </x:c>
      <x:c r="I1178" s="6" t="str">
        <x:f>IFERROR(XLOOKUP(C1178,'Review Sequence'!C2:C1586,'Review Sequence'!P2:P1586),"")</x:f>
        <x:v>Yes</x:v>
      </x:c>
    </x:row>
    <x:row r="1179">
      <x:c r="A1179" s="6" t="str">
        <x:v>BLK-1178</x:v>
      </x:c>
      <x:c r="B1179" s="6" t="str">
        <x:v>Part Requirement</x:v>
      </x:c>
      <x:c r="C1179" s="6" t="str">
        <x:v>PRTX-0221</x:v>
      </x:c>
      <x:c r="D1179" s="6" t="str">
        <x:v>SVC000221</x:v>
      </x:c>
      <x:c r="E1179" s="6" t="str"/>
      <x:c r="F1179" s="6" t="str">
        <x:f>IFERROR(XLOOKUP(C1179,'Review Sequence'!C2:C1586,'Review Sequence'!I2:I1586),"")</x:f>
        <x:v>Not Started</x:v>
      </x:c>
      <x:c r="G1179" s="6" t="str">
        <x:f>IFERROR(XLOOKUP(C1179,'Review Sequence'!C2:C1586,'Review Sequence'!J2:J1586),"")</x:f>
        <x:v>Not Started</x:v>
      </x:c>
      <x:c r="H1179" s="7" t="str">
        <x:f>IFERROR(XLOOKUP(C1179,'Review Sequence'!C2:C1586,'Review Sequence'!O2:O1586),"")</x:f>
      </x:c>
      <x:c r="I1179" s="6" t="str">
        <x:f>IFERROR(XLOOKUP(C1179,'Review Sequence'!C2:C1586,'Review Sequence'!P2:P1586),"")</x:f>
        <x:v>Yes</x:v>
      </x:c>
    </x:row>
    <x:row r="1180">
      <x:c r="A1180" s="6" t="str">
        <x:v>BLK-1179</x:v>
      </x:c>
      <x:c r="B1180" s="6" t="str">
        <x:v>Part Requirement</x:v>
      </x:c>
      <x:c r="C1180" s="6" t="str">
        <x:v>PRTX-0222</x:v>
      </x:c>
      <x:c r="D1180" s="6" t="str">
        <x:v>SVC000222</x:v>
      </x:c>
      <x:c r="E1180" s="6" t="str"/>
      <x:c r="F1180" s="6" t="str">
        <x:f>IFERROR(XLOOKUP(C1180,'Review Sequence'!C2:C1586,'Review Sequence'!I2:I1586),"")</x:f>
        <x:v>Not Started</x:v>
      </x:c>
      <x:c r="G1180" s="6" t="str">
        <x:f>IFERROR(XLOOKUP(C1180,'Review Sequence'!C2:C1586,'Review Sequence'!J2:J1586),"")</x:f>
        <x:v>Not Started</x:v>
      </x:c>
      <x:c r="H1180" s="7" t="str">
        <x:f>IFERROR(XLOOKUP(C1180,'Review Sequence'!C2:C1586,'Review Sequence'!O2:O1586),"")</x:f>
      </x:c>
      <x:c r="I1180" s="6" t="str">
        <x:f>IFERROR(XLOOKUP(C1180,'Review Sequence'!C2:C1586,'Review Sequence'!P2:P1586),"")</x:f>
        <x:v>Yes</x:v>
      </x:c>
    </x:row>
    <x:row r="1181">
      <x:c r="A1181" s="6" t="str">
        <x:v>BLK-1180</x:v>
      </x:c>
      <x:c r="B1181" s="6" t="str">
        <x:v>Part Requirement</x:v>
      </x:c>
      <x:c r="C1181" s="6" t="str">
        <x:v>PRTX-0223</x:v>
      </x:c>
      <x:c r="D1181" s="6" t="str">
        <x:v>SVC000223</x:v>
      </x:c>
      <x:c r="E1181" s="6" t="str"/>
      <x:c r="F1181" s="6" t="str">
        <x:f>IFERROR(XLOOKUP(C1181,'Review Sequence'!C2:C1586,'Review Sequence'!I2:I1586),"")</x:f>
        <x:v>Not Started</x:v>
      </x:c>
      <x:c r="G1181" s="6" t="str">
        <x:f>IFERROR(XLOOKUP(C1181,'Review Sequence'!C2:C1586,'Review Sequence'!J2:J1586),"")</x:f>
        <x:v>Not Started</x:v>
      </x:c>
      <x:c r="H1181" s="7" t="str">
        <x:f>IFERROR(XLOOKUP(C1181,'Review Sequence'!C2:C1586,'Review Sequence'!O2:O1586),"")</x:f>
      </x:c>
      <x:c r="I1181" s="6" t="str">
        <x:f>IFERROR(XLOOKUP(C1181,'Review Sequence'!C2:C1586,'Review Sequence'!P2:P1586),"")</x:f>
        <x:v>Yes</x:v>
      </x:c>
    </x:row>
    <x:row r="1182">
      <x:c r="A1182" s="6" t="str">
        <x:v>BLK-1181</x:v>
      </x:c>
      <x:c r="B1182" s="6" t="str">
        <x:v>Part Requirement</x:v>
      </x:c>
      <x:c r="C1182" s="6" t="str">
        <x:v>PRTX-0224</x:v>
      </x:c>
      <x:c r="D1182" s="6" t="str">
        <x:v>SVC000224</x:v>
      </x:c>
      <x:c r="E1182" s="6" t="str"/>
      <x:c r="F1182" s="6" t="str">
        <x:f>IFERROR(XLOOKUP(C1182,'Review Sequence'!C2:C1586,'Review Sequence'!I2:I1586),"")</x:f>
        <x:v>Not Started</x:v>
      </x:c>
      <x:c r="G1182" s="6" t="str">
        <x:f>IFERROR(XLOOKUP(C1182,'Review Sequence'!C2:C1586,'Review Sequence'!J2:J1586),"")</x:f>
        <x:v>Not Started</x:v>
      </x:c>
      <x:c r="H1182" s="7" t="str">
        <x:f>IFERROR(XLOOKUP(C1182,'Review Sequence'!C2:C1586,'Review Sequence'!O2:O1586),"")</x:f>
      </x:c>
      <x:c r="I1182" s="6" t="str">
        <x:f>IFERROR(XLOOKUP(C1182,'Review Sequence'!C2:C1586,'Review Sequence'!P2:P1586),"")</x:f>
        <x:v>Yes</x:v>
      </x:c>
    </x:row>
    <x:row r="1183">
      <x:c r="A1183" s="6" t="str">
        <x:v>BLK-1182</x:v>
      </x:c>
      <x:c r="B1183" s="6" t="str">
        <x:v>Part Requirement</x:v>
      </x:c>
      <x:c r="C1183" s="6" t="str">
        <x:v>PRTX-0225</x:v>
      </x:c>
      <x:c r="D1183" s="6" t="str">
        <x:v>SVC000225</x:v>
      </x:c>
      <x:c r="E1183" s="6" t="str"/>
      <x:c r="F1183" s="6" t="str">
        <x:f>IFERROR(XLOOKUP(C1183,'Review Sequence'!C2:C1586,'Review Sequence'!I2:I1586),"")</x:f>
        <x:v>Not Started</x:v>
      </x:c>
      <x:c r="G1183" s="6" t="str">
        <x:f>IFERROR(XLOOKUP(C1183,'Review Sequence'!C2:C1586,'Review Sequence'!J2:J1586),"")</x:f>
        <x:v>Not Started</x:v>
      </x:c>
      <x:c r="H1183" s="7" t="str">
        <x:f>IFERROR(XLOOKUP(C1183,'Review Sequence'!C2:C1586,'Review Sequence'!O2:O1586),"")</x:f>
      </x:c>
      <x:c r="I1183" s="6" t="str">
        <x:f>IFERROR(XLOOKUP(C1183,'Review Sequence'!C2:C1586,'Review Sequence'!P2:P1586),"")</x:f>
        <x:v>Yes</x:v>
      </x:c>
    </x:row>
    <x:row r="1184">
      <x:c r="A1184" s="6" t="str">
        <x:v>BLK-1183</x:v>
      </x:c>
      <x:c r="B1184" s="6" t="str">
        <x:v>Part Requirement</x:v>
      </x:c>
      <x:c r="C1184" s="6" t="str">
        <x:v>PRTX-0226</x:v>
      </x:c>
      <x:c r="D1184" s="6" t="str">
        <x:v>SVC000226</x:v>
      </x:c>
      <x:c r="E1184" s="6" t="str"/>
      <x:c r="F1184" s="6" t="str">
        <x:f>IFERROR(XLOOKUP(C1184,'Review Sequence'!C2:C1586,'Review Sequence'!I2:I1586),"")</x:f>
        <x:v>Not Started</x:v>
      </x:c>
      <x:c r="G1184" s="6" t="str">
        <x:f>IFERROR(XLOOKUP(C1184,'Review Sequence'!C2:C1586,'Review Sequence'!J2:J1586),"")</x:f>
        <x:v>Not Started</x:v>
      </x:c>
      <x:c r="H1184" s="7" t="str">
        <x:f>IFERROR(XLOOKUP(C1184,'Review Sequence'!C2:C1586,'Review Sequence'!O2:O1586),"")</x:f>
      </x:c>
      <x:c r="I1184" s="6" t="str">
        <x:f>IFERROR(XLOOKUP(C1184,'Review Sequence'!C2:C1586,'Review Sequence'!P2:P1586),"")</x:f>
        <x:v>Yes</x:v>
      </x:c>
    </x:row>
    <x:row r="1185">
      <x:c r="A1185" s="6" t="str">
        <x:v>BLK-1184</x:v>
      </x:c>
      <x:c r="B1185" s="6" t="str">
        <x:v>Part Requirement</x:v>
      </x:c>
      <x:c r="C1185" s="6" t="str">
        <x:v>PRTX-0227</x:v>
      </x:c>
      <x:c r="D1185" s="6" t="str">
        <x:v>SVC000227</x:v>
      </x:c>
      <x:c r="E1185" s="6" t="str"/>
      <x:c r="F1185" s="6" t="str">
        <x:f>IFERROR(XLOOKUP(C1185,'Review Sequence'!C2:C1586,'Review Sequence'!I2:I1586),"")</x:f>
        <x:v>Not Started</x:v>
      </x:c>
      <x:c r="G1185" s="6" t="str">
        <x:f>IFERROR(XLOOKUP(C1185,'Review Sequence'!C2:C1586,'Review Sequence'!J2:J1586),"")</x:f>
        <x:v>Not Started</x:v>
      </x:c>
      <x:c r="H1185" s="7" t="str">
        <x:f>IFERROR(XLOOKUP(C1185,'Review Sequence'!C2:C1586,'Review Sequence'!O2:O1586),"")</x:f>
      </x:c>
      <x:c r="I1185" s="6" t="str">
        <x:f>IFERROR(XLOOKUP(C1185,'Review Sequence'!C2:C1586,'Review Sequence'!P2:P1586),"")</x:f>
        <x:v>Yes</x:v>
      </x:c>
    </x:row>
    <x:row r="1186">
      <x:c r="A1186" s="6" t="str">
        <x:v>BLK-1185</x:v>
      </x:c>
      <x:c r="B1186" s="6" t="str">
        <x:v>Part Requirement</x:v>
      </x:c>
      <x:c r="C1186" s="6" t="str">
        <x:v>PRTX-0228</x:v>
      </x:c>
      <x:c r="D1186" s="6" t="str">
        <x:v>SVC000228</x:v>
      </x:c>
      <x:c r="E1186" s="6" t="str"/>
      <x:c r="F1186" s="6" t="str">
        <x:f>IFERROR(XLOOKUP(C1186,'Review Sequence'!C2:C1586,'Review Sequence'!I2:I1586),"")</x:f>
        <x:v>Not Started</x:v>
      </x:c>
      <x:c r="G1186" s="6" t="str">
        <x:f>IFERROR(XLOOKUP(C1186,'Review Sequence'!C2:C1586,'Review Sequence'!J2:J1586),"")</x:f>
        <x:v>Not Started</x:v>
      </x:c>
      <x:c r="H1186" s="7" t="str">
        <x:f>IFERROR(XLOOKUP(C1186,'Review Sequence'!C2:C1586,'Review Sequence'!O2:O1586),"")</x:f>
      </x:c>
      <x:c r="I1186" s="6" t="str">
        <x:f>IFERROR(XLOOKUP(C1186,'Review Sequence'!C2:C1586,'Review Sequence'!P2:P1586),"")</x:f>
        <x:v>Yes</x:v>
      </x:c>
    </x:row>
    <x:row r="1187">
      <x:c r="A1187" s="6" t="str">
        <x:v>BLK-1186</x:v>
      </x:c>
      <x:c r="B1187" s="6" t="str">
        <x:v>Part Requirement</x:v>
      </x:c>
      <x:c r="C1187" s="6" t="str">
        <x:v>PRTX-0229</x:v>
      </x:c>
      <x:c r="D1187" s="6" t="str">
        <x:v>SVC000229</x:v>
      </x:c>
      <x:c r="E1187" s="6" t="str"/>
      <x:c r="F1187" s="6" t="str">
        <x:f>IFERROR(XLOOKUP(C1187,'Review Sequence'!C2:C1586,'Review Sequence'!I2:I1586),"")</x:f>
        <x:v>Not Started</x:v>
      </x:c>
      <x:c r="G1187" s="6" t="str">
        <x:f>IFERROR(XLOOKUP(C1187,'Review Sequence'!C2:C1586,'Review Sequence'!J2:J1586),"")</x:f>
        <x:v>Not Started</x:v>
      </x:c>
      <x:c r="H1187" s="7" t="str">
        <x:f>IFERROR(XLOOKUP(C1187,'Review Sequence'!C2:C1586,'Review Sequence'!O2:O1586),"")</x:f>
      </x:c>
      <x:c r="I1187" s="6" t="str">
        <x:f>IFERROR(XLOOKUP(C1187,'Review Sequence'!C2:C1586,'Review Sequence'!P2:P1586),"")</x:f>
        <x:v>Yes</x:v>
      </x:c>
    </x:row>
    <x:row r="1188">
      <x:c r="A1188" s="6" t="str">
        <x:v>BLK-1187</x:v>
      </x:c>
      <x:c r="B1188" s="6" t="str">
        <x:v>Part Requirement</x:v>
      </x:c>
      <x:c r="C1188" s="6" t="str">
        <x:v>PRTX-0230</x:v>
      </x:c>
      <x:c r="D1188" s="6" t="str">
        <x:v>SVC000230</x:v>
      </x:c>
      <x:c r="E1188" s="6" t="str"/>
      <x:c r="F1188" s="6" t="str">
        <x:f>IFERROR(XLOOKUP(C1188,'Review Sequence'!C2:C1586,'Review Sequence'!I2:I1586),"")</x:f>
        <x:v>Not Started</x:v>
      </x:c>
      <x:c r="G1188" s="6" t="str">
        <x:f>IFERROR(XLOOKUP(C1188,'Review Sequence'!C2:C1586,'Review Sequence'!J2:J1586),"")</x:f>
        <x:v>Not Started</x:v>
      </x:c>
      <x:c r="H1188" s="7" t="str">
        <x:f>IFERROR(XLOOKUP(C1188,'Review Sequence'!C2:C1586,'Review Sequence'!O2:O1586),"")</x:f>
      </x:c>
      <x:c r="I1188" s="6" t="str">
        <x:f>IFERROR(XLOOKUP(C1188,'Review Sequence'!C2:C1586,'Review Sequence'!P2:P1586),"")</x:f>
        <x:v>Yes</x:v>
      </x:c>
    </x:row>
    <x:row r="1189">
      <x:c r="A1189" s="6" t="str">
        <x:v>BLK-1188</x:v>
      </x:c>
      <x:c r="B1189" s="6" t="str">
        <x:v>Part Requirement</x:v>
      </x:c>
      <x:c r="C1189" s="6" t="str">
        <x:v>PRTX-0231</x:v>
      </x:c>
      <x:c r="D1189" s="6" t="str">
        <x:v>SVC000231</x:v>
      </x:c>
      <x:c r="E1189" s="6" t="str"/>
      <x:c r="F1189" s="6" t="str">
        <x:f>IFERROR(XLOOKUP(C1189,'Review Sequence'!C2:C1586,'Review Sequence'!I2:I1586),"")</x:f>
        <x:v>Not Started</x:v>
      </x:c>
      <x:c r="G1189" s="6" t="str">
        <x:f>IFERROR(XLOOKUP(C1189,'Review Sequence'!C2:C1586,'Review Sequence'!J2:J1586),"")</x:f>
        <x:v>Not Started</x:v>
      </x:c>
      <x:c r="H1189" s="7" t="str">
        <x:f>IFERROR(XLOOKUP(C1189,'Review Sequence'!C2:C1586,'Review Sequence'!O2:O1586),"")</x:f>
      </x:c>
      <x:c r="I1189" s="6" t="str">
        <x:f>IFERROR(XLOOKUP(C1189,'Review Sequence'!C2:C1586,'Review Sequence'!P2:P1586),"")</x:f>
        <x:v>Yes</x:v>
      </x:c>
    </x:row>
    <x:row r="1190">
      <x:c r="A1190" s="6" t="str">
        <x:v>BLK-1189</x:v>
      </x:c>
      <x:c r="B1190" s="6" t="str">
        <x:v>Part Requirement</x:v>
      </x:c>
      <x:c r="C1190" s="6" t="str">
        <x:v>PRTX-0232</x:v>
      </x:c>
      <x:c r="D1190" s="6" t="str">
        <x:v>SVC000232</x:v>
      </x:c>
      <x:c r="E1190" s="6" t="str"/>
      <x:c r="F1190" s="6" t="str">
        <x:f>IFERROR(XLOOKUP(C1190,'Review Sequence'!C2:C1586,'Review Sequence'!I2:I1586),"")</x:f>
        <x:v>Not Started</x:v>
      </x:c>
      <x:c r="G1190" s="6" t="str">
        <x:f>IFERROR(XLOOKUP(C1190,'Review Sequence'!C2:C1586,'Review Sequence'!J2:J1586),"")</x:f>
        <x:v>Not Started</x:v>
      </x:c>
      <x:c r="H1190" s="7" t="str">
        <x:f>IFERROR(XLOOKUP(C1190,'Review Sequence'!C2:C1586,'Review Sequence'!O2:O1586),"")</x:f>
      </x:c>
      <x:c r="I1190" s="6" t="str">
        <x:f>IFERROR(XLOOKUP(C1190,'Review Sequence'!C2:C1586,'Review Sequence'!P2:P1586),"")</x:f>
        <x:v>Yes</x:v>
      </x:c>
    </x:row>
    <x:row r="1191">
      <x:c r="A1191" s="6" t="str">
        <x:v>BLK-1190</x:v>
      </x:c>
      <x:c r="B1191" s="6" t="str">
        <x:v>Part Requirement</x:v>
      </x:c>
      <x:c r="C1191" s="6" t="str">
        <x:v>PRTX-0233</x:v>
      </x:c>
      <x:c r="D1191" s="6" t="str">
        <x:v>SVC000233</x:v>
      </x:c>
      <x:c r="E1191" s="6" t="str"/>
      <x:c r="F1191" s="6" t="str">
        <x:f>IFERROR(XLOOKUP(C1191,'Review Sequence'!C2:C1586,'Review Sequence'!I2:I1586),"")</x:f>
        <x:v>Not Started</x:v>
      </x:c>
      <x:c r="G1191" s="6" t="str">
        <x:f>IFERROR(XLOOKUP(C1191,'Review Sequence'!C2:C1586,'Review Sequence'!J2:J1586),"")</x:f>
        <x:v>Not Started</x:v>
      </x:c>
      <x:c r="H1191" s="7" t="str">
        <x:f>IFERROR(XLOOKUP(C1191,'Review Sequence'!C2:C1586,'Review Sequence'!O2:O1586),"")</x:f>
      </x:c>
      <x:c r="I1191" s="6" t="str">
        <x:f>IFERROR(XLOOKUP(C1191,'Review Sequence'!C2:C1586,'Review Sequence'!P2:P1586),"")</x:f>
        <x:v>Yes</x:v>
      </x:c>
    </x:row>
    <x:row r="1192">
      <x:c r="A1192" s="6" t="str">
        <x:v>BLK-1191</x:v>
      </x:c>
      <x:c r="B1192" s="6" t="str">
        <x:v>Part Requirement</x:v>
      </x:c>
      <x:c r="C1192" s="6" t="str">
        <x:v>PRTX-0234</x:v>
      </x:c>
      <x:c r="D1192" s="6" t="str">
        <x:v>SVC000234</x:v>
      </x:c>
      <x:c r="E1192" s="6" t="str"/>
      <x:c r="F1192" s="6" t="str">
        <x:f>IFERROR(XLOOKUP(C1192,'Review Sequence'!C2:C1586,'Review Sequence'!I2:I1586),"")</x:f>
        <x:v>Not Started</x:v>
      </x:c>
      <x:c r="G1192" s="6" t="str">
        <x:f>IFERROR(XLOOKUP(C1192,'Review Sequence'!C2:C1586,'Review Sequence'!J2:J1586),"")</x:f>
        <x:v>Not Started</x:v>
      </x:c>
      <x:c r="H1192" s="7" t="str">
        <x:f>IFERROR(XLOOKUP(C1192,'Review Sequence'!C2:C1586,'Review Sequence'!O2:O1586),"")</x:f>
      </x:c>
      <x:c r="I1192" s="6" t="str">
        <x:f>IFERROR(XLOOKUP(C1192,'Review Sequence'!C2:C1586,'Review Sequence'!P2:P1586),"")</x:f>
        <x:v>Yes</x:v>
      </x:c>
    </x:row>
    <x:row r="1193">
      <x:c r="A1193" s="6" t="str">
        <x:v>BLK-1192</x:v>
      </x:c>
      <x:c r="B1193" s="6" t="str">
        <x:v>Part Requirement</x:v>
      </x:c>
      <x:c r="C1193" s="6" t="str">
        <x:v>PRTX-0235</x:v>
      </x:c>
      <x:c r="D1193" s="6" t="str">
        <x:v>SVC000235</x:v>
      </x:c>
      <x:c r="E1193" s="6" t="str"/>
      <x:c r="F1193" s="6" t="str">
        <x:f>IFERROR(XLOOKUP(C1193,'Review Sequence'!C2:C1586,'Review Sequence'!I2:I1586),"")</x:f>
        <x:v>Not Started</x:v>
      </x:c>
      <x:c r="G1193" s="6" t="str">
        <x:f>IFERROR(XLOOKUP(C1193,'Review Sequence'!C2:C1586,'Review Sequence'!J2:J1586),"")</x:f>
        <x:v>Not Started</x:v>
      </x:c>
      <x:c r="H1193" s="7" t="str">
        <x:f>IFERROR(XLOOKUP(C1193,'Review Sequence'!C2:C1586,'Review Sequence'!O2:O1586),"")</x:f>
      </x:c>
      <x:c r="I1193" s="6" t="str">
        <x:f>IFERROR(XLOOKUP(C1193,'Review Sequence'!C2:C1586,'Review Sequence'!P2:P1586),"")</x:f>
        <x:v>Yes</x:v>
      </x:c>
    </x:row>
    <x:row r="1194">
      <x:c r="A1194" s="6" t="str">
        <x:v>BLK-1193</x:v>
      </x:c>
      <x:c r="B1194" s="6" t="str">
        <x:v>Part Requirement</x:v>
      </x:c>
      <x:c r="C1194" s="6" t="str">
        <x:v>PRTX-0236</x:v>
      </x:c>
      <x:c r="D1194" s="6" t="str">
        <x:v>SVC000236</x:v>
      </x:c>
      <x:c r="E1194" s="6" t="str"/>
      <x:c r="F1194" s="6" t="str">
        <x:f>IFERROR(XLOOKUP(C1194,'Review Sequence'!C2:C1586,'Review Sequence'!I2:I1586),"")</x:f>
        <x:v>Not Started</x:v>
      </x:c>
      <x:c r="G1194" s="6" t="str">
        <x:f>IFERROR(XLOOKUP(C1194,'Review Sequence'!C2:C1586,'Review Sequence'!J2:J1586),"")</x:f>
        <x:v>Not Started</x:v>
      </x:c>
      <x:c r="H1194" s="7" t="str">
        <x:f>IFERROR(XLOOKUP(C1194,'Review Sequence'!C2:C1586,'Review Sequence'!O2:O1586),"")</x:f>
      </x:c>
      <x:c r="I1194" s="6" t="str">
        <x:f>IFERROR(XLOOKUP(C1194,'Review Sequence'!C2:C1586,'Review Sequence'!P2:P1586),"")</x:f>
        <x:v>Yes</x:v>
      </x:c>
    </x:row>
    <x:row r="1195">
      <x:c r="A1195" s="6" t="str">
        <x:v>BLK-1194</x:v>
      </x:c>
      <x:c r="B1195" s="6" t="str">
        <x:v>Part Requirement</x:v>
      </x:c>
      <x:c r="C1195" s="6" t="str">
        <x:v>PRTX-0237</x:v>
      </x:c>
      <x:c r="D1195" s="6" t="str">
        <x:v>SVC000237</x:v>
      </x:c>
      <x:c r="E1195" s="6" t="str"/>
      <x:c r="F1195" s="6" t="str">
        <x:f>IFERROR(XLOOKUP(C1195,'Review Sequence'!C2:C1586,'Review Sequence'!I2:I1586),"")</x:f>
        <x:v>Not Started</x:v>
      </x:c>
      <x:c r="G1195" s="6" t="str">
        <x:f>IFERROR(XLOOKUP(C1195,'Review Sequence'!C2:C1586,'Review Sequence'!J2:J1586),"")</x:f>
        <x:v>Not Started</x:v>
      </x:c>
      <x:c r="H1195" s="7" t="str">
        <x:f>IFERROR(XLOOKUP(C1195,'Review Sequence'!C2:C1586,'Review Sequence'!O2:O1586),"")</x:f>
      </x:c>
      <x:c r="I1195" s="6" t="str">
        <x:f>IFERROR(XLOOKUP(C1195,'Review Sequence'!C2:C1586,'Review Sequence'!P2:P1586),"")</x:f>
        <x:v>Yes</x:v>
      </x:c>
    </x:row>
    <x:row r="1196">
      <x:c r="A1196" s="6" t="str">
        <x:v>BLK-1195</x:v>
      </x:c>
      <x:c r="B1196" s="6" t="str">
        <x:v>Part Requirement</x:v>
      </x:c>
      <x:c r="C1196" s="6" t="str">
        <x:v>PRTX-0238</x:v>
      </x:c>
      <x:c r="D1196" s="6" t="str">
        <x:v>SVC000238</x:v>
      </x:c>
      <x:c r="E1196" s="6" t="str"/>
      <x:c r="F1196" s="6" t="str">
        <x:f>IFERROR(XLOOKUP(C1196,'Review Sequence'!C2:C1586,'Review Sequence'!I2:I1586),"")</x:f>
        <x:v>Not Started</x:v>
      </x:c>
      <x:c r="G1196" s="6" t="str">
        <x:f>IFERROR(XLOOKUP(C1196,'Review Sequence'!C2:C1586,'Review Sequence'!J2:J1586),"")</x:f>
        <x:v>Not Started</x:v>
      </x:c>
      <x:c r="H1196" s="7" t="str">
        <x:f>IFERROR(XLOOKUP(C1196,'Review Sequence'!C2:C1586,'Review Sequence'!O2:O1586),"")</x:f>
      </x:c>
      <x:c r="I1196" s="6" t="str">
        <x:f>IFERROR(XLOOKUP(C1196,'Review Sequence'!C2:C1586,'Review Sequence'!P2:P1586),"")</x:f>
        <x:v>Yes</x:v>
      </x:c>
    </x:row>
    <x:row r="1197">
      <x:c r="A1197" s="6" t="str">
        <x:v>BLK-1196</x:v>
      </x:c>
      <x:c r="B1197" s="6" t="str">
        <x:v>Part Requirement</x:v>
      </x:c>
      <x:c r="C1197" s="6" t="str">
        <x:v>PRTX-0239</x:v>
      </x:c>
      <x:c r="D1197" s="6" t="str">
        <x:v>SVC000239</x:v>
      </x:c>
      <x:c r="E1197" s="6" t="str"/>
      <x:c r="F1197" s="6" t="str">
        <x:f>IFERROR(XLOOKUP(C1197,'Review Sequence'!C2:C1586,'Review Sequence'!I2:I1586),"")</x:f>
        <x:v>Not Started</x:v>
      </x:c>
      <x:c r="G1197" s="6" t="str">
        <x:f>IFERROR(XLOOKUP(C1197,'Review Sequence'!C2:C1586,'Review Sequence'!J2:J1586),"")</x:f>
        <x:v>Not Started</x:v>
      </x:c>
      <x:c r="H1197" s="7" t="str">
        <x:f>IFERROR(XLOOKUP(C1197,'Review Sequence'!C2:C1586,'Review Sequence'!O2:O1586),"")</x:f>
      </x:c>
      <x:c r="I1197" s="6" t="str">
        <x:f>IFERROR(XLOOKUP(C1197,'Review Sequence'!C2:C1586,'Review Sequence'!P2:P1586),"")</x:f>
        <x:v>Yes</x:v>
      </x:c>
    </x:row>
    <x:row r="1198">
      <x:c r="A1198" s="6" t="str">
        <x:v>BLK-1197</x:v>
      </x:c>
      <x:c r="B1198" s="6" t="str">
        <x:v>Part Requirement</x:v>
      </x:c>
      <x:c r="C1198" s="6" t="str">
        <x:v>PRTX-0240</x:v>
      </x:c>
      <x:c r="D1198" s="6" t="str">
        <x:v>SVC000240</x:v>
      </x:c>
      <x:c r="E1198" s="6" t="str"/>
      <x:c r="F1198" s="6" t="str">
        <x:f>IFERROR(XLOOKUP(C1198,'Review Sequence'!C2:C1586,'Review Sequence'!I2:I1586),"")</x:f>
        <x:v>Not Started</x:v>
      </x:c>
      <x:c r="G1198" s="6" t="str">
        <x:f>IFERROR(XLOOKUP(C1198,'Review Sequence'!C2:C1586,'Review Sequence'!J2:J1586),"")</x:f>
        <x:v>Not Started</x:v>
      </x:c>
      <x:c r="H1198" s="7" t="str">
        <x:f>IFERROR(XLOOKUP(C1198,'Review Sequence'!C2:C1586,'Review Sequence'!O2:O1586),"")</x:f>
      </x:c>
      <x:c r="I1198" s="6" t="str">
        <x:f>IFERROR(XLOOKUP(C1198,'Review Sequence'!C2:C1586,'Review Sequence'!P2:P1586),"")</x:f>
        <x:v>Yes</x:v>
      </x:c>
    </x:row>
    <x:row r="1199">
      <x:c r="A1199" s="6" t="str">
        <x:v>BLK-1198</x:v>
      </x:c>
      <x:c r="B1199" s="6" t="str">
        <x:v>Part Requirement</x:v>
      </x:c>
      <x:c r="C1199" s="6" t="str">
        <x:v>PRTX-0241</x:v>
      </x:c>
      <x:c r="D1199" s="6" t="str">
        <x:v>SVC000241</x:v>
      </x:c>
      <x:c r="E1199" s="6" t="str"/>
      <x:c r="F1199" s="6" t="str">
        <x:f>IFERROR(XLOOKUP(C1199,'Review Sequence'!C2:C1586,'Review Sequence'!I2:I1586),"")</x:f>
        <x:v>Not Started</x:v>
      </x:c>
      <x:c r="G1199" s="6" t="str">
        <x:f>IFERROR(XLOOKUP(C1199,'Review Sequence'!C2:C1586,'Review Sequence'!J2:J1586),"")</x:f>
        <x:v>Not Started</x:v>
      </x:c>
      <x:c r="H1199" s="7" t="str">
        <x:f>IFERROR(XLOOKUP(C1199,'Review Sequence'!C2:C1586,'Review Sequence'!O2:O1586),"")</x:f>
      </x:c>
      <x:c r="I1199" s="6" t="str">
        <x:f>IFERROR(XLOOKUP(C1199,'Review Sequence'!C2:C1586,'Review Sequence'!P2:P1586),"")</x:f>
        <x:v>Yes</x:v>
      </x:c>
    </x:row>
    <x:row r="1200">
      <x:c r="A1200" s="6" t="str">
        <x:v>BLK-1199</x:v>
      </x:c>
      <x:c r="B1200" s="6" t="str">
        <x:v>Part Requirement</x:v>
      </x:c>
      <x:c r="C1200" s="6" t="str">
        <x:v>PRTX-0242</x:v>
      </x:c>
      <x:c r="D1200" s="6" t="str">
        <x:v>SVC000242</x:v>
      </x:c>
      <x:c r="E1200" s="6" t="str"/>
      <x:c r="F1200" s="6" t="str">
        <x:f>IFERROR(XLOOKUP(C1200,'Review Sequence'!C2:C1586,'Review Sequence'!I2:I1586),"")</x:f>
        <x:v>Not Started</x:v>
      </x:c>
      <x:c r="G1200" s="6" t="str">
        <x:f>IFERROR(XLOOKUP(C1200,'Review Sequence'!C2:C1586,'Review Sequence'!J2:J1586),"")</x:f>
        <x:v>Not Started</x:v>
      </x:c>
      <x:c r="H1200" s="7" t="str">
        <x:f>IFERROR(XLOOKUP(C1200,'Review Sequence'!C2:C1586,'Review Sequence'!O2:O1586),"")</x:f>
      </x:c>
      <x:c r="I1200" s="6" t="str">
        <x:f>IFERROR(XLOOKUP(C1200,'Review Sequence'!C2:C1586,'Review Sequence'!P2:P1586),"")</x:f>
        <x:v>Yes</x:v>
      </x:c>
    </x:row>
    <x:row r="1201">
      <x:c r="A1201" s="6" t="str">
        <x:v>BLK-1200</x:v>
      </x:c>
      <x:c r="B1201" s="6" t="str">
        <x:v>Part Requirement</x:v>
      </x:c>
      <x:c r="C1201" s="6" t="str">
        <x:v>PRTX-0243</x:v>
      </x:c>
      <x:c r="D1201" s="6" t="str">
        <x:v>SVC000243</x:v>
      </x:c>
      <x:c r="E1201" s="6" t="str"/>
      <x:c r="F1201" s="6" t="str">
        <x:f>IFERROR(XLOOKUP(C1201,'Review Sequence'!C2:C1586,'Review Sequence'!I2:I1586),"")</x:f>
        <x:v>Not Started</x:v>
      </x:c>
      <x:c r="G1201" s="6" t="str">
        <x:f>IFERROR(XLOOKUP(C1201,'Review Sequence'!C2:C1586,'Review Sequence'!J2:J1586),"")</x:f>
        <x:v>Not Started</x:v>
      </x:c>
      <x:c r="H1201" s="7" t="str">
        <x:f>IFERROR(XLOOKUP(C1201,'Review Sequence'!C2:C1586,'Review Sequence'!O2:O1586),"")</x:f>
      </x:c>
      <x:c r="I1201" s="6" t="str">
        <x:f>IFERROR(XLOOKUP(C1201,'Review Sequence'!C2:C1586,'Review Sequence'!P2:P1586),"")</x:f>
        <x:v>Yes</x:v>
      </x:c>
    </x:row>
    <x:row r="1202">
      <x:c r="A1202" s="6" t="str">
        <x:v>BLK-1201</x:v>
      </x:c>
      <x:c r="B1202" s="6" t="str">
        <x:v>Part Requirement</x:v>
      </x:c>
      <x:c r="C1202" s="6" t="str">
        <x:v>PRTX-0244</x:v>
      </x:c>
      <x:c r="D1202" s="6" t="str">
        <x:v>SVC000244</x:v>
      </x:c>
      <x:c r="E1202" s="6" t="str"/>
      <x:c r="F1202" s="6" t="str">
        <x:f>IFERROR(XLOOKUP(C1202,'Review Sequence'!C2:C1586,'Review Sequence'!I2:I1586),"")</x:f>
        <x:v>Not Started</x:v>
      </x:c>
      <x:c r="G1202" s="6" t="str">
        <x:f>IFERROR(XLOOKUP(C1202,'Review Sequence'!C2:C1586,'Review Sequence'!J2:J1586),"")</x:f>
        <x:v>Not Started</x:v>
      </x:c>
      <x:c r="H1202" s="7" t="str">
        <x:f>IFERROR(XLOOKUP(C1202,'Review Sequence'!C2:C1586,'Review Sequence'!O2:O1586),"")</x:f>
      </x:c>
      <x:c r="I1202" s="6" t="str">
        <x:f>IFERROR(XLOOKUP(C1202,'Review Sequence'!C2:C1586,'Review Sequence'!P2:P1586),"")</x:f>
        <x:v>Yes</x:v>
      </x:c>
    </x:row>
    <x:row r="1203">
      <x:c r="A1203" s="6" t="str">
        <x:v>BLK-1202</x:v>
      </x:c>
      <x:c r="B1203" s="6" t="str">
        <x:v>Part Requirement</x:v>
      </x:c>
      <x:c r="C1203" s="6" t="str">
        <x:v>PRTX-0245</x:v>
      </x:c>
      <x:c r="D1203" s="6" t="str">
        <x:v>SVC000245</x:v>
      </x:c>
      <x:c r="E1203" s="6" t="str"/>
      <x:c r="F1203" s="6" t="str">
        <x:f>IFERROR(XLOOKUP(C1203,'Review Sequence'!C2:C1586,'Review Sequence'!I2:I1586),"")</x:f>
        <x:v>Not Started</x:v>
      </x:c>
      <x:c r="G1203" s="6" t="str">
        <x:f>IFERROR(XLOOKUP(C1203,'Review Sequence'!C2:C1586,'Review Sequence'!J2:J1586),"")</x:f>
        <x:v>Not Started</x:v>
      </x:c>
      <x:c r="H1203" s="7" t="str">
        <x:f>IFERROR(XLOOKUP(C1203,'Review Sequence'!C2:C1586,'Review Sequence'!O2:O1586),"")</x:f>
      </x:c>
      <x:c r="I1203" s="6" t="str">
        <x:f>IFERROR(XLOOKUP(C1203,'Review Sequence'!C2:C1586,'Review Sequence'!P2:P1586),"")</x:f>
        <x:v>Yes</x:v>
      </x:c>
    </x:row>
    <x:row r="1204">
      <x:c r="A1204" s="6" t="str">
        <x:v>BLK-1203</x:v>
      </x:c>
      <x:c r="B1204" s="6" t="str">
        <x:v>Part Requirement</x:v>
      </x:c>
      <x:c r="C1204" s="6" t="str">
        <x:v>PRTX-0246</x:v>
      </x:c>
      <x:c r="D1204" s="6" t="str">
        <x:v>SVC000246</x:v>
      </x:c>
      <x:c r="E1204" s="6" t="str"/>
      <x:c r="F1204" s="6" t="str">
        <x:f>IFERROR(XLOOKUP(C1204,'Review Sequence'!C2:C1586,'Review Sequence'!I2:I1586),"")</x:f>
        <x:v>Not Started</x:v>
      </x:c>
      <x:c r="G1204" s="6" t="str">
        <x:f>IFERROR(XLOOKUP(C1204,'Review Sequence'!C2:C1586,'Review Sequence'!J2:J1586),"")</x:f>
        <x:v>Not Started</x:v>
      </x:c>
      <x:c r="H1204" s="7" t="str">
        <x:f>IFERROR(XLOOKUP(C1204,'Review Sequence'!C2:C1586,'Review Sequence'!O2:O1586),"")</x:f>
      </x:c>
      <x:c r="I1204" s="6" t="str">
        <x:f>IFERROR(XLOOKUP(C1204,'Review Sequence'!C2:C1586,'Review Sequence'!P2:P1586),"")</x:f>
        <x:v>Yes</x:v>
      </x:c>
    </x:row>
    <x:row r="1205">
      <x:c r="A1205" s="6" t="str">
        <x:v>BLK-1204</x:v>
      </x:c>
      <x:c r="B1205" s="6" t="str">
        <x:v>Part Requirement</x:v>
      </x:c>
      <x:c r="C1205" s="6" t="str">
        <x:v>PRTX-0247</x:v>
      </x:c>
      <x:c r="D1205" s="6" t="str">
        <x:v>SVC000247</x:v>
      </x:c>
      <x:c r="E1205" s="6" t="str"/>
      <x:c r="F1205" s="6" t="str">
        <x:f>IFERROR(XLOOKUP(C1205,'Review Sequence'!C2:C1586,'Review Sequence'!I2:I1586),"")</x:f>
        <x:v>Not Started</x:v>
      </x:c>
      <x:c r="G1205" s="6" t="str">
        <x:f>IFERROR(XLOOKUP(C1205,'Review Sequence'!C2:C1586,'Review Sequence'!J2:J1586),"")</x:f>
        <x:v>Not Started</x:v>
      </x:c>
      <x:c r="H1205" s="7" t="str">
        <x:f>IFERROR(XLOOKUP(C1205,'Review Sequence'!C2:C1586,'Review Sequence'!O2:O1586),"")</x:f>
      </x:c>
      <x:c r="I1205" s="6" t="str">
        <x:f>IFERROR(XLOOKUP(C1205,'Review Sequence'!C2:C1586,'Review Sequence'!P2:P1586),"")</x:f>
        <x:v>Yes</x:v>
      </x:c>
    </x:row>
    <x:row r="1206">
      <x:c r="A1206" s="6" t="str">
        <x:v>BLK-1205</x:v>
      </x:c>
      <x:c r="B1206" s="6" t="str">
        <x:v>Part Requirement</x:v>
      </x:c>
      <x:c r="C1206" s="6" t="str">
        <x:v>PRTX-0248</x:v>
      </x:c>
      <x:c r="D1206" s="6" t="str">
        <x:v>SVC000248</x:v>
      </x:c>
      <x:c r="E1206" s="6" t="str"/>
      <x:c r="F1206" s="6" t="str">
        <x:f>IFERROR(XLOOKUP(C1206,'Review Sequence'!C2:C1586,'Review Sequence'!I2:I1586),"")</x:f>
        <x:v>Not Started</x:v>
      </x:c>
      <x:c r="G1206" s="6" t="str">
        <x:f>IFERROR(XLOOKUP(C1206,'Review Sequence'!C2:C1586,'Review Sequence'!J2:J1586),"")</x:f>
        <x:v>Not Started</x:v>
      </x:c>
      <x:c r="H1206" s="7" t="str">
        <x:f>IFERROR(XLOOKUP(C1206,'Review Sequence'!C2:C1586,'Review Sequence'!O2:O1586),"")</x:f>
      </x:c>
      <x:c r="I1206" s="6" t="str">
        <x:f>IFERROR(XLOOKUP(C1206,'Review Sequence'!C2:C1586,'Review Sequence'!P2:P1586),"")</x:f>
        <x:v>Yes</x:v>
      </x:c>
    </x:row>
    <x:row r="1207">
      <x:c r="A1207" s="6" t="str">
        <x:v>BLK-1206</x:v>
      </x:c>
      <x:c r="B1207" s="6" t="str">
        <x:v>Part Requirement</x:v>
      </x:c>
      <x:c r="C1207" s="6" t="str">
        <x:v>PRTX-0249</x:v>
      </x:c>
      <x:c r="D1207" s="6" t="str">
        <x:v>SVC000249</x:v>
      </x:c>
      <x:c r="E1207" s="6" t="str"/>
      <x:c r="F1207" s="6" t="str">
        <x:f>IFERROR(XLOOKUP(C1207,'Review Sequence'!C2:C1586,'Review Sequence'!I2:I1586),"")</x:f>
        <x:v>Not Started</x:v>
      </x:c>
      <x:c r="G1207" s="6" t="str">
        <x:f>IFERROR(XLOOKUP(C1207,'Review Sequence'!C2:C1586,'Review Sequence'!J2:J1586),"")</x:f>
        <x:v>Not Started</x:v>
      </x:c>
      <x:c r="H1207" s="7" t="str">
        <x:f>IFERROR(XLOOKUP(C1207,'Review Sequence'!C2:C1586,'Review Sequence'!O2:O1586),"")</x:f>
      </x:c>
      <x:c r="I1207" s="6" t="str">
        <x:f>IFERROR(XLOOKUP(C1207,'Review Sequence'!C2:C1586,'Review Sequence'!P2:P1586),"")</x:f>
        <x:v>Yes</x:v>
      </x:c>
    </x:row>
    <x:row r="1208">
      <x:c r="A1208" s="6" t="str">
        <x:v>BLK-1207</x:v>
      </x:c>
      <x:c r="B1208" s="6" t="str">
        <x:v>Part Requirement</x:v>
      </x:c>
      <x:c r="C1208" s="6" t="str">
        <x:v>PRTX-0250</x:v>
      </x:c>
      <x:c r="D1208" s="6" t="str">
        <x:v>SVC000250</x:v>
      </x:c>
      <x:c r="E1208" s="6" t="str"/>
      <x:c r="F1208" s="6" t="str">
        <x:f>IFERROR(XLOOKUP(C1208,'Review Sequence'!C2:C1586,'Review Sequence'!I2:I1586),"")</x:f>
        <x:v>Not Started</x:v>
      </x:c>
      <x:c r="G1208" s="6" t="str">
        <x:f>IFERROR(XLOOKUP(C1208,'Review Sequence'!C2:C1586,'Review Sequence'!J2:J1586),"")</x:f>
        <x:v>Not Started</x:v>
      </x:c>
      <x:c r="H1208" s="7" t="str">
        <x:f>IFERROR(XLOOKUP(C1208,'Review Sequence'!C2:C1586,'Review Sequence'!O2:O1586),"")</x:f>
      </x:c>
      <x:c r="I1208" s="6" t="str">
        <x:f>IFERROR(XLOOKUP(C1208,'Review Sequence'!C2:C1586,'Review Sequence'!P2:P1586),"")</x:f>
        <x:v>Yes</x:v>
      </x:c>
    </x:row>
    <x:row r="1209">
      <x:c r="A1209" s="6" t="str">
        <x:v>BLK-1208</x:v>
      </x:c>
      <x:c r="B1209" s="6" t="str">
        <x:v>Part Requirement</x:v>
      </x:c>
      <x:c r="C1209" s="6" t="str">
        <x:v>PRTX-0251</x:v>
      </x:c>
      <x:c r="D1209" s="6" t="str">
        <x:v>SVC000251</x:v>
      </x:c>
      <x:c r="E1209" s="6" t="str"/>
      <x:c r="F1209" s="6" t="str">
        <x:f>IFERROR(XLOOKUP(C1209,'Review Sequence'!C2:C1586,'Review Sequence'!I2:I1586),"")</x:f>
        <x:v>Not Started</x:v>
      </x:c>
      <x:c r="G1209" s="6" t="str">
        <x:f>IFERROR(XLOOKUP(C1209,'Review Sequence'!C2:C1586,'Review Sequence'!J2:J1586),"")</x:f>
        <x:v>Not Started</x:v>
      </x:c>
      <x:c r="H1209" s="7" t="str">
        <x:f>IFERROR(XLOOKUP(C1209,'Review Sequence'!C2:C1586,'Review Sequence'!O2:O1586),"")</x:f>
      </x:c>
      <x:c r="I1209" s="6" t="str">
        <x:f>IFERROR(XLOOKUP(C1209,'Review Sequence'!C2:C1586,'Review Sequence'!P2:P1586),"")</x:f>
        <x:v>Yes</x:v>
      </x:c>
    </x:row>
    <x:row r="1210">
      <x:c r="A1210" s="6" t="str">
        <x:v>BLK-1209</x:v>
      </x:c>
      <x:c r="B1210" s="6" t="str">
        <x:v>Part Requirement</x:v>
      </x:c>
      <x:c r="C1210" s="6" t="str">
        <x:v>PRTX-0252</x:v>
      </x:c>
      <x:c r="D1210" s="6" t="str">
        <x:v>SVC000252</x:v>
      </x:c>
      <x:c r="E1210" s="6" t="str"/>
      <x:c r="F1210" s="6" t="str">
        <x:f>IFERROR(XLOOKUP(C1210,'Review Sequence'!C2:C1586,'Review Sequence'!I2:I1586),"")</x:f>
        <x:v>Not Started</x:v>
      </x:c>
      <x:c r="G1210" s="6" t="str">
        <x:f>IFERROR(XLOOKUP(C1210,'Review Sequence'!C2:C1586,'Review Sequence'!J2:J1586),"")</x:f>
        <x:v>Not Started</x:v>
      </x:c>
      <x:c r="H1210" s="7" t="str">
        <x:f>IFERROR(XLOOKUP(C1210,'Review Sequence'!C2:C1586,'Review Sequence'!O2:O1586),"")</x:f>
      </x:c>
      <x:c r="I1210" s="6" t="str">
        <x:f>IFERROR(XLOOKUP(C1210,'Review Sequence'!C2:C1586,'Review Sequence'!P2:P1586),"")</x:f>
        <x:v>Yes</x:v>
      </x:c>
    </x:row>
    <x:row r="1211">
      <x:c r="A1211" s="6" t="str">
        <x:v>BLK-1210</x:v>
      </x:c>
      <x:c r="B1211" s="6" t="str">
        <x:v>Part Requirement</x:v>
      </x:c>
      <x:c r="C1211" s="6" t="str">
        <x:v>PRTX-0253</x:v>
      </x:c>
      <x:c r="D1211" s="6" t="str">
        <x:v>SVC000253</x:v>
      </x:c>
      <x:c r="E1211" s="6" t="str"/>
      <x:c r="F1211" s="6" t="str">
        <x:f>IFERROR(XLOOKUP(C1211,'Review Sequence'!C2:C1586,'Review Sequence'!I2:I1586),"")</x:f>
        <x:v>Not Started</x:v>
      </x:c>
      <x:c r="G1211" s="6" t="str">
        <x:f>IFERROR(XLOOKUP(C1211,'Review Sequence'!C2:C1586,'Review Sequence'!J2:J1586),"")</x:f>
        <x:v>Not Started</x:v>
      </x:c>
      <x:c r="H1211" s="7" t="str">
        <x:f>IFERROR(XLOOKUP(C1211,'Review Sequence'!C2:C1586,'Review Sequence'!O2:O1586),"")</x:f>
      </x:c>
      <x:c r="I1211" s="6" t="str">
        <x:f>IFERROR(XLOOKUP(C1211,'Review Sequence'!C2:C1586,'Review Sequence'!P2:P1586),"")</x:f>
        <x:v>Yes</x:v>
      </x:c>
    </x:row>
    <x:row r="1212">
      <x:c r="A1212" s="6" t="str">
        <x:v>BLK-1211</x:v>
      </x:c>
      <x:c r="B1212" s="6" t="str">
        <x:v>Part Requirement</x:v>
      </x:c>
      <x:c r="C1212" s="6" t="str">
        <x:v>PRTX-0254</x:v>
      </x:c>
      <x:c r="D1212" s="6" t="str">
        <x:v>SVC000254</x:v>
      </x:c>
      <x:c r="E1212" s="6" t="str"/>
      <x:c r="F1212" s="6" t="str">
        <x:f>IFERROR(XLOOKUP(C1212,'Review Sequence'!C2:C1586,'Review Sequence'!I2:I1586),"")</x:f>
        <x:v>Not Started</x:v>
      </x:c>
      <x:c r="G1212" s="6" t="str">
        <x:f>IFERROR(XLOOKUP(C1212,'Review Sequence'!C2:C1586,'Review Sequence'!J2:J1586),"")</x:f>
        <x:v>Not Started</x:v>
      </x:c>
      <x:c r="H1212" s="7" t="str">
        <x:f>IFERROR(XLOOKUP(C1212,'Review Sequence'!C2:C1586,'Review Sequence'!O2:O1586),"")</x:f>
      </x:c>
      <x:c r="I1212" s="6" t="str">
        <x:f>IFERROR(XLOOKUP(C1212,'Review Sequence'!C2:C1586,'Review Sequence'!P2:P1586),"")</x:f>
        <x:v>Yes</x:v>
      </x:c>
    </x:row>
    <x:row r="1213">
      <x:c r="A1213" s="6" t="str">
        <x:v>BLK-1212</x:v>
      </x:c>
      <x:c r="B1213" s="6" t="str">
        <x:v>Part Requirement</x:v>
      </x:c>
      <x:c r="C1213" s="6" t="str">
        <x:v>PRTX-0255</x:v>
      </x:c>
      <x:c r="D1213" s="6" t="str">
        <x:v>SVC000255</x:v>
      </x:c>
      <x:c r="E1213" s="6" t="str"/>
      <x:c r="F1213" s="6" t="str">
        <x:f>IFERROR(XLOOKUP(C1213,'Review Sequence'!C2:C1586,'Review Sequence'!I2:I1586),"")</x:f>
        <x:v>Not Started</x:v>
      </x:c>
      <x:c r="G1213" s="6" t="str">
        <x:f>IFERROR(XLOOKUP(C1213,'Review Sequence'!C2:C1586,'Review Sequence'!J2:J1586),"")</x:f>
        <x:v>Not Started</x:v>
      </x:c>
      <x:c r="H1213" s="7" t="str">
        <x:f>IFERROR(XLOOKUP(C1213,'Review Sequence'!C2:C1586,'Review Sequence'!O2:O1586),"")</x:f>
      </x:c>
      <x:c r="I1213" s="6" t="str">
        <x:f>IFERROR(XLOOKUP(C1213,'Review Sequence'!C2:C1586,'Review Sequence'!P2:P1586),"")</x:f>
        <x:v>Yes</x:v>
      </x:c>
    </x:row>
    <x:row r="1214">
      <x:c r="A1214" s="6" t="str">
        <x:v>BLK-1213</x:v>
      </x:c>
      <x:c r="B1214" s="6" t="str">
        <x:v>Part Requirement</x:v>
      </x:c>
      <x:c r="C1214" s="6" t="str">
        <x:v>PRTX-0256</x:v>
      </x:c>
      <x:c r="D1214" s="6" t="str">
        <x:v>SVC000256</x:v>
      </x:c>
      <x:c r="E1214" s="6" t="str"/>
      <x:c r="F1214" s="6" t="str">
        <x:f>IFERROR(XLOOKUP(C1214,'Review Sequence'!C2:C1586,'Review Sequence'!I2:I1586),"")</x:f>
        <x:v>Not Started</x:v>
      </x:c>
      <x:c r="G1214" s="6" t="str">
        <x:f>IFERROR(XLOOKUP(C1214,'Review Sequence'!C2:C1586,'Review Sequence'!J2:J1586),"")</x:f>
        <x:v>Not Started</x:v>
      </x:c>
      <x:c r="H1214" s="7" t="str">
        <x:f>IFERROR(XLOOKUP(C1214,'Review Sequence'!C2:C1586,'Review Sequence'!O2:O1586),"")</x:f>
      </x:c>
      <x:c r="I1214" s="6" t="str">
        <x:f>IFERROR(XLOOKUP(C1214,'Review Sequence'!C2:C1586,'Review Sequence'!P2:P1586),"")</x:f>
        <x:v>Yes</x:v>
      </x:c>
    </x:row>
    <x:row r="1215">
      <x:c r="A1215" s="6" t="str">
        <x:v>BLK-1214</x:v>
      </x:c>
      <x:c r="B1215" s="6" t="str">
        <x:v>Part Requirement</x:v>
      </x:c>
      <x:c r="C1215" s="6" t="str">
        <x:v>PRTX-0257</x:v>
      </x:c>
      <x:c r="D1215" s="6" t="str">
        <x:v>SVC000257</x:v>
      </x:c>
      <x:c r="E1215" s="6" t="str"/>
      <x:c r="F1215" s="6" t="str">
        <x:f>IFERROR(XLOOKUP(C1215,'Review Sequence'!C2:C1586,'Review Sequence'!I2:I1586),"")</x:f>
        <x:v>Not Started</x:v>
      </x:c>
      <x:c r="G1215" s="6" t="str">
        <x:f>IFERROR(XLOOKUP(C1215,'Review Sequence'!C2:C1586,'Review Sequence'!J2:J1586),"")</x:f>
        <x:v>Not Started</x:v>
      </x:c>
      <x:c r="H1215" s="7" t="str">
        <x:f>IFERROR(XLOOKUP(C1215,'Review Sequence'!C2:C1586,'Review Sequence'!O2:O1586),"")</x:f>
      </x:c>
      <x:c r="I1215" s="6" t="str">
        <x:f>IFERROR(XLOOKUP(C1215,'Review Sequence'!C2:C1586,'Review Sequence'!P2:P1586),"")</x:f>
        <x:v>Yes</x:v>
      </x:c>
    </x:row>
    <x:row r="1216">
      <x:c r="A1216" s="6" t="str">
        <x:v>BLK-1215</x:v>
      </x:c>
      <x:c r="B1216" s="6" t="str">
        <x:v>Part Requirement</x:v>
      </x:c>
      <x:c r="C1216" s="6" t="str">
        <x:v>PRTX-0258</x:v>
      </x:c>
      <x:c r="D1216" s="6" t="str">
        <x:v>SVC000258</x:v>
      </x:c>
      <x:c r="E1216" s="6" t="str"/>
      <x:c r="F1216" s="6" t="str">
        <x:f>IFERROR(XLOOKUP(C1216,'Review Sequence'!C2:C1586,'Review Sequence'!I2:I1586),"")</x:f>
        <x:v>Not Started</x:v>
      </x:c>
      <x:c r="G1216" s="6" t="str">
        <x:f>IFERROR(XLOOKUP(C1216,'Review Sequence'!C2:C1586,'Review Sequence'!J2:J1586),"")</x:f>
        <x:v>Not Started</x:v>
      </x:c>
      <x:c r="H1216" s="7" t="str">
        <x:f>IFERROR(XLOOKUP(C1216,'Review Sequence'!C2:C1586,'Review Sequence'!O2:O1586),"")</x:f>
      </x:c>
      <x:c r="I1216" s="6" t="str">
        <x:f>IFERROR(XLOOKUP(C1216,'Review Sequence'!C2:C1586,'Review Sequence'!P2:P1586),"")</x:f>
        <x:v>Yes</x:v>
      </x:c>
    </x:row>
    <x:row r="1217">
      <x:c r="A1217" s="6" t="str">
        <x:v>BLK-1216</x:v>
      </x:c>
      <x:c r="B1217" s="6" t="str">
        <x:v>Part Requirement</x:v>
      </x:c>
      <x:c r="C1217" s="6" t="str">
        <x:v>PRTX-0259</x:v>
      </x:c>
      <x:c r="D1217" s="6" t="str">
        <x:v>SVC000259</x:v>
      </x:c>
      <x:c r="E1217" s="6" t="str"/>
      <x:c r="F1217" s="6" t="str">
        <x:f>IFERROR(XLOOKUP(C1217,'Review Sequence'!C2:C1586,'Review Sequence'!I2:I1586),"")</x:f>
        <x:v>Not Started</x:v>
      </x:c>
      <x:c r="G1217" s="6" t="str">
        <x:f>IFERROR(XLOOKUP(C1217,'Review Sequence'!C2:C1586,'Review Sequence'!J2:J1586),"")</x:f>
        <x:v>Not Started</x:v>
      </x:c>
      <x:c r="H1217" s="7" t="str">
        <x:f>IFERROR(XLOOKUP(C1217,'Review Sequence'!C2:C1586,'Review Sequence'!O2:O1586),"")</x:f>
      </x:c>
      <x:c r="I1217" s="6" t="str">
        <x:f>IFERROR(XLOOKUP(C1217,'Review Sequence'!C2:C1586,'Review Sequence'!P2:P1586),"")</x:f>
        <x:v>Yes</x:v>
      </x:c>
    </x:row>
    <x:row r="1218">
      <x:c r="A1218" s="6" t="str">
        <x:v>BLK-1217</x:v>
      </x:c>
      <x:c r="B1218" s="6" t="str">
        <x:v>Part Requirement</x:v>
      </x:c>
      <x:c r="C1218" s="6" t="str">
        <x:v>PRTX-0260</x:v>
      </x:c>
      <x:c r="D1218" s="6" t="str">
        <x:v>SVC000260</x:v>
      </x:c>
      <x:c r="E1218" s="6" t="str"/>
      <x:c r="F1218" s="6" t="str">
        <x:f>IFERROR(XLOOKUP(C1218,'Review Sequence'!C2:C1586,'Review Sequence'!I2:I1586),"")</x:f>
        <x:v>Not Started</x:v>
      </x:c>
      <x:c r="G1218" s="6" t="str">
        <x:f>IFERROR(XLOOKUP(C1218,'Review Sequence'!C2:C1586,'Review Sequence'!J2:J1586),"")</x:f>
        <x:v>Not Started</x:v>
      </x:c>
      <x:c r="H1218" s="7" t="str">
        <x:f>IFERROR(XLOOKUP(C1218,'Review Sequence'!C2:C1586,'Review Sequence'!O2:O1586),"")</x:f>
      </x:c>
      <x:c r="I1218" s="6" t="str">
        <x:f>IFERROR(XLOOKUP(C1218,'Review Sequence'!C2:C1586,'Review Sequence'!P2:P1586),"")</x:f>
        <x:v>Yes</x:v>
      </x:c>
    </x:row>
    <x:row r="1219">
      <x:c r="A1219" s="6" t="str">
        <x:v>BLK-1218</x:v>
      </x:c>
      <x:c r="B1219" s="6" t="str">
        <x:v>Part Requirement</x:v>
      </x:c>
      <x:c r="C1219" s="6" t="str">
        <x:v>PRTX-0261</x:v>
      </x:c>
      <x:c r="D1219" s="6" t="str">
        <x:v>SVC000261</x:v>
      </x:c>
      <x:c r="E1219" s="6" t="str"/>
      <x:c r="F1219" s="6" t="str">
        <x:f>IFERROR(XLOOKUP(C1219,'Review Sequence'!C2:C1586,'Review Sequence'!I2:I1586),"")</x:f>
        <x:v>Not Started</x:v>
      </x:c>
      <x:c r="G1219" s="6" t="str">
        <x:f>IFERROR(XLOOKUP(C1219,'Review Sequence'!C2:C1586,'Review Sequence'!J2:J1586),"")</x:f>
        <x:v>Not Started</x:v>
      </x:c>
      <x:c r="H1219" s="7" t="str">
        <x:f>IFERROR(XLOOKUP(C1219,'Review Sequence'!C2:C1586,'Review Sequence'!O2:O1586),"")</x:f>
      </x:c>
      <x:c r="I1219" s="6" t="str">
        <x:f>IFERROR(XLOOKUP(C1219,'Review Sequence'!C2:C1586,'Review Sequence'!P2:P1586),"")</x:f>
        <x:v>Yes</x:v>
      </x:c>
    </x:row>
    <x:row r="1220">
      <x:c r="A1220" s="6" t="str">
        <x:v>BLK-1219</x:v>
      </x:c>
      <x:c r="B1220" s="6" t="str">
        <x:v>Part Requirement</x:v>
      </x:c>
      <x:c r="C1220" s="6" t="str">
        <x:v>PRTX-0262</x:v>
      </x:c>
      <x:c r="D1220" s="6" t="str">
        <x:v>SVC000262</x:v>
      </x:c>
      <x:c r="E1220" s="6" t="str"/>
      <x:c r="F1220" s="6" t="str">
        <x:f>IFERROR(XLOOKUP(C1220,'Review Sequence'!C2:C1586,'Review Sequence'!I2:I1586),"")</x:f>
        <x:v>Not Started</x:v>
      </x:c>
      <x:c r="G1220" s="6" t="str">
        <x:f>IFERROR(XLOOKUP(C1220,'Review Sequence'!C2:C1586,'Review Sequence'!J2:J1586),"")</x:f>
        <x:v>Not Started</x:v>
      </x:c>
      <x:c r="H1220" s="7" t="str">
        <x:f>IFERROR(XLOOKUP(C1220,'Review Sequence'!C2:C1586,'Review Sequence'!O2:O1586),"")</x:f>
      </x:c>
      <x:c r="I1220" s="6" t="str">
        <x:f>IFERROR(XLOOKUP(C1220,'Review Sequence'!C2:C1586,'Review Sequence'!P2:P1586),"")</x:f>
        <x:v>Yes</x:v>
      </x:c>
    </x:row>
    <x:row r="1221">
      <x:c r="A1221" s="6" t="str">
        <x:v>BLK-1220</x:v>
      </x:c>
      <x:c r="B1221" s="6" t="str">
        <x:v>Part Requirement</x:v>
      </x:c>
      <x:c r="C1221" s="6" t="str">
        <x:v>PRTX-0263</x:v>
      </x:c>
      <x:c r="D1221" s="6" t="str">
        <x:v>SVC000263</x:v>
      </x:c>
      <x:c r="E1221" s="6" t="str"/>
      <x:c r="F1221" s="6" t="str">
        <x:f>IFERROR(XLOOKUP(C1221,'Review Sequence'!C2:C1586,'Review Sequence'!I2:I1586),"")</x:f>
        <x:v>Not Started</x:v>
      </x:c>
      <x:c r="G1221" s="6" t="str">
        <x:f>IFERROR(XLOOKUP(C1221,'Review Sequence'!C2:C1586,'Review Sequence'!J2:J1586),"")</x:f>
        <x:v>Not Started</x:v>
      </x:c>
      <x:c r="H1221" s="7" t="str">
        <x:f>IFERROR(XLOOKUP(C1221,'Review Sequence'!C2:C1586,'Review Sequence'!O2:O1586),"")</x:f>
      </x:c>
      <x:c r="I1221" s="6" t="str">
        <x:f>IFERROR(XLOOKUP(C1221,'Review Sequence'!C2:C1586,'Review Sequence'!P2:P1586),"")</x:f>
        <x:v>Yes</x:v>
      </x:c>
    </x:row>
    <x:row r="1222">
      <x:c r="A1222" s="6" t="str">
        <x:v>BLK-1221</x:v>
      </x:c>
      <x:c r="B1222" s="6" t="str">
        <x:v>Part Requirement</x:v>
      </x:c>
      <x:c r="C1222" s="6" t="str">
        <x:v>PRTX-0264</x:v>
      </x:c>
      <x:c r="D1222" s="6" t="str">
        <x:v>SVC000264</x:v>
      </x:c>
      <x:c r="E1222" s="6" t="str"/>
      <x:c r="F1222" s="6" t="str">
        <x:f>IFERROR(XLOOKUP(C1222,'Review Sequence'!C2:C1586,'Review Sequence'!I2:I1586),"")</x:f>
        <x:v>Not Started</x:v>
      </x:c>
      <x:c r="G1222" s="6" t="str">
        <x:f>IFERROR(XLOOKUP(C1222,'Review Sequence'!C2:C1586,'Review Sequence'!J2:J1586),"")</x:f>
        <x:v>Not Started</x:v>
      </x:c>
      <x:c r="H1222" s="7" t="str">
        <x:f>IFERROR(XLOOKUP(C1222,'Review Sequence'!C2:C1586,'Review Sequence'!O2:O1586),"")</x:f>
      </x:c>
      <x:c r="I1222" s="6" t="str">
        <x:f>IFERROR(XLOOKUP(C1222,'Review Sequence'!C2:C1586,'Review Sequence'!P2:P1586),"")</x:f>
        <x:v>Yes</x:v>
      </x:c>
    </x:row>
    <x:row r="1223">
      <x:c r="A1223" s="6" t="str">
        <x:v>BLK-1222</x:v>
      </x:c>
      <x:c r="B1223" s="6" t="str">
        <x:v>Part Requirement</x:v>
      </x:c>
      <x:c r="C1223" s="6" t="str">
        <x:v>PRTX-0265</x:v>
      </x:c>
      <x:c r="D1223" s="6" t="str">
        <x:v>SVC000265</x:v>
      </x:c>
      <x:c r="E1223" s="6" t="str"/>
      <x:c r="F1223" s="6" t="str">
        <x:f>IFERROR(XLOOKUP(C1223,'Review Sequence'!C2:C1586,'Review Sequence'!I2:I1586),"")</x:f>
        <x:v>Not Started</x:v>
      </x:c>
      <x:c r="G1223" s="6" t="str">
        <x:f>IFERROR(XLOOKUP(C1223,'Review Sequence'!C2:C1586,'Review Sequence'!J2:J1586),"")</x:f>
        <x:v>Not Started</x:v>
      </x:c>
      <x:c r="H1223" s="7" t="str">
        <x:f>IFERROR(XLOOKUP(C1223,'Review Sequence'!C2:C1586,'Review Sequence'!O2:O1586),"")</x:f>
      </x:c>
      <x:c r="I1223" s="6" t="str">
        <x:f>IFERROR(XLOOKUP(C1223,'Review Sequence'!C2:C1586,'Review Sequence'!P2:P1586),"")</x:f>
        <x:v>Yes</x:v>
      </x:c>
    </x:row>
    <x:row r="1224">
      <x:c r="A1224" s="6" t="str">
        <x:v>BLK-1223</x:v>
      </x:c>
      <x:c r="B1224" s="6" t="str">
        <x:v>Part Requirement</x:v>
      </x:c>
      <x:c r="C1224" s="6" t="str">
        <x:v>PRTX-0266</x:v>
      </x:c>
      <x:c r="D1224" s="6" t="str">
        <x:v>SVC000266</x:v>
      </x:c>
      <x:c r="E1224" s="6" t="str"/>
      <x:c r="F1224" s="6" t="str">
        <x:f>IFERROR(XLOOKUP(C1224,'Review Sequence'!C2:C1586,'Review Sequence'!I2:I1586),"")</x:f>
        <x:v>Not Started</x:v>
      </x:c>
      <x:c r="G1224" s="6" t="str">
        <x:f>IFERROR(XLOOKUP(C1224,'Review Sequence'!C2:C1586,'Review Sequence'!J2:J1586),"")</x:f>
        <x:v>Not Started</x:v>
      </x:c>
      <x:c r="H1224" s="7" t="str">
        <x:f>IFERROR(XLOOKUP(C1224,'Review Sequence'!C2:C1586,'Review Sequence'!O2:O1586),"")</x:f>
      </x:c>
      <x:c r="I1224" s="6" t="str">
        <x:f>IFERROR(XLOOKUP(C1224,'Review Sequence'!C2:C1586,'Review Sequence'!P2:P1586),"")</x:f>
        <x:v>Yes</x:v>
      </x:c>
    </x:row>
    <x:row r="1225">
      <x:c r="A1225" s="6" t="str">
        <x:v>BLK-1224</x:v>
      </x:c>
      <x:c r="B1225" s="6" t="str">
        <x:v>Part Requirement</x:v>
      </x:c>
      <x:c r="C1225" s="6" t="str">
        <x:v>PRTX-0267</x:v>
      </x:c>
      <x:c r="D1225" s="6" t="str">
        <x:v>SVC000267</x:v>
      </x:c>
      <x:c r="E1225" s="6" t="str"/>
      <x:c r="F1225" s="6" t="str">
        <x:f>IFERROR(XLOOKUP(C1225,'Review Sequence'!C2:C1586,'Review Sequence'!I2:I1586),"")</x:f>
        <x:v>Not Started</x:v>
      </x:c>
      <x:c r="G1225" s="6" t="str">
        <x:f>IFERROR(XLOOKUP(C1225,'Review Sequence'!C2:C1586,'Review Sequence'!J2:J1586),"")</x:f>
        <x:v>Not Started</x:v>
      </x:c>
      <x:c r="H1225" s="7" t="str">
        <x:f>IFERROR(XLOOKUP(C1225,'Review Sequence'!C2:C1586,'Review Sequence'!O2:O1586),"")</x:f>
      </x:c>
      <x:c r="I1225" s="6" t="str">
        <x:f>IFERROR(XLOOKUP(C1225,'Review Sequence'!C2:C1586,'Review Sequence'!P2:P1586),"")</x:f>
        <x:v>Yes</x:v>
      </x:c>
    </x:row>
    <x:row r="1226">
      <x:c r="A1226" s="6" t="str">
        <x:v>BLK-1225</x:v>
      </x:c>
      <x:c r="B1226" s="6" t="str">
        <x:v>Part Requirement</x:v>
      </x:c>
      <x:c r="C1226" s="6" t="str">
        <x:v>PRTX-0268</x:v>
      </x:c>
      <x:c r="D1226" s="6" t="str">
        <x:v>SVC000268</x:v>
      </x:c>
      <x:c r="E1226" s="6" t="str"/>
      <x:c r="F1226" s="6" t="str">
        <x:f>IFERROR(XLOOKUP(C1226,'Review Sequence'!C2:C1586,'Review Sequence'!I2:I1586),"")</x:f>
        <x:v>Not Started</x:v>
      </x:c>
      <x:c r="G1226" s="6" t="str">
        <x:f>IFERROR(XLOOKUP(C1226,'Review Sequence'!C2:C1586,'Review Sequence'!J2:J1586),"")</x:f>
        <x:v>Not Started</x:v>
      </x:c>
      <x:c r="H1226" s="7" t="str">
        <x:f>IFERROR(XLOOKUP(C1226,'Review Sequence'!C2:C1586,'Review Sequence'!O2:O1586),"")</x:f>
      </x:c>
      <x:c r="I1226" s="6" t="str">
        <x:f>IFERROR(XLOOKUP(C1226,'Review Sequence'!C2:C1586,'Review Sequence'!P2:P1586),"")</x:f>
        <x:v>Yes</x:v>
      </x:c>
    </x:row>
    <x:row r="1227">
      <x:c r="A1227" s="6" t="str">
        <x:v>BLK-1226</x:v>
      </x:c>
      <x:c r="B1227" s="6" t="str">
        <x:v>Part Requirement</x:v>
      </x:c>
      <x:c r="C1227" s="6" t="str">
        <x:v>PRTX-0269</x:v>
      </x:c>
      <x:c r="D1227" s="6" t="str">
        <x:v>SVC000269</x:v>
      </x:c>
      <x:c r="E1227" s="6" t="str"/>
      <x:c r="F1227" s="6" t="str">
        <x:f>IFERROR(XLOOKUP(C1227,'Review Sequence'!C2:C1586,'Review Sequence'!I2:I1586),"")</x:f>
        <x:v>Not Started</x:v>
      </x:c>
      <x:c r="G1227" s="6" t="str">
        <x:f>IFERROR(XLOOKUP(C1227,'Review Sequence'!C2:C1586,'Review Sequence'!J2:J1586),"")</x:f>
        <x:v>Not Started</x:v>
      </x:c>
      <x:c r="H1227" s="7" t="str">
        <x:f>IFERROR(XLOOKUP(C1227,'Review Sequence'!C2:C1586,'Review Sequence'!O2:O1586),"")</x:f>
      </x:c>
      <x:c r="I1227" s="6" t="str">
        <x:f>IFERROR(XLOOKUP(C1227,'Review Sequence'!C2:C1586,'Review Sequence'!P2:P1586),"")</x:f>
        <x:v>Yes</x:v>
      </x:c>
    </x:row>
    <x:row r="1228">
      <x:c r="A1228" s="6" t="str">
        <x:v>BLK-1227</x:v>
      </x:c>
      <x:c r="B1228" s="6" t="str">
        <x:v>Part Requirement</x:v>
      </x:c>
      <x:c r="C1228" s="6" t="str">
        <x:v>PRTX-0270</x:v>
      </x:c>
      <x:c r="D1228" s="6" t="str">
        <x:v>SVC000270</x:v>
      </x:c>
      <x:c r="E1228" s="6" t="str"/>
      <x:c r="F1228" s="6" t="str">
        <x:f>IFERROR(XLOOKUP(C1228,'Review Sequence'!C2:C1586,'Review Sequence'!I2:I1586),"")</x:f>
        <x:v>Not Started</x:v>
      </x:c>
      <x:c r="G1228" s="6" t="str">
        <x:f>IFERROR(XLOOKUP(C1228,'Review Sequence'!C2:C1586,'Review Sequence'!J2:J1586),"")</x:f>
        <x:v>Not Started</x:v>
      </x:c>
      <x:c r="H1228" s="7" t="str">
        <x:f>IFERROR(XLOOKUP(C1228,'Review Sequence'!C2:C1586,'Review Sequence'!O2:O1586),"")</x:f>
      </x:c>
      <x:c r="I1228" s="6" t="str">
        <x:f>IFERROR(XLOOKUP(C1228,'Review Sequence'!C2:C1586,'Review Sequence'!P2:P1586),"")</x:f>
        <x:v>Yes</x:v>
      </x:c>
    </x:row>
    <x:row r="1229">
      <x:c r="A1229" s="6" t="str">
        <x:v>BLK-1228</x:v>
      </x:c>
      <x:c r="B1229" s="6" t="str">
        <x:v>Part Requirement</x:v>
      </x:c>
      <x:c r="C1229" s="6" t="str">
        <x:v>PRTX-0271</x:v>
      </x:c>
      <x:c r="D1229" s="6" t="str">
        <x:v>SVC000271</x:v>
      </x:c>
      <x:c r="E1229" s="6" t="str"/>
      <x:c r="F1229" s="6" t="str">
        <x:f>IFERROR(XLOOKUP(C1229,'Review Sequence'!C2:C1586,'Review Sequence'!I2:I1586),"")</x:f>
        <x:v>Not Started</x:v>
      </x:c>
      <x:c r="G1229" s="6" t="str">
        <x:f>IFERROR(XLOOKUP(C1229,'Review Sequence'!C2:C1586,'Review Sequence'!J2:J1586),"")</x:f>
        <x:v>Not Started</x:v>
      </x:c>
      <x:c r="H1229" s="7" t="str">
        <x:f>IFERROR(XLOOKUP(C1229,'Review Sequence'!C2:C1586,'Review Sequence'!O2:O1586),"")</x:f>
      </x:c>
      <x:c r="I1229" s="6" t="str">
        <x:f>IFERROR(XLOOKUP(C1229,'Review Sequence'!C2:C1586,'Review Sequence'!P2:P1586),"")</x:f>
        <x:v>Yes</x:v>
      </x:c>
    </x:row>
    <x:row r="1230">
      <x:c r="A1230" s="6" t="str">
        <x:v>BLK-1229</x:v>
      </x:c>
      <x:c r="B1230" s="6" t="str">
        <x:v>Part Requirement</x:v>
      </x:c>
      <x:c r="C1230" s="6" t="str">
        <x:v>PRTX-0272</x:v>
      </x:c>
      <x:c r="D1230" s="6" t="str">
        <x:v>SVC000272</x:v>
      </x:c>
      <x:c r="E1230" s="6" t="str"/>
      <x:c r="F1230" s="6" t="str">
        <x:f>IFERROR(XLOOKUP(C1230,'Review Sequence'!C2:C1586,'Review Sequence'!I2:I1586),"")</x:f>
        <x:v>Not Started</x:v>
      </x:c>
      <x:c r="G1230" s="6" t="str">
        <x:f>IFERROR(XLOOKUP(C1230,'Review Sequence'!C2:C1586,'Review Sequence'!J2:J1586),"")</x:f>
        <x:v>Not Started</x:v>
      </x:c>
      <x:c r="H1230" s="7" t="str">
        <x:f>IFERROR(XLOOKUP(C1230,'Review Sequence'!C2:C1586,'Review Sequence'!O2:O1586),"")</x:f>
      </x:c>
      <x:c r="I1230" s="6" t="str">
        <x:f>IFERROR(XLOOKUP(C1230,'Review Sequence'!C2:C1586,'Review Sequence'!P2:P1586),"")</x:f>
        <x:v>Yes</x:v>
      </x:c>
    </x:row>
    <x:row r="1231">
      <x:c r="A1231" s="6" t="str">
        <x:v>BLK-1230</x:v>
      </x:c>
      <x:c r="B1231" s="6" t="str">
        <x:v>Part Requirement</x:v>
      </x:c>
      <x:c r="C1231" s="6" t="str">
        <x:v>PRTX-0273</x:v>
      </x:c>
      <x:c r="D1231" s="6" t="str">
        <x:v>SVC000273</x:v>
      </x:c>
      <x:c r="E1231" s="6" t="str"/>
      <x:c r="F1231" s="6" t="str">
        <x:f>IFERROR(XLOOKUP(C1231,'Review Sequence'!C2:C1586,'Review Sequence'!I2:I1586),"")</x:f>
        <x:v>Not Started</x:v>
      </x:c>
      <x:c r="G1231" s="6" t="str">
        <x:f>IFERROR(XLOOKUP(C1231,'Review Sequence'!C2:C1586,'Review Sequence'!J2:J1586),"")</x:f>
        <x:v>Not Started</x:v>
      </x:c>
      <x:c r="H1231" s="7" t="str">
        <x:f>IFERROR(XLOOKUP(C1231,'Review Sequence'!C2:C1586,'Review Sequence'!O2:O1586),"")</x:f>
      </x:c>
      <x:c r="I1231" s="6" t="str">
        <x:f>IFERROR(XLOOKUP(C1231,'Review Sequence'!C2:C1586,'Review Sequence'!P2:P1586),"")</x:f>
        <x:v>Yes</x:v>
      </x:c>
    </x:row>
    <x:row r="1232">
      <x:c r="A1232" s="6" t="str">
        <x:v>BLK-1231</x:v>
      </x:c>
      <x:c r="B1232" s="6" t="str">
        <x:v>Part Requirement</x:v>
      </x:c>
      <x:c r="C1232" s="6" t="str">
        <x:v>PRTX-0274</x:v>
      </x:c>
      <x:c r="D1232" s="6" t="str">
        <x:v>SVC000274</x:v>
      </x:c>
      <x:c r="E1232" s="6" t="str"/>
      <x:c r="F1232" s="6" t="str">
        <x:f>IFERROR(XLOOKUP(C1232,'Review Sequence'!C2:C1586,'Review Sequence'!I2:I1586),"")</x:f>
        <x:v>Not Started</x:v>
      </x:c>
      <x:c r="G1232" s="6" t="str">
        <x:f>IFERROR(XLOOKUP(C1232,'Review Sequence'!C2:C1586,'Review Sequence'!J2:J1586),"")</x:f>
        <x:v>Not Started</x:v>
      </x:c>
      <x:c r="H1232" s="7" t="str">
        <x:f>IFERROR(XLOOKUP(C1232,'Review Sequence'!C2:C1586,'Review Sequence'!O2:O1586),"")</x:f>
      </x:c>
      <x:c r="I1232" s="6" t="str">
        <x:f>IFERROR(XLOOKUP(C1232,'Review Sequence'!C2:C1586,'Review Sequence'!P2:P1586),"")</x:f>
        <x:v>Yes</x:v>
      </x:c>
    </x:row>
    <x:row r="1233">
      <x:c r="A1233" s="6" t="str">
        <x:v>BLK-1232</x:v>
      </x:c>
      <x:c r="B1233" s="6" t="str">
        <x:v>Part Requirement</x:v>
      </x:c>
      <x:c r="C1233" s="6" t="str">
        <x:v>PRTX-0275</x:v>
      </x:c>
      <x:c r="D1233" s="6" t="str">
        <x:v>SVC000275</x:v>
      </x:c>
      <x:c r="E1233" s="6" t="str"/>
      <x:c r="F1233" s="6" t="str">
        <x:f>IFERROR(XLOOKUP(C1233,'Review Sequence'!C2:C1586,'Review Sequence'!I2:I1586),"")</x:f>
        <x:v>Not Started</x:v>
      </x:c>
      <x:c r="G1233" s="6" t="str">
        <x:f>IFERROR(XLOOKUP(C1233,'Review Sequence'!C2:C1586,'Review Sequence'!J2:J1586),"")</x:f>
        <x:v>Not Started</x:v>
      </x:c>
      <x:c r="H1233" s="7" t="str">
        <x:f>IFERROR(XLOOKUP(C1233,'Review Sequence'!C2:C1586,'Review Sequence'!O2:O1586),"")</x:f>
      </x:c>
      <x:c r="I1233" s="6" t="str">
        <x:f>IFERROR(XLOOKUP(C1233,'Review Sequence'!C2:C1586,'Review Sequence'!P2:P1586),"")</x:f>
        <x:v>Yes</x:v>
      </x:c>
    </x:row>
    <x:row r="1234">
      <x:c r="A1234" s="6" t="str">
        <x:v>BLK-1233</x:v>
      </x:c>
      <x:c r="B1234" s="6" t="str">
        <x:v>Part Requirement</x:v>
      </x:c>
      <x:c r="C1234" s="6" t="str">
        <x:v>PRTX-0276</x:v>
      </x:c>
      <x:c r="D1234" s="6" t="str">
        <x:v>SVC000276</x:v>
      </x:c>
      <x:c r="E1234" s="6" t="str"/>
      <x:c r="F1234" s="6" t="str">
        <x:f>IFERROR(XLOOKUP(C1234,'Review Sequence'!C2:C1586,'Review Sequence'!I2:I1586),"")</x:f>
        <x:v>Not Started</x:v>
      </x:c>
      <x:c r="G1234" s="6" t="str">
        <x:f>IFERROR(XLOOKUP(C1234,'Review Sequence'!C2:C1586,'Review Sequence'!J2:J1586),"")</x:f>
        <x:v>Not Started</x:v>
      </x:c>
      <x:c r="H1234" s="7" t="str">
        <x:f>IFERROR(XLOOKUP(C1234,'Review Sequence'!C2:C1586,'Review Sequence'!O2:O1586),"")</x:f>
      </x:c>
      <x:c r="I1234" s="6" t="str">
        <x:f>IFERROR(XLOOKUP(C1234,'Review Sequence'!C2:C1586,'Review Sequence'!P2:P1586),"")</x:f>
        <x:v>Yes</x:v>
      </x:c>
    </x:row>
    <x:row r="1235">
      <x:c r="A1235" s="6" t="str">
        <x:v>BLK-1234</x:v>
      </x:c>
      <x:c r="B1235" s="6" t="str">
        <x:v>Part Requirement</x:v>
      </x:c>
      <x:c r="C1235" s="6" t="str">
        <x:v>PRTX-0277</x:v>
      </x:c>
      <x:c r="D1235" s="6" t="str">
        <x:v>SVC000277</x:v>
      </x:c>
      <x:c r="E1235" s="6" t="str"/>
      <x:c r="F1235" s="6" t="str">
        <x:f>IFERROR(XLOOKUP(C1235,'Review Sequence'!C2:C1586,'Review Sequence'!I2:I1586),"")</x:f>
        <x:v>Not Started</x:v>
      </x:c>
      <x:c r="G1235" s="6" t="str">
        <x:f>IFERROR(XLOOKUP(C1235,'Review Sequence'!C2:C1586,'Review Sequence'!J2:J1586),"")</x:f>
        <x:v>Not Started</x:v>
      </x:c>
      <x:c r="H1235" s="7" t="str">
        <x:f>IFERROR(XLOOKUP(C1235,'Review Sequence'!C2:C1586,'Review Sequence'!O2:O1586),"")</x:f>
      </x:c>
      <x:c r="I1235" s="6" t="str">
        <x:f>IFERROR(XLOOKUP(C1235,'Review Sequence'!C2:C1586,'Review Sequence'!P2:P1586),"")</x:f>
        <x:v>Yes</x:v>
      </x:c>
    </x:row>
    <x:row r="1236">
      <x:c r="A1236" s="6" t="str">
        <x:v>BLK-1235</x:v>
      </x:c>
      <x:c r="B1236" s="6" t="str">
        <x:v>Part Requirement</x:v>
      </x:c>
      <x:c r="C1236" s="6" t="str">
        <x:v>PRTX-0278</x:v>
      </x:c>
      <x:c r="D1236" s="6" t="str">
        <x:v>SVC000278</x:v>
      </x:c>
      <x:c r="E1236" s="6" t="str"/>
      <x:c r="F1236" s="6" t="str">
        <x:f>IFERROR(XLOOKUP(C1236,'Review Sequence'!C2:C1586,'Review Sequence'!I2:I1586),"")</x:f>
        <x:v>Not Started</x:v>
      </x:c>
      <x:c r="G1236" s="6" t="str">
        <x:f>IFERROR(XLOOKUP(C1236,'Review Sequence'!C2:C1586,'Review Sequence'!J2:J1586),"")</x:f>
        <x:v>Not Started</x:v>
      </x:c>
      <x:c r="H1236" s="7" t="str">
        <x:f>IFERROR(XLOOKUP(C1236,'Review Sequence'!C2:C1586,'Review Sequence'!O2:O1586),"")</x:f>
      </x:c>
      <x:c r="I1236" s="6" t="str">
        <x:f>IFERROR(XLOOKUP(C1236,'Review Sequence'!C2:C1586,'Review Sequence'!P2:P1586),"")</x:f>
        <x:v>Yes</x:v>
      </x:c>
    </x:row>
    <x:row r="1237">
      <x:c r="A1237" s="6" t="str">
        <x:v>BLK-1236</x:v>
      </x:c>
      <x:c r="B1237" s="6" t="str">
        <x:v>Part Requirement</x:v>
      </x:c>
      <x:c r="C1237" s="6" t="str">
        <x:v>PRTX-0279</x:v>
      </x:c>
      <x:c r="D1237" s="6" t="str">
        <x:v>SVC000279</x:v>
      </x:c>
      <x:c r="E1237" s="6" t="str"/>
      <x:c r="F1237" s="6" t="str">
        <x:f>IFERROR(XLOOKUP(C1237,'Review Sequence'!C2:C1586,'Review Sequence'!I2:I1586),"")</x:f>
        <x:v>Not Started</x:v>
      </x:c>
      <x:c r="G1237" s="6" t="str">
        <x:f>IFERROR(XLOOKUP(C1237,'Review Sequence'!C2:C1586,'Review Sequence'!J2:J1586),"")</x:f>
        <x:v>Not Started</x:v>
      </x:c>
      <x:c r="H1237" s="7" t="str">
        <x:f>IFERROR(XLOOKUP(C1237,'Review Sequence'!C2:C1586,'Review Sequence'!O2:O1586),"")</x:f>
      </x:c>
      <x:c r="I1237" s="6" t="str">
        <x:f>IFERROR(XLOOKUP(C1237,'Review Sequence'!C2:C1586,'Review Sequence'!P2:P1586),"")</x:f>
        <x:v>Yes</x:v>
      </x:c>
    </x:row>
    <x:row r="1238">
      <x:c r="A1238" s="6" t="str">
        <x:v>BLK-1237</x:v>
      </x:c>
      <x:c r="B1238" s="6" t="str">
        <x:v>Part Requirement</x:v>
      </x:c>
      <x:c r="C1238" s="6" t="str">
        <x:v>PRTX-0280</x:v>
      </x:c>
      <x:c r="D1238" s="6" t="str">
        <x:v>SVC000280</x:v>
      </x:c>
      <x:c r="E1238" s="6" t="str"/>
      <x:c r="F1238" s="6" t="str">
        <x:f>IFERROR(XLOOKUP(C1238,'Review Sequence'!C2:C1586,'Review Sequence'!I2:I1586),"")</x:f>
        <x:v>Not Started</x:v>
      </x:c>
      <x:c r="G1238" s="6" t="str">
        <x:f>IFERROR(XLOOKUP(C1238,'Review Sequence'!C2:C1586,'Review Sequence'!J2:J1586),"")</x:f>
        <x:v>Not Started</x:v>
      </x:c>
      <x:c r="H1238" s="7" t="str">
        <x:f>IFERROR(XLOOKUP(C1238,'Review Sequence'!C2:C1586,'Review Sequence'!O2:O1586),"")</x:f>
      </x:c>
      <x:c r="I1238" s="6" t="str">
        <x:f>IFERROR(XLOOKUP(C1238,'Review Sequence'!C2:C1586,'Review Sequence'!P2:P1586),"")</x:f>
        <x:v>Yes</x:v>
      </x:c>
    </x:row>
    <x:row r="1239">
      <x:c r="A1239" s="6" t="str">
        <x:v>BLK-1238</x:v>
      </x:c>
      <x:c r="B1239" s="6" t="str">
        <x:v>Part Requirement</x:v>
      </x:c>
      <x:c r="C1239" s="6" t="str">
        <x:v>PRTX-0281</x:v>
      </x:c>
      <x:c r="D1239" s="6" t="str">
        <x:v>SVC000281</x:v>
      </x:c>
      <x:c r="E1239" s="6" t="str"/>
      <x:c r="F1239" s="6" t="str">
        <x:f>IFERROR(XLOOKUP(C1239,'Review Sequence'!C2:C1586,'Review Sequence'!I2:I1586),"")</x:f>
        <x:v>Not Started</x:v>
      </x:c>
      <x:c r="G1239" s="6" t="str">
        <x:f>IFERROR(XLOOKUP(C1239,'Review Sequence'!C2:C1586,'Review Sequence'!J2:J1586),"")</x:f>
        <x:v>Not Started</x:v>
      </x:c>
      <x:c r="H1239" s="7" t="str">
        <x:f>IFERROR(XLOOKUP(C1239,'Review Sequence'!C2:C1586,'Review Sequence'!O2:O1586),"")</x:f>
      </x:c>
      <x:c r="I1239" s="6" t="str">
        <x:f>IFERROR(XLOOKUP(C1239,'Review Sequence'!C2:C1586,'Review Sequence'!P2:P1586),"")</x:f>
        <x:v>Yes</x:v>
      </x:c>
    </x:row>
    <x:row r="1240">
      <x:c r="A1240" s="6" t="str">
        <x:v>BLK-1239</x:v>
      </x:c>
      <x:c r="B1240" s="6" t="str">
        <x:v>Part Requirement</x:v>
      </x:c>
      <x:c r="C1240" s="6" t="str">
        <x:v>PRTX-0282</x:v>
      </x:c>
      <x:c r="D1240" s="6" t="str">
        <x:v>SVC000282</x:v>
      </x:c>
      <x:c r="E1240" s="6" t="str"/>
      <x:c r="F1240" s="6" t="str">
        <x:f>IFERROR(XLOOKUP(C1240,'Review Sequence'!C2:C1586,'Review Sequence'!I2:I1586),"")</x:f>
        <x:v>Not Started</x:v>
      </x:c>
      <x:c r="G1240" s="6" t="str">
        <x:f>IFERROR(XLOOKUP(C1240,'Review Sequence'!C2:C1586,'Review Sequence'!J2:J1586),"")</x:f>
        <x:v>Not Started</x:v>
      </x:c>
      <x:c r="H1240" s="7" t="str">
        <x:f>IFERROR(XLOOKUP(C1240,'Review Sequence'!C2:C1586,'Review Sequence'!O2:O1586),"")</x:f>
      </x:c>
      <x:c r="I1240" s="6" t="str">
        <x:f>IFERROR(XLOOKUP(C1240,'Review Sequence'!C2:C1586,'Review Sequence'!P2:P1586),"")</x:f>
        <x:v>Yes</x:v>
      </x:c>
    </x:row>
    <x:row r="1241">
      <x:c r="A1241" s="6" t="str">
        <x:v>BLK-1240</x:v>
      </x:c>
      <x:c r="B1241" s="6" t="str">
        <x:v>Part Requirement</x:v>
      </x:c>
      <x:c r="C1241" s="6" t="str">
        <x:v>PRTX-0283</x:v>
      </x:c>
      <x:c r="D1241" s="6" t="str">
        <x:v>SVC000283</x:v>
      </x:c>
      <x:c r="E1241" s="6" t="str"/>
      <x:c r="F1241" s="6" t="str">
        <x:f>IFERROR(XLOOKUP(C1241,'Review Sequence'!C2:C1586,'Review Sequence'!I2:I1586),"")</x:f>
        <x:v>Not Started</x:v>
      </x:c>
      <x:c r="G1241" s="6" t="str">
        <x:f>IFERROR(XLOOKUP(C1241,'Review Sequence'!C2:C1586,'Review Sequence'!J2:J1586),"")</x:f>
        <x:v>Not Started</x:v>
      </x:c>
      <x:c r="H1241" s="7" t="str">
        <x:f>IFERROR(XLOOKUP(C1241,'Review Sequence'!C2:C1586,'Review Sequence'!O2:O1586),"")</x:f>
      </x:c>
      <x:c r="I1241" s="6" t="str">
        <x:f>IFERROR(XLOOKUP(C1241,'Review Sequence'!C2:C1586,'Review Sequence'!P2:P1586),"")</x:f>
        <x:v>Yes</x:v>
      </x:c>
    </x:row>
    <x:row r="1242">
      <x:c r="A1242" s="6" t="str">
        <x:v>BLK-1241</x:v>
      </x:c>
      <x:c r="B1242" s="6" t="str">
        <x:v>Part Requirement</x:v>
      </x:c>
      <x:c r="C1242" s="6" t="str">
        <x:v>PRTX-0284</x:v>
      </x:c>
      <x:c r="D1242" s="6" t="str">
        <x:v>SVC000284</x:v>
      </x:c>
      <x:c r="E1242" s="6" t="str"/>
      <x:c r="F1242" s="6" t="str">
        <x:f>IFERROR(XLOOKUP(C1242,'Review Sequence'!C2:C1586,'Review Sequence'!I2:I1586),"")</x:f>
        <x:v>Not Started</x:v>
      </x:c>
      <x:c r="G1242" s="6" t="str">
        <x:f>IFERROR(XLOOKUP(C1242,'Review Sequence'!C2:C1586,'Review Sequence'!J2:J1586),"")</x:f>
        <x:v>Not Started</x:v>
      </x:c>
      <x:c r="H1242" s="7" t="str">
        <x:f>IFERROR(XLOOKUP(C1242,'Review Sequence'!C2:C1586,'Review Sequence'!O2:O1586),"")</x:f>
      </x:c>
      <x:c r="I1242" s="6" t="str">
        <x:f>IFERROR(XLOOKUP(C1242,'Review Sequence'!C2:C1586,'Review Sequence'!P2:P1586),"")</x:f>
        <x:v>Yes</x:v>
      </x:c>
    </x:row>
    <x:row r="1243">
      <x:c r="A1243" s="6" t="str">
        <x:v>BLK-1242</x:v>
      </x:c>
      <x:c r="B1243" s="6" t="str">
        <x:v>Part Requirement</x:v>
      </x:c>
      <x:c r="C1243" s="6" t="str">
        <x:v>PRTX-0285</x:v>
      </x:c>
      <x:c r="D1243" s="6" t="str">
        <x:v>SVC000285</x:v>
      </x:c>
      <x:c r="E1243" s="6" t="str"/>
      <x:c r="F1243" s="6" t="str">
        <x:f>IFERROR(XLOOKUP(C1243,'Review Sequence'!C2:C1586,'Review Sequence'!I2:I1586),"")</x:f>
        <x:v>Not Started</x:v>
      </x:c>
      <x:c r="G1243" s="6" t="str">
        <x:f>IFERROR(XLOOKUP(C1243,'Review Sequence'!C2:C1586,'Review Sequence'!J2:J1586),"")</x:f>
        <x:v>Not Started</x:v>
      </x:c>
      <x:c r="H1243" s="7" t="str">
        <x:f>IFERROR(XLOOKUP(C1243,'Review Sequence'!C2:C1586,'Review Sequence'!O2:O1586),"")</x:f>
      </x:c>
      <x:c r="I1243" s="6" t="str">
        <x:f>IFERROR(XLOOKUP(C1243,'Review Sequence'!C2:C1586,'Review Sequence'!P2:P1586),"")</x:f>
        <x:v>Yes</x:v>
      </x:c>
    </x:row>
    <x:row r="1244">
      <x:c r="A1244" s="6" t="str">
        <x:v>BLK-1243</x:v>
      </x:c>
      <x:c r="B1244" s="6" t="str">
        <x:v>Part Requirement</x:v>
      </x:c>
      <x:c r="C1244" s="6" t="str">
        <x:v>PRTX-0286</x:v>
      </x:c>
      <x:c r="D1244" s="6" t="str">
        <x:v>SVC000286</x:v>
      </x:c>
      <x:c r="E1244" s="6" t="str"/>
      <x:c r="F1244" s="6" t="str">
        <x:f>IFERROR(XLOOKUP(C1244,'Review Sequence'!C2:C1586,'Review Sequence'!I2:I1586),"")</x:f>
        <x:v>Not Started</x:v>
      </x:c>
      <x:c r="G1244" s="6" t="str">
        <x:f>IFERROR(XLOOKUP(C1244,'Review Sequence'!C2:C1586,'Review Sequence'!J2:J1586),"")</x:f>
        <x:v>Not Started</x:v>
      </x:c>
      <x:c r="H1244" s="7" t="str">
        <x:f>IFERROR(XLOOKUP(C1244,'Review Sequence'!C2:C1586,'Review Sequence'!O2:O1586),"")</x:f>
      </x:c>
      <x:c r="I1244" s="6" t="str">
        <x:f>IFERROR(XLOOKUP(C1244,'Review Sequence'!C2:C1586,'Review Sequence'!P2:P1586),"")</x:f>
        <x:v>Yes</x:v>
      </x:c>
    </x:row>
    <x:row r="1245">
      <x:c r="A1245" s="6" t="str">
        <x:v>BLK-1244</x:v>
      </x:c>
      <x:c r="B1245" s="6" t="str">
        <x:v>Part Requirement</x:v>
      </x:c>
      <x:c r="C1245" s="6" t="str">
        <x:v>PRTX-0287</x:v>
      </x:c>
      <x:c r="D1245" s="6" t="str">
        <x:v>SVC000287</x:v>
      </x:c>
      <x:c r="E1245" s="6" t="str"/>
      <x:c r="F1245" s="6" t="str">
        <x:f>IFERROR(XLOOKUP(C1245,'Review Sequence'!C2:C1586,'Review Sequence'!I2:I1586),"")</x:f>
        <x:v>Not Started</x:v>
      </x:c>
      <x:c r="G1245" s="6" t="str">
        <x:f>IFERROR(XLOOKUP(C1245,'Review Sequence'!C2:C1586,'Review Sequence'!J2:J1586),"")</x:f>
        <x:v>Not Started</x:v>
      </x:c>
      <x:c r="H1245" s="7" t="str">
        <x:f>IFERROR(XLOOKUP(C1245,'Review Sequence'!C2:C1586,'Review Sequence'!O2:O1586),"")</x:f>
      </x:c>
      <x:c r="I1245" s="6" t="str">
        <x:f>IFERROR(XLOOKUP(C1245,'Review Sequence'!C2:C1586,'Review Sequence'!P2:P1586),"")</x:f>
        <x:v>Yes</x:v>
      </x:c>
    </x:row>
    <x:row r="1246">
      <x:c r="A1246" s="6" t="str">
        <x:v>BLK-1245</x:v>
      </x:c>
      <x:c r="B1246" s="6" t="str">
        <x:v>Part Requirement</x:v>
      </x:c>
      <x:c r="C1246" s="6" t="str">
        <x:v>PRTX-0288</x:v>
      </x:c>
      <x:c r="D1246" s="6" t="str">
        <x:v>SVC000288</x:v>
      </x:c>
      <x:c r="E1246" s="6" t="str"/>
      <x:c r="F1246" s="6" t="str">
        <x:f>IFERROR(XLOOKUP(C1246,'Review Sequence'!C2:C1586,'Review Sequence'!I2:I1586),"")</x:f>
        <x:v>Not Started</x:v>
      </x:c>
      <x:c r="G1246" s="6" t="str">
        <x:f>IFERROR(XLOOKUP(C1246,'Review Sequence'!C2:C1586,'Review Sequence'!J2:J1586),"")</x:f>
        <x:v>Not Started</x:v>
      </x:c>
      <x:c r="H1246" s="7" t="str">
        <x:f>IFERROR(XLOOKUP(C1246,'Review Sequence'!C2:C1586,'Review Sequence'!O2:O1586),"")</x:f>
      </x:c>
      <x:c r="I1246" s="6" t="str">
        <x:f>IFERROR(XLOOKUP(C1246,'Review Sequence'!C2:C1586,'Review Sequence'!P2:P1586),"")</x:f>
        <x:v>Yes</x:v>
      </x:c>
    </x:row>
    <x:row r="1247">
      <x:c r="A1247" s="6" t="str">
        <x:v>BLK-1246</x:v>
      </x:c>
      <x:c r="B1247" s="6" t="str">
        <x:v>Part Requirement</x:v>
      </x:c>
      <x:c r="C1247" s="6" t="str">
        <x:v>PRTX-0289</x:v>
      </x:c>
      <x:c r="D1247" s="6" t="str">
        <x:v>SVC000289</x:v>
      </x:c>
      <x:c r="E1247" s="6" t="str"/>
      <x:c r="F1247" s="6" t="str">
        <x:f>IFERROR(XLOOKUP(C1247,'Review Sequence'!C2:C1586,'Review Sequence'!I2:I1586),"")</x:f>
        <x:v>Not Started</x:v>
      </x:c>
      <x:c r="G1247" s="6" t="str">
        <x:f>IFERROR(XLOOKUP(C1247,'Review Sequence'!C2:C1586,'Review Sequence'!J2:J1586),"")</x:f>
        <x:v>Not Started</x:v>
      </x:c>
      <x:c r="H1247" s="7" t="str">
        <x:f>IFERROR(XLOOKUP(C1247,'Review Sequence'!C2:C1586,'Review Sequence'!O2:O1586),"")</x:f>
      </x:c>
      <x:c r="I1247" s="6" t="str">
        <x:f>IFERROR(XLOOKUP(C1247,'Review Sequence'!C2:C1586,'Review Sequence'!P2:P1586),"")</x:f>
        <x:v>Yes</x:v>
      </x:c>
    </x:row>
    <x:row r="1248">
      <x:c r="A1248" s="6" t="str">
        <x:v>BLK-1247</x:v>
      </x:c>
      <x:c r="B1248" s="6" t="str">
        <x:v>Part Requirement</x:v>
      </x:c>
      <x:c r="C1248" s="6" t="str">
        <x:v>PRTX-0290</x:v>
      </x:c>
      <x:c r="D1248" s="6" t="str">
        <x:v>SVC000290</x:v>
      </x:c>
      <x:c r="E1248" s="6" t="str"/>
      <x:c r="F1248" s="6" t="str">
        <x:f>IFERROR(XLOOKUP(C1248,'Review Sequence'!C2:C1586,'Review Sequence'!I2:I1586),"")</x:f>
        <x:v>Not Started</x:v>
      </x:c>
      <x:c r="G1248" s="6" t="str">
        <x:f>IFERROR(XLOOKUP(C1248,'Review Sequence'!C2:C1586,'Review Sequence'!J2:J1586),"")</x:f>
        <x:v>Not Started</x:v>
      </x:c>
      <x:c r="H1248" s="7" t="str">
        <x:f>IFERROR(XLOOKUP(C1248,'Review Sequence'!C2:C1586,'Review Sequence'!O2:O1586),"")</x:f>
      </x:c>
      <x:c r="I1248" s="6" t="str">
        <x:f>IFERROR(XLOOKUP(C1248,'Review Sequence'!C2:C1586,'Review Sequence'!P2:P1586),"")</x:f>
        <x:v>Yes</x:v>
      </x:c>
    </x:row>
    <x:row r="1249">
      <x:c r="A1249" s="6" t="str">
        <x:v>BLK-1248</x:v>
      </x:c>
      <x:c r="B1249" s="6" t="str">
        <x:v>Part Requirement</x:v>
      </x:c>
      <x:c r="C1249" s="6" t="str">
        <x:v>PRTX-0291</x:v>
      </x:c>
      <x:c r="D1249" s="6" t="str">
        <x:v>SVC000291</x:v>
      </x:c>
      <x:c r="E1249" s="6" t="str"/>
      <x:c r="F1249" s="6" t="str">
        <x:f>IFERROR(XLOOKUP(C1249,'Review Sequence'!C2:C1586,'Review Sequence'!I2:I1586),"")</x:f>
        <x:v>Not Started</x:v>
      </x:c>
      <x:c r="G1249" s="6" t="str">
        <x:f>IFERROR(XLOOKUP(C1249,'Review Sequence'!C2:C1586,'Review Sequence'!J2:J1586),"")</x:f>
        <x:v>Not Started</x:v>
      </x:c>
      <x:c r="H1249" s="7" t="str">
        <x:f>IFERROR(XLOOKUP(C1249,'Review Sequence'!C2:C1586,'Review Sequence'!O2:O1586),"")</x:f>
      </x:c>
      <x:c r="I1249" s="6" t="str">
        <x:f>IFERROR(XLOOKUP(C1249,'Review Sequence'!C2:C1586,'Review Sequence'!P2:P1586),"")</x:f>
        <x:v>Yes</x:v>
      </x:c>
    </x:row>
    <x:row r="1250">
      <x:c r="A1250" s="6" t="str">
        <x:v>BLK-1249</x:v>
      </x:c>
      <x:c r="B1250" s="6" t="str">
        <x:v>Part Requirement</x:v>
      </x:c>
      <x:c r="C1250" s="6" t="str">
        <x:v>PRTX-0292</x:v>
      </x:c>
      <x:c r="D1250" s="6" t="str">
        <x:v>SVC000292</x:v>
      </x:c>
      <x:c r="E1250" s="6" t="str"/>
      <x:c r="F1250" s="6" t="str">
        <x:f>IFERROR(XLOOKUP(C1250,'Review Sequence'!C2:C1586,'Review Sequence'!I2:I1586),"")</x:f>
        <x:v>Not Started</x:v>
      </x:c>
      <x:c r="G1250" s="6" t="str">
        <x:f>IFERROR(XLOOKUP(C1250,'Review Sequence'!C2:C1586,'Review Sequence'!J2:J1586),"")</x:f>
        <x:v>Not Started</x:v>
      </x:c>
      <x:c r="H1250" s="7" t="str">
        <x:f>IFERROR(XLOOKUP(C1250,'Review Sequence'!C2:C1586,'Review Sequence'!O2:O1586),"")</x:f>
      </x:c>
      <x:c r="I1250" s="6" t="str">
        <x:f>IFERROR(XLOOKUP(C1250,'Review Sequence'!C2:C1586,'Review Sequence'!P2:P1586),"")</x:f>
        <x:v>Yes</x:v>
      </x:c>
    </x:row>
    <x:row r="1251">
      <x:c r="A1251" s="6" t="str">
        <x:v>BLK-1250</x:v>
      </x:c>
      <x:c r="B1251" s="6" t="str">
        <x:v>Part Requirement</x:v>
      </x:c>
      <x:c r="C1251" s="6" t="str">
        <x:v>PRTX-0293</x:v>
      </x:c>
      <x:c r="D1251" s="6" t="str">
        <x:v>SVC000293</x:v>
      </x:c>
      <x:c r="E1251" s="6" t="str"/>
      <x:c r="F1251" s="6" t="str">
        <x:f>IFERROR(XLOOKUP(C1251,'Review Sequence'!C2:C1586,'Review Sequence'!I2:I1586),"")</x:f>
        <x:v>Not Started</x:v>
      </x:c>
      <x:c r="G1251" s="6" t="str">
        <x:f>IFERROR(XLOOKUP(C1251,'Review Sequence'!C2:C1586,'Review Sequence'!J2:J1586),"")</x:f>
        <x:v>Not Started</x:v>
      </x:c>
      <x:c r="H1251" s="7" t="str">
        <x:f>IFERROR(XLOOKUP(C1251,'Review Sequence'!C2:C1586,'Review Sequence'!O2:O1586),"")</x:f>
      </x:c>
      <x:c r="I1251" s="6" t="str">
        <x:f>IFERROR(XLOOKUP(C1251,'Review Sequence'!C2:C1586,'Review Sequence'!P2:P1586),"")</x:f>
        <x:v>Yes</x:v>
      </x:c>
    </x:row>
    <x:row r="1252">
      <x:c r="A1252" s="6" t="str">
        <x:v>BLK-1251</x:v>
      </x:c>
      <x:c r="B1252" s="6" t="str">
        <x:v>Part Requirement</x:v>
      </x:c>
      <x:c r="C1252" s="6" t="str">
        <x:v>PRTX-0294</x:v>
      </x:c>
      <x:c r="D1252" s="6" t="str">
        <x:v>SVC000294</x:v>
      </x:c>
      <x:c r="E1252" s="6" t="str"/>
      <x:c r="F1252" s="6" t="str">
        <x:f>IFERROR(XLOOKUP(C1252,'Review Sequence'!C2:C1586,'Review Sequence'!I2:I1586),"")</x:f>
        <x:v>Not Started</x:v>
      </x:c>
      <x:c r="G1252" s="6" t="str">
        <x:f>IFERROR(XLOOKUP(C1252,'Review Sequence'!C2:C1586,'Review Sequence'!J2:J1586),"")</x:f>
        <x:v>Not Started</x:v>
      </x:c>
      <x:c r="H1252" s="7" t="str">
        <x:f>IFERROR(XLOOKUP(C1252,'Review Sequence'!C2:C1586,'Review Sequence'!O2:O1586),"")</x:f>
      </x:c>
      <x:c r="I1252" s="6" t="str">
        <x:f>IFERROR(XLOOKUP(C1252,'Review Sequence'!C2:C1586,'Review Sequence'!P2:P1586),"")</x:f>
        <x:v>Yes</x:v>
      </x:c>
    </x:row>
    <x:row r="1253">
      <x:c r="A1253" s="6" t="str">
        <x:v>BLK-1252</x:v>
      </x:c>
      <x:c r="B1253" s="6" t="str">
        <x:v>Part Requirement</x:v>
      </x:c>
      <x:c r="C1253" s="6" t="str">
        <x:v>PRTX-0295</x:v>
      </x:c>
      <x:c r="D1253" s="6" t="str">
        <x:v>SVC000295</x:v>
      </x:c>
      <x:c r="E1253" s="6" t="str"/>
      <x:c r="F1253" s="6" t="str">
        <x:f>IFERROR(XLOOKUP(C1253,'Review Sequence'!C2:C1586,'Review Sequence'!I2:I1586),"")</x:f>
        <x:v>Not Started</x:v>
      </x:c>
      <x:c r="G1253" s="6" t="str">
        <x:f>IFERROR(XLOOKUP(C1253,'Review Sequence'!C2:C1586,'Review Sequence'!J2:J1586),"")</x:f>
        <x:v>Not Started</x:v>
      </x:c>
      <x:c r="H1253" s="7" t="str">
        <x:f>IFERROR(XLOOKUP(C1253,'Review Sequence'!C2:C1586,'Review Sequence'!O2:O1586),"")</x:f>
      </x:c>
      <x:c r="I1253" s="6" t="str">
        <x:f>IFERROR(XLOOKUP(C1253,'Review Sequence'!C2:C1586,'Review Sequence'!P2:P1586),"")</x:f>
        <x:v>Yes</x:v>
      </x:c>
    </x:row>
    <x:row r="1254">
      <x:c r="A1254" s="6" t="str">
        <x:v>BLK-1253</x:v>
      </x:c>
      <x:c r="B1254" s="6" t="str">
        <x:v>Part Requirement</x:v>
      </x:c>
      <x:c r="C1254" s="6" t="str">
        <x:v>PRTX-0296</x:v>
      </x:c>
      <x:c r="D1254" s="6" t="str">
        <x:v>SVC000296</x:v>
      </x:c>
      <x:c r="E1254" s="6" t="str"/>
      <x:c r="F1254" s="6" t="str">
        <x:f>IFERROR(XLOOKUP(C1254,'Review Sequence'!C2:C1586,'Review Sequence'!I2:I1586),"")</x:f>
        <x:v>Not Started</x:v>
      </x:c>
      <x:c r="G1254" s="6" t="str">
        <x:f>IFERROR(XLOOKUP(C1254,'Review Sequence'!C2:C1586,'Review Sequence'!J2:J1586),"")</x:f>
        <x:v>Not Started</x:v>
      </x:c>
      <x:c r="H1254" s="7" t="str">
        <x:f>IFERROR(XLOOKUP(C1254,'Review Sequence'!C2:C1586,'Review Sequence'!O2:O1586),"")</x:f>
      </x:c>
      <x:c r="I1254" s="6" t="str">
        <x:f>IFERROR(XLOOKUP(C1254,'Review Sequence'!C2:C1586,'Review Sequence'!P2:P1586),"")</x:f>
        <x:v>Yes</x:v>
      </x:c>
    </x:row>
    <x:row r="1255">
      <x:c r="A1255" s="6" t="str">
        <x:v>BLK-1254</x:v>
      </x:c>
      <x:c r="B1255" s="6" t="str">
        <x:v>Part Requirement</x:v>
      </x:c>
      <x:c r="C1255" s="6" t="str">
        <x:v>PRTX-0297</x:v>
      </x:c>
      <x:c r="D1255" s="6" t="str">
        <x:v>SVC000297</x:v>
      </x:c>
      <x:c r="E1255" s="6" t="str"/>
      <x:c r="F1255" s="6" t="str">
        <x:f>IFERROR(XLOOKUP(C1255,'Review Sequence'!C2:C1586,'Review Sequence'!I2:I1586),"")</x:f>
        <x:v>Not Started</x:v>
      </x:c>
      <x:c r="G1255" s="6" t="str">
        <x:f>IFERROR(XLOOKUP(C1255,'Review Sequence'!C2:C1586,'Review Sequence'!J2:J1586),"")</x:f>
        <x:v>Not Started</x:v>
      </x:c>
      <x:c r="H1255" s="7" t="str">
        <x:f>IFERROR(XLOOKUP(C1255,'Review Sequence'!C2:C1586,'Review Sequence'!O2:O1586),"")</x:f>
      </x:c>
      <x:c r="I1255" s="6" t="str">
        <x:f>IFERROR(XLOOKUP(C1255,'Review Sequence'!C2:C1586,'Review Sequence'!P2:P1586),"")</x:f>
        <x:v>Yes</x:v>
      </x:c>
    </x:row>
    <x:row r="1256">
      <x:c r="A1256" s="6" t="str">
        <x:v>BLK-1255</x:v>
      </x:c>
      <x:c r="B1256" s="6" t="str">
        <x:v>Part Requirement</x:v>
      </x:c>
      <x:c r="C1256" s="6" t="str">
        <x:v>PRTX-0298</x:v>
      </x:c>
      <x:c r="D1256" s="6" t="str">
        <x:v>SVC000298</x:v>
      </x:c>
      <x:c r="E1256" s="6" t="str"/>
      <x:c r="F1256" s="6" t="str">
        <x:f>IFERROR(XLOOKUP(C1256,'Review Sequence'!C2:C1586,'Review Sequence'!I2:I1586),"")</x:f>
        <x:v>Not Started</x:v>
      </x:c>
      <x:c r="G1256" s="6" t="str">
        <x:f>IFERROR(XLOOKUP(C1256,'Review Sequence'!C2:C1586,'Review Sequence'!J2:J1586),"")</x:f>
        <x:v>Not Started</x:v>
      </x:c>
      <x:c r="H1256" s="7" t="str">
        <x:f>IFERROR(XLOOKUP(C1256,'Review Sequence'!C2:C1586,'Review Sequence'!O2:O1586),"")</x:f>
      </x:c>
      <x:c r="I1256" s="6" t="str">
        <x:f>IFERROR(XLOOKUP(C1256,'Review Sequence'!C2:C1586,'Review Sequence'!P2:P1586),"")</x:f>
        <x:v>Yes</x:v>
      </x:c>
    </x:row>
    <x:row r="1257">
      <x:c r="A1257" s="6" t="str">
        <x:v>BLK-1256</x:v>
      </x:c>
      <x:c r="B1257" s="6" t="str">
        <x:v>Part Requirement</x:v>
      </x:c>
      <x:c r="C1257" s="6" t="str">
        <x:v>PRTX-0299</x:v>
      </x:c>
      <x:c r="D1257" s="6" t="str">
        <x:v>SVC000299</x:v>
      </x:c>
      <x:c r="E1257" s="6" t="str"/>
      <x:c r="F1257" s="6" t="str">
        <x:f>IFERROR(XLOOKUP(C1257,'Review Sequence'!C2:C1586,'Review Sequence'!I2:I1586),"")</x:f>
        <x:v>Not Started</x:v>
      </x:c>
      <x:c r="G1257" s="6" t="str">
        <x:f>IFERROR(XLOOKUP(C1257,'Review Sequence'!C2:C1586,'Review Sequence'!J2:J1586),"")</x:f>
        <x:v>Not Started</x:v>
      </x:c>
      <x:c r="H1257" s="7" t="str">
        <x:f>IFERROR(XLOOKUP(C1257,'Review Sequence'!C2:C1586,'Review Sequence'!O2:O1586),"")</x:f>
      </x:c>
      <x:c r="I1257" s="6" t="str">
        <x:f>IFERROR(XLOOKUP(C1257,'Review Sequence'!C2:C1586,'Review Sequence'!P2:P1586),"")</x:f>
        <x:v>Yes</x:v>
      </x:c>
    </x:row>
    <x:row r="1258">
      <x:c r="A1258" s="6" t="str">
        <x:v>BLK-1257</x:v>
      </x:c>
      <x:c r="B1258" s="6" t="str">
        <x:v>Part Requirement</x:v>
      </x:c>
      <x:c r="C1258" s="6" t="str">
        <x:v>PRTX-0300</x:v>
      </x:c>
      <x:c r="D1258" s="6" t="str">
        <x:v>SVC000300</x:v>
      </x:c>
      <x:c r="E1258" s="6" t="str"/>
      <x:c r="F1258" s="6" t="str">
        <x:f>IFERROR(XLOOKUP(C1258,'Review Sequence'!C2:C1586,'Review Sequence'!I2:I1586),"")</x:f>
        <x:v>Not Started</x:v>
      </x:c>
      <x:c r="G1258" s="6" t="str">
        <x:f>IFERROR(XLOOKUP(C1258,'Review Sequence'!C2:C1586,'Review Sequence'!J2:J1586),"")</x:f>
        <x:v>Not Started</x:v>
      </x:c>
      <x:c r="H1258" s="7" t="str">
        <x:f>IFERROR(XLOOKUP(C1258,'Review Sequence'!C2:C1586,'Review Sequence'!O2:O1586),"")</x:f>
      </x:c>
      <x:c r="I1258" s="6" t="str">
        <x:f>IFERROR(XLOOKUP(C1258,'Review Sequence'!C2:C1586,'Review Sequence'!P2:P1586),"")</x:f>
        <x:v>Yes</x:v>
      </x:c>
    </x:row>
    <x:row r="1259">
      <x:c r="A1259" s="6" t="str">
        <x:v>BLK-1258</x:v>
      </x:c>
      <x:c r="B1259" s="6" t="str">
        <x:v>Part Requirement</x:v>
      </x:c>
      <x:c r="C1259" s="6" t="str">
        <x:v>PRTX-0301</x:v>
      </x:c>
      <x:c r="D1259" s="6" t="str">
        <x:v>SVC000301</x:v>
      </x:c>
      <x:c r="E1259" s="6" t="str"/>
      <x:c r="F1259" s="6" t="str">
        <x:f>IFERROR(XLOOKUP(C1259,'Review Sequence'!C2:C1586,'Review Sequence'!I2:I1586),"")</x:f>
        <x:v>Not Started</x:v>
      </x:c>
      <x:c r="G1259" s="6" t="str">
        <x:f>IFERROR(XLOOKUP(C1259,'Review Sequence'!C2:C1586,'Review Sequence'!J2:J1586),"")</x:f>
        <x:v>Not Started</x:v>
      </x:c>
      <x:c r="H1259" s="7" t="str">
        <x:f>IFERROR(XLOOKUP(C1259,'Review Sequence'!C2:C1586,'Review Sequence'!O2:O1586),"")</x:f>
      </x:c>
      <x:c r="I1259" s="6" t="str">
        <x:f>IFERROR(XLOOKUP(C1259,'Review Sequence'!C2:C1586,'Review Sequence'!P2:P1586),"")</x:f>
        <x:v>Yes</x:v>
      </x:c>
    </x:row>
    <x:row r="1260">
      <x:c r="A1260" s="6" t="str">
        <x:v>BLK-1259</x:v>
      </x:c>
      <x:c r="B1260" s="6" t="str">
        <x:v>Part Requirement</x:v>
      </x:c>
      <x:c r="C1260" s="6" t="str">
        <x:v>PRTX-0302</x:v>
      </x:c>
      <x:c r="D1260" s="6" t="str">
        <x:v>SVC000302</x:v>
      </x:c>
      <x:c r="E1260" s="6" t="str"/>
      <x:c r="F1260" s="6" t="str">
        <x:f>IFERROR(XLOOKUP(C1260,'Review Sequence'!C2:C1586,'Review Sequence'!I2:I1586),"")</x:f>
        <x:v>Not Started</x:v>
      </x:c>
      <x:c r="G1260" s="6" t="str">
        <x:f>IFERROR(XLOOKUP(C1260,'Review Sequence'!C2:C1586,'Review Sequence'!J2:J1586),"")</x:f>
        <x:v>Not Started</x:v>
      </x:c>
      <x:c r="H1260" s="7" t="str">
        <x:f>IFERROR(XLOOKUP(C1260,'Review Sequence'!C2:C1586,'Review Sequence'!O2:O1586),"")</x:f>
      </x:c>
      <x:c r="I1260" s="6" t="str">
        <x:f>IFERROR(XLOOKUP(C1260,'Review Sequence'!C2:C1586,'Review Sequence'!P2:P1586),"")</x:f>
        <x:v>Yes</x:v>
      </x:c>
    </x:row>
    <x:row r="1261">
      <x:c r="A1261" s="6" t="str">
        <x:v>BLK-1260</x:v>
      </x:c>
      <x:c r="B1261" s="6" t="str">
        <x:v>Part Requirement</x:v>
      </x:c>
      <x:c r="C1261" s="6" t="str">
        <x:v>PRTX-0303</x:v>
      </x:c>
      <x:c r="D1261" s="6" t="str">
        <x:v>SVC000303</x:v>
      </x:c>
      <x:c r="E1261" s="6" t="str"/>
      <x:c r="F1261" s="6" t="str">
        <x:f>IFERROR(XLOOKUP(C1261,'Review Sequence'!C2:C1586,'Review Sequence'!I2:I1586),"")</x:f>
        <x:v>Not Started</x:v>
      </x:c>
      <x:c r="G1261" s="6" t="str">
        <x:f>IFERROR(XLOOKUP(C1261,'Review Sequence'!C2:C1586,'Review Sequence'!J2:J1586),"")</x:f>
        <x:v>Not Started</x:v>
      </x:c>
      <x:c r="H1261" s="7" t="str">
        <x:f>IFERROR(XLOOKUP(C1261,'Review Sequence'!C2:C1586,'Review Sequence'!O2:O1586),"")</x:f>
      </x:c>
      <x:c r="I1261" s="6" t="str">
        <x:f>IFERROR(XLOOKUP(C1261,'Review Sequence'!C2:C1586,'Review Sequence'!P2:P1586),"")</x:f>
        <x:v>Yes</x:v>
      </x:c>
    </x:row>
    <x:row r="1262">
      <x:c r="A1262" s="6" t="str">
        <x:v>BLK-1261</x:v>
      </x:c>
      <x:c r="B1262" s="6" t="str">
        <x:v>Part Requirement</x:v>
      </x:c>
      <x:c r="C1262" s="6" t="str">
        <x:v>PRTX-0304</x:v>
      </x:c>
      <x:c r="D1262" s="6" t="str">
        <x:v>SVC000304</x:v>
      </x:c>
      <x:c r="E1262" s="6" t="str"/>
      <x:c r="F1262" s="6" t="str">
        <x:f>IFERROR(XLOOKUP(C1262,'Review Sequence'!C2:C1586,'Review Sequence'!I2:I1586),"")</x:f>
        <x:v>Not Started</x:v>
      </x:c>
      <x:c r="G1262" s="6" t="str">
        <x:f>IFERROR(XLOOKUP(C1262,'Review Sequence'!C2:C1586,'Review Sequence'!J2:J1586),"")</x:f>
        <x:v>Not Started</x:v>
      </x:c>
      <x:c r="H1262" s="7" t="str">
        <x:f>IFERROR(XLOOKUP(C1262,'Review Sequence'!C2:C1586,'Review Sequence'!O2:O1586),"")</x:f>
      </x:c>
      <x:c r="I1262" s="6" t="str">
        <x:f>IFERROR(XLOOKUP(C1262,'Review Sequence'!C2:C1586,'Review Sequence'!P2:P1586),"")</x:f>
        <x:v>Yes</x:v>
      </x:c>
    </x:row>
    <x:row r="1263">
      <x:c r="A1263" s="6" t="str">
        <x:v>BLK-1262</x:v>
      </x:c>
      <x:c r="B1263" s="6" t="str">
        <x:v>Part Requirement</x:v>
      </x:c>
      <x:c r="C1263" s="6" t="str">
        <x:v>PRTX-0305</x:v>
      </x:c>
      <x:c r="D1263" s="6" t="str">
        <x:v>SVC000305</x:v>
      </x:c>
      <x:c r="E1263" s="6" t="str"/>
      <x:c r="F1263" s="6" t="str">
        <x:f>IFERROR(XLOOKUP(C1263,'Review Sequence'!C2:C1586,'Review Sequence'!I2:I1586),"")</x:f>
        <x:v>Not Started</x:v>
      </x:c>
      <x:c r="G1263" s="6" t="str">
        <x:f>IFERROR(XLOOKUP(C1263,'Review Sequence'!C2:C1586,'Review Sequence'!J2:J1586),"")</x:f>
        <x:v>Not Started</x:v>
      </x:c>
      <x:c r="H1263" s="7" t="str">
        <x:f>IFERROR(XLOOKUP(C1263,'Review Sequence'!C2:C1586,'Review Sequence'!O2:O1586),"")</x:f>
      </x:c>
      <x:c r="I1263" s="6" t="str">
        <x:f>IFERROR(XLOOKUP(C1263,'Review Sequence'!C2:C1586,'Review Sequence'!P2:P1586),"")</x:f>
        <x:v>Yes</x:v>
      </x:c>
    </x:row>
    <x:row r="1264">
      <x:c r="A1264" s="6" t="str">
        <x:v>BLK-1263</x:v>
      </x:c>
      <x:c r="B1264" s="6" t="str">
        <x:v>Part Requirement</x:v>
      </x:c>
      <x:c r="C1264" s="6" t="str">
        <x:v>PRTX-0306</x:v>
      </x:c>
      <x:c r="D1264" s="6" t="str">
        <x:v>SVC000306</x:v>
      </x:c>
      <x:c r="E1264" s="6" t="str"/>
      <x:c r="F1264" s="6" t="str">
        <x:f>IFERROR(XLOOKUP(C1264,'Review Sequence'!C2:C1586,'Review Sequence'!I2:I1586),"")</x:f>
        <x:v>Not Started</x:v>
      </x:c>
      <x:c r="G1264" s="6" t="str">
        <x:f>IFERROR(XLOOKUP(C1264,'Review Sequence'!C2:C1586,'Review Sequence'!J2:J1586),"")</x:f>
        <x:v>Not Started</x:v>
      </x:c>
      <x:c r="H1264" s="7" t="str">
        <x:f>IFERROR(XLOOKUP(C1264,'Review Sequence'!C2:C1586,'Review Sequence'!O2:O1586),"")</x:f>
      </x:c>
      <x:c r="I1264" s="6" t="str">
        <x:f>IFERROR(XLOOKUP(C1264,'Review Sequence'!C2:C1586,'Review Sequence'!P2:P1586),"")</x:f>
        <x:v>Yes</x:v>
      </x:c>
    </x:row>
    <x:row r="1265">
      <x:c r="A1265" s="6" t="str">
        <x:v>BLK-1264</x:v>
      </x:c>
      <x:c r="B1265" s="6" t="str">
        <x:v>Part Requirement</x:v>
      </x:c>
      <x:c r="C1265" s="6" t="str">
        <x:v>PRTX-0307</x:v>
      </x:c>
      <x:c r="D1265" s="6" t="str">
        <x:v>SVC000307</x:v>
      </x:c>
      <x:c r="E1265" s="6" t="str"/>
      <x:c r="F1265" s="6" t="str">
        <x:f>IFERROR(XLOOKUP(C1265,'Review Sequence'!C2:C1586,'Review Sequence'!I2:I1586),"")</x:f>
        <x:v>Not Started</x:v>
      </x:c>
      <x:c r="G1265" s="6" t="str">
        <x:f>IFERROR(XLOOKUP(C1265,'Review Sequence'!C2:C1586,'Review Sequence'!J2:J1586),"")</x:f>
        <x:v>Not Started</x:v>
      </x:c>
      <x:c r="H1265" s="7" t="str">
        <x:f>IFERROR(XLOOKUP(C1265,'Review Sequence'!C2:C1586,'Review Sequence'!O2:O1586),"")</x:f>
      </x:c>
      <x:c r="I1265" s="6" t="str">
        <x:f>IFERROR(XLOOKUP(C1265,'Review Sequence'!C2:C1586,'Review Sequence'!P2:P1586),"")</x:f>
        <x:v>Yes</x:v>
      </x:c>
    </x:row>
    <x:row r="1266">
      <x:c r="A1266" s="6" t="str">
        <x:v>BLK-1265</x:v>
      </x:c>
      <x:c r="B1266" s="6" t="str">
        <x:v>Part Requirement</x:v>
      </x:c>
      <x:c r="C1266" s="6" t="str">
        <x:v>PRTX-0308</x:v>
      </x:c>
      <x:c r="D1266" s="6" t="str">
        <x:v>SVC000308</x:v>
      </x:c>
      <x:c r="E1266" s="6" t="str"/>
      <x:c r="F1266" s="6" t="str">
        <x:f>IFERROR(XLOOKUP(C1266,'Review Sequence'!C2:C1586,'Review Sequence'!I2:I1586),"")</x:f>
        <x:v>Not Started</x:v>
      </x:c>
      <x:c r="G1266" s="6" t="str">
        <x:f>IFERROR(XLOOKUP(C1266,'Review Sequence'!C2:C1586,'Review Sequence'!J2:J1586),"")</x:f>
        <x:v>Not Started</x:v>
      </x:c>
      <x:c r="H1266" s="7" t="str">
        <x:f>IFERROR(XLOOKUP(C1266,'Review Sequence'!C2:C1586,'Review Sequence'!O2:O1586),"")</x:f>
      </x:c>
      <x:c r="I1266" s="6" t="str">
        <x:f>IFERROR(XLOOKUP(C1266,'Review Sequence'!C2:C1586,'Review Sequence'!P2:P1586),"")</x:f>
        <x:v>Yes</x:v>
      </x:c>
    </x:row>
    <x:row r="1267">
      <x:c r="A1267" s="6" t="str">
        <x:v>BLK-1266</x:v>
      </x:c>
      <x:c r="B1267" s="6" t="str">
        <x:v>Part Requirement</x:v>
      </x:c>
      <x:c r="C1267" s="6" t="str">
        <x:v>PRTX-0309</x:v>
      </x:c>
      <x:c r="D1267" s="6" t="str">
        <x:v>SVC000309</x:v>
      </x:c>
      <x:c r="E1267" s="6" t="str"/>
      <x:c r="F1267" s="6" t="str">
        <x:f>IFERROR(XLOOKUP(C1267,'Review Sequence'!C2:C1586,'Review Sequence'!I2:I1586),"")</x:f>
        <x:v>Not Started</x:v>
      </x:c>
      <x:c r="G1267" s="6" t="str">
        <x:f>IFERROR(XLOOKUP(C1267,'Review Sequence'!C2:C1586,'Review Sequence'!J2:J1586),"")</x:f>
        <x:v>Not Started</x:v>
      </x:c>
      <x:c r="H1267" s="7" t="str">
        <x:f>IFERROR(XLOOKUP(C1267,'Review Sequence'!C2:C1586,'Review Sequence'!O2:O1586),"")</x:f>
      </x:c>
      <x:c r="I1267" s="6" t="str">
        <x:f>IFERROR(XLOOKUP(C1267,'Review Sequence'!C2:C1586,'Review Sequence'!P2:P1586),"")</x:f>
        <x:v>Yes</x:v>
      </x:c>
    </x:row>
    <x:row r="1268">
      <x:c r="A1268" s="6" t="str">
        <x:v>BLK-1267</x:v>
      </x:c>
      <x:c r="B1268" s="6" t="str">
        <x:v>Part Requirement</x:v>
      </x:c>
      <x:c r="C1268" s="6" t="str">
        <x:v>PRTX-0310</x:v>
      </x:c>
      <x:c r="D1268" s="6" t="str">
        <x:v>SVC000310</x:v>
      </x:c>
      <x:c r="E1268" s="6" t="str"/>
      <x:c r="F1268" s="6" t="str">
        <x:f>IFERROR(XLOOKUP(C1268,'Review Sequence'!C2:C1586,'Review Sequence'!I2:I1586),"")</x:f>
        <x:v>Not Started</x:v>
      </x:c>
      <x:c r="G1268" s="6" t="str">
        <x:f>IFERROR(XLOOKUP(C1268,'Review Sequence'!C2:C1586,'Review Sequence'!J2:J1586),"")</x:f>
        <x:v>Not Started</x:v>
      </x:c>
      <x:c r="H1268" s="7" t="str">
        <x:f>IFERROR(XLOOKUP(C1268,'Review Sequence'!C2:C1586,'Review Sequence'!O2:O1586),"")</x:f>
      </x:c>
      <x:c r="I1268" s="6" t="str">
        <x:f>IFERROR(XLOOKUP(C1268,'Review Sequence'!C2:C1586,'Review Sequence'!P2:P1586),"")</x:f>
        <x:v>Yes</x:v>
      </x:c>
    </x:row>
    <x:row r="1269">
      <x:c r="A1269" s="6" t="str">
        <x:v>BLK-1268</x:v>
      </x:c>
      <x:c r="B1269" s="6" t="str">
        <x:v>Part Requirement</x:v>
      </x:c>
      <x:c r="C1269" s="6" t="str">
        <x:v>PRTX-0311</x:v>
      </x:c>
      <x:c r="D1269" s="6" t="str">
        <x:v>SVC000311</x:v>
      </x:c>
      <x:c r="E1269" s="6" t="str"/>
      <x:c r="F1269" s="6" t="str">
        <x:f>IFERROR(XLOOKUP(C1269,'Review Sequence'!C2:C1586,'Review Sequence'!I2:I1586),"")</x:f>
        <x:v>Not Started</x:v>
      </x:c>
      <x:c r="G1269" s="6" t="str">
        <x:f>IFERROR(XLOOKUP(C1269,'Review Sequence'!C2:C1586,'Review Sequence'!J2:J1586),"")</x:f>
        <x:v>Not Started</x:v>
      </x:c>
      <x:c r="H1269" s="7" t="str">
        <x:f>IFERROR(XLOOKUP(C1269,'Review Sequence'!C2:C1586,'Review Sequence'!O2:O1586),"")</x:f>
      </x:c>
      <x:c r="I1269" s="6" t="str">
        <x:f>IFERROR(XLOOKUP(C1269,'Review Sequence'!C2:C1586,'Review Sequence'!P2:P1586),"")</x:f>
        <x:v>Yes</x:v>
      </x:c>
    </x:row>
    <x:row r="1270">
      <x:c r="A1270" s="6" t="str">
        <x:v>BLK-1269</x:v>
      </x:c>
      <x:c r="B1270" s="6" t="str">
        <x:v>Part Requirement</x:v>
      </x:c>
      <x:c r="C1270" s="6" t="str">
        <x:v>PRTX-0312</x:v>
      </x:c>
      <x:c r="D1270" s="6" t="str">
        <x:v>SVC000312</x:v>
      </x:c>
      <x:c r="E1270" s="6" t="str"/>
      <x:c r="F1270" s="6" t="str">
        <x:f>IFERROR(XLOOKUP(C1270,'Review Sequence'!C2:C1586,'Review Sequence'!I2:I1586),"")</x:f>
        <x:v>Not Started</x:v>
      </x:c>
      <x:c r="G1270" s="6" t="str">
        <x:f>IFERROR(XLOOKUP(C1270,'Review Sequence'!C2:C1586,'Review Sequence'!J2:J1586),"")</x:f>
        <x:v>Not Started</x:v>
      </x:c>
      <x:c r="H1270" s="7" t="str">
        <x:f>IFERROR(XLOOKUP(C1270,'Review Sequence'!C2:C1586,'Review Sequence'!O2:O1586),"")</x:f>
      </x:c>
      <x:c r="I1270" s="6" t="str">
        <x:f>IFERROR(XLOOKUP(C1270,'Review Sequence'!C2:C1586,'Review Sequence'!P2:P1586),"")</x:f>
        <x:v>Yes</x:v>
      </x:c>
    </x:row>
    <x:row r="1271">
      <x:c r="A1271" s="6" t="str">
        <x:v>BLK-1270</x:v>
      </x:c>
      <x:c r="B1271" s="6" t="str">
        <x:v>Part Requirement</x:v>
      </x:c>
      <x:c r="C1271" s="6" t="str">
        <x:v>PRTX-0313</x:v>
      </x:c>
      <x:c r="D1271" s="6" t="str">
        <x:v>SVC000313</x:v>
      </x:c>
      <x:c r="E1271" s="6" t="str"/>
      <x:c r="F1271" s="6" t="str">
        <x:f>IFERROR(XLOOKUP(C1271,'Review Sequence'!C2:C1586,'Review Sequence'!I2:I1586),"")</x:f>
        <x:v>Not Started</x:v>
      </x:c>
      <x:c r="G1271" s="6" t="str">
        <x:f>IFERROR(XLOOKUP(C1271,'Review Sequence'!C2:C1586,'Review Sequence'!J2:J1586),"")</x:f>
        <x:v>Not Started</x:v>
      </x:c>
      <x:c r="H1271" s="7" t="str">
        <x:f>IFERROR(XLOOKUP(C1271,'Review Sequence'!C2:C1586,'Review Sequence'!O2:O1586),"")</x:f>
      </x:c>
      <x:c r="I1271" s="6" t="str">
        <x:f>IFERROR(XLOOKUP(C1271,'Review Sequence'!C2:C1586,'Review Sequence'!P2:P1586),"")</x:f>
        <x:v>Yes</x:v>
      </x:c>
    </x:row>
    <x:row r="1272">
      <x:c r="A1272" s="6" t="str">
        <x:v>BLK-1271</x:v>
      </x:c>
      <x:c r="B1272" s="6" t="str">
        <x:v>Part Requirement</x:v>
      </x:c>
      <x:c r="C1272" s="6" t="str">
        <x:v>PRTX-0314</x:v>
      </x:c>
      <x:c r="D1272" s="6" t="str">
        <x:v>SVC000314</x:v>
      </x:c>
      <x:c r="E1272" s="6" t="str"/>
      <x:c r="F1272" s="6" t="str">
        <x:f>IFERROR(XLOOKUP(C1272,'Review Sequence'!C2:C1586,'Review Sequence'!I2:I1586),"")</x:f>
        <x:v>Not Started</x:v>
      </x:c>
      <x:c r="G1272" s="6" t="str">
        <x:f>IFERROR(XLOOKUP(C1272,'Review Sequence'!C2:C1586,'Review Sequence'!J2:J1586),"")</x:f>
        <x:v>Not Started</x:v>
      </x:c>
      <x:c r="H1272" s="7" t="str">
        <x:f>IFERROR(XLOOKUP(C1272,'Review Sequence'!C2:C1586,'Review Sequence'!O2:O1586),"")</x:f>
      </x:c>
      <x:c r="I1272" s="6" t="str">
        <x:f>IFERROR(XLOOKUP(C1272,'Review Sequence'!C2:C1586,'Review Sequence'!P2:P1586),"")</x:f>
        <x:v>Yes</x:v>
      </x:c>
    </x:row>
    <x:row r="1273">
      <x:c r="A1273" s="6" t="str">
        <x:v>BLK-1272</x:v>
      </x:c>
      <x:c r="B1273" s="6" t="str">
        <x:v>Labor Reference</x:v>
      </x:c>
      <x:c r="C1273" s="6" t="str">
        <x:v>LABX-0001</x:v>
      </x:c>
      <x:c r="D1273" s="6" t="str">
        <x:v>SVC000001</x:v>
      </x:c>
      <x:c r="E1273" s="6" t="str"/>
      <x:c r="F1273" s="6" t="str">
        <x:f>IFERROR(XLOOKUP(C1273,'Review Sequence'!C2:C1586,'Review Sequence'!I2:I1586),"")</x:f>
        <x:v>Not Started</x:v>
      </x:c>
      <x:c r="G1273" s="6" t="str">
        <x:f>IFERROR(XLOOKUP(C1273,'Review Sequence'!C2:C1586,'Review Sequence'!J2:J1586),"")</x:f>
        <x:v>Not Started</x:v>
      </x:c>
      <x:c r="H1273" s="7" t="str">
        <x:f>IFERROR(XLOOKUP(C1273,'Review Sequence'!C2:C1586,'Review Sequence'!O2:O1586),"")</x:f>
      </x:c>
      <x:c r="I1273" s="6" t="str">
        <x:f>IFERROR(XLOOKUP(C1273,'Review Sequence'!C2:C1586,'Review Sequence'!P2:P1586),"")</x:f>
        <x:v>Yes</x:v>
      </x:c>
    </x:row>
    <x:row r="1274">
      <x:c r="A1274" s="6" t="str">
        <x:v>BLK-1273</x:v>
      </x:c>
      <x:c r="B1274" s="6" t="str">
        <x:v>Labor Reference</x:v>
      </x:c>
      <x:c r="C1274" s="6" t="str">
        <x:v>LABX-0002</x:v>
      </x:c>
      <x:c r="D1274" s="6" t="str">
        <x:v>SVC000002</x:v>
      </x:c>
      <x:c r="E1274" s="6" t="str"/>
      <x:c r="F1274" s="6" t="str">
        <x:f>IFERROR(XLOOKUP(C1274,'Review Sequence'!C2:C1586,'Review Sequence'!I2:I1586),"")</x:f>
        <x:v>Not Started</x:v>
      </x:c>
      <x:c r="G1274" s="6" t="str">
        <x:f>IFERROR(XLOOKUP(C1274,'Review Sequence'!C2:C1586,'Review Sequence'!J2:J1586),"")</x:f>
        <x:v>Not Started</x:v>
      </x:c>
      <x:c r="H1274" s="7" t="str">
        <x:f>IFERROR(XLOOKUP(C1274,'Review Sequence'!C2:C1586,'Review Sequence'!O2:O1586),"")</x:f>
      </x:c>
      <x:c r="I1274" s="6" t="str">
        <x:f>IFERROR(XLOOKUP(C1274,'Review Sequence'!C2:C1586,'Review Sequence'!P2:P1586),"")</x:f>
        <x:v>Yes</x:v>
      </x:c>
    </x:row>
    <x:row r="1275">
      <x:c r="A1275" s="6" t="str">
        <x:v>BLK-1274</x:v>
      </x:c>
      <x:c r="B1275" s="6" t="str">
        <x:v>Labor Reference</x:v>
      </x:c>
      <x:c r="C1275" s="6" t="str">
        <x:v>LABX-0003</x:v>
      </x:c>
      <x:c r="D1275" s="6" t="str">
        <x:v>SVC000003</x:v>
      </x:c>
      <x:c r="E1275" s="6" t="str"/>
      <x:c r="F1275" s="6" t="str">
        <x:f>IFERROR(XLOOKUP(C1275,'Review Sequence'!C2:C1586,'Review Sequence'!I2:I1586),"")</x:f>
        <x:v>Not Started</x:v>
      </x:c>
      <x:c r="G1275" s="6" t="str">
        <x:f>IFERROR(XLOOKUP(C1275,'Review Sequence'!C2:C1586,'Review Sequence'!J2:J1586),"")</x:f>
        <x:v>Not Started</x:v>
      </x:c>
      <x:c r="H1275" s="7" t="str">
        <x:f>IFERROR(XLOOKUP(C1275,'Review Sequence'!C2:C1586,'Review Sequence'!O2:O1586),"")</x:f>
      </x:c>
      <x:c r="I1275" s="6" t="str">
        <x:f>IFERROR(XLOOKUP(C1275,'Review Sequence'!C2:C1586,'Review Sequence'!P2:P1586),"")</x:f>
        <x:v>Yes</x:v>
      </x:c>
    </x:row>
    <x:row r="1276">
      <x:c r="A1276" s="6" t="str">
        <x:v>BLK-1275</x:v>
      </x:c>
      <x:c r="B1276" s="6" t="str">
        <x:v>Labor Reference</x:v>
      </x:c>
      <x:c r="C1276" s="6" t="str">
        <x:v>LABX-0004</x:v>
      </x:c>
      <x:c r="D1276" s="6" t="str">
        <x:v>SVC000004</x:v>
      </x:c>
      <x:c r="E1276" s="6" t="str"/>
      <x:c r="F1276" s="6" t="str">
        <x:f>IFERROR(XLOOKUP(C1276,'Review Sequence'!C2:C1586,'Review Sequence'!I2:I1586),"")</x:f>
        <x:v>Not Started</x:v>
      </x:c>
      <x:c r="G1276" s="6" t="str">
        <x:f>IFERROR(XLOOKUP(C1276,'Review Sequence'!C2:C1586,'Review Sequence'!J2:J1586),"")</x:f>
        <x:v>Not Started</x:v>
      </x:c>
      <x:c r="H1276" s="7" t="str">
        <x:f>IFERROR(XLOOKUP(C1276,'Review Sequence'!C2:C1586,'Review Sequence'!O2:O1586),"")</x:f>
      </x:c>
      <x:c r="I1276" s="6" t="str">
        <x:f>IFERROR(XLOOKUP(C1276,'Review Sequence'!C2:C1586,'Review Sequence'!P2:P1586),"")</x:f>
        <x:v>Yes</x:v>
      </x:c>
    </x:row>
    <x:row r="1277">
      <x:c r="A1277" s="6" t="str">
        <x:v>BLK-1276</x:v>
      </x:c>
      <x:c r="B1277" s="6" t="str">
        <x:v>Labor Reference</x:v>
      </x:c>
      <x:c r="C1277" s="6" t="str">
        <x:v>LABX-0005</x:v>
      </x:c>
      <x:c r="D1277" s="6" t="str">
        <x:v>SVC000005</x:v>
      </x:c>
      <x:c r="E1277" s="6" t="str"/>
      <x:c r="F1277" s="6" t="str">
        <x:f>IFERROR(XLOOKUP(C1277,'Review Sequence'!C2:C1586,'Review Sequence'!I2:I1586),"")</x:f>
        <x:v>Not Started</x:v>
      </x:c>
      <x:c r="G1277" s="6" t="str">
        <x:f>IFERROR(XLOOKUP(C1277,'Review Sequence'!C2:C1586,'Review Sequence'!J2:J1586),"")</x:f>
        <x:v>Not Started</x:v>
      </x:c>
      <x:c r="H1277" s="7" t="str">
        <x:f>IFERROR(XLOOKUP(C1277,'Review Sequence'!C2:C1586,'Review Sequence'!O2:O1586),"")</x:f>
      </x:c>
      <x:c r="I1277" s="6" t="str">
        <x:f>IFERROR(XLOOKUP(C1277,'Review Sequence'!C2:C1586,'Review Sequence'!P2:P1586),"")</x:f>
        <x:v>Yes</x:v>
      </x:c>
    </x:row>
    <x:row r="1278">
      <x:c r="A1278" s="6" t="str">
        <x:v>BLK-1277</x:v>
      </x:c>
      <x:c r="B1278" s="6" t="str">
        <x:v>Labor Reference</x:v>
      </x:c>
      <x:c r="C1278" s="6" t="str">
        <x:v>LABX-0006</x:v>
      </x:c>
      <x:c r="D1278" s="6" t="str">
        <x:v>SVC000006</x:v>
      </x:c>
      <x:c r="E1278" s="6" t="str"/>
      <x:c r="F1278" s="6" t="str">
        <x:f>IFERROR(XLOOKUP(C1278,'Review Sequence'!C2:C1586,'Review Sequence'!I2:I1586),"")</x:f>
        <x:v>Not Started</x:v>
      </x:c>
      <x:c r="G1278" s="6" t="str">
        <x:f>IFERROR(XLOOKUP(C1278,'Review Sequence'!C2:C1586,'Review Sequence'!J2:J1586),"")</x:f>
        <x:v>Not Started</x:v>
      </x:c>
      <x:c r="H1278" s="7" t="str">
        <x:f>IFERROR(XLOOKUP(C1278,'Review Sequence'!C2:C1586,'Review Sequence'!O2:O1586),"")</x:f>
      </x:c>
      <x:c r="I1278" s="6" t="str">
        <x:f>IFERROR(XLOOKUP(C1278,'Review Sequence'!C2:C1586,'Review Sequence'!P2:P1586),"")</x:f>
        <x:v>Yes</x:v>
      </x:c>
    </x:row>
    <x:row r="1279">
      <x:c r="A1279" s="6" t="str">
        <x:v>BLK-1278</x:v>
      </x:c>
      <x:c r="B1279" s="6" t="str">
        <x:v>Labor Reference</x:v>
      </x:c>
      <x:c r="C1279" s="6" t="str">
        <x:v>LABX-0007</x:v>
      </x:c>
      <x:c r="D1279" s="6" t="str">
        <x:v>SVC000007</x:v>
      </x:c>
      <x:c r="E1279" s="6" t="str"/>
      <x:c r="F1279" s="6" t="str">
        <x:f>IFERROR(XLOOKUP(C1279,'Review Sequence'!C2:C1586,'Review Sequence'!I2:I1586),"")</x:f>
        <x:v>Not Started</x:v>
      </x:c>
      <x:c r="G1279" s="6" t="str">
        <x:f>IFERROR(XLOOKUP(C1279,'Review Sequence'!C2:C1586,'Review Sequence'!J2:J1586),"")</x:f>
        <x:v>Not Started</x:v>
      </x:c>
      <x:c r="H1279" s="7" t="str">
        <x:f>IFERROR(XLOOKUP(C1279,'Review Sequence'!C2:C1586,'Review Sequence'!O2:O1586),"")</x:f>
      </x:c>
      <x:c r="I1279" s="6" t="str">
        <x:f>IFERROR(XLOOKUP(C1279,'Review Sequence'!C2:C1586,'Review Sequence'!P2:P1586),"")</x:f>
        <x:v>Yes</x:v>
      </x:c>
    </x:row>
    <x:row r="1280">
      <x:c r="A1280" s="6" t="str">
        <x:v>BLK-1279</x:v>
      </x:c>
      <x:c r="B1280" s="6" t="str">
        <x:v>Labor Reference</x:v>
      </x:c>
      <x:c r="C1280" s="6" t="str">
        <x:v>LABX-0008</x:v>
      </x:c>
      <x:c r="D1280" s="6" t="str">
        <x:v>SVC000008</x:v>
      </x:c>
      <x:c r="E1280" s="6" t="str"/>
      <x:c r="F1280" s="6" t="str">
        <x:f>IFERROR(XLOOKUP(C1280,'Review Sequence'!C2:C1586,'Review Sequence'!I2:I1586),"")</x:f>
        <x:v>Not Started</x:v>
      </x:c>
      <x:c r="G1280" s="6" t="str">
        <x:f>IFERROR(XLOOKUP(C1280,'Review Sequence'!C2:C1586,'Review Sequence'!J2:J1586),"")</x:f>
        <x:v>Not Started</x:v>
      </x:c>
      <x:c r="H1280" s="7" t="str">
        <x:f>IFERROR(XLOOKUP(C1280,'Review Sequence'!C2:C1586,'Review Sequence'!O2:O1586),"")</x:f>
      </x:c>
      <x:c r="I1280" s="6" t="str">
        <x:f>IFERROR(XLOOKUP(C1280,'Review Sequence'!C2:C1586,'Review Sequence'!P2:P1586),"")</x:f>
        <x:v>Yes</x:v>
      </x:c>
    </x:row>
    <x:row r="1281">
      <x:c r="A1281" s="6" t="str">
        <x:v>BLK-1280</x:v>
      </x:c>
      <x:c r="B1281" s="6" t="str">
        <x:v>Labor Reference</x:v>
      </x:c>
      <x:c r="C1281" s="6" t="str">
        <x:v>LABX-0009</x:v>
      </x:c>
      <x:c r="D1281" s="6" t="str">
        <x:v>SVC000009</x:v>
      </x:c>
      <x:c r="E1281" s="6" t="str"/>
      <x:c r="F1281" s="6" t="str">
        <x:f>IFERROR(XLOOKUP(C1281,'Review Sequence'!C2:C1586,'Review Sequence'!I2:I1586),"")</x:f>
        <x:v>Not Started</x:v>
      </x:c>
      <x:c r="G1281" s="6" t="str">
        <x:f>IFERROR(XLOOKUP(C1281,'Review Sequence'!C2:C1586,'Review Sequence'!J2:J1586),"")</x:f>
        <x:v>Not Started</x:v>
      </x:c>
      <x:c r="H1281" s="7" t="str">
        <x:f>IFERROR(XLOOKUP(C1281,'Review Sequence'!C2:C1586,'Review Sequence'!O2:O1586),"")</x:f>
      </x:c>
      <x:c r="I1281" s="6" t="str">
        <x:f>IFERROR(XLOOKUP(C1281,'Review Sequence'!C2:C1586,'Review Sequence'!P2:P1586),"")</x:f>
        <x:v>Yes</x:v>
      </x:c>
    </x:row>
    <x:row r="1282">
      <x:c r="A1282" s="6" t="str">
        <x:v>BLK-1281</x:v>
      </x:c>
      <x:c r="B1282" s="6" t="str">
        <x:v>Labor Reference</x:v>
      </x:c>
      <x:c r="C1282" s="6" t="str">
        <x:v>LABX-0010</x:v>
      </x:c>
      <x:c r="D1282" s="6" t="str">
        <x:v>SVC000010</x:v>
      </x:c>
      <x:c r="E1282" s="6" t="str"/>
      <x:c r="F1282" s="6" t="str">
        <x:f>IFERROR(XLOOKUP(C1282,'Review Sequence'!C2:C1586,'Review Sequence'!I2:I1586),"")</x:f>
        <x:v>Not Started</x:v>
      </x:c>
      <x:c r="G1282" s="6" t="str">
        <x:f>IFERROR(XLOOKUP(C1282,'Review Sequence'!C2:C1586,'Review Sequence'!J2:J1586),"")</x:f>
        <x:v>Not Started</x:v>
      </x:c>
      <x:c r="H1282" s="7" t="str">
        <x:f>IFERROR(XLOOKUP(C1282,'Review Sequence'!C2:C1586,'Review Sequence'!O2:O1586),"")</x:f>
      </x:c>
      <x:c r="I1282" s="6" t="str">
        <x:f>IFERROR(XLOOKUP(C1282,'Review Sequence'!C2:C1586,'Review Sequence'!P2:P1586),"")</x:f>
        <x:v>Yes</x:v>
      </x:c>
    </x:row>
    <x:row r="1283">
      <x:c r="A1283" s="6" t="str">
        <x:v>BLK-1282</x:v>
      </x:c>
      <x:c r="B1283" s="6" t="str">
        <x:v>Labor Reference</x:v>
      </x:c>
      <x:c r="C1283" s="6" t="str">
        <x:v>LABX-0011</x:v>
      </x:c>
      <x:c r="D1283" s="6" t="str">
        <x:v>SVC000011</x:v>
      </x:c>
      <x:c r="E1283" s="6" t="str"/>
      <x:c r="F1283" s="6" t="str">
        <x:f>IFERROR(XLOOKUP(C1283,'Review Sequence'!C2:C1586,'Review Sequence'!I2:I1586),"")</x:f>
        <x:v>Not Started</x:v>
      </x:c>
      <x:c r="G1283" s="6" t="str">
        <x:f>IFERROR(XLOOKUP(C1283,'Review Sequence'!C2:C1586,'Review Sequence'!J2:J1586),"")</x:f>
        <x:v>Not Started</x:v>
      </x:c>
      <x:c r="H1283" s="7" t="str">
        <x:f>IFERROR(XLOOKUP(C1283,'Review Sequence'!C2:C1586,'Review Sequence'!O2:O1586),"")</x:f>
      </x:c>
      <x:c r="I1283" s="6" t="str">
        <x:f>IFERROR(XLOOKUP(C1283,'Review Sequence'!C2:C1586,'Review Sequence'!P2:P1586),"")</x:f>
        <x:v>Yes</x:v>
      </x:c>
    </x:row>
    <x:row r="1284">
      <x:c r="A1284" s="6" t="str">
        <x:v>BLK-1283</x:v>
      </x:c>
      <x:c r="B1284" s="6" t="str">
        <x:v>Labor Reference</x:v>
      </x:c>
      <x:c r="C1284" s="6" t="str">
        <x:v>LABX-0012</x:v>
      </x:c>
      <x:c r="D1284" s="6" t="str">
        <x:v>SVC000012</x:v>
      </x:c>
      <x:c r="E1284" s="6" t="str"/>
      <x:c r="F1284" s="6" t="str">
        <x:f>IFERROR(XLOOKUP(C1284,'Review Sequence'!C2:C1586,'Review Sequence'!I2:I1586),"")</x:f>
        <x:v>Not Started</x:v>
      </x:c>
      <x:c r="G1284" s="6" t="str">
        <x:f>IFERROR(XLOOKUP(C1284,'Review Sequence'!C2:C1586,'Review Sequence'!J2:J1586),"")</x:f>
        <x:v>Not Started</x:v>
      </x:c>
      <x:c r="H1284" s="7" t="str">
        <x:f>IFERROR(XLOOKUP(C1284,'Review Sequence'!C2:C1586,'Review Sequence'!O2:O1586),"")</x:f>
      </x:c>
      <x:c r="I1284" s="6" t="str">
        <x:f>IFERROR(XLOOKUP(C1284,'Review Sequence'!C2:C1586,'Review Sequence'!P2:P1586),"")</x:f>
        <x:v>Yes</x:v>
      </x:c>
    </x:row>
    <x:row r="1285">
      <x:c r="A1285" s="6" t="str">
        <x:v>BLK-1284</x:v>
      </x:c>
      <x:c r="B1285" s="6" t="str">
        <x:v>Labor Reference</x:v>
      </x:c>
      <x:c r="C1285" s="6" t="str">
        <x:v>LABX-0013</x:v>
      </x:c>
      <x:c r="D1285" s="6" t="str">
        <x:v>SVC000013</x:v>
      </x:c>
      <x:c r="E1285" s="6" t="str"/>
      <x:c r="F1285" s="6" t="str">
        <x:f>IFERROR(XLOOKUP(C1285,'Review Sequence'!C2:C1586,'Review Sequence'!I2:I1586),"")</x:f>
        <x:v>Not Started</x:v>
      </x:c>
      <x:c r="G1285" s="6" t="str">
        <x:f>IFERROR(XLOOKUP(C1285,'Review Sequence'!C2:C1586,'Review Sequence'!J2:J1586),"")</x:f>
        <x:v>Not Started</x:v>
      </x:c>
      <x:c r="H1285" s="7" t="str">
        <x:f>IFERROR(XLOOKUP(C1285,'Review Sequence'!C2:C1586,'Review Sequence'!O2:O1586),"")</x:f>
      </x:c>
      <x:c r="I1285" s="6" t="str">
        <x:f>IFERROR(XLOOKUP(C1285,'Review Sequence'!C2:C1586,'Review Sequence'!P2:P1586),"")</x:f>
        <x:v>Yes</x:v>
      </x:c>
    </x:row>
    <x:row r="1286">
      <x:c r="A1286" s="6" t="str">
        <x:v>BLK-1285</x:v>
      </x:c>
      <x:c r="B1286" s="6" t="str">
        <x:v>Labor Reference</x:v>
      </x:c>
      <x:c r="C1286" s="6" t="str">
        <x:v>LABX-0014</x:v>
      </x:c>
      <x:c r="D1286" s="6" t="str">
        <x:v>SVC000014</x:v>
      </x:c>
      <x:c r="E1286" s="6" t="str"/>
      <x:c r="F1286" s="6" t="str">
        <x:f>IFERROR(XLOOKUP(C1286,'Review Sequence'!C2:C1586,'Review Sequence'!I2:I1586),"")</x:f>
        <x:v>Not Started</x:v>
      </x:c>
      <x:c r="G1286" s="6" t="str">
        <x:f>IFERROR(XLOOKUP(C1286,'Review Sequence'!C2:C1586,'Review Sequence'!J2:J1586),"")</x:f>
        <x:v>Not Started</x:v>
      </x:c>
      <x:c r="H1286" s="7" t="str">
        <x:f>IFERROR(XLOOKUP(C1286,'Review Sequence'!C2:C1586,'Review Sequence'!O2:O1586),"")</x:f>
      </x:c>
      <x:c r="I1286" s="6" t="str">
        <x:f>IFERROR(XLOOKUP(C1286,'Review Sequence'!C2:C1586,'Review Sequence'!P2:P1586),"")</x:f>
        <x:v>Yes</x:v>
      </x:c>
    </x:row>
    <x:row r="1287">
      <x:c r="A1287" s="6" t="str">
        <x:v>BLK-1286</x:v>
      </x:c>
      <x:c r="B1287" s="6" t="str">
        <x:v>Labor Reference</x:v>
      </x:c>
      <x:c r="C1287" s="6" t="str">
        <x:v>LABX-0015</x:v>
      </x:c>
      <x:c r="D1287" s="6" t="str">
        <x:v>SVC000015</x:v>
      </x:c>
      <x:c r="E1287" s="6" t="str"/>
      <x:c r="F1287" s="6" t="str">
        <x:f>IFERROR(XLOOKUP(C1287,'Review Sequence'!C2:C1586,'Review Sequence'!I2:I1586),"")</x:f>
        <x:v>Not Started</x:v>
      </x:c>
      <x:c r="G1287" s="6" t="str">
        <x:f>IFERROR(XLOOKUP(C1287,'Review Sequence'!C2:C1586,'Review Sequence'!J2:J1586),"")</x:f>
        <x:v>Not Started</x:v>
      </x:c>
      <x:c r="H1287" s="7" t="str">
        <x:f>IFERROR(XLOOKUP(C1287,'Review Sequence'!C2:C1586,'Review Sequence'!O2:O1586),"")</x:f>
      </x:c>
      <x:c r="I1287" s="6" t="str">
        <x:f>IFERROR(XLOOKUP(C1287,'Review Sequence'!C2:C1586,'Review Sequence'!P2:P1586),"")</x:f>
        <x:v>Yes</x:v>
      </x:c>
    </x:row>
    <x:row r="1288">
      <x:c r="A1288" s="6" t="str">
        <x:v>BLK-1287</x:v>
      </x:c>
      <x:c r="B1288" s="6" t="str">
        <x:v>Labor Reference</x:v>
      </x:c>
      <x:c r="C1288" s="6" t="str">
        <x:v>LABX-0016</x:v>
      </x:c>
      <x:c r="D1288" s="6" t="str">
        <x:v>SVC000016</x:v>
      </x:c>
      <x:c r="E1288" s="6" t="str"/>
      <x:c r="F1288" s="6" t="str">
        <x:f>IFERROR(XLOOKUP(C1288,'Review Sequence'!C2:C1586,'Review Sequence'!I2:I1586),"")</x:f>
        <x:v>Not Started</x:v>
      </x:c>
      <x:c r="G1288" s="6" t="str">
        <x:f>IFERROR(XLOOKUP(C1288,'Review Sequence'!C2:C1586,'Review Sequence'!J2:J1586),"")</x:f>
        <x:v>Not Started</x:v>
      </x:c>
      <x:c r="H1288" s="7" t="str">
        <x:f>IFERROR(XLOOKUP(C1288,'Review Sequence'!C2:C1586,'Review Sequence'!O2:O1586),"")</x:f>
      </x:c>
      <x:c r="I1288" s="6" t="str">
        <x:f>IFERROR(XLOOKUP(C1288,'Review Sequence'!C2:C1586,'Review Sequence'!P2:P1586),"")</x:f>
        <x:v>Yes</x:v>
      </x:c>
    </x:row>
    <x:row r="1289">
      <x:c r="A1289" s="6" t="str">
        <x:v>BLK-1288</x:v>
      </x:c>
      <x:c r="B1289" s="6" t="str">
        <x:v>Labor Reference</x:v>
      </x:c>
      <x:c r="C1289" s="6" t="str">
        <x:v>LABX-0017</x:v>
      </x:c>
      <x:c r="D1289" s="6" t="str">
        <x:v>SVC000017</x:v>
      </x:c>
      <x:c r="E1289" s="6" t="str"/>
      <x:c r="F1289" s="6" t="str">
        <x:f>IFERROR(XLOOKUP(C1289,'Review Sequence'!C2:C1586,'Review Sequence'!I2:I1586),"")</x:f>
        <x:v>Not Started</x:v>
      </x:c>
      <x:c r="G1289" s="6" t="str">
        <x:f>IFERROR(XLOOKUP(C1289,'Review Sequence'!C2:C1586,'Review Sequence'!J2:J1586),"")</x:f>
        <x:v>Not Started</x:v>
      </x:c>
      <x:c r="H1289" s="7" t="str">
        <x:f>IFERROR(XLOOKUP(C1289,'Review Sequence'!C2:C1586,'Review Sequence'!O2:O1586),"")</x:f>
      </x:c>
      <x:c r="I1289" s="6" t="str">
        <x:f>IFERROR(XLOOKUP(C1289,'Review Sequence'!C2:C1586,'Review Sequence'!P2:P1586),"")</x:f>
        <x:v>Yes</x:v>
      </x:c>
    </x:row>
    <x:row r="1290">
      <x:c r="A1290" s="6" t="str">
        <x:v>BLK-1289</x:v>
      </x:c>
      <x:c r="B1290" s="6" t="str">
        <x:v>Labor Reference</x:v>
      </x:c>
      <x:c r="C1290" s="6" t="str">
        <x:v>LABX-0018</x:v>
      </x:c>
      <x:c r="D1290" s="6" t="str">
        <x:v>SVC000018</x:v>
      </x:c>
      <x:c r="E1290" s="6" t="str"/>
      <x:c r="F1290" s="6" t="str">
        <x:f>IFERROR(XLOOKUP(C1290,'Review Sequence'!C2:C1586,'Review Sequence'!I2:I1586),"")</x:f>
        <x:v>Not Started</x:v>
      </x:c>
      <x:c r="G1290" s="6" t="str">
        <x:f>IFERROR(XLOOKUP(C1290,'Review Sequence'!C2:C1586,'Review Sequence'!J2:J1586),"")</x:f>
        <x:v>Not Started</x:v>
      </x:c>
      <x:c r="H1290" s="7" t="str">
        <x:f>IFERROR(XLOOKUP(C1290,'Review Sequence'!C2:C1586,'Review Sequence'!O2:O1586),"")</x:f>
      </x:c>
      <x:c r="I1290" s="6" t="str">
        <x:f>IFERROR(XLOOKUP(C1290,'Review Sequence'!C2:C1586,'Review Sequence'!P2:P1586),"")</x:f>
        <x:v>Yes</x:v>
      </x:c>
    </x:row>
    <x:row r="1291">
      <x:c r="A1291" s="6" t="str">
        <x:v>BLK-1290</x:v>
      </x:c>
      <x:c r="B1291" s="6" t="str">
        <x:v>Labor Reference</x:v>
      </x:c>
      <x:c r="C1291" s="6" t="str">
        <x:v>LABX-0019</x:v>
      </x:c>
      <x:c r="D1291" s="6" t="str">
        <x:v>SVC000019</x:v>
      </x:c>
      <x:c r="E1291" s="6" t="str"/>
      <x:c r="F1291" s="6" t="str">
        <x:f>IFERROR(XLOOKUP(C1291,'Review Sequence'!C2:C1586,'Review Sequence'!I2:I1586),"")</x:f>
        <x:v>Not Started</x:v>
      </x:c>
      <x:c r="G1291" s="6" t="str">
        <x:f>IFERROR(XLOOKUP(C1291,'Review Sequence'!C2:C1586,'Review Sequence'!J2:J1586),"")</x:f>
        <x:v>Not Started</x:v>
      </x:c>
      <x:c r="H1291" s="7" t="str">
        <x:f>IFERROR(XLOOKUP(C1291,'Review Sequence'!C2:C1586,'Review Sequence'!O2:O1586),"")</x:f>
      </x:c>
      <x:c r="I1291" s="6" t="str">
        <x:f>IFERROR(XLOOKUP(C1291,'Review Sequence'!C2:C1586,'Review Sequence'!P2:P1586),"")</x:f>
        <x:v>Yes</x:v>
      </x:c>
    </x:row>
    <x:row r="1292">
      <x:c r="A1292" s="6" t="str">
        <x:v>BLK-1291</x:v>
      </x:c>
      <x:c r="B1292" s="6" t="str">
        <x:v>Labor Reference</x:v>
      </x:c>
      <x:c r="C1292" s="6" t="str">
        <x:v>LABX-0020</x:v>
      </x:c>
      <x:c r="D1292" s="6" t="str">
        <x:v>SVC000020</x:v>
      </x:c>
      <x:c r="E1292" s="6" t="str"/>
      <x:c r="F1292" s="6" t="str">
        <x:f>IFERROR(XLOOKUP(C1292,'Review Sequence'!C2:C1586,'Review Sequence'!I2:I1586),"")</x:f>
        <x:v>Not Started</x:v>
      </x:c>
      <x:c r="G1292" s="6" t="str">
        <x:f>IFERROR(XLOOKUP(C1292,'Review Sequence'!C2:C1586,'Review Sequence'!J2:J1586),"")</x:f>
        <x:v>Not Started</x:v>
      </x:c>
      <x:c r="H1292" s="7" t="str">
        <x:f>IFERROR(XLOOKUP(C1292,'Review Sequence'!C2:C1586,'Review Sequence'!O2:O1586),"")</x:f>
      </x:c>
      <x:c r="I1292" s="6" t="str">
        <x:f>IFERROR(XLOOKUP(C1292,'Review Sequence'!C2:C1586,'Review Sequence'!P2:P1586),"")</x:f>
        <x:v>Yes</x:v>
      </x:c>
    </x:row>
    <x:row r="1293">
      <x:c r="A1293" s="6" t="str">
        <x:v>BLK-1292</x:v>
      </x:c>
      <x:c r="B1293" s="6" t="str">
        <x:v>Labor Reference</x:v>
      </x:c>
      <x:c r="C1293" s="6" t="str">
        <x:v>LABX-0021</x:v>
      </x:c>
      <x:c r="D1293" s="6" t="str">
        <x:v>SVC000021</x:v>
      </x:c>
      <x:c r="E1293" s="6" t="str"/>
      <x:c r="F1293" s="6" t="str">
        <x:f>IFERROR(XLOOKUP(C1293,'Review Sequence'!C2:C1586,'Review Sequence'!I2:I1586),"")</x:f>
        <x:v>Not Started</x:v>
      </x:c>
      <x:c r="G1293" s="6" t="str">
        <x:f>IFERROR(XLOOKUP(C1293,'Review Sequence'!C2:C1586,'Review Sequence'!J2:J1586),"")</x:f>
        <x:v>Not Started</x:v>
      </x:c>
      <x:c r="H1293" s="7" t="str">
        <x:f>IFERROR(XLOOKUP(C1293,'Review Sequence'!C2:C1586,'Review Sequence'!O2:O1586),"")</x:f>
      </x:c>
      <x:c r="I1293" s="6" t="str">
        <x:f>IFERROR(XLOOKUP(C1293,'Review Sequence'!C2:C1586,'Review Sequence'!P2:P1586),"")</x:f>
        <x:v>Yes</x:v>
      </x:c>
    </x:row>
    <x:row r="1294">
      <x:c r="A1294" s="6" t="str">
        <x:v>BLK-1293</x:v>
      </x:c>
      <x:c r="B1294" s="6" t="str">
        <x:v>Labor Reference</x:v>
      </x:c>
      <x:c r="C1294" s="6" t="str">
        <x:v>LABX-0022</x:v>
      </x:c>
      <x:c r="D1294" s="6" t="str">
        <x:v>SVC000022</x:v>
      </x:c>
      <x:c r="E1294" s="6" t="str"/>
      <x:c r="F1294" s="6" t="str">
        <x:f>IFERROR(XLOOKUP(C1294,'Review Sequence'!C2:C1586,'Review Sequence'!I2:I1586),"")</x:f>
        <x:v>Not Started</x:v>
      </x:c>
      <x:c r="G1294" s="6" t="str">
        <x:f>IFERROR(XLOOKUP(C1294,'Review Sequence'!C2:C1586,'Review Sequence'!J2:J1586),"")</x:f>
        <x:v>Not Started</x:v>
      </x:c>
      <x:c r="H1294" s="7" t="str">
        <x:f>IFERROR(XLOOKUP(C1294,'Review Sequence'!C2:C1586,'Review Sequence'!O2:O1586),"")</x:f>
      </x:c>
      <x:c r="I1294" s="6" t="str">
        <x:f>IFERROR(XLOOKUP(C1294,'Review Sequence'!C2:C1586,'Review Sequence'!P2:P1586),"")</x:f>
        <x:v>Yes</x:v>
      </x:c>
    </x:row>
    <x:row r="1295">
      <x:c r="A1295" s="6" t="str">
        <x:v>BLK-1294</x:v>
      </x:c>
      <x:c r="B1295" s="6" t="str">
        <x:v>Labor Reference</x:v>
      </x:c>
      <x:c r="C1295" s="6" t="str">
        <x:v>LABX-0023</x:v>
      </x:c>
      <x:c r="D1295" s="6" t="str">
        <x:v>SVC000023</x:v>
      </x:c>
      <x:c r="E1295" s="6" t="str"/>
      <x:c r="F1295" s="6" t="str">
        <x:f>IFERROR(XLOOKUP(C1295,'Review Sequence'!C2:C1586,'Review Sequence'!I2:I1586),"")</x:f>
        <x:v>Not Started</x:v>
      </x:c>
      <x:c r="G1295" s="6" t="str">
        <x:f>IFERROR(XLOOKUP(C1295,'Review Sequence'!C2:C1586,'Review Sequence'!J2:J1586),"")</x:f>
        <x:v>Not Started</x:v>
      </x:c>
      <x:c r="H1295" s="7" t="str">
        <x:f>IFERROR(XLOOKUP(C1295,'Review Sequence'!C2:C1586,'Review Sequence'!O2:O1586),"")</x:f>
      </x:c>
      <x:c r="I1295" s="6" t="str">
        <x:f>IFERROR(XLOOKUP(C1295,'Review Sequence'!C2:C1586,'Review Sequence'!P2:P1586),"")</x:f>
        <x:v>Yes</x:v>
      </x:c>
    </x:row>
    <x:row r="1296">
      <x:c r="A1296" s="6" t="str">
        <x:v>BLK-1295</x:v>
      </x:c>
      <x:c r="B1296" s="6" t="str">
        <x:v>Labor Reference</x:v>
      </x:c>
      <x:c r="C1296" s="6" t="str">
        <x:v>LABX-0024</x:v>
      </x:c>
      <x:c r="D1296" s="6" t="str">
        <x:v>SVC000024</x:v>
      </x:c>
      <x:c r="E1296" s="6" t="str"/>
      <x:c r="F1296" s="6" t="str">
        <x:f>IFERROR(XLOOKUP(C1296,'Review Sequence'!C2:C1586,'Review Sequence'!I2:I1586),"")</x:f>
        <x:v>Not Started</x:v>
      </x:c>
      <x:c r="G1296" s="6" t="str">
        <x:f>IFERROR(XLOOKUP(C1296,'Review Sequence'!C2:C1586,'Review Sequence'!J2:J1586),"")</x:f>
        <x:v>Not Started</x:v>
      </x:c>
      <x:c r="H1296" s="7" t="str">
        <x:f>IFERROR(XLOOKUP(C1296,'Review Sequence'!C2:C1586,'Review Sequence'!O2:O1586),"")</x:f>
      </x:c>
      <x:c r="I1296" s="6" t="str">
        <x:f>IFERROR(XLOOKUP(C1296,'Review Sequence'!C2:C1586,'Review Sequence'!P2:P1586),"")</x:f>
        <x:v>Yes</x:v>
      </x:c>
    </x:row>
    <x:row r="1297">
      <x:c r="A1297" s="6" t="str">
        <x:v>BLK-1296</x:v>
      </x:c>
      <x:c r="B1297" s="6" t="str">
        <x:v>Labor Reference</x:v>
      </x:c>
      <x:c r="C1297" s="6" t="str">
        <x:v>LABX-0025</x:v>
      </x:c>
      <x:c r="D1297" s="6" t="str">
        <x:v>SVC000025</x:v>
      </x:c>
      <x:c r="E1297" s="6" t="str"/>
      <x:c r="F1297" s="6" t="str">
        <x:f>IFERROR(XLOOKUP(C1297,'Review Sequence'!C2:C1586,'Review Sequence'!I2:I1586),"")</x:f>
        <x:v>Not Started</x:v>
      </x:c>
      <x:c r="G1297" s="6" t="str">
        <x:f>IFERROR(XLOOKUP(C1297,'Review Sequence'!C2:C1586,'Review Sequence'!J2:J1586),"")</x:f>
        <x:v>Not Started</x:v>
      </x:c>
      <x:c r="H1297" s="7" t="str">
        <x:f>IFERROR(XLOOKUP(C1297,'Review Sequence'!C2:C1586,'Review Sequence'!O2:O1586),"")</x:f>
      </x:c>
      <x:c r="I1297" s="6" t="str">
        <x:f>IFERROR(XLOOKUP(C1297,'Review Sequence'!C2:C1586,'Review Sequence'!P2:P1586),"")</x:f>
        <x:v>Yes</x:v>
      </x:c>
    </x:row>
    <x:row r="1298">
      <x:c r="A1298" s="6" t="str">
        <x:v>BLK-1297</x:v>
      </x:c>
      <x:c r="B1298" s="6" t="str">
        <x:v>Labor Reference</x:v>
      </x:c>
      <x:c r="C1298" s="6" t="str">
        <x:v>LABX-0026</x:v>
      </x:c>
      <x:c r="D1298" s="6" t="str">
        <x:v>SVC000026</x:v>
      </x:c>
      <x:c r="E1298" s="6" t="str"/>
      <x:c r="F1298" s="6" t="str">
        <x:f>IFERROR(XLOOKUP(C1298,'Review Sequence'!C2:C1586,'Review Sequence'!I2:I1586),"")</x:f>
        <x:v>Not Started</x:v>
      </x:c>
      <x:c r="G1298" s="6" t="str">
        <x:f>IFERROR(XLOOKUP(C1298,'Review Sequence'!C2:C1586,'Review Sequence'!J2:J1586),"")</x:f>
        <x:v>Not Started</x:v>
      </x:c>
      <x:c r="H1298" s="7" t="str">
        <x:f>IFERROR(XLOOKUP(C1298,'Review Sequence'!C2:C1586,'Review Sequence'!O2:O1586),"")</x:f>
      </x:c>
      <x:c r="I1298" s="6" t="str">
        <x:f>IFERROR(XLOOKUP(C1298,'Review Sequence'!C2:C1586,'Review Sequence'!P2:P1586),"")</x:f>
        <x:v>Yes</x:v>
      </x:c>
    </x:row>
    <x:row r="1299">
      <x:c r="A1299" s="6" t="str">
        <x:v>BLK-1298</x:v>
      </x:c>
      <x:c r="B1299" s="6" t="str">
        <x:v>Labor Reference</x:v>
      </x:c>
      <x:c r="C1299" s="6" t="str">
        <x:v>LABX-0027</x:v>
      </x:c>
      <x:c r="D1299" s="6" t="str">
        <x:v>SVC000027</x:v>
      </x:c>
      <x:c r="E1299" s="6" t="str"/>
      <x:c r="F1299" s="6" t="str">
        <x:f>IFERROR(XLOOKUP(C1299,'Review Sequence'!C2:C1586,'Review Sequence'!I2:I1586),"")</x:f>
        <x:v>Not Started</x:v>
      </x:c>
      <x:c r="G1299" s="6" t="str">
        <x:f>IFERROR(XLOOKUP(C1299,'Review Sequence'!C2:C1586,'Review Sequence'!J2:J1586),"")</x:f>
        <x:v>Not Started</x:v>
      </x:c>
      <x:c r="H1299" s="7" t="str">
        <x:f>IFERROR(XLOOKUP(C1299,'Review Sequence'!C2:C1586,'Review Sequence'!O2:O1586),"")</x:f>
      </x:c>
      <x:c r="I1299" s="6" t="str">
        <x:f>IFERROR(XLOOKUP(C1299,'Review Sequence'!C2:C1586,'Review Sequence'!P2:P1586),"")</x:f>
        <x:v>Yes</x:v>
      </x:c>
    </x:row>
    <x:row r="1300">
      <x:c r="A1300" s="6" t="str">
        <x:v>BLK-1299</x:v>
      </x:c>
      <x:c r="B1300" s="6" t="str">
        <x:v>Labor Reference</x:v>
      </x:c>
      <x:c r="C1300" s="6" t="str">
        <x:v>LABX-0028</x:v>
      </x:c>
      <x:c r="D1300" s="6" t="str">
        <x:v>SVC000028</x:v>
      </x:c>
      <x:c r="E1300" s="6" t="str"/>
      <x:c r="F1300" s="6" t="str">
        <x:f>IFERROR(XLOOKUP(C1300,'Review Sequence'!C2:C1586,'Review Sequence'!I2:I1586),"")</x:f>
        <x:v>Not Started</x:v>
      </x:c>
      <x:c r="G1300" s="6" t="str">
        <x:f>IFERROR(XLOOKUP(C1300,'Review Sequence'!C2:C1586,'Review Sequence'!J2:J1586),"")</x:f>
        <x:v>Not Started</x:v>
      </x:c>
      <x:c r="H1300" s="7" t="str">
        <x:f>IFERROR(XLOOKUP(C1300,'Review Sequence'!C2:C1586,'Review Sequence'!O2:O1586),"")</x:f>
      </x:c>
      <x:c r="I1300" s="6" t="str">
        <x:f>IFERROR(XLOOKUP(C1300,'Review Sequence'!C2:C1586,'Review Sequence'!P2:P1586),"")</x:f>
        <x:v>Yes</x:v>
      </x:c>
    </x:row>
    <x:row r="1301">
      <x:c r="A1301" s="6" t="str">
        <x:v>BLK-1300</x:v>
      </x:c>
      <x:c r="B1301" s="6" t="str">
        <x:v>Labor Reference</x:v>
      </x:c>
      <x:c r="C1301" s="6" t="str">
        <x:v>LABX-0029</x:v>
      </x:c>
      <x:c r="D1301" s="6" t="str">
        <x:v>SVC000029</x:v>
      </x:c>
      <x:c r="E1301" s="6" t="str"/>
      <x:c r="F1301" s="6" t="str">
        <x:f>IFERROR(XLOOKUP(C1301,'Review Sequence'!C2:C1586,'Review Sequence'!I2:I1586),"")</x:f>
        <x:v>Not Started</x:v>
      </x:c>
      <x:c r="G1301" s="6" t="str">
        <x:f>IFERROR(XLOOKUP(C1301,'Review Sequence'!C2:C1586,'Review Sequence'!J2:J1586),"")</x:f>
        <x:v>Not Started</x:v>
      </x:c>
      <x:c r="H1301" s="7" t="str">
        <x:f>IFERROR(XLOOKUP(C1301,'Review Sequence'!C2:C1586,'Review Sequence'!O2:O1586),"")</x:f>
      </x:c>
      <x:c r="I1301" s="6" t="str">
        <x:f>IFERROR(XLOOKUP(C1301,'Review Sequence'!C2:C1586,'Review Sequence'!P2:P1586),"")</x:f>
        <x:v>Yes</x:v>
      </x:c>
    </x:row>
    <x:row r="1302">
      <x:c r="A1302" s="6" t="str">
        <x:v>BLK-1301</x:v>
      </x:c>
      <x:c r="B1302" s="6" t="str">
        <x:v>Labor Reference</x:v>
      </x:c>
      <x:c r="C1302" s="6" t="str">
        <x:v>LABX-0030</x:v>
      </x:c>
      <x:c r="D1302" s="6" t="str">
        <x:v>SVC000030</x:v>
      </x:c>
      <x:c r="E1302" s="6" t="str"/>
      <x:c r="F1302" s="6" t="str">
        <x:f>IFERROR(XLOOKUP(C1302,'Review Sequence'!C2:C1586,'Review Sequence'!I2:I1586),"")</x:f>
        <x:v>Not Started</x:v>
      </x:c>
      <x:c r="G1302" s="6" t="str">
        <x:f>IFERROR(XLOOKUP(C1302,'Review Sequence'!C2:C1586,'Review Sequence'!J2:J1586),"")</x:f>
        <x:v>Not Started</x:v>
      </x:c>
      <x:c r="H1302" s="7" t="str">
        <x:f>IFERROR(XLOOKUP(C1302,'Review Sequence'!C2:C1586,'Review Sequence'!O2:O1586),"")</x:f>
      </x:c>
      <x:c r="I1302" s="6" t="str">
        <x:f>IFERROR(XLOOKUP(C1302,'Review Sequence'!C2:C1586,'Review Sequence'!P2:P1586),"")</x:f>
        <x:v>Yes</x:v>
      </x:c>
    </x:row>
    <x:row r="1303">
      <x:c r="A1303" s="6" t="str">
        <x:v>BLK-1302</x:v>
      </x:c>
      <x:c r="B1303" s="6" t="str">
        <x:v>Labor Reference</x:v>
      </x:c>
      <x:c r="C1303" s="6" t="str">
        <x:v>LABX-0031</x:v>
      </x:c>
      <x:c r="D1303" s="6" t="str">
        <x:v>SVC000031</x:v>
      </x:c>
      <x:c r="E1303" s="6" t="str"/>
      <x:c r="F1303" s="6" t="str">
        <x:f>IFERROR(XLOOKUP(C1303,'Review Sequence'!C2:C1586,'Review Sequence'!I2:I1586),"")</x:f>
        <x:v>Not Started</x:v>
      </x:c>
      <x:c r="G1303" s="6" t="str">
        <x:f>IFERROR(XLOOKUP(C1303,'Review Sequence'!C2:C1586,'Review Sequence'!J2:J1586),"")</x:f>
        <x:v>Not Started</x:v>
      </x:c>
      <x:c r="H1303" s="7" t="str">
        <x:f>IFERROR(XLOOKUP(C1303,'Review Sequence'!C2:C1586,'Review Sequence'!O2:O1586),"")</x:f>
      </x:c>
      <x:c r="I1303" s="6" t="str">
        <x:f>IFERROR(XLOOKUP(C1303,'Review Sequence'!C2:C1586,'Review Sequence'!P2:P1586),"")</x:f>
        <x:v>Yes</x:v>
      </x:c>
    </x:row>
    <x:row r="1304">
      <x:c r="A1304" s="6" t="str">
        <x:v>BLK-1303</x:v>
      </x:c>
      <x:c r="B1304" s="6" t="str">
        <x:v>Labor Reference</x:v>
      </x:c>
      <x:c r="C1304" s="6" t="str">
        <x:v>LABX-0032</x:v>
      </x:c>
      <x:c r="D1304" s="6" t="str">
        <x:v>SVC000032</x:v>
      </x:c>
      <x:c r="E1304" s="6" t="str"/>
      <x:c r="F1304" s="6" t="str">
        <x:f>IFERROR(XLOOKUP(C1304,'Review Sequence'!C2:C1586,'Review Sequence'!I2:I1586),"")</x:f>
        <x:v>Not Started</x:v>
      </x:c>
      <x:c r="G1304" s="6" t="str">
        <x:f>IFERROR(XLOOKUP(C1304,'Review Sequence'!C2:C1586,'Review Sequence'!J2:J1586),"")</x:f>
        <x:v>Not Started</x:v>
      </x:c>
      <x:c r="H1304" s="7" t="str">
        <x:f>IFERROR(XLOOKUP(C1304,'Review Sequence'!C2:C1586,'Review Sequence'!O2:O1586),"")</x:f>
      </x:c>
      <x:c r="I1304" s="6" t="str">
        <x:f>IFERROR(XLOOKUP(C1304,'Review Sequence'!C2:C1586,'Review Sequence'!P2:P1586),"")</x:f>
        <x:v>Yes</x:v>
      </x:c>
    </x:row>
    <x:row r="1305">
      <x:c r="A1305" s="6" t="str">
        <x:v>BLK-1304</x:v>
      </x:c>
      <x:c r="B1305" s="6" t="str">
        <x:v>Labor Reference</x:v>
      </x:c>
      <x:c r="C1305" s="6" t="str">
        <x:v>LABX-0033</x:v>
      </x:c>
      <x:c r="D1305" s="6" t="str">
        <x:v>SVC000033</x:v>
      </x:c>
      <x:c r="E1305" s="6" t="str"/>
      <x:c r="F1305" s="6" t="str">
        <x:f>IFERROR(XLOOKUP(C1305,'Review Sequence'!C2:C1586,'Review Sequence'!I2:I1586),"")</x:f>
        <x:v>Not Started</x:v>
      </x:c>
      <x:c r="G1305" s="6" t="str">
        <x:f>IFERROR(XLOOKUP(C1305,'Review Sequence'!C2:C1586,'Review Sequence'!J2:J1586),"")</x:f>
        <x:v>Not Started</x:v>
      </x:c>
      <x:c r="H1305" s="7" t="str">
        <x:f>IFERROR(XLOOKUP(C1305,'Review Sequence'!C2:C1586,'Review Sequence'!O2:O1586),"")</x:f>
      </x:c>
      <x:c r="I1305" s="6" t="str">
        <x:f>IFERROR(XLOOKUP(C1305,'Review Sequence'!C2:C1586,'Review Sequence'!P2:P1586),"")</x:f>
        <x:v>Yes</x:v>
      </x:c>
    </x:row>
    <x:row r="1306">
      <x:c r="A1306" s="6" t="str">
        <x:v>BLK-1305</x:v>
      </x:c>
      <x:c r="B1306" s="6" t="str">
        <x:v>Labor Reference</x:v>
      </x:c>
      <x:c r="C1306" s="6" t="str">
        <x:v>LABX-0034</x:v>
      </x:c>
      <x:c r="D1306" s="6" t="str">
        <x:v>SVC000034</x:v>
      </x:c>
      <x:c r="E1306" s="6" t="str"/>
      <x:c r="F1306" s="6" t="str">
        <x:f>IFERROR(XLOOKUP(C1306,'Review Sequence'!C2:C1586,'Review Sequence'!I2:I1586),"")</x:f>
        <x:v>Not Started</x:v>
      </x:c>
      <x:c r="G1306" s="6" t="str">
        <x:f>IFERROR(XLOOKUP(C1306,'Review Sequence'!C2:C1586,'Review Sequence'!J2:J1586),"")</x:f>
        <x:v>Not Started</x:v>
      </x:c>
      <x:c r="H1306" s="7" t="str">
        <x:f>IFERROR(XLOOKUP(C1306,'Review Sequence'!C2:C1586,'Review Sequence'!O2:O1586),"")</x:f>
      </x:c>
      <x:c r="I1306" s="6" t="str">
        <x:f>IFERROR(XLOOKUP(C1306,'Review Sequence'!C2:C1586,'Review Sequence'!P2:P1586),"")</x:f>
        <x:v>Yes</x:v>
      </x:c>
    </x:row>
    <x:row r="1307">
      <x:c r="A1307" s="6" t="str">
        <x:v>BLK-1306</x:v>
      </x:c>
      <x:c r="B1307" s="6" t="str">
        <x:v>Labor Reference</x:v>
      </x:c>
      <x:c r="C1307" s="6" t="str">
        <x:v>LABX-0035</x:v>
      </x:c>
      <x:c r="D1307" s="6" t="str">
        <x:v>SVC000035</x:v>
      </x:c>
      <x:c r="E1307" s="6" t="str"/>
      <x:c r="F1307" s="6" t="str">
        <x:f>IFERROR(XLOOKUP(C1307,'Review Sequence'!C2:C1586,'Review Sequence'!I2:I1586),"")</x:f>
        <x:v>Not Started</x:v>
      </x:c>
      <x:c r="G1307" s="6" t="str">
        <x:f>IFERROR(XLOOKUP(C1307,'Review Sequence'!C2:C1586,'Review Sequence'!J2:J1586),"")</x:f>
        <x:v>Not Started</x:v>
      </x:c>
      <x:c r="H1307" s="7" t="str">
        <x:f>IFERROR(XLOOKUP(C1307,'Review Sequence'!C2:C1586,'Review Sequence'!O2:O1586),"")</x:f>
      </x:c>
      <x:c r="I1307" s="6" t="str">
        <x:f>IFERROR(XLOOKUP(C1307,'Review Sequence'!C2:C1586,'Review Sequence'!P2:P1586),"")</x:f>
        <x:v>Yes</x:v>
      </x:c>
    </x:row>
    <x:row r="1308">
      <x:c r="A1308" s="6" t="str">
        <x:v>BLK-1307</x:v>
      </x:c>
      <x:c r="B1308" s="6" t="str">
        <x:v>Labor Reference</x:v>
      </x:c>
      <x:c r="C1308" s="6" t="str">
        <x:v>LABX-0036</x:v>
      </x:c>
      <x:c r="D1308" s="6" t="str">
        <x:v>SVC000036</x:v>
      </x:c>
      <x:c r="E1308" s="6" t="str"/>
      <x:c r="F1308" s="6" t="str">
        <x:f>IFERROR(XLOOKUP(C1308,'Review Sequence'!C2:C1586,'Review Sequence'!I2:I1586),"")</x:f>
        <x:v>Not Started</x:v>
      </x:c>
      <x:c r="G1308" s="6" t="str">
        <x:f>IFERROR(XLOOKUP(C1308,'Review Sequence'!C2:C1586,'Review Sequence'!J2:J1586),"")</x:f>
        <x:v>Not Started</x:v>
      </x:c>
      <x:c r="H1308" s="7" t="str">
        <x:f>IFERROR(XLOOKUP(C1308,'Review Sequence'!C2:C1586,'Review Sequence'!O2:O1586),"")</x:f>
      </x:c>
      <x:c r="I1308" s="6" t="str">
        <x:f>IFERROR(XLOOKUP(C1308,'Review Sequence'!C2:C1586,'Review Sequence'!P2:P1586),"")</x:f>
        <x:v>Yes</x:v>
      </x:c>
    </x:row>
    <x:row r="1309">
      <x:c r="A1309" s="6" t="str">
        <x:v>BLK-1308</x:v>
      </x:c>
      <x:c r="B1309" s="6" t="str">
        <x:v>Labor Reference</x:v>
      </x:c>
      <x:c r="C1309" s="6" t="str">
        <x:v>LABX-0037</x:v>
      </x:c>
      <x:c r="D1309" s="6" t="str">
        <x:v>SVC000037</x:v>
      </x:c>
      <x:c r="E1309" s="6" t="str"/>
      <x:c r="F1309" s="6" t="str">
        <x:f>IFERROR(XLOOKUP(C1309,'Review Sequence'!C2:C1586,'Review Sequence'!I2:I1586),"")</x:f>
        <x:v>Not Started</x:v>
      </x:c>
      <x:c r="G1309" s="6" t="str">
        <x:f>IFERROR(XLOOKUP(C1309,'Review Sequence'!C2:C1586,'Review Sequence'!J2:J1586),"")</x:f>
        <x:v>Not Started</x:v>
      </x:c>
      <x:c r="H1309" s="7" t="str">
        <x:f>IFERROR(XLOOKUP(C1309,'Review Sequence'!C2:C1586,'Review Sequence'!O2:O1586),"")</x:f>
      </x:c>
      <x:c r="I1309" s="6" t="str">
        <x:f>IFERROR(XLOOKUP(C1309,'Review Sequence'!C2:C1586,'Review Sequence'!P2:P1586),"")</x:f>
        <x:v>Yes</x:v>
      </x:c>
    </x:row>
    <x:row r="1310">
      <x:c r="A1310" s="6" t="str">
        <x:v>BLK-1309</x:v>
      </x:c>
      <x:c r="B1310" s="6" t="str">
        <x:v>Labor Reference</x:v>
      </x:c>
      <x:c r="C1310" s="6" t="str">
        <x:v>LABX-0038</x:v>
      </x:c>
      <x:c r="D1310" s="6" t="str">
        <x:v>SVC000038</x:v>
      </x:c>
      <x:c r="E1310" s="6" t="str"/>
      <x:c r="F1310" s="6" t="str">
        <x:f>IFERROR(XLOOKUP(C1310,'Review Sequence'!C2:C1586,'Review Sequence'!I2:I1586),"")</x:f>
        <x:v>Not Started</x:v>
      </x:c>
      <x:c r="G1310" s="6" t="str">
        <x:f>IFERROR(XLOOKUP(C1310,'Review Sequence'!C2:C1586,'Review Sequence'!J2:J1586),"")</x:f>
        <x:v>Not Started</x:v>
      </x:c>
      <x:c r="H1310" s="7" t="str">
        <x:f>IFERROR(XLOOKUP(C1310,'Review Sequence'!C2:C1586,'Review Sequence'!O2:O1586),"")</x:f>
      </x:c>
      <x:c r="I1310" s="6" t="str">
        <x:f>IFERROR(XLOOKUP(C1310,'Review Sequence'!C2:C1586,'Review Sequence'!P2:P1586),"")</x:f>
        <x:v>Yes</x:v>
      </x:c>
    </x:row>
    <x:row r="1311">
      <x:c r="A1311" s="6" t="str">
        <x:v>BLK-1310</x:v>
      </x:c>
      <x:c r="B1311" s="6" t="str">
        <x:v>Labor Reference</x:v>
      </x:c>
      <x:c r="C1311" s="6" t="str">
        <x:v>LABX-0039</x:v>
      </x:c>
      <x:c r="D1311" s="6" t="str">
        <x:v>SVC000039</x:v>
      </x:c>
      <x:c r="E1311" s="6" t="str"/>
      <x:c r="F1311" s="6" t="str">
        <x:f>IFERROR(XLOOKUP(C1311,'Review Sequence'!C2:C1586,'Review Sequence'!I2:I1586),"")</x:f>
        <x:v>Not Started</x:v>
      </x:c>
      <x:c r="G1311" s="6" t="str">
        <x:f>IFERROR(XLOOKUP(C1311,'Review Sequence'!C2:C1586,'Review Sequence'!J2:J1586),"")</x:f>
        <x:v>Not Started</x:v>
      </x:c>
      <x:c r="H1311" s="7" t="str">
        <x:f>IFERROR(XLOOKUP(C1311,'Review Sequence'!C2:C1586,'Review Sequence'!O2:O1586),"")</x:f>
      </x:c>
      <x:c r="I1311" s="6" t="str">
        <x:f>IFERROR(XLOOKUP(C1311,'Review Sequence'!C2:C1586,'Review Sequence'!P2:P1586),"")</x:f>
        <x:v>Yes</x:v>
      </x:c>
    </x:row>
    <x:row r="1312">
      <x:c r="A1312" s="6" t="str">
        <x:v>BLK-1311</x:v>
      </x:c>
      <x:c r="B1312" s="6" t="str">
        <x:v>Labor Reference</x:v>
      </x:c>
      <x:c r="C1312" s="6" t="str">
        <x:v>LABX-0040</x:v>
      </x:c>
      <x:c r="D1312" s="6" t="str">
        <x:v>SVC000040</x:v>
      </x:c>
      <x:c r="E1312" s="6" t="str"/>
      <x:c r="F1312" s="6" t="str">
        <x:f>IFERROR(XLOOKUP(C1312,'Review Sequence'!C2:C1586,'Review Sequence'!I2:I1586),"")</x:f>
        <x:v>Not Started</x:v>
      </x:c>
      <x:c r="G1312" s="6" t="str">
        <x:f>IFERROR(XLOOKUP(C1312,'Review Sequence'!C2:C1586,'Review Sequence'!J2:J1586),"")</x:f>
        <x:v>Not Started</x:v>
      </x:c>
      <x:c r="H1312" s="7" t="str">
        <x:f>IFERROR(XLOOKUP(C1312,'Review Sequence'!C2:C1586,'Review Sequence'!O2:O1586),"")</x:f>
      </x:c>
      <x:c r="I1312" s="6" t="str">
        <x:f>IFERROR(XLOOKUP(C1312,'Review Sequence'!C2:C1586,'Review Sequence'!P2:P1586),"")</x:f>
        <x:v>Yes</x:v>
      </x:c>
    </x:row>
    <x:row r="1313">
      <x:c r="A1313" s="6" t="str">
        <x:v>BLK-1312</x:v>
      </x:c>
      <x:c r="B1313" s="6" t="str">
        <x:v>Labor Reference</x:v>
      </x:c>
      <x:c r="C1313" s="6" t="str">
        <x:v>LABX-0041</x:v>
      </x:c>
      <x:c r="D1313" s="6" t="str">
        <x:v>SVC000041</x:v>
      </x:c>
      <x:c r="E1313" s="6" t="str"/>
      <x:c r="F1313" s="6" t="str">
        <x:f>IFERROR(XLOOKUP(C1313,'Review Sequence'!C2:C1586,'Review Sequence'!I2:I1586),"")</x:f>
        <x:v>Not Started</x:v>
      </x:c>
      <x:c r="G1313" s="6" t="str">
        <x:f>IFERROR(XLOOKUP(C1313,'Review Sequence'!C2:C1586,'Review Sequence'!J2:J1586),"")</x:f>
        <x:v>Not Started</x:v>
      </x:c>
      <x:c r="H1313" s="7" t="str">
        <x:f>IFERROR(XLOOKUP(C1313,'Review Sequence'!C2:C1586,'Review Sequence'!O2:O1586),"")</x:f>
      </x:c>
      <x:c r="I1313" s="6" t="str">
        <x:f>IFERROR(XLOOKUP(C1313,'Review Sequence'!C2:C1586,'Review Sequence'!P2:P1586),"")</x:f>
        <x:v>Yes</x:v>
      </x:c>
    </x:row>
    <x:row r="1314">
      <x:c r="A1314" s="6" t="str">
        <x:v>BLK-1313</x:v>
      </x:c>
      <x:c r="B1314" s="6" t="str">
        <x:v>Labor Reference</x:v>
      </x:c>
      <x:c r="C1314" s="6" t="str">
        <x:v>LABX-0042</x:v>
      </x:c>
      <x:c r="D1314" s="6" t="str">
        <x:v>SVC000042</x:v>
      </x:c>
      <x:c r="E1314" s="6" t="str"/>
      <x:c r="F1314" s="6" t="str">
        <x:f>IFERROR(XLOOKUP(C1314,'Review Sequence'!C2:C1586,'Review Sequence'!I2:I1586),"")</x:f>
        <x:v>Not Started</x:v>
      </x:c>
      <x:c r="G1314" s="6" t="str">
        <x:f>IFERROR(XLOOKUP(C1314,'Review Sequence'!C2:C1586,'Review Sequence'!J2:J1586),"")</x:f>
        <x:v>Not Started</x:v>
      </x:c>
      <x:c r="H1314" s="7" t="str">
        <x:f>IFERROR(XLOOKUP(C1314,'Review Sequence'!C2:C1586,'Review Sequence'!O2:O1586),"")</x:f>
      </x:c>
      <x:c r="I1314" s="6" t="str">
        <x:f>IFERROR(XLOOKUP(C1314,'Review Sequence'!C2:C1586,'Review Sequence'!P2:P1586),"")</x:f>
        <x:v>Yes</x:v>
      </x:c>
    </x:row>
    <x:row r="1315">
      <x:c r="A1315" s="6" t="str">
        <x:v>BLK-1314</x:v>
      </x:c>
      <x:c r="B1315" s="6" t="str">
        <x:v>Labor Reference</x:v>
      </x:c>
      <x:c r="C1315" s="6" t="str">
        <x:v>LABX-0043</x:v>
      </x:c>
      <x:c r="D1315" s="6" t="str">
        <x:v>SVC000043</x:v>
      </x:c>
      <x:c r="E1315" s="6" t="str"/>
      <x:c r="F1315" s="6" t="str">
        <x:f>IFERROR(XLOOKUP(C1315,'Review Sequence'!C2:C1586,'Review Sequence'!I2:I1586),"")</x:f>
        <x:v>Not Started</x:v>
      </x:c>
      <x:c r="G1315" s="6" t="str">
        <x:f>IFERROR(XLOOKUP(C1315,'Review Sequence'!C2:C1586,'Review Sequence'!J2:J1586),"")</x:f>
        <x:v>Not Started</x:v>
      </x:c>
      <x:c r="H1315" s="7" t="str">
        <x:f>IFERROR(XLOOKUP(C1315,'Review Sequence'!C2:C1586,'Review Sequence'!O2:O1586),"")</x:f>
      </x:c>
      <x:c r="I1315" s="6" t="str">
        <x:f>IFERROR(XLOOKUP(C1315,'Review Sequence'!C2:C1586,'Review Sequence'!P2:P1586),"")</x:f>
        <x:v>Yes</x:v>
      </x:c>
    </x:row>
    <x:row r="1316">
      <x:c r="A1316" s="6" t="str">
        <x:v>BLK-1315</x:v>
      </x:c>
      <x:c r="B1316" s="6" t="str">
        <x:v>Labor Reference</x:v>
      </x:c>
      <x:c r="C1316" s="6" t="str">
        <x:v>LABX-0044</x:v>
      </x:c>
      <x:c r="D1316" s="6" t="str">
        <x:v>SVC000044</x:v>
      </x:c>
      <x:c r="E1316" s="6" t="str"/>
      <x:c r="F1316" s="6" t="str">
        <x:f>IFERROR(XLOOKUP(C1316,'Review Sequence'!C2:C1586,'Review Sequence'!I2:I1586),"")</x:f>
        <x:v>Not Started</x:v>
      </x:c>
      <x:c r="G1316" s="6" t="str">
        <x:f>IFERROR(XLOOKUP(C1316,'Review Sequence'!C2:C1586,'Review Sequence'!J2:J1586),"")</x:f>
        <x:v>Not Started</x:v>
      </x:c>
      <x:c r="H1316" s="7" t="str">
        <x:f>IFERROR(XLOOKUP(C1316,'Review Sequence'!C2:C1586,'Review Sequence'!O2:O1586),"")</x:f>
      </x:c>
      <x:c r="I1316" s="6" t="str">
        <x:f>IFERROR(XLOOKUP(C1316,'Review Sequence'!C2:C1586,'Review Sequence'!P2:P1586),"")</x:f>
        <x:v>Yes</x:v>
      </x:c>
    </x:row>
    <x:row r="1317">
      <x:c r="A1317" s="6" t="str">
        <x:v>BLK-1316</x:v>
      </x:c>
      <x:c r="B1317" s="6" t="str">
        <x:v>Labor Reference</x:v>
      </x:c>
      <x:c r="C1317" s="6" t="str">
        <x:v>LABX-0045</x:v>
      </x:c>
      <x:c r="D1317" s="6" t="str">
        <x:v>SVC000045</x:v>
      </x:c>
      <x:c r="E1317" s="6" t="str"/>
      <x:c r="F1317" s="6" t="str">
        <x:f>IFERROR(XLOOKUP(C1317,'Review Sequence'!C2:C1586,'Review Sequence'!I2:I1586),"")</x:f>
        <x:v>Not Started</x:v>
      </x:c>
      <x:c r="G1317" s="6" t="str">
        <x:f>IFERROR(XLOOKUP(C1317,'Review Sequence'!C2:C1586,'Review Sequence'!J2:J1586),"")</x:f>
        <x:v>Not Started</x:v>
      </x:c>
      <x:c r="H1317" s="7" t="str">
        <x:f>IFERROR(XLOOKUP(C1317,'Review Sequence'!C2:C1586,'Review Sequence'!O2:O1586),"")</x:f>
      </x:c>
      <x:c r="I1317" s="6" t="str">
        <x:f>IFERROR(XLOOKUP(C1317,'Review Sequence'!C2:C1586,'Review Sequence'!P2:P1586),"")</x:f>
        <x:v>Yes</x:v>
      </x:c>
    </x:row>
    <x:row r="1318">
      <x:c r="A1318" s="6" t="str">
        <x:v>BLK-1317</x:v>
      </x:c>
      <x:c r="B1318" s="6" t="str">
        <x:v>Labor Reference</x:v>
      </x:c>
      <x:c r="C1318" s="6" t="str">
        <x:v>LABX-0046</x:v>
      </x:c>
      <x:c r="D1318" s="6" t="str">
        <x:v>SVC000046</x:v>
      </x:c>
      <x:c r="E1318" s="6" t="str"/>
      <x:c r="F1318" s="6" t="str">
        <x:f>IFERROR(XLOOKUP(C1318,'Review Sequence'!C2:C1586,'Review Sequence'!I2:I1586),"")</x:f>
        <x:v>Not Started</x:v>
      </x:c>
      <x:c r="G1318" s="6" t="str">
        <x:f>IFERROR(XLOOKUP(C1318,'Review Sequence'!C2:C1586,'Review Sequence'!J2:J1586),"")</x:f>
        <x:v>Not Started</x:v>
      </x:c>
      <x:c r="H1318" s="7" t="str">
        <x:f>IFERROR(XLOOKUP(C1318,'Review Sequence'!C2:C1586,'Review Sequence'!O2:O1586),"")</x:f>
      </x:c>
      <x:c r="I1318" s="6" t="str">
        <x:f>IFERROR(XLOOKUP(C1318,'Review Sequence'!C2:C1586,'Review Sequence'!P2:P1586),"")</x:f>
        <x:v>Yes</x:v>
      </x:c>
    </x:row>
    <x:row r="1319">
      <x:c r="A1319" s="6" t="str">
        <x:v>BLK-1318</x:v>
      </x:c>
      <x:c r="B1319" s="6" t="str">
        <x:v>Labor Reference</x:v>
      </x:c>
      <x:c r="C1319" s="6" t="str">
        <x:v>LABX-0047</x:v>
      </x:c>
      <x:c r="D1319" s="6" t="str">
        <x:v>SVC000047</x:v>
      </x:c>
      <x:c r="E1319" s="6" t="str"/>
      <x:c r="F1319" s="6" t="str">
        <x:f>IFERROR(XLOOKUP(C1319,'Review Sequence'!C2:C1586,'Review Sequence'!I2:I1586),"")</x:f>
        <x:v>Not Started</x:v>
      </x:c>
      <x:c r="G1319" s="6" t="str">
        <x:f>IFERROR(XLOOKUP(C1319,'Review Sequence'!C2:C1586,'Review Sequence'!J2:J1586),"")</x:f>
        <x:v>Not Started</x:v>
      </x:c>
      <x:c r="H1319" s="7" t="str">
        <x:f>IFERROR(XLOOKUP(C1319,'Review Sequence'!C2:C1586,'Review Sequence'!O2:O1586),"")</x:f>
      </x:c>
      <x:c r="I1319" s="6" t="str">
        <x:f>IFERROR(XLOOKUP(C1319,'Review Sequence'!C2:C1586,'Review Sequence'!P2:P1586),"")</x:f>
        <x:v>Yes</x:v>
      </x:c>
    </x:row>
    <x:row r="1320">
      <x:c r="A1320" s="6" t="str">
        <x:v>BLK-1319</x:v>
      </x:c>
      <x:c r="B1320" s="6" t="str">
        <x:v>Labor Reference</x:v>
      </x:c>
      <x:c r="C1320" s="6" t="str">
        <x:v>LABX-0048</x:v>
      </x:c>
      <x:c r="D1320" s="6" t="str">
        <x:v>SVC000048</x:v>
      </x:c>
      <x:c r="E1320" s="6" t="str"/>
      <x:c r="F1320" s="6" t="str">
        <x:f>IFERROR(XLOOKUP(C1320,'Review Sequence'!C2:C1586,'Review Sequence'!I2:I1586),"")</x:f>
        <x:v>Not Started</x:v>
      </x:c>
      <x:c r="G1320" s="6" t="str">
        <x:f>IFERROR(XLOOKUP(C1320,'Review Sequence'!C2:C1586,'Review Sequence'!J2:J1586),"")</x:f>
        <x:v>Not Started</x:v>
      </x:c>
      <x:c r="H1320" s="7" t="str">
        <x:f>IFERROR(XLOOKUP(C1320,'Review Sequence'!C2:C1586,'Review Sequence'!O2:O1586),"")</x:f>
      </x:c>
      <x:c r="I1320" s="6" t="str">
        <x:f>IFERROR(XLOOKUP(C1320,'Review Sequence'!C2:C1586,'Review Sequence'!P2:P1586),"")</x:f>
        <x:v>Yes</x:v>
      </x:c>
    </x:row>
    <x:row r="1321">
      <x:c r="A1321" s="6" t="str">
        <x:v>BLK-1320</x:v>
      </x:c>
      <x:c r="B1321" s="6" t="str">
        <x:v>Labor Reference</x:v>
      </x:c>
      <x:c r="C1321" s="6" t="str">
        <x:v>LABX-0049</x:v>
      </x:c>
      <x:c r="D1321" s="6" t="str">
        <x:v>SVC000049</x:v>
      </x:c>
      <x:c r="E1321" s="6" t="str"/>
      <x:c r="F1321" s="6" t="str">
        <x:f>IFERROR(XLOOKUP(C1321,'Review Sequence'!C2:C1586,'Review Sequence'!I2:I1586),"")</x:f>
        <x:v>Not Started</x:v>
      </x:c>
      <x:c r="G1321" s="6" t="str">
        <x:f>IFERROR(XLOOKUP(C1321,'Review Sequence'!C2:C1586,'Review Sequence'!J2:J1586),"")</x:f>
        <x:v>Not Started</x:v>
      </x:c>
      <x:c r="H1321" s="7" t="str">
        <x:f>IFERROR(XLOOKUP(C1321,'Review Sequence'!C2:C1586,'Review Sequence'!O2:O1586),"")</x:f>
      </x:c>
      <x:c r="I1321" s="6" t="str">
        <x:f>IFERROR(XLOOKUP(C1321,'Review Sequence'!C2:C1586,'Review Sequence'!P2:P1586),"")</x:f>
        <x:v>Yes</x:v>
      </x:c>
    </x:row>
    <x:row r="1322">
      <x:c r="A1322" s="6" t="str">
        <x:v>BLK-1321</x:v>
      </x:c>
      <x:c r="B1322" s="6" t="str">
        <x:v>Labor Reference</x:v>
      </x:c>
      <x:c r="C1322" s="6" t="str">
        <x:v>LABX-0050</x:v>
      </x:c>
      <x:c r="D1322" s="6" t="str">
        <x:v>SVC000050</x:v>
      </x:c>
      <x:c r="E1322" s="6" t="str"/>
      <x:c r="F1322" s="6" t="str">
        <x:f>IFERROR(XLOOKUP(C1322,'Review Sequence'!C2:C1586,'Review Sequence'!I2:I1586),"")</x:f>
        <x:v>Not Started</x:v>
      </x:c>
      <x:c r="G1322" s="6" t="str">
        <x:f>IFERROR(XLOOKUP(C1322,'Review Sequence'!C2:C1586,'Review Sequence'!J2:J1586),"")</x:f>
        <x:v>Not Started</x:v>
      </x:c>
      <x:c r="H1322" s="7" t="str">
        <x:f>IFERROR(XLOOKUP(C1322,'Review Sequence'!C2:C1586,'Review Sequence'!O2:O1586),"")</x:f>
      </x:c>
      <x:c r="I1322" s="6" t="str">
        <x:f>IFERROR(XLOOKUP(C1322,'Review Sequence'!C2:C1586,'Review Sequence'!P2:P1586),"")</x:f>
        <x:v>Yes</x:v>
      </x:c>
    </x:row>
    <x:row r="1323">
      <x:c r="A1323" s="6" t="str">
        <x:v>BLK-1322</x:v>
      </x:c>
      <x:c r="B1323" s="6" t="str">
        <x:v>Labor Reference</x:v>
      </x:c>
      <x:c r="C1323" s="6" t="str">
        <x:v>LABX-0051</x:v>
      </x:c>
      <x:c r="D1323" s="6" t="str">
        <x:v>SVC000051</x:v>
      </x:c>
      <x:c r="E1323" s="6" t="str"/>
      <x:c r="F1323" s="6" t="str">
        <x:f>IFERROR(XLOOKUP(C1323,'Review Sequence'!C2:C1586,'Review Sequence'!I2:I1586),"")</x:f>
        <x:v>Not Started</x:v>
      </x:c>
      <x:c r="G1323" s="6" t="str">
        <x:f>IFERROR(XLOOKUP(C1323,'Review Sequence'!C2:C1586,'Review Sequence'!J2:J1586),"")</x:f>
        <x:v>Not Started</x:v>
      </x:c>
      <x:c r="H1323" s="7" t="str">
        <x:f>IFERROR(XLOOKUP(C1323,'Review Sequence'!C2:C1586,'Review Sequence'!O2:O1586),"")</x:f>
      </x:c>
      <x:c r="I1323" s="6" t="str">
        <x:f>IFERROR(XLOOKUP(C1323,'Review Sequence'!C2:C1586,'Review Sequence'!P2:P1586),"")</x:f>
        <x:v>Yes</x:v>
      </x:c>
    </x:row>
    <x:row r="1324">
      <x:c r="A1324" s="6" t="str">
        <x:v>BLK-1323</x:v>
      </x:c>
      <x:c r="B1324" s="6" t="str">
        <x:v>Labor Reference</x:v>
      </x:c>
      <x:c r="C1324" s="6" t="str">
        <x:v>LABX-0052</x:v>
      </x:c>
      <x:c r="D1324" s="6" t="str">
        <x:v>SVC000052</x:v>
      </x:c>
      <x:c r="E1324" s="6" t="str"/>
      <x:c r="F1324" s="6" t="str">
        <x:f>IFERROR(XLOOKUP(C1324,'Review Sequence'!C2:C1586,'Review Sequence'!I2:I1586),"")</x:f>
        <x:v>Not Started</x:v>
      </x:c>
      <x:c r="G1324" s="6" t="str">
        <x:f>IFERROR(XLOOKUP(C1324,'Review Sequence'!C2:C1586,'Review Sequence'!J2:J1586),"")</x:f>
        <x:v>Not Started</x:v>
      </x:c>
      <x:c r="H1324" s="7" t="str">
        <x:f>IFERROR(XLOOKUP(C1324,'Review Sequence'!C2:C1586,'Review Sequence'!O2:O1586),"")</x:f>
      </x:c>
      <x:c r="I1324" s="6" t="str">
        <x:f>IFERROR(XLOOKUP(C1324,'Review Sequence'!C2:C1586,'Review Sequence'!P2:P1586),"")</x:f>
        <x:v>Yes</x:v>
      </x:c>
    </x:row>
    <x:row r="1325">
      <x:c r="A1325" s="6" t="str">
        <x:v>BLK-1324</x:v>
      </x:c>
      <x:c r="B1325" s="6" t="str">
        <x:v>Labor Reference</x:v>
      </x:c>
      <x:c r="C1325" s="6" t="str">
        <x:v>LABX-0053</x:v>
      </x:c>
      <x:c r="D1325" s="6" t="str">
        <x:v>SVC000053</x:v>
      </x:c>
      <x:c r="E1325" s="6" t="str"/>
      <x:c r="F1325" s="6" t="str">
        <x:f>IFERROR(XLOOKUP(C1325,'Review Sequence'!C2:C1586,'Review Sequence'!I2:I1586),"")</x:f>
        <x:v>Not Started</x:v>
      </x:c>
      <x:c r="G1325" s="6" t="str">
        <x:f>IFERROR(XLOOKUP(C1325,'Review Sequence'!C2:C1586,'Review Sequence'!J2:J1586),"")</x:f>
        <x:v>Not Started</x:v>
      </x:c>
      <x:c r="H1325" s="7" t="str">
        <x:f>IFERROR(XLOOKUP(C1325,'Review Sequence'!C2:C1586,'Review Sequence'!O2:O1586),"")</x:f>
      </x:c>
      <x:c r="I1325" s="6" t="str">
        <x:f>IFERROR(XLOOKUP(C1325,'Review Sequence'!C2:C1586,'Review Sequence'!P2:P1586),"")</x:f>
        <x:v>Yes</x:v>
      </x:c>
    </x:row>
    <x:row r="1326">
      <x:c r="A1326" s="6" t="str">
        <x:v>BLK-1325</x:v>
      </x:c>
      <x:c r="B1326" s="6" t="str">
        <x:v>Labor Reference</x:v>
      </x:c>
      <x:c r="C1326" s="6" t="str">
        <x:v>LABX-0054</x:v>
      </x:c>
      <x:c r="D1326" s="6" t="str">
        <x:v>SVC000054</x:v>
      </x:c>
      <x:c r="E1326" s="6" t="str"/>
      <x:c r="F1326" s="6" t="str">
        <x:f>IFERROR(XLOOKUP(C1326,'Review Sequence'!C2:C1586,'Review Sequence'!I2:I1586),"")</x:f>
        <x:v>Not Started</x:v>
      </x:c>
      <x:c r="G1326" s="6" t="str">
        <x:f>IFERROR(XLOOKUP(C1326,'Review Sequence'!C2:C1586,'Review Sequence'!J2:J1586),"")</x:f>
        <x:v>Not Started</x:v>
      </x:c>
      <x:c r="H1326" s="7" t="str">
        <x:f>IFERROR(XLOOKUP(C1326,'Review Sequence'!C2:C1586,'Review Sequence'!O2:O1586),"")</x:f>
      </x:c>
      <x:c r="I1326" s="6" t="str">
        <x:f>IFERROR(XLOOKUP(C1326,'Review Sequence'!C2:C1586,'Review Sequence'!P2:P1586),"")</x:f>
        <x:v>Yes</x:v>
      </x:c>
    </x:row>
    <x:row r="1327">
      <x:c r="A1327" s="6" t="str">
        <x:v>BLK-1326</x:v>
      </x:c>
      <x:c r="B1327" s="6" t="str">
        <x:v>Labor Reference</x:v>
      </x:c>
      <x:c r="C1327" s="6" t="str">
        <x:v>LABX-0055</x:v>
      </x:c>
      <x:c r="D1327" s="6" t="str">
        <x:v>SVC000055</x:v>
      </x:c>
      <x:c r="E1327" s="6" t="str"/>
      <x:c r="F1327" s="6" t="str">
        <x:f>IFERROR(XLOOKUP(C1327,'Review Sequence'!C2:C1586,'Review Sequence'!I2:I1586),"")</x:f>
        <x:v>Not Started</x:v>
      </x:c>
      <x:c r="G1327" s="6" t="str">
        <x:f>IFERROR(XLOOKUP(C1327,'Review Sequence'!C2:C1586,'Review Sequence'!J2:J1586),"")</x:f>
        <x:v>Not Started</x:v>
      </x:c>
      <x:c r="H1327" s="7" t="str">
        <x:f>IFERROR(XLOOKUP(C1327,'Review Sequence'!C2:C1586,'Review Sequence'!O2:O1586),"")</x:f>
      </x:c>
      <x:c r="I1327" s="6" t="str">
        <x:f>IFERROR(XLOOKUP(C1327,'Review Sequence'!C2:C1586,'Review Sequence'!P2:P1586),"")</x:f>
        <x:v>Yes</x:v>
      </x:c>
    </x:row>
    <x:row r="1328">
      <x:c r="A1328" s="6" t="str">
        <x:v>BLK-1327</x:v>
      </x:c>
      <x:c r="B1328" s="6" t="str">
        <x:v>Labor Reference</x:v>
      </x:c>
      <x:c r="C1328" s="6" t="str">
        <x:v>LABX-0056</x:v>
      </x:c>
      <x:c r="D1328" s="6" t="str">
        <x:v>SVC000056</x:v>
      </x:c>
      <x:c r="E1328" s="6" t="str"/>
      <x:c r="F1328" s="6" t="str">
        <x:f>IFERROR(XLOOKUP(C1328,'Review Sequence'!C2:C1586,'Review Sequence'!I2:I1586),"")</x:f>
        <x:v>Not Started</x:v>
      </x:c>
      <x:c r="G1328" s="6" t="str">
        <x:f>IFERROR(XLOOKUP(C1328,'Review Sequence'!C2:C1586,'Review Sequence'!J2:J1586),"")</x:f>
        <x:v>Not Started</x:v>
      </x:c>
      <x:c r="H1328" s="7" t="str">
        <x:f>IFERROR(XLOOKUP(C1328,'Review Sequence'!C2:C1586,'Review Sequence'!O2:O1586),"")</x:f>
      </x:c>
      <x:c r="I1328" s="6" t="str">
        <x:f>IFERROR(XLOOKUP(C1328,'Review Sequence'!C2:C1586,'Review Sequence'!P2:P1586),"")</x:f>
        <x:v>Yes</x:v>
      </x:c>
    </x:row>
    <x:row r="1329">
      <x:c r="A1329" s="6" t="str">
        <x:v>BLK-1328</x:v>
      </x:c>
      <x:c r="B1329" s="6" t="str">
        <x:v>Labor Reference</x:v>
      </x:c>
      <x:c r="C1329" s="6" t="str">
        <x:v>LABX-0057</x:v>
      </x:c>
      <x:c r="D1329" s="6" t="str">
        <x:v>SVC000057</x:v>
      </x:c>
      <x:c r="E1329" s="6" t="str"/>
      <x:c r="F1329" s="6" t="str">
        <x:f>IFERROR(XLOOKUP(C1329,'Review Sequence'!C2:C1586,'Review Sequence'!I2:I1586),"")</x:f>
        <x:v>Not Started</x:v>
      </x:c>
      <x:c r="G1329" s="6" t="str">
        <x:f>IFERROR(XLOOKUP(C1329,'Review Sequence'!C2:C1586,'Review Sequence'!J2:J1586),"")</x:f>
        <x:v>Not Started</x:v>
      </x:c>
      <x:c r="H1329" s="7" t="str">
        <x:f>IFERROR(XLOOKUP(C1329,'Review Sequence'!C2:C1586,'Review Sequence'!O2:O1586),"")</x:f>
      </x:c>
      <x:c r="I1329" s="6" t="str">
        <x:f>IFERROR(XLOOKUP(C1329,'Review Sequence'!C2:C1586,'Review Sequence'!P2:P1586),"")</x:f>
        <x:v>Yes</x:v>
      </x:c>
    </x:row>
    <x:row r="1330">
      <x:c r="A1330" s="6" t="str">
        <x:v>BLK-1329</x:v>
      </x:c>
      <x:c r="B1330" s="6" t="str">
        <x:v>Labor Reference</x:v>
      </x:c>
      <x:c r="C1330" s="6" t="str">
        <x:v>LABX-0058</x:v>
      </x:c>
      <x:c r="D1330" s="6" t="str">
        <x:v>SVC000058</x:v>
      </x:c>
      <x:c r="E1330" s="6" t="str"/>
      <x:c r="F1330" s="6" t="str">
        <x:f>IFERROR(XLOOKUP(C1330,'Review Sequence'!C2:C1586,'Review Sequence'!I2:I1586),"")</x:f>
        <x:v>Not Started</x:v>
      </x:c>
      <x:c r="G1330" s="6" t="str">
        <x:f>IFERROR(XLOOKUP(C1330,'Review Sequence'!C2:C1586,'Review Sequence'!J2:J1586),"")</x:f>
        <x:v>Not Started</x:v>
      </x:c>
      <x:c r="H1330" s="7" t="str">
        <x:f>IFERROR(XLOOKUP(C1330,'Review Sequence'!C2:C1586,'Review Sequence'!O2:O1586),"")</x:f>
      </x:c>
      <x:c r="I1330" s="6" t="str">
        <x:f>IFERROR(XLOOKUP(C1330,'Review Sequence'!C2:C1586,'Review Sequence'!P2:P1586),"")</x:f>
        <x:v>Yes</x:v>
      </x:c>
    </x:row>
    <x:row r="1331">
      <x:c r="A1331" s="6" t="str">
        <x:v>BLK-1330</x:v>
      </x:c>
      <x:c r="B1331" s="6" t="str">
        <x:v>Labor Reference</x:v>
      </x:c>
      <x:c r="C1331" s="6" t="str">
        <x:v>LABX-0059</x:v>
      </x:c>
      <x:c r="D1331" s="6" t="str">
        <x:v>SVC000059</x:v>
      </x:c>
      <x:c r="E1331" s="6" t="str"/>
      <x:c r="F1331" s="6" t="str">
        <x:f>IFERROR(XLOOKUP(C1331,'Review Sequence'!C2:C1586,'Review Sequence'!I2:I1586),"")</x:f>
        <x:v>Not Started</x:v>
      </x:c>
      <x:c r="G1331" s="6" t="str">
        <x:f>IFERROR(XLOOKUP(C1331,'Review Sequence'!C2:C1586,'Review Sequence'!J2:J1586),"")</x:f>
        <x:v>Not Started</x:v>
      </x:c>
      <x:c r="H1331" s="7" t="str">
        <x:f>IFERROR(XLOOKUP(C1331,'Review Sequence'!C2:C1586,'Review Sequence'!O2:O1586),"")</x:f>
      </x:c>
      <x:c r="I1331" s="6" t="str">
        <x:f>IFERROR(XLOOKUP(C1331,'Review Sequence'!C2:C1586,'Review Sequence'!P2:P1586),"")</x:f>
        <x:v>Yes</x:v>
      </x:c>
    </x:row>
    <x:row r="1332">
      <x:c r="A1332" s="6" t="str">
        <x:v>BLK-1331</x:v>
      </x:c>
      <x:c r="B1332" s="6" t="str">
        <x:v>Labor Reference</x:v>
      </x:c>
      <x:c r="C1332" s="6" t="str">
        <x:v>LABX-0060</x:v>
      </x:c>
      <x:c r="D1332" s="6" t="str">
        <x:v>SVC000060</x:v>
      </x:c>
      <x:c r="E1332" s="6" t="str"/>
      <x:c r="F1332" s="6" t="str">
        <x:f>IFERROR(XLOOKUP(C1332,'Review Sequence'!C2:C1586,'Review Sequence'!I2:I1586),"")</x:f>
        <x:v>Not Started</x:v>
      </x:c>
      <x:c r="G1332" s="6" t="str">
        <x:f>IFERROR(XLOOKUP(C1332,'Review Sequence'!C2:C1586,'Review Sequence'!J2:J1586),"")</x:f>
        <x:v>Not Started</x:v>
      </x:c>
      <x:c r="H1332" s="7" t="str">
        <x:f>IFERROR(XLOOKUP(C1332,'Review Sequence'!C2:C1586,'Review Sequence'!O2:O1586),"")</x:f>
      </x:c>
      <x:c r="I1332" s="6" t="str">
        <x:f>IFERROR(XLOOKUP(C1332,'Review Sequence'!C2:C1586,'Review Sequence'!P2:P1586),"")</x:f>
        <x:v>Yes</x:v>
      </x:c>
    </x:row>
    <x:row r="1333">
      <x:c r="A1333" s="6" t="str">
        <x:v>BLK-1332</x:v>
      </x:c>
      <x:c r="B1333" s="6" t="str">
        <x:v>Labor Reference</x:v>
      </x:c>
      <x:c r="C1333" s="6" t="str">
        <x:v>LABX-0061</x:v>
      </x:c>
      <x:c r="D1333" s="6" t="str">
        <x:v>SVC000061</x:v>
      </x:c>
      <x:c r="E1333" s="6" t="str"/>
      <x:c r="F1333" s="6" t="str">
        <x:f>IFERROR(XLOOKUP(C1333,'Review Sequence'!C2:C1586,'Review Sequence'!I2:I1586),"")</x:f>
        <x:v>Not Started</x:v>
      </x:c>
      <x:c r="G1333" s="6" t="str">
        <x:f>IFERROR(XLOOKUP(C1333,'Review Sequence'!C2:C1586,'Review Sequence'!J2:J1586),"")</x:f>
        <x:v>Not Started</x:v>
      </x:c>
      <x:c r="H1333" s="7" t="str">
        <x:f>IFERROR(XLOOKUP(C1333,'Review Sequence'!C2:C1586,'Review Sequence'!O2:O1586),"")</x:f>
      </x:c>
      <x:c r="I1333" s="6" t="str">
        <x:f>IFERROR(XLOOKUP(C1333,'Review Sequence'!C2:C1586,'Review Sequence'!P2:P1586),"")</x:f>
        <x:v>Yes</x:v>
      </x:c>
    </x:row>
    <x:row r="1334">
      <x:c r="A1334" s="6" t="str">
        <x:v>BLK-1333</x:v>
      </x:c>
      <x:c r="B1334" s="6" t="str">
        <x:v>Labor Reference</x:v>
      </x:c>
      <x:c r="C1334" s="6" t="str">
        <x:v>LABX-0062</x:v>
      </x:c>
      <x:c r="D1334" s="6" t="str">
        <x:v>SVC000062</x:v>
      </x:c>
      <x:c r="E1334" s="6" t="str"/>
      <x:c r="F1334" s="6" t="str">
        <x:f>IFERROR(XLOOKUP(C1334,'Review Sequence'!C2:C1586,'Review Sequence'!I2:I1586),"")</x:f>
        <x:v>Not Started</x:v>
      </x:c>
      <x:c r="G1334" s="6" t="str">
        <x:f>IFERROR(XLOOKUP(C1334,'Review Sequence'!C2:C1586,'Review Sequence'!J2:J1586),"")</x:f>
        <x:v>Not Started</x:v>
      </x:c>
      <x:c r="H1334" s="7" t="str">
        <x:f>IFERROR(XLOOKUP(C1334,'Review Sequence'!C2:C1586,'Review Sequence'!O2:O1586),"")</x:f>
      </x:c>
      <x:c r="I1334" s="6" t="str">
        <x:f>IFERROR(XLOOKUP(C1334,'Review Sequence'!C2:C1586,'Review Sequence'!P2:P1586),"")</x:f>
        <x:v>Yes</x:v>
      </x:c>
    </x:row>
    <x:row r="1335">
      <x:c r="A1335" s="6" t="str">
        <x:v>BLK-1334</x:v>
      </x:c>
      <x:c r="B1335" s="6" t="str">
        <x:v>Labor Reference</x:v>
      </x:c>
      <x:c r="C1335" s="6" t="str">
        <x:v>LABX-0063</x:v>
      </x:c>
      <x:c r="D1335" s="6" t="str">
        <x:v>SVC000063</x:v>
      </x:c>
      <x:c r="E1335" s="6" t="str"/>
      <x:c r="F1335" s="6" t="str">
        <x:f>IFERROR(XLOOKUP(C1335,'Review Sequence'!C2:C1586,'Review Sequence'!I2:I1586),"")</x:f>
        <x:v>Not Started</x:v>
      </x:c>
      <x:c r="G1335" s="6" t="str">
        <x:f>IFERROR(XLOOKUP(C1335,'Review Sequence'!C2:C1586,'Review Sequence'!J2:J1586),"")</x:f>
        <x:v>Not Started</x:v>
      </x:c>
      <x:c r="H1335" s="7" t="str">
        <x:f>IFERROR(XLOOKUP(C1335,'Review Sequence'!C2:C1586,'Review Sequence'!O2:O1586),"")</x:f>
      </x:c>
      <x:c r="I1335" s="6" t="str">
        <x:f>IFERROR(XLOOKUP(C1335,'Review Sequence'!C2:C1586,'Review Sequence'!P2:P1586),"")</x:f>
        <x:v>Yes</x:v>
      </x:c>
    </x:row>
    <x:row r="1336">
      <x:c r="A1336" s="6" t="str">
        <x:v>BLK-1335</x:v>
      </x:c>
      <x:c r="B1336" s="6" t="str">
        <x:v>Labor Reference</x:v>
      </x:c>
      <x:c r="C1336" s="6" t="str">
        <x:v>LABX-0064</x:v>
      </x:c>
      <x:c r="D1336" s="6" t="str">
        <x:v>SVC000064</x:v>
      </x:c>
      <x:c r="E1336" s="6" t="str"/>
      <x:c r="F1336" s="6" t="str">
        <x:f>IFERROR(XLOOKUP(C1336,'Review Sequence'!C2:C1586,'Review Sequence'!I2:I1586),"")</x:f>
        <x:v>Not Started</x:v>
      </x:c>
      <x:c r="G1336" s="6" t="str">
        <x:f>IFERROR(XLOOKUP(C1336,'Review Sequence'!C2:C1586,'Review Sequence'!J2:J1586),"")</x:f>
        <x:v>Not Started</x:v>
      </x:c>
      <x:c r="H1336" s="7" t="str">
        <x:f>IFERROR(XLOOKUP(C1336,'Review Sequence'!C2:C1586,'Review Sequence'!O2:O1586),"")</x:f>
      </x:c>
      <x:c r="I1336" s="6" t="str">
        <x:f>IFERROR(XLOOKUP(C1336,'Review Sequence'!C2:C1586,'Review Sequence'!P2:P1586),"")</x:f>
        <x:v>Yes</x:v>
      </x:c>
    </x:row>
    <x:row r="1337">
      <x:c r="A1337" s="6" t="str">
        <x:v>BLK-1336</x:v>
      </x:c>
      <x:c r="B1337" s="6" t="str">
        <x:v>Labor Reference</x:v>
      </x:c>
      <x:c r="C1337" s="6" t="str">
        <x:v>LABX-0065</x:v>
      </x:c>
      <x:c r="D1337" s="6" t="str">
        <x:v>SVC000065</x:v>
      </x:c>
      <x:c r="E1337" s="6" t="str"/>
      <x:c r="F1337" s="6" t="str">
        <x:f>IFERROR(XLOOKUP(C1337,'Review Sequence'!C2:C1586,'Review Sequence'!I2:I1586),"")</x:f>
        <x:v>Not Started</x:v>
      </x:c>
      <x:c r="G1337" s="6" t="str">
        <x:f>IFERROR(XLOOKUP(C1337,'Review Sequence'!C2:C1586,'Review Sequence'!J2:J1586),"")</x:f>
        <x:v>Not Started</x:v>
      </x:c>
      <x:c r="H1337" s="7" t="str">
        <x:f>IFERROR(XLOOKUP(C1337,'Review Sequence'!C2:C1586,'Review Sequence'!O2:O1586),"")</x:f>
      </x:c>
      <x:c r="I1337" s="6" t="str">
        <x:f>IFERROR(XLOOKUP(C1337,'Review Sequence'!C2:C1586,'Review Sequence'!P2:P1586),"")</x:f>
        <x:v>Yes</x:v>
      </x:c>
    </x:row>
    <x:row r="1338">
      <x:c r="A1338" s="6" t="str">
        <x:v>BLK-1337</x:v>
      </x:c>
      <x:c r="B1338" s="6" t="str">
        <x:v>Labor Reference</x:v>
      </x:c>
      <x:c r="C1338" s="6" t="str">
        <x:v>LABX-0066</x:v>
      </x:c>
      <x:c r="D1338" s="6" t="str">
        <x:v>SVC000066</x:v>
      </x:c>
      <x:c r="E1338" s="6" t="str"/>
      <x:c r="F1338" s="6" t="str">
        <x:f>IFERROR(XLOOKUP(C1338,'Review Sequence'!C2:C1586,'Review Sequence'!I2:I1586),"")</x:f>
        <x:v>Not Started</x:v>
      </x:c>
      <x:c r="G1338" s="6" t="str">
        <x:f>IFERROR(XLOOKUP(C1338,'Review Sequence'!C2:C1586,'Review Sequence'!J2:J1586),"")</x:f>
        <x:v>Not Started</x:v>
      </x:c>
      <x:c r="H1338" s="7" t="str">
        <x:f>IFERROR(XLOOKUP(C1338,'Review Sequence'!C2:C1586,'Review Sequence'!O2:O1586),"")</x:f>
      </x:c>
      <x:c r="I1338" s="6" t="str">
        <x:f>IFERROR(XLOOKUP(C1338,'Review Sequence'!C2:C1586,'Review Sequence'!P2:P1586),"")</x:f>
        <x:v>Yes</x:v>
      </x:c>
    </x:row>
    <x:row r="1339">
      <x:c r="A1339" s="6" t="str">
        <x:v>BLK-1338</x:v>
      </x:c>
      <x:c r="B1339" s="6" t="str">
        <x:v>Labor Reference</x:v>
      </x:c>
      <x:c r="C1339" s="6" t="str">
        <x:v>LABX-0067</x:v>
      </x:c>
      <x:c r="D1339" s="6" t="str">
        <x:v>SVC000067</x:v>
      </x:c>
      <x:c r="E1339" s="6" t="str"/>
      <x:c r="F1339" s="6" t="str">
        <x:f>IFERROR(XLOOKUP(C1339,'Review Sequence'!C2:C1586,'Review Sequence'!I2:I1586),"")</x:f>
        <x:v>Not Started</x:v>
      </x:c>
      <x:c r="G1339" s="6" t="str">
        <x:f>IFERROR(XLOOKUP(C1339,'Review Sequence'!C2:C1586,'Review Sequence'!J2:J1586),"")</x:f>
        <x:v>Not Started</x:v>
      </x:c>
      <x:c r="H1339" s="7" t="str">
        <x:f>IFERROR(XLOOKUP(C1339,'Review Sequence'!C2:C1586,'Review Sequence'!O2:O1586),"")</x:f>
      </x:c>
      <x:c r="I1339" s="6" t="str">
        <x:f>IFERROR(XLOOKUP(C1339,'Review Sequence'!C2:C1586,'Review Sequence'!P2:P1586),"")</x:f>
        <x:v>Yes</x:v>
      </x:c>
    </x:row>
    <x:row r="1340">
      <x:c r="A1340" s="6" t="str">
        <x:v>BLK-1339</x:v>
      </x:c>
      <x:c r="B1340" s="6" t="str">
        <x:v>Labor Reference</x:v>
      </x:c>
      <x:c r="C1340" s="6" t="str">
        <x:v>LABX-0068</x:v>
      </x:c>
      <x:c r="D1340" s="6" t="str">
        <x:v>SVC000068</x:v>
      </x:c>
      <x:c r="E1340" s="6" t="str"/>
      <x:c r="F1340" s="6" t="str">
        <x:f>IFERROR(XLOOKUP(C1340,'Review Sequence'!C2:C1586,'Review Sequence'!I2:I1586),"")</x:f>
        <x:v>Not Started</x:v>
      </x:c>
      <x:c r="G1340" s="6" t="str">
        <x:f>IFERROR(XLOOKUP(C1340,'Review Sequence'!C2:C1586,'Review Sequence'!J2:J1586),"")</x:f>
        <x:v>Not Started</x:v>
      </x:c>
      <x:c r="H1340" s="7" t="str">
        <x:f>IFERROR(XLOOKUP(C1340,'Review Sequence'!C2:C1586,'Review Sequence'!O2:O1586),"")</x:f>
      </x:c>
      <x:c r="I1340" s="6" t="str">
        <x:f>IFERROR(XLOOKUP(C1340,'Review Sequence'!C2:C1586,'Review Sequence'!P2:P1586),"")</x:f>
        <x:v>Yes</x:v>
      </x:c>
    </x:row>
    <x:row r="1341">
      <x:c r="A1341" s="6" t="str">
        <x:v>BLK-1340</x:v>
      </x:c>
      <x:c r="B1341" s="6" t="str">
        <x:v>Labor Reference</x:v>
      </x:c>
      <x:c r="C1341" s="6" t="str">
        <x:v>LABX-0069</x:v>
      </x:c>
      <x:c r="D1341" s="6" t="str">
        <x:v>SVC000069</x:v>
      </x:c>
      <x:c r="E1341" s="6" t="str"/>
      <x:c r="F1341" s="6" t="str">
        <x:f>IFERROR(XLOOKUP(C1341,'Review Sequence'!C2:C1586,'Review Sequence'!I2:I1586),"")</x:f>
        <x:v>Not Started</x:v>
      </x:c>
      <x:c r="G1341" s="6" t="str">
        <x:f>IFERROR(XLOOKUP(C1341,'Review Sequence'!C2:C1586,'Review Sequence'!J2:J1586),"")</x:f>
        <x:v>Not Started</x:v>
      </x:c>
      <x:c r="H1341" s="7" t="str">
        <x:f>IFERROR(XLOOKUP(C1341,'Review Sequence'!C2:C1586,'Review Sequence'!O2:O1586),"")</x:f>
      </x:c>
      <x:c r="I1341" s="6" t="str">
        <x:f>IFERROR(XLOOKUP(C1341,'Review Sequence'!C2:C1586,'Review Sequence'!P2:P1586),"")</x:f>
        <x:v>Yes</x:v>
      </x:c>
    </x:row>
    <x:row r="1342">
      <x:c r="A1342" s="6" t="str">
        <x:v>BLK-1341</x:v>
      </x:c>
      <x:c r="B1342" s="6" t="str">
        <x:v>Labor Reference</x:v>
      </x:c>
      <x:c r="C1342" s="6" t="str">
        <x:v>LABX-0070</x:v>
      </x:c>
      <x:c r="D1342" s="6" t="str">
        <x:v>SVC000070</x:v>
      </x:c>
      <x:c r="E1342" s="6" t="str"/>
      <x:c r="F1342" s="6" t="str">
        <x:f>IFERROR(XLOOKUP(C1342,'Review Sequence'!C2:C1586,'Review Sequence'!I2:I1586),"")</x:f>
        <x:v>Not Started</x:v>
      </x:c>
      <x:c r="G1342" s="6" t="str">
        <x:f>IFERROR(XLOOKUP(C1342,'Review Sequence'!C2:C1586,'Review Sequence'!J2:J1586),"")</x:f>
        <x:v>Not Started</x:v>
      </x:c>
      <x:c r="H1342" s="7" t="str">
        <x:f>IFERROR(XLOOKUP(C1342,'Review Sequence'!C2:C1586,'Review Sequence'!O2:O1586),"")</x:f>
      </x:c>
      <x:c r="I1342" s="6" t="str">
        <x:f>IFERROR(XLOOKUP(C1342,'Review Sequence'!C2:C1586,'Review Sequence'!P2:P1586),"")</x:f>
        <x:v>Yes</x:v>
      </x:c>
    </x:row>
    <x:row r="1343">
      <x:c r="A1343" s="6" t="str">
        <x:v>BLK-1342</x:v>
      </x:c>
      <x:c r="B1343" s="6" t="str">
        <x:v>Labor Reference</x:v>
      </x:c>
      <x:c r="C1343" s="6" t="str">
        <x:v>LABX-0071</x:v>
      </x:c>
      <x:c r="D1343" s="6" t="str">
        <x:v>SVC000071</x:v>
      </x:c>
      <x:c r="E1343" s="6" t="str"/>
      <x:c r="F1343" s="6" t="str">
        <x:f>IFERROR(XLOOKUP(C1343,'Review Sequence'!C2:C1586,'Review Sequence'!I2:I1586),"")</x:f>
        <x:v>Not Started</x:v>
      </x:c>
      <x:c r="G1343" s="6" t="str">
        <x:f>IFERROR(XLOOKUP(C1343,'Review Sequence'!C2:C1586,'Review Sequence'!J2:J1586),"")</x:f>
        <x:v>Not Started</x:v>
      </x:c>
      <x:c r="H1343" s="7" t="str">
        <x:f>IFERROR(XLOOKUP(C1343,'Review Sequence'!C2:C1586,'Review Sequence'!O2:O1586),"")</x:f>
      </x:c>
      <x:c r="I1343" s="6" t="str">
        <x:f>IFERROR(XLOOKUP(C1343,'Review Sequence'!C2:C1586,'Review Sequence'!P2:P1586),"")</x:f>
        <x:v>Yes</x:v>
      </x:c>
    </x:row>
    <x:row r="1344">
      <x:c r="A1344" s="6" t="str">
        <x:v>BLK-1343</x:v>
      </x:c>
      <x:c r="B1344" s="6" t="str">
        <x:v>Labor Reference</x:v>
      </x:c>
      <x:c r="C1344" s="6" t="str">
        <x:v>LABX-0072</x:v>
      </x:c>
      <x:c r="D1344" s="6" t="str">
        <x:v>SVC000072</x:v>
      </x:c>
      <x:c r="E1344" s="6" t="str"/>
      <x:c r="F1344" s="6" t="str">
        <x:f>IFERROR(XLOOKUP(C1344,'Review Sequence'!C2:C1586,'Review Sequence'!I2:I1586),"")</x:f>
        <x:v>Not Started</x:v>
      </x:c>
      <x:c r="G1344" s="6" t="str">
        <x:f>IFERROR(XLOOKUP(C1344,'Review Sequence'!C2:C1586,'Review Sequence'!J2:J1586),"")</x:f>
        <x:v>Not Started</x:v>
      </x:c>
      <x:c r="H1344" s="7" t="str">
        <x:f>IFERROR(XLOOKUP(C1344,'Review Sequence'!C2:C1586,'Review Sequence'!O2:O1586),"")</x:f>
      </x:c>
      <x:c r="I1344" s="6" t="str">
        <x:f>IFERROR(XLOOKUP(C1344,'Review Sequence'!C2:C1586,'Review Sequence'!P2:P1586),"")</x:f>
        <x:v>Yes</x:v>
      </x:c>
    </x:row>
    <x:row r="1345">
      <x:c r="A1345" s="6" t="str">
        <x:v>BLK-1344</x:v>
      </x:c>
      <x:c r="B1345" s="6" t="str">
        <x:v>Labor Reference</x:v>
      </x:c>
      <x:c r="C1345" s="6" t="str">
        <x:v>LABX-0073</x:v>
      </x:c>
      <x:c r="D1345" s="6" t="str">
        <x:v>SVC000073</x:v>
      </x:c>
      <x:c r="E1345" s="6" t="str"/>
      <x:c r="F1345" s="6" t="str">
        <x:f>IFERROR(XLOOKUP(C1345,'Review Sequence'!C2:C1586,'Review Sequence'!I2:I1586),"")</x:f>
        <x:v>Not Started</x:v>
      </x:c>
      <x:c r="G1345" s="6" t="str">
        <x:f>IFERROR(XLOOKUP(C1345,'Review Sequence'!C2:C1586,'Review Sequence'!J2:J1586),"")</x:f>
        <x:v>Not Started</x:v>
      </x:c>
      <x:c r="H1345" s="7" t="str">
        <x:f>IFERROR(XLOOKUP(C1345,'Review Sequence'!C2:C1586,'Review Sequence'!O2:O1586),"")</x:f>
      </x:c>
      <x:c r="I1345" s="6" t="str">
        <x:f>IFERROR(XLOOKUP(C1345,'Review Sequence'!C2:C1586,'Review Sequence'!P2:P1586),"")</x:f>
        <x:v>Yes</x:v>
      </x:c>
    </x:row>
    <x:row r="1346">
      <x:c r="A1346" s="6" t="str">
        <x:v>BLK-1345</x:v>
      </x:c>
      <x:c r="B1346" s="6" t="str">
        <x:v>Labor Reference</x:v>
      </x:c>
      <x:c r="C1346" s="6" t="str">
        <x:v>LABX-0074</x:v>
      </x:c>
      <x:c r="D1346" s="6" t="str">
        <x:v>SVC000074</x:v>
      </x:c>
      <x:c r="E1346" s="6" t="str"/>
      <x:c r="F1346" s="6" t="str">
        <x:f>IFERROR(XLOOKUP(C1346,'Review Sequence'!C2:C1586,'Review Sequence'!I2:I1586),"")</x:f>
        <x:v>Not Started</x:v>
      </x:c>
      <x:c r="G1346" s="6" t="str">
        <x:f>IFERROR(XLOOKUP(C1346,'Review Sequence'!C2:C1586,'Review Sequence'!J2:J1586),"")</x:f>
        <x:v>Not Started</x:v>
      </x:c>
      <x:c r="H1346" s="7" t="str">
        <x:f>IFERROR(XLOOKUP(C1346,'Review Sequence'!C2:C1586,'Review Sequence'!O2:O1586),"")</x:f>
      </x:c>
      <x:c r="I1346" s="6" t="str">
        <x:f>IFERROR(XLOOKUP(C1346,'Review Sequence'!C2:C1586,'Review Sequence'!P2:P1586),"")</x:f>
        <x:v>Yes</x:v>
      </x:c>
    </x:row>
    <x:row r="1347">
      <x:c r="A1347" s="6" t="str">
        <x:v>BLK-1346</x:v>
      </x:c>
      <x:c r="B1347" s="6" t="str">
        <x:v>Labor Reference</x:v>
      </x:c>
      <x:c r="C1347" s="6" t="str">
        <x:v>LABX-0075</x:v>
      </x:c>
      <x:c r="D1347" s="6" t="str">
        <x:v>SVC000075</x:v>
      </x:c>
      <x:c r="E1347" s="6" t="str"/>
      <x:c r="F1347" s="6" t="str">
        <x:f>IFERROR(XLOOKUP(C1347,'Review Sequence'!C2:C1586,'Review Sequence'!I2:I1586),"")</x:f>
        <x:v>Not Started</x:v>
      </x:c>
      <x:c r="G1347" s="6" t="str">
        <x:f>IFERROR(XLOOKUP(C1347,'Review Sequence'!C2:C1586,'Review Sequence'!J2:J1586),"")</x:f>
        <x:v>Not Started</x:v>
      </x:c>
      <x:c r="H1347" s="7" t="str">
        <x:f>IFERROR(XLOOKUP(C1347,'Review Sequence'!C2:C1586,'Review Sequence'!O2:O1586),"")</x:f>
      </x:c>
      <x:c r="I1347" s="6" t="str">
        <x:f>IFERROR(XLOOKUP(C1347,'Review Sequence'!C2:C1586,'Review Sequence'!P2:P1586),"")</x:f>
        <x:v>Yes</x:v>
      </x:c>
    </x:row>
    <x:row r="1348">
      <x:c r="A1348" s="6" t="str">
        <x:v>BLK-1347</x:v>
      </x:c>
      <x:c r="B1348" s="6" t="str">
        <x:v>Labor Reference</x:v>
      </x:c>
      <x:c r="C1348" s="6" t="str">
        <x:v>LABX-0076</x:v>
      </x:c>
      <x:c r="D1348" s="6" t="str">
        <x:v>SVC000076</x:v>
      </x:c>
      <x:c r="E1348" s="6" t="str"/>
      <x:c r="F1348" s="6" t="str">
        <x:f>IFERROR(XLOOKUP(C1348,'Review Sequence'!C2:C1586,'Review Sequence'!I2:I1586),"")</x:f>
        <x:v>Not Started</x:v>
      </x:c>
      <x:c r="G1348" s="6" t="str">
        <x:f>IFERROR(XLOOKUP(C1348,'Review Sequence'!C2:C1586,'Review Sequence'!J2:J1586),"")</x:f>
        <x:v>Not Started</x:v>
      </x:c>
      <x:c r="H1348" s="7" t="str">
        <x:f>IFERROR(XLOOKUP(C1348,'Review Sequence'!C2:C1586,'Review Sequence'!O2:O1586),"")</x:f>
      </x:c>
      <x:c r="I1348" s="6" t="str">
        <x:f>IFERROR(XLOOKUP(C1348,'Review Sequence'!C2:C1586,'Review Sequence'!P2:P1586),"")</x:f>
        <x:v>Yes</x:v>
      </x:c>
    </x:row>
    <x:row r="1349">
      <x:c r="A1349" s="6" t="str">
        <x:v>BLK-1348</x:v>
      </x:c>
      <x:c r="B1349" s="6" t="str">
        <x:v>Labor Reference</x:v>
      </x:c>
      <x:c r="C1349" s="6" t="str">
        <x:v>LABX-0077</x:v>
      </x:c>
      <x:c r="D1349" s="6" t="str">
        <x:v>SVC000077</x:v>
      </x:c>
      <x:c r="E1349" s="6" t="str"/>
      <x:c r="F1349" s="6" t="str">
        <x:f>IFERROR(XLOOKUP(C1349,'Review Sequence'!C2:C1586,'Review Sequence'!I2:I1586),"")</x:f>
        <x:v>Not Started</x:v>
      </x:c>
      <x:c r="G1349" s="6" t="str">
        <x:f>IFERROR(XLOOKUP(C1349,'Review Sequence'!C2:C1586,'Review Sequence'!J2:J1586),"")</x:f>
        <x:v>Not Started</x:v>
      </x:c>
      <x:c r="H1349" s="7" t="str">
        <x:f>IFERROR(XLOOKUP(C1349,'Review Sequence'!C2:C1586,'Review Sequence'!O2:O1586),"")</x:f>
      </x:c>
      <x:c r="I1349" s="6" t="str">
        <x:f>IFERROR(XLOOKUP(C1349,'Review Sequence'!C2:C1586,'Review Sequence'!P2:P1586),"")</x:f>
        <x:v>Yes</x:v>
      </x:c>
    </x:row>
    <x:row r="1350">
      <x:c r="A1350" s="6" t="str">
        <x:v>BLK-1349</x:v>
      </x:c>
      <x:c r="B1350" s="6" t="str">
        <x:v>Labor Reference</x:v>
      </x:c>
      <x:c r="C1350" s="6" t="str">
        <x:v>LABX-0078</x:v>
      </x:c>
      <x:c r="D1350" s="6" t="str">
        <x:v>SVC000078</x:v>
      </x:c>
      <x:c r="E1350" s="6" t="str"/>
      <x:c r="F1350" s="6" t="str">
        <x:f>IFERROR(XLOOKUP(C1350,'Review Sequence'!C2:C1586,'Review Sequence'!I2:I1586),"")</x:f>
        <x:v>Not Started</x:v>
      </x:c>
      <x:c r="G1350" s="6" t="str">
        <x:f>IFERROR(XLOOKUP(C1350,'Review Sequence'!C2:C1586,'Review Sequence'!J2:J1586),"")</x:f>
        <x:v>Not Started</x:v>
      </x:c>
      <x:c r="H1350" s="7" t="str">
        <x:f>IFERROR(XLOOKUP(C1350,'Review Sequence'!C2:C1586,'Review Sequence'!O2:O1586),"")</x:f>
      </x:c>
      <x:c r="I1350" s="6" t="str">
        <x:f>IFERROR(XLOOKUP(C1350,'Review Sequence'!C2:C1586,'Review Sequence'!P2:P1586),"")</x:f>
        <x:v>Yes</x:v>
      </x:c>
    </x:row>
    <x:row r="1351">
      <x:c r="A1351" s="6" t="str">
        <x:v>BLK-1350</x:v>
      </x:c>
      <x:c r="B1351" s="6" t="str">
        <x:v>Labor Reference</x:v>
      </x:c>
      <x:c r="C1351" s="6" t="str">
        <x:v>LABX-0079</x:v>
      </x:c>
      <x:c r="D1351" s="6" t="str">
        <x:v>SVC000079</x:v>
      </x:c>
      <x:c r="E1351" s="6" t="str"/>
      <x:c r="F1351" s="6" t="str">
        <x:f>IFERROR(XLOOKUP(C1351,'Review Sequence'!C2:C1586,'Review Sequence'!I2:I1586),"")</x:f>
        <x:v>Not Started</x:v>
      </x:c>
      <x:c r="G1351" s="6" t="str">
        <x:f>IFERROR(XLOOKUP(C1351,'Review Sequence'!C2:C1586,'Review Sequence'!J2:J1586),"")</x:f>
        <x:v>Not Started</x:v>
      </x:c>
      <x:c r="H1351" s="7" t="str">
        <x:f>IFERROR(XLOOKUP(C1351,'Review Sequence'!C2:C1586,'Review Sequence'!O2:O1586),"")</x:f>
      </x:c>
      <x:c r="I1351" s="6" t="str">
        <x:f>IFERROR(XLOOKUP(C1351,'Review Sequence'!C2:C1586,'Review Sequence'!P2:P1586),"")</x:f>
        <x:v>Yes</x:v>
      </x:c>
    </x:row>
    <x:row r="1352">
      <x:c r="A1352" s="6" t="str">
        <x:v>BLK-1351</x:v>
      </x:c>
      <x:c r="B1352" s="6" t="str">
        <x:v>Labor Reference</x:v>
      </x:c>
      <x:c r="C1352" s="6" t="str">
        <x:v>LABX-0080</x:v>
      </x:c>
      <x:c r="D1352" s="6" t="str">
        <x:v>SVC000080</x:v>
      </x:c>
      <x:c r="E1352" s="6" t="str"/>
      <x:c r="F1352" s="6" t="str">
        <x:f>IFERROR(XLOOKUP(C1352,'Review Sequence'!C2:C1586,'Review Sequence'!I2:I1586),"")</x:f>
        <x:v>Not Started</x:v>
      </x:c>
      <x:c r="G1352" s="6" t="str">
        <x:f>IFERROR(XLOOKUP(C1352,'Review Sequence'!C2:C1586,'Review Sequence'!J2:J1586),"")</x:f>
        <x:v>Not Started</x:v>
      </x:c>
      <x:c r="H1352" s="7" t="str">
        <x:f>IFERROR(XLOOKUP(C1352,'Review Sequence'!C2:C1586,'Review Sequence'!O2:O1586),"")</x:f>
      </x:c>
      <x:c r="I1352" s="6" t="str">
        <x:f>IFERROR(XLOOKUP(C1352,'Review Sequence'!C2:C1586,'Review Sequence'!P2:P1586),"")</x:f>
        <x:v>Yes</x:v>
      </x:c>
    </x:row>
    <x:row r="1353">
      <x:c r="A1353" s="6" t="str">
        <x:v>BLK-1352</x:v>
      </x:c>
      <x:c r="B1353" s="6" t="str">
        <x:v>Labor Reference</x:v>
      </x:c>
      <x:c r="C1353" s="6" t="str">
        <x:v>LABX-0081</x:v>
      </x:c>
      <x:c r="D1353" s="6" t="str">
        <x:v>SVC000081</x:v>
      </x:c>
      <x:c r="E1353" s="6" t="str"/>
      <x:c r="F1353" s="6" t="str">
        <x:f>IFERROR(XLOOKUP(C1353,'Review Sequence'!C2:C1586,'Review Sequence'!I2:I1586),"")</x:f>
        <x:v>Not Started</x:v>
      </x:c>
      <x:c r="G1353" s="6" t="str">
        <x:f>IFERROR(XLOOKUP(C1353,'Review Sequence'!C2:C1586,'Review Sequence'!J2:J1586),"")</x:f>
        <x:v>Not Started</x:v>
      </x:c>
      <x:c r="H1353" s="7" t="str">
        <x:f>IFERROR(XLOOKUP(C1353,'Review Sequence'!C2:C1586,'Review Sequence'!O2:O1586),"")</x:f>
      </x:c>
      <x:c r="I1353" s="6" t="str">
        <x:f>IFERROR(XLOOKUP(C1353,'Review Sequence'!C2:C1586,'Review Sequence'!P2:P1586),"")</x:f>
        <x:v>Yes</x:v>
      </x:c>
    </x:row>
    <x:row r="1354">
      <x:c r="A1354" s="6" t="str">
        <x:v>BLK-1353</x:v>
      </x:c>
      <x:c r="B1354" s="6" t="str">
        <x:v>Labor Reference</x:v>
      </x:c>
      <x:c r="C1354" s="6" t="str">
        <x:v>LABX-0082</x:v>
      </x:c>
      <x:c r="D1354" s="6" t="str">
        <x:v>SVC000082</x:v>
      </x:c>
      <x:c r="E1354" s="6" t="str"/>
      <x:c r="F1354" s="6" t="str">
        <x:f>IFERROR(XLOOKUP(C1354,'Review Sequence'!C2:C1586,'Review Sequence'!I2:I1586),"")</x:f>
        <x:v>Not Started</x:v>
      </x:c>
      <x:c r="G1354" s="6" t="str">
        <x:f>IFERROR(XLOOKUP(C1354,'Review Sequence'!C2:C1586,'Review Sequence'!J2:J1586),"")</x:f>
        <x:v>Not Started</x:v>
      </x:c>
      <x:c r="H1354" s="7" t="str">
        <x:f>IFERROR(XLOOKUP(C1354,'Review Sequence'!C2:C1586,'Review Sequence'!O2:O1586),"")</x:f>
      </x:c>
      <x:c r="I1354" s="6" t="str">
        <x:f>IFERROR(XLOOKUP(C1354,'Review Sequence'!C2:C1586,'Review Sequence'!P2:P1586),"")</x:f>
        <x:v>Yes</x:v>
      </x:c>
    </x:row>
    <x:row r="1355">
      <x:c r="A1355" s="6" t="str">
        <x:v>BLK-1354</x:v>
      </x:c>
      <x:c r="B1355" s="6" t="str">
        <x:v>Labor Reference</x:v>
      </x:c>
      <x:c r="C1355" s="6" t="str">
        <x:v>LABX-0083</x:v>
      </x:c>
      <x:c r="D1355" s="6" t="str">
        <x:v>SVC000083</x:v>
      </x:c>
      <x:c r="E1355" s="6" t="str"/>
      <x:c r="F1355" s="6" t="str">
        <x:f>IFERROR(XLOOKUP(C1355,'Review Sequence'!C2:C1586,'Review Sequence'!I2:I1586),"")</x:f>
        <x:v>Not Started</x:v>
      </x:c>
      <x:c r="G1355" s="6" t="str">
        <x:f>IFERROR(XLOOKUP(C1355,'Review Sequence'!C2:C1586,'Review Sequence'!J2:J1586),"")</x:f>
        <x:v>Not Started</x:v>
      </x:c>
      <x:c r="H1355" s="7" t="str">
        <x:f>IFERROR(XLOOKUP(C1355,'Review Sequence'!C2:C1586,'Review Sequence'!O2:O1586),"")</x:f>
      </x:c>
      <x:c r="I1355" s="6" t="str">
        <x:f>IFERROR(XLOOKUP(C1355,'Review Sequence'!C2:C1586,'Review Sequence'!P2:P1586),"")</x:f>
        <x:v>Yes</x:v>
      </x:c>
    </x:row>
    <x:row r="1356">
      <x:c r="A1356" s="6" t="str">
        <x:v>BLK-1355</x:v>
      </x:c>
      <x:c r="B1356" s="6" t="str">
        <x:v>Labor Reference</x:v>
      </x:c>
      <x:c r="C1356" s="6" t="str">
        <x:v>LABX-0084</x:v>
      </x:c>
      <x:c r="D1356" s="6" t="str">
        <x:v>SVC000084</x:v>
      </x:c>
      <x:c r="E1356" s="6" t="str"/>
      <x:c r="F1356" s="6" t="str">
        <x:f>IFERROR(XLOOKUP(C1356,'Review Sequence'!C2:C1586,'Review Sequence'!I2:I1586),"")</x:f>
        <x:v>Not Started</x:v>
      </x:c>
      <x:c r="G1356" s="6" t="str">
        <x:f>IFERROR(XLOOKUP(C1356,'Review Sequence'!C2:C1586,'Review Sequence'!J2:J1586),"")</x:f>
        <x:v>Not Started</x:v>
      </x:c>
      <x:c r="H1356" s="7" t="str">
        <x:f>IFERROR(XLOOKUP(C1356,'Review Sequence'!C2:C1586,'Review Sequence'!O2:O1586),"")</x:f>
      </x:c>
      <x:c r="I1356" s="6" t="str">
        <x:f>IFERROR(XLOOKUP(C1356,'Review Sequence'!C2:C1586,'Review Sequence'!P2:P1586),"")</x:f>
        <x:v>Yes</x:v>
      </x:c>
    </x:row>
    <x:row r="1357">
      <x:c r="A1357" s="6" t="str">
        <x:v>BLK-1356</x:v>
      </x:c>
      <x:c r="B1357" s="6" t="str">
        <x:v>Labor Reference</x:v>
      </x:c>
      <x:c r="C1357" s="6" t="str">
        <x:v>LABX-0085</x:v>
      </x:c>
      <x:c r="D1357" s="6" t="str">
        <x:v>SVC000085</x:v>
      </x:c>
      <x:c r="E1357" s="6" t="str"/>
      <x:c r="F1357" s="6" t="str">
        <x:f>IFERROR(XLOOKUP(C1357,'Review Sequence'!C2:C1586,'Review Sequence'!I2:I1586),"")</x:f>
        <x:v>Not Started</x:v>
      </x:c>
      <x:c r="G1357" s="6" t="str">
        <x:f>IFERROR(XLOOKUP(C1357,'Review Sequence'!C2:C1586,'Review Sequence'!J2:J1586),"")</x:f>
        <x:v>Not Started</x:v>
      </x:c>
      <x:c r="H1357" s="7" t="str">
        <x:f>IFERROR(XLOOKUP(C1357,'Review Sequence'!C2:C1586,'Review Sequence'!O2:O1586),"")</x:f>
      </x:c>
      <x:c r="I1357" s="6" t="str">
        <x:f>IFERROR(XLOOKUP(C1357,'Review Sequence'!C2:C1586,'Review Sequence'!P2:P1586),"")</x:f>
        <x:v>Yes</x:v>
      </x:c>
    </x:row>
    <x:row r="1358">
      <x:c r="A1358" s="6" t="str">
        <x:v>BLK-1357</x:v>
      </x:c>
      <x:c r="B1358" s="6" t="str">
        <x:v>Labor Reference</x:v>
      </x:c>
      <x:c r="C1358" s="6" t="str">
        <x:v>LABX-0086</x:v>
      </x:c>
      <x:c r="D1358" s="6" t="str">
        <x:v>SVC000086</x:v>
      </x:c>
      <x:c r="E1358" s="6" t="str"/>
      <x:c r="F1358" s="6" t="str">
        <x:f>IFERROR(XLOOKUP(C1358,'Review Sequence'!C2:C1586,'Review Sequence'!I2:I1586),"")</x:f>
        <x:v>Not Started</x:v>
      </x:c>
      <x:c r="G1358" s="6" t="str">
        <x:f>IFERROR(XLOOKUP(C1358,'Review Sequence'!C2:C1586,'Review Sequence'!J2:J1586),"")</x:f>
        <x:v>Not Started</x:v>
      </x:c>
      <x:c r="H1358" s="7" t="str">
        <x:f>IFERROR(XLOOKUP(C1358,'Review Sequence'!C2:C1586,'Review Sequence'!O2:O1586),"")</x:f>
      </x:c>
      <x:c r="I1358" s="6" t="str">
        <x:f>IFERROR(XLOOKUP(C1358,'Review Sequence'!C2:C1586,'Review Sequence'!P2:P1586),"")</x:f>
        <x:v>Yes</x:v>
      </x:c>
    </x:row>
    <x:row r="1359">
      <x:c r="A1359" s="6" t="str">
        <x:v>BLK-1358</x:v>
      </x:c>
      <x:c r="B1359" s="6" t="str">
        <x:v>Labor Reference</x:v>
      </x:c>
      <x:c r="C1359" s="6" t="str">
        <x:v>LABX-0087</x:v>
      </x:c>
      <x:c r="D1359" s="6" t="str">
        <x:v>SVC000087</x:v>
      </x:c>
      <x:c r="E1359" s="6" t="str"/>
      <x:c r="F1359" s="6" t="str">
        <x:f>IFERROR(XLOOKUP(C1359,'Review Sequence'!C2:C1586,'Review Sequence'!I2:I1586),"")</x:f>
        <x:v>Not Started</x:v>
      </x:c>
      <x:c r="G1359" s="6" t="str">
        <x:f>IFERROR(XLOOKUP(C1359,'Review Sequence'!C2:C1586,'Review Sequence'!J2:J1586),"")</x:f>
        <x:v>Not Started</x:v>
      </x:c>
      <x:c r="H1359" s="7" t="str">
        <x:f>IFERROR(XLOOKUP(C1359,'Review Sequence'!C2:C1586,'Review Sequence'!O2:O1586),"")</x:f>
      </x:c>
      <x:c r="I1359" s="6" t="str">
        <x:f>IFERROR(XLOOKUP(C1359,'Review Sequence'!C2:C1586,'Review Sequence'!P2:P1586),"")</x:f>
        <x:v>Yes</x:v>
      </x:c>
    </x:row>
    <x:row r="1360">
      <x:c r="A1360" s="6" t="str">
        <x:v>BLK-1359</x:v>
      </x:c>
      <x:c r="B1360" s="6" t="str">
        <x:v>Labor Reference</x:v>
      </x:c>
      <x:c r="C1360" s="6" t="str">
        <x:v>LABX-0088</x:v>
      </x:c>
      <x:c r="D1360" s="6" t="str">
        <x:v>SVC000088</x:v>
      </x:c>
      <x:c r="E1360" s="6" t="str"/>
      <x:c r="F1360" s="6" t="str">
        <x:f>IFERROR(XLOOKUP(C1360,'Review Sequence'!C2:C1586,'Review Sequence'!I2:I1586),"")</x:f>
        <x:v>Not Started</x:v>
      </x:c>
      <x:c r="G1360" s="6" t="str">
        <x:f>IFERROR(XLOOKUP(C1360,'Review Sequence'!C2:C1586,'Review Sequence'!J2:J1586),"")</x:f>
        <x:v>Not Started</x:v>
      </x:c>
      <x:c r="H1360" s="7" t="str">
        <x:f>IFERROR(XLOOKUP(C1360,'Review Sequence'!C2:C1586,'Review Sequence'!O2:O1586),"")</x:f>
      </x:c>
      <x:c r="I1360" s="6" t="str">
        <x:f>IFERROR(XLOOKUP(C1360,'Review Sequence'!C2:C1586,'Review Sequence'!P2:P1586),"")</x:f>
        <x:v>Yes</x:v>
      </x:c>
    </x:row>
    <x:row r="1361">
      <x:c r="A1361" s="6" t="str">
        <x:v>BLK-1360</x:v>
      </x:c>
      <x:c r="B1361" s="6" t="str">
        <x:v>Labor Reference</x:v>
      </x:c>
      <x:c r="C1361" s="6" t="str">
        <x:v>LABX-0089</x:v>
      </x:c>
      <x:c r="D1361" s="6" t="str">
        <x:v>SVC000089</x:v>
      </x:c>
      <x:c r="E1361" s="6" t="str"/>
      <x:c r="F1361" s="6" t="str">
        <x:f>IFERROR(XLOOKUP(C1361,'Review Sequence'!C2:C1586,'Review Sequence'!I2:I1586),"")</x:f>
        <x:v>Not Started</x:v>
      </x:c>
      <x:c r="G1361" s="6" t="str">
        <x:f>IFERROR(XLOOKUP(C1361,'Review Sequence'!C2:C1586,'Review Sequence'!J2:J1586),"")</x:f>
        <x:v>Not Started</x:v>
      </x:c>
      <x:c r="H1361" s="7" t="str">
        <x:f>IFERROR(XLOOKUP(C1361,'Review Sequence'!C2:C1586,'Review Sequence'!O2:O1586),"")</x:f>
      </x:c>
      <x:c r="I1361" s="6" t="str">
        <x:f>IFERROR(XLOOKUP(C1361,'Review Sequence'!C2:C1586,'Review Sequence'!P2:P1586),"")</x:f>
        <x:v>Yes</x:v>
      </x:c>
    </x:row>
    <x:row r="1362">
      <x:c r="A1362" s="6" t="str">
        <x:v>BLK-1361</x:v>
      </x:c>
      <x:c r="B1362" s="6" t="str">
        <x:v>Labor Reference</x:v>
      </x:c>
      <x:c r="C1362" s="6" t="str">
        <x:v>LABX-0090</x:v>
      </x:c>
      <x:c r="D1362" s="6" t="str">
        <x:v>SVC000090</x:v>
      </x:c>
      <x:c r="E1362" s="6" t="str"/>
      <x:c r="F1362" s="6" t="str">
        <x:f>IFERROR(XLOOKUP(C1362,'Review Sequence'!C2:C1586,'Review Sequence'!I2:I1586),"")</x:f>
        <x:v>Not Started</x:v>
      </x:c>
      <x:c r="G1362" s="6" t="str">
        <x:f>IFERROR(XLOOKUP(C1362,'Review Sequence'!C2:C1586,'Review Sequence'!J2:J1586),"")</x:f>
        <x:v>Not Started</x:v>
      </x:c>
      <x:c r="H1362" s="7" t="str">
        <x:f>IFERROR(XLOOKUP(C1362,'Review Sequence'!C2:C1586,'Review Sequence'!O2:O1586),"")</x:f>
      </x:c>
      <x:c r="I1362" s="6" t="str">
        <x:f>IFERROR(XLOOKUP(C1362,'Review Sequence'!C2:C1586,'Review Sequence'!P2:P1586),"")</x:f>
        <x:v>Yes</x:v>
      </x:c>
    </x:row>
    <x:row r="1363">
      <x:c r="A1363" s="6" t="str">
        <x:v>BLK-1362</x:v>
      </x:c>
      <x:c r="B1363" s="6" t="str">
        <x:v>Labor Reference</x:v>
      </x:c>
      <x:c r="C1363" s="6" t="str">
        <x:v>LABX-0091</x:v>
      </x:c>
      <x:c r="D1363" s="6" t="str">
        <x:v>SVC000091</x:v>
      </x:c>
      <x:c r="E1363" s="6" t="str"/>
      <x:c r="F1363" s="6" t="str">
        <x:f>IFERROR(XLOOKUP(C1363,'Review Sequence'!C2:C1586,'Review Sequence'!I2:I1586),"")</x:f>
        <x:v>Not Started</x:v>
      </x:c>
      <x:c r="G1363" s="6" t="str">
        <x:f>IFERROR(XLOOKUP(C1363,'Review Sequence'!C2:C1586,'Review Sequence'!J2:J1586),"")</x:f>
        <x:v>Not Started</x:v>
      </x:c>
      <x:c r="H1363" s="7" t="str">
        <x:f>IFERROR(XLOOKUP(C1363,'Review Sequence'!C2:C1586,'Review Sequence'!O2:O1586),"")</x:f>
      </x:c>
      <x:c r="I1363" s="6" t="str">
        <x:f>IFERROR(XLOOKUP(C1363,'Review Sequence'!C2:C1586,'Review Sequence'!P2:P1586),"")</x:f>
        <x:v>Yes</x:v>
      </x:c>
    </x:row>
    <x:row r="1364">
      <x:c r="A1364" s="6" t="str">
        <x:v>BLK-1363</x:v>
      </x:c>
      <x:c r="B1364" s="6" t="str">
        <x:v>Labor Reference</x:v>
      </x:c>
      <x:c r="C1364" s="6" t="str">
        <x:v>LABX-0092</x:v>
      </x:c>
      <x:c r="D1364" s="6" t="str">
        <x:v>SVC000092</x:v>
      </x:c>
      <x:c r="E1364" s="6" t="str"/>
      <x:c r="F1364" s="6" t="str">
        <x:f>IFERROR(XLOOKUP(C1364,'Review Sequence'!C2:C1586,'Review Sequence'!I2:I1586),"")</x:f>
        <x:v>Not Started</x:v>
      </x:c>
      <x:c r="G1364" s="6" t="str">
        <x:f>IFERROR(XLOOKUP(C1364,'Review Sequence'!C2:C1586,'Review Sequence'!J2:J1586),"")</x:f>
        <x:v>Not Started</x:v>
      </x:c>
      <x:c r="H1364" s="7" t="str">
        <x:f>IFERROR(XLOOKUP(C1364,'Review Sequence'!C2:C1586,'Review Sequence'!O2:O1586),"")</x:f>
      </x:c>
      <x:c r="I1364" s="6" t="str">
        <x:f>IFERROR(XLOOKUP(C1364,'Review Sequence'!C2:C1586,'Review Sequence'!P2:P1586),"")</x:f>
        <x:v>Yes</x:v>
      </x:c>
    </x:row>
    <x:row r="1365">
      <x:c r="A1365" s="6" t="str">
        <x:v>BLK-1364</x:v>
      </x:c>
      <x:c r="B1365" s="6" t="str">
        <x:v>Labor Reference</x:v>
      </x:c>
      <x:c r="C1365" s="6" t="str">
        <x:v>LABX-0093</x:v>
      </x:c>
      <x:c r="D1365" s="6" t="str">
        <x:v>SVC000093</x:v>
      </x:c>
      <x:c r="E1365" s="6" t="str"/>
      <x:c r="F1365" s="6" t="str">
        <x:f>IFERROR(XLOOKUP(C1365,'Review Sequence'!C2:C1586,'Review Sequence'!I2:I1586),"")</x:f>
        <x:v>Not Started</x:v>
      </x:c>
      <x:c r="G1365" s="6" t="str">
        <x:f>IFERROR(XLOOKUP(C1365,'Review Sequence'!C2:C1586,'Review Sequence'!J2:J1586),"")</x:f>
        <x:v>Not Started</x:v>
      </x:c>
      <x:c r="H1365" s="7" t="str">
        <x:f>IFERROR(XLOOKUP(C1365,'Review Sequence'!C2:C1586,'Review Sequence'!O2:O1586),"")</x:f>
      </x:c>
      <x:c r="I1365" s="6" t="str">
        <x:f>IFERROR(XLOOKUP(C1365,'Review Sequence'!C2:C1586,'Review Sequence'!P2:P1586),"")</x:f>
        <x:v>Yes</x:v>
      </x:c>
    </x:row>
    <x:row r="1366">
      <x:c r="A1366" s="6" t="str">
        <x:v>BLK-1365</x:v>
      </x:c>
      <x:c r="B1366" s="6" t="str">
        <x:v>Labor Reference</x:v>
      </x:c>
      <x:c r="C1366" s="6" t="str">
        <x:v>LABX-0094</x:v>
      </x:c>
      <x:c r="D1366" s="6" t="str">
        <x:v>SVC000094</x:v>
      </x:c>
      <x:c r="E1366" s="6" t="str"/>
      <x:c r="F1366" s="6" t="str">
        <x:f>IFERROR(XLOOKUP(C1366,'Review Sequence'!C2:C1586,'Review Sequence'!I2:I1586),"")</x:f>
        <x:v>Not Started</x:v>
      </x:c>
      <x:c r="G1366" s="6" t="str">
        <x:f>IFERROR(XLOOKUP(C1366,'Review Sequence'!C2:C1586,'Review Sequence'!J2:J1586),"")</x:f>
        <x:v>Not Started</x:v>
      </x:c>
      <x:c r="H1366" s="7" t="str">
        <x:f>IFERROR(XLOOKUP(C1366,'Review Sequence'!C2:C1586,'Review Sequence'!O2:O1586),"")</x:f>
      </x:c>
      <x:c r="I1366" s="6" t="str">
        <x:f>IFERROR(XLOOKUP(C1366,'Review Sequence'!C2:C1586,'Review Sequence'!P2:P1586),"")</x:f>
        <x:v>Yes</x:v>
      </x:c>
    </x:row>
    <x:row r="1367">
      <x:c r="A1367" s="6" t="str">
        <x:v>BLK-1366</x:v>
      </x:c>
      <x:c r="B1367" s="6" t="str">
        <x:v>Labor Reference</x:v>
      </x:c>
      <x:c r="C1367" s="6" t="str">
        <x:v>LABX-0095</x:v>
      </x:c>
      <x:c r="D1367" s="6" t="str">
        <x:v>SVC000095</x:v>
      </x:c>
      <x:c r="E1367" s="6" t="str"/>
      <x:c r="F1367" s="6" t="str">
        <x:f>IFERROR(XLOOKUP(C1367,'Review Sequence'!C2:C1586,'Review Sequence'!I2:I1586),"")</x:f>
        <x:v>Not Started</x:v>
      </x:c>
      <x:c r="G1367" s="6" t="str">
        <x:f>IFERROR(XLOOKUP(C1367,'Review Sequence'!C2:C1586,'Review Sequence'!J2:J1586),"")</x:f>
        <x:v>Not Started</x:v>
      </x:c>
      <x:c r="H1367" s="7" t="str">
        <x:f>IFERROR(XLOOKUP(C1367,'Review Sequence'!C2:C1586,'Review Sequence'!O2:O1586),"")</x:f>
      </x:c>
      <x:c r="I1367" s="6" t="str">
        <x:f>IFERROR(XLOOKUP(C1367,'Review Sequence'!C2:C1586,'Review Sequence'!P2:P1586),"")</x:f>
        <x:v>Yes</x:v>
      </x:c>
    </x:row>
    <x:row r="1368">
      <x:c r="A1368" s="6" t="str">
        <x:v>BLK-1367</x:v>
      </x:c>
      <x:c r="B1368" s="6" t="str">
        <x:v>Labor Reference</x:v>
      </x:c>
      <x:c r="C1368" s="6" t="str">
        <x:v>LABX-0096</x:v>
      </x:c>
      <x:c r="D1368" s="6" t="str">
        <x:v>SVC000096</x:v>
      </x:c>
      <x:c r="E1368" s="6" t="str"/>
      <x:c r="F1368" s="6" t="str">
        <x:f>IFERROR(XLOOKUP(C1368,'Review Sequence'!C2:C1586,'Review Sequence'!I2:I1586),"")</x:f>
        <x:v>Not Started</x:v>
      </x:c>
      <x:c r="G1368" s="6" t="str">
        <x:f>IFERROR(XLOOKUP(C1368,'Review Sequence'!C2:C1586,'Review Sequence'!J2:J1586),"")</x:f>
        <x:v>Not Started</x:v>
      </x:c>
      <x:c r="H1368" s="7" t="str">
        <x:f>IFERROR(XLOOKUP(C1368,'Review Sequence'!C2:C1586,'Review Sequence'!O2:O1586),"")</x:f>
      </x:c>
      <x:c r="I1368" s="6" t="str">
        <x:f>IFERROR(XLOOKUP(C1368,'Review Sequence'!C2:C1586,'Review Sequence'!P2:P1586),"")</x:f>
        <x:v>Yes</x:v>
      </x:c>
    </x:row>
    <x:row r="1369">
      <x:c r="A1369" s="6" t="str">
        <x:v>BLK-1368</x:v>
      </x:c>
      <x:c r="B1369" s="6" t="str">
        <x:v>Labor Reference</x:v>
      </x:c>
      <x:c r="C1369" s="6" t="str">
        <x:v>LABX-0097</x:v>
      </x:c>
      <x:c r="D1369" s="6" t="str">
        <x:v>SVC000097</x:v>
      </x:c>
      <x:c r="E1369" s="6" t="str"/>
      <x:c r="F1369" s="6" t="str">
        <x:f>IFERROR(XLOOKUP(C1369,'Review Sequence'!C2:C1586,'Review Sequence'!I2:I1586),"")</x:f>
        <x:v>Not Started</x:v>
      </x:c>
      <x:c r="G1369" s="6" t="str">
        <x:f>IFERROR(XLOOKUP(C1369,'Review Sequence'!C2:C1586,'Review Sequence'!J2:J1586),"")</x:f>
        <x:v>Not Started</x:v>
      </x:c>
      <x:c r="H1369" s="7" t="str">
        <x:f>IFERROR(XLOOKUP(C1369,'Review Sequence'!C2:C1586,'Review Sequence'!O2:O1586),"")</x:f>
      </x:c>
      <x:c r="I1369" s="6" t="str">
        <x:f>IFERROR(XLOOKUP(C1369,'Review Sequence'!C2:C1586,'Review Sequence'!P2:P1586),"")</x:f>
        <x:v>Yes</x:v>
      </x:c>
    </x:row>
    <x:row r="1370">
      <x:c r="A1370" s="6" t="str">
        <x:v>BLK-1369</x:v>
      </x:c>
      <x:c r="B1370" s="6" t="str">
        <x:v>Labor Reference</x:v>
      </x:c>
      <x:c r="C1370" s="6" t="str">
        <x:v>LABX-0098</x:v>
      </x:c>
      <x:c r="D1370" s="6" t="str">
        <x:v>SVC000098</x:v>
      </x:c>
      <x:c r="E1370" s="6" t="str"/>
      <x:c r="F1370" s="6" t="str">
        <x:f>IFERROR(XLOOKUP(C1370,'Review Sequence'!C2:C1586,'Review Sequence'!I2:I1586),"")</x:f>
        <x:v>Not Started</x:v>
      </x:c>
      <x:c r="G1370" s="6" t="str">
        <x:f>IFERROR(XLOOKUP(C1370,'Review Sequence'!C2:C1586,'Review Sequence'!J2:J1586),"")</x:f>
        <x:v>Not Started</x:v>
      </x:c>
      <x:c r="H1370" s="7" t="str">
        <x:f>IFERROR(XLOOKUP(C1370,'Review Sequence'!C2:C1586,'Review Sequence'!O2:O1586),"")</x:f>
      </x:c>
      <x:c r="I1370" s="6" t="str">
        <x:f>IFERROR(XLOOKUP(C1370,'Review Sequence'!C2:C1586,'Review Sequence'!P2:P1586),"")</x:f>
        <x:v>Yes</x:v>
      </x:c>
    </x:row>
    <x:row r="1371">
      <x:c r="A1371" s="6" t="str">
        <x:v>BLK-1370</x:v>
      </x:c>
      <x:c r="B1371" s="6" t="str">
        <x:v>Labor Reference</x:v>
      </x:c>
      <x:c r="C1371" s="6" t="str">
        <x:v>LABX-0099</x:v>
      </x:c>
      <x:c r="D1371" s="6" t="str">
        <x:v>SVC000099</x:v>
      </x:c>
      <x:c r="E1371" s="6" t="str"/>
      <x:c r="F1371" s="6" t="str">
        <x:f>IFERROR(XLOOKUP(C1371,'Review Sequence'!C2:C1586,'Review Sequence'!I2:I1586),"")</x:f>
        <x:v>Not Started</x:v>
      </x:c>
      <x:c r="G1371" s="6" t="str">
        <x:f>IFERROR(XLOOKUP(C1371,'Review Sequence'!C2:C1586,'Review Sequence'!J2:J1586),"")</x:f>
        <x:v>Not Started</x:v>
      </x:c>
      <x:c r="H1371" s="7" t="str">
        <x:f>IFERROR(XLOOKUP(C1371,'Review Sequence'!C2:C1586,'Review Sequence'!O2:O1586),"")</x:f>
      </x:c>
      <x:c r="I1371" s="6" t="str">
        <x:f>IFERROR(XLOOKUP(C1371,'Review Sequence'!C2:C1586,'Review Sequence'!P2:P1586),"")</x:f>
        <x:v>Yes</x:v>
      </x:c>
    </x:row>
    <x:row r="1372">
      <x:c r="A1372" s="6" t="str">
        <x:v>BLK-1371</x:v>
      </x:c>
      <x:c r="B1372" s="6" t="str">
        <x:v>Labor Reference</x:v>
      </x:c>
      <x:c r="C1372" s="6" t="str">
        <x:v>LABX-0100</x:v>
      </x:c>
      <x:c r="D1372" s="6" t="str">
        <x:v>SVC000100</x:v>
      </x:c>
      <x:c r="E1372" s="6" t="str"/>
      <x:c r="F1372" s="6" t="str">
        <x:f>IFERROR(XLOOKUP(C1372,'Review Sequence'!C2:C1586,'Review Sequence'!I2:I1586),"")</x:f>
        <x:v>Not Started</x:v>
      </x:c>
      <x:c r="G1372" s="6" t="str">
        <x:f>IFERROR(XLOOKUP(C1372,'Review Sequence'!C2:C1586,'Review Sequence'!J2:J1586),"")</x:f>
        <x:v>Not Started</x:v>
      </x:c>
      <x:c r="H1372" s="7" t="str">
        <x:f>IFERROR(XLOOKUP(C1372,'Review Sequence'!C2:C1586,'Review Sequence'!O2:O1586),"")</x:f>
      </x:c>
      <x:c r="I1372" s="6" t="str">
        <x:f>IFERROR(XLOOKUP(C1372,'Review Sequence'!C2:C1586,'Review Sequence'!P2:P1586),"")</x:f>
        <x:v>Yes</x:v>
      </x:c>
    </x:row>
    <x:row r="1373">
      <x:c r="A1373" s="6" t="str">
        <x:v>BLK-1372</x:v>
      </x:c>
      <x:c r="B1373" s="6" t="str">
        <x:v>Labor Reference</x:v>
      </x:c>
      <x:c r="C1373" s="6" t="str">
        <x:v>LABX-0101</x:v>
      </x:c>
      <x:c r="D1373" s="6" t="str">
        <x:v>SVC000101</x:v>
      </x:c>
      <x:c r="E1373" s="6" t="str"/>
      <x:c r="F1373" s="6" t="str">
        <x:f>IFERROR(XLOOKUP(C1373,'Review Sequence'!C2:C1586,'Review Sequence'!I2:I1586),"")</x:f>
        <x:v>Not Started</x:v>
      </x:c>
      <x:c r="G1373" s="6" t="str">
        <x:f>IFERROR(XLOOKUP(C1373,'Review Sequence'!C2:C1586,'Review Sequence'!J2:J1586),"")</x:f>
        <x:v>Not Started</x:v>
      </x:c>
      <x:c r="H1373" s="7" t="str">
        <x:f>IFERROR(XLOOKUP(C1373,'Review Sequence'!C2:C1586,'Review Sequence'!O2:O1586),"")</x:f>
      </x:c>
      <x:c r="I1373" s="6" t="str">
        <x:f>IFERROR(XLOOKUP(C1373,'Review Sequence'!C2:C1586,'Review Sequence'!P2:P1586),"")</x:f>
        <x:v>Yes</x:v>
      </x:c>
    </x:row>
    <x:row r="1374">
      <x:c r="A1374" s="6" t="str">
        <x:v>BLK-1373</x:v>
      </x:c>
      <x:c r="B1374" s="6" t="str">
        <x:v>Labor Reference</x:v>
      </x:c>
      <x:c r="C1374" s="6" t="str">
        <x:v>LABX-0102</x:v>
      </x:c>
      <x:c r="D1374" s="6" t="str">
        <x:v>SVC000102</x:v>
      </x:c>
      <x:c r="E1374" s="6" t="str"/>
      <x:c r="F1374" s="6" t="str">
        <x:f>IFERROR(XLOOKUP(C1374,'Review Sequence'!C2:C1586,'Review Sequence'!I2:I1586),"")</x:f>
        <x:v>Not Started</x:v>
      </x:c>
      <x:c r="G1374" s="6" t="str">
        <x:f>IFERROR(XLOOKUP(C1374,'Review Sequence'!C2:C1586,'Review Sequence'!J2:J1586),"")</x:f>
        <x:v>Not Started</x:v>
      </x:c>
      <x:c r="H1374" s="7" t="str">
        <x:f>IFERROR(XLOOKUP(C1374,'Review Sequence'!C2:C1586,'Review Sequence'!O2:O1586),"")</x:f>
      </x:c>
      <x:c r="I1374" s="6" t="str">
        <x:f>IFERROR(XLOOKUP(C1374,'Review Sequence'!C2:C1586,'Review Sequence'!P2:P1586),"")</x:f>
        <x:v>Yes</x:v>
      </x:c>
    </x:row>
    <x:row r="1375">
      <x:c r="A1375" s="6" t="str">
        <x:v>BLK-1374</x:v>
      </x:c>
      <x:c r="B1375" s="6" t="str">
        <x:v>Labor Reference</x:v>
      </x:c>
      <x:c r="C1375" s="6" t="str">
        <x:v>LABX-0103</x:v>
      </x:c>
      <x:c r="D1375" s="6" t="str">
        <x:v>SVC000103</x:v>
      </x:c>
      <x:c r="E1375" s="6" t="str"/>
      <x:c r="F1375" s="6" t="str">
        <x:f>IFERROR(XLOOKUP(C1375,'Review Sequence'!C2:C1586,'Review Sequence'!I2:I1586),"")</x:f>
        <x:v>Not Started</x:v>
      </x:c>
      <x:c r="G1375" s="6" t="str">
        <x:f>IFERROR(XLOOKUP(C1375,'Review Sequence'!C2:C1586,'Review Sequence'!J2:J1586),"")</x:f>
        <x:v>Not Started</x:v>
      </x:c>
      <x:c r="H1375" s="7" t="str">
        <x:f>IFERROR(XLOOKUP(C1375,'Review Sequence'!C2:C1586,'Review Sequence'!O2:O1586),"")</x:f>
      </x:c>
      <x:c r="I1375" s="6" t="str">
        <x:f>IFERROR(XLOOKUP(C1375,'Review Sequence'!C2:C1586,'Review Sequence'!P2:P1586),"")</x:f>
        <x:v>Yes</x:v>
      </x:c>
    </x:row>
    <x:row r="1376">
      <x:c r="A1376" s="6" t="str">
        <x:v>BLK-1375</x:v>
      </x:c>
      <x:c r="B1376" s="6" t="str">
        <x:v>Labor Reference</x:v>
      </x:c>
      <x:c r="C1376" s="6" t="str">
        <x:v>LABX-0104</x:v>
      </x:c>
      <x:c r="D1376" s="6" t="str">
        <x:v>SVC000104</x:v>
      </x:c>
      <x:c r="E1376" s="6" t="str"/>
      <x:c r="F1376" s="6" t="str">
        <x:f>IFERROR(XLOOKUP(C1376,'Review Sequence'!C2:C1586,'Review Sequence'!I2:I1586),"")</x:f>
        <x:v>Not Started</x:v>
      </x:c>
      <x:c r="G1376" s="6" t="str">
        <x:f>IFERROR(XLOOKUP(C1376,'Review Sequence'!C2:C1586,'Review Sequence'!J2:J1586),"")</x:f>
        <x:v>Not Started</x:v>
      </x:c>
      <x:c r="H1376" s="7" t="str">
        <x:f>IFERROR(XLOOKUP(C1376,'Review Sequence'!C2:C1586,'Review Sequence'!O2:O1586),"")</x:f>
      </x:c>
      <x:c r="I1376" s="6" t="str">
        <x:f>IFERROR(XLOOKUP(C1376,'Review Sequence'!C2:C1586,'Review Sequence'!P2:P1586),"")</x:f>
        <x:v>Yes</x:v>
      </x:c>
    </x:row>
    <x:row r="1377">
      <x:c r="A1377" s="6" t="str">
        <x:v>BLK-1376</x:v>
      </x:c>
      <x:c r="B1377" s="6" t="str">
        <x:v>Labor Reference</x:v>
      </x:c>
      <x:c r="C1377" s="6" t="str">
        <x:v>LABX-0105</x:v>
      </x:c>
      <x:c r="D1377" s="6" t="str">
        <x:v>SVC000105</x:v>
      </x:c>
      <x:c r="E1377" s="6" t="str"/>
      <x:c r="F1377" s="6" t="str">
        <x:f>IFERROR(XLOOKUP(C1377,'Review Sequence'!C2:C1586,'Review Sequence'!I2:I1586),"")</x:f>
        <x:v>Not Started</x:v>
      </x:c>
      <x:c r="G1377" s="6" t="str">
        <x:f>IFERROR(XLOOKUP(C1377,'Review Sequence'!C2:C1586,'Review Sequence'!J2:J1586),"")</x:f>
        <x:v>Not Started</x:v>
      </x:c>
      <x:c r="H1377" s="7" t="str">
        <x:f>IFERROR(XLOOKUP(C1377,'Review Sequence'!C2:C1586,'Review Sequence'!O2:O1586),"")</x:f>
      </x:c>
      <x:c r="I1377" s="6" t="str">
        <x:f>IFERROR(XLOOKUP(C1377,'Review Sequence'!C2:C1586,'Review Sequence'!P2:P1586),"")</x:f>
        <x:v>Yes</x:v>
      </x:c>
    </x:row>
    <x:row r="1378">
      <x:c r="A1378" s="6" t="str">
        <x:v>BLK-1377</x:v>
      </x:c>
      <x:c r="B1378" s="6" t="str">
        <x:v>Labor Reference</x:v>
      </x:c>
      <x:c r="C1378" s="6" t="str">
        <x:v>LABX-0106</x:v>
      </x:c>
      <x:c r="D1378" s="6" t="str">
        <x:v>SVC000106</x:v>
      </x:c>
      <x:c r="E1378" s="6" t="str"/>
      <x:c r="F1378" s="6" t="str">
        <x:f>IFERROR(XLOOKUP(C1378,'Review Sequence'!C2:C1586,'Review Sequence'!I2:I1586),"")</x:f>
        <x:v>Not Started</x:v>
      </x:c>
      <x:c r="G1378" s="6" t="str">
        <x:f>IFERROR(XLOOKUP(C1378,'Review Sequence'!C2:C1586,'Review Sequence'!J2:J1586),"")</x:f>
        <x:v>Not Started</x:v>
      </x:c>
      <x:c r="H1378" s="7" t="str">
        <x:f>IFERROR(XLOOKUP(C1378,'Review Sequence'!C2:C1586,'Review Sequence'!O2:O1586),"")</x:f>
      </x:c>
      <x:c r="I1378" s="6" t="str">
        <x:f>IFERROR(XLOOKUP(C1378,'Review Sequence'!C2:C1586,'Review Sequence'!P2:P1586),"")</x:f>
        <x:v>Yes</x:v>
      </x:c>
    </x:row>
    <x:row r="1379">
      <x:c r="A1379" s="6" t="str">
        <x:v>BLK-1378</x:v>
      </x:c>
      <x:c r="B1379" s="6" t="str">
        <x:v>Labor Reference</x:v>
      </x:c>
      <x:c r="C1379" s="6" t="str">
        <x:v>LABX-0107</x:v>
      </x:c>
      <x:c r="D1379" s="6" t="str">
        <x:v>SVC000107</x:v>
      </x:c>
      <x:c r="E1379" s="6" t="str"/>
      <x:c r="F1379" s="6" t="str">
        <x:f>IFERROR(XLOOKUP(C1379,'Review Sequence'!C2:C1586,'Review Sequence'!I2:I1586),"")</x:f>
        <x:v>Not Started</x:v>
      </x:c>
      <x:c r="G1379" s="6" t="str">
        <x:f>IFERROR(XLOOKUP(C1379,'Review Sequence'!C2:C1586,'Review Sequence'!J2:J1586),"")</x:f>
        <x:v>Not Started</x:v>
      </x:c>
      <x:c r="H1379" s="7" t="str">
        <x:f>IFERROR(XLOOKUP(C1379,'Review Sequence'!C2:C1586,'Review Sequence'!O2:O1586),"")</x:f>
      </x:c>
      <x:c r="I1379" s="6" t="str">
        <x:f>IFERROR(XLOOKUP(C1379,'Review Sequence'!C2:C1586,'Review Sequence'!P2:P1586),"")</x:f>
        <x:v>Yes</x:v>
      </x:c>
    </x:row>
    <x:row r="1380">
      <x:c r="A1380" s="6" t="str">
        <x:v>BLK-1379</x:v>
      </x:c>
      <x:c r="B1380" s="6" t="str">
        <x:v>Labor Reference</x:v>
      </x:c>
      <x:c r="C1380" s="6" t="str">
        <x:v>LABX-0108</x:v>
      </x:c>
      <x:c r="D1380" s="6" t="str">
        <x:v>SVC000108</x:v>
      </x:c>
      <x:c r="E1380" s="6" t="str"/>
      <x:c r="F1380" s="6" t="str">
        <x:f>IFERROR(XLOOKUP(C1380,'Review Sequence'!C2:C1586,'Review Sequence'!I2:I1586),"")</x:f>
        <x:v>Not Started</x:v>
      </x:c>
      <x:c r="G1380" s="6" t="str">
        <x:f>IFERROR(XLOOKUP(C1380,'Review Sequence'!C2:C1586,'Review Sequence'!J2:J1586),"")</x:f>
        <x:v>Not Started</x:v>
      </x:c>
      <x:c r="H1380" s="7" t="str">
        <x:f>IFERROR(XLOOKUP(C1380,'Review Sequence'!C2:C1586,'Review Sequence'!O2:O1586),"")</x:f>
      </x:c>
      <x:c r="I1380" s="6" t="str">
        <x:f>IFERROR(XLOOKUP(C1380,'Review Sequence'!C2:C1586,'Review Sequence'!P2:P1586),"")</x:f>
        <x:v>Yes</x:v>
      </x:c>
    </x:row>
    <x:row r="1381">
      <x:c r="A1381" s="6" t="str">
        <x:v>BLK-1380</x:v>
      </x:c>
      <x:c r="B1381" s="6" t="str">
        <x:v>Labor Reference</x:v>
      </x:c>
      <x:c r="C1381" s="6" t="str">
        <x:v>LABX-0109</x:v>
      </x:c>
      <x:c r="D1381" s="6" t="str">
        <x:v>SVC000109</x:v>
      </x:c>
      <x:c r="E1381" s="6" t="str"/>
      <x:c r="F1381" s="6" t="str">
        <x:f>IFERROR(XLOOKUP(C1381,'Review Sequence'!C2:C1586,'Review Sequence'!I2:I1586),"")</x:f>
        <x:v>Not Started</x:v>
      </x:c>
      <x:c r="G1381" s="6" t="str">
        <x:f>IFERROR(XLOOKUP(C1381,'Review Sequence'!C2:C1586,'Review Sequence'!J2:J1586),"")</x:f>
        <x:v>Not Started</x:v>
      </x:c>
      <x:c r="H1381" s="7" t="str">
        <x:f>IFERROR(XLOOKUP(C1381,'Review Sequence'!C2:C1586,'Review Sequence'!O2:O1586),"")</x:f>
      </x:c>
      <x:c r="I1381" s="6" t="str">
        <x:f>IFERROR(XLOOKUP(C1381,'Review Sequence'!C2:C1586,'Review Sequence'!P2:P1586),"")</x:f>
        <x:v>Yes</x:v>
      </x:c>
    </x:row>
    <x:row r="1382">
      <x:c r="A1382" s="6" t="str">
        <x:v>BLK-1381</x:v>
      </x:c>
      <x:c r="B1382" s="6" t="str">
        <x:v>Labor Reference</x:v>
      </x:c>
      <x:c r="C1382" s="6" t="str">
        <x:v>LABX-0110</x:v>
      </x:c>
      <x:c r="D1382" s="6" t="str">
        <x:v>SVC000110</x:v>
      </x:c>
      <x:c r="E1382" s="6" t="str"/>
      <x:c r="F1382" s="6" t="str">
        <x:f>IFERROR(XLOOKUP(C1382,'Review Sequence'!C2:C1586,'Review Sequence'!I2:I1586),"")</x:f>
        <x:v>Not Started</x:v>
      </x:c>
      <x:c r="G1382" s="6" t="str">
        <x:f>IFERROR(XLOOKUP(C1382,'Review Sequence'!C2:C1586,'Review Sequence'!J2:J1586),"")</x:f>
        <x:v>Not Started</x:v>
      </x:c>
      <x:c r="H1382" s="7" t="str">
        <x:f>IFERROR(XLOOKUP(C1382,'Review Sequence'!C2:C1586,'Review Sequence'!O2:O1586),"")</x:f>
      </x:c>
      <x:c r="I1382" s="6" t="str">
        <x:f>IFERROR(XLOOKUP(C1382,'Review Sequence'!C2:C1586,'Review Sequence'!P2:P1586),"")</x:f>
        <x:v>Yes</x:v>
      </x:c>
    </x:row>
    <x:row r="1383">
      <x:c r="A1383" s="6" t="str">
        <x:v>BLK-1382</x:v>
      </x:c>
      <x:c r="B1383" s="6" t="str">
        <x:v>Labor Reference</x:v>
      </x:c>
      <x:c r="C1383" s="6" t="str">
        <x:v>LABX-0111</x:v>
      </x:c>
      <x:c r="D1383" s="6" t="str">
        <x:v>SVC000111</x:v>
      </x:c>
      <x:c r="E1383" s="6" t="str"/>
      <x:c r="F1383" s="6" t="str">
        <x:f>IFERROR(XLOOKUP(C1383,'Review Sequence'!C2:C1586,'Review Sequence'!I2:I1586),"")</x:f>
        <x:v>Not Started</x:v>
      </x:c>
      <x:c r="G1383" s="6" t="str">
        <x:f>IFERROR(XLOOKUP(C1383,'Review Sequence'!C2:C1586,'Review Sequence'!J2:J1586),"")</x:f>
        <x:v>Not Started</x:v>
      </x:c>
      <x:c r="H1383" s="7" t="str">
        <x:f>IFERROR(XLOOKUP(C1383,'Review Sequence'!C2:C1586,'Review Sequence'!O2:O1586),"")</x:f>
      </x:c>
      <x:c r="I1383" s="6" t="str">
        <x:f>IFERROR(XLOOKUP(C1383,'Review Sequence'!C2:C1586,'Review Sequence'!P2:P1586),"")</x:f>
        <x:v>Yes</x:v>
      </x:c>
    </x:row>
    <x:row r="1384">
      <x:c r="A1384" s="6" t="str">
        <x:v>BLK-1383</x:v>
      </x:c>
      <x:c r="B1384" s="6" t="str">
        <x:v>Labor Reference</x:v>
      </x:c>
      <x:c r="C1384" s="6" t="str">
        <x:v>LABX-0112</x:v>
      </x:c>
      <x:c r="D1384" s="6" t="str">
        <x:v>SVC000112</x:v>
      </x:c>
      <x:c r="E1384" s="6" t="str"/>
      <x:c r="F1384" s="6" t="str">
        <x:f>IFERROR(XLOOKUP(C1384,'Review Sequence'!C2:C1586,'Review Sequence'!I2:I1586),"")</x:f>
        <x:v>Not Started</x:v>
      </x:c>
      <x:c r="G1384" s="6" t="str">
        <x:f>IFERROR(XLOOKUP(C1384,'Review Sequence'!C2:C1586,'Review Sequence'!J2:J1586),"")</x:f>
        <x:v>Not Started</x:v>
      </x:c>
      <x:c r="H1384" s="7" t="str">
        <x:f>IFERROR(XLOOKUP(C1384,'Review Sequence'!C2:C1586,'Review Sequence'!O2:O1586),"")</x:f>
      </x:c>
      <x:c r="I1384" s="6" t="str">
        <x:f>IFERROR(XLOOKUP(C1384,'Review Sequence'!C2:C1586,'Review Sequence'!P2:P1586),"")</x:f>
        <x:v>Yes</x:v>
      </x:c>
    </x:row>
    <x:row r="1385">
      <x:c r="A1385" s="6" t="str">
        <x:v>BLK-1384</x:v>
      </x:c>
      <x:c r="B1385" s="6" t="str">
        <x:v>Labor Reference</x:v>
      </x:c>
      <x:c r="C1385" s="6" t="str">
        <x:v>LABX-0113</x:v>
      </x:c>
      <x:c r="D1385" s="6" t="str">
        <x:v>SVC000113</x:v>
      </x:c>
      <x:c r="E1385" s="6" t="str"/>
      <x:c r="F1385" s="6" t="str">
        <x:f>IFERROR(XLOOKUP(C1385,'Review Sequence'!C2:C1586,'Review Sequence'!I2:I1586),"")</x:f>
        <x:v>Not Started</x:v>
      </x:c>
      <x:c r="G1385" s="6" t="str">
        <x:f>IFERROR(XLOOKUP(C1385,'Review Sequence'!C2:C1586,'Review Sequence'!J2:J1586),"")</x:f>
        <x:v>Not Started</x:v>
      </x:c>
      <x:c r="H1385" s="7" t="str">
        <x:f>IFERROR(XLOOKUP(C1385,'Review Sequence'!C2:C1586,'Review Sequence'!O2:O1586),"")</x:f>
      </x:c>
      <x:c r="I1385" s="6" t="str">
        <x:f>IFERROR(XLOOKUP(C1385,'Review Sequence'!C2:C1586,'Review Sequence'!P2:P1586),"")</x:f>
        <x:v>Yes</x:v>
      </x:c>
    </x:row>
    <x:row r="1386">
      <x:c r="A1386" s="6" t="str">
        <x:v>BLK-1385</x:v>
      </x:c>
      <x:c r="B1386" s="6" t="str">
        <x:v>Labor Reference</x:v>
      </x:c>
      <x:c r="C1386" s="6" t="str">
        <x:v>LABX-0114</x:v>
      </x:c>
      <x:c r="D1386" s="6" t="str">
        <x:v>SVC000114</x:v>
      </x:c>
      <x:c r="E1386" s="6" t="str"/>
      <x:c r="F1386" s="6" t="str">
        <x:f>IFERROR(XLOOKUP(C1386,'Review Sequence'!C2:C1586,'Review Sequence'!I2:I1586),"")</x:f>
        <x:v>Not Started</x:v>
      </x:c>
      <x:c r="G1386" s="6" t="str">
        <x:f>IFERROR(XLOOKUP(C1386,'Review Sequence'!C2:C1586,'Review Sequence'!J2:J1586),"")</x:f>
        <x:v>Not Started</x:v>
      </x:c>
      <x:c r="H1386" s="7" t="str">
        <x:f>IFERROR(XLOOKUP(C1386,'Review Sequence'!C2:C1586,'Review Sequence'!O2:O1586),"")</x:f>
      </x:c>
      <x:c r="I1386" s="6" t="str">
        <x:f>IFERROR(XLOOKUP(C1386,'Review Sequence'!C2:C1586,'Review Sequence'!P2:P1586),"")</x:f>
        <x:v>Yes</x:v>
      </x:c>
    </x:row>
    <x:row r="1387">
      <x:c r="A1387" s="6" t="str">
        <x:v>BLK-1386</x:v>
      </x:c>
      <x:c r="B1387" s="6" t="str">
        <x:v>Labor Reference</x:v>
      </x:c>
      <x:c r="C1387" s="6" t="str">
        <x:v>LABX-0115</x:v>
      </x:c>
      <x:c r="D1387" s="6" t="str">
        <x:v>SVC000115</x:v>
      </x:c>
      <x:c r="E1387" s="6" t="str"/>
      <x:c r="F1387" s="6" t="str">
        <x:f>IFERROR(XLOOKUP(C1387,'Review Sequence'!C2:C1586,'Review Sequence'!I2:I1586),"")</x:f>
        <x:v>Not Started</x:v>
      </x:c>
      <x:c r="G1387" s="6" t="str">
        <x:f>IFERROR(XLOOKUP(C1387,'Review Sequence'!C2:C1586,'Review Sequence'!J2:J1586),"")</x:f>
        <x:v>Not Started</x:v>
      </x:c>
      <x:c r="H1387" s="7" t="str">
        <x:f>IFERROR(XLOOKUP(C1387,'Review Sequence'!C2:C1586,'Review Sequence'!O2:O1586),"")</x:f>
      </x:c>
      <x:c r="I1387" s="6" t="str">
        <x:f>IFERROR(XLOOKUP(C1387,'Review Sequence'!C2:C1586,'Review Sequence'!P2:P1586),"")</x:f>
        <x:v>Yes</x:v>
      </x:c>
    </x:row>
    <x:row r="1388">
      <x:c r="A1388" s="6" t="str">
        <x:v>BLK-1387</x:v>
      </x:c>
      <x:c r="B1388" s="6" t="str">
        <x:v>Labor Reference</x:v>
      </x:c>
      <x:c r="C1388" s="6" t="str">
        <x:v>LABX-0116</x:v>
      </x:c>
      <x:c r="D1388" s="6" t="str">
        <x:v>SVC000116</x:v>
      </x:c>
      <x:c r="E1388" s="6" t="str"/>
      <x:c r="F1388" s="6" t="str">
        <x:f>IFERROR(XLOOKUP(C1388,'Review Sequence'!C2:C1586,'Review Sequence'!I2:I1586),"")</x:f>
        <x:v>Not Started</x:v>
      </x:c>
      <x:c r="G1388" s="6" t="str">
        <x:f>IFERROR(XLOOKUP(C1388,'Review Sequence'!C2:C1586,'Review Sequence'!J2:J1586),"")</x:f>
        <x:v>Not Started</x:v>
      </x:c>
      <x:c r="H1388" s="7" t="str">
        <x:f>IFERROR(XLOOKUP(C1388,'Review Sequence'!C2:C1586,'Review Sequence'!O2:O1586),"")</x:f>
      </x:c>
      <x:c r="I1388" s="6" t="str">
        <x:f>IFERROR(XLOOKUP(C1388,'Review Sequence'!C2:C1586,'Review Sequence'!P2:P1586),"")</x:f>
        <x:v>Yes</x:v>
      </x:c>
    </x:row>
    <x:row r="1389">
      <x:c r="A1389" s="6" t="str">
        <x:v>BLK-1388</x:v>
      </x:c>
      <x:c r="B1389" s="6" t="str">
        <x:v>Labor Reference</x:v>
      </x:c>
      <x:c r="C1389" s="6" t="str">
        <x:v>LABX-0117</x:v>
      </x:c>
      <x:c r="D1389" s="6" t="str">
        <x:v>SVC000117</x:v>
      </x:c>
      <x:c r="E1389" s="6" t="str"/>
      <x:c r="F1389" s="6" t="str">
        <x:f>IFERROR(XLOOKUP(C1389,'Review Sequence'!C2:C1586,'Review Sequence'!I2:I1586),"")</x:f>
        <x:v>Not Started</x:v>
      </x:c>
      <x:c r="G1389" s="6" t="str">
        <x:f>IFERROR(XLOOKUP(C1389,'Review Sequence'!C2:C1586,'Review Sequence'!J2:J1586),"")</x:f>
        <x:v>Not Started</x:v>
      </x:c>
      <x:c r="H1389" s="7" t="str">
        <x:f>IFERROR(XLOOKUP(C1389,'Review Sequence'!C2:C1586,'Review Sequence'!O2:O1586),"")</x:f>
      </x:c>
      <x:c r="I1389" s="6" t="str">
        <x:f>IFERROR(XLOOKUP(C1389,'Review Sequence'!C2:C1586,'Review Sequence'!P2:P1586),"")</x:f>
        <x:v>Yes</x:v>
      </x:c>
    </x:row>
    <x:row r="1390">
      <x:c r="A1390" s="6" t="str">
        <x:v>BLK-1389</x:v>
      </x:c>
      <x:c r="B1390" s="6" t="str">
        <x:v>Labor Reference</x:v>
      </x:c>
      <x:c r="C1390" s="6" t="str">
        <x:v>LABX-0118</x:v>
      </x:c>
      <x:c r="D1390" s="6" t="str">
        <x:v>SVC000118</x:v>
      </x:c>
      <x:c r="E1390" s="6" t="str"/>
      <x:c r="F1390" s="6" t="str">
        <x:f>IFERROR(XLOOKUP(C1390,'Review Sequence'!C2:C1586,'Review Sequence'!I2:I1586),"")</x:f>
        <x:v>Not Started</x:v>
      </x:c>
      <x:c r="G1390" s="6" t="str">
        <x:f>IFERROR(XLOOKUP(C1390,'Review Sequence'!C2:C1586,'Review Sequence'!J2:J1586),"")</x:f>
        <x:v>Not Started</x:v>
      </x:c>
      <x:c r="H1390" s="7" t="str">
        <x:f>IFERROR(XLOOKUP(C1390,'Review Sequence'!C2:C1586,'Review Sequence'!O2:O1586),"")</x:f>
      </x:c>
      <x:c r="I1390" s="6" t="str">
        <x:f>IFERROR(XLOOKUP(C1390,'Review Sequence'!C2:C1586,'Review Sequence'!P2:P1586),"")</x:f>
        <x:v>Yes</x:v>
      </x:c>
    </x:row>
    <x:row r="1391">
      <x:c r="A1391" s="6" t="str">
        <x:v>BLK-1390</x:v>
      </x:c>
      <x:c r="B1391" s="6" t="str">
        <x:v>Labor Reference</x:v>
      </x:c>
      <x:c r="C1391" s="6" t="str">
        <x:v>LABX-0119</x:v>
      </x:c>
      <x:c r="D1391" s="6" t="str">
        <x:v>SVC000119</x:v>
      </x:c>
      <x:c r="E1391" s="6" t="str"/>
      <x:c r="F1391" s="6" t="str">
        <x:f>IFERROR(XLOOKUP(C1391,'Review Sequence'!C2:C1586,'Review Sequence'!I2:I1586),"")</x:f>
        <x:v>Not Started</x:v>
      </x:c>
      <x:c r="G1391" s="6" t="str">
        <x:f>IFERROR(XLOOKUP(C1391,'Review Sequence'!C2:C1586,'Review Sequence'!J2:J1586),"")</x:f>
        <x:v>Not Started</x:v>
      </x:c>
      <x:c r="H1391" s="7" t="str">
        <x:f>IFERROR(XLOOKUP(C1391,'Review Sequence'!C2:C1586,'Review Sequence'!O2:O1586),"")</x:f>
      </x:c>
      <x:c r="I1391" s="6" t="str">
        <x:f>IFERROR(XLOOKUP(C1391,'Review Sequence'!C2:C1586,'Review Sequence'!P2:P1586),"")</x:f>
        <x:v>Yes</x:v>
      </x:c>
    </x:row>
    <x:row r="1392">
      <x:c r="A1392" s="6" t="str">
        <x:v>BLK-1391</x:v>
      </x:c>
      <x:c r="B1392" s="6" t="str">
        <x:v>Labor Reference</x:v>
      </x:c>
      <x:c r="C1392" s="6" t="str">
        <x:v>LABX-0120</x:v>
      </x:c>
      <x:c r="D1392" s="6" t="str">
        <x:v>SVC000120</x:v>
      </x:c>
      <x:c r="E1392" s="6" t="str"/>
      <x:c r="F1392" s="6" t="str">
        <x:f>IFERROR(XLOOKUP(C1392,'Review Sequence'!C2:C1586,'Review Sequence'!I2:I1586),"")</x:f>
        <x:v>Not Started</x:v>
      </x:c>
      <x:c r="G1392" s="6" t="str">
        <x:f>IFERROR(XLOOKUP(C1392,'Review Sequence'!C2:C1586,'Review Sequence'!J2:J1586),"")</x:f>
        <x:v>Not Started</x:v>
      </x:c>
      <x:c r="H1392" s="7" t="str">
        <x:f>IFERROR(XLOOKUP(C1392,'Review Sequence'!C2:C1586,'Review Sequence'!O2:O1586),"")</x:f>
      </x:c>
      <x:c r="I1392" s="6" t="str">
        <x:f>IFERROR(XLOOKUP(C1392,'Review Sequence'!C2:C1586,'Review Sequence'!P2:P1586),"")</x:f>
        <x:v>Yes</x:v>
      </x:c>
    </x:row>
    <x:row r="1393">
      <x:c r="A1393" s="6" t="str">
        <x:v>BLK-1392</x:v>
      </x:c>
      <x:c r="B1393" s="6" t="str">
        <x:v>Labor Reference</x:v>
      </x:c>
      <x:c r="C1393" s="6" t="str">
        <x:v>LABX-0121</x:v>
      </x:c>
      <x:c r="D1393" s="6" t="str">
        <x:v>SVC000121</x:v>
      </x:c>
      <x:c r="E1393" s="6" t="str"/>
      <x:c r="F1393" s="6" t="str">
        <x:f>IFERROR(XLOOKUP(C1393,'Review Sequence'!C2:C1586,'Review Sequence'!I2:I1586),"")</x:f>
        <x:v>Not Started</x:v>
      </x:c>
      <x:c r="G1393" s="6" t="str">
        <x:f>IFERROR(XLOOKUP(C1393,'Review Sequence'!C2:C1586,'Review Sequence'!J2:J1586),"")</x:f>
        <x:v>Not Started</x:v>
      </x:c>
      <x:c r="H1393" s="7" t="str">
        <x:f>IFERROR(XLOOKUP(C1393,'Review Sequence'!C2:C1586,'Review Sequence'!O2:O1586),"")</x:f>
      </x:c>
      <x:c r="I1393" s="6" t="str">
        <x:f>IFERROR(XLOOKUP(C1393,'Review Sequence'!C2:C1586,'Review Sequence'!P2:P1586),"")</x:f>
        <x:v>Yes</x:v>
      </x:c>
    </x:row>
    <x:row r="1394">
      <x:c r="A1394" s="6" t="str">
        <x:v>BLK-1393</x:v>
      </x:c>
      <x:c r="B1394" s="6" t="str">
        <x:v>Labor Reference</x:v>
      </x:c>
      <x:c r="C1394" s="6" t="str">
        <x:v>LABX-0122</x:v>
      </x:c>
      <x:c r="D1394" s="6" t="str">
        <x:v>SVC000122</x:v>
      </x:c>
      <x:c r="E1394" s="6" t="str"/>
      <x:c r="F1394" s="6" t="str">
        <x:f>IFERROR(XLOOKUP(C1394,'Review Sequence'!C2:C1586,'Review Sequence'!I2:I1586),"")</x:f>
        <x:v>Not Started</x:v>
      </x:c>
      <x:c r="G1394" s="6" t="str">
        <x:f>IFERROR(XLOOKUP(C1394,'Review Sequence'!C2:C1586,'Review Sequence'!J2:J1586),"")</x:f>
        <x:v>Not Started</x:v>
      </x:c>
      <x:c r="H1394" s="7" t="str">
        <x:f>IFERROR(XLOOKUP(C1394,'Review Sequence'!C2:C1586,'Review Sequence'!O2:O1586),"")</x:f>
      </x:c>
      <x:c r="I1394" s="6" t="str">
        <x:f>IFERROR(XLOOKUP(C1394,'Review Sequence'!C2:C1586,'Review Sequence'!P2:P1586),"")</x:f>
        <x:v>Yes</x:v>
      </x:c>
    </x:row>
    <x:row r="1395">
      <x:c r="A1395" s="6" t="str">
        <x:v>BLK-1394</x:v>
      </x:c>
      <x:c r="B1395" s="6" t="str">
        <x:v>Labor Reference</x:v>
      </x:c>
      <x:c r="C1395" s="6" t="str">
        <x:v>LABX-0123</x:v>
      </x:c>
      <x:c r="D1395" s="6" t="str">
        <x:v>SVC000123</x:v>
      </x:c>
      <x:c r="E1395" s="6" t="str"/>
      <x:c r="F1395" s="6" t="str">
        <x:f>IFERROR(XLOOKUP(C1395,'Review Sequence'!C2:C1586,'Review Sequence'!I2:I1586),"")</x:f>
        <x:v>Not Started</x:v>
      </x:c>
      <x:c r="G1395" s="6" t="str">
        <x:f>IFERROR(XLOOKUP(C1395,'Review Sequence'!C2:C1586,'Review Sequence'!J2:J1586),"")</x:f>
        <x:v>Not Started</x:v>
      </x:c>
      <x:c r="H1395" s="7" t="str">
        <x:f>IFERROR(XLOOKUP(C1395,'Review Sequence'!C2:C1586,'Review Sequence'!O2:O1586),"")</x:f>
      </x:c>
      <x:c r="I1395" s="6" t="str">
        <x:f>IFERROR(XLOOKUP(C1395,'Review Sequence'!C2:C1586,'Review Sequence'!P2:P1586),"")</x:f>
        <x:v>Yes</x:v>
      </x:c>
    </x:row>
    <x:row r="1396">
      <x:c r="A1396" s="6" t="str">
        <x:v>BLK-1395</x:v>
      </x:c>
      <x:c r="B1396" s="6" t="str">
        <x:v>Labor Reference</x:v>
      </x:c>
      <x:c r="C1396" s="6" t="str">
        <x:v>LABX-0124</x:v>
      </x:c>
      <x:c r="D1396" s="6" t="str">
        <x:v>SVC000124</x:v>
      </x:c>
      <x:c r="E1396" s="6" t="str"/>
      <x:c r="F1396" s="6" t="str">
        <x:f>IFERROR(XLOOKUP(C1396,'Review Sequence'!C2:C1586,'Review Sequence'!I2:I1586),"")</x:f>
        <x:v>Not Started</x:v>
      </x:c>
      <x:c r="G1396" s="6" t="str">
        <x:f>IFERROR(XLOOKUP(C1396,'Review Sequence'!C2:C1586,'Review Sequence'!J2:J1586),"")</x:f>
        <x:v>Not Started</x:v>
      </x:c>
      <x:c r="H1396" s="7" t="str">
        <x:f>IFERROR(XLOOKUP(C1396,'Review Sequence'!C2:C1586,'Review Sequence'!O2:O1586),"")</x:f>
      </x:c>
      <x:c r="I1396" s="6" t="str">
        <x:f>IFERROR(XLOOKUP(C1396,'Review Sequence'!C2:C1586,'Review Sequence'!P2:P1586),"")</x:f>
        <x:v>Yes</x:v>
      </x:c>
    </x:row>
    <x:row r="1397">
      <x:c r="A1397" s="6" t="str">
        <x:v>BLK-1396</x:v>
      </x:c>
      <x:c r="B1397" s="6" t="str">
        <x:v>Labor Reference</x:v>
      </x:c>
      <x:c r="C1397" s="6" t="str">
        <x:v>LABX-0125</x:v>
      </x:c>
      <x:c r="D1397" s="6" t="str">
        <x:v>SVC000125</x:v>
      </x:c>
      <x:c r="E1397" s="6" t="str"/>
      <x:c r="F1397" s="6" t="str">
        <x:f>IFERROR(XLOOKUP(C1397,'Review Sequence'!C2:C1586,'Review Sequence'!I2:I1586),"")</x:f>
        <x:v>Not Started</x:v>
      </x:c>
      <x:c r="G1397" s="6" t="str">
        <x:f>IFERROR(XLOOKUP(C1397,'Review Sequence'!C2:C1586,'Review Sequence'!J2:J1586),"")</x:f>
        <x:v>Not Started</x:v>
      </x:c>
      <x:c r="H1397" s="7" t="str">
        <x:f>IFERROR(XLOOKUP(C1397,'Review Sequence'!C2:C1586,'Review Sequence'!O2:O1586),"")</x:f>
      </x:c>
      <x:c r="I1397" s="6" t="str">
        <x:f>IFERROR(XLOOKUP(C1397,'Review Sequence'!C2:C1586,'Review Sequence'!P2:P1586),"")</x:f>
        <x:v>Yes</x:v>
      </x:c>
    </x:row>
    <x:row r="1398">
      <x:c r="A1398" s="6" t="str">
        <x:v>BLK-1397</x:v>
      </x:c>
      <x:c r="B1398" s="6" t="str">
        <x:v>Labor Reference</x:v>
      </x:c>
      <x:c r="C1398" s="6" t="str">
        <x:v>LABX-0126</x:v>
      </x:c>
      <x:c r="D1398" s="6" t="str">
        <x:v>SVC000126</x:v>
      </x:c>
      <x:c r="E1398" s="6" t="str"/>
      <x:c r="F1398" s="6" t="str">
        <x:f>IFERROR(XLOOKUP(C1398,'Review Sequence'!C2:C1586,'Review Sequence'!I2:I1586),"")</x:f>
        <x:v>Not Started</x:v>
      </x:c>
      <x:c r="G1398" s="6" t="str">
        <x:f>IFERROR(XLOOKUP(C1398,'Review Sequence'!C2:C1586,'Review Sequence'!J2:J1586),"")</x:f>
        <x:v>Not Started</x:v>
      </x:c>
      <x:c r="H1398" s="7" t="str">
        <x:f>IFERROR(XLOOKUP(C1398,'Review Sequence'!C2:C1586,'Review Sequence'!O2:O1586),"")</x:f>
      </x:c>
      <x:c r="I1398" s="6" t="str">
        <x:f>IFERROR(XLOOKUP(C1398,'Review Sequence'!C2:C1586,'Review Sequence'!P2:P1586),"")</x:f>
        <x:v>Yes</x:v>
      </x:c>
    </x:row>
    <x:row r="1399">
      <x:c r="A1399" s="6" t="str">
        <x:v>BLK-1398</x:v>
      </x:c>
      <x:c r="B1399" s="6" t="str">
        <x:v>Labor Reference</x:v>
      </x:c>
      <x:c r="C1399" s="6" t="str">
        <x:v>LABX-0127</x:v>
      </x:c>
      <x:c r="D1399" s="6" t="str">
        <x:v>SVC000127</x:v>
      </x:c>
      <x:c r="E1399" s="6" t="str"/>
      <x:c r="F1399" s="6" t="str">
        <x:f>IFERROR(XLOOKUP(C1399,'Review Sequence'!C2:C1586,'Review Sequence'!I2:I1586),"")</x:f>
        <x:v>Not Started</x:v>
      </x:c>
      <x:c r="G1399" s="6" t="str">
        <x:f>IFERROR(XLOOKUP(C1399,'Review Sequence'!C2:C1586,'Review Sequence'!J2:J1586),"")</x:f>
        <x:v>Not Started</x:v>
      </x:c>
      <x:c r="H1399" s="7" t="str">
        <x:f>IFERROR(XLOOKUP(C1399,'Review Sequence'!C2:C1586,'Review Sequence'!O2:O1586),"")</x:f>
      </x:c>
      <x:c r="I1399" s="6" t="str">
        <x:f>IFERROR(XLOOKUP(C1399,'Review Sequence'!C2:C1586,'Review Sequence'!P2:P1586),"")</x:f>
        <x:v>Yes</x:v>
      </x:c>
    </x:row>
    <x:row r="1400">
      <x:c r="A1400" s="6" t="str">
        <x:v>BLK-1399</x:v>
      </x:c>
      <x:c r="B1400" s="6" t="str">
        <x:v>Labor Reference</x:v>
      </x:c>
      <x:c r="C1400" s="6" t="str">
        <x:v>LABX-0128</x:v>
      </x:c>
      <x:c r="D1400" s="6" t="str">
        <x:v>SVC000128</x:v>
      </x:c>
      <x:c r="E1400" s="6" t="str"/>
      <x:c r="F1400" s="6" t="str">
        <x:f>IFERROR(XLOOKUP(C1400,'Review Sequence'!C2:C1586,'Review Sequence'!I2:I1586),"")</x:f>
        <x:v>Not Started</x:v>
      </x:c>
      <x:c r="G1400" s="6" t="str">
        <x:f>IFERROR(XLOOKUP(C1400,'Review Sequence'!C2:C1586,'Review Sequence'!J2:J1586),"")</x:f>
        <x:v>Not Started</x:v>
      </x:c>
      <x:c r="H1400" s="7" t="str">
        <x:f>IFERROR(XLOOKUP(C1400,'Review Sequence'!C2:C1586,'Review Sequence'!O2:O1586),"")</x:f>
      </x:c>
      <x:c r="I1400" s="6" t="str">
        <x:f>IFERROR(XLOOKUP(C1400,'Review Sequence'!C2:C1586,'Review Sequence'!P2:P1586),"")</x:f>
        <x:v>Yes</x:v>
      </x:c>
    </x:row>
    <x:row r="1401">
      <x:c r="A1401" s="6" t="str">
        <x:v>BLK-1400</x:v>
      </x:c>
      <x:c r="B1401" s="6" t="str">
        <x:v>Labor Reference</x:v>
      </x:c>
      <x:c r="C1401" s="6" t="str">
        <x:v>LABX-0129</x:v>
      </x:c>
      <x:c r="D1401" s="6" t="str">
        <x:v>SVC000129</x:v>
      </x:c>
      <x:c r="E1401" s="6" t="str"/>
      <x:c r="F1401" s="6" t="str">
        <x:f>IFERROR(XLOOKUP(C1401,'Review Sequence'!C2:C1586,'Review Sequence'!I2:I1586),"")</x:f>
        <x:v>Not Started</x:v>
      </x:c>
      <x:c r="G1401" s="6" t="str">
        <x:f>IFERROR(XLOOKUP(C1401,'Review Sequence'!C2:C1586,'Review Sequence'!J2:J1586),"")</x:f>
        <x:v>Not Started</x:v>
      </x:c>
      <x:c r="H1401" s="7" t="str">
        <x:f>IFERROR(XLOOKUP(C1401,'Review Sequence'!C2:C1586,'Review Sequence'!O2:O1586),"")</x:f>
      </x:c>
      <x:c r="I1401" s="6" t="str">
        <x:f>IFERROR(XLOOKUP(C1401,'Review Sequence'!C2:C1586,'Review Sequence'!P2:P1586),"")</x:f>
        <x:v>Yes</x:v>
      </x:c>
    </x:row>
    <x:row r="1402">
      <x:c r="A1402" s="6" t="str">
        <x:v>BLK-1401</x:v>
      </x:c>
      <x:c r="B1402" s="6" t="str">
        <x:v>Labor Reference</x:v>
      </x:c>
      <x:c r="C1402" s="6" t="str">
        <x:v>LABX-0130</x:v>
      </x:c>
      <x:c r="D1402" s="6" t="str">
        <x:v>SVC000130</x:v>
      </x:c>
      <x:c r="E1402" s="6" t="str"/>
      <x:c r="F1402" s="6" t="str">
        <x:f>IFERROR(XLOOKUP(C1402,'Review Sequence'!C2:C1586,'Review Sequence'!I2:I1586),"")</x:f>
        <x:v>Not Started</x:v>
      </x:c>
      <x:c r="G1402" s="6" t="str">
        <x:f>IFERROR(XLOOKUP(C1402,'Review Sequence'!C2:C1586,'Review Sequence'!J2:J1586),"")</x:f>
        <x:v>Not Started</x:v>
      </x:c>
      <x:c r="H1402" s="7" t="str">
        <x:f>IFERROR(XLOOKUP(C1402,'Review Sequence'!C2:C1586,'Review Sequence'!O2:O1586),"")</x:f>
      </x:c>
      <x:c r="I1402" s="6" t="str">
        <x:f>IFERROR(XLOOKUP(C1402,'Review Sequence'!C2:C1586,'Review Sequence'!P2:P1586),"")</x:f>
        <x:v>Yes</x:v>
      </x:c>
    </x:row>
    <x:row r="1403">
      <x:c r="A1403" s="6" t="str">
        <x:v>BLK-1402</x:v>
      </x:c>
      <x:c r="B1403" s="6" t="str">
        <x:v>Labor Reference</x:v>
      </x:c>
      <x:c r="C1403" s="6" t="str">
        <x:v>LABX-0131</x:v>
      </x:c>
      <x:c r="D1403" s="6" t="str">
        <x:v>SVC000131</x:v>
      </x:c>
      <x:c r="E1403" s="6" t="str"/>
      <x:c r="F1403" s="6" t="str">
        <x:f>IFERROR(XLOOKUP(C1403,'Review Sequence'!C2:C1586,'Review Sequence'!I2:I1586),"")</x:f>
        <x:v>Not Started</x:v>
      </x:c>
      <x:c r="G1403" s="6" t="str">
        <x:f>IFERROR(XLOOKUP(C1403,'Review Sequence'!C2:C1586,'Review Sequence'!J2:J1586),"")</x:f>
        <x:v>Not Started</x:v>
      </x:c>
      <x:c r="H1403" s="7" t="str">
        <x:f>IFERROR(XLOOKUP(C1403,'Review Sequence'!C2:C1586,'Review Sequence'!O2:O1586),"")</x:f>
      </x:c>
      <x:c r="I1403" s="6" t="str">
        <x:f>IFERROR(XLOOKUP(C1403,'Review Sequence'!C2:C1586,'Review Sequence'!P2:P1586),"")</x:f>
        <x:v>Yes</x:v>
      </x:c>
    </x:row>
    <x:row r="1404">
      <x:c r="A1404" s="6" t="str">
        <x:v>BLK-1403</x:v>
      </x:c>
      <x:c r="B1404" s="6" t="str">
        <x:v>Labor Reference</x:v>
      </x:c>
      <x:c r="C1404" s="6" t="str">
        <x:v>LABX-0132</x:v>
      </x:c>
      <x:c r="D1404" s="6" t="str">
        <x:v>SVC000132</x:v>
      </x:c>
      <x:c r="E1404" s="6" t="str"/>
      <x:c r="F1404" s="6" t="str">
        <x:f>IFERROR(XLOOKUP(C1404,'Review Sequence'!C2:C1586,'Review Sequence'!I2:I1586),"")</x:f>
        <x:v>Not Started</x:v>
      </x:c>
      <x:c r="G1404" s="6" t="str">
        <x:f>IFERROR(XLOOKUP(C1404,'Review Sequence'!C2:C1586,'Review Sequence'!J2:J1586),"")</x:f>
        <x:v>Not Started</x:v>
      </x:c>
      <x:c r="H1404" s="7" t="str">
        <x:f>IFERROR(XLOOKUP(C1404,'Review Sequence'!C2:C1586,'Review Sequence'!O2:O1586),"")</x:f>
      </x:c>
      <x:c r="I1404" s="6" t="str">
        <x:f>IFERROR(XLOOKUP(C1404,'Review Sequence'!C2:C1586,'Review Sequence'!P2:P1586),"")</x:f>
        <x:v>Yes</x:v>
      </x:c>
    </x:row>
    <x:row r="1405">
      <x:c r="A1405" s="6" t="str">
        <x:v>BLK-1404</x:v>
      </x:c>
      <x:c r="B1405" s="6" t="str">
        <x:v>Labor Reference</x:v>
      </x:c>
      <x:c r="C1405" s="6" t="str">
        <x:v>LABX-0133</x:v>
      </x:c>
      <x:c r="D1405" s="6" t="str">
        <x:v>SVC000133</x:v>
      </x:c>
      <x:c r="E1405" s="6" t="str"/>
      <x:c r="F1405" s="6" t="str">
        <x:f>IFERROR(XLOOKUP(C1405,'Review Sequence'!C2:C1586,'Review Sequence'!I2:I1586),"")</x:f>
        <x:v>Not Started</x:v>
      </x:c>
      <x:c r="G1405" s="6" t="str">
        <x:f>IFERROR(XLOOKUP(C1405,'Review Sequence'!C2:C1586,'Review Sequence'!J2:J1586),"")</x:f>
        <x:v>Not Started</x:v>
      </x:c>
      <x:c r="H1405" s="7" t="str">
        <x:f>IFERROR(XLOOKUP(C1405,'Review Sequence'!C2:C1586,'Review Sequence'!O2:O1586),"")</x:f>
      </x:c>
      <x:c r="I1405" s="6" t="str">
        <x:f>IFERROR(XLOOKUP(C1405,'Review Sequence'!C2:C1586,'Review Sequence'!P2:P1586),"")</x:f>
        <x:v>Yes</x:v>
      </x:c>
    </x:row>
    <x:row r="1406">
      <x:c r="A1406" s="6" t="str">
        <x:v>BLK-1405</x:v>
      </x:c>
      <x:c r="B1406" s="6" t="str">
        <x:v>Labor Reference</x:v>
      </x:c>
      <x:c r="C1406" s="6" t="str">
        <x:v>LABX-0134</x:v>
      </x:c>
      <x:c r="D1406" s="6" t="str">
        <x:v>SVC000134</x:v>
      </x:c>
      <x:c r="E1406" s="6" t="str"/>
      <x:c r="F1406" s="6" t="str">
        <x:f>IFERROR(XLOOKUP(C1406,'Review Sequence'!C2:C1586,'Review Sequence'!I2:I1586),"")</x:f>
        <x:v>Not Started</x:v>
      </x:c>
      <x:c r="G1406" s="6" t="str">
        <x:f>IFERROR(XLOOKUP(C1406,'Review Sequence'!C2:C1586,'Review Sequence'!J2:J1586),"")</x:f>
        <x:v>Not Started</x:v>
      </x:c>
      <x:c r="H1406" s="7" t="str">
        <x:f>IFERROR(XLOOKUP(C1406,'Review Sequence'!C2:C1586,'Review Sequence'!O2:O1586),"")</x:f>
      </x:c>
      <x:c r="I1406" s="6" t="str">
        <x:f>IFERROR(XLOOKUP(C1406,'Review Sequence'!C2:C1586,'Review Sequence'!P2:P1586),"")</x:f>
        <x:v>Yes</x:v>
      </x:c>
    </x:row>
    <x:row r="1407">
      <x:c r="A1407" s="6" t="str">
        <x:v>BLK-1406</x:v>
      </x:c>
      <x:c r="B1407" s="6" t="str">
        <x:v>Labor Reference</x:v>
      </x:c>
      <x:c r="C1407" s="6" t="str">
        <x:v>LABX-0135</x:v>
      </x:c>
      <x:c r="D1407" s="6" t="str">
        <x:v>SVC000135</x:v>
      </x:c>
      <x:c r="E1407" s="6" t="str"/>
      <x:c r="F1407" s="6" t="str">
        <x:f>IFERROR(XLOOKUP(C1407,'Review Sequence'!C2:C1586,'Review Sequence'!I2:I1586),"")</x:f>
        <x:v>Not Started</x:v>
      </x:c>
      <x:c r="G1407" s="6" t="str">
        <x:f>IFERROR(XLOOKUP(C1407,'Review Sequence'!C2:C1586,'Review Sequence'!J2:J1586),"")</x:f>
        <x:v>Not Started</x:v>
      </x:c>
      <x:c r="H1407" s="7" t="str">
        <x:f>IFERROR(XLOOKUP(C1407,'Review Sequence'!C2:C1586,'Review Sequence'!O2:O1586),"")</x:f>
      </x:c>
      <x:c r="I1407" s="6" t="str">
        <x:f>IFERROR(XLOOKUP(C1407,'Review Sequence'!C2:C1586,'Review Sequence'!P2:P1586),"")</x:f>
        <x:v>Yes</x:v>
      </x:c>
    </x:row>
    <x:row r="1408">
      <x:c r="A1408" s="6" t="str">
        <x:v>BLK-1407</x:v>
      </x:c>
      <x:c r="B1408" s="6" t="str">
        <x:v>Labor Reference</x:v>
      </x:c>
      <x:c r="C1408" s="6" t="str">
        <x:v>LABX-0136</x:v>
      </x:c>
      <x:c r="D1408" s="6" t="str">
        <x:v>SVC000136</x:v>
      </x:c>
      <x:c r="E1408" s="6" t="str"/>
      <x:c r="F1408" s="6" t="str">
        <x:f>IFERROR(XLOOKUP(C1408,'Review Sequence'!C2:C1586,'Review Sequence'!I2:I1586),"")</x:f>
        <x:v>Not Started</x:v>
      </x:c>
      <x:c r="G1408" s="6" t="str">
        <x:f>IFERROR(XLOOKUP(C1408,'Review Sequence'!C2:C1586,'Review Sequence'!J2:J1586),"")</x:f>
        <x:v>Not Started</x:v>
      </x:c>
      <x:c r="H1408" s="7" t="str">
        <x:f>IFERROR(XLOOKUP(C1408,'Review Sequence'!C2:C1586,'Review Sequence'!O2:O1586),"")</x:f>
      </x:c>
      <x:c r="I1408" s="6" t="str">
        <x:f>IFERROR(XLOOKUP(C1408,'Review Sequence'!C2:C1586,'Review Sequence'!P2:P1586),"")</x:f>
        <x:v>Yes</x:v>
      </x:c>
    </x:row>
    <x:row r="1409">
      <x:c r="A1409" s="6" t="str">
        <x:v>BLK-1408</x:v>
      </x:c>
      <x:c r="B1409" s="6" t="str">
        <x:v>Labor Reference</x:v>
      </x:c>
      <x:c r="C1409" s="6" t="str">
        <x:v>LABX-0137</x:v>
      </x:c>
      <x:c r="D1409" s="6" t="str">
        <x:v>SVC000137</x:v>
      </x:c>
      <x:c r="E1409" s="6" t="str"/>
      <x:c r="F1409" s="6" t="str">
        <x:f>IFERROR(XLOOKUP(C1409,'Review Sequence'!C2:C1586,'Review Sequence'!I2:I1586),"")</x:f>
        <x:v>Not Started</x:v>
      </x:c>
      <x:c r="G1409" s="6" t="str">
        <x:f>IFERROR(XLOOKUP(C1409,'Review Sequence'!C2:C1586,'Review Sequence'!J2:J1586),"")</x:f>
        <x:v>Not Started</x:v>
      </x:c>
      <x:c r="H1409" s="7" t="str">
        <x:f>IFERROR(XLOOKUP(C1409,'Review Sequence'!C2:C1586,'Review Sequence'!O2:O1586),"")</x:f>
      </x:c>
      <x:c r="I1409" s="6" t="str">
        <x:f>IFERROR(XLOOKUP(C1409,'Review Sequence'!C2:C1586,'Review Sequence'!P2:P1586),"")</x:f>
        <x:v>Yes</x:v>
      </x:c>
    </x:row>
    <x:row r="1410">
      <x:c r="A1410" s="6" t="str">
        <x:v>BLK-1409</x:v>
      </x:c>
      <x:c r="B1410" s="6" t="str">
        <x:v>Labor Reference</x:v>
      </x:c>
      <x:c r="C1410" s="6" t="str">
        <x:v>LABX-0138</x:v>
      </x:c>
      <x:c r="D1410" s="6" t="str">
        <x:v>SVC000138</x:v>
      </x:c>
      <x:c r="E1410" s="6" t="str"/>
      <x:c r="F1410" s="6" t="str">
        <x:f>IFERROR(XLOOKUP(C1410,'Review Sequence'!C2:C1586,'Review Sequence'!I2:I1586),"")</x:f>
        <x:v>Not Started</x:v>
      </x:c>
      <x:c r="G1410" s="6" t="str">
        <x:f>IFERROR(XLOOKUP(C1410,'Review Sequence'!C2:C1586,'Review Sequence'!J2:J1586),"")</x:f>
        <x:v>Not Started</x:v>
      </x:c>
      <x:c r="H1410" s="7" t="str">
        <x:f>IFERROR(XLOOKUP(C1410,'Review Sequence'!C2:C1586,'Review Sequence'!O2:O1586),"")</x:f>
      </x:c>
      <x:c r="I1410" s="6" t="str">
        <x:f>IFERROR(XLOOKUP(C1410,'Review Sequence'!C2:C1586,'Review Sequence'!P2:P1586),"")</x:f>
        <x:v>Yes</x:v>
      </x:c>
    </x:row>
    <x:row r="1411">
      <x:c r="A1411" s="6" t="str">
        <x:v>BLK-1410</x:v>
      </x:c>
      <x:c r="B1411" s="6" t="str">
        <x:v>Labor Reference</x:v>
      </x:c>
      <x:c r="C1411" s="6" t="str">
        <x:v>LABX-0139</x:v>
      </x:c>
      <x:c r="D1411" s="6" t="str">
        <x:v>SVC000139</x:v>
      </x:c>
      <x:c r="E1411" s="6" t="str"/>
      <x:c r="F1411" s="6" t="str">
        <x:f>IFERROR(XLOOKUP(C1411,'Review Sequence'!C2:C1586,'Review Sequence'!I2:I1586),"")</x:f>
        <x:v>Not Started</x:v>
      </x:c>
      <x:c r="G1411" s="6" t="str">
        <x:f>IFERROR(XLOOKUP(C1411,'Review Sequence'!C2:C1586,'Review Sequence'!J2:J1586),"")</x:f>
        <x:v>Not Started</x:v>
      </x:c>
      <x:c r="H1411" s="7" t="str">
        <x:f>IFERROR(XLOOKUP(C1411,'Review Sequence'!C2:C1586,'Review Sequence'!O2:O1586),"")</x:f>
      </x:c>
      <x:c r="I1411" s="6" t="str">
        <x:f>IFERROR(XLOOKUP(C1411,'Review Sequence'!C2:C1586,'Review Sequence'!P2:P1586),"")</x:f>
        <x:v>Yes</x:v>
      </x:c>
    </x:row>
    <x:row r="1412">
      <x:c r="A1412" s="6" t="str">
        <x:v>BLK-1411</x:v>
      </x:c>
      <x:c r="B1412" s="6" t="str">
        <x:v>Labor Reference</x:v>
      </x:c>
      <x:c r="C1412" s="6" t="str">
        <x:v>LABX-0140</x:v>
      </x:c>
      <x:c r="D1412" s="6" t="str">
        <x:v>SVC000140</x:v>
      </x:c>
      <x:c r="E1412" s="6" t="str"/>
      <x:c r="F1412" s="6" t="str">
        <x:f>IFERROR(XLOOKUP(C1412,'Review Sequence'!C2:C1586,'Review Sequence'!I2:I1586),"")</x:f>
        <x:v>Not Started</x:v>
      </x:c>
      <x:c r="G1412" s="6" t="str">
        <x:f>IFERROR(XLOOKUP(C1412,'Review Sequence'!C2:C1586,'Review Sequence'!J2:J1586),"")</x:f>
        <x:v>Not Started</x:v>
      </x:c>
      <x:c r="H1412" s="7" t="str">
        <x:f>IFERROR(XLOOKUP(C1412,'Review Sequence'!C2:C1586,'Review Sequence'!O2:O1586),"")</x:f>
      </x:c>
      <x:c r="I1412" s="6" t="str">
        <x:f>IFERROR(XLOOKUP(C1412,'Review Sequence'!C2:C1586,'Review Sequence'!P2:P1586),"")</x:f>
        <x:v>Yes</x:v>
      </x:c>
    </x:row>
    <x:row r="1413">
      <x:c r="A1413" s="6" t="str">
        <x:v>BLK-1412</x:v>
      </x:c>
      <x:c r="B1413" s="6" t="str">
        <x:v>Labor Reference</x:v>
      </x:c>
      <x:c r="C1413" s="6" t="str">
        <x:v>LABX-0141</x:v>
      </x:c>
      <x:c r="D1413" s="6" t="str">
        <x:v>SVC000141</x:v>
      </x:c>
      <x:c r="E1413" s="6" t="str"/>
      <x:c r="F1413" s="6" t="str">
        <x:f>IFERROR(XLOOKUP(C1413,'Review Sequence'!C2:C1586,'Review Sequence'!I2:I1586),"")</x:f>
        <x:v>Not Started</x:v>
      </x:c>
      <x:c r="G1413" s="6" t="str">
        <x:f>IFERROR(XLOOKUP(C1413,'Review Sequence'!C2:C1586,'Review Sequence'!J2:J1586),"")</x:f>
        <x:v>Not Started</x:v>
      </x:c>
      <x:c r="H1413" s="7" t="str">
        <x:f>IFERROR(XLOOKUP(C1413,'Review Sequence'!C2:C1586,'Review Sequence'!O2:O1586),"")</x:f>
      </x:c>
      <x:c r="I1413" s="6" t="str">
        <x:f>IFERROR(XLOOKUP(C1413,'Review Sequence'!C2:C1586,'Review Sequence'!P2:P1586),"")</x:f>
        <x:v>Yes</x:v>
      </x:c>
    </x:row>
    <x:row r="1414">
      <x:c r="A1414" s="6" t="str">
        <x:v>BLK-1413</x:v>
      </x:c>
      <x:c r="B1414" s="6" t="str">
        <x:v>Labor Reference</x:v>
      </x:c>
      <x:c r="C1414" s="6" t="str">
        <x:v>LABX-0142</x:v>
      </x:c>
      <x:c r="D1414" s="6" t="str">
        <x:v>SVC000142</x:v>
      </x:c>
      <x:c r="E1414" s="6" t="str"/>
      <x:c r="F1414" s="6" t="str">
        <x:f>IFERROR(XLOOKUP(C1414,'Review Sequence'!C2:C1586,'Review Sequence'!I2:I1586),"")</x:f>
        <x:v>Not Started</x:v>
      </x:c>
      <x:c r="G1414" s="6" t="str">
        <x:f>IFERROR(XLOOKUP(C1414,'Review Sequence'!C2:C1586,'Review Sequence'!J2:J1586),"")</x:f>
        <x:v>Not Started</x:v>
      </x:c>
      <x:c r="H1414" s="7" t="str">
        <x:f>IFERROR(XLOOKUP(C1414,'Review Sequence'!C2:C1586,'Review Sequence'!O2:O1586),"")</x:f>
      </x:c>
      <x:c r="I1414" s="6" t="str">
        <x:f>IFERROR(XLOOKUP(C1414,'Review Sequence'!C2:C1586,'Review Sequence'!P2:P1586),"")</x:f>
        <x:v>Yes</x:v>
      </x:c>
    </x:row>
    <x:row r="1415">
      <x:c r="A1415" s="6" t="str">
        <x:v>BLK-1414</x:v>
      </x:c>
      <x:c r="B1415" s="6" t="str">
        <x:v>Labor Reference</x:v>
      </x:c>
      <x:c r="C1415" s="6" t="str">
        <x:v>LABX-0143</x:v>
      </x:c>
      <x:c r="D1415" s="6" t="str">
        <x:v>SVC000143</x:v>
      </x:c>
      <x:c r="E1415" s="6" t="str"/>
      <x:c r="F1415" s="6" t="str">
        <x:f>IFERROR(XLOOKUP(C1415,'Review Sequence'!C2:C1586,'Review Sequence'!I2:I1586),"")</x:f>
        <x:v>Not Started</x:v>
      </x:c>
      <x:c r="G1415" s="6" t="str">
        <x:f>IFERROR(XLOOKUP(C1415,'Review Sequence'!C2:C1586,'Review Sequence'!J2:J1586),"")</x:f>
        <x:v>Not Started</x:v>
      </x:c>
      <x:c r="H1415" s="7" t="str">
        <x:f>IFERROR(XLOOKUP(C1415,'Review Sequence'!C2:C1586,'Review Sequence'!O2:O1586),"")</x:f>
      </x:c>
      <x:c r="I1415" s="6" t="str">
        <x:f>IFERROR(XLOOKUP(C1415,'Review Sequence'!C2:C1586,'Review Sequence'!P2:P1586),"")</x:f>
        <x:v>Yes</x:v>
      </x:c>
    </x:row>
    <x:row r="1416">
      <x:c r="A1416" s="6" t="str">
        <x:v>BLK-1415</x:v>
      </x:c>
      <x:c r="B1416" s="6" t="str">
        <x:v>Labor Reference</x:v>
      </x:c>
      <x:c r="C1416" s="6" t="str">
        <x:v>LABX-0144</x:v>
      </x:c>
      <x:c r="D1416" s="6" t="str">
        <x:v>SVC000144</x:v>
      </x:c>
      <x:c r="E1416" s="6" t="str"/>
      <x:c r="F1416" s="6" t="str">
        <x:f>IFERROR(XLOOKUP(C1416,'Review Sequence'!C2:C1586,'Review Sequence'!I2:I1586),"")</x:f>
        <x:v>Not Started</x:v>
      </x:c>
      <x:c r="G1416" s="6" t="str">
        <x:f>IFERROR(XLOOKUP(C1416,'Review Sequence'!C2:C1586,'Review Sequence'!J2:J1586),"")</x:f>
        <x:v>Not Started</x:v>
      </x:c>
      <x:c r="H1416" s="7" t="str">
        <x:f>IFERROR(XLOOKUP(C1416,'Review Sequence'!C2:C1586,'Review Sequence'!O2:O1586),"")</x:f>
      </x:c>
      <x:c r="I1416" s="6" t="str">
        <x:f>IFERROR(XLOOKUP(C1416,'Review Sequence'!C2:C1586,'Review Sequence'!P2:P1586),"")</x:f>
        <x:v>Yes</x:v>
      </x:c>
    </x:row>
    <x:row r="1417">
      <x:c r="A1417" s="6" t="str">
        <x:v>BLK-1416</x:v>
      </x:c>
      <x:c r="B1417" s="6" t="str">
        <x:v>Labor Reference</x:v>
      </x:c>
      <x:c r="C1417" s="6" t="str">
        <x:v>LABX-0145</x:v>
      </x:c>
      <x:c r="D1417" s="6" t="str">
        <x:v>SVC000145</x:v>
      </x:c>
      <x:c r="E1417" s="6" t="str"/>
      <x:c r="F1417" s="6" t="str">
        <x:f>IFERROR(XLOOKUP(C1417,'Review Sequence'!C2:C1586,'Review Sequence'!I2:I1586),"")</x:f>
        <x:v>Not Started</x:v>
      </x:c>
      <x:c r="G1417" s="6" t="str">
        <x:f>IFERROR(XLOOKUP(C1417,'Review Sequence'!C2:C1586,'Review Sequence'!J2:J1586),"")</x:f>
        <x:v>Not Started</x:v>
      </x:c>
      <x:c r="H1417" s="7" t="str">
        <x:f>IFERROR(XLOOKUP(C1417,'Review Sequence'!C2:C1586,'Review Sequence'!O2:O1586),"")</x:f>
      </x:c>
      <x:c r="I1417" s="6" t="str">
        <x:f>IFERROR(XLOOKUP(C1417,'Review Sequence'!C2:C1586,'Review Sequence'!P2:P1586),"")</x:f>
        <x:v>Yes</x:v>
      </x:c>
    </x:row>
    <x:row r="1418">
      <x:c r="A1418" s="6" t="str">
        <x:v>BLK-1417</x:v>
      </x:c>
      <x:c r="B1418" s="6" t="str">
        <x:v>Labor Reference</x:v>
      </x:c>
      <x:c r="C1418" s="6" t="str">
        <x:v>LABX-0146</x:v>
      </x:c>
      <x:c r="D1418" s="6" t="str">
        <x:v>SVC000146</x:v>
      </x:c>
      <x:c r="E1418" s="6" t="str"/>
      <x:c r="F1418" s="6" t="str">
        <x:f>IFERROR(XLOOKUP(C1418,'Review Sequence'!C2:C1586,'Review Sequence'!I2:I1586),"")</x:f>
        <x:v>Not Started</x:v>
      </x:c>
      <x:c r="G1418" s="6" t="str">
        <x:f>IFERROR(XLOOKUP(C1418,'Review Sequence'!C2:C1586,'Review Sequence'!J2:J1586),"")</x:f>
        <x:v>Not Started</x:v>
      </x:c>
      <x:c r="H1418" s="7" t="str">
        <x:f>IFERROR(XLOOKUP(C1418,'Review Sequence'!C2:C1586,'Review Sequence'!O2:O1586),"")</x:f>
      </x:c>
      <x:c r="I1418" s="6" t="str">
        <x:f>IFERROR(XLOOKUP(C1418,'Review Sequence'!C2:C1586,'Review Sequence'!P2:P1586),"")</x:f>
        <x:v>Yes</x:v>
      </x:c>
    </x:row>
    <x:row r="1419">
      <x:c r="A1419" s="6" t="str">
        <x:v>BLK-1418</x:v>
      </x:c>
      <x:c r="B1419" s="6" t="str">
        <x:v>Labor Reference</x:v>
      </x:c>
      <x:c r="C1419" s="6" t="str">
        <x:v>LABX-0147</x:v>
      </x:c>
      <x:c r="D1419" s="6" t="str">
        <x:v>SVC000147</x:v>
      </x:c>
      <x:c r="E1419" s="6" t="str"/>
      <x:c r="F1419" s="6" t="str">
        <x:f>IFERROR(XLOOKUP(C1419,'Review Sequence'!C2:C1586,'Review Sequence'!I2:I1586),"")</x:f>
        <x:v>Not Started</x:v>
      </x:c>
      <x:c r="G1419" s="6" t="str">
        <x:f>IFERROR(XLOOKUP(C1419,'Review Sequence'!C2:C1586,'Review Sequence'!J2:J1586),"")</x:f>
        <x:v>Not Started</x:v>
      </x:c>
      <x:c r="H1419" s="7" t="str">
        <x:f>IFERROR(XLOOKUP(C1419,'Review Sequence'!C2:C1586,'Review Sequence'!O2:O1586),"")</x:f>
      </x:c>
      <x:c r="I1419" s="6" t="str">
        <x:f>IFERROR(XLOOKUP(C1419,'Review Sequence'!C2:C1586,'Review Sequence'!P2:P1586),"")</x:f>
        <x:v>Yes</x:v>
      </x:c>
    </x:row>
    <x:row r="1420">
      <x:c r="A1420" s="6" t="str">
        <x:v>BLK-1419</x:v>
      </x:c>
      <x:c r="B1420" s="6" t="str">
        <x:v>Labor Reference</x:v>
      </x:c>
      <x:c r="C1420" s="6" t="str">
        <x:v>LABX-0148</x:v>
      </x:c>
      <x:c r="D1420" s="6" t="str">
        <x:v>SVC000148</x:v>
      </x:c>
      <x:c r="E1420" s="6" t="str"/>
      <x:c r="F1420" s="6" t="str">
        <x:f>IFERROR(XLOOKUP(C1420,'Review Sequence'!C2:C1586,'Review Sequence'!I2:I1586),"")</x:f>
        <x:v>Not Started</x:v>
      </x:c>
      <x:c r="G1420" s="6" t="str">
        <x:f>IFERROR(XLOOKUP(C1420,'Review Sequence'!C2:C1586,'Review Sequence'!J2:J1586),"")</x:f>
        <x:v>Not Started</x:v>
      </x:c>
      <x:c r="H1420" s="7" t="str">
        <x:f>IFERROR(XLOOKUP(C1420,'Review Sequence'!C2:C1586,'Review Sequence'!O2:O1586),"")</x:f>
      </x:c>
      <x:c r="I1420" s="6" t="str">
        <x:f>IFERROR(XLOOKUP(C1420,'Review Sequence'!C2:C1586,'Review Sequence'!P2:P1586),"")</x:f>
        <x:v>Yes</x:v>
      </x:c>
    </x:row>
    <x:row r="1421">
      <x:c r="A1421" s="6" t="str">
        <x:v>BLK-1420</x:v>
      </x:c>
      <x:c r="B1421" s="6" t="str">
        <x:v>Labor Reference</x:v>
      </x:c>
      <x:c r="C1421" s="6" t="str">
        <x:v>LABX-0149</x:v>
      </x:c>
      <x:c r="D1421" s="6" t="str">
        <x:v>SVC000149</x:v>
      </x:c>
      <x:c r="E1421" s="6" t="str"/>
      <x:c r="F1421" s="6" t="str">
        <x:f>IFERROR(XLOOKUP(C1421,'Review Sequence'!C2:C1586,'Review Sequence'!I2:I1586),"")</x:f>
        <x:v>Not Started</x:v>
      </x:c>
      <x:c r="G1421" s="6" t="str">
        <x:f>IFERROR(XLOOKUP(C1421,'Review Sequence'!C2:C1586,'Review Sequence'!J2:J1586),"")</x:f>
        <x:v>Not Started</x:v>
      </x:c>
      <x:c r="H1421" s="7" t="str">
        <x:f>IFERROR(XLOOKUP(C1421,'Review Sequence'!C2:C1586,'Review Sequence'!O2:O1586),"")</x:f>
      </x:c>
      <x:c r="I1421" s="6" t="str">
        <x:f>IFERROR(XLOOKUP(C1421,'Review Sequence'!C2:C1586,'Review Sequence'!P2:P1586),"")</x:f>
        <x:v>Yes</x:v>
      </x:c>
    </x:row>
    <x:row r="1422">
      <x:c r="A1422" s="6" t="str">
        <x:v>BLK-1421</x:v>
      </x:c>
      <x:c r="B1422" s="6" t="str">
        <x:v>Labor Reference</x:v>
      </x:c>
      <x:c r="C1422" s="6" t="str">
        <x:v>LABX-0150</x:v>
      </x:c>
      <x:c r="D1422" s="6" t="str">
        <x:v>SVC000150</x:v>
      </x:c>
      <x:c r="E1422" s="6" t="str"/>
      <x:c r="F1422" s="6" t="str">
        <x:f>IFERROR(XLOOKUP(C1422,'Review Sequence'!C2:C1586,'Review Sequence'!I2:I1586),"")</x:f>
        <x:v>Not Started</x:v>
      </x:c>
      <x:c r="G1422" s="6" t="str">
        <x:f>IFERROR(XLOOKUP(C1422,'Review Sequence'!C2:C1586,'Review Sequence'!J2:J1586),"")</x:f>
        <x:v>Not Started</x:v>
      </x:c>
      <x:c r="H1422" s="7" t="str">
        <x:f>IFERROR(XLOOKUP(C1422,'Review Sequence'!C2:C1586,'Review Sequence'!O2:O1586),"")</x:f>
      </x:c>
      <x:c r="I1422" s="6" t="str">
        <x:f>IFERROR(XLOOKUP(C1422,'Review Sequence'!C2:C1586,'Review Sequence'!P2:P1586),"")</x:f>
        <x:v>Yes</x:v>
      </x:c>
    </x:row>
    <x:row r="1423">
      <x:c r="A1423" s="6" t="str">
        <x:v>BLK-1422</x:v>
      </x:c>
      <x:c r="B1423" s="6" t="str">
        <x:v>Labor Reference</x:v>
      </x:c>
      <x:c r="C1423" s="6" t="str">
        <x:v>LABX-0151</x:v>
      </x:c>
      <x:c r="D1423" s="6" t="str">
        <x:v>SVC000151</x:v>
      </x:c>
      <x:c r="E1423" s="6" t="str"/>
      <x:c r="F1423" s="6" t="str">
        <x:f>IFERROR(XLOOKUP(C1423,'Review Sequence'!C2:C1586,'Review Sequence'!I2:I1586),"")</x:f>
        <x:v>Not Started</x:v>
      </x:c>
      <x:c r="G1423" s="6" t="str">
        <x:f>IFERROR(XLOOKUP(C1423,'Review Sequence'!C2:C1586,'Review Sequence'!J2:J1586),"")</x:f>
        <x:v>Not Started</x:v>
      </x:c>
      <x:c r="H1423" s="7" t="str">
        <x:f>IFERROR(XLOOKUP(C1423,'Review Sequence'!C2:C1586,'Review Sequence'!O2:O1586),"")</x:f>
      </x:c>
      <x:c r="I1423" s="6" t="str">
        <x:f>IFERROR(XLOOKUP(C1423,'Review Sequence'!C2:C1586,'Review Sequence'!P2:P1586),"")</x:f>
        <x:v>Yes</x:v>
      </x:c>
    </x:row>
    <x:row r="1424">
      <x:c r="A1424" s="6" t="str">
        <x:v>BLK-1423</x:v>
      </x:c>
      <x:c r="B1424" s="6" t="str">
        <x:v>Labor Reference</x:v>
      </x:c>
      <x:c r="C1424" s="6" t="str">
        <x:v>LABX-0152</x:v>
      </x:c>
      <x:c r="D1424" s="6" t="str">
        <x:v>SVC000152</x:v>
      </x:c>
      <x:c r="E1424" s="6" t="str"/>
      <x:c r="F1424" s="6" t="str">
        <x:f>IFERROR(XLOOKUP(C1424,'Review Sequence'!C2:C1586,'Review Sequence'!I2:I1586),"")</x:f>
        <x:v>Not Started</x:v>
      </x:c>
      <x:c r="G1424" s="6" t="str">
        <x:f>IFERROR(XLOOKUP(C1424,'Review Sequence'!C2:C1586,'Review Sequence'!J2:J1586),"")</x:f>
        <x:v>Not Started</x:v>
      </x:c>
      <x:c r="H1424" s="7" t="str">
        <x:f>IFERROR(XLOOKUP(C1424,'Review Sequence'!C2:C1586,'Review Sequence'!O2:O1586),"")</x:f>
      </x:c>
      <x:c r="I1424" s="6" t="str">
        <x:f>IFERROR(XLOOKUP(C1424,'Review Sequence'!C2:C1586,'Review Sequence'!P2:P1586),"")</x:f>
        <x:v>Yes</x:v>
      </x:c>
    </x:row>
    <x:row r="1425">
      <x:c r="A1425" s="6" t="str">
        <x:v>BLK-1424</x:v>
      </x:c>
      <x:c r="B1425" s="6" t="str">
        <x:v>Labor Reference</x:v>
      </x:c>
      <x:c r="C1425" s="6" t="str">
        <x:v>LABX-0153</x:v>
      </x:c>
      <x:c r="D1425" s="6" t="str">
        <x:v>SVC000153</x:v>
      </x:c>
      <x:c r="E1425" s="6" t="str"/>
      <x:c r="F1425" s="6" t="str">
        <x:f>IFERROR(XLOOKUP(C1425,'Review Sequence'!C2:C1586,'Review Sequence'!I2:I1586),"")</x:f>
        <x:v>Not Started</x:v>
      </x:c>
      <x:c r="G1425" s="6" t="str">
        <x:f>IFERROR(XLOOKUP(C1425,'Review Sequence'!C2:C1586,'Review Sequence'!J2:J1586),"")</x:f>
        <x:v>Not Started</x:v>
      </x:c>
      <x:c r="H1425" s="7" t="str">
        <x:f>IFERROR(XLOOKUP(C1425,'Review Sequence'!C2:C1586,'Review Sequence'!O2:O1586),"")</x:f>
      </x:c>
      <x:c r="I1425" s="6" t="str">
        <x:f>IFERROR(XLOOKUP(C1425,'Review Sequence'!C2:C1586,'Review Sequence'!P2:P1586),"")</x:f>
        <x:v>Yes</x:v>
      </x:c>
    </x:row>
    <x:row r="1426">
      <x:c r="A1426" s="6" t="str">
        <x:v>BLK-1425</x:v>
      </x:c>
      <x:c r="B1426" s="6" t="str">
        <x:v>Labor Reference</x:v>
      </x:c>
      <x:c r="C1426" s="6" t="str">
        <x:v>LABX-0154</x:v>
      </x:c>
      <x:c r="D1426" s="6" t="str">
        <x:v>SVC000154</x:v>
      </x:c>
      <x:c r="E1426" s="6" t="str"/>
      <x:c r="F1426" s="6" t="str">
        <x:f>IFERROR(XLOOKUP(C1426,'Review Sequence'!C2:C1586,'Review Sequence'!I2:I1586),"")</x:f>
        <x:v>Not Started</x:v>
      </x:c>
      <x:c r="G1426" s="6" t="str">
        <x:f>IFERROR(XLOOKUP(C1426,'Review Sequence'!C2:C1586,'Review Sequence'!J2:J1586),"")</x:f>
        <x:v>Not Started</x:v>
      </x:c>
      <x:c r="H1426" s="7" t="str">
        <x:f>IFERROR(XLOOKUP(C1426,'Review Sequence'!C2:C1586,'Review Sequence'!O2:O1586),"")</x:f>
      </x:c>
      <x:c r="I1426" s="6" t="str">
        <x:f>IFERROR(XLOOKUP(C1426,'Review Sequence'!C2:C1586,'Review Sequence'!P2:P1586),"")</x:f>
        <x:v>Yes</x:v>
      </x:c>
    </x:row>
    <x:row r="1427">
      <x:c r="A1427" s="6" t="str">
        <x:v>BLK-1426</x:v>
      </x:c>
      <x:c r="B1427" s="6" t="str">
        <x:v>Labor Reference</x:v>
      </x:c>
      <x:c r="C1427" s="6" t="str">
        <x:v>LABX-0155</x:v>
      </x:c>
      <x:c r="D1427" s="6" t="str">
        <x:v>SVC000155</x:v>
      </x:c>
      <x:c r="E1427" s="6" t="str"/>
      <x:c r="F1427" s="6" t="str">
        <x:f>IFERROR(XLOOKUP(C1427,'Review Sequence'!C2:C1586,'Review Sequence'!I2:I1586),"")</x:f>
        <x:v>Not Started</x:v>
      </x:c>
      <x:c r="G1427" s="6" t="str">
        <x:f>IFERROR(XLOOKUP(C1427,'Review Sequence'!C2:C1586,'Review Sequence'!J2:J1586),"")</x:f>
        <x:v>Not Started</x:v>
      </x:c>
      <x:c r="H1427" s="7" t="str">
        <x:f>IFERROR(XLOOKUP(C1427,'Review Sequence'!C2:C1586,'Review Sequence'!O2:O1586),"")</x:f>
      </x:c>
      <x:c r="I1427" s="6" t="str">
        <x:f>IFERROR(XLOOKUP(C1427,'Review Sequence'!C2:C1586,'Review Sequence'!P2:P1586),"")</x:f>
        <x:v>Yes</x:v>
      </x:c>
    </x:row>
    <x:row r="1428">
      <x:c r="A1428" s="6" t="str">
        <x:v>BLK-1427</x:v>
      </x:c>
      <x:c r="B1428" s="6" t="str">
        <x:v>Labor Reference</x:v>
      </x:c>
      <x:c r="C1428" s="6" t="str">
        <x:v>LABX-0156</x:v>
      </x:c>
      <x:c r="D1428" s="6" t="str">
        <x:v>SVC000156</x:v>
      </x:c>
      <x:c r="E1428" s="6" t="str"/>
      <x:c r="F1428" s="6" t="str">
        <x:f>IFERROR(XLOOKUP(C1428,'Review Sequence'!C2:C1586,'Review Sequence'!I2:I1586),"")</x:f>
        <x:v>Not Started</x:v>
      </x:c>
      <x:c r="G1428" s="6" t="str">
        <x:f>IFERROR(XLOOKUP(C1428,'Review Sequence'!C2:C1586,'Review Sequence'!J2:J1586),"")</x:f>
        <x:v>Not Started</x:v>
      </x:c>
      <x:c r="H1428" s="7" t="str">
        <x:f>IFERROR(XLOOKUP(C1428,'Review Sequence'!C2:C1586,'Review Sequence'!O2:O1586),"")</x:f>
      </x:c>
      <x:c r="I1428" s="6" t="str">
        <x:f>IFERROR(XLOOKUP(C1428,'Review Sequence'!C2:C1586,'Review Sequence'!P2:P1586),"")</x:f>
        <x:v>Yes</x:v>
      </x:c>
    </x:row>
    <x:row r="1429">
      <x:c r="A1429" s="6" t="str">
        <x:v>BLK-1428</x:v>
      </x:c>
      <x:c r="B1429" s="6" t="str">
        <x:v>Labor Reference</x:v>
      </x:c>
      <x:c r="C1429" s="6" t="str">
        <x:v>LABX-0157</x:v>
      </x:c>
      <x:c r="D1429" s="6" t="str">
        <x:v>SVC000157</x:v>
      </x:c>
      <x:c r="E1429" s="6" t="str"/>
      <x:c r="F1429" s="6" t="str">
        <x:f>IFERROR(XLOOKUP(C1429,'Review Sequence'!C2:C1586,'Review Sequence'!I2:I1586),"")</x:f>
        <x:v>Not Started</x:v>
      </x:c>
      <x:c r="G1429" s="6" t="str">
        <x:f>IFERROR(XLOOKUP(C1429,'Review Sequence'!C2:C1586,'Review Sequence'!J2:J1586),"")</x:f>
        <x:v>Not Started</x:v>
      </x:c>
      <x:c r="H1429" s="7" t="str">
        <x:f>IFERROR(XLOOKUP(C1429,'Review Sequence'!C2:C1586,'Review Sequence'!O2:O1586),"")</x:f>
      </x:c>
      <x:c r="I1429" s="6" t="str">
        <x:f>IFERROR(XLOOKUP(C1429,'Review Sequence'!C2:C1586,'Review Sequence'!P2:P1586),"")</x:f>
        <x:v>Yes</x:v>
      </x:c>
    </x:row>
    <x:row r="1430">
      <x:c r="A1430" s="6" t="str">
        <x:v>BLK-1429</x:v>
      </x:c>
      <x:c r="B1430" s="6" t="str">
        <x:v>Labor Reference</x:v>
      </x:c>
      <x:c r="C1430" s="6" t="str">
        <x:v>LABX-0158</x:v>
      </x:c>
      <x:c r="D1430" s="6" t="str">
        <x:v>SVC000158</x:v>
      </x:c>
      <x:c r="E1430" s="6" t="str"/>
      <x:c r="F1430" s="6" t="str">
        <x:f>IFERROR(XLOOKUP(C1430,'Review Sequence'!C2:C1586,'Review Sequence'!I2:I1586),"")</x:f>
        <x:v>Not Started</x:v>
      </x:c>
      <x:c r="G1430" s="6" t="str">
        <x:f>IFERROR(XLOOKUP(C1430,'Review Sequence'!C2:C1586,'Review Sequence'!J2:J1586),"")</x:f>
        <x:v>Not Started</x:v>
      </x:c>
      <x:c r="H1430" s="7" t="str">
        <x:f>IFERROR(XLOOKUP(C1430,'Review Sequence'!C2:C1586,'Review Sequence'!O2:O1586),"")</x:f>
      </x:c>
      <x:c r="I1430" s="6" t="str">
        <x:f>IFERROR(XLOOKUP(C1430,'Review Sequence'!C2:C1586,'Review Sequence'!P2:P1586),"")</x:f>
        <x:v>Yes</x:v>
      </x:c>
    </x:row>
    <x:row r="1431">
      <x:c r="A1431" s="6" t="str">
        <x:v>BLK-1430</x:v>
      </x:c>
      <x:c r="B1431" s="6" t="str">
        <x:v>Labor Reference</x:v>
      </x:c>
      <x:c r="C1431" s="6" t="str">
        <x:v>LABX-0159</x:v>
      </x:c>
      <x:c r="D1431" s="6" t="str">
        <x:v>SVC000159</x:v>
      </x:c>
      <x:c r="E1431" s="6" t="str"/>
      <x:c r="F1431" s="6" t="str">
        <x:f>IFERROR(XLOOKUP(C1431,'Review Sequence'!C2:C1586,'Review Sequence'!I2:I1586),"")</x:f>
        <x:v>Not Started</x:v>
      </x:c>
      <x:c r="G1431" s="6" t="str">
        <x:f>IFERROR(XLOOKUP(C1431,'Review Sequence'!C2:C1586,'Review Sequence'!J2:J1586),"")</x:f>
        <x:v>Not Started</x:v>
      </x:c>
      <x:c r="H1431" s="7" t="str">
        <x:f>IFERROR(XLOOKUP(C1431,'Review Sequence'!C2:C1586,'Review Sequence'!O2:O1586),"")</x:f>
      </x:c>
      <x:c r="I1431" s="6" t="str">
        <x:f>IFERROR(XLOOKUP(C1431,'Review Sequence'!C2:C1586,'Review Sequence'!P2:P1586),"")</x:f>
        <x:v>Yes</x:v>
      </x:c>
    </x:row>
    <x:row r="1432">
      <x:c r="A1432" s="6" t="str">
        <x:v>BLK-1431</x:v>
      </x:c>
      <x:c r="B1432" s="6" t="str">
        <x:v>Labor Reference</x:v>
      </x:c>
      <x:c r="C1432" s="6" t="str">
        <x:v>LABX-0160</x:v>
      </x:c>
      <x:c r="D1432" s="6" t="str">
        <x:v>SVC000160</x:v>
      </x:c>
      <x:c r="E1432" s="6" t="str"/>
      <x:c r="F1432" s="6" t="str">
        <x:f>IFERROR(XLOOKUP(C1432,'Review Sequence'!C2:C1586,'Review Sequence'!I2:I1586),"")</x:f>
        <x:v>Not Started</x:v>
      </x:c>
      <x:c r="G1432" s="6" t="str">
        <x:f>IFERROR(XLOOKUP(C1432,'Review Sequence'!C2:C1586,'Review Sequence'!J2:J1586),"")</x:f>
        <x:v>Not Started</x:v>
      </x:c>
      <x:c r="H1432" s="7" t="str">
        <x:f>IFERROR(XLOOKUP(C1432,'Review Sequence'!C2:C1586,'Review Sequence'!O2:O1586),"")</x:f>
      </x:c>
      <x:c r="I1432" s="6" t="str">
        <x:f>IFERROR(XLOOKUP(C1432,'Review Sequence'!C2:C1586,'Review Sequence'!P2:P1586),"")</x:f>
        <x:v>Yes</x:v>
      </x:c>
    </x:row>
    <x:row r="1433">
      <x:c r="A1433" s="6" t="str">
        <x:v>BLK-1432</x:v>
      </x:c>
      <x:c r="B1433" s="6" t="str">
        <x:v>Labor Reference</x:v>
      </x:c>
      <x:c r="C1433" s="6" t="str">
        <x:v>LABX-0161</x:v>
      </x:c>
      <x:c r="D1433" s="6" t="str">
        <x:v>SVC000161</x:v>
      </x:c>
      <x:c r="E1433" s="6" t="str"/>
      <x:c r="F1433" s="6" t="str">
        <x:f>IFERROR(XLOOKUP(C1433,'Review Sequence'!C2:C1586,'Review Sequence'!I2:I1586),"")</x:f>
        <x:v>Not Started</x:v>
      </x:c>
      <x:c r="G1433" s="6" t="str">
        <x:f>IFERROR(XLOOKUP(C1433,'Review Sequence'!C2:C1586,'Review Sequence'!J2:J1586),"")</x:f>
        <x:v>Not Started</x:v>
      </x:c>
      <x:c r="H1433" s="7" t="str">
        <x:f>IFERROR(XLOOKUP(C1433,'Review Sequence'!C2:C1586,'Review Sequence'!O2:O1586),"")</x:f>
      </x:c>
      <x:c r="I1433" s="6" t="str">
        <x:f>IFERROR(XLOOKUP(C1433,'Review Sequence'!C2:C1586,'Review Sequence'!P2:P1586),"")</x:f>
        <x:v>Yes</x:v>
      </x:c>
    </x:row>
    <x:row r="1434">
      <x:c r="A1434" s="6" t="str">
        <x:v>BLK-1433</x:v>
      </x:c>
      <x:c r="B1434" s="6" t="str">
        <x:v>Labor Reference</x:v>
      </x:c>
      <x:c r="C1434" s="6" t="str">
        <x:v>LABX-0162</x:v>
      </x:c>
      <x:c r="D1434" s="6" t="str">
        <x:v>SVC000162</x:v>
      </x:c>
      <x:c r="E1434" s="6" t="str"/>
      <x:c r="F1434" s="6" t="str">
        <x:f>IFERROR(XLOOKUP(C1434,'Review Sequence'!C2:C1586,'Review Sequence'!I2:I1586),"")</x:f>
        <x:v>Not Started</x:v>
      </x:c>
      <x:c r="G1434" s="6" t="str">
        <x:f>IFERROR(XLOOKUP(C1434,'Review Sequence'!C2:C1586,'Review Sequence'!J2:J1586),"")</x:f>
        <x:v>Not Started</x:v>
      </x:c>
      <x:c r="H1434" s="7" t="str">
        <x:f>IFERROR(XLOOKUP(C1434,'Review Sequence'!C2:C1586,'Review Sequence'!O2:O1586),"")</x:f>
      </x:c>
      <x:c r="I1434" s="6" t="str">
        <x:f>IFERROR(XLOOKUP(C1434,'Review Sequence'!C2:C1586,'Review Sequence'!P2:P1586),"")</x:f>
        <x:v>Yes</x:v>
      </x:c>
    </x:row>
    <x:row r="1435">
      <x:c r="A1435" s="6" t="str">
        <x:v>BLK-1434</x:v>
      </x:c>
      <x:c r="B1435" s="6" t="str">
        <x:v>Labor Reference</x:v>
      </x:c>
      <x:c r="C1435" s="6" t="str">
        <x:v>LABX-0163</x:v>
      </x:c>
      <x:c r="D1435" s="6" t="str">
        <x:v>SVC000163</x:v>
      </x:c>
      <x:c r="E1435" s="6" t="str"/>
      <x:c r="F1435" s="6" t="str">
        <x:f>IFERROR(XLOOKUP(C1435,'Review Sequence'!C2:C1586,'Review Sequence'!I2:I1586),"")</x:f>
        <x:v>Not Started</x:v>
      </x:c>
      <x:c r="G1435" s="6" t="str">
        <x:f>IFERROR(XLOOKUP(C1435,'Review Sequence'!C2:C1586,'Review Sequence'!J2:J1586),"")</x:f>
        <x:v>Not Started</x:v>
      </x:c>
      <x:c r="H1435" s="7" t="str">
        <x:f>IFERROR(XLOOKUP(C1435,'Review Sequence'!C2:C1586,'Review Sequence'!O2:O1586),"")</x:f>
      </x:c>
      <x:c r="I1435" s="6" t="str">
        <x:f>IFERROR(XLOOKUP(C1435,'Review Sequence'!C2:C1586,'Review Sequence'!P2:P1586),"")</x:f>
        <x:v>Yes</x:v>
      </x:c>
    </x:row>
    <x:row r="1436">
      <x:c r="A1436" s="6" t="str">
        <x:v>BLK-1435</x:v>
      </x:c>
      <x:c r="B1436" s="6" t="str">
        <x:v>Labor Reference</x:v>
      </x:c>
      <x:c r="C1436" s="6" t="str">
        <x:v>LABX-0164</x:v>
      </x:c>
      <x:c r="D1436" s="6" t="str">
        <x:v>SVC000164</x:v>
      </x:c>
      <x:c r="E1436" s="6" t="str"/>
      <x:c r="F1436" s="6" t="str">
        <x:f>IFERROR(XLOOKUP(C1436,'Review Sequence'!C2:C1586,'Review Sequence'!I2:I1586),"")</x:f>
        <x:v>Not Started</x:v>
      </x:c>
      <x:c r="G1436" s="6" t="str">
        <x:f>IFERROR(XLOOKUP(C1436,'Review Sequence'!C2:C1586,'Review Sequence'!J2:J1586),"")</x:f>
        <x:v>Not Started</x:v>
      </x:c>
      <x:c r="H1436" s="7" t="str">
        <x:f>IFERROR(XLOOKUP(C1436,'Review Sequence'!C2:C1586,'Review Sequence'!O2:O1586),"")</x:f>
      </x:c>
      <x:c r="I1436" s="6" t="str">
        <x:f>IFERROR(XLOOKUP(C1436,'Review Sequence'!C2:C1586,'Review Sequence'!P2:P1586),"")</x:f>
        <x:v>Yes</x:v>
      </x:c>
    </x:row>
    <x:row r="1437">
      <x:c r="A1437" s="6" t="str">
        <x:v>BLK-1436</x:v>
      </x:c>
      <x:c r="B1437" s="6" t="str">
        <x:v>Labor Reference</x:v>
      </x:c>
      <x:c r="C1437" s="6" t="str">
        <x:v>LABX-0165</x:v>
      </x:c>
      <x:c r="D1437" s="6" t="str">
        <x:v>SVC000165</x:v>
      </x:c>
      <x:c r="E1437" s="6" t="str"/>
      <x:c r="F1437" s="6" t="str">
        <x:f>IFERROR(XLOOKUP(C1437,'Review Sequence'!C2:C1586,'Review Sequence'!I2:I1586),"")</x:f>
        <x:v>Not Started</x:v>
      </x:c>
      <x:c r="G1437" s="6" t="str">
        <x:f>IFERROR(XLOOKUP(C1437,'Review Sequence'!C2:C1586,'Review Sequence'!J2:J1586),"")</x:f>
        <x:v>Not Started</x:v>
      </x:c>
      <x:c r="H1437" s="7" t="str">
        <x:f>IFERROR(XLOOKUP(C1437,'Review Sequence'!C2:C1586,'Review Sequence'!O2:O1586),"")</x:f>
      </x:c>
      <x:c r="I1437" s="6" t="str">
        <x:f>IFERROR(XLOOKUP(C1437,'Review Sequence'!C2:C1586,'Review Sequence'!P2:P1586),"")</x:f>
        <x:v>Yes</x:v>
      </x:c>
    </x:row>
    <x:row r="1438">
      <x:c r="A1438" s="6" t="str">
        <x:v>BLK-1437</x:v>
      </x:c>
      <x:c r="B1438" s="6" t="str">
        <x:v>Labor Reference</x:v>
      </x:c>
      <x:c r="C1438" s="6" t="str">
        <x:v>LABX-0166</x:v>
      </x:c>
      <x:c r="D1438" s="6" t="str">
        <x:v>SVC000166</x:v>
      </x:c>
      <x:c r="E1438" s="6" t="str"/>
      <x:c r="F1438" s="6" t="str">
        <x:f>IFERROR(XLOOKUP(C1438,'Review Sequence'!C2:C1586,'Review Sequence'!I2:I1586),"")</x:f>
        <x:v>Not Started</x:v>
      </x:c>
      <x:c r="G1438" s="6" t="str">
        <x:f>IFERROR(XLOOKUP(C1438,'Review Sequence'!C2:C1586,'Review Sequence'!J2:J1586),"")</x:f>
        <x:v>Not Started</x:v>
      </x:c>
      <x:c r="H1438" s="7" t="str">
        <x:f>IFERROR(XLOOKUP(C1438,'Review Sequence'!C2:C1586,'Review Sequence'!O2:O1586),"")</x:f>
      </x:c>
      <x:c r="I1438" s="6" t="str">
        <x:f>IFERROR(XLOOKUP(C1438,'Review Sequence'!C2:C1586,'Review Sequence'!P2:P1586),"")</x:f>
        <x:v>Yes</x:v>
      </x:c>
    </x:row>
    <x:row r="1439">
      <x:c r="A1439" s="6" t="str">
        <x:v>BLK-1438</x:v>
      </x:c>
      <x:c r="B1439" s="6" t="str">
        <x:v>Labor Reference</x:v>
      </x:c>
      <x:c r="C1439" s="6" t="str">
        <x:v>LABX-0167</x:v>
      </x:c>
      <x:c r="D1439" s="6" t="str">
        <x:v>SVC000167</x:v>
      </x:c>
      <x:c r="E1439" s="6" t="str"/>
      <x:c r="F1439" s="6" t="str">
        <x:f>IFERROR(XLOOKUP(C1439,'Review Sequence'!C2:C1586,'Review Sequence'!I2:I1586),"")</x:f>
        <x:v>Not Started</x:v>
      </x:c>
      <x:c r="G1439" s="6" t="str">
        <x:f>IFERROR(XLOOKUP(C1439,'Review Sequence'!C2:C1586,'Review Sequence'!J2:J1586),"")</x:f>
        <x:v>Not Started</x:v>
      </x:c>
      <x:c r="H1439" s="7" t="str">
        <x:f>IFERROR(XLOOKUP(C1439,'Review Sequence'!C2:C1586,'Review Sequence'!O2:O1586),"")</x:f>
      </x:c>
      <x:c r="I1439" s="6" t="str">
        <x:f>IFERROR(XLOOKUP(C1439,'Review Sequence'!C2:C1586,'Review Sequence'!P2:P1586),"")</x:f>
        <x:v>Yes</x:v>
      </x:c>
    </x:row>
    <x:row r="1440">
      <x:c r="A1440" s="6" t="str">
        <x:v>BLK-1439</x:v>
      </x:c>
      <x:c r="B1440" s="6" t="str">
        <x:v>Labor Reference</x:v>
      </x:c>
      <x:c r="C1440" s="6" t="str">
        <x:v>LABX-0168</x:v>
      </x:c>
      <x:c r="D1440" s="6" t="str">
        <x:v>SVC000168</x:v>
      </x:c>
      <x:c r="E1440" s="6" t="str"/>
      <x:c r="F1440" s="6" t="str">
        <x:f>IFERROR(XLOOKUP(C1440,'Review Sequence'!C2:C1586,'Review Sequence'!I2:I1586),"")</x:f>
        <x:v>Not Started</x:v>
      </x:c>
      <x:c r="G1440" s="6" t="str">
        <x:f>IFERROR(XLOOKUP(C1440,'Review Sequence'!C2:C1586,'Review Sequence'!J2:J1586),"")</x:f>
        <x:v>Not Started</x:v>
      </x:c>
      <x:c r="H1440" s="7" t="str">
        <x:f>IFERROR(XLOOKUP(C1440,'Review Sequence'!C2:C1586,'Review Sequence'!O2:O1586),"")</x:f>
      </x:c>
      <x:c r="I1440" s="6" t="str">
        <x:f>IFERROR(XLOOKUP(C1440,'Review Sequence'!C2:C1586,'Review Sequence'!P2:P1586),"")</x:f>
        <x:v>Yes</x:v>
      </x:c>
    </x:row>
    <x:row r="1441">
      <x:c r="A1441" s="6" t="str">
        <x:v>BLK-1440</x:v>
      </x:c>
      <x:c r="B1441" s="6" t="str">
        <x:v>Labor Reference</x:v>
      </x:c>
      <x:c r="C1441" s="6" t="str">
        <x:v>LABX-0169</x:v>
      </x:c>
      <x:c r="D1441" s="6" t="str">
        <x:v>SVC000169</x:v>
      </x:c>
      <x:c r="E1441" s="6" t="str"/>
      <x:c r="F1441" s="6" t="str">
        <x:f>IFERROR(XLOOKUP(C1441,'Review Sequence'!C2:C1586,'Review Sequence'!I2:I1586),"")</x:f>
        <x:v>Not Started</x:v>
      </x:c>
      <x:c r="G1441" s="6" t="str">
        <x:f>IFERROR(XLOOKUP(C1441,'Review Sequence'!C2:C1586,'Review Sequence'!J2:J1586),"")</x:f>
        <x:v>Not Started</x:v>
      </x:c>
      <x:c r="H1441" s="7" t="str">
        <x:f>IFERROR(XLOOKUP(C1441,'Review Sequence'!C2:C1586,'Review Sequence'!O2:O1586),"")</x:f>
      </x:c>
      <x:c r="I1441" s="6" t="str">
        <x:f>IFERROR(XLOOKUP(C1441,'Review Sequence'!C2:C1586,'Review Sequence'!P2:P1586),"")</x:f>
        <x:v>Yes</x:v>
      </x:c>
    </x:row>
    <x:row r="1442">
      <x:c r="A1442" s="6" t="str">
        <x:v>BLK-1441</x:v>
      </x:c>
      <x:c r="B1442" s="6" t="str">
        <x:v>Labor Reference</x:v>
      </x:c>
      <x:c r="C1442" s="6" t="str">
        <x:v>LABX-0170</x:v>
      </x:c>
      <x:c r="D1442" s="6" t="str">
        <x:v>SVC000170</x:v>
      </x:c>
      <x:c r="E1442" s="6" t="str"/>
      <x:c r="F1442" s="6" t="str">
        <x:f>IFERROR(XLOOKUP(C1442,'Review Sequence'!C2:C1586,'Review Sequence'!I2:I1586),"")</x:f>
        <x:v>Not Started</x:v>
      </x:c>
      <x:c r="G1442" s="6" t="str">
        <x:f>IFERROR(XLOOKUP(C1442,'Review Sequence'!C2:C1586,'Review Sequence'!J2:J1586),"")</x:f>
        <x:v>Not Started</x:v>
      </x:c>
      <x:c r="H1442" s="7" t="str">
        <x:f>IFERROR(XLOOKUP(C1442,'Review Sequence'!C2:C1586,'Review Sequence'!O2:O1586),"")</x:f>
      </x:c>
      <x:c r="I1442" s="6" t="str">
        <x:f>IFERROR(XLOOKUP(C1442,'Review Sequence'!C2:C1586,'Review Sequence'!P2:P1586),"")</x:f>
        <x:v>Yes</x:v>
      </x:c>
    </x:row>
    <x:row r="1443">
      <x:c r="A1443" s="6" t="str">
        <x:v>BLK-1442</x:v>
      </x:c>
      <x:c r="B1443" s="6" t="str">
        <x:v>Labor Reference</x:v>
      </x:c>
      <x:c r="C1443" s="6" t="str">
        <x:v>LABX-0171</x:v>
      </x:c>
      <x:c r="D1443" s="6" t="str">
        <x:v>SVC000171</x:v>
      </x:c>
      <x:c r="E1443" s="6" t="str"/>
      <x:c r="F1443" s="6" t="str">
        <x:f>IFERROR(XLOOKUP(C1443,'Review Sequence'!C2:C1586,'Review Sequence'!I2:I1586),"")</x:f>
        <x:v>Not Started</x:v>
      </x:c>
      <x:c r="G1443" s="6" t="str">
        <x:f>IFERROR(XLOOKUP(C1443,'Review Sequence'!C2:C1586,'Review Sequence'!J2:J1586),"")</x:f>
        <x:v>Not Started</x:v>
      </x:c>
      <x:c r="H1443" s="7" t="str">
        <x:f>IFERROR(XLOOKUP(C1443,'Review Sequence'!C2:C1586,'Review Sequence'!O2:O1586),"")</x:f>
      </x:c>
      <x:c r="I1443" s="6" t="str">
        <x:f>IFERROR(XLOOKUP(C1443,'Review Sequence'!C2:C1586,'Review Sequence'!P2:P1586),"")</x:f>
        <x:v>Yes</x:v>
      </x:c>
    </x:row>
    <x:row r="1444">
      <x:c r="A1444" s="6" t="str">
        <x:v>BLK-1443</x:v>
      </x:c>
      <x:c r="B1444" s="6" t="str">
        <x:v>Labor Reference</x:v>
      </x:c>
      <x:c r="C1444" s="6" t="str">
        <x:v>LABX-0172</x:v>
      </x:c>
      <x:c r="D1444" s="6" t="str">
        <x:v>SVC000172</x:v>
      </x:c>
      <x:c r="E1444" s="6" t="str"/>
      <x:c r="F1444" s="6" t="str">
        <x:f>IFERROR(XLOOKUP(C1444,'Review Sequence'!C2:C1586,'Review Sequence'!I2:I1586),"")</x:f>
        <x:v>Not Started</x:v>
      </x:c>
      <x:c r="G1444" s="6" t="str">
        <x:f>IFERROR(XLOOKUP(C1444,'Review Sequence'!C2:C1586,'Review Sequence'!J2:J1586),"")</x:f>
        <x:v>Not Started</x:v>
      </x:c>
      <x:c r="H1444" s="7" t="str">
        <x:f>IFERROR(XLOOKUP(C1444,'Review Sequence'!C2:C1586,'Review Sequence'!O2:O1586),"")</x:f>
      </x:c>
      <x:c r="I1444" s="6" t="str">
        <x:f>IFERROR(XLOOKUP(C1444,'Review Sequence'!C2:C1586,'Review Sequence'!P2:P1586),"")</x:f>
        <x:v>Yes</x:v>
      </x:c>
    </x:row>
    <x:row r="1445">
      <x:c r="A1445" s="6" t="str">
        <x:v>BLK-1444</x:v>
      </x:c>
      <x:c r="B1445" s="6" t="str">
        <x:v>Labor Reference</x:v>
      </x:c>
      <x:c r="C1445" s="6" t="str">
        <x:v>LABX-0173</x:v>
      </x:c>
      <x:c r="D1445" s="6" t="str">
        <x:v>SVC000173</x:v>
      </x:c>
      <x:c r="E1445" s="6" t="str"/>
      <x:c r="F1445" s="6" t="str">
        <x:f>IFERROR(XLOOKUP(C1445,'Review Sequence'!C2:C1586,'Review Sequence'!I2:I1586),"")</x:f>
        <x:v>Not Started</x:v>
      </x:c>
      <x:c r="G1445" s="6" t="str">
        <x:f>IFERROR(XLOOKUP(C1445,'Review Sequence'!C2:C1586,'Review Sequence'!J2:J1586),"")</x:f>
        <x:v>Not Started</x:v>
      </x:c>
      <x:c r="H1445" s="7" t="str">
        <x:f>IFERROR(XLOOKUP(C1445,'Review Sequence'!C2:C1586,'Review Sequence'!O2:O1586),"")</x:f>
      </x:c>
      <x:c r="I1445" s="6" t="str">
        <x:f>IFERROR(XLOOKUP(C1445,'Review Sequence'!C2:C1586,'Review Sequence'!P2:P1586),"")</x:f>
        <x:v>Yes</x:v>
      </x:c>
    </x:row>
    <x:row r="1446">
      <x:c r="A1446" s="6" t="str">
        <x:v>BLK-1445</x:v>
      </x:c>
      <x:c r="B1446" s="6" t="str">
        <x:v>Labor Reference</x:v>
      </x:c>
      <x:c r="C1446" s="6" t="str">
        <x:v>LABX-0174</x:v>
      </x:c>
      <x:c r="D1446" s="6" t="str">
        <x:v>SVC000174</x:v>
      </x:c>
      <x:c r="E1446" s="6" t="str"/>
      <x:c r="F1446" s="6" t="str">
        <x:f>IFERROR(XLOOKUP(C1446,'Review Sequence'!C2:C1586,'Review Sequence'!I2:I1586),"")</x:f>
        <x:v>Not Started</x:v>
      </x:c>
      <x:c r="G1446" s="6" t="str">
        <x:f>IFERROR(XLOOKUP(C1446,'Review Sequence'!C2:C1586,'Review Sequence'!J2:J1586),"")</x:f>
        <x:v>Not Started</x:v>
      </x:c>
      <x:c r="H1446" s="7" t="str">
        <x:f>IFERROR(XLOOKUP(C1446,'Review Sequence'!C2:C1586,'Review Sequence'!O2:O1586),"")</x:f>
      </x:c>
      <x:c r="I1446" s="6" t="str">
        <x:f>IFERROR(XLOOKUP(C1446,'Review Sequence'!C2:C1586,'Review Sequence'!P2:P1586),"")</x:f>
        <x:v>Yes</x:v>
      </x:c>
    </x:row>
    <x:row r="1447">
      <x:c r="A1447" s="6" t="str">
        <x:v>BLK-1446</x:v>
      </x:c>
      <x:c r="B1447" s="6" t="str">
        <x:v>Labor Reference</x:v>
      </x:c>
      <x:c r="C1447" s="6" t="str">
        <x:v>LABX-0175</x:v>
      </x:c>
      <x:c r="D1447" s="6" t="str">
        <x:v>SVC000175</x:v>
      </x:c>
      <x:c r="E1447" s="6" t="str"/>
      <x:c r="F1447" s="6" t="str">
        <x:f>IFERROR(XLOOKUP(C1447,'Review Sequence'!C2:C1586,'Review Sequence'!I2:I1586),"")</x:f>
        <x:v>Not Started</x:v>
      </x:c>
      <x:c r="G1447" s="6" t="str">
        <x:f>IFERROR(XLOOKUP(C1447,'Review Sequence'!C2:C1586,'Review Sequence'!J2:J1586),"")</x:f>
        <x:v>Not Started</x:v>
      </x:c>
      <x:c r="H1447" s="7" t="str">
        <x:f>IFERROR(XLOOKUP(C1447,'Review Sequence'!C2:C1586,'Review Sequence'!O2:O1586),"")</x:f>
      </x:c>
      <x:c r="I1447" s="6" t="str">
        <x:f>IFERROR(XLOOKUP(C1447,'Review Sequence'!C2:C1586,'Review Sequence'!P2:P1586),"")</x:f>
        <x:v>Yes</x:v>
      </x:c>
    </x:row>
    <x:row r="1448">
      <x:c r="A1448" s="6" t="str">
        <x:v>BLK-1447</x:v>
      </x:c>
      <x:c r="B1448" s="6" t="str">
        <x:v>Labor Reference</x:v>
      </x:c>
      <x:c r="C1448" s="6" t="str">
        <x:v>LABX-0176</x:v>
      </x:c>
      <x:c r="D1448" s="6" t="str">
        <x:v>SVC000176</x:v>
      </x:c>
      <x:c r="E1448" s="6" t="str"/>
      <x:c r="F1448" s="6" t="str">
        <x:f>IFERROR(XLOOKUP(C1448,'Review Sequence'!C2:C1586,'Review Sequence'!I2:I1586),"")</x:f>
        <x:v>Not Started</x:v>
      </x:c>
      <x:c r="G1448" s="6" t="str">
        <x:f>IFERROR(XLOOKUP(C1448,'Review Sequence'!C2:C1586,'Review Sequence'!J2:J1586),"")</x:f>
        <x:v>Not Started</x:v>
      </x:c>
      <x:c r="H1448" s="7" t="str">
        <x:f>IFERROR(XLOOKUP(C1448,'Review Sequence'!C2:C1586,'Review Sequence'!O2:O1586),"")</x:f>
      </x:c>
      <x:c r="I1448" s="6" t="str">
        <x:f>IFERROR(XLOOKUP(C1448,'Review Sequence'!C2:C1586,'Review Sequence'!P2:P1586),"")</x:f>
        <x:v>Yes</x:v>
      </x:c>
    </x:row>
    <x:row r="1449">
      <x:c r="A1449" s="6" t="str">
        <x:v>BLK-1448</x:v>
      </x:c>
      <x:c r="B1449" s="6" t="str">
        <x:v>Labor Reference</x:v>
      </x:c>
      <x:c r="C1449" s="6" t="str">
        <x:v>LABX-0177</x:v>
      </x:c>
      <x:c r="D1449" s="6" t="str">
        <x:v>SVC000177</x:v>
      </x:c>
      <x:c r="E1449" s="6" t="str"/>
      <x:c r="F1449" s="6" t="str">
        <x:f>IFERROR(XLOOKUP(C1449,'Review Sequence'!C2:C1586,'Review Sequence'!I2:I1586),"")</x:f>
        <x:v>Not Started</x:v>
      </x:c>
      <x:c r="G1449" s="6" t="str">
        <x:f>IFERROR(XLOOKUP(C1449,'Review Sequence'!C2:C1586,'Review Sequence'!J2:J1586),"")</x:f>
        <x:v>Not Started</x:v>
      </x:c>
      <x:c r="H1449" s="7" t="str">
        <x:f>IFERROR(XLOOKUP(C1449,'Review Sequence'!C2:C1586,'Review Sequence'!O2:O1586),"")</x:f>
      </x:c>
      <x:c r="I1449" s="6" t="str">
        <x:f>IFERROR(XLOOKUP(C1449,'Review Sequence'!C2:C1586,'Review Sequence'!P2:P1586),"")</x:f>
        <x:v>Yes</x:v>
      </x:c>
    </x:row>
    <x:row r="1450">
      <x:c r="A1450" s="6" t="str">
        <x:v>BLK-1449</x:v>
      </x:c>
      <x:c r="B1450" s="6" t="str">
        <x:v>Labor Reference</x:v>
      </x:c>
      <x:c r="C1450" s="6" t="str">
        <x:v>LABX-0178</x:v>
      </x:c>
      <x:c r="D1450" s="6" t="str">
        <x:v>SVC000178</x:v>
      </x:c>
      <x:c r="E1450" s="6" t="str"/>
      <x:c r="F1450" s="6" t="str">
        <x:f>IFERROR(XLOOKUP(C1450,'Review Sequence'!C2:C1586,'Review Sequence'!I2:I1586),"")</x:f>
        <x:v>Not Started</x:v>
      </x:c>
      <x:c r="G1450" s="6" t="str">
        <x:f>IFERROR(XLOOKUP(C1450,'Review Sequence'!C2:C1586,'Review Sequence'!J2:J1586),"")</x:f>
        <x:v>Not Started</x:v>
      </x:c>
      <x:c r="H1450" s="7" t="str">
        <x:f>IFERROR(XLOOKUP(C1450,'Review Sequence'!C2:C1586,'Review Sequence'!O2:O1586),"")</x:f>
      </x:c>
      <x:c r="I1450" s="6" t="str">
        <x:f>IFERROR(XLOOKUP(C1450,'Review Sequence'!C2:C1586,'Review Sequence'!P2:P1586),"")</x:f>
        <x:v>Yes</x:v>
      </x:c>
    </x:row>
    <x:row r="1451">
      <x:c r="A1451" s="6" t="str">
        <x:v>BLK-1450</x:v>
      </x:c>
      <x:c r="B1451" s="6" t="str">
        <x:v>Labor Reference</x:v>
      </x:c>
      <x:c r="C1451" s="6" t="str">
        <x:v>LABX-0179</x:v>
      </x:c>
      <x:c r="D1451" s="6" t="str">
        <x:v>SVC000179</x:v>
      </x:c>
      <x:c r="E1451" s="6" t="str"/>
      <x:c r="F1451" s="6" t="str">
        <x:f>IFERROR(XLOOKUP(C1451,'Review Sequence'!C2:C1586,'Review Sequence'!I2:I1586),"")</x:f>
        <x:v>Not Started</x:v>
      </x:c>
      <x:c r="G1451" s="6" t="str">
        <x:f>IFERROR(XLOOKUP(C1451,'Review Sequence'!C2:C1586,'Review Sequence'!J2:J1586),"")</x:f>
        <x:v>Not Started</x:v>
      </x:c>
      <x:c r="H1451" s="7" t="str">
        <x:f>IFERROR(XLOOKUP(C1451,'Review Sequence'!C2:C1586,'Review Sequence'!O2:O1586),"")</x:f>
      </x:c>
      <x:c r="I1451" s="6" t="str">
        <x:f>IFERROR(XLOOKUP(C1451,'Review Sequence'!C2:C1586,'Review Sequence'!P2:P1586),"")</x:f>
        <x:v>Yes</x:v>
      </x:c>
    </x:row>
    <x:row r="1452">
      <x:c r="A1452" s="6" t="str">
        <x:v>BLK-1451</x:v>
      </x:c>
      <x:c r="B1452" s="6" t="str">
        <x:v>Labor Reference</x:v>
      </x:c>
      <x:c r="C1452" s="6" t="str">
        <x:v>LABX-0180</x:v>
      </x:c>
      <x:c r="D1452" s="6" t="str">
        <x:v>SVC000180</x:v>
      </x:c>
      <x:c r="E1452" s="6" t="str"/>
      <x:c r="F1452" s="6" t="str">
        <x:f>IFERROR(XLOOKUP(C1452,'Review Sequence'!C2:C1586,'Review Sequence'!I2:I1586),"")</x:f>
        <x:v>Not Started</x:v>
      </x:c>
      <x:c r="G1452" s="6" t="str">
        <x:f>IFERROR(XLOOKUP(C1452,'Review Sequence'!C2:C1586,'Review Sequence'!J2:J1586),"")</x:f>
        <x:v>Not Started</x:v>
      </x:c>
      <x:c r="H1452" s="7" t="str">
        <x:f>IFERROR(XLOOKUP(C1452,'Review Sequence'!C2:C1586,'Review Sequence'!O2:O1586),"")</x:f>
      </x:c>
      <x:c r="I1452" s="6" t="str">
        <x:f>IFERROR(XLOOKUP(C1452,'Review Sequence'!C2:C1586,'Review Sequence'!P2:P1586),"")</x:f>
        <x:v>Yes</x:v>
      </x:c>
    </x:row>
    <x:row r="1453">
      <x:c r="A1453" s="6" t="str">
        <x:v>BLK-1452</x:v>
      </x:c>
      <x:c r="B1453" s="6" t="str">
        <x:v>Labor Reference</x:v>
      </x:c>
      <x:c r="C1453" s="6" t="str">
        <x:v>LABX-0181</x:v>
      </x:c>
      <x:c r="D1453" s="6" t="str">
        <x:v>SVC000181</x:v>
      </x:c>
      <x:c r="E1453" s="6" t="str"/>
      <x:c r="F1453" s="6" t="str">
        <x:f>IFERROR(XLOOKUP(C1453,'Review Sequence'!C2:C1586,'Review Sequence'!I2:I1586),"")</x:f>
        <x:v>Not Started</x:v>
      </x:c>
      <x:c r="G1453" s="6" t="str">
        <x:f>IFERROR(XLOOKUP(C1453,'Review Sequence'!C2:C1586,'Review Sequence'!J2:J1586),"")</x:f>
        <x:v>Not Started</x:v>
      </x:c>
      <x:c r="H1453" s="7" t="str">
        <x:f>IFERROR(XLOOKUP(C1453,'Review Sequence'!C2:C1586,'Review Sequence'!O2:O1586),"")</x:f>
      </x:c>
      <x:c r="I1453" s="6" t="str">
        <x:f>IFERROR(XLOOKUP(C1453,'Review Sequence'!C2:C1586,'Review Sequence'!P2:P1586),"")</x:f>
        <x:v>Yes</x:v>
      </x:c>
    </x:row>
    <x:row r="1454">
      <x:c r="A1454" s="6" t="str">
        <x:v>BLK-1453</x:v>
      </x:c>
      <x:c r="B1454" s="6" t="str">
        <x:v>Labor Reference</x:v>
      </x:c>
      <x:c r="C1454" s="6" t="str">
        <x:v>LABX-0182</x:v>
      </x:c>
      <x:c r="D1454" s="6" t="str">
        <x:v>SVC000182</x:v>
      </x:c>
      <x:c r="E1454" s="6" t="str"/>
      <x:c r="F1454" s="6" t="str">
        <x:f>IFERROR(XLOOKUP(C1454,'Review Sequence'!C2:C1586,'Review Sequence'!I2:I1586),"")</x:f>
        <x:v>Not Started</x:v>
      </x:c>
      <x:c r="G1454" s="6" t="str">
        <x:f>IFERROR(XLOOKUP(C1454,'Review Sequence'!C2:C1586,'Review Sequence'!J2:J1586),"")</x:f>
        <x:v>Not Started</x:v>
      </x:c>
      <x:c r="H1454" s="7" t="str">
        <x:f>IFERROR(XLOOKUP(C1454,'Review Sequence'!C2:C1586,'Review Sequence'!O2:O1586),"")</x:f>
      </x:c>
      <x:c r="I1454" s="6" t="str">
        <x:f>IFERROR(XLOOKUP(C1454,'Review Sequence'!C2:C1586,'Review Sequence'!P2:P1586),"")</x:f>
        <x:v>Yes</x:v>
      </x:c>
    </x:row>
    <x:row r="1455">
      <x:c r="A1455" s="6" t="str">
        <x:v>BLK-1454</x:v>
      </x:c>
      <x:c r="B1455" s="6" t="str">
        <x:v>Labor Reference</x:v>
      </x:c>
      <x:c r="C1455" s="6" t="str">
        <x:v>LABX-0183</x:v>
      </x:c>
      <x:c r="D1455" s="6" t="str">
        <x:v>SVC000183</x:v>
      </x:c>
      <x:c r="E1455" s="6" t="str"/>
      <x:c r="F1455" s="6" t="str">
        <x:f>IFERROR(XLOOKUP(C1455,'Review Sequence'!C2:C1586,'Review Sequence'!I2:I1586),"")</x:f>
        <x:v>Not Started</x:v>
      </x:c>
      <x:c r="G1455" s="6" t="str">
        <x:f>IFERROR(XLOOKUP(C1455,'Review Sequence'!C2:C1586,'Review Sequence'!J2:J1586),"")</x:f>
        <x:v>Not Started</x:v>
      </x:c>
      <x:c r="H1455" s="7" t="str">
        <x:f>IFERROR(XLOOKUP(C1455,'Review Sequence'!C2:C1586,'Review Sequence'!O2:O1586),"")</x:f>
      </x:c>
      <x:c r="I1455" s="6" t="str">
        <x:f>IFERROR(XLOOKUP(C1455,'Review Sequence'!C2:C1586,'Review Sequence'!P2:P1586),"")</x:f>
        <x:v>Yes</x:v>
      </x:c>
    </x:row>
    <x:row r="1456">
      <x:c r="A1456" s="6" t="str">
        <x:v>BLK-1455</x:v>
      </x:c>
      <x:c r="B1456" s="6" t="str">
        <x:v>Labor Reference</x:v>
      </x:c>
      <x:c r="C1456" s="6" t="str">
        <x:v>LABX-0184</x:v>
      </x:c>
      <x:c r="D1456" s="6" t="str">
        <x:v>SVC000184</x:v>
      </x:c>
      <x:c r="E1456" s="6" t="str"/>
      <x:c r="F1456" s="6" t="str">
        <x:f>IFERROR(XLOOKUP(C1456,'Review Sequence'!C2:C1586,'Review Sequence'!I2:I1586),"")</x:f>
        <x:v>Not Started</x:v>
      </x:c>
      <x:c r="G1456" s="6" t="str">
        <x:f>IFERROR(XLOOKUP(C1456,'Review Sequence'!C2:C1586,'Review Sequence'!J2:J1586),"")</x:f>
        <x:v>Not Started</x:v>
      </x:c>
      <x:c r="H1456" s="7" t="str">
        <x:f>IFERROR(XLOOKUP(C1456,'Review Sequence'!C2:C1586,'Review Sequence'!O2:O1586),"")</x:f>
      </x:c>
      <x:c r="I1456" s="6" t="str">
        <x:f>IFERROR(XLOOKUP(C1456,'Review Sequence'!C2:C1586,'Review Sequence'!P2:P1586),"")</x:f>
        <x:v>Yes</x:v>
      </x:c>
    </x:row>
    <x:row r="1457">
      <x:c r="A1457" s="6" t="str">
        <x:v>BLK-1456</x:v>
      </x:c>
      <x:c r="B1457" s="6" t="str">
        <x:v>Labor Reference</x:v>
      </x:c>
      <x:c r="C1457" s="6" t="str">
        <x:v>LABX-0185</x:v>
      </x:c>
      <x:c r="D1457" s="6" t="str">
        <x:v>SVC000185</x:v>
      </x:c>
      <x:c r="E1457" s="6" t="str"/>
      <x:c r="F1457" s="6" t="str">
        <x:f>IFERROR(XLOOKUP(C1457,'Review Sequence'!C2:C1586,'Review Sequence'!I2:I1586),"")</x:f>
        <x:v>Not Started</x:v>
      </x:c>
      <x:c r="G1457" s="6" t="str">
        <x:f>IFERROR(XLOOKUP(C1457,'Review Sequence'!C2:C1586,'Review Sequence'!J2:J1586),"")</x:f>
        <x:v>Not Started</x:v>
      </x:c>
      <x:c r="H1457" s="7" t="str">
        <x:f>IFERROR(XLOOKUP(C1457,'Review Sequence'!C2:C1586,'Review Sequence'!O2:O1586),"")</x:f>
      </x:c>
      <x:c r="I1457" s="6" t="str">
        <x:f>IFERROR(XLOOKUP(C1457,'Review Sequence'!C2:C1586,'Review Sequence'!P2:P1586),"")</x:f>
        <x:v>Yes</x:v>
      </x:c>
    </x:row>
    <x:row r="1458">
      <x:c r="A1458" s="6" t="str">
        <x:v>BLK-1457</x:v>
      </x:c>
      <x:c r="B1458" s="6" t="str">
        <x:v>Labor Reference</x:v>
      </x:c>
      <x:c r="C1458" s="6" t="str">
        <x:v>LABX-0186</x:v>
      </x:c>
      <x:c r="D1458" s="6" t="str">
        <x:v>SVC000186</x:v>
      </x:c>
      <x:c r="E1458" s="6" t="str"/>
      <x:c r="F1458" s="6" t="str">
        <x:f>IFERROR(XLOOKUP(C1458,'Review Sequence'!C2:C1586,'Review Sequence'!I2:I1586),"")</x:f>
        <x:v>Not Started</x:v>
      </x:c>
      <x:c r="G1458" s="6" t="str">
        <x:f>IFERROR(XLOOKUP(C1458,'Review Sequence'!C2:C1586,'Review Sequence'!J2:J1586),"")</x:f>
        <x:v>Not Started</x:v>
      </x:c>
      <x:c r="H1458" s="7" t="str">
        <x:f>IFERROR(XLOOKUP(C1458,'Review Sequence'!C2:C1586,'Review Sequence'!O2:O1586),"")</x:f>
      </x:c>
      <x:c r="I1458" s="6" t="str">
        <x:f>IFERROR(XLOOKUP(C1458,'Review Sequence'!C2:C1586,'Review Sequence'!P2:P1586),"")</x:f>
        <x:v>Yes</x:v>
      </x:c>
    </x:row>
    <x:row r="1459">
      <x:c r="A1459" s="6" t="str">
        <x:v>BLK-1458</x:v>
      </x:c>
      <x:c r="B1459" s="6" t="str">
        <x:v>Labor Reference</x:v>
      </x:c>
      <x:c r="C1459" s="6" t="str">
        <x:v>LABX-0187</x:v>
      </x:c>
      <x:c r="D1459" s="6" t="str">
        <x:v>SVC000187</x:v>
      </x:c>
      <x:c r="E1459" s="6" t="str"/>
      <x:c r="F1459" s="6" t="str">
        <x:f>IFERROR(XLOOKUP(C1459,'Review Sequence'!C2:C1586,'Review Sequence'!I2:I1586),"")</x:f>
        <x:v>Not Started</x:v>
      </x:c>
      <x:c r="G1459" s="6" t="str">
        <x:f>IFERROR(XLOOKUP(C1459,'Review Sequence'!C2:C1586,'Review Sequence'!J2:J1586),"")</x:f>
        <x:v>Not Started</x:v>
      </x:c>
      <x:c r="H1459" s="7" t="str">
        <x:f>IFERROR(XLOOKUP(C1459,'Review Sequence'!C2:C1586,'Review Sequence'!O2:O1586),"")</x:f>
      </x:c>
      <x:c r="I1459" s="6" t="str">
        <x:f>IFERROR(XLOOKUP(C1459,'Review Sequence'!C2:C1586,'Review Sequence'!P2:P1586),"")</x:f>
        <x:v>Yes</x:v>
      </x:c>
    </x:row>
    <x:row r="1460">
      <x:c r="A1460" s="6" t="str">
        <x:v>BLK-1459</x:v>
      </x:c>
      <x:c r="B1460" s="6" t="str">
        <x:v>Labor Reference</x:v>
      </x:c>
      <x:c r="C1460" s="6" t="str">
        <x:v>LABX-0188</x:v>
      </x:c>
      <x:c r="D1460" s="6" t="str">
        <x:v>SVC000188</x:v>
      </x:c>
      <x:c r="E1460" s="6" t="str"/>
      <x:c r="F1460" s="6" t="str">
        <x:f>IFERROR(XLOOKUP(C1460,'Review Sequence'!C2:C1586,'Review Sequence'!I2:I1586),"")</x:f>
        <x:v>Not Started</x:v>
      </x:c>
      <x:c r="G1460" s="6" t="str">
        <x:f>IFERROR(XLOOKUP(C1460,'Review Sequence'!C2:C1586,'Review Sequence'!J2:J1586),"")</x:f>
        <x:v>Not Started</x:v>
      </x:c>
      <x:c r="H1460" s="7" t="str">
        <x:f>IFERROR(XLOOKUP(C1460,'Review Sequence'!C2:C1586,'Review Sequence'!O2:O1586),"")</x:f>
      </x:c>
      <x:c r="I1460" s="6" t="str">
        <x:f>IFERROR(XLOOKUP(C1460,'Review Sequence'!C2:C1586,'Review Sequence'!P2:P1586),"")</x:f>
        <x:v>Yes</x:v>
      </x:c>
    </x:row>
    <x:row r="1461">
      <x:c r="A1461" s="6" t="str">
        <x:v>BLK-1460</x:v>
      </x:c>
      <x:c r="B1461" s="6" t="str">
        <x:v>Labor Reference</x:v>
      </x:c>
      <x:c r="C1461" s="6" t="str">
        <x:v>LABX-0189</x:v>
      </x:c>
      <x:c r="D1461" s="6" t="str">
        <x:v>SVC000189</x:v>
      </x:c>
      <x:c r="E1461" s="6" t="str"/>
      <x:c r="F1461" s="6" t="str">
        <x:f>IFERROR(XLOOKUP(C1461,'Review Sequence'!C2:C1586,'Review Sequence'!I2:I1586),"")</x:f>
        <x:v>Not Started</x:v>
      </x:c>
      <x:c r="G1461" s="6" t="str">
        <x:f>IFERROR(XLOOKUP(C1461,'Review Sequence'!C2:C1586,'Review Sequence'!J2:J1586),"")</x:f>
        <x:v>Not Started</x:v>
      </x:c>
      <x:c r="H1461" s="7" t="str">
        <x:f>IFERROR(XLOOKUP(C1461,'Review Sequence'!C2:C1586,'Review Sequence'!O2:O1586),"")</x:f>
      </x:c>
      <x:c r="I1461" s="6" t="str">
        <x:f>IFERROR(XLOOKUP(C1461,'Review Sequence'!C2:C1586,'Review Sequence'!P2:P1586),"")</x:f>
        <x:v>Yes</x:v>
      </x:c>
    </x:row>
    <x:row r="1462">
      <x:c r="A1462" s="6" t="str">
        <x:v>BLK-1461</x:v>
      </x:c>
      <x:c r="B1462" s="6" t="str">
        <x:v>Labor Reference</x:v>
      </x:c>
      <x:c r="C1462" s="6" t="str">
        <x:v>LABX-0190</x:v>
      </x:c>
      <x:c r="D1462" s="6" t="str">
        <x:v>SVC000190</x:v>
      </x:c>
      <x:c r="E1462" s="6" t="str"/>
      <x:c r="F1462" s="6" t="str">
        <x:f>IFERROR(XLOOKUP(C1462,'Review Sequence'!C2:C1586,'Review Sequence'!I2:I1586),"")</x:f>
        <x:v>Not Started</x:v>
      </x:c>
      <x:c r="G1462" s="6" t="str">
        <x:f>IFERROR(XLOOKUP(C1462,'Review Sequence'!C2:C1586,'Review Sequence'!J2:J1586),"")</x:f>
        <x:v>Not Started</x:v>
      </x:c>
      <x:c r="H1462" s="7" t="str">
        <x:f>IFERROR(XLOOKUP(C1462,'Review Sequence'!C2:C1586,'Review Sequence'!O2:O1586),"")</x:f>
      </x:c>
      <x:c r="I1462" s="6" t="str">
        <x:f>IFERROR(XLOOKUP(C1462,'Review Sequence'!C2:C1586,'Review Sequence'!P2:P1586),"")</x:f>
        <x:v>Yes</x:v>
      </x:c>
    </x:row>
    <x:row r="1463">
      <x:c r="A1463" s="6" t="str">
        <x:v>BLK-1462</x:v>
      </x:c>
      <x:c r="B1463" s="6" t="str">
        <x:v>Labor Reference</x:v>
      </x:c>
      <x:c r="C1463" s="6" t="str">
        <x:v>LABX-0191</x:v>
      </x:c>
      <x:c r="D1463" s="6" t="str">
        <x:v>SVC000191</x:v>
      </x:c>
      <x:c r="E1463" s="6" t="str"/>
      <x:c r="F1463" s="6" t="str">
        <x:f>IFERROR(XLOOKUP(C1463,'Review Sequence'!C2:C1586,'Review Sequence'!I2:I1586),"")</x:f>
        <x:v>Not Started</x:v>
      </x:c>
      <x:c r="G1463" s="6" t="str">
        <x:f>IFERROR(XLOOKUP(C1463,'Review Sequence'!C2:C1586,'Review Sequence'!J2:J1586),"")</x:f>
        <x:v>Not Started</x:v>
      </x:c>
      <x:c r="H1463" s="7" t="str">
        <x:f>IFERROR(XLOOKUP(C1463,'Review Sequence'!C2:C1586,'Review Sequence'!O2:O1586),"")</x:f>
      </x:c>
      <x:c r="I1463" s="6" t="str">
        <x:f>IFERROR(XLOOKUP(C1463,'Review Sequence'!C2:C1586,'Review Sequence'!P2:P1586),"")</x:f>
        <x:v>Yes</x:v>
      </x:c>
    </x:row>
    <x:row r="1464">
      <x:c r="A1464" s="6" t="str">
        <x:v>BLK-1463</x:v>
      </x:c>
      <x:c r="B1464" s="6" t="str">
        <x:v>Labor Reference</x:v>
      </x:c>
      <x:c r="C1464" s="6" t="str">
        <x:v>LABX-0192</x:v>
      </x:c>
      <x:c r="D1464" s="6" t="str">
        <x:v>SVC000192</x:v>
      </x:c>
      <x:c r="E1464" s="6" t="str"/>
      <x:c r="F1464" s="6" t="str">
        <x:f>IFERROR(XLOOKUP(C1464,'Review Sequence'!C2:C1586,'Review Sequence'!I2:I1586),"")</x:f>
        <x:v>Not Started</x:v>
      </x:c>
      <x:c r="G1464" s="6" t="str">
        <x:f>IFERROR(XLOOKUP(C1464,'Review Sequence'!C2:C1586,'Review Sequence'!J2:J1586),"")</x:f>
        <x:v>Not Started</x:v>
      </x:c>
      <x:c r="H1464" s="7" t="str">
        <x:f>IFERROR(XLOOKUP(C1464,'Review Sequence'!C2:C1586,'Review Sequence'!O2:O1586),"")</x:f>
      </x:c>
      <x:c r="I1464" s="6" t="str">
        <x:f>IFERROR(XLOOKUP(C1464,'Review Sequence'!C2:C1586,'Review Sequence'!P2:P1586),"")</x:f>
        <x:v>Yes</x:v>
      </x:c>
    </x:row>
    <x:row r="1465">
      <x:c r="A1465" s="6" t="str">
        <x:v>BLK-1464</x:v>
      </x:c>
      <x:c r="B1465" s="6" t="str">
        <x:v>Labor Reference</x:v>
      </x:c>
      <x:c r="C1465" s="6" t="str">
        <x:v>LABX-0193</x:v>
      </x:c>
      <x:c r="D1465" s="6" t="str">
        <x:v>SVC000193</x:v>
      </x:c>
      <x:c r="E1465" s="6" t="str"/>
      <x:c r="F1465" s="6" t="str">
        <x:f>IFERROR(XLOOKUP(C1465,'Review Sequence'!C2:C1586,'Review Sequence'!I2:I1586),"")</x:f>
        <x:v>Not Started</x:v>
      </x:c>
      <x:c r="G1465" s="6" t="str">
        <x:f>IFERROR(XLOOKUP(C1465,'Review Sequence'!C2:C1586,'Review Sequence'!J2:J1586),"")</x:f>
        <x:v>Not Started</x:v>
      </x:c>
      <x:c r="H1465" s="7" t="str">
        <x:f>IFERROR(XLOOKUP(C1465,'Review Sequence'!C2:C1586,'Review Sequence'!O2:O1586),"")</x:f>
      </x:c>
      <x:c r="I1465" s="6" t="str">
        <x:f>IFERROR(XLOOKUP(C1465,'Review Sequence'!C2:C1586,'Review Sequence'!P2:P1586),"")</x:f>
        <x:v>Yes</x:v>
      </x:c>
    </x:row>
    <x:row r="1466">
      <x:c r="A1466" s="6" t="str">
        <x:v>BLK-1465</x:v>
      </x:c>
      <x:c r="B1466" s="6" t="str">
        <x:v>Labor Reference</x:v>
      </x:c>
      <x:c r="C1466" s="6" t="str">
        <x:v>LABX-0194</x:v>
      </x:c>
      <x:c r="D1466" s="6" t="str">
        <x:v>SVC000194</x:v>
      </x:c>
      <x:c r="E1466" s="6" t="str"/>
      <x:c r="F1466" s="6" t="str">
        <x:f>IFERROR(XLOOKUP(C1466,'Review Sequence'!C2:C1586,'Review Sequence'!I2:I1586),"")</x:f>
        <x:v>Not Started</x:v>
      </x:c>
      <x:c r="G1466" s="6" t="str">
        <x:f>IFERROR(XLOOKUP(C1466,'Review Sequence'!C2:C1586,'Review Sequence'!J2:J1586),"")</x:f>
        <x:v>Not Started</x:v>
      </x:c>
      <x:c r="H1466" s="7" t="str">
        <x:f>IFERROR(XLOOKUP(C1466,'Review Sequence'!C2:C1586,'Review Sequence'!O2:O1586),"")</x:f>
      </x:c>
      <x:c r="I1466" s="6" t="str">
        <x:f>IFERROR(XLOOKUP(C1466,'Review Sequence'!C2:C1586,'Review Sequence'!P2:P1586),"")</x:f>
        <x:v>Yes</x:v>
      </x:c>
    </x:row>
    <x:row r="1467">
      <x:c r="A1467" s="6" t="str">
        <x:v>BLK-1466</x:v>
      </x:c>
      <x:c r="B1467" s="6" t="str">
        <x:v>Labor Reference</x:v>
      </x:c>
      <x:c r="C1467" s="6" t="str">
        <x:v>LABX-0195</x:v>
      </x:c>
      <x:c r="D1467" s="6" t="str">
        <x:v>SVC000195</x:v>
      </x:c>
      <x:c r="E1467" s="6" t="str"/>
      <x:c r="F1467" s="6" t="str">
        <x:f>IFERROR(XLOOKUP(C1467,'Review Sequence'!C2:C1586,'Review Sequence'!I2:I1586),"")</x:f>
        <x:v>Not Started</x:v>
      </x:c>
      <x:c r="G1467" s="6" t="str">
        <x:f>IFERROR(XLOOKUP(C1467,'Review Sequence'!C2:C1586,'Review Sequence'!J2:J1586),"")</x:f>
        <x:v>Not Started</x:v>
      </x:c>
      <x:c r="H1467" s="7" t="str">
        <x:f>IFERROR(XLOOKUP(C1467,'Review Sequence'!C2:C1586,'Review Sequence'!O2:O1586),"")</x:f>
      </x:c>
      <x:c r="I1467" s="6" t="str">
        <x:f>IFERROR(XLOOKUP(C1467,'Review Sequence'!C2:C1586,'Review Sequence'!P2:P1586),"")</x:f>
        <x:v>Yes</x:v>
      </x:c>
    </x:row>
    <x:row r="1468">
      <x:c r="A1468" s="6" t="str">
        <x:v>BLK-1467</x:v>
      </x:c>
      <x:c r="B1468" s="6" t="str">
        <x:v>Labor Reference</x:v>
      </x:c>
      <x:c r="C1468" s="6" t="str">
        <x:v>LABX-0196</x:v>
      </x:c>
      <x:c r="D1468" s="6" t="str">
        <x:v>SVC000196</x:v>
      </x:c>
      <x:c r="E1468" s="6" t="str"/>
      <x:c r="F1468" s="6" t="str">
        <x:f>IFERROR(XLOOKUP(C1468,'Review Sequence'!C2:C1586,'Review Sequence'!I2:I1586),"")</x:f>
        <x:v>Not Started</x:v>
      </x:c>
      <x:c r="G1468" s="6" t="str">
        <x:f>IFERROR(XLOOKUP(C1468,'Review Sequence'!C2:C1586,'Review Sequence'!J2:J1586),"")</x:f>
        <x:v>Not Started</x:v>
      </x:c>
      <x:c r="H1468" s="7" t="str">
        <x:f>IFERROR(XLOOKUP(C1468,'Review Sequence'!C2:C1586,'Review Sequence'!O2:O1586),"")</x:f>
      </x:c>
      <x:c r="I1468" s="6" t="str">
        <x:f>IFERROR(XLOOKUP(C1468,'Review Sequence'!C2:C1586,'Review Sequence'!P2:P1586),"")</x:f>
        <x:v>Yes</x:v>
      </x:c>
    </x:row>
    <x:row r="1469">
      <x:c r="A1469" s="6" t="str">
        <x:v>BLK-1468</x:v>
      </x:c>
      <x:c r="B1469" s="6" t="str">
        <x:v>Labor Reference</x:v>
      </x:c>
      <x:c r="C1469" s="6" t="str">
        <x:v>LABX-0197</x:v>
      </x:c>
      <x:c r="D1469" s="6" t="str">
        <x:v>SVC000197</x:v>
      </x:c>
      <x:c r="E1469" s="6" t="str"/>
      <x:c r="F1469" s="6" t="str">
        <x:f>IFERROR(XLOOKUP(C1469,'Review Sequence'!C2:C1586,'Review Sequence'!I2:I1586),"")</x:f>
        <x:v>Not Started</x:v>
      </x:c>
      <x:c r="G1469" s="6" t="str">
        <x:f>IFERROR(XLOOKUP(C1469,'Review Sequence'!C2:C1586,'Review Sequence'!J2:J1586),"")</x:f>
        <x:v>Not Started</x:v>
      </x:c>
      <x:c r="H1469" s="7" t="str">
        <x:f>IFERROR(XLOOKUP(C1469,'Review Sequence'!C2:C1586,'Review Sequence'!O2:O1586),"")</x:f>
      </x:c>
      <x:c r="I1469" s="6" t="str">
        <x:f>IFERROR(XLOOKUP(C1469,'Review Sequence'!C2:C1586,'Review Sequence'!P2:P1586),"")</x:f>
        <x:v>Yes</x:v>
      </x:c>
    </x:row>
    <x:row r="1470">
      <x:c r="A1470" s="6" t="str">
        <x:v>BLK-1469</x:v>
      </x:c>
      <x:c r="B1470" s="6" t="str">
        <x:v>Labor Reference</x:v>
      </x:c>
      <x:c r="C1470" s="6" t="str">
        <x:v>LABX-0198</x:v>
      </x:c>
      <x:c r="D1470" s="6" t="str">
        <x:v>SVC000198</x:v>
      </x:c>
      <x:c r="E1470" s="6" t="str"/>
      <x:c r="F1470" s="6" t="str">
        <x:f>IFERROR(XLOOKUP(C1470,'Review Sequence'!C2:C1586,'Review Sequence'!I2:I1586),"")</x:f>
        <x:v>Not Started</x:v>
      </x:c>
      <x:c r="G1470" s="6" t="str">
        <x:f>IFERROR(XLOOKUP(C1470,'Review Sequence'!C2:C1586,'Review Sequence'!J2:J1586),"")</x:f>
        <x:v>Not Started</x:v>
      </x:c>
      <x:c r="H1470" s="7" t="str">
        <x:f>IFERROR(XLOOKUP(C1470,'Review Sequence'!C2:C1586,'Review Sequence'!O2:O1586),"")</x:f>
      </x:c>
      <x:c r="I1470" s="6" t="str">
        <x:f>IFERROR(XLOOKUP(C1470,'Review Sequence'!C2:C1586,'Review Sequence'!P2:P1586),"")</x:f>
        <x:v>Yes</x:v>
      </x:c>
    </x:row>
    <x:row r="1471">
      <x:c r="A1471" s="6" t="str">
        <x:v>BLK-1470</x:v>
      </x:c>
      <x:c r="B1471" s="6" t="str">
        <x:v>Labor Reference</x:v>
      </x:c>
      <x:c r="C1471" s="6" t="str">
        <x:v>LABX-0199</x:v>
      </x:c>
      <x:c r="D1471" s="6" t="str">
        <x:v>SVC000199</x:v>
      </x:c>
      <x:c r="E1471" s="6" t="str"/>
      <x:c r="F1471" s="6" t="str">
        <x:f>IFERROR(XLOOKUP(C1471,'Review Sequence'!C2:C1586,'Review Sequence'!I2:I1586),"")</x:f>
        <x:v>Not Started</x:v>
      </x:c>
      <x:c r="G1471" s="6" t="str">
        <x:f>IFERROR(XLOOKUP(C1471,'Review Sequence'!C2:C1586,'Review Sequence'!J2:J1586),"")</x:f>
        <x:v>Not Started</x:v>
      </x:c>
      <x:c r="H1471" s="7" t="str">
        <x:f>IFERROR(XLOOKUP(C1471,'Review Sequence'!C2:C1586,'Review Sequence'!O2:O1586),"")</x:f>
      </x:c>
      <x:c r="I1471" s="6" t="str">
        <x:f>IFERROR(XLOOKUP(C1471,'Review Sequence'!C2:C1586,'Review Sequence'!P2:P1586),"")</x:f>
        <x:v>Yes</x:v>
      </x:c>
    </x:row>
    <x:row r="1472">
      <x:c r="A1472" s="6" t="str">
        <x:v>BLK-1471</x:v>
      </x:c>
      <x:c r="B1472" s="6" t="str">
        <x:v>Labor Reference</x:v>
      </x:c>
      <x:c r="C1472" s="6" t="str">
        <x:v>LABX-0200</x:v>
      </x:c>
      <x:c r="D1472" s="6" t="str">
        <x:v>SVC000200</x:v>
      </x:c>
      <x:c r="E1472" s="6" t="str"/>
      <x:c r="F1472" s="6" t="str">
        <x:f>IFERROR(XLOOKUP(C1472,'Review Sequence'!C2:C1586,'Review Sequence'!I2:I1586),"")</x:f>
        <x:v>Not Started</x:v>
      </x:c>
      <x:c r="G1472" s="6" t="str">
        <x:f>IFERROR(XLOOKUP(C1472,'Review Sequence'!C2:C1586,'Review Sequence'!J2:J1586),"")</x:f>
        <x:v>Not Started</x:v>
      </x:c>
      <x:c r="H1472" s="7" t="str">
        <x:f>IFERROR(XLOOKUP(C1472,'Review Sequence'!C2:C1586,'Review Sequence'!O2:O1586),"")</x:f>
      </x:c>
      <x:c r="I1472" s="6" t="str">
        <x:f>IFERROR(XLOOKUP(C1472,'Review Sequence'!C2:C1586,'Review Sequence'!P2:P1586),"")</x:f>
        <x:v>Yes</x:v>
      </x:c>
    </x:row>
    <x:row r="1473">
      <x:c r="A1473" s="6" t="str">
        <x:v>BLK-1472</x:v>
      </x:c>
      <x:c r="B1473" s="6" t="str">
        <x:v>Labor Reference</x:v>
      </x:c>
      <x:c r="C1473" s="6" t="str">
        <x:v>LABX-0201</x:v>
      </x:c>
      <x:c r="D1473" s="6" t="str">
        <x:v>SVC000201</x:v>
      </x:c>
      <x:c r="E1473" s="6" t="str"/>
      <x:c r="F1473" s="6" t="str">
        <x:f>IFERROR(XLOOKUP(C1473,'Review Sequence'!C2:C1586,'Review Sequence'!I2:I1586),"")</x:f>
        <x:v>Not Started</x:v>
      </x:c>
      <x:c r="G1473" s="6" t="str">
        <x:f>IFERROR(XLOOKUP(C1473,'Review Sequence'!C2:C1586,'Review Sequence'!J2:J1586),"")</x:f>
        <x:v>Not Started</x:v>
      </x:c>
      <x:c r="H1473" s="7" t="str">
        <x:f>IFERROR(XLOOKUP(C1473,'Review Sequence'!C2:C1586,'Review Sequence'!O2:O1586),"")</x:f>
      </x:c>
      <x:c r="I1473" s="6" t="str">
        <x:f>IFERROR(XLOOKUP(C1473,'Review Sequence'!C2:C1586,'Review Sequence'!P2:P1586),"")</x:f>
        <x:v>Yes</x:v>
      </x:c>
    </x:row>
    <x:row r="1474">
      <x:c r="A1474" s="6" t="str">
        <x:v>BLK-1473</x:v>
      </x:c>
      <x:c r="B1474" s="6" t="str">
        <x:v>Labor Reference</x:v>
      </x:c>
      <x:c r="C1474" s="6" t="str">
        <x:v>LABX-0202</x:v>
      </x:c>
      <x:c r="D1474" s="6" t="str">
        <x:v>SVC000202</x:v>
      </x:c>
      <x:c r="E1474" s="6" t="str"/>
      <x:c r="F1474" s="6" t="str">
        <x:f>IFERROR(XLOOKUP(C1474,'Review Sequence'!C2:C1586,'Review Sequence'!I2:I1586),"")</x:f>
        <x:v>Not Started</x:v>
      </x:c>
      <x:c r="G1474" s="6" t="str">
        <x:f>IFERROR(XLOOKUP(C1474,'Review Sequence'!C2:C1586,'Review Sequence'!J2:J1586),"")</x:f>
        <x:v>Not Started</x:v>
      </x:c>
      <x:c r="H1474" s="7" t="str">
        <x:f>IFERROR(XLOOKUP(C1474,'Review Sequence'!C2:C1586,'Review Sequence'!O2:O1586),"")</x:f>
      </x:c>
      <x:c r="I1474" s="6" t="str">
        <x:f>IFERROR(XLOOKUP(C1474,'Review Sequence'!C2:C1586,'Review Sequence'!P2:P1586),"")</x:f>
        <x:v>Yes</x:v>
      </x:c>
    </x:row>
    <x:row r="1475">
      <x:c r="A1475" s="6" t="str">
        <x:v>BLK-1474</x:v>
      </x:c>
      <x:c r="B1475" s="6" t="str">
        <x:v>Labor Reference</x:v>
      </x:c>
      <x:c r="C1475" s="6" t="str">
        <x:v>LABX-0203</x:v>
      </x:c>
      <x:c r="D1475" s="6" t="str">
        <x:v>SVC000203</x:v>
      </x:c>
      <x:c r="E1475" s="6" t="str"/>
      <x:c r="F1475" s="6" t="str">
        <x:f>IFERROR(XLOOKUP(C1475,'Review Sequence'!C2:C1586,'Review Sequence'!I2:I1586),"")</x:f>
        <x:v>Not Started</x:v>
      </x:c>
      <x:c r="G1475" s="6" t="str">
        <x:f>IFERROR(XLOOKUP(C1475,'Review Sequence'!C2:C1586,'Review Sequence'!J2:J1586),"")</x:f>
        <x:v>Not Started</x:v>
      </x:c>
      <x:c r="H1475" s="7" t="str">
        <x:f>IFERROR(XLOOKUP(C1475,'Review Sequence'!C2:C1586,'Review Sequence'!O2:O1586),"")</x:f>
      </x:c>
      <x:c r="I1475" s="6" t="str">
        <x:f>IFERROR(XLOOKUP(C1475,'Review Sequence'!C2:C1586,'Review Sequence'!P2:P1586),"")</x:f>
        <x:v>Yes</x:v>
      </x:c>
    </x:row>
    <x:row r="1476">
      <x:c r="A1476" s="6" t="str">
        <x:v>BLK-1475</x:v>
      </x:c>
      <x:c r="B1476" s="6" t="str">
        <x:v>Labor Reference</x:v>
      </x:c>
      <x:c r="C1476" s="6" t="str">
        <x:v>LABX-0204</x:v>
      </x:c>
      <x:c r="D1476" s="6" t="str">
        <x:v>SVC000204</x:v>
      </x:c>
      <x:c r="E1476" s="6" t="str"/>
      <x:c r="F1476" s="6" t="str">
        <x:f>IFERROR(XLOOKUP(C1476,'Review Sequence'!C2:C1586,'Review Sequence'!I2:I1586),"")</x:f>
        <x:v>Not Started</x:v>
      </x:c>
      <x:c r="G1476" s="6" t="str">
        <x:f>IFERROR(XLOOKUP(C1476,'Review Sequence'!C2:C1586,'Review Sequence'!J2:J1586),"")</x:f>
        <x:v>Not Started</x:v>
      </x:c>
      <x:c r="H1476" s="7" t="str">
        <x:f>IFERROR(XLOOKUP(C1476,'Review Sequence'!C2:C1586,'Review Sequence'!O2:O1586),"")</x:f>
      </x:c>
      <x:c r="I1476" s="6" t="str">
        <x:f>IFERROR(XLOOKUP(C1476,'Review Sequence'!C2:C1586,'Review Sequence'!P2:P1586),"")</x:f>
        <x:v>Yes</x:v>
      </x:c>
    </x:row>
    <x:row r="1477">
      <x:c r="A1477" s="6" t="str">
        <x:v>BLK-1476</x:v>
      </x:c>
      <x:c r="B1477" s="6" t="str">
        <x:v>Labor Reference</x:v>
      </x:c>
      <x:c r="C1477" s="6" t="str">
        <x:v>LABX-0205</x:v>
      </x:c>
      <x:c r="D1477" s="6" t="str">
        <x:v>SVC000205</x:v>
      </x:c>
      <x:c r="E1477" s="6" t="str"/>
      <x:c r="F1477" s="6" t="str">
        <x:f>IFERROR(XLOOKUP(C1477,'Review Sequence'!C2:C1586,'Review Sequence'!I2:I1586),"")</x:f>
        <x:v>Not Started</x:v>
      </x:c>
      <x:c r="G1477" s="6" t="str">
        <x:f>IFERROR(XLOOKUP(C1477,'Review Sequence'!C2:C1586,'Review Sequence'!J2:J1586),"")</x:f>
        <x:v>Not Started</x:v>
      </x:c>
      <x:c r="H1477" s="7" t="str">
        <x:f>IFERROR(XLOOKUP(C1477,'Review Sequence'!C2:C1586,'Review Sequence'!O2:O1586),"")</x:f>
      </x:c>
      <x:c r="I1477" s="6" t="str">
        <x:f>IFERROR(XLOOKUP(C1477,'Review Sequence'!C2:C1586,'Review Sequence'!P2:P1586),"")</x:f>
        <x:v>Yes</x:v>
      </x:c>
    </x:row>
    <x:row r="1478">
      <x:c r="A1478" s="6" t="str">
        <x:v>BLK-1477</x:v>
      </x:c>
      <x:c r="B1478" s="6" t="str">
        <x:v>Labor Reference</x:v>
      </x:c>
      <x:c r="C1478" s="6" t="str">
        <x:v>LABX-0206</x:v>
      </x:c>
      <x:c r="D1478" s="6" t="str">
        <x:v>SVC000206</x:v>
      </x:c>
      <x:c r="E1478" s="6" t="str"/>
      <x:c r="F1478" s="6" t="str">
        <x:f>IFERROR(XLOOKUP(C1478,'Review Sequence'!C2:C1586,'Review Sequence'!I2:I1586),"")</x:f>
        <x:v>Not Started</x:v>
      </x:c>
      <x:c r="G1478" s="6" t="str">
        <x:f>IFERROR(XLOOKUP(C1478,'Review Sequence'!C2:C1586,'Review Sequence'!J2:J1586),"")</x:f>
        <x:v>Not Started</x:v>
      </x:c>
      <x:c r="H1478" s="7" t="str">
        <x:f>IFERROR(XLOOKUP(C1478,'Review Sequence'!C2:C1586,'Review Sequence'!O2:O1586),"")</x:f>
      </x:c>
      <x:c r="I1478" s="6" t="str">
        <x:f>IFERROR(XLOOKUP(C1478,'Review Sequence'!C2:C1586,'Review Sequence'!P2:P1586),"")</x:f>
        <x:v>Yes</x:v>
      </x:c>
    </x:row>
    <x:row r="1479">
      <x:c r="A1479" s="6" t="str">
        <x:v>BLK-1478</x:v>
      </x:c>
      <x:c r="B1479" s="6" t="str">
        <x:v>Labor Reference</x:v>
      </x:c>
      <x:c r="C1479" s="6" t="str">
        <x:v>LABX-0207</x:v>
      </x:c>
      <x:c r="D1479" s="6" t="str">
        <x:v>SVC000207</x:v>
      </x:c>
      <x:c r="E1479" s="6" t="str"/>
      <x:c r="F1479" s="6" t="str">
        <x:f>IFERROR(XLOOKUP(C1479,'Review Sequence'!C2:C1586,'Review Sequence'!I2:I1586),"")</x:f>
        <x:v>Not Started</x:v>
      </x:c>
      <x:c r="G1479" s="6" t="str">
        <x:f>IFERROR(XLOOKUP(C1479,'Review Sequence'!C2:C1586,'Review Sequence'!J2:J1586),"")</x:f>
        <x:v>Not Started</x:v>
      </x:c>
      <x:c r="H1479" s="7" t="str">
        <x:f>IFERROR(XLOOKUP(C1479,'Review Sequence'!C2:C1586,'Review Sequence'!O2:O1586),"")</x:f>
      </x:c>
      <x:c r="I1479" s="6" t="str">
        <x:f>IFERROR(XLOOKUP(C1479,'Review Sequence'!C2:C1586,'Review Sequence'!P2:P1586),"")</x:f>
        <x:v>Yes</x:v>
      </x:c>
    </x:row>
    <x:row r="1480">
      <x:c r="A1480" s="6" t="str">
        <x:v>BLK-1479</x:v>
      </x:c>
      <x:c r="B1480" s="6" t="str">
        <x:v>Labor Reference</x:v>
      </x:c>
      <x:c r="C1480" s="6" t="str">
        <x:v>LABX-0208</x:v>
      </x:c>
      <x:c r="D1480" s="6" t="str">
        <x:v>SVC000208</x:v>
      </x:c>
      <x:c r="E1480" s="6" t="str"/>
      <x:c r="F1480" s="6" t="str">
        <x:f>IFERROR(XLOOKUP(C1480,'Review Sequence'!C2:C1586,'Review Sequence'!I2:I1586),"")</x:f>
        <x:v>Not Started</x:v>
      </x:c>
      <x:c r="G1480" s="6" t="str">
        <x:f>IFERROR(XLOOKUP(C1480,'Review Sequence'!C2:C1586,'Review Sequence'!J2:J1586),"")</x:f>
        <x:v>Not Started</x:v>
      </x:c>
      <x:c r="H1480" s="7" t="str">
        <x:f>IFERROR(XLOOKUP(C1480,'Review Sequence'!C2:C1586,'Review Sequence'!O2:O1586),"")</x:f>
      </x:c>
      <x:c r="I1480" s="6" t="str">
        <x:f>IFERROR(XLOOKUP(C1480,'Review Sequence'!C2:C1586,'Review Sequence'!P2:P1586),"")</x:f>
        <x:v>Yes</x:v>
      </x:c>
    </x:row>
    <x:row r="1481">
      <x:c r="A1481" s="6" t="str">
        <x:v>BLK-1480</x:v>
      </x:c>
      <x:c r="B1481" s="6" t="str">
        <x:v>Labor Reference</x:v>
      </x:c>
      <x:c r="C1481" s="6" t="str">
        <x:v>LABX-0209</x:v>
      </x:c>
      <x:c r="D1481" s="6" t="str">
        <x:v>SVC000209</x:v>
      </x:c>
      <x:c r="E1481" s="6" t="str"/>
      <x:c r="F1481" s="6" t="str">
        <x:f>IFERROR(XLOOKUP(C1481,'Review Sequence'!C2:C1586,'Review Sequence'!I2:I1586),"")</x:f>
        <x:v>Not Started</x:v>
      </x:c>
      <x:c r="G1481" s="6" t="str">
        <x:f>IFERROR(XLOOKUP(C1481,'Review Sequence'!C2:C1586,'Review Sequence'!J2:J1586),"")</x:f>
        <x:v>Not Started</x:v>
      </x:c>
      <x:c r="H1481" s="7" t="str">
        <x:f>IFERROR(XLOOKUP(C1481,'Review Sequence'!C2:C1586,'Review Sequence'!O2:O1586),"")</x:f>
      </x:c>
      <x:c r="I1481" s="6" t="str">
        <x:f>IFERROR(XLOOKUP(C1481,'Review Sequence'!C2:C1586,'Review Sequence'!P2:P1586),"")</x:f>
        <x:v>Yes</x:v>
      </x:c>
    </x:row>
    <x:row r="1482">
      <x:c r="A1482" s="6" t="str">
        <x:v>BLK-1481</x:v>
      </x:c>
      <x:c r="B1482" s="6" t="str">
        <x:v>Labor Reference</x:v>
      </x:c>
      <x:c r="C1482" s="6" t="str">
        <x:v>LABX-0210</x:v>
      </x:c>
      <x:c r="D1482" s="6" t="str">
        <x:v>SVC000210</x:v>
      </x:c>
      <x:c r="E1482" s="6" t="str"/>
      <x:c r="F1482" s="6" t="str">
        <x:f>IFERROR(XLOOKUP(C1482,'Review Sequence'!C2:C1586,'Review Sequence'!I2:I1586),"")</x:f>
        <x:v>Not Started</x:v>
      </x:c>
      <x:c r="G1482" s="6" t="str">
        <x:f>IFERROR(XLOOKUP(C1482,'Review Sequence'!C2:C1586,'Review Sequence'!J2:J1586),"")</x:f>
        <x:v>Not Started</x:v>
      </x:c>
      <x:c r="H1482" s="7" t="str">
        <x:f>IFERROR(XLOOKUP(C1482,'Review Sequence'!C2:C1586,'Review Sequence'!O2:O1586),"")</x:f>
      </x:c>
      <x:c r="I1482" s="6" t="str">
        <x:f>IFERROR(XLOOKUP(C1482,'Review Sequence'!C2:C1586,'Review Sequence'!P2:P1586),"")</x:f>
        <x:v>Yes</x:v>
      </x:c>
    </x:row>
    <x:row r="1483">
      <x:c r="A1483" s="6" t="str">
        <x:v>BLK-1482</x:v>
      </x:c>
      <x:c r="B1483" s="6" t="str">
        <x:v>Labor Reference</x:v>
      </x:c>
      <x:c r="C1483" s="6" t="str">
        <x:v>LABX-0211</x:v>
      </x:c>
      <x:c r="D1483" s="6" t="str">
        <x:v>SVC000211</x:v>
      </x:c>
      <x:c r="E1483" s="6" t="str"/>
      <x:c r="F1483" s="6" t="str">
        <x:f>IFERROR(XLOOKUP(C1483,'Review Sequence'!C2:C1586,'Review Sequence'!I2:I1586),"")</x:f>
        <x:v>Not Started</x:v>
      </x:c>
      <x:c r="G1483" s="6" t="str">
        <x:f>IFERROR(XLOOKUP(C1483,'Review Sequence'!C2:C1586,'Review Sequence'!J2:J1586),"")</x:f>
        <x:v>Not Started</x:v>
      </x:c>
      <x:c r="H1483" s="7" t="str">
        <x:f>IFERROR(XLOOKUP(C1483,'Review Sequence'!C2:C1586,'Review Sequence'!O2:O1586),"")</x:f>
      </x:c>
      <x:c r="I1483" s="6" t="str">
        <x:f>IFERROR(XLOOKUP(C1483,'Review Sequence'!C2:C1586,'Review Sequence'!P2:P1586),"")</x:f>
        <x:v>Yes</x:v>
      </x:c>
    </x:row>
    <x:row r="1484">
      <x:c r="A1484" s="6" t="str">
        <x:v>BLK-1483</x:v>
      </x:c>
      <x:c r="B1484" s="6" t="str">
        <x:v>Labor Reference</x:v>
      </x:c>
      <x:c r="C1484" s="6" t="str">
        <x:v>LABX-0212</x:v>
      </x:c>
      <x:c r="D1484" s="6" t="str">
        <x:v>SVC000212</x:v>
      </x:c>
      <x:c r="E1484" s="6" t="str"/>
      <x:c r="F1484" s="6" t="str">
        <x:f>IFERROR(XLOOKUP(C1484,'Review Sequence'!C2:C1586,'Review Sequence'!I2:I1586),"")</x:f>
        <x:v>Not Started</x:v>
      </x:c>
      <x:c r="G1484" s="6" t="str">
        <x:f>IFERROR(XLOOKUP(C1484,'Review Sequence'!C2:C1586,'Review Sequence'!J2:J1586),"")</x:f>
        <x:v>Not Started</x:v>
      </x:c>
      <x:c r="H1484" s="7" t="str">
        <x:f>IFERROR(XLOOKUP(C1484,'Review Sequence'!C2:C1586,'Review Sequence'!O2:O1586),"")</x:f>
      </x:c>
      <x:c r="I1484" s="6" t="str">
        <x:f>IFERROR(XLOOKUP(C1484,'Review Sequence'!C2:C1586,'Review Sequence'!P2:P1586),"")</x:f>
        <x:v>Yes</x:v>
      </x:c>
    </x:row>
    <x:row r="1485">
      <x:c r="A1485" s="6" t="str">
        <x:v>BLK-1484</x:v>
      </x:c>
      <x:c r="B1485" s="6" t="str">
        <x:v>Labor Reference</x:v>
      </x:c>
      <x:c r="C1485" s="6" t="str">
        <x:v>LABX-0213</x:v>
      </x:c>
      <x:c r="D1485" s="6" t="str">
        <x:v>SVC000213</x:v>
      </x:c>
      <x:c r="E1485" s="6" t="str"/>
      <x:c r="F1485" s="6" t="str">
        <x:f>IFERROR(XLOOKUP(C1485,'Review Sequence'!C2:C1586,'Review Sequence'!I2:I1586),"")</x:f>
        <x:v>Not Started</x:v>
      </x:c>
      <x:c r="G1485" s="6" t="str">
        <x:f>IFERROR(XLOOKUP(C1485,'Review Sequence'!C2:C1586,'Review Sequence'!J2:J1586),"")</x:f>
        <x:v>Not Started</x:v>
      </x:c>
      <x:c r="H1485" s="7" t="str">
        <x:f>IFERROR(XLOOKUP(C1485,'Review Sequence'!C2:C1586,'Review Sequence'!O2:O1586),"")</x:f>
      </x:c>
      <x:c r="I1485" s="6" t="str">
        <x:f>IFERROR(XLOOKUP(C1485,'Review Sequence'!C2:C1586,'Review Sequence'!P2:P1586),"")</x:f>
        <x:v>Yes</x:v>
      </x:c>
    </x:row>
    <x:row r="1486">
      <x:c r="A1486" s="6" t="str">
        <x:v>BLK-1485</x:v>
      </x:c>
      <x:c r="B1486" s="6" t="str">
        <x:v>Labor Reference</x:v>
      </x:c>
      <x:c r="C1486" s="6" t="str">
        <x:v>LABX-0214</x:v>
      </x:c>
      <x:c r="D1486" s="6" t="str">
        <x:v>SVC000214</x:v>
      </x:c>
      <x:c r="E1486" s="6" t="str"/>
      <x:c r="F1486" s="6" t="str">
        <x:f>IFERROR(XLOOKUP(C1486,'Review Sequence'!C2:C1586,'Review Sequence'!I2:I1586),"")</x:f>
        <x:v>Not Started</x:v>
      </x:c>
      <x:c r="G1486" s="6" t="str">
        <x:f>IFERROR(XLOOKUP(C1486,'Review Sequence'!C2:C1586,'Review Sequence'!J2:J1586),"")</x:f>
        <x:v>Not Started</x:v>
      </x:c>
      <x:c r="H1486" s="7" t="str">
        <x:f>IFERROR(XLOOKUP(C1486,'Review Sequence'!C2:C1586,'Review Sequence'!O2:O1586),"")</x:f>
      </x:c>
      <x:c r="I1486" s="6" t="str">
        <x:f>IFERROR(XLOOKUP(C1486,'Review Sequence'!C2:C1586,'Review Sequence'!P2:P1586),"")</x:f>
        <x:v>Yes</x:v>
      </x:c>
    </x:row>
    <x:row r="1487">
      <x:c r="A1487" s="6" t="str">
        <x:v>BLK-1486</x:v>
      </x:c>
      <x:c r="B1487" s="6" t="str">
        <x:v>Labor Reference</x:v>
      </x:c>
      <x:c r="C1487" s="6" t="str">
        <x:v>LABX-0215</x:v>
      </x:c>
      <x:c r="D1487" s="6" t="str">
        <x:v>SVC000215</x:v>
      </x:c>
      <x:c r="E1487" s="6" t="str"/>
      <x:c r="F1487" s="6" t="str">
        <x:f>IFERROR(XLOOKUP(C1487,'Review Sequence'!C2:C1586,'Review Sequence'!I2:I1586),"")</x:f>
        <x:v>Not Started</x:v>
      </x:c>
      <x:c r="G1487" s="6" t="str">
        <x:f>IFERROR(XLOOKUP(C1487,'Review Sequence'!C2:C1586,'Review Sequence'!J2:J1586),"")</x:f>
        <x:v>Not Started</x:v>
      </x:c>
      <x:c r="H1487" s="7" t="str">
        <x:f>IFERROR(XLOOKUP(C1487,'Review Sequence'!C2:C1586,'Review Sequence'!O2:O1586),"")</x:f>
      </x:c>
      <x:c r="I1487" s="6" t="str">
        <x:f>IFERROR(XLOOKUP(C1487,'Review Sequence'!C2:C1586,'Review Sequence'!P2:P1586),"")</x:f>
        <x:v>Yes</x:v>
      </x:c>
    </x:row>
    <x:row r="1488">
      <x:c r="A1488" s="6" t="str">
        <x:v>BLK-1487</x:v>
      </x:c>
      <x:c r="B1488" s="6" t="str">
        <x:v>Labor Reference</x:v>
      </x:c>
      <x:c r="C1488" s="6" t="str">
        <x:v>LABX-0216</x:v>
      </x:c>
      <x:c r="D1488" s="6" t="str">
        <x:v>SVC000216</x:v>
      </x:c>
      <x:c r="E1488" s="6" t="str"/>
      <x:c r="F1488" s="6" t="str">
        <x:f>IFERROR(XLOOKUP(C1488,'Review Sequence'!C2:C1586,'Review Sequence'!I2:I1586),"")</x:f>
        <x:v>Not Started</x:v>
      </x:c>
      <x:c r="G1488" s="6" t="str">
        <x:f>IFERROR(XLOOKUP(C1488,'Review Sequence'!C2:C1586,'Review Sequence'!J2:J1586),"")</x:f>
        <x:v>Not Started</x:v>
      </x:c>
      <x:c r="H1488" s="7" t="str">
        <x:f>IFERROR(XLOOKUP(C1488,'Review Sequence'!C2:C1586,'Review Sequence'!O2:O1586),"")</x:f>
      </x:c>
      <x:c r="I1488" s="6" t="str">
        <x:f>IFERROR(XLOOKUP(C1488,'Review Sequence'!C2:C1586,'Review Sequence'!P2:P1586),"")</x:f>
        <x:v>Yes</x:v>
      </x:c>
    </x:row>
    <x:row r="1489">
      <x:c r="A1489" s="6" t="str">
        <x:v>BLK-1488</x:v>
      </x:c>
      <x:c r="B1489" s="6" t="str">
        <x:v>Labor Reference</x:v>
      </x:c>
      <x:c r="C1489" s="6" t="str">
        <x:v>LABX-0217</x:v>
      </x:c>
      <x:c r="D1489" s="6" t="str">
        <x:v>SVC000217</x:v>
      </x:c>
      <x:c r="E1489" s="6" t="str"/>
      <x:c r="F1489" s="6" t="str">
        <x:f>IFERROR(XLOOKUP(C1489,'Review Sequence'!C2:C1586,'Review Sequence'!I2:I1586),"")</x:f>
        <x:v>Not Started</x:v>
      </x:c>
      <x:c r="G1489" s="6" t="str">
        <x:f>IFERROR(XLOOKUP(C1489,'Review Sequence'!C2:C1586,'Review Sequence'!J2:J1586),"")</x:f>
        <x:v>Not Started</x:v>
      </x:c>
      <x:c r="H1489" s="7" t="str">
        <x:f>IFERROR(XLOOKUP(C1489,'Review Sequence'!C2:C1586,'Review Sequence'!O2:O1586),"")</x:f>
      </x:c>
      <x:c r="I1489" s="6" t="str">
        <x:f>IFERROR(XLOOKUP(C1489,'Review Sequence'!C2:C1586,'Review Sequence'!P2:P1586),"")</x:f>
        <x:v>Yes</x:v>
      </x:c>
    </x:row>
    <x:row r="1490">
      <x:c r="A1490" s="6" t="str">
        <x:v>BLK-1489</x:v>
      </x:c>
      <x:c r="B1490" s="6" t="str">
        <x:v>Labor Reference</x:v>
      </x:c>
      <x:c r="C1490" s="6" t="str">
        <x:v>LABX-0218</x:v>
      </x:c>
      <x:c r="D1490" s="6" t="str">
        <x:v>SVC000218</x:v>
      </x:c>
      <x:c r="E1490" s="6" t="str"/>
      <x:c r="F1490" s="6" t="str">
        <x:f>IFERROR(XLOOKUP(C1490,'Review Sequence'!C2:C1586,'Review Sequence'!I2:I1586),"")</x:f>
        <x:v>Not Started</x:v>
      </x:c>
      <x:c r="G1490" s="6" t="str">
        <x:f>IFERROR(XLOOKUP(C1490,'Review Sequence'!C2:C1586,'Review Sequence'!J2:J1586),"")</x:f>
        <x:v>Not Started</x:v>
      </x:c>
      <x:c r="H1490" s="7" t="str">
        <x:f>IFERROR(XLOOKUP(C1490,'Review Sequence'!C2:C1586,'Review Sequence'!O2:O1586),"")</x:f>
      </x:c>
      <x:c r="I1490" s="6" t="str">
        <x:f>IFERROR(XLOOKUP(C1490,'Review Sequence'!C2:C1586,'Review Sequence'!P2:P1586),"")</x:f>
        <x:v>Yes</x:v>
      </x:c>
    </x:row>
    <x:row r="1491">
      <x:c r="A1491" s="6" t="str">
        <x:v>BLK-1490</x:v>
      </x:c>
      <x:c r="B1491" s="6" t="str">
        <x:v>Labor Reference</x:v>
      </x:c>
      <x:c r="C1491" s="6" t="str">
        <x:v>LABX-0219</x:v>
      </x:c>
      <x:c r="D1491" s="6" t="str">
        <x:v>SVC000219</x:v>
      </x:c>
      <x:c r="E1491" s="6" t="str"/>
      <x:c r="F1491" s="6" t="str">
        <x:f>IFERROR(XLOOKUP(C1491,'Review Sequence'!C2:C1586,'Review Sequence'!I2:I1586),"")</x:f>
        <x:v>Not Started</x:v>
      </x:c>
      <x:c r="G1491" s="6" t="str">
        <x:f>IFERROR(XLOOKUP(C1491,'Review Sequence'!C2:C1586,'Review Sequence'!J2:J1586),"")</x:f>
        <x:v>Not Started</x:v>
      </x:c>
      <x:c r="H1491" s="7" t="str">
        <x:f>IFERROR(XLOOKUP(C1491,'Review Sequence'!C2:C1586,'Review Sequence'!O2:O1586),"")</x:f>
      </x:c>
      <x:c r="I1491" s="6" t="str">
        <x:f>IFERROR(XLOOKUP(C1491,'Review Sequence'!C2:C1586,'Review Sequence'!P2:P1586),"")</x:f>
        <x:v>Yes</x:v>
      </x:c>
    </x:row>
    <x:row r="1492">
      <x:c r="A1492" s="6" t="str">
        <x:v>BLK-1491</x:v>
      </x:c>
      <x:c r="B1492" s="6" t="str">
        <x:v>Labor Reference</x:v>
      </x:c>
      <x:c r="C1492" s="6" t="str">
        <x:v>LABX-0220</x:v>
      </x:c>
      <x:c r="D1492" s="6" t="str">
        <x:v>SVC000220</x:v>
      </x:c>
      <x:c r="E1492" s="6" t="str"/>
      <x:c r="F1492" s="6" t="str">
        <x:f>IFERROR(XLOOKUP(C1492,'Review Sequence'!C2:C1586,'Review Sequence'!I2:I1586),"")</x:f>
        <x:v>Not Started</x:v>
      </x:c>
      <x:c r="G1492" s="6" t="str">
        <x:f>IFERROR(XLOOKUP(C1492,'Review Sequence'!C2:C1586,'Review Sequence'!J2:J1586),"")</x:f>
        <x:v>Not Started</x:v>
      </x:c>
      <x:c r="H1492" s="7" t="str">
        <x:f>IFERROR(XLOOKUP(C1492,'Review Sequence'!C2:C1586,'Review Sequence'!O2:O1586),"")</x:f>
      </x:c>
      <x:c r="I1492" s="6" t="str">
        <x:f>IFERROR(XLOOKUP(C1492,'Review Sequence'!C2:C1586,'Review Sequence'!P2:P1586),"")</x:f>
        <x:v>Yes</x:v>
      </x:c>
    </x:row>
    <x:row r="1493">
      <x:c r="A1493" s="6" t="str">
        <x:v>BLK-1492</x:v>
      </x:c>
      <x:c r="B1493" s="6" t="str">
        <x:v>Labor Reference</x:v>
      </x:c>
      <x:c r="C1493" s="6" t="str">
        <x:v>LABX-0221</x:v>
      </x:c>
      <x:c r="D1493" s="6" t="str">
        <x:v>SVC000221</x:v>
      </x:c>
      <x:c r="E1493" s="6" t="str"/>
      <x:c r="F1493" s="6" t="str">
        <x:f>IFERROR(XLOOKUP(C1493,'Review Sequence'!C2:C1586,'Review Sequence'!I2:I1586),"")</x:f>
        <x:v>Not Started</x:v>
      </x:c>
      <x:c r="G1493" s="6" t="str">
        <x:f>IFERROR(XLOOKUP(C1493,'Review Sequence'!C2:C1586,'Review Sequence'!J2:J1586),"")</x:f>
        <x:v>Not Started</x:v>
      </x:c>
      <x:c r="H1493" s="7" t="str">
        <x:f>IFERROR(XLOOKUP(C1493,'Review Sequence'!C2:C1586,'Review Sequence'!O2:O1586),"")</x:f>
      </x:c>
      <x:c r="I1493" s="6" t="str">
        <x:f>IFERROR(XLOOKUP(C1493,'Review Sequence'!C2:C1586,'Review Sequence'!P2:P1586),"")</x:f>
        <x:v>Yes</x:v>
      </x:c>
    </x:row>
    <x:row r="1494">
      <x:c r="A1494" s="6" t="str">
        <x:v>BLK-1493</x:v>
      </x:c>
      <x:c r="B1494" s="6" t="str">
        <x:v>Labor Reference</x:v>
      </x:c>
      <x:c r="C1494" s="6" t="str">
        <x:v>LABX-0222</x:v>
      </x:c>
      <x:c r="D1494" s="6" t="str">
        <x:v>SVC000222</x:v>
      </x:c>
      <x:c r="E1494" s="6" t="str"/>
      <x:c r="F1494" s="6" t="str">
        <x:f>IFERROR(XLOOKUP(C1494,'Review Sequence'!C2:C1586,'Review Sequence'!I2:I1586),"")</x:f>
        <x:v>Not Started</x:v>
      </x:c>
      <x:c r="G1494" s="6" t="str">
        <x:f>IFERROR(XLOOKUP(C1494,'Review Sequence'!C2:C1586,'Review Sequence'!J2:J1586),"")</x:f>
        <x:v>Not Started</x:v>
      </x:c>
      <x:c r="H1494" s="7" t="str">
        <x:f>IFERROR(XLOOKUP(C1494,'Review Sequence'!C2:C1586,'Review Sequence'!O2:O1586),"")</x:f>
      </x:c>
      <x:c r="I1494" s="6" t="str">
        <x:f>IFERROR(XLOOKUP(C1494,'Review Sequence'!C2:C1586,'Review Sequence'!P2:P1586),"")</x:f>
        <x:v>Yes</x:v>
      </x:c>
    </x:row>
    <x:row r="1495">
      <x:c r="A1495" s="6" t="str">
        <x:v>BLK-1494</x:v>
      </x:c>
      <x:c r="B1495" s="6" t="str">
        <x:v>Labor Reference</x:v>
      </x:c>
      <x:c r="C1495" s="6" t="str">
        <x:v>LABX-0223</x:v>
      </x:c>
      <x:c r="D1495" s="6" t="str">
        <x:v>SVC000223</x:v>
      </x:c>
      <x:c r="E1495" s="6" t="str"/>
      <x:c r="F1495" s="6" t="str">
        <x:f>IFERROR(XLOOKUP(C1495,'Review Sequence'!C2:C1586,'Review Sequence'!I2:I1586),"")</x:f>
        <x:v>Not Started</x:v>
      </x:c>
      <x:c r="G1495" s="6" t="str">
        <x:f>IFERROR(XLOOKUP(C1495,'Review Sequence'!C2:C1586,'Review Sequence'!J2:J1586),"")</x:f>
        <x:v>Not Started</x:v>
      </x:c>
      <x:c r="H1495" s="7" t="str">
        <x:f>IFERROR(XLOOKUP(C1495,'Review Sequence'!C2:C1586,'Review Sequence'!O2:O1586),"")</x:f>
      </x:c>
      <x:c r="I1495" s="6" t="str">
        <x:f>IFERROR(XLOOKUP(C1495,'Review Sequence'!C2:C1586,'Review Sequence'!P2:P1586),"")</x:f>
        <x:v>Yes</x:v>
      </x:c>
    </x:row>
    <x:row r="1496">
      <x:c r="A1496" s="6" t="str">
        <x:v>BLK-1495</x:v>
      </x:c>
      <x:c r="B1496" s="6" t="str">
        <x:v>Labor Reference</x:v>
      </x:c>
      <x:c r="C1496" s="6" t="str">
        <x:v>LABX-0224</x:v>
      </x:c>
      <x:c r="D1496" s="6" t="str">
        <x:v>SVC000224</x:v>
      </x:c>
      <x:c r="E1496" s="6" t="str"/>
      <x:c r="F1496" s="6" t="str">
        <x:f>IFERROR(XLOOKUP(C1496,'Review Sequence'!C2:C1586,'Review Sequence'!I2:I1586),"")</x:f>
        <x:v>Not Started</x:v>
      </x:c>
      <x:c r="G1496" s="6" t="str">
        <x:f>IFERROR(XLOOKUP(C1496,'Review Sequence'!C2:C1586,'Review Sequence'!J2:J1586),"")</x:f>
        <x:v>Not Started</x:v>
      </x:c>
      <x:c r="H1496" s="7" t="str">
        <x:f>IFERROR(XLOOKUP(C1496,'Review Sequence'!C2:C1586,'Review Sequence'!O2:O1586),"")</x:f>
      </x:c>
      <x:c r="I1496" s="6" t="str">
        <x:f>IFERROR(XLOOKUP(C1496,'Review Sequence'!C2:C1586,'Review Sequence'!P2:P1586),"")</x:f>
        <x:v>Yes</x:v>
      </x:c>
    </x:row>
    <x:row r="1497">
      <x:c r="A1497" s="6" t="str">
        <x:v>BLK-1496</x:v>
      </x:c>
      <x:c r="B1497" s="6" t="str">
        <x:v>Labor Reference</x:v>
      </x:c>
      <x:c r="C1497" s="6" t="str">
        <x:v>LABX-0225</x:v>
      </x:c>
      <x:c r="D1497" s="6" t="str">
        <x:v>SVC000225</x:v>
      </x:c>
      <x:c r="E1497" s="6" t="str"/>
      <x:c r="F1497" s="6" t="str">
        <x:f>IFERROR(XLOOKUP(C1497,'Review Sequence'!C2:C1586,'Review Sequence'!I2:I1586),"")</x:f>
        <x:v>Not Started</x:v>
      </x:c>
      <x:c r="G1497" s="6" t="str">
        <x:f>IFERROR(XLOOKUP(C1497,'Review Sequence'!C2:C1586,'Review Sequence'!J2:J1586),"")</x:f>
        <x:v>Not Started</x:v>
      </x:c>
      <x:c r="H1497" s="7" t="str">
        <x:f>IFERROR(XLOOKUP(C1497,'Review Sequence'!C2:C1586,'Review Sequence'!O2:O1586),"")</x:f>
      </x:c>
      <x:c r="I1497" s="6" t="str">
        <x:f>IFERROR(XLOOKUP(C1497,'Review Sequence'!C2:C1586,'Review Sequence'!P2:P1586),"")</x:f>
        <x:v>Yes</x:v>
      </x:c>
    </x:row>
    <x:row r="1498">
      <x:c r="A1498" s="6" t="str">
        <x:v>BLK-1497</x:v>
      </x:c>
      <x:c r="B1498" s="6" t="str">
        <x:v>Labor Reference</x:v>
      </x:c>
      <x:c r="C1498" s="6" t="str">
        <x:v>LABX-0226</x:v>
      </x:c>
      <x:c r="D1498" s="6" t="str">
        <x:v>SVC000226</x:v>
      </x:c>
      <x:c r="E1498" s="6" t="str"/>
      <x:c r="F1498" s="6" t="str">
        <x:f>IFERROR(XLOOKUP(C1498,'Review Sequence'!C2:C1586,'Review Sequence'!I2:I1586),"")</x:f>
        <x:v>Not Started</x:v>
      </x:c>
      <x:c r="G1498" s="6" t="str">
        <x:f>IFERROR(XLOOKUP(C1498,'Review Sequence'!C2:C1586,'Review Sequence'!J2:J1586),"")</x:f>
        <x:v>Not Started</x:v>
      </x:c>
      <x:c r="H1498" s="7" t="str">
        <x:f>IFERROR(XLOOKUP(C1498,'Review Sequence'!C2:C1586,'Review Sequence'!O2:O1586),"")</x:f>
      </x:c>
      <x:c r="I1498" s="6" t="str">
        <x:f>IFERROR(XLOOKUP(C1498,'Review Sequence'!C2:C1586,'Review Sequence'!P2:P1586),"")</x:f>
        <x:v>Yes</x:v>
      </x:c>
    </x:row>
    <x:row r="1499">
      <x:c r="A1499" s="6" t="str">
        <x:v>BLK-1498</x:v>
      </x:c>
      <x:c r="B1499" s="6" t="str">
        <x:v>Labor Reference</x:v>
      </x:c>
      <x:c r="C1499" s="6" t="str">
        <x:v>LABX-0227</x:v>
      </x:c>
      <x:c r="D1499" s="6" t="str">
        <x:v>SVC000227</x:v>
      </x:c>
      <x:c r="E1499" s="6" t="str"/>
      <x:c r="F1499" s="6" t="str">
        <x:f>IFERROR(XLOOKUP(C1499,'Review Sequence'!C2:C1586,'Review Sequence'!I2:I1586),"")</x:f>
        <x:v>Not Started</x:v>
      </x:c>
      <x:c r="G1499" s="6" t="str">
        <x:f>IFERROR(XLOOKUP(C1499,'Review Sequence'!C2:C1586,'Review Sequence'!J2:J1586),"")</x:f>
        <x:v>Not Started</x:v>
      </x:c>
      <x:c r="H1499" s="7" t="str">
        <x:f>IFERROR(XLOOKUP(C1499,'Review Sequence'!C2:C1586,'Review Sequence'!O2:O1586),"")</x:f>
      </x:c>
      <x:c r="I1499" s="6" t="str">
        <x:f>IFERROR(XLOOKUP(C1499,'Review Sequence'!C2:C1586,'Review Sequence'!P2:P1586),"")</x:f>
        <x:v>Yes</x:v>
      </x:c>
    </x:row>
    <x:row r="1500">
      <x:c r="A1500" s="6" t="str">
        <x:v>BLK-1499</x:v>
      </x:c>
      <x:c r="B1500" s="6" t="str">
        <x:v>Labor Reference</x:v>
      </x:c>
      <x:c r="C1500" s="6" t="str">
        <x:v>LABX-0228</x:v>
      </x:c>
      <x:c r="D1500" s="6" t="str">
        <x:v>SVC000228</x:v>
      </x:c>
      <x:c r="E1500" s="6" t="str"/>
      <x:c r="F1500" s="6" t="str">
        <x:f>IFERROR(XLOOKUP(C1500,'Review Sequence'!C2:C1586,'Review Sequence'!I2:I1586),"")</x:f>
        <x:v>Not Started</x:v>
      </x:c>
      <x:c r="G1500" s="6" t="str">
        <x:f>IFERROR(XLOOKUP(C1500,'Review Sequence'!C2:C1586,'Review Sequence'!J2:J1586),"")</x:f>
        <x:v>Not Started</x:v>
      </x:c>
      <x:c r="H1500" s="7" t="str">
        <x:f>IFERROR(XLOOKUP(C1500,'Review Sequence'!C2:C1586,'Review Sequence'!O2:O1586),"")</x:f>
      </x:c>
      <x:c r="I1500" s="6" t="str">
        <x:f>IFERROR(XLOOKUP(C1500,'Review Sequence'!C2:C1586,'Review Sequence'!P2:P1586),"")</x:f>
        <x:v>Yes</x:v>
      </x:c>
    </x:row>
    <x:row r="1501">
      <x:c r="A1501" s="6" t="str">
        <x:v>BLK-1500</x:v>
      </x:c>
      <x:c r="B1501" s="6" t="str">
        <x:v>Labor Reference</x:v>
      </x:c>
      <x:c r="C1501" s="6" t="str">
        <x:v>LABX-0229</x:v>
      </x:c>
      <x:c r="D1501" s="6" t="str">
        <x:v>SVC000229</x:v>
      </x:c>
      <x:c r="E1501" s="6" t="str"/>
      <x:c r="F1501" s="6" t="str">
        <x:f>IFERROR(XLOOKUP(C1501,'Review Sequence'!C2:C1586,'Review Sequence'!I2:I1586),"")</x:f>
        <x:v>Not Started</x:v>
      </x:c>
      <x:c r="G1501" s="6" t="str">
        <x:f>IFERROR(XLOOKUP(C1501,'Review Sequence'!C2:C1586,'Review Sequence'!J2:J1586),"")</x:f>
        <x:v>Not Started</x:v>
      </x:c>
      <x:c r="H1501" s="7" t="str">
        <x:f>IFERROR(XLOOKUP(C1501,'Review Sequence'!C2:C1586,'Review Sequence'!O2:O1586),"")</x:f>
      </x:c>
      <x:c r="I1501" s="6" t="str">
        <x:f>IFERROR(XLOOKUP(C1501,'Review Sequence'!C2:C1586,'Review Sequence'!P2:P1586),"")</x:f>
        <x:v>Yes</x:v>
      </x:c>
    </x:row>
    <x:row r="1502">
      <x:c r="A1502" s="6" t="str">
        <x:v>BLK-1501</x:v>
      </x:c>
      <x:c r="B1502" s="6" t="str">
        <x:v>Labor Reference</x:v>
      </x:c>
      <x:c r="C1502" s="6" t="str">
        <x:v>LABX-0230</x:v>
      </x:c>
      <x:c r="D1502" s="6" t="str">
        <x:v>SVC000230</x:v>
      </x:c>
      <x:c r="E1502" s="6" t="str"/>
      <x:c r="F1502" s="6" t="str">
        <x:f>IFERROR(XLOOKUP(C1502,'Review Sequence'!C2:C1586,'Review Sequence'!I2:I1586),"")</x:f>
        <x:v>Not Started</x:v>
      </x:c>
      <x:c r="G1502" s="6" t="str">
        <x:f>IFERROR(XLOOKUP(C1502,'Review Sequence'!C2:C1586,'Review Sequence'!J2:J1586),"")</x:f>
        <x:v>Not Started</x:v>
      </x:c>
      <x:c r="H1502" s="7" t="str">
        <x:f>IFERROR(XLOOKUP(C1502,'Review Sequence'!C2:C1586,'Review Sequence'!O2:O1586),"")</x:f>
      </x:c>
      <x:c r="I1502" s="6" t="str">
        <x:f>IFERROR(XLOOKUP(C1502,'Review Sequence'!C2:C1586,'Review Sequence'!P2:P1586),"")</x:f>
        <x:v>Yes</x:v>
      </x:c>
    </x:row>
    <x:row r="1503">
      <x:c r="A1503" s="6" t="str">
        <x:v>BLK-1502</x:v>
      </x:c>
      <x:c r="B1503" s="6" t="str">
        <x:v>Labor Reference</x:v>
      </x:c>
      <x:c r="C1503" s="6" t="str">
        <x:v>LABX-0231</x:v>
      </x:c>
      <x:c r="D1503" s="6" t="str">
        <x:v>SVC000231</x:v>
      </x:c>
      <x:c r="E1503" s="6" t="str"/>
      <x:c r="F1503" s="6" t="str">
        <x:f>IFERROR(XLOOKUP(C1503,'Review Sequence'!C2:C1586,'Review Sequence'!I2:I1586),"")</x:f>
        <x:v>Not Started</x:v>
      </x:c>
      <x:c r="G1503" s="6" t="str">
        <x:f>IFERROR(XLOOKUP(C1503,'Review Sequence'!C2:C1586,'Review Sequence'!J2:J1586),"")</x:f>
        <x:v>Not Started</x:v>
      </x:c>
      <x:c r="H1503" s="7" t="str">
        <x:f>IFERROR(XLOOKUP(C1503,'Review Sequence'!C2:C1586,'Review Sequence'!O2:O1586),"")</x:f>
      </x:c>
      <x:c r="I1503" s="6" t="str">
        <x:f>IFERROR(XLOOKUP(C1503,'Review Sequence'!C2:C1586,'Review Sequence'!P2:P1586),"")</x:f>
        <x:v>Yes</x:v>
      </x:c>
    </x:row>
    <x:row r="1504">
      <x:c r="A1504" s="6" t="str">
        <x:v>BLK-1503</x:v>
      </x:c>
      <x:c r="B1504" s="6" t="str">
        <x:v>Labor Reference</x:v>
      </x:c>
      <x:c r="C1504" s="6" t="str">
        <x:v>LABX-0232</x:v>
      </x:c>
      <x:c r="D1504" s="6" t="str">
        <x:v>SVC000232</x:v>
      </x:c>
      <x:c r="E1504" s="6" t="str"/>
      <x:c r="F1504" s="6" t="str">
        <x:f>IFERROR(XLOOKUP(C1504,'Review Sequence'!C2:C1586,'Review Sequence'!I2:I1586),"")</x:f>
        <x:v>Not Started</x:v>
      </x:c>
      <x:c r="G1504" s="6" t="str">
        <x:f>IFERROR(XLOOKUP(C1504,'Review Sequence'!C2:C1586,'Review Sequence'!J2:J1586),"")</x:f>
        <x:v>Not Started</x:v>
      </x:c>
      <x:c r="H1504" s="7" t="str">
        <x:f>IFERROR(XLOOKUP(C1504,'Review Sequence'!C2:C1586,'Review Sequence'!O2:O1586),"")</x:f>
      </x:c>
      <x:c r="I1504" s="6" t="str">
        <x:f>IFERROR(XLOOKUP(C1504,'Review Sequence'!C2:C1586,'Review Sequence'!P2:P1586),"")</x:f>
        <x:v>Yes</x:v>
      </x:c>
    </x:row>
    <x:row r="1505">
      <x:c r="A1505" s="6" t="str">
        <x:v>BLK-1504</x:v>
      </x:c>
      <x:c r="B1505" s="6" t="str">
        <x:v>Labor Reference</x:v>
      </x:c>
      <x:c r="C1505" s="6" t="str">
        <x:v>LABX-0233</x:v>
      </x:c>
      <x:c r="D1505" s="6" t="str">
        <x:v>SVC000233</x:v>
      </x:c>
      <x:c r="E1505" s="6" t="str"/>
      <x:c r="F1505" s="6" t="str">
        <x:f>IFERROR(XLOOKUP(C1505,'Review Sequence'!C2:C1586,'Review Sequence'!I2:I1586),"")</x:f>
        <x:v>Not Started</x:v>
      </x:c>
      <x:c r="G1505" s="6" t="str">
        <x:f>IFERROR(XLOOKUP(C1505,'Review Sequence'!C2:C1586,'Review Sequence'!J2:J1586),"")</x:f>
        <x:v>Not Started</x:v>
      </x:c>
      <x:c r="H1505" s="7" t="str">
        <x:f>IFERROR(XLOOKUP(C1505,'Review Sequence'!C2:C1586,'Review Sequence'!O2:O1586),"")</x:f>
      </x:c>
      <x:c r="I1505" s="6" t="str">
        <x:f>IFERROR(XLOOKUP(C1505,'Review Sequence'!C2:C1586,'Review Sequence'!P2:P1586),"")</x:f>
        <x:v>Yes</x:v>
      </x:c>
    </x:row>
    <x:row r="1506">
      <x:c r="A1506" s="6" t="str">
        <x:v>BLK-1505</x:v>
      </x:c>
      <x:c r="B1506" s="6" t="str">
        <x:v>Labor Reference</x:v>
      </x:c>
      <x:c r="C1506" s="6" t="str">
        <x:v>LABX-0234</x:v>
      </x:c>
      <x:c r="D1506" s="6" t="str">
        <x:v>SVC000234</x:v>
      </x:c>
      <x:c r="E1506" s="6" t="str"/>
      <x:c r="F1506" s="6" t="str">
        <x:f>IFERROR(XLOOKUP(C1506,'Review Sequence'!C2:C1586,'Review Sequence'!I2:I1586),"")</x:f>
        <x:v>Not Started</x:v>
      </x:c>
      <x:c r="G1506" s="6" t="str">
        <x:f>IFERROR(XLOOKUP(C1506,'Review Sequence'!C2:C1586,'Review Sequence'!J2:J1586),"")</x:f>
        <x:v>Not Started</x:v>
      </x:c>
      <x:c r="H1506" s="7" t="str">
        <x:f>IFERROR(XLOOKUP(C1506,'Review Sequence'!C2:C1586,'Review Sequence'!O2:O1586),"")</x:f>
      </x:c>
      <x:c r="I1506" s="6" t="str">
        <x:f>IFERROR(XLOOKUP(C1506,'Review Sequence'!C2:C1586,'Review Sequence'!P2:P1586),"")</x:f>
        <x:v>Yes</x:v>
      </x:c>
    </x:row>
    <x:row r="1507">
      <x:c r="A1507" s="6" t="str">
        <x:v>BLK-1506</x:v>
      </x:c>
      <x:c r="B1507" s="6" t="str">
        <x:v>Labor Reference</x:v>
      </x:c>
      <x:c r="C1507" s="6" t="str">
        <x:v>LABX-0235</x:v>
      </x:c>
      <x:c r="D1507" s="6" t="str">
        <x:v>SVC000235</x:v>
      </x:c>
      <x:c r="E1507" s="6" t="str"/>
      <x:c r="F1507" s="6" t="str">
        <x:f>IFERROR(XLOOKUP(C1507,'Review Sequence'!C2:C1586,'Review Sequence'!I2:I1586),"")</x:f>
        <x:v>Not Started</x:v>
      </x:c>
      <x:c r="G1507" s="6" t="str">
        <x:f>IFERROR(XLOOKUP(C1507,'Review Sequence'!C2:C1586,'Review Sequence'!J2:J1586),"")</x:f>
        <x:v>Not Started</x:v>
      </x:c>
      <x:c r="H1507" s="7" t="str">
        <x:f>IFERROR(XLOOKUP(C1507,'Review Sequence'!C2:C1586,'Review Sequence'!O2:O1586),"")</x:f>
      </x:c>
      <x:c r="I1507" s="6" t="str">
        <x:f>IFERROR(XLOOKUP(C1507,'Review Sequence'!C2:C1586,'Review Sequence'!P2:P1586),"")</x:f>
        <x:v>Yes</x:v>
      </x:c>
    </x:row>
    <x:row r="1508">
      <x:c r="A1508" s="6" t="str">
        <x:v>BLK-1507</x:v>
      </x:c>
      <x:c r="B1508" s="6" t="str">
        <x:v>Labor Reference</x:v>
      </x:c>
      <x:c r="C1508" s="6" t="str">
        <x:v>LABX-0236</x:v>
      </x:c>
      <x:c r="D1508" s="6" t="str">
        <x:v>SVC000236</x:v>
      </x:c>
      <x:c r="E1508" s="6" t="str"/>
      <x:c r="F1508" s="6" t="str">
        <x:f>IFERROR(XLOOKUP(C1508,'Review Sequence'!C2:C1586,'Review Sequence'!I2:I1586),"")</x:f>
        <x:v>Not Started</x:v>
      </x:c>
      <x:c r="G1508" s="6" t="str">
        <x:f>IFERROR(XLOOKUP(C1508,'Review Sequence'!C2:C1586,'Review Sequence'!J2:J1586),"")</x:f>
        <x:v>Not Started</x:v>
      </x:c>
      <x:c r="H1508" s="7" t="str">
        <x:f>IFERROR(XLOOKUP(C1508,'Review Sequence'!C2:C1586,'Review Sequence'!O2:O1586),"")</x:f>
      </x:c>
      <x:c r="I1508" s="6" t="str">
        <x:f>IFERROR(XLOOKUP(C1508,'Review Sequence'!C2:C1586,'Review Sequence'!P2:P1586),"")</x:f>
        <x:v>Yes</x:v>
      </x:c>
    </x:row>
    <x:row r="1509">
      <x:c r="A1509" s="6" t="str">
        <x:v>BLK-1508</x:v>
      </x:c>
      <x:c r="B1509" s="6" t="str">
        <x:v>Labor Reference</x:v>
      </x:c>
      <x:c r="C1509" s="6" t="str">
        <x:v>LABX-0237</x:v>
      </x:c>
      <x:c r="D1509" s="6" t="str">
        <x:v>SVC000237</x:v>
      </x:c>
      <x:c r="E1509" s="6" t="str"/>
      <x:c r="F1509" s="6" t="str">
        <x:f>IFERROR(XLOOKUP(C1509,'Review Sequence'!C2:C1586,'Review Sequence'!I2:I1586),"")</x:f>
        <x:v>Not Started</x:v>
      </x:c>
      <x:c r="G1509" s="6" t="str">
        <x:f>IFERROR(XLOOKUP(C1509,'Review Sequence'!C2:C1586,'Review Sequence'!J2:J1586),"")</x:f>
        <x:v>Not Started</x:v>
      </x:c>
      <x:c r="H1509" s="7" t="str">
        <x:f>IFERROR(XLOOKUP(C1509,'Review Sequence'!C2:C1586,'Review Sequence'!O2:O1586),"")</x:f>
      </x:c>
      <x:c r="I1509" s="6" t="str">
        <x:f>IFERROR(XLOOKUP(C1509,'Review Sequence'!C2:C1586,'Review Sequence'!P2:P1586),"")</x:f>
        <x:v>Yes</x:v>
      </x:c>
    </x:row>
    <x:row r="1510">
      <x:c r="A1510" s="6" t="str">
        <x:v>BLK-1509</x:v>
      </x:c>
      <x:c r="B1510" s="6" t="str">
        <x:v>Labor Reference</x:v>
      </x:c>
      <x:c r="C1510" s="6" t="str">
        <x:v>LABX-0238</x:v>
      </x:c>
      <x:c r="D1510" s="6" t="str">
        <x:v>SVC000238</x:v>
      </x:c>
      <x:c r="E1510" s="6" t="str"/>
      <x:c r="F1510" s="6" t="str">
        <x:f>IFERROR(XLOOKUP(C1510,'Review Sequence'!C2:C1586,'Review Sequence'!I2:I1586),"")</x:f>
        <x:v>Not Started</x:v>
      </x:c>
      <x:c r="G1510" s="6" t="str">
        <x:f>IFERROR(XLOOKUP(C1510,'Review Sequence'!C2:C1586,'Review Sequence'!J2:J1586),"")</x:f>
        <x:v>Not Started</x:v>
      </x:c>
      <x:c r="H1510" s="7" t="str">
        <x:f>IFERROR(XLOOKUP(C1510,'Review Sequence'!C2:C1586,'Review Sequence'!O2:O1586),"")</x:f>
      </x:c>
      <x:c r="I1510" s="6" t="str">
        <x:f>IFERROR(XLOOKUP(C1510,'Review Sequence'!C2:C1586,'Review Sequence'!P2:P1586),"")</x:f>
        <x:v>Yes</x:v>
      </x:c>
    </x:row>
    <x:row r="1511">
      <x:c r="A1511" s="6" t="str">
        <x:v>BLK-1510</x:v>
      </x:c>
      <x:c r="B1511" s="6" t="str">
        <x:v>Labor Reference</x:v>
      </x:c>
      <x:c r="C1511" s="6" t="str">
        <x:v>LABX-0239</x:v>
      </x:c>
      <x:c r="D1511" s="6" t="str">
        <x:v>SVC000239</x:v>
      </x:c>
      <x:c r="E1511" s="6" t="str"/>
      <x:c r="F1511" s="6" t="str">
        <x:f>IFERROR(XLOOKUP(C1511,'Review Sequence'!C2:C1586,'Review Sequence'!I2:I1586),"")</x:f>
        <x:v>Not Started</x:v>
      </x:c>
      <x:c r="G1511" s="6" t="str">
        <x:f>IFERROR(XLOOKUP(C1511,'Review Sequence'!C2:C1586,'Review Sequence'!J2:J1586),"")</x:f>
        <x:v>Not Started</x:v>
      </x:c>
      <x:c r="H1511" s="7" t="str">
        <x:f>IFERROR(XLOOKUP(C1511,'Review Sequence'!C2:C1586,'Review Sequence'!O2:O1586),"")</x:f>
      </x:c>
      <x:c r="I1511" s="6" t="str">
        <x:f>IFERROR(XLOOKUP(C1511,'Review Sequence'!C2:C1586,'Review Sequence'!P2:P1586),"")</x:f>
        <x:v>Yes</x:v>
      </x:c>
    </x:row>
    <x:row r="1512">
      <x:c r="A1512" s="6" t="str">
        <x:v>BLK-1511</x:v>
      </x:c>
      <x:c r="B1512" s="6" t="str">
        <x:v>Labor Reference</x:v>
      </x:c>
      <x:c r="C1512" s="6" t="str">
        <x:v>LABX-0240</x:v>
      </x:c>
      <x:c r="D1512" s="6" t="str">
        <x:v>SVC000240</x:v>
      </x:c>
      <x:c r="E1512" s="6" t="str"/>
      <x:c r="F1512" s="6" t="str">
        <x:f>IFERROR(XLOOKUP(C1512,'Review Sequence'!C2:C1586,'Review Sequence'!I2:I1586),"")</x:f>
        <x:v>Not Started</x:v>
      </x:c>
      <x:c r="G1512" s="6" t="str">
        <x:f>IFERROR(XLOOKUP(C1512,'Review Sequence'!C2:C1586,'Review Sequence'!J2:J1586),"")</x:f>
        <x:v>Not Started</x:v>
      </x:c>
      <x:c r="H1512" s="7" t="str">
        <x:f>IFERROR(XLOOKUP(C1512,'Review Sequence'!C2:C1586,'Review Sequence'!O2:O1586),"")</x:f>
      </x:c>
      <x:c r="I1512" s="6" t="str">
        <x:f>IFERROR(XLOOKUP(C1512,'Review Sequence'!C2:C1586,'Review Sequence'!P2:P1586),"")</x:f>
        <x:v>Yes</x:v>
      </x:c>
    </x:row>
    <x:row r="1513">
      <x:c r="A1513" s="6" t="str">
        <x:v>BLK-1512</x:v>
      </x:c>
      <x:c r="B1513" s="6" t="str">
        <x:v>Labor Reference</x:v>
      </x:c>
      <x:c r="C1513" s="6" t="str">
        <x:v>LABX-0241</x:v>
      </x:c>
      <x:c r="D1513" s="6" t="str">
        <x:v>SVC000241</x:v>
      </x:c>
      <x:c r="E1513" s="6" t="str"/>
      <x:c r="F1513" s="6" t="str">
        <x:f>IFERROR(XLOOKUP(C1513,'Review Sequence'!C2:C1586,'Review Sequence'!I2:I1586),"")</x:f>
        <x:v>Not Started</x:v>
      </x:c>
      <x:c r="G1513" s="6" t="str">
        <x:f>IFERROR(XLOOKUP(C1513,'Review Sequence'!C2:C1586,'Review Sequence'!J2:J1586),"")</x:f>
        <x:v>Not Started</x:v>
      </x:c>
      <x:c r="H1513" s="7" t="str">
        <x:f>IFERROR(XLOOKUP(C1513,'Review Sequence'!C2:C1586,'Review Sequence'!O2:O1586),"")</x:f>
      </x:c>
      <x:c r="I1513" s="6" t="str">
        <x:f>IFERROR(XLOOKUP(C1513,'Review Sequence'!C2:C1586,'Review Sequence'!P2:P1586),"")</x:f>
        <x:v>Yes</x:v>
      </x:c>
    </x:row>
    <x:row r="1514">
      <x:c r="A1514" s="6" t="str">
        <x:v>BLK-1513</x:v>
      </x:c>
      <x:c r="B1514" s="6" t="str">
        <x:v>Labor Reference</x:v>
      </x:c>
      <x:c r="C1514" s="6" t="str">
        <x:v>LABX-0242</x:v>
      </x:c>
      <x:c r="D1514" s="6" t="str">
        <x:v>SVC000242</x:v>
      </x:c>
      <x:c r="E1514" s="6" t="str"/>
      <x:c r="F1514" s="6" t="str">
        <x:f>IFERROR(XLOOKUP(C1514,'Review Sequence'!C2:C1586,'Review Sequence'!I2:I1586),"")</x:f>
        <x:v>Not Started</x:v>
      </x:c>
      <x:c r="G1514" s="6" t="str">
        <x:f>IFERROR(XLOOKUP(C1514,'Review Sequence'!C2:C1586,'Review Sequence'!J2:J1586),"")</x:f>
        <x:v>Not Started</x:v>
      </x:c>
      <x:c r="H1514" s="7" t="str">
        <x:f>IFERROR(XLOOKUP(C1514,'Review Sequence'!C2:C1586,'Review Sequence'!O2:O1586),"")</x:f>
      </x:c>
      <x:c r="I1514" s="6" t="str">
        <x:f>IFERROR(XLOOKUP(C1514,'Review Sequence'!C2:C1586,'Review Sequence'!P2:P1586),"")</x:f>
        <x:v>Yes</x:v>
      </x:c>
    </x:row>
    <x:row r="1515">
      <x:c r="A1515" s="6" t="str">
        <x:v>BLK-1514</x:v>
      </x:c>
      <x:c r="B1515" s="6" t="str">
        <x:v>Labor Reference</x:v>
      </x:c>
      <x:c r="C1515" s="6" t="str">
        <x:v>LABX-0243</x:v>
      </x:c>
      <x:c r="D1515" s="6" t="str">
        <x:v>SVC000243</x:v>
      </x:c>
      <x:c r="E1515" s="6" t="str"/>
      <x:c r="F1515" s="6" t="str">
        <x:f>IFERROR(XLOOKUP(C1515,'Review Sequence'!C2:C1586,'Review Sequence'!I2:I1586),"")</x:f>
        <x:v>Not Started</x:v>
      </x:c>
      <x:c r="G1515" s="6" t="str">
        <x:f>IFERROR(XLOOKUP(C1515,'Review Sequence'!C2:C1586,'Review Sequence'!J2:J1586),"")</x:f>
        <x:v>Not Started</x:v>
      </x:c>
      <x:c r="H1515" s="7" t="str">
        <x:f>IFERROR(XLOOKUP(C1515,'Review Sequence'!C2:C1586,'Review Sequence'!O2:O1586),"")</x:f>
      </x:c>
      <x:c r="I1515" s="6" t="str">
        <x:f>IFERROR(XLOOKUP(C1515,'Review Sequence'!C2:C1586,'Review Sequence'!P2:P1586),"")</x:f>
        <x:v>Yes</x:v>
      </x:c>
    </x:row>
    <x:row r="1516">
      <x:c r="A1516" s="6" t="str">
        <x:v>BLK-1515</x:v>
      </x:c>
      <x:c r="B1516" s="6" t="str">
        <x:v>Labor Reference</x:v>
      </x:c>
      <x:c r="C1516" s="6" t="str">
        <x:v>LABX-0244</x:v>
      </x:c>
      <x:c r="D1516" s="6" t="str">
        <x:v>SVC000244</x:v>
      </x:c>
      <x:c r="E1516" s="6" t="str"/>
      <x:c r="F1516" s="6" t="str">
        <x:f>IFERROR(XLOOKUP(C1516,'Review Sequence'!C2:C1586,'Review Sequence'!I2:I1586),"")</x:f>
        <x:v>Not Started</x:v>
      </x:c>
      <x:c r="G1516" s="6" t="str">
        <x:f>IFERROR(XLOOKUP(C1516,'Review Sequence'!C2:C1586,'Review Sequence'!J2:J1586),"")</x:f>
        <x:v>Not Started</x:v>
      </x:c>
      <x:c r="H1516" s="7" t="str">
        <x:f>IFERROR(XLOOKUP(C1516,'Review Sequence'!C2:C1586,'Review Sequence'!O2:O1586),"")</x:f>
      </x:c>
      <x:c r="I1516" s="6" t="str">
        <x:f>IFERROR(XLOOKUP(C1516,'Review Sequence'!C2:C1586,'Review Sequence'!P2:P1586),"")</x:f>
        <x:v>Yes</x:v>
      </x:c>
    </x:row>
    <x:row r="1517">
      <x:c r="A1517" s="6" t="str">
        <x:v>BLK-1516</x:v>
      </x:c>
      <x:c r="B1517" s="6" t="str">
        <x:v>Labor Reference</x:v>
      </x:c>
      <x:c r="C1517" s="6" t="str">
        <x:v>LABX-0245</x:v>
      </x:c>
      <x:c r="D1517" s="6" t="str">
        <x:v>SVC000245</x:v>
      </x:c>
      <x:c r="E1517" s="6" t="str"/>
      <x:c r="F1517" s="6" t="str">
        <x:f>IFERROR(XLOOKUP(C1517,'Review Sequence'!C2:C1586,'Review Sequence'!I2:I1586),"")</x:f>
        <x:v>Not Started</x:v>
      </x:c>
      <x:c r="G1517" s="6" t="str">
        <x:f>IFERROR(XLOOKUP(C1517,'Review Sequence'!C2:C1586,'Review Sequence'!J2:J1586),"")</x:f>
        <x:v>Not Started</x:v>
      </x:c>
      <x:c r="H1517" s="7" t="str">
        <x:f>IFERROR(XLOOKUP(C1517,'Review Sequence'!C2:C1586,'Review Sequence'!O2:O1586),"")</x:f>
      </x:c>
      <x:c r="I1517" s="6" t="str">
        <x:f>IFERROR(XLOOKUP(C1517,'Review Sequence'!C2:C1586,'Review Sequence'!P2:P1586),"")</x:f>
        <x:v>Yes</x:v>
      </x:c>
    </x:row>
    <x:row r="1518">
      <x:c r="A1518" s="6" t="str">
        <x:v>BLK-1517</x:v>
      </x:c>
      <x:c r="B1518" s="6" t="str">
        <x:v>Labor Reference</x:v>
      </x:c>
      <x:c r="C1518" s="6" t="str">
        <x:v>LABX-0246</x:v>
      </x:c>
      <x:c r="D1518" s="6" t="str">
        <x:v>SVC000246</x:v>
      </x:c>
      <x:c r="E1518" s="6" t="str"/>
      <x:c r="F1518" s="6" t="str">
        <x:f>IFERROR(XLOOKUP(C1518,'Review Sequence'!C2:C1586,'Review Sequence'!I2:I1586),"")</x:f>
        <x:v>Not Started</x:v>
      </x:c>
      <x:c r="G1518" s="6" t="str">
        <x:f>IFERROR(XLOOKUP(C1518,'Review Sequence'!C2:C1586,'Review Sequence'!J2:J1586),"")</x:f>
        <x:v>Not Started</x:v>
      </x:c>
      <x:c r="H1518" s="7" t="str">
        <x:f>IFERROR(XLOOKUP(C1518,'Review Sequence'!C2:C1586,'Review Sequence'!O2:O1586),"")</x:f>
      </x:c>
      <x:c r="I1518" s="6" t="str">
        <x:f>IFERROR(XLOOKUP(C1518,'Review Sequence'!C2:C1586,'Review Sequence'!P2:P1586),"")</x:f>
        <x:v>Yes</x:v>
      </x:c>
    </x:row>
    <x:row r="1519">
      <x:c r="A1519" s="6" t="str">
        <x:v>BLK-1518</x:v>
      </x:c>
      <x:c r="B1519" s="6" t="str">
        <x:v>Labor Reference</x:v>
      </x:c>
      <x:c r="C1519" s="6" t="str">
        <x:v>LABX-0247</x:v>
      </x:c>
      <x:c r="D1519" s="6" t="str">
        <x:v>SVC000247</x:v>
      </x:c>
      <x:c r="E1519" s="6" t="str"/>
      <x:c r="F1519" s="6" t="str">
        <x:f>IFERROR(XLOOKUP(C1519,'Review Sequence'!C2:C1586,'Review Sequence'!I2:I1586),"")</x:f>
        <x:v>Not Started</x:v>
      </x:c>
      <x:c r="G1519" s="6" t="str">
        <x:f>IFERROR(XLOOKUP(C1519,'Review Sequence'!C2:C1586,'Review Sequence'!J2:J1586),"")</x:f>
        <x:v>Not Started</x:v>
      </x:c>
      <x:c r="H1519" s="7" t="str">
        <x:f>IFERROR(XLOOKUP(C1519,'Review Sequence'!C2:C1586,'Review Sequence'!O2:O1586),"")</x:f>
      </x:c>
      <x:c r="I1519" s="6" t="str">
        <x:f>IFERROR(XLOOKUP(C1519,'Review Sequence'!C2:C1586,'Review Sequence'!P2:P1586),"")</x:f>
        <x:v>Yes</x:v>
      </x:c>
    </x:row>
    <x:row r="1520">
      <x:c r="A1520" s="6" t="str">
        <x:v>BLK-1519</x:v>
      </x:c>
      <x:c r="B1520" s="6" t="str">
        <x:v>Labor Reference</x:v>
      </x:c>
      <x:c r="C1520" s="6" t="str">
        <x:v>LABX-0248</x:v>
      </x:c>
      <x:c r="D1520" s="6" t="str">
        <x:v>SVC000248</x:v>
      </x:c>
      <x:c r="E1520" s="6" t="str"/>
      <x:c r="F1520" s="6" t="str">
        <x:f>IFERROR(XLOOKUP(C1520,'Review Sequence'!C2:C1586,'Review Sequence'!I2:I1586),"")</x:f>
        <x:v>Not Started</x:v>
      </x:c>
      <x:c r="G1520" s="6" t="str">
        <x:f>IFERROR(XLOOKUP(C1520,'Review Sequence'!C2:C1586,'Review Sequence'!J2:J1586),"")</x:f>
        <x:v>Not Started</x:v>
      </x:c>
      <x:c r="H1520" s="7" t="str">
        <x:f>IFERROR(XLOOKUP(C1520,'Review Sequence'!C2:C1586,'Review Sequence'!O2:O1586),"")</x:f>
      </x:c>
      <x:c r="I1520" s="6" t="str">
        <x:f>IFERROR(XLOOKUP(C1520,'Review Sequence'!C2:C1586,'Review Sequence'!P2:P1586),"")</x:f>
        <x:v>Yes</x:v>
      </x:c>
    </x:row>
    <x:row r="1521">
      <x:c r="A1521" s="6" t="str">
        <x:v>BLK-1520</x:v>
      </x:c>
      <x:c r="B1521" s="6" t="str">
        <x:v>Labor Reference</x:v>
      </x:c>
      <x:c r="C1521" s="6" t="str">
        <x:v>LABX-0249</x:v>
      </x:c>
      <x:c r="D1521" s="6" t="str">
        <x:v>SVC000249</x:v>
      </x:c>
      <x:c r="E1521" s="6" t="str"/>
      <x:c r="F1521" s="6" t="str">
        <x:f>IFERROR(XLOOKUP(C1521,'Review Sequence'!C2:C1586,'Review Sequence'!I2:I1586),"")</x:f>
        <x:v>Not Started</x:v>
      </x:c>
      <x:c r="G1521" s="6" t="str">
        <x:f>IFERROR(XLOOKUP(C1521,'Review Sequence'!C2:C1586,'Review Sequence'!J2:J1586),"")</x:f>
        <x:v>Not Started</x:v>
      </x:c>
      <x:c r="H1521" s="7" t="str">
        <x:f>IFERROR(XLOOKUP(C1521,'Review Sequence'!C2:C1586,'Review Sequence'!O2:O1586),"")</x:f>
      </x:c>
      <x:c r="I1521" s="6" t="str">
        <x:f>IFERROR(XLOOKUP(C1521,'Review Sequence'!C2:C1586,'Review Sequence'!P2:P1586),"")</x:f>
        <x:v>Yes</x:v>
      </x:c>
    </x:row>
    <x:row r="1522">
      <x:c r="A1522" s="6" t="str">
        <x:v>BLK-1521</x:v>
      </x:c>
      <x:c r="B1522" s="6" t="str">
        <x:v>Labor Reference</x:v>
      </x:c>
      <x:c r="C1522" s="6" t="str">
        <x:v>LABX-0250</x:v>
      </x:c>
      <x:c r="D1522" s="6" t="str">
        <x:v>SVC000250</x:v>
      </x:c>
      <x:c r="E1522" s="6" t="str"/>
      <x:c r="F1522" s="6" t="str">
        <x:f>IFERROR(XLOOKUP(C1522,'Review Sequence'!C2:C1586,'Review Sequence'!I2:I1586),"")</x:f>
        <x:v>Not Started</x:v>
      </x:c>
      <x:c r="G1522" s="6" t="str">
        <x:f>IFERROR(XLOOKUP(C1522,'Review Sequence'!C2:C1586,'Review Sequence'!J2:J1586),"")</x:f>
        <x:v>Not Started</x:v>
      </x:c>
      <x:c r="H1522" s="7" t="str">
        <x:f>IFERROR(XLOOKUP(C1522,'Review Sequence'!C2:C1586,'Review Sequence'!O2:O1586),"")</x:f>
      </x:c>
      <x:c r="I1522" s="6" t="str">
        <x:f>IFERROR(XLOOKUP(C1522,'Review Sequence'!C2:C1586,'Review Sequence'!P2:P1586),"")</x:f>
        <x:v>Yes</x:v>
      </x:c>
    </x:row>
    <x:row r="1523">
      <x:c r="A1523" s="6" t="str">
        <x:v>BLK-1522</x:v>
      </x:c>
      <x:c r="B1523" s="6" t="str">
        <x:v>Labor Reference</x:v>
      </x:c>
      <x:c r="C1523" s="6" t="str">
        <x:v>LABX-0251</x:v>
      </x:c>
      <x:c r="D1523" s="6" t="str">
        <x:v>SVC000251</x:v>
      </x:c>
      <x:c r="E1523" s="6" t="str"/>
      <x:c r="F1523" s="6" t="str">
        <x:f>IFERROR(XLOOKUP(C1523,'Review Sequence'!C2:C1586,'Review Sequence'!I2:I1586),"")</x:f>
        <x:v>Not Started</x:v>
      </x:c>
      <x:c r="G1523" s="6" t="str">
        <x:f>IFERROR(XLOOKUP(C1523,'Review Sequence'!C2:C1586,'Review Sequence'!J2:J1586),"")</x:f>
        <x:v>Not Started</x:v>
      </x:c>
      <x:c r="H1523" s="7" t="str">
        <x:f>IFERROR(XLOOKUP(C1523,'Review Sequence'!C2:C1586,'Review Sequence'!O2:O1586),"")</x:f>
      </x:c>
      <x:c r="I1523" s="6" t="str">
        <x:f>IFERROR(XLOOKUP(C1523,'Review Sequence'!C2:C1586,'Review Sequence'!P2:P1586),"")</x:f>
        <x:v>Yes</x:v>
      </x:c>
    </x:row>
    <x:row r="1524">
      <x:c r="A1524" s="6" t="str">
        <x:v>BLK-1523</x:v>
      </x:c>
      <x:c r="B1524" s="6" t="str">
        <x:v>Labor Reference</x:v>
      </x:c>
      <x:c r="C1524" s="6" t="str">
        <x:v>LABX-0252</x:v>
      </x:c>
      <x:c r="D1524" s="6" t="str">
        <x:v>SVC000252</x:v>
      </x:c>
      <x:c r="E1524" s="6" t="str"/>
      <x:c r="F1524" s="6" t="str">
        <x:f>IFERROR(XLOOKUP(C1524,'Review Sequence'!C2:C1586,'Review Sequence'!I2:I1586),"")</x:f>
        <x:v>Not Started</x:v>
      </x:c>
      <x:c r="G1524" s="6" t="str">
        <x:f>IFERROR(XLOOKUP(C1524,'Review Sequence'!C2:C1586,'Review Sequence'!J2:J1586),"")</x:f>
        <x:v>Not Started</x:v>
      </x:c>
      <x:c r="H1524" s="7" t="str">
        <x:f>IFERROR(XLOOKUP(C1524,'Review Sequence'!C2:C1586,'Review Sequence'!O2:O1586),"")</x:f>
      </x:c>
      <x:c r="I1524" s="6" t="str">
        <x:f>IFERROR(XLOOKUP(C1524,'Review Sequence'!C2:C1586,'Review Sequence'!P2:P1586),"")</x:f>
        <x:v>Yes</x:v>
      </x:c>
    </x:row>
    <x:row r="1525">
      <x:c r="A1525" s="6" t="str">
        <x:v>BLK-1524</x:v>
      </x:c>
      <x:c r="B1525" s="6" t="str">
        <x:v>Labor Reference</x:v>
      </x:c>
      <x:c r="C1525" s="6" t="str">
        <x:v>LABX-0253</x:v>
      </x:c>
      <x:c r="D1525" s="6" t="str">
        <x:v>SVC000253</x:v>
      </x:c>
      <x:c r="E1525" s="6" t="str"/>
      <x:c r="F1525" s="6" t="str">
        <x:f>IFERROR(XLOOKUP(C1525,'Review Sequence'!C2:C1586,'Review Sequence'!I2:I1586),"")</x:f>
        <x:v>Not Started</x:v>
      </x:c>
      <x:c r="G1525" s="6" t="str">
        <x:f>IFERROR(XLOOKUP(C1525,'Review Sequence'!C2:C1586,'Review Sequence'!J2:J1586),"")</x:f>
        <x:v>Not Started</x:v>
      </x:c>
      <x:c r="H1525" s="7" t="str">
        <x:f>IFERROR(XLOOKUP(C1525,'Review Sequence'!C2:C1586,'Review Sequence'!O2:O1586),"")</x:f>
      </x:c>
      <x:c r="I1525" s="6" t="str">
        <x:f>IFERROR(XLOOKUP(C1525,'Review Sequence'!C2:C1586,'Review Sequence'!P2:P1586),"")</x:f>
        <x:v>Yes</x:v>
      </x:c>
    </x:row>
    <x:row r="1526">
      <x:c r="A1526" s="6" t="str">
        <x:v>BLK-1525</x:v>
      </x:c>
      <x:c r="B1526" s="6" t="str">
        <x:v>Labor Reference</x:v>
      </x:c>
      <x:c r="C1526" s="6" t="str">
        <x:v>LABX-0254</x:v>
      </x:c>
      <x:c r="D1526" s="6" t="str">
        <x:v>SVC000254</x:v>
      </x:c>
      <x:c r="E1526" s="6" t="str"/>
      <x:c r="F1526" s="6" t="str">
        <x:f>IFERROR(XLOOKUP(C1526,'Review Sequence'!C2:C1586,'Review Sequence'!I2:I1586),"")</x:f>
        <x:v>Not Started</x:v>
      </x:c>
      <x:c r="G1526" s="6" t="str">
        <x:f>IFERROR(XLOOKUP(C1526,'Review Sequence'!C2:C1586,'Review Sequence'!J2:J1586),"")</x:f>
        <x:v>Not Started</x:v>
      </x:c>
      <x:c r="H1526" s="7" t="str">
        <x:f>IFERROR(XLOOKUP(C1526,'Review Sequence'!C2:C1586,'Review Sequence'!O2:O1586),"")</x:f>
      </x:c>
      <x:c r="I1526" s="6" t="str">
        <x:f>IFERROR(XLOOKUP(C1526,'Review Sequence'!C2:C1586,'Review Sequence'!P2:P1586),"")</x:f>
        <x:v>Yes</x:v>
      </x:c>
    </x:row>
    <x:row r="1527">
      <x:c r="A1527" s="6" t="str">
        <x:v>BLK-1526</x:v>
      </x:c>
      <x:c r="B1527" s="6" t="str">
        <x:v>Labor Reference</x:v>
      </x:c>
      <x:c r="C1527" s="6" t="str">
        <x:v>LABX-0255</x:v>
      </x:c>
      <x:c r="D1527" s="6" t="str">
        <x:v>SVC000255</x:v>
      </x:c>
      <x:c r="E1527" s="6" t="str"/>
      <x:c r="F1527" s="6" t="str">
        <x:f>IFERROR(XLOOKUP(C1527,'Review Sequence'!C2:C1586,'Review Sequence'!I2:I1586),"")</x:f>
        <x:v>Not Started</x:v>
      </x:c>
      <x:c r="G1527" s="6" t="str">
        <x:f>IFERROR(XLOOKUP(C1527,'Review Sequence'!C2:C1586,'Review Sequence'!J2:J1586),"")</x:f>
        <x:v>Not Started</x:v>
      </x:c>
      <x:c r="H1527" s="7" t="str">
        <x:f>IFERROR(XLOOKUP(C1527,'Review Sequence'!C2:C1586,'Review Sequence'!O2:O1586),"")</x:f>
      </x:c>
      <x:c r="I1527" s="6" t="str">
        <x:f>IFERROR(XLOOKUP(C1527,'Review Sequence'!C2:C1586,'Review Sequence'!P2:P1586),"")</x:f>
        <x:v>Yes</x:v>
      </x:c>
    </x:row>
    <x:row r="1528">
      <x:c r="A1528" s="6" t="str">
        <x:v>BLK-1527</x:v>
      </x:c>
      <x:c r="B1528" s="6" t="str">
        <x:v>Labor Reference</x:v>
      </x:c>
      <x:c r="C1528" s="6" t="str">
        <x:v>LABX-0256</x:v>
      </x:c>
      <x:c r="D1528" s="6" t="str">
        <x:v>SVC000256</x:v>
      </x:c>
      <x:c r="E1528" s="6" t="str"/>
      <x:c r="F1528" s="6" t="str">
        <x:f>IFERROR(XLOOKUP(C1528,'Review Sequence'!C2:C1586,'Review Sequence'!I2:I1586),"")</x:f>
        <x:v>Not Started</x:v>
      </x:c>
      <x:c r="G1528" s="6" t="str">
        <x:f>IFERROR(XLOOKUP(C1528,'Review Sequence'!C2:C1586,'Review Sequence'!J2:J1586),"")</x:f>
        <x:v>Not Started</x:v>
      </x:c>
      <x:c r="H1528" s="7" t="str">
        <x:f>IFERROR(XLOOKUP(C1528,'Review Sequence'!C2:C1586,'Review Sequence'!O2:O1586),"")</x:f>
      </x:c>
      <x:c r="I1528" s="6" t="str">
        <x:f>IFERROR(XLOOKUP(C1528,'Review Sequence'!C2:C1586,'Review Sequence'!P2:P1586),"")</x:f>
        <x:v>Yes</x:v>
      </x:c>
    </x:row>
    <x:row r="1529">
      <x:c r="A1529" s="6" t="str">
        <x:v>BLK-1528</x:v>
      </x:c>
      <x:c r="B1529" s="6" t="str">
        <x:v>Labor Reference</x:v>
      </x:c>
      <x:c r="C1529" s="6" t="str">
        <x:v>LABX-0257</x:v>
      </x:c>
      <x:c r="D1529" s="6" t="str">
        <x:v>SVC000257</x:v>
      </x:c>
      <x:c r="E1529" s="6" t="str"/>
      <x:c r="F1529" s="6" t="str">
        <x:f>IFERROR(XLOOKUP(C1529,'Review Sequence'!C2:C1586,'Review Sequence'!I2:I1586),"")</x:f>
        <x:v>Not Started</x:v>
      </x:c>
      <x:c r="G1529" s="6" t="str">
        <x:f>IFERROR(XLOOKUP(C1529,'Review Sequence'!C2:C1586,'Review Sequence'!J2:J1586),"")</x:f>
        <x:v>Not Started</x:v>
      </x:c>
      <x:c r="H1529" s="7" t="str">
        <x:f>IFERROR(XLOOKUP(C1529,'Review Sequence'!C2:C1586,'Review Sequence'!O2:O1586),"")</x:f>
      </x:c>
      <x:c r="I1529" s="6" t="str">
        <x:f>IFERROR(XLOOKUP(C1529,'Review Sequence'!C2:C1586,'Review Sequence'!P2:P1586),"")</x:f>
        <x:v>Yes</x:v>
      </x:c>
    </x:row>
    <x:row r="1530">
      <x:c r="A1530" s="6" t="str">
        <x:v>BLK-1529</x:v>
      </x:c>
      <x:c r="B1530" s="6" t="str">
        <x:v>Labor Reference</x:v>
      </x:c>
      <x:c r="C1530" s="6" t="str">
        <x:v>LABX-0258</x:v>
      </x:c>
      <x:c r="D1530" s="6" t="str">
        <x:v>SVC000258</x:v>
      </x:c>
      <x:c r="E1530" s="6" t="str"/>
      <x:c r="F1530" s="6" t="str">
        <x:f>IFERROR(XLOOKUP(C1530,'Review Sequence'!C2:C1586,'Review Sequence'!I2:I1586),"")</x:f>
        <x:v>Not Started</x:v>
      </x:c>
      <x:c r="G1530" s="6" t="str">
        <x:f>IFERROR(XLOOKUP(C1530,'Review Sequence'!C2:C1586,'Review Sequence'!J2:J1586),"")</x:f>
        <x:v>Not Started</x:v>
      </x:c>
      <x:c r="H1530" s="7" t="str">
        <x:f>IFERROR(XLOOKUP(C1530,'Review Sequence'!C2:C1586,'Review Sequence'!O2:O1586),"")</x:f>
      </x:c>
      <x:c r="I1530" s="6" t="str">
        <x:f>IFERROR(XLOOKUP(C1530,'Review Sequence'!C2:C1586,'Review Sequence'!P2:P1586),"")</x:f>
        <x:v>Yes</x:v>
      </x:c>
    </x:row>
    <x:row r="1531">
      <x:c r="A1531" s="6" t="str">
        <x:v>BLK-1530</x:v>
      </x:c>
      <x:c r="B1531" s="6" t="str">
        <x:v>Labor Reference</x:v>
      </x:c>
      <x:c r="C1531" s="6" t="str">
        <x:v>LABX-0259</x:v>
      </x:c>
      <x:c r="D1531" s="6" t="str">
        <x:v>SVC000259</x:v>
      </x:c>
      <x:c r="E1531" s="6" t="str"/>
      <x:c r="F1531" s="6" t="str">
        <x:f>IFERROR(XLOOKUP(C1531,'Review Sequence'!C2:C1586,'Review Sequence'!I2:I1586),"")</x:f>
        <x:v>Not Started</x:v>
      </x:c>
      <x:c r="G1531" s="6" t="str">
        <x:f>IFERROR(XLOOKUP(C1531,'Review Sequence'!C2:C1586,'Review Sequence'!J2:J1586),"")</x:f>
        <x:v>Not Started</x:v>
      </x:c>
      <x:c r="H1531" s="7" t="str">
        <x:f>IFERROR(XLOOKUP(C1531,'Review Sequence'!C2:C1586,'Review Sequence'!O2:O1586),"")</x:f>
      </x:c>
      <x:c r="I1531" s="6" t="str">
        <x:f>IFERROR(XLOOKUP(C1531,'Review Sequence'!C2:C1586,'Review Sequence'!P2:P1586),"")</x:f>
        <x:v>Yes</x:v>
      </x:c>
    </x:row>
    <x:row r="1532">
      <x:c r="A1532" s="6" t="str">
        <x:v>BLK-1531</x:v>
      </x:c>
      <x:c r="B1532" s="6" t="str">
        <x:v>Labor Reference</x:v>
      </x:c>
      <x:c r="C1532" s="6" t="str">
        <x:v>LABX-0260</x:v>
      </x:c>
      <x:c r="D1532" s="6" t="str">
        <x:v>SVC000260</x:v>
      </x:c>
      <x:c r="E1532" s="6" t="str"/>
      <x:c r="F1532" s="6" t="str">
        <x:f>IFERROR(XLOOKUP(C1532,'Review Sequence'!C2:C1586,'Review Sequence'!I2:I1586),"")</x:f>
        <x:v>Not Started</x:v>
      </x:c>
      <x:c r="G1532" s="6" t="str">
        <x:f>IFERROR(XLOOKUP(C1532,'Review Sequence'!C2:C1586,'Review Sequence'!J2:J1586),"")</x:f>
        <x:v>Not Started</x:v>
      </x:c>
      <x:c r="H1532" s="7" t="str">
        <x:f>IFERROR(XLOOKUP(C1532,'Review Sequence'!C2:C1586,'Review Sequence'!O2:O1586),"")</x:f>
      </x:c>
      <x:c r="I1532" s="6" t="str">
        <x:f>IFERROR(XLOOKUP(C1532,'Review Sequence'!C2:C1586,'Review Sequence'!P2:P1586),"")</x:f>
        <x:v>Yes</x:v>
      </x:c>
    </x:row>
    <x:row r="1533">
      <x:c r="A1533" s="6" t="str">
        <x:v>BLK-1532</x:v>
      </x:c>
      <x:c r="B1533" s="6" t="str">
        <x:v>Labor Reference</x:v>
      </x:c>
      <x:c r="C1533" s="6" t="str">
        <x:v>LABX-0261</x:v>
      </x:c>
      <x:c r="D1533" s="6" t="str">
        <x:v>SVC000261</x:v>
      </x:c>
      <x:c r="E1533" s="6" t="str"/>
      <x:c r="F1533" s="6" t="str">
        <x:f>IFERROR(XLOOKUP(C1533,'Review Sequence'!C2:C1586,'Review Sequence'!I2:I1586),"")</x:f>
        <x:v>Not Started</x:v>
      </x:c>
      <x:c r="G1533" s="6" t="str">
        <x:f>IFERROR(XLOOKUP(C1533,'Review Sequence'!C2:C1586,'Review Sequence'!J2:J1586),"")</x:f>
        <x:v>Not Started</x:v>
      </x:c>
      <x:c r="H1533" s="7" t="str">
        <x:f>IFERROR(XLOOKUP(C1533,'Review Sequence'!C2:C1586,'Review Sequence'!O2:O1586),"")</x:f>
      </x:c>
      <x:c r="I1533" s="6" t="str">
        <x:f>IFERROR(XLOOKUP(C1533,'Review Sequence'!C2:C1586,'Review Sequence'!P2:P1586),"")</x:f>
        <x:v>Yes</x:v>
      </x:c>
    </x:row>
    <x:row r="1534">
      <x:c r="A1534" s="6" t="str">
        <x:v>BLK-1533</x:v>
      </x:c>
      <x:c r="B1534" s="6" t="str">
        <x:v>Labor Reference</x:v>
      </x:c>
      <x:c r="C1534" s="6" t="str">
        <x:v>LABX-0262</x:v>
      </x:c>
      <x:c r="D1534" s="6" t="str">
        <x:v>SVC000262</x:v>
      </x:c>
      <x:c r="E1534" s="6" t="str"/>
      <x:c r="F1534" s="6" t="str">
        <x:f>IFERROR(XLOOKUP(C1534,'Review Sequence'!C2:C1586,'Review Sequence'!I2:I1586),"")</x:f>
        <x:v>Not Started</x:v>
      </x:c>
      <x:c r="G1534" s="6" t="str">
        <x:f>IFERROR(XLOOKUP(C1534,'Review Sequence'!C2:C1586,'Review Sequence'!J2:J1586),"")</x:f>
        <x:v>Not Started</x:v>
      </x:c>
      <x:c r="H1534" s="7" t="str">
        <x:f>IFERROR(XLOOKUP(C1534,'Review Sequence'!C2:C1586,'Review Sequence'!O2:O1586),"")</x:f>
      </x:c>
      <x:c r="I1534" s="6" t="str">
        <x:f>IFERROR(XLOOKUP(C1534,'Review Sequence'!C2:C1586,'Review Sequence'!P2:P1586),"")</x:f>
        <x:v>Yes</x:v>
      </x:c>
    </x:row>
    <x:row r="1535">
      <x:c r="A1535" s="6" t="str">
        <x:v>BLK-1534</x:v>
      </x:c>
      <x:c r="B1535" s="6" t="str">
        <x:v>Labor Reference</x:v>
      </x:c>
      <x:c r="C1535" s="6" t="str">
        <x:v>LABX-0263</x:v>
      </x:c>
      <x:c r="D1535" s="6" t="str">
        <x:v>SVC000263</x:v>
      </x:c>
      <x:c r="E1535" s="6" t="str"/>
      <x:c r="F1535" s="6" t="str">
        <x:f>IFERROR(XLOOKUP(C1535,'Review Sequence'!C2:C1586,'Review Sequence'!I2:I1586),"")</x:f>
        <x:v>Not Started</x:v>
      </x:c>
      <x:c r="G1535" s="6" t="str">
        <x:f>IFERROR(XLOOKUP(C1535,'Review Sequence'!C2:C1586,'Review Sequence'!J2:J1586),"")</x:f>
        <x:v>Not Started</x:v>
      </x:c>
      <x:c r="H1535" s="7" t="str">
        <x:f>IFERROR(XLOOKUP(C1535,'Review Sequence'!C2:C1586,'Review Sequence'!O2:O1586),"")</x:f>
      </x:c>
      <x:c r="I1535" s="6" t="str">
        <x:f>IFERROR(XLOOKUP(C1535,'Review Sequence'!C2:C1586,'Review Sequence'!P2:P1586),"")</x:f>
        <x:v>Yes</x:v>
      </x:c>
    </x:row>
    <x:row r="1536">
      <x:c r="A1536" s="6" t="str">
        <x:v>BLK-1535</x:v>
      </x:c>
      <x:c r="B1536" s="6" t="str">
        <x:v>Labor Reference</x:v>
      </x:c>
      <x:c r="C1536" s="6" t="str">
        <x:v>LABX-0264</x:v>
      </x:c>
      <x:c r="D1536" s="6" t="str">
        <x:v>SVC000264</x:v>
      </x:c>
      <x:c r="E1536" s="6" t="str"/>
      <x:c r="F1536" s="6" t="str">
        <x:f>IFERROR(XLOOKUP(C1536,'Review Sequence'!C2:C1586,'Review Sequence'!I2:I1586),"")</x:f>
        <x:v>Not Started</x:v>
      </x:c>
      <x:c r="G1536" s="6" t="str">
        <x:f>IFERROR(XLOOKUP(C1536,'Review Sequence'!C2:C1586,'Review Sequence'!J2:J1586),"")</x:f>
        <x:v>Not Started</x:v>
      </x:c>
      <x:c r="H1536" s="7" t="str">
        <x:f>IFERROR(XLOOKUP(C1536,'Review Sequence'!C2:C1586,'Review Sequence'!O2:O1586),"")</x:f>
      </x:c>
      <x:c r="I1536" s="6" t="str">
        <x:f>IFERROR(XLOOKUP(C1536,'Review Sequence'!C2:C1586,'Review Sequence'!P2:P1586),"")</x:f>
        <x:v>Yes</x:v>
      </x:c>
    </x:row>
    <x:row r="1537">
      <x:c r="A1537" s="6" t="str">
        <x:v>BLK-1536</x:v>
      </x:c>
      <x:c r="B1537" s="6" t="str">
        <x:v>Labor Reference</x:v>
      </x:c>
      <x:c r="C1537" s="6" t="str">
        <x:v>LABX-0265</x:v>
      </x:c>
      <x:c r="D1537" s="6" t="str">
        <x:v>SVC000265</x:v>
      </x:c>
      <x:c r="E1537" s="6" t="str"/>
      <x:c r="F1537" s="6" t="str">
        <x:f>IFERROR(XLOOKUP(C1537,'Review Sequence'!C2:C1586,'Review Sequence'!I2:I1586),"")</x:f>
        <x:v>Not Started</x:v>
      </x:c>
      <x:c r="G1537" s="6" t="str">
        <x:f>IFERROR(XLOOKUP(C1537,'Review Sequence'!C2:C1586,'Review Sequence'!J2:J1586),"")</x:f>
        <x:v>Not Started</x:v>
      </x:c>
      <x:c r="H1537" s="7" t="str">
        <x:f>IFERROR(XLOOKUP(C1537,'Review Sequence'!C2:C1586,'Review Sequence'!O2:O1586),"")</x:f>
      </x:c>
      <x:c r="I1537" s="6" t="str">
        <x:f>IFERROR(XLOOKUP(C1537,'Review Sequence'!C2:C1586,'Review Sequence'!P2:P1586),"")</x:f>
        <x:v>Yes</x:v>
      </x:c>
    </x:row>
    <x:row r="1538">
      <x:c r="A1538" s="6" t="str">
        <x:v>BLK-1537</x:v>
      </x:c>
      <x:c r="B1538" s="6" t="str">
        <x:v>Labor Reference</x:v>
      </x:c>
      <x:c r="C1538" s="6" t="str">
        <x:v>LABX-0266</x:v>
      </x:c>
      <x:c r="D1538" s="6" t="str">
        <x:v>SVC000266</x:v>
      </x:c>
      <x:c r="E1538" s="6" t="str"/>
      <x:c r="F1538" s="6" t="str">
        <x:f>IFERROR(XLOOKUP(C1538,'Review Sequence'!C2:C1586,'Review Sequence'!I2:I1586),"")</x:f>
        <x:v>Not Started</x:v>
      </x:c>
      <x:c r="G1538" s="6" t="str">
        <x:f>IFERROR(XLOOKUP(C1538,'Review Sequence'!C2:C1586,'Review Sequence'!J2:J1586),"")</x:f>
        <x:v>Not Started</x:v>
      </x:c>
      <x:c r="H1538" s="7" t="str">
        <x:f>IFERROR(XLOOKUP(C1538,'Review Sequence'!C2:C1586,'Review Sequence'!O2:O1586),"")</x:f>
      </x:c>
      <x:c r="I1538" s="6" t="str">
        <x:f>IFERROR(XLOOKUP(C1538,'Review Sequence'!C2:C1586,'Review Sequence'!P2:P1586),"")</x:f>
        <x:v>Yes</x:v>
      </x:c>
    </x:row>
    <x:row r="1539">
      <x:c r="A1539" s="6" t="str">
        <x:v>BLK-1538</x:v>
      </x:c>
      <x:c r="B1539" s="6" t="str">
        <x:v>Labor Reference</x:v>
      </x:c>
      <x:c r="C1539" s="6" t="str">
        <x:v>LABX-0267</x:v>
      </x:c>
      <x:c r="D1539" s="6" t="str">
        <x:v>SVC000267</x:v>
      </x:c>
      <x:c r="E1539" s="6" t="str"/>
      <x:c r="F1539" s="6" t="str">
        <x:f>IFERROR(XLOOKUP(C1539,'Review Sequence'!C2:C1586,'Review Sequence'!I2:I1586),"")</x:f>
        <x:v>Not Started</x:v>
      </x:c>
      <x:c r="G1539" s="6" t="str">
        <x:f>IFERROR(XLOOKUP(C1539,'Review Sequence'!C2:C1586,'Review Sequence'!J2:J1586),"")</x:f>
        <x:v>Not Started</x:v>
      </x:c>
      <x:c r="H1539" s="7" t="str">
        <x:f>IFERROR(XLOOKUP(C1539,'Review Sequence'!C2:C1586,'Review Sequence'!O2:O1586),"")</x:f>
      </x:c>
      <x:c r="I1539" s="6" t="str">
        <x:f>IFERROR(XLOOKUP(C1539,'Review Sequence'!C2:C1586,'Review Sequence'!P2:P1586),"")</x:f>
        <x:v>Yes</x:v>
      </x:c>
    </x:row>
    <x:row r="1540">
      <x:c r="A1540" s="6" t="str">
        <x:v>BLK-1539</x:v>
      </x:c>
      <x:c r="B1540" s="6" t="str">
        <x:v>Labor Reference</x:v>
      </x:c>
      <x:c r="C1540" s="6" t="str">
        <x:v>LABX-0268</x:v>
      </x:c>
      <x:c r="D1540" s="6" t="str">
        <x:v>SVC000268</x:v>
      </x:c>
      <x:c r="E1540" s="6" t="str"/>
      <x:c r="F1540" s="6" t="str">
        <x:f>IFERROR(XLOOKUP(C1540,'Review Sequence'!C2:C1586,'Review Sequence'!I2:I1586),"")</x:f>
        <x:v>Not Started</x:v>
      </x:c>
      <x:c r="G1540" s="6" t="str">
        <x:f>IFERROR(XLOOKUP(C1540,'Review Sequence'!C2:C1586,'Review Sequence'!J2:J1586),"")</x:f>
        <x:v>Not Started</x:v>
      </x:c>
      <x:c r="H1540" s="7" t="str">
        <x:f>IFERROR(XLOOKUP(C1540,'Review Sequence'!C2:C1586,'Review Sequence'!O2:O1586),"")</x:f>
      </x:c>
      <x:c r="I1540" s="6" t="str">
        <x:f>IFERROR(XLOOKUP(C1540,'Review Sequence'!C2:C1586,'Review Sequence'!P2:P1586),"")</x:f>
        <x:v>Yes</x:v>
      </x:c>
    </x:row>
    <x:row r="1541">
      <x:c r="A1541" s="6" t="str">
        <x:v>BLK-1540</x:v>
      </x:c>
      <x:c r="B1541" s="6" t="str">
        <x:v>Labor Reference</x:v>
      </x:c>
      <x:c r="C1541" s="6" t="str">
        <x:v>LABX-0269</x:v>
      </x:c>
      <x:c r="D1541" s="6" t="str">
        <x:v>SVC000269</x:v>
      </x:c>
      <x:c r="E1541" s="6" t="str"/>
      <x:c r="F1541" s="6" t="str">
        <x:f>IFERROR(XLOOKUP(C1541,'Review Sequence'!C2:C1586,'Review Sequence'!I2:I1586),"")</x:f>
        <x:v>Not Started</x:v>
      </x:c>
      <x:c r="G1541" s="6" t="str">
        <x:f>IFERROR(XLOOKUP(C1541,'Review Sequence'!C2:C1586,'Review Sequence'!J2:J1586),"")</x:f>
        <x:v>Not Started</x:v>
      </x:c>
      <x:c r="H1541" s="7" t="str">
        <x:f>IFERROR(XLOOKUP(C1541,'Review Sequence'!C2:C1586,'Review Sequence'!O2:O1586),"")</x:f>
      </x:c>
      <x:c r="I1541" s="6" t="str">
        <x:f>IFERROR(XLOOKUP(C1541,'Review Sequence'!C2:C1586,'Review Sequence'!P2:P1586),"")</x:f>
        <x:v>Yes</x:v>
      </x:c>
    </x:row>
    <x:row r="1542">
      <x:c r="A1542" s="6" t="str">
        <x:v>BLK-1541</x:v>
      </x:c>
      <x:c r="B1542" s="6" t="str">
        <x:v>Labor Reference</x:v>
      </x:c>
      <x:c r="C1542" s="6" t="str">
        <x:v>LABX-0270</x:v>
      </x:c>
      <x:c r="D1542" s="6" t="str">
        <x:v>SVC000270</x:v>
      </x:c>
      <x:c r="E1542" s="6" t="str"/>
      <x:c r="F1542" s="6" t="str">
        <x:f>IFERROR(XLOOKUP(C1542,'Review Sequence'!C2:C1586,'Review Sequence'!I2:I1586),"")</x:f>
        <x:v>Not Started</x:v>
      </x:c>
      <x:c r="G1542" s="6" t="str">
        <x:f>IFERROR(XLOOKUP(C1542,'Review Sequence'!C2:C1586,'Review Sequence'!J2:J1586),"")</x:f>
        <x:v>Not Started</x:v>
      </x:c>
      <x:c r="H1542" s="7" t="str">
        <x:f>IFERROR(XLOOKUP(C1542,'Review Sequence'!C2:C1586,'Review Sequence'!O2:O1586),"")</x:f>
      </x:c>
      <x:c r="I1542" s="6" t="str">
        <x:f>IFERROR(XLOOKUP(C1542,'Review Sequence'!C2:C1586,'Review Sequence'!P2:P1586),"")</x:f>
        <x:v>Yes</x:v>
      </x:c>
    </x:row>
    <x:row r="1543">
      <x:c r="A1543" s="6" t="str">
        <x:v>BLK-1542</x:v>
      </x:c>
      <x:c r="B1543" s="6" t="str">
        <x:v>Labor Reference</x:v>
      </x:c>
      <x:c r="C1543" s="6" t="str">
        <x:v>LABX-0271</x:v>
      </x:c>
      <x:c r="D1543" s="6" t="str">
        <x:v>SVC000271</x:v>
      </x:c>
      <x:c r="E1543" s="6" t="str"/>
      <x:c r="F1543" s="6" t="str">
        <x:f>IFERROR(XLOOKUP(C1543,'Review Sequence'!C2:C1586,'Review Sequence'!I2:I1586),"")</x:f>
        <x:v>Not Started</x:v>
      </x:c>
      <x:c r="G1543" s="6" t="str">
        <x:f>IFERROR(XLOOKUP(C1543,'Review Sequence'!C2:C1586,'Review Sequence'!J2:J1586),"")</x:f>
        <x:v>Not Started</x:v>
      </x:c>
      <x:c r="H1543" s="7" t="str">
        <x:f>IFERROR(XLOOKUP(C1543,'Review Sequence'!C2:C1586,'Review Sequence'!O2:O1586),"")</x:f>
      </x:c>
      <x:c r="I1543" s="6" t="str">
        <x:f>IFERROR(XLOOKUP(C1543,'Review Sequence'!C2:C1586,'Review Sequence'!P2:P1586),"")</x:f>
        <x:v>Yes</x:v>
      </x:c>
    </x:row>
    <x:row r="1544">
      <x:c r="A1544" s="6" t="str">
        <x:v>BLK-1543</x:v>
      </x:c>
      <x:c r="B1544" s="6" t="str">
        <x:v>Labor Reference</x:v>
      </x:c>
      <x:c r="C1544" s="6" t="str">
        <x:v>LABX-0272</x:v>
      </x:c>
      <x:c r="D1544" s="6" t="str">
        <x:v>SVC000272</x:v>
      </x:c>
      <x:c r="E1544" s="6" t="str"/>
      <x:c r="F1544" s="6" t="str">
        <x:f>IFERROR(XLOOKUP(C1544,'Review Sequence'!C2:C1586,'Review Sequence'!I2:I1586),"")</x:f>
        <x:v>Not Started</x:v>
      </x:c>
      <x:c r="G1544" s="6" t="str">
        <x:f>IFERROR(XLOOKUP(C1544,'Review Sequence'!C2:C1586,'Review Sequence'!J2:J1586),"")</x:f>
        <x:v>Not Started</x:v>
      </x:c>
      <x:c r="H1544" s="7" t="str">
        <x:f>IFERROR(XLOOKUP(C1544,'Review Sequence'!C2:C1586,'Review Sequence'!O2:O1586),"")</x:f>
      </x:c>
      <x:c r="I1544" s="6" t="str">
        <x:f>IFERROR(XLOOKUP(C1544,'Review Sequence'!C2:C1586,'Review Sequence'!P2:P1586),"")</x:f>
        <x:v>Yes</x:v>
      </x:c>
    </x:row>
    <x:row r="1545">
      <x:c r="A1545" s="6" t="str">
        <x:v>BLK-1544</x:v>
      </x:c>
      <x:c r="B1545" s="6" t="str">
        <x:v>Labor Reference</x:v>
      </x:c>
      <x:c r="C1545" s="6" t="str">
        <x:v>LABX-0273</x:v>
      </x:c>
      <x:c r="D1545" s="6" t="str">
        <x:v>SVC000273</x:v>
      </x:c>
      <x:c r="E1545" s="6" t="str"/>
      <x:c r="F1545" s="6" t="str">
        <x:f>IFERROR(XLOOKUP(C1545,'Review Sequence'!C2:C1586,'Review Sequence'!I2:I1586),"")</x:f>
        <x:v>Not Started</x:v>
      </x:c>
      <x:c r="G1545" s="6" t="str">
        <x:f>IFERROR(XLOOKUP(C1545,'Review Sequence'!C2:C1586,'Review Sequence'!J2:J1586),"")</x:f>
        <x:v>Not Started</x:v>
      </x:c>
      <x:c r="H1545" s="7" t="str">
        <x:f>IFERROR(XLOOKUP(C1545,'Review Sequence'!C2:C1586,'Review Sequence'!O2:O1586),"")</x:f>
      </x:c>
      <x:c r="I1545" s="6" t="str">
        <x:f>IFERROR(XLOOKUP(C1545,'Review Sequence'!C2:C1586,'Review Sequence'!P2:P1586),"")</x:f>
        <x:v>Yes</x:v>
      </x:c>
    </x:row>
    <x:row r="1546">
      <x:c r="A1546" s="6" t="str">
        <x:v>BLK-1545</x:v>
      </x:c>
      <x:c r="B1546" s="6" t="str">
        <x:v>Labor Reference</x:v>
      </x:c>
      <x:c r="C1546" s="6" t="str">
        <x:v>LABX-0274</x:v>
      </x:c>
      <x:c r="D1546" s="6" t="str">
        <x:v>SVC000274</x:v>
      </x:c>
      <x:c r="E1546" s="6" t="str"/>
      <x:c r="F1546" s="6" t="str">
        <x:f>IFERROR(XLOOKUP(C1546,'Review Sequence'!C2:C1586,'Review Sequence'!I2:I1586),"")</x:f>
        <x:v>Not Started</x:v>
      </x:c>
      <x:c r="G1546" s="6" t="str">
        <x:f>IFERROR(XLOOKUP(C1546,'Review Sequence'!C2:C1586,'Review Sequence'!J2:J1586),"")</x:f>
        <x:v>Not Started</x:v>
      </x:c>
      <x:c r="H1546" s="7" t="str">
        <x:f>IFERROR(XLOOKUP(C1546,'Review Sequence'!C2:C1586,'Review Sequence'!O2:O1586),"")</x:f>
      </x:c>
      <x:c r="I1546" s="6" t="str">
        <x:f>IFERROR(XLOOKUP(C1546,'Review Sequence'!C2:C1586,'Review Sequence'!P2:P1586),"")</x:f>
        <x:v>Yes</x:v>
      </x:c>
    </x:row>
    <x:row r="1547">
      <x:c r="A1547" s="6" t="str">
        <x:v>BLK-1546</x:v>
      </x:c>
      <x:c r="B1547" s="6" t="str">
        <x:v>Labor Reference</x:v>
      </x:c>
      <x:c r="C1547" s="6" t="str">
        <x:v>LABX-0275</x:v>
      </x:c>
      <x:c r="D1547" s="6" t="str">
        <x:v>SVC000275</x:v>
      </x:c>
      <x:c r="E1547" s="6" t="str"/>
      <x:c r="F1547" s="6" t="str">
        <x:f>IFERROR(XLOOKUP(C1547,'Review Sequence'!C2:C1586,'Review Sequence'!I2:I1586),"")</x:f>
        <x:v>Not Started</x:v>
      </x:c>
      <x:c r="G1547" s="6" t="str">
        <x:f>IFERROR(XLOOKUP(C1547,'Review Sequence'!C2:C1586,'Review Sequence'!J2:J1586),"")</x:f>
        <x:v>Not Started</x:v>
      </x:c>
      <x:c r="H1547" s="7" t="str">
        <x:f>IFERROR(XLOOKUP(C1547,'Review Sequence'!C2:C1586,'Review Sequence'!O2:O1586),"")</x:f>
      </x:c>
      <x:c r="I1547" s="6" t="str">
        <x:f>IFERROR(XLOOKUP(C1547,'Review Sequence'!C2:C1586,'Review Sequence'!P2:P1586),"")</x:f>
        <x:v>Yes</x:v>
      </x:c>
    </x:row>
    <x:row r="1548">
      <x:c r="A1548" s="6" t="str">
        <x:v>BLK-1547</x:v>
      </x:c>
      <x:c r="B1548" s="6" t="str">
        <x:v>Labor Reference</x:v>
      </x:c>
      <x:c r="C1548" s="6" t="str">
        <x:v>LABX-0276</x:v>
      </x:c>
      <x:c r="D1548" s="6" t="str">
        <x:v>SVC000276</x:v>
      </x:c>
      <x:c r="E1548" s="6" t="str"/>
      <x:c r="F1548" s="6" t="str">
        <x:f>IFERROR(XLOOKUP(C1548,'Review Sequence'!C2:C1586,'Review Sequence'!I2:I1586),"")</x:f>
        <x:v>Not Started</x:v>
      </x:c>
      <x:c r="G1548" s="6" t="str">
        <x:f>IFERROR(XLOOKUP(C1548,'Review Sequence'!C2:C1586,'Review Sequence'!J2:J1586),"")</x:f>
        <x:v>Not Started</x:v>
      </x:c>
      <x:c r="H1548" s="7" t="str">
        <x:f>IFERROR(XLOOKUP(C1548,'Review Sequence'!C2:C1586,'Review Sequence'!O2:O1586),"")</x:f>
      </x:c>
      <x:c r="I1548" s="6" t="str">
        <x:f>IFERROR(XLOOKUP(C1548,'Review Sequence'!C2:C1586,'Review Sequence'!P2:P1586),"")</x:f>
        <x:v>Yes</x:v>
      </x:c>
    </x:row>
    <x:row r="1549">
      <x:c r="A1549" s="6" t="str">
        <x:v>BLK-1548</x:v>
      </x:c>
      <x:c r="B1549" s="6" t="str">
        <x:v>Labor Reference</x:v>
      </x:c>
      <x:c r="C1549" s="6" t="str">
        <x:v>LABX-0277</x:v>
      </x:c>
      <x:c r="D1549" s="6" t="str">
        <x:v>SVC000277</x:v>
      </x:c>
      <x:c r="E1549" s="6" t="str"/>
      <x:c r="F1549" s="6" t="str">
        <x:f>IFERROR(XLOOKUP(C1549,'Review Sequence'!C2:C1586,'Review Sequence'!I2:I1586),"")</x:f>
        <x:v>Not Started</x:v>
      </x:c>
      <x:c r="G1549" s="6" t="str">
        <x:f>IFERROR(XLOOKUP(C1549,'Review Sequence'!C2:C1586,'Review Sequence'!J2:J1586),"")</x:f>
        <x:v>Not Started</x:v>
      </x:c>
      <x:c r="H1549" s="7" t="str">
        <x:f>IFERROR(XLOOKUP(C1549,'Review Sequence'!C2:C1586,'Review Sequence'!O2:O1586),"")</x:f>
      </x:c>
      <x:c r="I1549" s="6" t="str">
        <x:f>IFERROR(XLOOKUP(C1549,'Review Sequence'!C2:C1586,'Review Sequence'!P2:P1586),"")</x:f>
        <x:v>Yes</x:v>
      </x:c>
    </x:row>
    <x:row r="1550">
      <x:c r="A1550" s="6" t="str">
        <x:v>BLK-1549</x:v>
      </x:c>
      <x:c r="B1550" s="6" t="str">
        <x:v>Labor Reference</x:v>
      </x:c>
      <x:c r="C1550" s="6" t="str">
        <x:v>LABX-0278</x:v>
      </x:c>
      <x:c r="D1550" s="6" t="str">
        <x:v>SVC000278</x:v>
      </x:c>
      <x:c r="E1550" s="6" t="str"/>
      <x:c r="F1550" s="6" t="str">
        <x:f>IFERROR(XLOOKUP(C1550,'Review Sequence'!C2:C1586,'Review Sequence'!I2:I1586),"")</x:f>
        <x:v>Not Started</x:v>
      </x:c>
      <x:c r="G1550" s="6" t="str">
        <x:f>IFERROR(XLOOKUP(C1550,'Review Sequence'!C2:C1586,'Review Sequence'!J2:J1586),"")</x:f>
        <x:v>Not Started</x:v>
      </x:c>
      <x:c r="H1550" s="7" t="str">
        <x:f>IFERROR(XLOOKUP(C1550,'Review Sequence'!C2:C1586,'Review Sequence'!O2:O1586),"")</x:f>
      </x:c>
      <x:c r="I1550" s="6" t="str">
        <x:f>IFERROR(XLOOKUP(C1550,'Review Sequence'!C2:C1586,'Review Sequence'!P2:P1586),"")</x:f>
        <x:v>Yes</x:v>
      </x:c>
    </x:row>
    <x:row r="1551">
      <x:c r="A1551" s="6" t="str">
        <x:v>BLK-1550</x:v>
      </x:c>
      <x:c r="B1551" s="6" t="str">
        <x:v>Labor Reference</x:v>
      </x:c>
      <x:c r="C1551" s="6" t="str">
        <x:v>LABX-0279</x:v>
      </x:c>
      <x:c r="D1551" s="6" t="str">
        <x:v>SVC000279</x:v>
      </x:c>
      <x:c r="E1551" s="6" t="str"/>
      <x:c r="F1551" s="6" t="str">
        <x:f>IFERROR(XLOOKUP(C1551,'Review Sequence'!C2:C1586,'Review Sequence'!I2:I1586),"")</x:f>
        <x:v>Not Started</x:v>
      </x:c>
      <x:c r="G1551" s="6" t="str">
        <x:f>IFERROR(XLOOKUP(C1551,'Review Sequence'!C2:C1586,'Review Sequence'!J2:J1586),"")</x:f>
        <x:v>Not Started</x:v>
      </x:c>
      <x:c r="H1551" s="7" t="str">
        <x:f>IFERROR(XLOOKUP(C1551,'Review Sequence'!C2:C1586,'Review Sequence'!O2:O1586),"")</x:f>
      </x:c>
      <x:c r="I1551" s="6" t="str">
        <x:f>IFERROR(XLOOKUP(C1551,'Review Sequence'!C2:C1586,'Review Sequence'!P2:P1586),"")</x:f>
        <x:v>Yes</x:v>
      </x:c>
    </x:row>
    <x:row r="1552">
      <x:c r="A1552" s="6" t="str">
        <x:v>BLK-1551</x:v>
      </x:c>
      <x:c r="B1552" s="6" t="str">
        <x:v>Labor Reference</x:v>
      </x:c>
      <x:c r="C1552" s="6" t="str">
        <x:v>LABX-0280</x:v>
      </x:c>
      <x:c r="D1552" s="6" t="str">
        <x:v>SVC000280</x:v>
      </x:c>
      <x:c r="E1552" s="6" t="str"/>
      <x:c r="F1552" s="6" t="str">
        <x:f>IFERROR(XLOOKUP(C1552,'Review Sequence'!C2:C1586,'Review Sequence'!I2:I1586),"")</x:f>
        <x:v>Not Started</x:v>
      </x:c>
      <x:c r="G1552" s="6" t="str">
        <x:f>IFERROR(XLOOKUP(C1552,'Review Sequence'!C2:C1586,'Review Sequence'!J2:J1586),"")</x:f>
        <x:v>Not Started</x:v>
      </x:c>
      <x:c r="H1552" s="7" t="str">
        <x:f>IFERROR(XLOOKUP(C1552,'Review Sequence'!C2:C1586,'Review Sequence'!O2:O1586),"")</x:f>
      </x:c>
      <x:c r="I1552" s="6" t="str">
        <x:f>IFERROR(XLOOKUP(C1552,'Review Sequence'!C2:C1586,'Review Sequence'!P2:P1586),"")</x:f>
        <x:v>Yes</x:v>
      </x:c>
    </x:row>
    <x:row r="1553">
      <x:c r="A1553" s="6" t="str">
        <x:v>BLK-1552</x:v>
      </x:c>
      <x:c r="B1553" s="6" t="str">
        <x:v>Labor Reference</x:v>
      </x:c>
      <x:c r="C1553" s="6" t="str">
        <x:v>LABX-0281</x:v>
      </x:c>
      <x:c r="D1553" s="6" t="str">
        <x:v>SVC000281</x:v>
      </x:c>
      <x:c r="E1553" s="6" t="str"/>
      <x:c r="F1553" s="6" t="str">
        <x:f>IFERROR(XLOOKUP(C1553,'Review Sequence'!C2:C1586,'Review Sequence'!I2:I1586),"")</x:f>
        <x:v>Not Started</x:v>
      </x:c>
      <x:c r="G1553" s="6" t="str">
        <x:f>IFERROR(XLOOKUP(C1553,'Review Sequence'!C2:C1586,'Review Sequence'!J2:J1586),"")</x:f>
        <x:v>Not Started</x:v>
      </x:c>
      <x:c r="H1553" s="7" t="str">
        <x:f>IFERROR(XLOOKUP(C1553,'Review Sequence'!C2:C1586,'Review Sequence'!O2:O1586),"")</x:f>
      </x:c>
      <x:c r="I1553" s="6" t="str">
        <x:f>IFERROR(XLOOKUP(C1553,'Review Sequence'!C2:C1586,'Review Sequence'!P2:P1586),"")</x:f>
        <x:v>Yes</x:v>
      </x:c>
    </x:row>
    <x:row r="1554">
      <x:c r="A1554" s="6" t="str">
        <x:v>BLK-1553</x:v>
      </x:c>
      <x:c r="B1554" s="6" t="str">
        <x:v>Labor Reference</x:v>
      </x:c>
      <x:c r="C1554" s="6" t="str">
        <x:v>LABX-0282</x:v>
      </x:c>
      <x:c r="D1554" s="6" t="str">
        <x:v>SVC000282</x:v>
      </x:c>
      <x:c r="E1554" s="6" t="str"/>
      <x:c r="F1554" s="6" t="str">
        <x:f>IFERROR(XLOOKUP(C1554,'Review Sequence'!C2:C1586,'Review Sequence'!I2:I1586),"")</x:f>
        <x:v>Not Started</x:v>
      </x:c>
      <x:c r="G1554" s="6" t="str">
        <x:f>IFERROR(XLOOKUP(C1554,'Review Sequence'!C2:C1586,'Review Sequence'!J2:J1586),"")</x:f>
        <x:v>Not Started</x:v>
      </x:c>
      <x:c r="H1554" s="7" t="str">
        <x:f>IFERROR(XLOOKUP(C1554,'Review Sequence'!C2:C1586,'Review Sequence'!O2:O1586),"")</x:f>
      </x:c>
      <x:c r="I1554" s="6" t="str">
        <x:f>IFERROR(XLOOKUP(C1554,'Review Sequence'!C2:C1586,'Review Sequence'!P2:P1586),"")</x:f>
        <x:v>Yes</x:v>
      </x:c>
    </x:row>
    <x:row r="1555">
      <x:c r="A1555" s="6" t="str">
        <x:v>BLK-1554</x:v>
      </x:c>
      <x:c r="B1555" s="6" t="str">
        <x:v>Labor Reference</x:v>
      </x:c>
      <x:c r="C1555" s="6" t="str">
        <x:v>LABX-0283</x:v>
      </x:c>
      <x:c r="D1555" s="6" t="str">
        <x:v>SVC000283</x:v>
      </x:c>
      <x:c r="E1555" s="6" t="str"/>
      <x:c r="F1555" s="6" t="str">
        <x:f>IFERROR(XLOOKUP(C1555,'Review Sequence'!C2:C1586,'Review Sequence'!I2:I1586),"")</x:f>
        <x:v>Not Started</x:v>
      </x:c>
      <x:c r="G1555" s="6" t="str">
        <x:f>IFERROR(XLOOKUP(C1555,'Review Sequence'!C2:C1586,'Review Sequence'!J2:J1586),"")</x:f>
        <x:v>Not Started</x:v>
      </x:c>
      <x:c r="H1555" s="7" t="str">
        <x:f>IFERROR(XLOOKUP(C1555,'Review Sequence'!C2:C1586,'Review Sequence'!O2:O1586),"")</x:f>
      </x:c>
      <x:c r="I1555" s="6" t="str">
        <x:f>IFERROR(XLOOKUP(C1555,'Review Sequence'!C2:C1586,'Review Sequence'!P2:P1586),"")</x:f>
        <x:v>Yes</x:v>
      </x:c>
    </x:row>
    <x:row r="1556">
      <x:c r="A1556" s="6" t="str">
        <x:v>BLK-1555</x:v>
      </x:c>
      <x:c r="B1556" s="6" t="str">
        <x:v>Labor Reference</x:v>
      </x:c>
      <x:c r="C1556" s="6" t="str">
        <x:v>LABX-0284</x:v>
      </x:c>
      <x:c r="D1556" s="6" t="str">
        <x:v>SVC000284</x:v>
      </x:c>
      <x:c r="E1556" s="6" t="str"/>
      <x:c r="F1556" s="6" t="str">
        <x:f>IFERROR(XLOOKUP(C1556,'Review Sequence'!C2:C1586,'Review Sequence'!I2:I1586),"")</x:f>
        <x:v>Not Started</x:v>
      </x:c>
      <x:c r="G1556" s="6" t="str">
        <x:f>IFERROR(XLOOKUP(C1556,'Review Sequence'!C2:C1586,'Review Sequence'!J2:J1586),"")</x:f>
        <x:v>Not Started</x:v>
      </x:c>
      <x:c r="H1556" s="7" t="str">
        <x:f>IFERROR(XLOOKUP(C1556,'Review Sequence'!C2:C1586,'Review Sequence'!O2:O1586),"")</x:f>
      </x:c>
      <x:c r="I1556" s="6" t="str">
        <x:f>IFERROR(XLOOKUP(C1556,'Review Sequence'!C2:C1586,'Review Sequence'!P2:P1586),"")</x:f>
        <x:v>Yes</x:v>
      </x:c>
    </x:row>
    <x:row r="1557">
      <x:c r="A1557" s="6" t="str">
        <x:v>BLK-1556</x:v>
      </x:c>
      <x:c r="B1557" s="6" t="str">
        <x:v>Labor Reference</x:v>
      </x:c>
      <x:c r="C1557" s="6" t="str">
        <x:v>LABX-0285</x:v>
      </x:c>
      <x:c r="D1557" s="6" t="str">
        <x:v>SVC000285</x:v>
      </x:c>
      <x:c r="E1557" s="6" t="str"/>
      <x:c r="F1557" s="6" t="str">
        <x:f>IFERROR(XLOOKUP(C1557,'Review Sequence'!C2:C1586,'Review Sequence'!I2:I1586),"")</x:f>
        <x:v>Not Started</x:v>
      </x:c>
      <x:c r="G1557" s="6" t="str">
        <x:f>IFERROR(XLOOKUP(C1557,'Review Sequence'!C2:C1586,'Review Sequence'!J2:J1586),"")</x:f>
        <x:v>Not Started</x:v>
      </x:c>
      <x:c r="H1557" s="7" t="str">
        <x:f>IFERROR(XLOOKUP(C1557,'Review Sequence'!C2:C1586,'Review Sequence'!O2:O1586),"")</x:f>
      </x:c>
      <x:c r="I1557" s="6" t="str">
        <x:f>IFERROR(XLOOKUP(C1557,'Review Sequence'!C2:C1586,'Review Sequence'!P2:P1586),"")</x:f>
        <x:v>Yes</x:v>
      </x:c>
    </x:row>
    <x:row r="1558">
      <x:c r="A1558" s="6" t="str">
        <x:v>BLK-1557</x:v>
      </x:c>
      <x:c r="B1558" s="6" t="str">
        <x:v>Labor Reference</x:v>
      </x:c>
      <x:c r="C1558" s="6" t="str">
        <x:v>LABX-0286</x:v>
      </x:c>
      <x:c r="D1558" s="6" t="str">
        <x:v>SVC000286</x:v>
      </x:c>
      <x:c r="E1558" s="6" t="str"/>
      <x:c r="F1558" s="6" t="str">
        <x:f>IFERROR(XLOOKUP(C1558,'Review Sequence'!C2:C1586,'Review Sequence'!I2:I1586),"")</x:f>
        <x:v>Not Started</x:v>
      </x:c>
      <x:c r="G1558" s="6" t="str">
        <x:f>IFERROR(XLOOKUP(C1558,'Review Sequence'!C2:C1586,'Review Sequence'!J2:J1586),"")</x:f>
        <x:v>Not Started</x:v>
      </x:c>
      <x:c r="H1558" s="7" t="str">
        <x:f>IFERROR(XLOOKUP(C1558,'Review Sequence'!C2:C1586,'Review Sequence'!O2:O1586),"")</x:f>
      </x:c>
      <x:c r="I1558" s="6" t="str">
        <x:f>IFERROR(XLOOKUP(C1558,'Review Sequence'!C2:C1586,'Review Sequence'!P2:P1586),"")</x:f>
        <x:v>Yes</x:v>
      </x:c>
    </x:row>
    <x:row r="1559">
      <x:c r="A1559" s="6" t="str">
        <x:v>BLK-1558</x:v>
      </x:c>
      <x:c r="B1559" s="6" t="str">
        <x:v>Labor Reference</x:v>
      </x:c>
      <x:c r="C1559" s="6" t="str">
        <x:v>LABX-0287</x:v>
      </x:c>
      <x:c r="D1559" s="6" t="str">
        <x:v>SVC000287</x:v>
      </x:c>
      <x:c r="E1559" s="6" t="str"/>
      <x:c r="F1559" s="6" t="str">
        <x:f>IFERROR(XLOOKUP(C1559,'Review Sequence'!C2:C1586,'Review Sequence'!I2:I1586),"")</x:f>
        <x:v>Not Started</x:v>
      </x:c>
      <x:c r="G1559" s="6" t="str">
        <x:f>IFERROR(XLOOKUP(C1559,'Review Sequence'!C2:C1586,'Review Sequence'!J2:J1586),"")</x:f>
        <x:v>Not Started</x:v>
      </x:c>
      <x:c r="H1559" s="7" t="str">
        <x:f>IFERROR(XLOOKUP(C1559,'Review Sequence'!C2:C1586,'Review Sequence'!O2:O1586),"")</x:f>
      </x:c>
      <x:c r="I1559" s="6" t="str">
        <x:f>IFERROR(XLOOKUP(C1559,'Review Sequence'!C2:C1586,'Review Sequence'!P2:P1586),"")</x:f>
        <x:v>Yes</x:v>
      </x:c>
    </x:row>
    <x:row r="1560">
      <x:c r="A1560" s="6" t="str">
        <x:v>BLK-1559</x:v>
      </x:c>
      <x:c r="B1560" s="6" t="str">
        <x:v>Labor Reference</x:v>
      </x:c>
      <x:c r="C1560" s="6" t="str">
        <x:v>LABX-0288</x:v>
      </x:c>
      <x:c r="D1560" s="6" t="str">
        <x:v>SVC000288</x:v>
      </x:c>
      <x:c r="E1560" s="6" t="str"/>
      <x:c r="F1560" s="6" t="str">
        <x:f>IFERROR(XLOOKUP(C1560,'Review Sequence'!C2:C1586,'Review Sequence'!I2:I1586),"")</x:f>
        <x:v>Not Started</x:v>
      </x:c>
      <x:c r="G1560" s="6" t="str">
        <x:f>IFERROR(XLOOKUP(C1560,'Review Sequence'!C2:C1586,'Review Sequence'!J2:J1586),"")</x:f>
        <x:v>Not Started</x:v>
      </x:c>
      <x:c r="H1560" s="7" t="str">
        <x:f>IFERROR(XLOOKUP(C1560,'Review Sequence'!C2:C1586,'Review Sequence'!O2:O1586),"")</x:f>
      </x:c>
      <x:c r="I1560" s="6" t="str">
        <x:f>IFERROR(XLOOKUP(C1560,'Review Sequence'!C2:C1586,'Review Sequence'!P2:P1586),"")</x:f>
        <x:v>Yes</x:v>
      </x:c>
    </x:row>
    <x:row r="1561">
      <x:c r="A1561" s="6" t="str">
        <x:v>BLK-1560</x:v>
      </x:c>
      <x:c r="B1561" s="6" t="str">
        <x:v>Labor Reference</x:v>
      </x:c>
      <x:c r="C1561" s="6" t="str">
        <x:v>LABX-0289</x:v>
      </x:c>
      <x:c r="D1561" s="6" t="str">
        <x:v>SVC000289</x:v>
      </x:c>
      <x:c r="E1561" s="6" t="str"/>
      <x:c r="F1561" s="6" t="str">
        <x:f>IFERROR(XLOOKUP(C1561,'Review Sequence'!C2:C1586,'Review Sequence'!I2:I1586),"")</x:f>
        <x:v>Not Started</x:v>
      </x:c>
      <x:c r="G1561" s="6" t="str">
        <x:f>IFERROR(XLOOKUP(C1561,'Review Sequence'!C2:C1586,'Review Sequence'!J2:J1586),"")</x:f>
        <x:v>Not Started</x:v>
      </x:c>
      <x:c r="H1561" s="7" t="str">
        <x:f>IFERROR(XLOOKUP(C1561,'Review Sequence'!C2:C1586,'Review Sequence'!O2:O1586),"")</x:f>
      </x:c>
      <x:c r="I1561" s="6" t="str">
        <x:f>IFERROR(XLOOKUP(C1561,'Review Sequence'!C2:C1586,'Review Sequence'!P2:P1586),"")</x:f>
        <x:v>Yes</x:v>
      </x:c>
    </x:row>
    <x:row r="1562">
      <x:c r="A1562" s="6" t="str">
        <x:v>BLK-1561</x:v>
      </x:c>
      <x:c r="B1562" s="6" t="str">
        <x:v>Labor Reference</x:v>
      </x:c>
      <x:c r="C1562" s="6" t="str">
        <x:v>LABX-0290</x:v>
      </x:c>
      <x:c r="D1562" s="6" t="str">
        <x:v>SVC000290</x:v>
      </x:c>
      <x:c r="E1562" s="6" t="str"/>
      <x:c r="F1562" s="6" t="str">
        <x:f>IFERROR(XLOOKUP(C1562,'Review Sequence'!C2:C1586,'Review Sequence'!I2:I1586),"")</x:f>
        <x:v>Not Started</x:v>
      </x:c>
      <x:c r="G1562" s="6" t="str">
        <x:f>IFERROR(XLOOKUP(C1562,'Review Sequence'!C2:C1586,'Review Sequence'!J2:J1586),"")</x:f>
        <x:v>Not Started</x:v>
      </x:c>
      <x:c r="H1562" s="7" t="str">
        <x:f>IFERROR(XLOOKUP(C1562,'Review Sequence'!C2:C1586,'Review Sequence'!O2:O1586),"")</x:f>
      </x:c>
      <x:c r="I1562" s="6" t="str">
        <x:f>IFERROR(XLOOKUP(C1562,'Review Sequence'!C2:C1586,'Review Sequence'!P2:P1586),"")</x:f>
        <x:v>Yes</x:v>
      </x:c>
    </x:row>
    <x:row r="1563">
      <x:c r="A1563" s="6" t="str">
        <x:v>BLK-1562</x:v>
      </x:c>
      <x:c r="B1563" s="6" t="str">
        <x:v>Labor Reference</x:v>
      </x:c>
      <x:c r="C1563" s="6" t="str">
        <x:v>LABX-0291</x:v>
      </x:c>
      <x:c r="D1563" s="6" t="str">
        <x:v>SVC000291</x:v>
      </x:c>
      <x:c r="E1563" s="6" t="str"/>
      <x:c r="F1563" s="6" t="str">
        <x:f>IFERROR(XLOOKUP(C1563,'Review Sequence'!C2:C1586,'Review Sequence'!I2:I1586),"")</x:f>
        <x:v>Not Started</x:v>
      </x:c>
      <x:c r="G1563" s="6" t="str">
        <x:f>IFERROR(XLOOKUP(C1563,'Review Sequence'!C2:C1586,'Review Sequence'!J2:J1586),"")</x:f>
        <x:v>Not Started</x:v>
      </x:c>
      <x:c r="H1563" s="7" t="str">
        <x:f>IFERROR(XLOOKUP(C1563,'Review Sequence'!C2:C1586,'Review Sequence'!O2:O1586),"")</x:f>
      </x:c>
      <x:c r="I1563" s="6" t="str">
        <x:f>IFERROR(XLOOKUP(C1563,'Review Sequence'!C2:C1586,'Review Sequence'!P2:P1586),"")</x:f>
        <x:v>Yes</x:v>
      </x:c>
    </x:row>
    <x:row r="1564">
      <x:c r="A1564" s="6" t="str">
        <x:v>BLK-1563</x:v>
      </x:c>
      <x:c r="B1564" s="6" t="str">
        <x:v>Labor Reference</x:v>
      </x:c>
      <x:c r="C1564" s="6" t="str">
        <x:v>LABX-0292</x:v>
      </x:c>
      <x:c r="D1564" s="6" t="str">
        <x:v>SVC000292</x:v>
      </x:c>
      <x:c r="E1564" s="6" t="str"/>
      <x:c r="F1564" s="6" t="str">
        <x:f>IFERROR(XLOOKUP(C1564,'Review Sequence'!C2:C1586,'Review Sequence'!I2:I1586),"")</x:f>
        <x:v>Not Started</x:v>
      </x:c>
      <x:c r="G1564" s="6" t="str">
        <x:f>IFERROR(XLOOKUP(C1564,'Review Sequence'!C2:C1586,'Review Sequence'!J2:J1586),"")</x:f>
        <x:v>Not Started</x:v>
      </x:c>
      <x:c r="H1564" s="7" t="str">
        <x:f>IFERROR(XLOOKUP(C1564,'Review Sequence'!C2:C1586,'Review Sequence'!O2:O1586),"")</x:f>
      </x:c>
      <x:c r="I1564" s="6" t="str">
        <x:f>IFERROR(XLOOKUP(C1564,'Review Sequence'!C2:C1586,'Review Sequence'!P2:P1586),"")</x:f>
        <x:v>Yes</x:v>
      </x:c>
    </x:row>
    <x:row r="1565">
      <x:c r="A1565" s="6" t="str">
        <x:v>BLK-1564</x:v>
      </x:c>
      <x:c r="B1565" s="6" t="str">
        <x:v>Labor Reference</x:v>
      </x:c>
      <x:c r="C1565" s="6" t="str">
        <x:v>LABX-0293</x:v>
      </x:c>
      <x:c r="D1565" s="6" t="str">
        <x:v>SVC000293</x:v>
      </x:c>
      <x:c r="E1565" s="6" t="str"/>
      <x:c r="F1565" s="6" t="str">
        <x:f>IFERROR(XLOOKUP(C1565,'Review Sequence'!C2:C1586,'Review Sequence'!I2:I1586),"")</x:f>
        <x:v>Not Started</x:v>
      </x:c>
      <x:c r="G1565" s="6" t="str">
        <x:f>IFERROR(XLOOKUP(C1565,'Review Sequence'!C2:C1586,'Review Sequence'!J2:J1586),"")</x:f>
        <x:v>Not Started</x:v>
      </x:c>
      <x:c r="H1565" s="7" t="str">
        <x:f>IFERROR(XLOOKUP(C1565,'Review Sequence'!C2:C1586,'Review Sequence'!O2:O1586),"")</x:f>
      </x:c>
      <x:c r="I1565" s="6" t="str">
        <x:f>IFERROR(XLOOKUP(C1565,'Review Sequence'!C2:C1586,'Review Sequence'!P2:P1586),"")</x:f>
        <x:v>Yes</x:v>
      </x:c>
    </x:row>
    <x:row r="1566">
      <x:c r="A1566" s="6" t="str">
        <x:v>BLK-1565</x:v>
      </x:c>
      <x:c r="B1566" s="6" t="str">
        <x:v>Labor Reference</x:v>
      </x:c>
      <x:c r="C1566" s="6" t="str">
        <x:v>LABX-0294</x:v>
      </x:c>
      <x:c r="D1566" s="6" t="str">
        <x:v>SVC000294</x:v>
      </x:c>
      <x:c r="E1566" s="6" t="str"/>
      <x:c r="F1566" s="6" t="str">
        <x:f>IFERROR(XLOOKUP(C1566,'Review Sequence'!C2:C1586,'Review Sequence'!I2:I1586),"")</x:f>
        <x:v>Not Started</x:v>
      </x:c>
      <x:c r="G1566" s="6" t="str">
        <x:f>IFERROR(XLOOKUP(C1566,'Review Sequence'!C2:C1586,'Review Sequence'!J2:J1586),"")</x:f>
        <x:v>Not Started</x:v>
      </x:c>
      <x:c r="H1566" s="7" t="str">
        <x:f>IFERROR(XLOOKUP(C1566,'Review Sequence'!C2:C1586,'Review Sequence'!O2:O1586),"")</x:f>
      </x:c>
      <x:c r="I1566" s="6" t="str">
        <x:f>IFERROR(XLOOKUP(C1566,'Review Sequence'!C2:C1586,'Review Sequence'!P2:P1586),"")</x:f>
        <x:v>Yes</x:v>
      </x:c>
    </x:row>
    <x:row r="1567">
      <x:c r="A1567" s="6" t="str">
        <x:v>BLK-1566</x:v>
      </x:c>
      <x:c r="B1567" s="6" t="str">
        <x:v>Labor Reference</x:v>
      </x:c>
      <x:c r="C1567" s="6" t="str">
        <x:v>LABX-0295</x:v>
      </x:c>
      <x:c r="D1567" s="6" t="str">
        <x:v>SVC000295</x:v>
      </x:c>
      <x:c r="E1567" s="6" t="str"/>
      <x:c r="F1567" s="6" t="str">
        <x:f>IFERROR(XLOOKUP(C1567,'Review Sequence'!C2:C1586,'Review Sequence'!I2:I1586),"")</x:f>
        <x:v>Not Started</x:v>
      </x:c>
      <x:c r="G1567" s="6" t="str">
        <x:f>IFERROR(XLOOKUP(C1567,'Review Sequence'!C2:C1586,'Review Sequence'!J2:J1586),"")</x:f>
        <x:v>Not Started</x:v>
      </x:c>
      <x:c r="H1567" s="7" t="str">
        <x:f>IFERROR(XLOOKUP(C1567,'Review Sequence'!C2:C1586,'Review Sequence'!O2:O1586),"")</x:f>
      </x:c>
      <x:c r="I1567" s="6" t="str">
        <x:f>IFERROR(XLOOKUP(C1567,'Review Sequence'!C2:C1586,'Review Sequence'!P2:P1586),"")</x:f>
        <x:v>Yes</x:v>
      </x:c>
    </x:row>
    <x:row r="1568">
      <x:c r="A1568" s="6" t="str">
        <x:v>BLK-1567</x:v>
      </x:c>
      <x:c r="B1568" s="6" t="str">
        <x:v>Labor Reference</x:v>
      </x:c>
      <x:c r="C1568" s="6" t="str">
        <x:v>LABX-0296</x:v>
      </x:c>
      <x:c r="D1568" s="6" t="str">
        <x:v>SVC000296</x:v>
      </x:c>
      <x:c r="E1568" s="6" t="str"/>
      <x:c r="F1568" s="6" t="str">
        <x:f>IFERROR(XLOOKUP(C1568,'Review Sequence'!C2:C1586,'Review Sequence'!I2:I1586),"")</x:f>
        <x:v>Not Started</x:v>
      </x:c>
      <x:c r="G1568" s="6" t="str">
        <x:f>IFERROR(XLOOKUP(C1568,'Review Sequence'!C2:C1586,'Review Sequence'!J2:J1586),"")</x:f>
        <x:v>Not Started</x:v>
      </x:c>
      <x:c r="H1568" s="7" t="str">
        <x:f>IFERROR(XLOOKUP(C1568,'Review Sequence'!C2:C1586,'Review Sequence'!O2:O1586),"")</x:f>
      </x:c>
      <x:c r="I1568" s="6" t="str">
        <x:f>IFERROR(XLOOKUP(C1568,'Review Sequence'!C2:C1586,'Review Sequence'!P2:P1586),"")</x:f>
        <x:v>Yes</x:v>
      </x:c>
    </x:row>
    <x:row r="1569">
      <x:c r="A1569" s="6" t="str">
        <x:v>BLK-1568</x:v>
      </x:c>
      <x:c r="B1569" s="6" t="str">
        <x:v>Labor Reference</x:v>
      </x:c>
      <x:c r="C1569" s="6" t="str">
        <x:v>LABX-0297</x:v>
      </x:c>
      <x:c r="D1569" s="6" t="str">
        <x:v>SVC000297</x:v>
      </x:c>
      <x:c r="E1569" s="6" t="str"/>
      <x:c r="F1569" s="6" t="str">
        <x:f>IFERROR(XLOOKUP(C1569,'Review Sequence'!C2:C1586,'Review Sequence'!I2:I1586),"")</x:f>
        <x:v>Not Started</x:v>
      </x:c>
      <x:c r="G1569" s="6" t="str">
        <x:f>IFERROR(XLOOKUP(C1569,'Review Sequence'!C2:C1586,'Review Sequence'!J2:J1586),"")</x:f>
        <x:v>Not Started</x:v>
      </x:c>
      <x:c r="H1569" s="7" t="str">
        <x:f>IFERROR(XLOOKUP(C1569,'Review Sequence'!C2:C1586,'Review Sequence'!O2:O1586),"")</x:f>
      </x:c>
      <x:c r="I1569" s="6" t="str">
        <x:f>IFERROR(XLOOKUP(C1569,'Review Sequence'!C2:C1586,'Review Sequence'!P2:P1586),"")</x:f>
        <x:v>Yes</x:v>
      </x:c>
    </x:row>
    <x:row r="1570">
      <x:c r="A1570" s="6" t="str">
        <x:v>BLK-1569</x:v>
      </x:c>
      <x:c r="B1570" s="6" t="str">
        <x:v>Labor Reference</x:v>
      </x:c>
      <x:c r="C1570" s="6" t="str">
        <x:v>LABX-0298</x:v>
      </x:c>
      <x:c r="D1570" s="6" t="str">
        <x:v>SVC000298</x:v>
      </x:c>
      <x:c r="E1570" s="6" t="str"/>
      <x:c r="F1570" s="6" t="str">
        <x:f>IFERROR(XLOOKUP(C1570,'Review Sequence'!C2:C1586,'Review Sequence'!I2:I1586),"")</x:f>
        <x:v>Not Started</x:v>
      </x:c>
      <x:c r="G1570" s="6" t="str">
        <x:f>IFERROR(XLOOKUP(C1570,'Review Sequence'!C2:C1586,'Review Sequence'!J2:J1586),"")</x:f>
        <x:v>Not Started</x:v>
      </x:c>
      <x:c r="H1570" s="7" t="str">
        <x:f>IFERROR(XLOOKUP(C1570,'Review Sequence'!C2:C1586,'Review Sequence'!O2:O1586),"")</x:f>
      </x:c>
      <x:c r="I1570" s="6" t="str">
        <x:f>IFERROR(XLOOKUP(C1570,'Review Sequence'!C2:C1586,'Review Sequence'!P2:P1586),"")</x:f>
        <x:v>Yes</x:v>
      </x:c>
    </x:row>
    <x:row r="1571">
      <x:c r="A1571" s="6" t="str">
        <x:v>BLK-1570</x:v>
      </x:c>
      <x:c r="B1571" s="6" t="str">
        <x:v>Labor Reference</x:v>
      </x:c>
      <x:c r="C1571" s="6" t="str">
        <x:v>LABX-0299</x:v>
      </x:c>
      <x:c r="D1571" s="6" t="str">
        <x:v>SVC000299</x:v>
      </x:c>
      <x:c r="E1571" s="6" t="str"/>
      <x:c r="F1571" s="6" t="str">
        <x:f>IFERROR(XLOOKUP(C1571,'Review Sequence'!C2:C1586,'Review Sequence'!I2:I1586),"")</x:f>
        <x:v>Not Started</x:v>
      </x:c>
      <x:c r="G1571" s="6" t="str">
        <x:f>IFERROR(XLOOKUP(C1571,'Review Sequence'!C2:C1586,'Review Sequence'!J2:J1586),"")</x:f>
        <x:v>Not Started</x:v>
      </x:c>
      <x:c r="H1571" s="7" t="str">
        <x:f>IFERROR(XLOOKUP(C1571,'Review Sequence'!C2:C1586,'Review Sequence'!O2:O1586),"")</x:f>
      </x:c>
      <x:c r="I1571" s="6" t="str">
        <x:f>IFERROR(XLOOKUP(C1571,'Review Sequence'!C2:C1586,'Review Sequence'!P2:P1586),"")</x:f>
        <x:v>Yes</x:v>
      </x:c>
    </x:row>
    <x:row r="1572">
      <x:c r="A1572" s="6" t="str">
        <x:v>BLK-1571</x:v>
      </x:c>
      <x:c r="B1572" s="6" t="str">
        <x:v>Labor Reference</x:v>
      </x:c>
      <x:c r="C1572" s="6" t="str">
        <x:v>LABX-0300</x:v>
      </x:c>
      <x:c r="D1572" s="6" t="str">
        <x:v>SVC000300</x:v>
      </x:c>
      <x:c r="E1572" s="6" t="str"/>
      <x:c r="F1572" s="6" t="str">
        <x:f>IFERROR(XLOOKUP(C1572,'Review Sequence'!C2:C1586,'Review Sequence'!I2:I1586),"")</x:f>
        <x:v>Not Started</x:v>
      </x:c>
      <x:c r="G1572" s="6" t="str">
        <x:f>IFERROR(XLOOKUP(C1572,'Review Sequence'!C2:C1586,'Review Sequence'!J2:J1586),"")</x:f>
        <x:v>Not Started</x:v>
      </x:c>
      <x:c r="H1572" s="7" t="str">
        <x:f>IFERROR(XLOOKUP(C1572,'Review Sequence'!C2:C1586,'Review Sequence'!O2:O1586),"")</x:f>
      </x:c>
      <x:c r="I1572" s="6" t="str">
        <x:f>IFERROR(XLOOKUP(C1572,'Review Sequence'!C2:C1586,'Review Sequence'!P2:P1586),"")</x:f>
        <x:v>Yes</x:v>
      </x:c>
    </x:row>
    <x:row r="1573">
      <x:c r="A1573" s="6" t="str">
        <x:v>BLK-1572</x:v>
      </x:c>
      <x:c r="B1573" s="6" t="str">
        <x:v>Labor Reference</x:v>
      </x:c>
      <x:c r="C1573" s="6" t="str">
        <x:v>LABX-0301</x:v>
      </x:c>
      <x:c r="D1573" s="6" t="str">
        <x:v>SVC000301</x:v>
      </x:c>
      <x:c r="E1573" s="6" t="str"/>
      <x:c r="F1573" s="6" t="str">
        <x:f>IFERROR(XLOOKUP(C1573,'Review Sequence'!C2:C1586,'Review Sequence'!I2:I1586),"")</x:f>
        <x:v>Not Started</x:v>
      </x:c>
      <x:c r="G1573" s="6" t="str">
        <x:f>IFERROR(XLOOKUP(C1573,'Review Sequence'!C2:C1586,'Review Sequence'!J2:J1586),"")</x:f>
        <x:v>Not Started</x:v>
      </x:c>
      <x:c r="H1573" s="7" t="str">
        <x:f>IFERROR(XLOOKUP(C1573,'Review Sequence'!C2:C1586,'Review Sequence'!O2:O1586),"")</x:f>
      </x:c>
      <x:c r="I1573" s="6" t="str">
        <x:f>IFERROR(XLOOKUP(C1573,'Review Sequence'!C2:C1586,'Review Sequence'!P2:P1586),"")</x:f>
        <x:v>Yes</x:v>
      </x:c>
    </x:row>
    <x:row r="1574">
      <x:c r="A1574" s="6" t="str">
        <x:v>BLK-1573</x:v>
      </x:c>
      <x:c r="B1574" s="6" t="str">
        <x:v>Labor Reference</x:v>
      </x:c>
      <x:c r="C1574" s="6" t="str">
        <x:v>LABX-0302</x:v>
      </x:c>
      <x:c r="D1574" s="6" t="str">
        <x:v>SVC000302</x:v>
      </x:c>
      <x:c r="E1574" s="6" t="str"/>
      <x:c r="F1574" s="6" t="str">
        <x:f>IFERROR(XLOOKUP(C1574,'Review Sequence'!C2:C1586,'Review Sequence'!I2:I1586),"")</x:f>
        <x:v>Not Started</x:v>
      </x:c>
      <x:c r="G1574" s="6" t="str">
        <x:f>IFERROR(XLOOKUP(C1574,'Review Sequence'!C2:C1586,'Review Sequence'!J2:J1586),"")</x:f>
        <x:v>Not Started</x:v>
      </x:c>
      <x:c r="H1574" s="7" t="str">
        <x:f>IFERROR(XLOOKUP(C1574,'Review Sequence'!C2:C1586,'Review Sequence'!O2:O1586),"")</x:f>
      </x:c>
      <x:c r="I1574" s="6" t="str">
        <x:f>IFERROR(XLOOKUP(C1574,'Review Sequence'!C2:C1586,'Review Sequence'!P2:P1586),"")</x:f>
        <x:v>Yes</x:v>
      </x:c>
    </x:row>
    <x:row r="1575">
      <x:c r="A1575" s="6" t="str">
        <x:v>BLK-1574</x:v>
      </x:c>
      <x:c r="B1575" s="6" t="str">
        <x:v>Labor Reference</x:v>
      </x:c>
      <x:c r="C1575" s="6" t="str">
        <x:v>LABX-0303</x:v>
      </x:c>
      <x:c r="D1575" s="6" t="str">
        <x:v>SVC000303</x:v>
      </x:c>
      <x:c r="E1575" s="6" t="str"/>
      <x:c r="F1575" s="6" t="str">
        <x:f>IFERROR(XLOOKUP(C1575,'Review Sequence'!C2:C1586,'Review Sequence'!I2:I1586),"")</x:f>
        <x:v>Not Started</x:v>
      </x:c>
      <x:c r="G1575" s="6" t="str">
        <x:f>IFERROR(XLOOKUP(C1575,'Review Sequence'!C2:C1586,'Review Sequence'!J2:J1586),"")</x:f>
        <x:v>Not Started</x:v>
      </x:c>
      <x:c r="H1575" s="7" t="str">
        <x:f>IFERROR(XLOOKUP(C1575,'Review Sequence'!C2:C1586,'Review Sequence'!O2:O1586),"")</x:f>
      </x:c>
      <x:c r="I1575" s="6" t="str">
        <x:f>IFERROR(XLOOKUP(C1575,'Review Sequence'!C2:C1586,'Review Sequence'!P2:P1586),"")</x:f>
        <x:v>Yes</x:v>
      </x:c>
    </x:row>
    <x:row r="1576">
      <x:c r="A1576" s="6" t="str">
        <x:v>BLK-1575</x:v>
      </x:c>
      <x:c r="B1576" s="6" t="str">
        <x:v>Labor Reference</x:v>
      </x:c>
      <x:c r="C1576" s="6" t="str">
        <x:v>LABX-0304</x:v>
      </x:c>
      <x:c r="D1576" s="6" t="str">
        <x:v>SVC000304</x:v>
      </x:c>
      <x:c r="E1576" s="6" t="str"/>
      <x:c r="F1576" s="6" t="str">
        <x:f>IFERROR(XLOOKUP(C1576,'Review Sequence'!C2:C1586,'Review Sequence'!I2:I1586),"")</x:f>
        <x:v>Not Started</x:v>
      </x:c>
      <x:c r="G1576" s="6" t="str">
        <x:f>IFERROR(XLOOKUP(C1576,'Review Sequence'!C2:C1586,'Review Sequence'!J2:J1586),"")</x:f>
        <x:v>Not Started</x:v>
      </x:c>
      <x:c r="H1576" s="7" t="str">
        <x:f>IFERROR(XLOOKUP(C1576,'Review Sequence'!C2:C1586,'Review Sequence'!O2:O1586),"")</x:f>
      </x:c>
      <x:c r="I1576" s="6" t="str">
        <x:f>IFERROR(XLOOKUP(C1576,'Review Sequence'!C2:C1586,'Review Sequence'!P2:P1586),"")</x:f>
        <x:v>Yes</x:v>
      </x:c>
    </x:row>
    <x:row r="1577">
      <x:c r="A1577" s="6" t="str">
        <x:v>BLK-1576</x:v>
      </x:c>
      <x:c r="B1577" s="6" t="str">
        <x:v>Labor Reference</x:v>
      </x:c>
      <x:c r="C1577" s="6" t="str">
        <x:v>LABX-0305</x:v>
      </x:c>
      <x:c r="D1577" s="6" t="str">
        <x:v>SVC000305</x:v>
      </x:c>
      <x:c r="E1577" s="6" t="str"/>
      <x:c r="F1577" s="6" t="str">
        <x:f>IFERROR(XLOOKUP(C1577,'Review Sequence'!C2:C1586,'Review Sequence'!I2:I1586),"")</x:f>
        <x:v>Not Started</x:v>
      </x:c>
      <x:c r="G1577" s="6" t="str">
        <x:f>IFERROR(XLOOKUP(C1577,'Review Sequence'!C2:C1586,'Review Sequence'!J2:J1586),"")</x:f>
        <x:v>Not Started</x:v>
      </x:c>
      <x:c r="H1577" s="7" t="str">
        <x:f>IFERROR(XLOOKUP(C1577,'Review Sequence'!C2:C1586,'Review Sequence'!O2:O1586),"")</x:f>
      </x:c>
      <x:c r="I1577" s="6" t="str">
        <x:f>IFERROR(XLOOKUP(C1577,'Review Sequence'!C2:C1586,'Review Sequence'!P2:P1586),"")</x:f>
        <x:v>Yes</x:v>
      </x:c>
    </x:row>
    <x:row r="1578">
      <x:c r="A1578" s="6" t="str">
        <x:v>BLK-1577</x:v>
      </x:c>
      <x:c r="B1578" s="6" t="str">
        <x:v>Labor Reference</x:v>
      </x:c>
      <x:c r="C1578" s="6" t="str">
        <x:v>LABX-0306</x:v>
      </x:c>
      <x:c r="D1578" s="6" t="str">
        <x:v>SVC000306</x:v>
      </x:c>
      <x:c r="E1578" s="6" t="str"/>
      <x:c r="F1578" s="6" t="str">
        <x:f>IFERROR(XLOOKUP(C1578,'Review Sequence'!C2:C1586,'Review Sequence'!I2:I1586),"")</x:f>
        <x:v>Not Started</x:v>
      </x:c>
      <x:c r="G1578" s="6" t="str">
        <x:f>IFERROR(XLOOKUP(C1578,'Review Sequence'!C2:C1586,'Review Sequence'!J2:J1586),"")</x:f>
        <x:v>Not Started</x:v>
      </x:c>
      <x:c r="H1578" s="7" t="str">
        <x:f>IFERROR(XLOOKUP(C1578,'Review Sequence'!C2:C1586,'Review Sequence'!O2:O1586),"")</x:f>
      </x:c>
      <x:c r="I1578" s="6" t="str">
        <x:f>IFERROR(XLOOKUP(C1578,'Review Sequence'!C2:C1586,'Review Sequence'!P2:P1586),"")</x:f>
        <x:v>Yes</x:v>
      </x:c>
    </x:row>
    <x:row r="1579">
      <x:c r="A1579" s="6" t="str">
        <x:v>BLK-1578</x:v>
      </x:c>
      <x:c r="B1579" s="6" t="str">
        <x:v>Labor Reference</x:v>
      </x:c>
      <x:c r="C1579" s="6" t="str">
        <x:v>LABX-0307</x:v>
      </x:c>
      <x:c r="D1579" s="6" t="str">
        <x:v>SVC000307</x:v>
      </x:c>
      <x:c r="E1579" s="6" t="str"/>
      <x:c r="F1579" s="6" t="str">
        <x:f>IFERROR(XLOOKUP(C1579,'Review Sequence'!C2:C1586,'Review Sequence'!I2:I1586),"")</x:f>
        <x:v>Not Started</x:v>
      </x:c>
      <x:c r="G1579" s="6" t="str">
        <x:f>IFERROR(XLOOKUP(C1579,'Review Sequence'!C2:C1586,'Review Sequence'!J2:J1586),"")</x:f>
        <x:v>Not Started</x:v>
      </x:c>
      <x:c r="H1579" s="7" t="str">
        <x:f>IFERROR(XLOOKUP(C1579,'Review Sequence'!C2:C1586,'Review Sequence'!O2:O1586),"")</x:f>
      </x:c>
      <x:c r="I1579" s="6" t="str">
        <x:f>IFERROR(XLOOKUP(C1579,'Review Sequence'!C2:C1586,'Review Sequence'!P2:P1586),"")</x:f>
        <x:v>Yes</x:v>
      </x:c>
    </x:row>
    <x:row r="1580">
      <x:c r="A1580" s="6" t="str">
        <x:v>BLK-1579</x:v>
      </x:c>
      <x:c r="B1580" s="6" t="str">
        <x:v>Labor Reference</x:v>
      </x:c>
      <x:c r="C1580" s="6" t="str">
        <x:v>LABX-0308</x:v>
      </x:c>
      <x:c r="D1580" s="6" t="str">
        <x:v>SVC000308</x:v>
      </x:c>
      <x:c r="E1580" s="6" t="str"/>
      <x:c r="F1580" s="6" t="str">
        <x:f>IFERROR(XLOOKUP(C1580,'Review Sequence'!C2:C1586,'Review Sequence'!I2:I1586),"")</x:f>
        <x:v>Not Started</x:v>
      </x:c>
      <x:c r="G1580" s="6" t="str">
        <x:f>IFERROR(XLOOKUP(C1580,'Review Sequence'!C2:C1586,'Review Sequence'!J2:J1586),"")</x:f>
        <x:v>Not Started</x:v>
      </x:c>
      <x:c r="H1580" s="7" t="str">
        <x:f>IFERROR(XLOOKUP(C1580,'Review Sequence'!C2:C1586,'Review Sequence'!O2:O1586),"")</x:f>
      </x:c>
      <x:c r="I1580" s="6" t="str">
        <x:f>IFERROR(XLOOKUP(C1580,'Review Sequence'!C2:C1586,'Review Sequence'!P2:P1586),"")</x:f>
        <x:v>Yes</x:v>
      </x:c>
    </x:row>
    <x:row r="1581">
      <x:c r="A1581" s="6" t="str">
        <x:v>BLK-1580</x:v>
      </x:c>
      <x:c r="B1581" s="6" t="str">
        <x:v>Labor Reference</x:v>
      </x:c>
      <x:c r="C1581" s="6" t="str">
        <x:v>LABX-0309</x:v>
      </x:c>
      <x:c r="D1581" s="6" t="str">
        <x:v>SVC000309</x:v>
      </x:c>
      <x:c r="E1581" s="6" t="str"/>
      <x:c r="F1581" s="6" t="str">
        <x:f>IFERROR(XLOOKUP(C1581,'Review Sequence'!C2:C1586,'Review Sequence'!I2:I1586),"")</x:f>
        <x:v>Not Started</x:v>
      </x:c>
      <x:c r="G1581" s="6" t="str">
        <x:f>IFERROR(XLOOKUP(C1581,'Review Sequence'!C2:C1586,'Review Sequence'!J2:J1586),"")</x:f>
        <x:v>Not Started</x:v>
      </x:c>
      <x:c r="H1581" s="7" t="str">
        <x:f>IFERROR(XLOOKUP(C1581,'Review Sequence'!C2:C1586,'Review Sequence'!O2:O1586),"")</x:f>
      </x:c>
      <x:c r="I1581" s="6" t="str">
        <x:f>IFERROR(XLOOKUP(C1581,'Review Sequence'!C2:C1586,'Review Sequence'!P2:P1586),"")</x:f>
        <x:v>Yes</x:v>
      </x:c>
    </x:row>
    <x:row r="1582">
      <x:c r="A1582" s="6" t="str">
        <x:v>BLK-1581</x:v>
      </x:c>
      <x:c r="B1582" s="6" t="str">
        <x:v>Labor Reference</x:v>
      </x:c>
      <x:c r="C1582" s="6" t="str">
        <x:v>LABX-0310</x:v>
      </x:c>
      <x:c r="D1582" s="6" t="str">
        <x:v>SVC000310</x:v>
      </x:c>
      <x:c r="E1582" s="6" t="str"/>
      <x:c r="F1582" s="6" t="str">
        <x:f>IFERROR(XLOOKUP(C1582,'Review Sequence'!C2:C1586,'Review Sequence'!I2:I1586),"")</x:f>
        <x:v>Not Started</x:v>
      </x:c>
      <x:c r="G1582" s="6" t="str">
        <x:f>IFERROR(XLOOKUP(C1582,'Review Sequence'!C2:C1586,'Review Sequence'!J2:J1586),"")</x:f>
        <x:v>Not Started</x:v>
      </x:c>
      <x:c r="H1582" s="7" t="str">
        <x:f>IFERROR(XLOOKUP(C1582,'Review Sequence'!C2:C1586,'Review Sequence'!O2:O1586),"")</x:f>
      </x:c>
      <x:c r="I1582" s="6" t="str">
        <x:f>IFERROR(XLOOKUP(C1582,'Review Sequence'!C2:C1586,'Review Sequence'!P2:P1586),"")</x:f>
        <x:v>Yes</x:v>
      </x:c>
    </x:row>
    <x:row r="1583">
      <x:c r="A1583" s="6" t="str">
        <x:v>BLK-1582</x:v>
      </x:c>
      <x:c r="B1583" s="6" t="str">
        <x:v>Labor Reference</x:v>
      </x:c>
      <x:c r="C1583" s="6" t="str">
        <x:v>LABX-0311</x:v>
      </x:c>
      <x:c r="D1583" s="6" t="str">
        <x:v>SVC000311</x:v>
      </x:c>
      <x:c r="E1583" s="6" t="str"/>
      <x:c r="F1583" s="6" t="str">
        <x:f>IFERROR(XLOOKUP(C1583,'Review Sequence'!C2:C1586,'Review Sequence'!I2:I1586),"")</x:f>
        <x:v>Not Started</x:v>
      </x:c>
      <x:c r="G1583" s="6" t="str">
        <x:f>IFERROR(XLOOKUP(C1583,'Review Sequence'!C2:C1586,'Review Sequence'!J2:J1586),"")</x:f>
        <x:v>Not Started</x:v>
      </x:c>
      <x:c r="H1583" s="7" t="str">
        <x:f>IFERROR(XLOOKUP(C1583,'Review Sequence'!C2:C1586,'Review Sequence'!O2:O1586),"")</x:f>
      </x:c>
      <x:c r="I1583" s="6" t="str">
        <x:f>IFERROR(XLOOKUP(C1583,'Review Sequence'!C2:C1586,'Review Sequence'!P2:P1586),"")</x:f>
        <x:v>Yes</x:v>
      </x:c>
    </x:row>
    <x:row r="1584">
      <x:c r="A1584" s="6" t="str">
        <x:v>BLK-1583</x:v>
      </x:c>
      <x:c r="B1584" s="6" t="str">
        <x:v>Labor Reference</x:v>
      </x:c>
      <x:c r="C1584" s="6" t="str">
        <x:v>LABX-0312</x:v>
      </x:c>
      <x:c r="D1584" s="6" t="str">
        <x:v>SVC000312</x:v>
      </x:c>
      <x:c r="E1584" s="6" t="str"/>
      <x:c r="F1584" s="6" t="str">
        <x:f>IFERROR(XLOOKUP(C1584,'Review Sequence'!C2:C1586,'Review Sequence'!I2:I1586),"")</x:f>
        <x:v>Not Started</x:v>
      </x:c>
      <x:c r="G1584" s="6" t="str">
        <x:f>IFERROR(XLOOKUP(C1584,'Review Sequence'!C2:C1586,'Review Sequence'!J2:J1586),"")</x:f>
        <x:v>Not Started</x:v>
      </x:c>
      <x:c r="H1584" s="7" t="str">
        <x:f>IFERROR(XLOOKUP(C1584,'Review Sequence'!C2:C1586,'Review Sequence'!O2:O1586),"")</x:f>
      </x:c>
      <x:c r="I1584" s="6" t="str">
        <x:f>IFERROR(XLOOKUP(C1584,'Review Sequence'!C2:C1586,'Review Sequence'!P2:P1586),"")</x:f>
        <x:v>Yes</x:v>
      </x:c>
    </x:row>
    <x:row r="1585">
      <x:c r="A1585" s="6" t="str">
        <x:v>BLK-1584</x:v>
      </x:c>
      <x:c r="B1585" s="6" t="str">
        <x:v>Labor Reference</x:v>
      </x:c>
      <x:c r="C1585" s="6" t="str">
        <x:v>LABX-0313</x:v>
      </x:c>
      <x:c r="D1585" s="6" t="str">
        <x:v>SVC000313</x:v>
      </x:c>
      <x:c r="E1585" s="6" t="str"/>
      <x:c r="F1585" s="6" t="str">
        <x:f>IFERROR(XLOOKUP(C1585,'Review Sequence'!C2:C1586,'Review Sequence'!I2:I1586),"")</x:f>
        <x:v>Not Started</x:v>
      </x:c>
      <x:c r="G1585" s="6" t="str">
        <x:f>IFERROR(XLOOKUP(C1585,'Review Sequence'!C2:C1586,'Review Sequence'!J2:J1586),"")</x:f>
        <x:v>Not Started</x:v>
      </x:c>
      <x:c r="H1585" s="7" t="str">
        <x:f>IFERROR(XLOOKUP(C1585,'Review Sequence'!C2:C1586,'Review Sequence'!O2:O1586),"")</x:f>
      </x:c>
      <x:c r="I1585" s="6" t="str">
        <x:f>IFERROR(XLOOKUP(C1585,'Review Sequence'!C2:C1586,'Review Sequence'!P2:P1586),"")</x:f>
        <x:v>Yes</x:v>
      </x:c>
    </x:row>
    <x:row r="1586">
      <x:c r="A1586" s="6" t="str">
        <x:v>BLK-1585</x:v>
      </x:c>
      <x:c r="B1586" s="6" t="str">
        <x:v>Labor Reference</x:v>
      </x:c>
      <x:c r="C1586" s="6" t="str">
        <x:v>LABX-0314</x:v>
      </x:c>
      <x:c r="D1586" s="6" t="str">
        <x:v>SVC000314</x:v>
      </x:c>
      <x:c r="E1586" s="6" t="str"/>
      <x:c r="F1586" s="6" t="str">
        <x:f>IFERROR(XLOOKUP(C1586,'Review Sequence'!C2:C1586,'Review Sequence'!I2:I1586),"")</x:f>
        <x:v>Not Started</x:v>
      </x:c>
      <x:c r="G1586" s="6" t="str">
        <x:f>IFERROR(XLOOKUP(C1586,'Review Sequence'!C2:C1586,'Review Sequence'!J2:J1586),"")</x:f>
        <x:v>Not Started</x:v>
      </x:c>
      <x:c r="H1586" s="7" t="str">
        <x:f>IFERROR(XLOOKUP(C1586,'Review Sequence'!C2:C1586,'Review Sequence'!O2:O1586),"")</x:f>
      </x:c>
      <x:c r="I1586" s="6" t="str">
        <x:f>IFERROR(XLOOKUP(C1586,'Review Sequence'!C2:C1586,'Review Sequence'!P2:P1586),"")</x:f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d520a61cc6d6427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4.8799991607666" hidden="0" customWidth="1"/>
    <x:col min="3" max="3" width="16.3799991607666" hidden="0" customWidth="1"/>
    <x:col min="4" max="4" width="27.25" hidden="0" customWidth="1"/>
    <x:col min="5" max="5" width="17.5" hidden="0" customWidth="1"/>
    <x:col min="6" max="6" width="19.3799991607666" hidden="0" customWidth="1"/>
    <x:col min="7" max="7" width="45.880001068115234" hidden="0" customWidth="1"/>
    <x:col min="8" max="8" width="36.630001068115234" hidden="0" customWidth="1"/>
    <x:col min="9" max="9" width="17.25" hidden="0" customWidth="1"/>
    <x:col min="10" max="10" width="17.25" hidden="0" customWidth="1"/>
    <x:col min="11" max="11" width="10.130000114440918" hidden="0" customWidth="1"/>
    <x:col min="12" max="12" width="16.3799991607666" hidden="0" customWidth="1"/>
    <x:col min="13" max="13" width="16.1299991607666" hidden="0" customWidth="1"/>
  </x:cols>
  <x:sheetData>
    <x:row r="1">
      <x:c r="A1" s="5" t="str">
        <x:v>Escalation ID</x:v>
      </x:c>
      <x:c r="B1" s="5" t="str">
        <x:v>Source Execution Queue</x:v>
      </x:c>
      <x:c r="C1" s="5" t="str">
        <x:v>Execution Item ID</x:v>
      </x:c>
      <x:c r="D1" s="5" t="str">
        <x:v>Service ID</x:v>
      </x:c>
      <x:c r="E1" s="5" t="str">
        <x:v>Duplicate Group ID</x:v>
      </x:c>
      <x:c r="F1" s="5" t="str">
        <x:v>Escalation Type</x:v>
      </x:c>
      <x:c r="G1" s="5" t="str">
        <x:v>Issue Summary</x:v>
      </x:c>
      <x:c r="H1" s="5" t="str">
        <x:v>Evidence Required</x:v>
      </x:c>
      <x:c r="I1" s="5" t="str">
        <x:v>Assigned Reviewer</x:v>
      </x:c>
      <x:c r="J1" s="5" t="str">
        <x:v>Assigned Approver</x:v>
      </x:c>
      <x:c r="K1" s="5" t="str">
        <x:v>Due Date</x:v>
      </x:c>
      <x:c r="L1" s="5" t="str">
        <x:v>Escalation Status</x:v>
      </x:c>
      <x:c r="M1" s="5" t="str">
        <x:v>Resolution Notes</x:v>
      </x:c>
    </x:row>
    <x:row r="2">
      <x:c r="A2" s="6" t="str">
        <x:v>ESC-000001</x:v>
      </x:c>
      <x:c r="B2" s="6" t="str">
        <x:v>Unsupported Relationship Review</x:v>
      </x:c>
      <x:c r="C2" s="6" t="str">
        <x:v>UNS000001</x:v>
      </x:c>
      <x:c r="D2" s="6" t="str">
        <x:v>SVC000001</x:v>
      </x:c>
      <x:c r="E2" s="6" t="str"/>
      <x:c r="F2" s="6" t="str">
        <x:v>Unsupported Relationship</x:v>
      </x:c>
      <x:c r="G2" s="7" t="str">
        <x:v>Device family alone is insufficient for governed relationship.</x:v>
      </x:c>
      <x:c r="H2" s="7" t="str">
        <x:v>Explicit governed evidence supporting relationship</x:v>
      </x:c>
      <x:c r="I2" s="6" t="str"/>
      <x:c r="J2" s="6" t="str"/>
      <x:c r="K2" s="6" t="str"/>
      <x:c r="L2" s="6" t="str">
        <x:v>Open</x:v>
      </x:c>
      <x:c r="M2" s="7" t="str"/>
    </x:row>
    <x:row r="3">
      <x:c r="A3" s="6" t="str">
        <x:v>ESC-000002</x:v>
      </x:c>
      <x:c r="B3" s="6" t="str">
        <x:v>Unsupported Relationship Review</x:v>
      </x:c>
      <x:c r="C3" s="6" t="str">
        <x:v>UNS000002</x:v>
      </x:c>
      <x:c r="D3" s="6" t="str">
        <x:v>SVC000002</x:v>
      </x:c>
      <x:c r="E3" s="6" t="str"/>
      <x:c r="F3" s="6" t="str">
        <x:v>Unsupported Relationship</x:v>
      </x:c>
      <x:c r="G3" s="7" t="str">
        <x:v>Device family alone is insufficient for governed relationship.</x:v>
      </x:c>
      <x:c r="H3" s="7" t="str">
        <x:v>Explicit governed evidence supporting relationship</x:v>
      </x:c>
      <x:c r="I3" s="6" t="str"/>
      <x:c r="J3" s="6" t="str"/>
      <x:c r="K3" s="6" t="str"/>
      <x:c r="L3" s="6" t="str">
        <x:v>Open</x:v>
      </x:c>
      <x:c r="M3" s="7" t="str"/>
    </x:row>
    <x:row r="4">
      <x:c r="A4" s="6" t="str">
        <x:v>ESC-000003</x:v>
      </x:c>
      <x:c r="B4" s="6" t="str">
        <x:v>Unsupported Relationship Review</x:v>
      </x:c>
      <x:c r="C4" s="6" t="str">
        <x:v>UNS000003</x:v>
      </x:c>
      <x:c r="D4" s="6" t="str">
        <x:v>SVC000003</x:v>
      </x:c>
      <x:c r="E4" s="6" t="str"/>
      <x:c r="F4" s="6" t="str">
        <x:v>Unsupported Relationship</x:v>
      </x:c>
      <x:c r="G4" s="7" t="str">
        <x:v>Device family alone is insufficient for governed relationship.</x:v>
      </x:c>
      <x:c r="H4" s="7" t="str">
        <x:v>Explicit governed evidence supporting relationship</x:v>
      </x:c>
      <x:c r="I4" s="6" t="str"/>
      <x:c r="J4" s="6" t="str"/>
      <x:c r="K4" s="6" t="str"/>
      <x:c r="L4" s="6" t="str">
        <x:v>Open</x:v>
      </x:c>
      <x:c r="M4" s="7" t="str"/>
    </x:row>
    <x:row r="5">
      <x:c r="A5" s="6" t="str">
        <x:v>ESC-000004</x:v>
      </x:c>
      <x:c r="B5" s="6" t="str">
        <x:v>Unsupported Relationship Review</x:v>
      </x:c>
      <x:c r="C5" s="6" t="str">
        <x:v>UNS000004</x:v>
      </x:c>
      <x:c r="D5" s="6" t="str">
        <x:v>SVC000004</x:v>
      </x:c>
      <x:c r="E5" s="6" t="str"/>
      <x:c r="F5" s="6" t="str">
        <x:v>Unsupported Relationship</x:v>
      </x:c>
      <x:c r="G5" s="7" t="str">
        <x:v>Device family alone is insufficient for governed relationship.</x:v>
      </x:c>
      <x:c r="H5" s="7" t="str">
        <x:v>Explicit governed evidence supporting relationship</x:v>
      </x:c>
      <x:c r="I5" s="6" t="str"/>
      <x:c r="J5" s="6" t="str"/>
      <x:c r="K5" s="6" t="str"/>
      <x:c r="L5" s="6" t="str">
        <x:v>Open</x:v>
      </x:c>
      <x:c r="M5" s="7" t="str"/>
    </x:row>
    <x:row r="6">
      <x:c r="A6" s="6" t="str">
        <x:v>ESC-000005</x:v>
      </x:c>
      <x:c r="B6" s="6" t="str">
        <x:v>Unsupported Relationship Review</x:v>
      </x:c>
      <x:c r="C6" s="6" t="str">
        <x:v>UNS000005</x:v>
      </x:c>
      <x:c r="D6" s="6" t="str">
        <x:v>SVC000005</x:v>
      </x:c>
      <x:c r="E6" s="6" t="str"/>
      <x:c r="F6" s="6" t="str">
        <x:v>Unsupported Relationship</x:v>
      </x:c>
      <x:c r="G6" s="7" t="str">
        <x:v>Device family alone is insufficient for governed relationship.</x:v>
      </x:c>
      <x:c r="H6" s="7" t="str">
        <x:v>Explicit governed evidence supporting relationship</x:v>
      </x:c>
      <x:c r="I6" s="6" t="str"/>
      <x:c r="J6" s="6" t="str"/>
      <x:c r="K6" s="6" t="str"/>
      <x:c r="L6" s="6" t="str">
        <x:v>Open</x:v>
      </x:c>
      <x:c r="M6" s="7" t="str"/>
    </x:row>
    <x:row r="7">
      <x:c r="A7" s="6" t="str">
        <x:v>ESC-000006</x:v>
      </x:c>
      <x:c r="B7" s="6" t="str">
        <x:v>Unsupported Relationship Review</x:v>
      </x:c>
      <x:c r="C7" s="6" t="str">
        <x:v>UNS000006</x:v>
      </x:c>
      <x:c r="D7" s="6" t="str">
        <x:v>SVC000006</x:v>
      </x:c>
      <x:c r="E7" s="6" t="str"/>
      <x:c r="F7" s="6" t="str">
        <x:v>Unsupported Relationship</x:v>
      </x:c>
      <x:c r="G7" s="7" t="str">
        <x:v>Device family alone is insufficient for governed relationship.</x:v>
      </x:c>
      <x:c r="H7" s="7" t="str">
        <x:v>Explicit governed evidence supporting relationship</x:v>
      </x:c>
      <x:c r="I7" s="6" t="str"/>
      <x:c r="J7" s="6" t="str"/>
      <x:c r="K7" s="6" t="str"/>
      <x:c r="L7" s="6" t="str">
        <x:v>Open</x:v>
      </x:c>
      <x:c r="M7" s="7" t="str"/>
    </x:row>
    <x:row r="8">
      <x:c r="A8" s="6" t="str">
        <x:v>ESC-000007</x:v>
      </x:c>
      <x:c r="B8" s="6" t="str">
        <x:v>Unsupported Relationship Review</x:v>
      </x:c>
      <x:c r="C8" s="6" t="str">
        <x:v>UNS000007</x:v>
      </x:c>
      <x:c r="D8" s="6" t="str">
        <x:v>SVC000007</x:v>
      </x:c>
      <x:c r="E8" s="6" t="str"/>
      <x:c r="F8" s="6" t="str">
        <x:v>Unsupported Relationship</x:v>
      </x:c>
      <x:c r="G8" s="7" t="str">
        <x:v>Device family alone is insufficient for governed relationship.</x:v>
      </x:c>
      <x:c r="H8" s="7" t="str">
        <x:v>Explicit governed evidence supporting relationship</x:v>
      </x:c>
      <x:c r="I8" s="6" t="str"/>
      <x:c r="J8" s="6" t="str"/>
      <x:c r="K8" s="6" t="str"/>
      <x:c r="L8" s="6" t="str">
        <x:v>Open</x:v>
      </x:c>
      <x:c r="M8" s="7" t="str"/>
    </x:row>
    <x:row r="9">
      <x:c r="A9" s="6" t="str">
        <x:v>ESC-000008</x:v>
      </x:c>
      <x:c r="B9" s="6" t="str">
        <x:v>Unsupported Relationship Review</x:v>
      </x:c>
      <x:c r="C9" s="6" t="str">
        <x:v>UNS000008</x:v>
      </x:c>
      <x:c r="D9" s="6" t="str">
        <x:v>SVC000008</x:v>
      </x:c>
      <x:c r="E9" s="6" t="str"/>
      <x:c r="F9" s="6" t="str">
        <x:v>Unsupported Relationship</x:v>
      </x:c>
      <x:c r="G9" s="7" t="str">
        <x:v>Device family alone is insufficient for governed relationship.</x:v>
      </x:c>
      <x:c r="H9" s="7" t="str">
        <x:v>Explicit governed evidence supporting relationship</x:v>
      </x:c>
      <x:c r="I9" s="6" t="str"/>
      <x:c r="J9" s="6" t="str"/>
      <x:c r="K9" s="6" t="str"/>
      <x:c r="L9" s="6" t="str">
        <x:v>Open</x:v>
      </x:c>
      <x:c r="M9" s="7" t="str"/>
    </x:row>
    <x:row r="10">
      <x:c r="A10" s="6" t="str">
        <x:v>ESC-000009</x:v>
      </x:c>
      <x:c r="B10" s="6" t="str">
        <x:v>Unsupported Relationship Review</x:v>
      </x:c>
      <x:c r="C10" s="6" t="str">
        <x:v>UNS000009</x:v>
      </x:c>
      <x:c r="D10" s="6" t="str">
        <x:v>SVC000009</x:v>
      </x:c>
      <x:c r="E10" s="6" t="str"/>
      <x:c r="F10" s="6" t="str">
        <x:v>Unsupported Relationship</x:v>
      </x:c>
      <x:c r="G10" s="7" t="str">
        <x:v>Device family alone is insufficient for governed relationship.</x:v>
      </x:c>
      <x:c r="H10" s="7" t="str">
        <x:v>Explicit governed evidence supporting relationship</x:v>
      </x:c>
      <x:c r="I10" s="6" t="str"/>
      <x:c r="J10" s="6" t="str"/>
      <x:c r="K10" s="6" t="str"/>
      <x:c r="L10" s="6" t="str">
        <x:v>Open</x:v>
      </x:c>
      <x:c r="M10" s="7" t="str"/>
    </x:row>
    <x:row r="11">
      <x:c r="A11" s="6" t="str">
        <x:v>ESC-000010</x:v>
      </x:c>
      <x:c r="B11" s="6" t="str">
        <x:v>Unsupported Relationship Review</x:v>
      </x:c>
      <x:c r="C11" s="6" t="str">
        <x:v>UNS000010</x:v>
      </x:c>
      <x:c r="D11" s="6" t="str">
        <x:v>SVC000010</x:v>
      </x:c>
      <x:c r="E11" s="6" t="str"/>
      <x:c r="F11" s="6" t="str">
        <x:v>Unsupported Relationship</x:v>
      </x:c>
      <x:c r="G11" s="7" t="str">
        <x:v>Device family alone is insufficient for governed relationship.</x:v>
      </x:c>
      <x:c r="H11" s="7" t="str">
        <x:v>Explicit governed evidence supporting relationship</x:v>
      </x:c>
      <x:c r="I11" s="6" t="str"/>
      <x:c r="J11" s="6" t="str"/>
      <x:c r="K11" s="6" t="str"/>
      <x:c r="L11" s="6" t="str">
        <x:v>Open</x:v>
      </x:c>
      <x:c r="M11" s="7" t="str"/>
    </x:row>
    <x:row r="12">
      <x:c r="A12" s="6" t="str">
        <x:v>ESC-000011</x:v>
      </x:c>
      <x:c r="B12" s="6" t="str">
        <x:v>Unsupported Relationship Review</x:v>
      </x:c>
      <x:c r="C12" s="6" t="str">
        <x:v>UNS000011</x:v>
      </x:c>
      <x:c r="D12" s="6" t="str">
        <x:v>SVC000011</x:v>
      </x:c>
      <x:c r="E12" s="6" t="str"/>
      <x:c r="F12" s="6" t="str">
        <x:v>Unsupported Relationship</x:v>
      </x:c>
      <x:c r="G12" s="7" t="str">
        <x:v>Device family alone is insufficient for governed relationship.</x:v>
      </x:c>
      <x:c r="H12" s="7" t="str">
        <x:v>Explicit governed evidence supporting relationship</x:v>
      </x:c>
      <x:c r="I12" s="6" t="str"/>
      <x:c r="J12" s="6" t="str"/>
      <x:c r="K12" s="6" t="str"/>
      <x:c r="L12" s="6" t="str">
        <x:v>Open</x:v>
      </x:c>
      <x:c r="M12" s="7" t="str"/>
    </x:row>
    <x:row r="13">
      <x:c r="A13" s="6" t="str">
        <x:v>ESC-000012</x:v>
      </x:c>
      <x:c r="B13" s="6" t="str">
        <x:v>Unsupported Relationship Review</x:v>
      </x:c>
      <x:c r="C13" s="6" t="str">
        <x:v>UNS000012</x:v>
      </x:c>
      <x:c r="D13" s="6" t="str">
        <x:v>SVC000012</x:v>
      </x:c>
      <x:c r="E13" s="6" t="str"/>
      <x:c r="F13" s="6" t="str">
        <x:v>Unsupported Relationship</x:v>
      </x:c>
      <x:c r="G13" s="7" t="str">
        <x:v>Device family alone is insufficient for governed relationship.</x:v>
      </x:c>
      <x:c r="H13" s="7" t="str">
        <x:v>Explicit governed evidence supporting relationship</x:v>
      </x:c>
      <x:c r="I13" s="6" t="str"/>
      <x:c r="J13" s="6" t="str"/>
      <x:c r="K13" s="6" t="str"/>
      <x:c r="L13" s="6" t="str">
        <x:v>Open</x:v>
      </x:c>
      <x:c r="M13" s="7" t="str"/>
    </x:row>
    <x:row r="14">
      <x:c r="A14" s="6" t="str">
        <x:v>ESC-000013</x:v>
      </x:c>
      <x:c r="B14" s="6" t="str">
        <x:v>Unsupported Relationship Review</x:v>
      </x:c>
      <x:c r="C14" s="6" t="str">
        <x:v>UNS000013</x:v>
      </x:c>
      <x:c r="D14" s="6" t="str">
        <x:v>SVC000013</x:v>
      </x:c>
      <x:c r="E14" s="6" t="str"/>
      <x:c r="F14" s="6" t="str">
        <x:v>Unsupported Relationship</x:v>
      </x:c>
      <x:c r="G14" s="7" t="str">
        <x:v>Device family alone is insufficient for governed relationship.</x:v>
      </x:c>
      <x:c r="H14" s="7" t="str">
        <x:v>Explicit governed evidence supporting relationship</x:v>
      </x:c>
      <x:c r="I14" s="6" t="str"/>
      <x:c r="J14" s="6" t="str"/>
      <x:c r="K14" s="6" t="str"/>
      <x:c r="L14" s="6" t="str">
        <x:v>Open</x:v>
      </x:c>
      <x:c r="M14" s="7" t="str"/>
    </x:row>
    <x:row r="15">
      <x:c r="A15" s="6" t="str">
        <x:v>ESC-000014</x:v>
      </x:c>
      <x:c r="B15" s="6" t="str">
        <x:v>Unsupported Relationship Review</x:v>
      </x:c>
      <x:c r="C15" s="6" t="str">
        <x:v>UNS000014</x:v>
      </x:c>
      <x:c r="D15" s="6" t="str">
        <x:v>SVC000014</x:v>
      </x:c>
      <x:c r="E15" s="6" t="str"/>
      <x:c r="F15" s="6" t="str">
        <x:v>Unsupported Relationship</x:v>
      </x:c>
      <x:c r="G15" s="7" t="str">
        <x:v>Device family alone is insufficient for governed relationship.</x:v>
      </x:c>
      <x:c r="H15" s="7" t="str">
        <x:v>Explicit governed evidence supporting relationship</x:v>
      </x:c>
      <x:c r="I15" s="6" t="str"/>
      <x:c r="J15" s="6" t="str"/>
      <x:c r="K15" s="6" t="str"/>
      <x:c r="L15" s="6" t="str">
        <x:v>Open</x:v>
      </x:c>
      <x:c r="M15" s="7" t="str"/>
    </x:row>
    <x:row r="16">
      <x:c r="A16" s="6" t="str">
        <x:v>ESC-000015</x:v>
      </x:c>
      <x:c r="B16" s="6" t="str">
        <x:v>Unsupported Relationship Review</x:v>
      </x:c>
      <x:c r="C16" s="6" t="str">
        <x:v>UNS000015</x:v>
      </x:c>
      <x:c r="D16" s="6" t="str">
        <x:v>SVC000015</x:v>
      </x:c>
      <x:c r="E16" s="6" t="str"/>
      <x:c r="F16" s="6" t="str">
        <x:v>Unsupported Relationship</x:v>
      </x:c>
      <x:c r="G16" s="7" t="str">
        <x:v>Device family alone is insufficient for governed relationship.</x:v>
      </x:c>
      <x:c r="H16" s="7" t="str">
        <x:v>Explicit governed evidence supporting relationship</x:v>
      </x:c>
      <x:c r="I16" s="6" t="str"/>
      <x:c r="J16" s="6" t="str"/>
      <x:c r="K16" s="6" t="str"/>
      <x:c r="L16" s="6" t="str">
        <x:v>Open</x:v>
      </x:c>
      <x:c r="M16" s="7" t="str"/>
    </x:row>
    <x:row r="17">
      <x:c r="A17" s="6" t="str">
        <x:v>ESC-000016</x:v>
      </x:c>
      <x:c r="B17" s="6" t="str">
        <x:v>Unsupported Relationship Review</x:v>
      </x:c>
      <x:c r="C17" s="6" t="str">
        <x:v>UNS000016</x:v>
      </x:c>
      <x:c r="D17" s="6" t="str">
        <x:v>SVC000016</x:v>
      </x:c>
      <x:c r="E17" s="6" t="str"/>
      <x:c r="F17" s="6" t="str">
        <x:v>Unsupported Relationship</x:v>
      </x:c>
      <x:c r="G17" s="7" t="str">
        <x:v>Device family alone is insufficient for governed relationship.</x:v>
      </x:c>
      <x:c r="H17" s="7" t="str">
        <x:v>Explicit governed evidence supporting relationship</x:v>
      </x:c>
      <x:c r="I17" s="6" t="str"/>
      <x:c r="J17" s="6" t="str"/>
      <x:c r="K17" s="6" t="str"/>
      <x:c r="L17" s="6" t="str">
        <x:v>Open</x:v>
      </x:c>
      <x:c r="M17" s="7" t="str"/>
    </x:row>
    <x:row r="18">
      <x:c r="A18" s="6" t="str">
        <x:v>ESC-000017</x:v>
      </x:c>
      <x:c r="B18" s="6" t="str">
        <x:v>Unsupported Relationship Review</x:v>
      </x:c>
      <x:c r="C18" s="6" t="str">
        <x:v>UNS000017</x:v>
      </x:c>
      <x:c r="D18" s="6" t="str">
        <x:v>SVC000017</x:v>
      </x:c>
      <x:c r="E18" s="6" t="str"/>
      <x:c r="F18" s="6" t="str">
        <x:v>Unsupported Relationship</x:v>
      </x:c>
      <x:c r="G18" s="7" t="str">
        <x:v>Device family alone is insufficient for governed relationship.</x:v>
      </x:c>
      <x:c r="H18" s="7" t="str">
        <x:v>Explicit governed evidence supporting relationship</x:v>
      </x:c>
      <x:c r="I18" s="6" t="str"/>
      <x:c r="J18" s="6" t="str"/>
      <x:c r="K18" s="6" t="str"/>
      <x:c r="L18" s="6" t="str">
        <x:v>Open</x:v>
      </x:c>
      <x:c r="M18" s="7" t="str"/>
    </x:row>
    <x:row r="19">
      <x:c r="A19" s="6" t="str">
        <x:v>ESC-000018</x:v>
      </x:c>
      <x:c r="B19" s="6" t="str">
        <x:v>Unsupported Relationship Review</x:v>
      </x:c>
      <x:c r="C19" s="6" t="str">
        <x:v>UNS000018</x:v>
      </x:c>
      <x:c r="D19" s="6" t="str">
        <x:v>SVC000018</x:v>
      </x:c>
      <x:c r="E19" s="6" t="str"/>
      <x:c r="F19" s="6" t="str">
        <x:v>Unsupported Relationship</x:v>
      </x:c>
      <x:c r="G19" s="7" t="str">
        <x:v>Device family alone is insufficient for governed relationship.</x:v>
      </x:c>
      <x:c r="H19" s="7" t="str">
        <x:v>Explicit governed evidence supporting relationship</x:v>
      </x:c>
      <x:c r="I19" s="6" t="str"/>
      <x:c r="J19" s="6" t="str"/>
      <x:c r="K19" s="6" t="str"/>
      <x:c r="L19" s="6" t="str">
        <x:v>Open</x:v>
      </x:c>
      <x:c r="M19" s="7" t="str"/>
    </x:row>
    <x:row r="20">
      <x:c r="A20" s="6" t="str">
        <x:v>ESC-000019</x:v>
      </x:c>
      <x:c r="B20" s="6" t="str">
        <x:v>Unsupported Relationship Review</x:v>
      </x:c>
      <x:c r="C20" s="6" t="str">
        <x:v>UNS000019</x:v>
      </x:c>
      <x:c r="D20" s="6" t="str">
        <x:v>SVC000019</x:v>
      </x:c>
      <x:c r="E20" s="6" t="str"/>
      <x:c r="F20" s="6" t="str">
        <x:v>Unsupported Relationship</x:v>
      </x:c>
      <x:c r="G20" s="7" t="str">
        <x:v>Device family alone is insufficient for governed relationship.</x:v>
      </x:c>
      <x:c r="H20" s="7" t="str">
        <x:v>Explicit governed evidence supporting relationship</x:v>
      </x:c>
      <x:c r="I20" s="6" t="str"/>
      <x:c r="J20" s="6" t="str"/>
      <x:c r="K20" s="6" t="str"/>
      <x:c r="L20" s="6" t="str">
        <x:v>Open</x:v>
      </x:c>
      <x:c r="M20" s="7" t="str"/>
    </x:row>
    <x:row r="21">
      <x:c r="A21" s="6" t="str">
        <x:v>ESC-000020</x:v>
      </x:c>
      <x:c r="B21" s="6" t="str">
        <x:v>Unsupported Relationship Review</x:v>
      </x:c>
      <x:c r="C21" s="6" t="str">
        <x:v>UNS000020</x:v>
      </x:c>
      <x:c r="D21" s="6" t="str">
        <x:v>SVC000020</x:v>
      </x:c>
      <x:c r="E21" s="6" t="str"/>
      <x:c r="F21" s="6" t="str">
        <x:v>Unsupported Relationship</x:v>
      </x:c>
      <x:c r="G21" s="7" t="str">
        <x:v>Device family alone is insufficient for governed relationship.</x:v>
      </x:c>
      <x:c r="H21" s="7" t="str">
        <x:v>Explicit governed evidence supporting relationship</x:v>
      </x:c>
      <x:c r="I21" s="6" t="str"/>
      <x:c r="J21" s="6" t="str"/>
      <x:c r="K21" s="6" t="str"/>
      <x:c r="L21" s="6" t="str">
        <x:v>Open</x:v>
      </x:c>
      <x:c r="M21" s="7" t="str"/>
    </x:row>
    <x:row r="22">
      <x:c r="A22" s="6" t="str">
        <x:v>ESC-000021</x:v>
      </x:c>
      <x:c r="B22" s="6" t="str">
        <x:v>Unsupported Relationship Review</x:v>
      </x:c>
      <x:c r="C22" s="6" t="str">
        <x:v>UNS000021</x:v>
      </x:c>
      <x:c r="D22" s="6" t="str">
        <x:v>SVC000021</x:v>
      </x:c>
      <x:c r="E22" s="6" t="str"/>
      <x:c r="F22" s="6" t="str">
        <x:v>Unsupported Relationship</x:v>
      </x:c>
      <x:c r="G22" s="7" t="str">
        <x:v>Device family alone is insufficient for governed relationship.</x:v>
      </x:c>
      <x:c r="H22" s="7" t="str">
        <x:v>Explicit governed evidence supporting relationship</x:v>
      </x:c>
      <x:c r="I22" s="6" t="str"/>
      <x:c r="J22" s="6" t="str"/>
      <x:c r="K22" s="6" t="str"/>
      <x:c r="L22" s="6" t="str">
        <x:v>Open</x:v>
      </x:c>
      <x:c r="M22" s="7" t="str"/>
    </x:row>
    <x:row r="23">
      <x:c r="A23" s="6" t="str">
        <x:v>ESC-000022</x:v>
      </x:c>
      <x:c r="B23" s="6" t="str">
        <x:v>Unsupported Relationship Review</x:v>
      </x:c>
      <x:c r="C23" s="6" t="str">
        <x:v>UNS000022</x:v>
      </x:c>
      <x:c r="D23" s="6" t="str">
        <x:v>SVC000022</x:v>
      </x:c>
      <x:c r="E23" s="6" t="str"/>
      <x:c r="F23" s="6" t="str">
        <x:v>Unsupported Relationship</x:v>
      </x:c>
      <x:c r="G23" s="7" t="str">
        <x:v>Device family alone is insufficient for governed relationship.</x:v>
      </x:c>
      <x:c r="H23" s="7" t="str">
        <x:v>Explicit governed evidence supporting relationship</x:v>
      </x:c>
      <x:c r="I23" s="6" t="str"/>
      <x:c r="J23" s="6" t="str"/>
      <x:c r="K23" s="6" t="str"/>
      <x:c r="L23" s="6" t="str">
        <x:v>Open</x:v>
      </x:c>
      <x:c r="M23" s="7" t="str"/>
    </x:row>
    <x:row r="24">
      <x:c r="A24" s="6" t="str">
        <x:v>ESC-000023</x:v>
      </x:c>
      <x:c r="B24" s="6" t="str">
        <x:v>Unsupported Relationship Review</x:v>
      </x:c>
      <x:c r="C24" s="6" t="str">
        <x:v>UNS000023</x:v>
      </x:c>
      <x:c r="D24" s="6" t="str">
        <x:v>SVC000023</x:v>
      </x:c>
      <x:c r="E24" s="6" t="str"/>
      <x:c r="F24" s="6" t="str">
        <x:v>Unsupported Relationship</x:v>
      </x:c>
      <x:c r="G24" s="7" t="str">
        <x:v>Device family alone is insufficient for governed relationship.</x:v>
      </x:c>
      <x:c r="H24" s="7" t="str">
        <x:v>Explicit governed evidence supporting relationship</x:v>
      </x:c>
      <x:c r="I24" s="6" t="str"/>
      <x:c r="J24" s="6" t="str"/>
      <x:c r="K24" s="6" t="str"/>
      <x:c r="L24" s="6" t="str">
        <x:v>Open</x:v>
      </x:c>
      <x:c r="M24" s="7" t="str"/>
    </x:row>
    <x:row r="25">
      <x:c r="A25" s="6" t="str">
        <x:v>ESC-000024</x:v>
      </x:c>
      <x:c r="B25" s="6" t="str">
        <x:v>Unsupported Relationship Review</x:v>
      </x:c>
      <x:c r="C25" s="6" t="str">
        <x:v>UNS000024</x:v>
      </x:c>
      <x:c r="D25" s="6" t="str">
        <x:v>SVC000024</x:v>
      </x:c>
      <x:c r="E25" s="6" t="str"/>
      <x:c r="F25" s="6" t="str">
        <x:v>Unsupported Relationship</x:v>
      </x:c>
      <x:c r="G25" s="7" t="str">
        <x:v>Device family alone is insufficient for governed relationship.</x:v>
      </x:c>
      <x:c r="H25" s="7" t="str">
        <x:v>Explicit governed evidence supporting relationship</x:v>
      </x:c>
      <x:c r="I25" s="6" t="str"/>
      <x:c r="J25" s="6" t="str"/>
      <x:c r="K25" s="6" t="str"/>
      <x:c r="L25" s="6" t="str">
        <x:v>Open</x:v>
      </x:c>
      <x:c r="M25" s="7" t="str"/>
    </x:row>
    <x:row r="26">
      <x:c r="A26" s="6" t="str">
        <x:v>ESC-000025</x:v>
      </x:c>
      <x:c r="B26" s="6" t="str">
        <x:v>Unsupported Relationship Review</x:v>
      </x:c>
      <x:c r="C26" s="6" t="str">
        <x:v>UNS000025</x:v>
      </x:c>
      <x:c r="D26" s="6" t="str">
        <x:v>SVC000025</x:v>
      </x:c>
      <x:c r="E26" s="6" t="str"/>
      <x:c r="F26" s="6" t="str">
        <x:v>Unsupported Relationship</x:v>
      </x:c>
      <x:c r="G26" s="7" t="str">
        <x:v>Device family alone is insufficient for governed relationship.</x:v>
      </x:c>
      <x:c r="H26" s="7" t="str">
        <x:v>Explicit governed evidence supporting relationship</x:v>
      </x:c>
      <x:c r="I26" s="6" t="str"/>
      <x:c r="J26" s="6" t="str"/>
      <x:c r="K26" s="6" t="str"/>
      <x:c r="L26" s="6" t="str">
        <x:v>Open</x:v>
      </x:c>
      <x:c r="M26" s="7" t="str"/>
    </x:row>
    <x:row r="27">
      <x:c r="A27" s="6" t="str">
        <x:v>ESC-000026</x:v>
      </x:c>
      <x:c r="B27" s="6" t="str">
        <x:v>Unsupported Relationship Review</x:v>
      </x:c>
      <x:c r="C27" s="6" t="str">
        <x:v>UNS000026</x:v>
      </x:c>
      <x:c r="D27" s="6" t="str">
        <x:v>SVC000026</x:v>
      </x:c>
      <x:c r="E27" s="6" t="str"/>
      <x:c r="F27" s="6" t="str">
        <x:v>Unsupported Relationship</x:v>
      </x:c>
      <x:c r="G27" s="7" t="str">
        <x:v>Device family alone is insufficient for governed relationship.</x:v>
      </x:c>
      <x:c r="H27" s="7" t="str">
        <x:v>Explicit governed evidence supporting relationship</x:v>
      </x:c>
      <x:c r="I27" s="6" t="str"/>
      <x:c r="J27" s="6" t="str"/>
      <x:c r="K27" s="6" t="str"/>
      <x:c r="L27" s="6" t="str">
        <x:v>Open</x:v>
      </x:c>
      <x:c r="M27" s="7" t="str"/>
    </x:row>
    <x:row r="28">
      <x:c r="A28" s="6" t="str">
        <x:v>ESC-000027</x:v>
      </x:c>
      <x:c r="B28" s="6" t="str">
        <x:v>Unsupported Relationship Review</x:v>
      </x:c>
      <x:c r="C28" s="6" t="str">
        <x:v>UNS000027</x:v>
      </x:c>
      <x:c r="D28" s="6" t="str">
        <x:v>SVC000027</x:v>
      </x:c>
      <x:c r="E28" s="6" t="str"/>
      <x:c r="F28" s="6" t="str">
        <x:v>Unsupported Relationship</x:v>
      </x:c>
      <x:c r="G28" s="7" t="str">
        <x:v>Device family alone is insufficient for governed relationship.</x:v>
      </x:c>
      <x:c r="H28" s="7" t="str">
        <x:v>Explicit governed evidence supporting relationship</x:v>
      </x:c>
      <x:c r="I28" s="6" t="str"/>
      <x:c r="J28" s="6" t="str"/>
      <x:c r="K28" s="6" t="str"/>
      <x:c r="L28" s="6" t="str">
        <x:v>Open</x:v>
      </x:c>
      <x:c r="M28" s="7" t="str"/>
    </x:row>
    <x:row r="29">
      <x:c r="A29" s="6" t="str">
        <x:v>ESC-000028</x:v>
      </x:c>
      <x:c r="B29" s="6" t="str">
        <x:v>Unsupported Relationship Review</x:v>
      </x:c>
      <x:c r="C29" s="6" t="str">
        <x:v>UNS000028</x:v>
      </x:c>
      <x:c r="D29" s="6" t="str">
        <x:v>SVC000028</x:v>
      </x:c>
      <x:c r="E29" s="6" t="str"/>
      <x:c r="F29" s="6" t="str">
        <x:v>Unsupported Relationship</x:v>
      </x:c>
      <x:c r="G29" s="7" t="str">
        <x:v>Device family alone is insufficient for governed relationship.</x:v>
      </x:c>
      <x:c r="H29" s="7" t="str">
        <x:v>Explicit governed evidence supporting relationship</x:v>
      </x:c>
      <x:c r="I29" s="6" t="str"/>
      <x:c r="J29" s="6" t="str"/>
      <x:c r="K29" s="6" t="str"/>
      <x:c r="L29" s="6" t="str">
        <x:v>Open</x:v>
      </x:c>
      <x:c r="M29" s="7" t="str"/>
    </x:row>
    <x:row r="30">
      <x:c r="A30" s="6" t="str">
        <x:v>ESC-000029</x:v>
      </x:c>
      <x:c r="B30" s="6" t="str">
        <x:v>Unsupported Relationship Review</x:v>
      </x:c>
      <x:c r="C30" s="6" t="str">
        <x:v>UNS000029</x:v>
      </x:c>
      <x:c r="D30" s="6" t="str">
        <x:v>SVC000029</x:v>
      </x:c>
      <x:c r="E30" s="6" t="str"/>
      <x:c r="F30" s="6" t="str">
        <x:v>Unsupported Relationship</x:v>
      </x:c>
      <x:c r="G30" s="7" t="str">
        <x:v>Device family alone is insufficient for governed relationship.</x:v>
      </x:c>
      <x:c r="H30" s="7" t="str">
        <x:v>Explicit governed evidence supporting relationship</x:v>
      </x:c>
      <x:c r="I30" s="6" t="str"/>
      <x:c r="J30" s="6" t="str"/>
      <x:c r="K30" s="6" t="str"/>
      <x:c r="L30" s="6" t="str">
        <x:v>Open</x:v>
      </x:c>
      <x:c r="M30" s="7" t="str"/>
    </x:row>
    <x:row r="31">
      <x:c r="A31" s="6" t="str">
        <x:v>ESC-000030</x:v>
      </x:c>
      <x:c r="B31" s="6" t="str">
        <x:v>Unsupported Relationship Review</x:v>
      </x:c>
      <x:c r="C31" s="6" t="str">
        <x:v>UNS000030</x:v>
      </x:c>
      <x:c r="D31" s="6" t="str">
        <x:v>SVC000030</x:v>
      </x:c>
      <x:c r="E31" s="6" t="str"/>
      <x:c r="F31" s="6" t="str">
        <x:v>Unsupported Relationship</x:v>
      </x:c>
      <x:c r="G31" s="7" t="str">
        <x:v>Device family alone is insufficient for governed relationship.</x:v>
      </x:c>
      <x:c r="H31" s="7" t="str">
        <x:v>Explicit governed evidence supporting relationship</x:v>
      </x:c>
      <x:c r="I31" s="6" t="str"/>
      <x:c r="J31" s="6" t="str"/>
      <x:c r="K31" s="6" t="str"/>
      <x:c r="L31" s="6" t="str">
        <x:v>Open</x:v>
      </x:c>
      <x:c r="M31" s="7" t="str"/>
    </x:row>
    <x:row r="32">
      <x:c r="A32" s="6" t="str">
        <x:v>ESC-000031</x:v>
      </x:c>
      <x:c r="B32" s="6" t="str">
        <x:v>Unsupported Relationship Review</x:v>
      </x:c>
      <x:c r="C32" s="6" t="str">
        <x:v>UNS000031</x:v>
      </x:c>
      <x:c r="D32" s="6" t="str">
        <x:v>SVC000031</x:v>
      </x:c>
      <x:c r="E32" s="6" t="str"/>
      <x:c r="F32" s="6" t="str">
        <x:v>Unsupported Relationship</x:v>
      </x:c>
      <x:c r="G32" s="7" t="str">
        <x:v>Device family alone is insufficient for governed relationship.</x:v>
      </x:c>
      <x:c r="H32" s="7" t="str">
        <x:v>Explicit governed evidence supporting relationship</x:v>
      </x:c>
      <x:c r="I32" s="6" t="str"/>
      <x:c r="J32" s="6" t="str"/>
      <x:c r="K32" s="6" t="str"/>
      <x:c r="L32" s="6" t="str">
        <x:v>Open</x:v>
      </x:c>
      <x:c r="M32" s="7" t="str"/>
    </x:row>
    <x:row r="33">
      <x:c r="A33" s="6" t="str">
        <x:v>ESC-000032</x:v>
      </x:c>
      <x:c r="B33" s="6" t="str">
        <x:v>Unsupported Relationship Review</x:v>
      </x:c>
      <x:c r="C33" s="6" t="str">
        <x:v>UNS000032</x:v>
      </x:c>
      <x:c r="D33" s="6" t="str">
        <x:v>SVC000032</x:v>
      </x:c>
      <x:c r="E33" s="6" t="str"/>
      <x:c r="F33" s="6" t="str">
        <x:v>Unsupported Relationship</x:v>
      </x:c>
      <x:c r="G33" s="7" t="str">
        <x:v>Device family alone is insufficient for governed relationship.</x:v>
      </x:c>
      <x:c r="H33" s="7" t="str">
        <x:v>Explicit governed evidence supporting relationship</x:v>
      </x:c>
      <x:c r="I33" s="6" t="str"/>
      <x:c r="J33" s="6" t="str"/>
      <x:c r="K33" s="6" t="str"/>
      <x:c r="L33" s="6" t="str">
        <x:v>Open</x:v>
      </x:c>
      <x:c r="M33" s="7" t="str"/>
    </x:row>
    <x:row r="34">
      <x:c r="A34" s="6" t="str">
        <x:v>ESC-000033</x:v>
      </x:c>
      <x:c r="B34" s="6" t="str">
        <x:v>Unsupported Relationship Review</x:v>
      </x:c>
      <x:c r="C34" s="6" t="str">
        <x:v>UNS000033</x:v>
      </x:c>
      <x:c r="D34" s="6" t="str">
        <x:v>SVC000033</x:v>
      </x:c>
      <x:c r="E34" s="6" t="str"/>
      <x:c r="F34" s="6" t="str">
        <x:v>Unsupported Relationship</x:v>
      </x:c>
      <x:c r="G34" s="7" t="str">
        <x:v>Device family alone is insufficient for governed relationship.</x:v>
      </x:c>
      <x:c r="H34" s="7" t="str">
        <x:v>Explicit governed evidence supporting relationship</x:v>
      </x:c>
      <x:c r="I34" s="6" t="str"/>
      <x:c r="J34" s="6" t="str"/>
      <x:c r="K34" s="6" t="str"/>
      <x:c r="L34" s="6" t="str">
        <x:v>Open</x:v>
      </x:c>
      <x:c r="M34" s="7" t="str"/>
    </x:row>
    <x:row r="35">
      <x:c r="A35" s="6" t="str">
        <x:v>ESC-000034</x:v>
      </x:c>
      <x:c r="B35" s="6" t="str">
        <x:v>Unsupported Relationship Review</x:v>
      </x:c>
      <x:c r="C35" s="6" t="str">
        <x:v>UNS000034</x:v>
      </x:c>
      <x:c r="D35" s="6" t="str">
        <x:v>SVC000034</x:v>
      </x:c>
      <x:c r="E35" s="6" t="str"/>
      <x:c r="F35" s="6" t="str">
        <x:v>Unsupported Relationship</x:v>
      </x:c>
      <x:c r="G35" s="7" t="str">
        <x:v>Device family alone is insufficient for governed relationship.</x:v>
      </x:c>
      <x:c r="H35" s="7" t="str">
        <x:v>Explicit governed evidence supporting relationship</x:v>
      </x:c>
      <x:c r="I35" s="6" t="str"/>
      <x:c r="J35" s="6" t="str"/>
      <x:c r="K35" s="6" t="str"/>
      <x:c r="L35" s="6" t="str">
        <x:v>Open</x:v>
      </x:c>
      <x:c r="M35" s="7" t="str"/>
    </x:row>
    <x:row r="36">
      <x:c r="A36" s="6" t="str">
        <x:v>ESC-000035</x:v>
      </x:c>
      <x:c r="B36" s="6" t="str">
        <x:v>Unsupported Relationship Review</x:v>
      </x:c>
      <x:c r="C36" s="6" t="str">
        <x:v>UNS000035</x:v>
      </x:c>
      <x:c r="D36" s="6" t="str">
        <x:v>SVC000035</x:v>
      </x:c>
      <x:c r="E36" s="6" t="str"/>
      <x:c r="F36" s="6" t="str">
        <x:v>Unsupported Relationship</x:v>
      </x:c>
      <x:c r="G36" s="7" t="str">
        <x:v>Device family alone is insufficient for governed relationship.</x:v>
      </x:c>
      <x:c r="H36" s="7" t="str">
        <x:v>Explicit governed evidence supporting relationship</x:v>
      </x:c>
      <x:c r="I36" s="6" t="str"/>
      <x:c r="J36" s="6" t="str"/>
      <x:c r="K36" s="6" t="str"/>
      <x:c r="L36" s="6" t="str">
        <x:v>Open</x:v>
      </x:c>
      <x:c r="M36" s="7" t="str"/>
    </x:row>
    <x:row r="37">
      <x:c r="A37" s="6" t="str">
        <x:v>ESC-000036</x:v>
      </x:c>
      <x:c r="B37" s="6" t="str">
        <x:v>Unsupported Relationship Review</x:v>
      </x:c>
      <x:c r="C37" s="6" t="str">
        <x:v>UNS000036</x:v>
      </x:c>
      <x:c r="D37" s="6" t="str">
        <x:v>SVC000036</x:v>
      </x:c>
      <x:c r="E37" s="6" t="str"/>
      <x:c r="F37" s="6" t="str">
        <x:v>Unsupported Relationship</x:v>
      </x:c>
      <x:c r="G37" s="7" t="str">
        <x:v>Device family alone is insufficient for governed relationship.</x:v>
      </x:c>
      <x:c r="H37" s="7" t="str">
        <x:v>Explicit governed evidence supporting relationship</x:v>
      </x:c>
      <x:c r="I37" s="6" t="str"/>
      <x:c r="J37" s="6" t="str"/>
      <x:c r="K37" s="6" t="str"/>
      <x:c r="L37" s="6" t="str">
        <x:v>Open</x:v>
      </x:c>
      <x:c r="M37" s="7" t="str"/>
    </x:row>
    <x:row r="38">
      <x:c r="A38" s="6" t="str">
        <x:v>ESC-000037</x:v>
      </x:c>
      <x:c r="B38" s="6" t="str">
        <x:v>Unsupported Relationship Review</x:v>
      </x:c>
      <x:c r="C38" s="6" t="str">
        <x:v>UNS000037</x:v>
      </x:c>
      <x:c r="D38" s="6" t="str">
        <x:v>SVC000037</x:v>
      </x:c>
      <x:c r="E38" s="6" t="str"/>
      <x:c r="F38" s="6" t="str">
        <x:v>Unsupported Relationship</x:v>
      </x:c>
      <x:c r="G38" s="7" t="str">
        <x:v>Device family alone is insufficient for governed relationship.</x:v>
      </x:c>
      <x:c r="H38" s="7" t="str">
        <x:v>Explicit governed evidence supporting relationship</x:v>
      </x:c>
      <x:c r="I38" s="6" t="str"/>
      <x:c r="J38" s="6" t="str"/>
      <x:c r="K38" s="6" t="str"/>
      <x:c r="L38" s="6" t="str">
        <x:v>Open</x:v>
      </x:c>
      <x:c r="M38" s="7" t="str"/>
    </x:row>
    <x:row r="39">
      <x:c r="A39" s="6" t="str">
        <x:v>ESC-000038</x:v>
      </x:c>
      <x:c r="B39" s="6" t="str">
        <x:v>Unsupported Relationship Review</x:v>
      </x:c>
      <x:c r="C39" s="6" t="str">
        <x:v>UNS000038</x:v>
      </x:c>
      <x:c r="D39" s="6" t="str">
        <x:v>SVC000038</x:v>
      </x:c>
      <x:c r="E39" s="6" t="str"/>
      <x:c r="F39" s="6" t="str">
        <x:v>Unsupported Relationship</x:v>
      </x:c>
      <x:c r="G39" s="7" t="str">
        <x:v>Device family alone is insufficient for governed relationship.</x:v>
      </x:c>
      <x:c r="H39" s="7" t="str">
        <x:v>Explicit governed evidence supporting relationship</x:v>
      </x:c>
      <x:c r="I39" s="6" t="str"/>
      <x:c r="J39" s="6" t="str"/>
      <x:c r="K39" s="6" t="str"/>
      <x:c r="L39" s="6" t="str">
        <x:v>Open</x:v>
      </x:c>
      <x:c r="M39" s="7" t="str"/>
    </x:row>
    <x:row r="40">
      <x:c r="A40" s="6" t="str">
        <x:v>ESC-000039</x:v>
      </x:c>
      <x:c r="B40" s="6" t="str">
        <x:v>Unsupported Relationship Review</x:v>
      </x:c>
      <x:c r="C40" s="6" t="str">
        <x:v>UNS000039</x:v>
      </x:c>
      <x:c r="D40" s="6" t="str">
        <x:v>SVC000039</x:v>
      </x:c>
      <x:c r="E40" s="6" t="str"/>
      <x:c r="F40" s="6" t="str">
        <x:v>Unsupported Relationship</x:v>
      </x:c>
      <x:c r="G40" s="7" t="str">
        <x:v>Device family alone is insufficient for governed relationship.</x:v>
      </x:c>
      <x:c r="H40" s="7" t="str">
        <x:v>Explicit governed evidence supporting relationship</x:v>
      </x:c>
      <x:c r="I40" s="6" t="str"/>
      <x:c r="J40" s="6" t="str"/>
      <x:c r="K40" s="6" t="str"/>
      <x:c r="L40" s="6" t="str">
        <x:v>Open</x:v>
      </x:c>
      <x:c r="M40" s="7" t="str"/>
    </x:row>
    <x:row r="41">
      <x:c r="A41" s="6" t="str">
        <x:v>ESC-000040</x:v>
      </x:c>
      <x:c r="B41" s="6" t="str">
        <x:v>Unsupported Relationship Review</x:v>
      </x:c>
      <x:c r="C41" s="6" t="str">
        <x:v>UNS000040</x:v>
      </x:c>
      <x:c r="D41" s="6" t="str">
        <x:v>SVC000040</x:v>
      </x:c>
      <x:c r="E41" s="6" t="str"/>
      <x:c r="F41" s="6" t="str">
        <x:v>Unsupported Relationship</x:v>
      </x:c>
      <x:c r="G41" s="7" t="str">
        <x:v>Device family alone is insufficient for governed relationship.</x:v>
      </x:c>
      <x:c r="H41" s="7" t="str">
        <x:v>Explicit governed evidence supporting relationship</x:v>
      </x:c>
      <x:c r="I41" s="6" t="str"/>
      <x:c r="J41" s="6" t="str"/>
      <x:c r="K41" s="6" t="str"/>
      <x:c r="L41" s="6" t="str">
        <x:v>Open</x:v>
      </x:c>
      <x:c r="M41" s="7" t="str"/>
    </x:row>
    <x:row r="42">
      <x:c r="A42" s="6" t="str">
        <x:v>ESC-000041</x:v>
      </x:c>
      <x:c r="B42" s="6" t="str">
        <x:v>Unsupported Relationship Review</x:v>
      </x:c>
      <x:c r="C42" s="6" t="str">
        <x:v>UNS000041</x:v>
      </x:c>
      <x:c r="D42" s="6" t="str">
        <x:v>SVC000041</x:v>
      </x:c>
      <x:c r="E42" s="6" t="str"/>
      <x:c r="F42" s="6" t="str">
        <x:v>Unsupported Relationship</x:v>
      </x:c>
      <x:c r="G42" s="7" t="str">
        <x:v>Device family alone is insufficient for governed relationship.</x:v>
      </x:c>
      <x:c r="H42" s="7" t="str">
        <x:v>Explicit governed evidence supporting relationship</x:v>
      </x:c>
      <x:c r="I42" s="6" t="str"/>
      <x:c r="J42" s="6" t="str"/>
      <x:c r="K42" s="6" t="str"/>
      <x:c r="L42" s="6" t="str">
        <x:v>Open</x:v>
      </x:c>
      <x:c r="M42" s="7" t="str"/>
    </x:row>
    <x:row r="43">
      <x:c r="A43" s="6" t="str">
        <x:v>ESC-000042</x:v>
      </x:c>
      <x:c r="B43" s="6" t="str">
        <x:v>Unsupported Relationship Review</x:v>
      </x:c>
      <x:c r="C43" s="6" t="str">
        <x:v>UNS000042</x:v>
      </x:c>
      <x:c r="D43" s="6" t="str">
        <x:v>SVC000042</x:v>
      </x:c>
      <x:c r="E43" s="6" t="str"/>
      <x:c r="F43" s="6" t="str">
        <x:v>Unsupported Relationship</x:v>
      </x:c>
      <x:c r="G43" s="7" t="str">
        <x:v>Device family alone is insufficient for governed relationship.</x:v>
      </x:c>
      <x:c r="H43" s="7" t="str">
        <x:v>Explicit governed evidence supporting relationship</x:v>
      </x:c>
      <x:c r="I43" s="6" t="str"/>
      <x:c r="J43" s="6" t="str"/>
      <x:c r="K43" s="6" t="str"/>
      <x:c r="L43" s="6" t="str">
        <x:v>Open</x:v>
      </x:c>
      <x:c r="M43" s="7" t="str"/>
    </x:row>
    <x:row r="44">
      <x:c r="A44" s="6" t="str">
        <x:v>ESC-000043</x:v>
      </x:c>
      <x:c r="B44" s="6" t="str">
        <x:v>Unsupported Relationship Review</x:v>
      </x:c>
      <x:c r="C44" s="6" t="str">
        <x:v>UNS000043</x:v>
      </x:c>
      <x:c r="D44" s="6" t="str">
        <x:v>SVC000043</x:v>
      </x:c>
      <x:c r="E44" s="6" t="str"/>
      <x:c r="F44" s="6" t="str">
        <x:v>Unsupported Relationship</x:v>
      </x:c>
      <x:c r="G44" s="7" t="str">
        <x:v>Device family alone is insufficient for governed relationship.</x:v>
      </x:c>
      <x:c r="H44" s="7" t="str">
        <x:v>Explicit governed evidence supporting relationship</x:v>
      </x:c>
      <x:c r="I44" s="6" t="str"/>
      <x:c r="J44" s="6" t="str"/>
      <x:c r="K44" s="6" t="str"/>
      <x:c r="L44" s="6" t="str">
        <x:v>Open</x:v>
      </x:c>
      <x:c r="M44" s="7" t="str"/>
    </x:row>
    <x:row r="45">
      <x:c r="A45" s="6" t="str">
        <x:v>ESC-000044</x:v>
      </x:c>
      <x:c r="B45" s="6" t="str">
        <x:v>Unsupported Relationship Review</x:v>
      </x:c>
      <x:c r="C45" s="6" t="str">
        <x:v>UNS000044</x:v>
      </x:c>
      <x:c r="D45" s="6" t="str">
        <x:v>SVC000044</x:v>
      </x:c>
      <x:c r="E45" s="6" t="str"/>
      <x:c r="F45" s="6" t="str">
        <x:v>Unsupported Relationship</x:v>
      </x:c>
      <x:c r="G45" s="7" t="str">
        <x:v>Device family alone is insufficient for governed relationship.</x:v>
      </x:c>
      <x:c r="H45" s="7" t="str">
        <x:v>Explicit governed evidence supporting relationship</x:v>
      </x:c>
      <x:c r="I45" s="6" t="str"/>
      <x:c r="J45" s="6" t="str"/>
      <x:c r="K45" s="6" t="str"/>
      <x:c r="L45" s="6" t="str">
        <x:v>Open</x:v>
      </x:c>
      <x:c r="M45" s="7" t="str"/>
    </x:row>
    <x:row r="46">
      <x:c r="A46" s="6" t="str">
        <x:v>ESC-000045</x:v>
      </x:c>
      <x:c r="B46" s="6" t="str">
        <x:v>Unsupported Relationship Review</x:v>
      </x:c>
      <x:c r="C46" s="6" t="str">
        <x:v>UNS000045</x:v>
      </x:c>
      <x:c r="D46" s="6" t="str">
        <x:v>SVC000045</x:v>
      </x:c>
      <x:c r="E46" s="6" t="str"/>
      <x:c r="F46" s="6" t="str">
        <x:v>Unsupported Relationship</x:v>
      </x:c>
      <x:c r="G46" s="7" t="str">
        <x:v>Device family alone is insufficient for governed relationship.</x:v>
      </x:c>
      <x:c r="H46" s="7" t="str">
        <x:v>Explicit governed evidence supporting relationship</x:v>
      </x:c>
      <x:c r="I46" s="6" t="str"/>
      <x:c r="J46" s="6" t="str"/>
      <x:c r="K46" s="6" t="str"/>
      <x:c r="L46" s="6" t="str">
        <x:v>Open</x:v>
      </x:c>
      <x:c r="M46" s="7" t="str"/>
    </x:row>
    <x:row r="47">
      <x:c r="A47" s="6" t="str">
        <x:v>ESC-000046</x:v>
      </x:c>
      <x:c r="B47" s="6" t="str">
        <x:v>Unsupported Relationship Review</x:v>
      </x:c>
      <x:c r="C47" s="6" t="str">
        <x:v>UNS000046</x:v>
      </x:c>
      <x:c r="D47" s="6" t="str">
        <x:v>SVC000046</x:v>
      </x:c>
      <x:c r="E47" s="6" t="str"/>
      <x:c r="F47" s="6" t="str">
        <x:v>Unsupported Relationship</x:v>
      </x:c>
      <x:c r="G47" s="7" t="str">
        <x:v>Device family alone is insufficient for governed relationship.</x:v>
      </x:c>
      <x:c r="H47" s="7" t="str">
        <x:v>Explicit governed evidence supporting relationship</x:v>
      </x:c>
      <x:c r="I47" s="6" t="str"/>
      <x:c r="J47" s="6" t="str"/>
      <x:c r="K47" s="6" t="str"/>
      <x:c r="L47" s="6" t="str">
        <x:v>Open</x:v>
      </x:c>
      <x:c r="M47" s="7" t="str"/>
    </x:row>
    <x:row r="48">
      <x:c r="A48" s="6" t="str">
        <x:v>ESC-000047</x:v>
      </x:c>
      <x:c r="B48" s="6" t="str">
        <x:v>Unsupported Relationship Review</x:v>
      </x:c>
      <x:c r="C48" s="6" t="str">
        <x:v>UNS000047</x:v>
      </x:c>
      <x:c r="D48" s="6" t="str">
        <x:v>SVC000047</x:v>
      </x:c>
      <x:c r="E48" s="6" t="str"/>
      <x:c r="F48" s="6" t="str">
        <x:v>Unsupported Relationship</x:v>
      </x:c>
      <x:c r="G48" s="7" t="str">
        <x:v>Device family alone is insufficient for governed relationship.</x:v>
      </x:c>
      <x:c r="H48" s="7" t="str">
        <x:v>Explicit governed evidence supporting relationship</x:v>
      </x:c>
      <x:c r="I48" s="6" t="str"/>
      <x:c r="J48" s="6" t="str"/>
      <x:c r="K48" s="6" t="str"/>
      <x:c r="L48" s="6" t="str">
        <x:v>Open</x:v>
      </x:c>
      <x:c r="M48" s="7" t="str"/>
    </x:row>
    <x:row r="49">
      <x:c r="A49" s="6" t="str">
        <x:v>ESC-000048</x:v>
      </x:c>
      <x:c r="B49" s="6" t="str">
        <x:v>Unsupported Relationship Review</x:v>
      </x:c>
      <x:c r="C49" s="6" t="str">
        <x:v>UNS000048</x:v>
      </x:c>
      <x:c r="D49" s="6" t="str">
        <x:v>SVC000048</x:v>
      </x:c>
      <x:c r="E49" s="6" t="str"/>
      <x:c r="F49" s="6" t="str">
        <x:v>Unsupported Relationship</x:v>
      </x:c>
      <x:c r="G49" s="7" t="str">
        <x:v>Device family alone is insufficient for governed relationship.</x:v>
      </x:c>
      <x:c r="H49" s="7" t="str">
        <x:v>Explicit governed evidence supporting relationship</x:v>
      </x:c>
      <x:c r="I49" s="6" t="str"/>
      <x:c r="J49" s="6" t="str"/>
      <x:c r="K49" s="6" t="str"/>
      <x:c r="L49" s="6" t="str">
        <x:v>Open</x:v>
      </x:c>
      <x:c r="M49" s="7" t="str"/>
    </x:row>
    <x:row r="50">
      <x:c r="A50" s="6" t="str">
        <x:v>ESC-000049</x:v>
      </x:c>
      <x:c r="B50" s="6" t="str">
        <x:v>Unsupported Relationship Review</x:v>
      </x:c>
      <x:c r="C50" s="6" t="str">
        <x:v>UNS000049</x:v>
      </x:c>
      <x:c r="D50" s="6" t="str">
        <x:v>SVC000049</x:v>
      </x:c>
      <x:c r="E50" s="6" t="str"/>
      <x:c r="F50" s="6" t="str">
        <x:v>Unsupported Relationship</x:v>
      </x:c>
      <x:c r="G50" s="7" t="str">
        <x:v>Device family alone is insufficient for governed relationship.</x:v>
      </x:c>
      <x:c r="H50" s="7" t="str">
        <x:v>Explicit governed evidence supporting relationship</x:v>
      </x:c>
      <x:c r="I50" s="6" t="str"/>
      <x:c r="J50" s="6" t="str"/>
      <x:c r="K50" s="6" t="str"/>
      <x:c r="L50" s="6" t="str">
        <x:v>Open</x:v>
      </x:c>
      <x:c r="M50" s="7" t="str"/>
    </x:row>
    <x:row r="51">
      <x:c r="A51" s="6" t="str">
        <x:v>ESC-000050</x:v>
      </x:c>
      <x:c r="B51" s="6" t="str">
        <x:v>Unsupported Relationship Review</x:v>
      </x:c>
      <x:c r="C51" s="6" t="str">
        <x:v>UNS000050</x:v>
      </x:c>
      <x:c r="D51" s="6" t="str">
        <x:v>SVC000050</x:v>
      </x:c>
      <x:c r="E51" s="6" t="str"/>
      <x:c r="F51" s="6" t="str">
        <x:v>Unsupported Relationship</x:v>
      </x:c>
      <x:c r="G51" s="7" t="str">
        <x:v>Device family alone is insufficient for governed relationship.</x:v>
      </x:c>
      <x:c r="H51" s="7" t="str">
        <x:v>Explicit governed evidence supporting relationship</x:v>
      </x:c>
      <x:c r="I51" s="6" t="str"/>
      <x:c r="J51" s="6" t="str"/>
      <x:c r="K51" s="6" t="str"/>
      <x:c r="L51" s="6" t="str">
        <x:v>Open</x:v>
      </x:c>
      <x:c r="M51" s="7" t="str"/>
    </x:row>
    <x:row r="52">
      <x:c r="A52" s="6" t="str">
        <x:v>ESC-000051</x:v>
      </x:c>
      <x:c r="B52" s="6" t="str">
        <x:v>Unsupported Relationship Review</x:v>
      </x:c>
      <x:c r="C52" s="6" t="str">
        <x:v>UNS000051</x:v>
      </x:c>
      <x:c r="D52" s="6" t="str">
        <x:v>SVC000051</x:v>
      </x:c>
      <x:c r="E52" s="6" t="str"/>
      <x:c r="F52" s="6" t="str">
        <x:v>Unsupported Relationship</x:v>
      </x:c>
      <x:c r="G52" s="7" t="str">
        <x:v>Device family alone is insufficient for governed relationship.</x:v>
      </x:c>
      <x:c r="H52" s="7" t="str">
        <x:v>Explicit governed evidence supporting relationship</x:v>
      </x:c>
      <x:c r="I52" s="6" t="str"/>
      <x:c r="J52" s="6" t="str"/>
      <x:c r="K52" s="6" t="str"/>
      <x:c r="L52" s="6" t="str">
        <x:v>Open</x:v>
      </x:c>
      <x:c r="M52" s="7" t="str"/>
    </x:row>
    <x:row r="53">
      <x:c r="A53" s="6" t="str">
        <x:v>ESC-000052</x:v>
      </x:c>
      <x:c r="B53" s="6" t="str">
        <x:v>Unsupported Relationship Review</x:v>
      </x:c>
      <x:c r="C53" s="6" t="str">
        <x:v>UNS000052</x:v>
      </x:c>
      <x:c r="D53" s="6" t="str">
        <x:v>SVC000052</x:v>
      </x:c>
      <x:c r="E53" s="6" t="str"/>
      <x:c r="F53" s="6" t="str">
        <x:v>Unsupported Relationship</x:v>
      </x:c>
      <x:c r="G53" s="7" t="str">
        <x:v>Device family alone is insufficient for governed relationship.</x:v>
      </x:c>
      <x:c r="H53" s="7" t="str">
        <x:v>Explicit governed evidence supporting relationship</x:v>
      </x:c>
      <x:c r="I53" s="6" t="str"/>
      <x:c r="J53" s="6" t="str"/>
      <x:c r="K53" s="6" t="str"/>
      <x:c r="L53" s="6" t="str">
        <x:v>Open</x:v>
      </x:c>
      <x:c r="M53" s="7" t="str"/>
    </x:row>
    <x:row r="54">
      <x:c r="A54" s="6" t="str">
        <x:v>ESC-000053</x:v>
      </x:c>
      <x:c r="B54" s="6" t="str">
        <x:v>Unsupported Relationship Review</x:v>
      </x:c>
      <x:c r="C54" s="6" t="str">
        <x:v>UNS000053</x:v>
      </x:c>
      <x:c r="D54" s="6" t="str">
        <x:v>SVC000053</x:v>
      </x:c>
      <x:c r="E54" s="6" t="str"/>
      <x:c r="F54" s="6" t="str">
        <x:v>Unsupported Relationship</x:v>
      </x:c>
      <x:c r="G54" s="7" t="str">
        <x:v>Device family alone is insufficient for governed relationship.</x:v>
      </x:c>
      <x:c r="H54" s="7" t="str">
        <x:v>Explicit governed evidence supporting relationship</x:v>
      </x:c>
      <x:c r="I54" s="6" t="str"/>
      <x:c r="J54" s="6" t="str"/>
      <x:c r="K54" s="6" t="str"/>
      <x:c r="L54" s="6" t="str">
        <x:v>Open</x:v>
      </x:c>
      <x:c r="M54" s="7" t="str"/>
    </x:row>
    <x:row r="55">
      <x:c r="A55" s="6" t="str">
        <x:v>ESC-000054</x:v>
      </x:c>
      <x:c r="B55" s="6" t="str">
        <x:v>Unsupported Relationship Review</x:v>
      </x:c>
      <x:c r="C55" s="6" t="str">
        <x:v>UNS000054</x:v>
      </x:c>
      <x:c r="D55" s="6" t="str">
        <x:v>SVC000054</x:v>
      </x:c>
      <x:c r="E55" s="6" t="str"/>
      <x:c r="F55" s="6" t="str">
        <x:v>Unsupported Relationship</x:v>
      </x:c>
      <x:c r="G55" s="7" t="str">
        <x:v>Device family alone is insufficient for governed relationship.</x:v>
      </x:c>
      <x:c r="H55" s="7" t="str">
        <x:v>Explicit governed evidence supporting relationship</x:v>
      </x:c>
      <x:c r="I55" s="6" t="str"/>
      <x:c r="J55" s="6" t="str"/>
      <x:c r="K55" s="6" t="str"/>
      <x:c r="L55" s="6" t="str">
        <x:v>Open</x:v>
      </x:c>
      <x:c r="M55" s="7" t="str"/>
    </x:row>
    <x:row r="56">
      <x:c r="A56" s="6" t="str">
        <x:v>ESC-000055</x:v>
      </x:c>
      <x:c r="B56" s="6" t="str">
        <x:v>Unsupported Relationship Review</x:v>
      </x:c>
      <x:c r="C56" s="6" t="str">
        <x:v>UNS000055</x:v>
      </x:c>
      <x:c r="D56" s="6" t="str">
        <x:v>SVC000055</x:v>
      </x:c>
      <x:c r="E56" s="6" t="str"/>
      <x:c r="F56" s="6" t="str">
        <x:v>Unsupported Relationship</x:v>
      </x:c>
      <x:c r="G56" s="7" t="str">
        <x:v>Device family alone is insufficient for governed relationship.</x:v>
      </x:c>
      <x:c r="H56" s="7" t="str">
        <x:v>Explicit governed evidence supporting relationship</x:v>
      </x:c>
      <x:c r="I56" s="6" t="str"/>
      <x:c r="J56" s="6" t="str"/>
      <x:c r="K56" s="6" t="str"/>
      <x:c r="L56" s="6" t="str">
        <x:v>Open</x:v>
      </x:c>
      <x:c r="M56" s="7" t="str"/>
    </x:row>
    <x:row r="57">
      <x:c r="A57" s="6" t="str">
        <x:v>ESC-000056</x:v>
      </x:c>
      <x:c r="B57" s="6" t="str">
        <x:v>Unsupported Relationship Review</x:v>
      </x:c>
      <x:c r="C57" s="6" t="str">
        <x:v>UNS000056</x:v>
      </x:c>
      <x:c r="D57" s="6" t="str">
        <x:v>SVC000056</x:v>
      </x:c>
      <x:c r="E57" s="6" t="str"/>
      <x:c r="F57" s="6" t="str">
        <x:v>Unsupported Relationship</x:v>
      </x:c>
      <x:c r="G57" s="7" t="str">
        <x:v>Device family alone is insufficient for governed relationship.</x:v>
      </x:c>
      <x:c r="H57" s="7" t="str">
        <x:v>Explicit governed evidence supporting relationship</x:v>
      </x:c>
      <x:c r="I57" s="6" t="str"/>
      <x:c r="J57" s="6" t="str"/>
      <x:c r="K57" s="6" t="str"/>
      <x:c r="L57" s="6" t="str">
        <x:v>Open</x:v>
      </x:c>
      <x:c r="M57" s="7" t="str"/>
    </x:row>
    <x:row r="58">
      <x:c r="A58" s="6" t="str">
        <x:v>ESC-000057</x:v>
      </x:c>
      <x:c r="B58" s="6" t="str">
        <x:v>Unsupported Relationship Review</x:v>
      </x:c>
      <x:c r="C58" s="6" t="str">
        <x:v>UNS000057</x:v>
      </x:c>
      <x:c r="D58" s="6" t="str">
        <x:v>SVC000057</x:v>
      </x:c>
      <x:c r="E58" s="6" t="str"/>
      <x:c r="F58" s="6" t="str">
        <x:v>Unsupported Relationship</x:v>
      </x:c>
      <x:c r="G58" s="7" t="str">
        <x:v>Device family alone is insufficient for governed relationship.</x:v>
      </x:c>
      <x:c r="H58" s="7" t="str">
        <x:v>Explicit governed evidence supporting relationship</x:v>
      </x:c>
      <x:c r="I58" s="6" t="str"/>
      <x:c r="J58" s="6" t="str"/>
      <x:c r="K58" s="6" t="str"/>
      <x:c r="L58" s="6" t="str">
        <x:v>Open</x:v>
      </x:c>
      <x:c r="M58" s="7" t="str"/>
    </x:row>
    <x:row r="59">
      <x:c r="A59" s="6" t="str">
        <x:v>ESC-000058</x:v>
      </x:c>
      <x:c r="B59" s="6" t="str">
        <x:v>Unsupported Relationship Review</x:v>
      </x:c>
      <x:c r="C59" s="6" t="str">
        <x:v>UNS000058</x:v>
      </x:c>
      <x:c r="D59" s="6" t="str">
        <x:v>SVC000058</x:v>
      </x:c>
      <x:c r="E59" s="6" t="str"/>
      <x:c r="F59" s="6" t="str">
        <x:v>Unsupported Relationship</x:v>
      </x:c>
      <x:c r="G59" s="7" t="str">
        <x:v>Device family alone is insufficient for governed relationship.</x:v>
      </x:c>
      <x:c r="H59" s="7" t="str">
        <x:v>Explicit governed evidence supporting relationship</x:v>
      </x:c>
      <x:c r="I59" s="6" t="str"/>
      <x:c r="J59" s="6" t="str"/>
      <x:c r="K59" s="6" t="str"/>
      <x:c r="L59" s="6" t="str">
        <x:v>Open</x:v>
      </x:c>
      <x:c r="M59" s="7" t="str"/>
    </x:row>
    <x:row r="60">
      <x:c r="A60" s="6" t="str">
        <x:v>ESC-000059</x:v>
      </x:c>
      <x:c r="B60" s="6" t="str">
        <x:v>Unsupported Relationship Review</x:v>
      </x:c>
      <x:c r="C60" s="6" t="str">
        <x:v>UNS000059</x:v>
      </x:c>
      <x:c r="D60" s="6" t="str">
        <x:v>SVC000059</x:v>
      </x:c>
      <x:c r="E60" s="6" t="str"/>
      <x:c r="F60" s="6" t="str">
        <x:v>Unsupported Relationship</x:v>
      </x:c>
      <x:c r="G60" s="7" t="str">
        <x:v>Device family alone is insufficient for governed relationship.</x:v>
      </x:c>
      <x:c r="H60" s="7" t="str">
        <x:v>Explicit governed evidence supporting relationship</x:v>
      </x:c>
      <x:c r="I60" s="6" t="str"/>
      <x:c r="J60" s="6" t="str"/>
      <x:c r="K60" s="6" t="str"/>
      <x:c r="L60" s="6" t="str">
        <x:v>Open</x:v>
      </x:c>
      <x:c r="M60" s="7" t="str"/>
    </x:row>
    <x:row r="61">
      <x:c r="A61" s="6" t="str">
        <x:v>ESC-000060</x:v>
      </x:c>
      <x:c r="B61" s="6" t="str">
        <x:v>Unsupported Relationship Review</x:v>
      </x:c>
      <x:c r="C61" s="6" t="str">
        <x:v>UNS000060</x:v>
      </x:c>
      <x:c r="D61" s="6" t="str">
        <x:v>SVC000060</x:v>
      </x:c>
      <x:c r="E61" s="6" t="str"/>
      <x:c r="F61" s="6" t="str">
        <x:v>Unsupported Relationship</x:v>
      </x:c>
      <x:c r="G61" s="7" t="str">
        <x:v>Device family alone is insufficient for governed relationship.</x:v>
      </x:c>
      <x:c r="H61" s="7" t="str">
        <x:v>Explicit governed evidence supporting relationship</x:v>
      </x:c>
      <x:c r="I61" s="6" t="str"/>
      <x:c r="J61" s="6" t="str"/>
      <x:c r="K61" s="6" t="str"/>
      <x:c r="L61" s="6" t="str">
        <x:v>Open</x:v>
      </x:c>
      <x:c r="M61" s="7" t="str"/>
    </x:row>
    <x:row r="62">
      <x:c r="A62" s="6" t="str">
        <x:v>ESC-000061</x:v>
      </x:c>
      <x:c r="B62" s="6" t="str">
        <x:v>Unsupported Relationship Review</x:v>
      </x:c>
      <x:c r="C62" s="6" t="str">
        <x:v>UNS000061</x:v>
      </x:c>
      <x:c r="D62" s="6" t="str">
        <x:v>SVC000061</x:v>
      </x:c>
      <x:c r="E62" s="6" t="str"/>
      <x:c r="F62" s="6" t="str">
        <x:v>Unsupported Relationship</x:v>
      </x:c>
      <x:c r="G62" s="7" t="str">
        <x:v>Device family alone is insufficient for governed relationship.</x:v>
      </x:c>
      <x:c r="H62" s="7" t="str">
        <x:v>Explicit governed evidence supporting relationship</x:v>
      </x:c>
      <x:c r="I62" s="6" t="str"/>
      <x:c r="J62" s="6" t="str"/>
      <x:c r="K62" s="6" t="str"/>
      <x:c r="L62" s="6" t="str">
        <x:v>Open</x:v>
      </x:c>
      <x:c r="M62" s="7" t="str"/>
    </x:row>
    <x:row r="63">
      <x:c r="A63" s="6" t="str">
        <x:v>ESC-000062</x:v>
      </x:c>
      <x:c r="B63" s="6" t="str">
        <x:v>Unsupported Relationship Review</x:v>
      </x:c>
      <x:c r="C63" s="6" t="str">
        <x:v>UNS000062</x:v>
      </x:c>
      <x:c r="D63" s="6" t="str">
        <x:v>SVC000062</x:v>
      </x:c>
      <x:c r="E63" s="6" t="str"/>
      <x:c r="F63" s="6" t="str">
        <x:v>Unsupported Relationship</x:v>
      </x:c>
      <x:c r="G63" s="7" t="str">
        <x:v>Device family alone is insufficient for governed relationship.</x:v>
      </x:c>
      <x:c r="H63" s="7" t="str">
        <x:v>Explicit governed evidence supporting relationship</x:v>
      </x:c>
      <x:c r="I63" s="6" t="str"/>
      <x:c r="J63" s="6" t="str"/>
      <x:c r="K63" s="6" t="str"/>
      <x:c r="L63" s="6" t="str">
        <x:v>Open</x:v>
      </x:c>
      <x:c r="M63" s="7" t="str"/>
    </x:row>
    <x:row r="64">
      <x:c r="A64" s="6" t="str">
        <x:v>ESC-000063</x:v>
      </x:c>
      <x:c r="B64" s="6" t="str">
        <x:v>Unsupported Relationship Review</x:v>
      </x:c>
      <x:c r="C64" s="6" t="str">
        <x:v>UNS000063</x:v>
      </x:c>
      <x:c r="D64" s="6" t="str">
        <x:v>SVC000063</x:v>
      </x:c>
      <x:c r="E64" s="6" t="str"/>
      <x:c r="F64" s="6" t="str">
        <x:v>Unsupported Relationship</x:v>
      </x:c>
      <x:c r="G64" s="7" t="str">
        <x:v>Device family alone is insufficient for governed relationship.</x:v>
      </x:c>
      <x:c r="H64" s="7" t="str">
        <x:v>Explicit governed evidence supporting relationship</x:v>
      </x:c>
      <x:c r="I64" s="6" t="str"/>
      <x:c r="J64" s="6" t="str"/>
      <x:c r="K64" s="6" t="str"/>
      <x:c r="L64" s="6" t="str">
        <x:v>Open</x:v>
      </x:c>
      <x:c r="M64" s="7" t="str"/>
    </x:row>
    <x:row r="65">
      <x:c r="A65" s="6" t="str">
        <x:v>ESC-000064</x:v>
      </x:c>
      <x:c r="B65" s="6" t="str">
        <x:v>Unsupported Relationship Review</x:v>
      </x:c>
      <x:c r="C65" s="6" t="str">
        <x:v>UNS000064</x:v>
      </x:c>
      <x:c r="D65" s="6" t="str">
        <x:v>SVC000064</x:v>
      </x:c>
      <x:c r="E65" s="6" t="str"/>
      <x:c r="F65" s="6" t="str">
        <x:v>Unsupported Relationship</x:v>
      </x:c>
      <x:c r="G65" s="7" t="str">
        <x:v>Device family alone is insufficient for governed relationship.</x:v>
      </x:c>
      <x:c r="H65" s="7" t="str">
        <x:v>Explicit governed evidence supporting relationship</x:v>
      </x:c>
      <x:c r="I65" s="6" t="str"/>
      <x:c r="J65" s="6" t="str"/>
      <x:c r="K65" s="6" t="str"/>
      <x:c r="L65" s="6" t="str">
        <x:v>Open</x:v>
      </x:c>
      <x:c r="M65" s="7" t="str"/>
    </x:row>
    <x:row r="66">
      <x:c r="A66" s="6" t="str">
        <x:v>ESC-000065</x:v>
      </x:c>
      <x:c r="B66" s="6" t="str">
        <x:v>Unsupported Relationship Review</x:v>
      </x:c>
      <x:c r="C66" s="6" t="str">
        <x:v>UNS000065</x:v>
      </x:c>
      <x:c r="D66" s="6" t="str">
        <x:v>SVC000065</x:v>
      </x:c>
      <x:c r="E66" s="6" t="str"/>
      <x:c r="F66" s="6" t="str">
        <x:v>Unsupported Relationship</x:v>
      </x:c>
      <x:c r="G66" s="7" t="str">
        <x:v>Device family alone is insufficient for governed relationship.</x:v>
      </x:c>
      <x:c r="H66" s="7" t="str">
        <x:v>Explicit governed evidence supporting relationship</x:v>
      </x:c>
      <x:c r="I66" s="6" t="str"/>
      <x:c r="J66" s="6" t="str"/>
      <x:c r="K66" s="6" t="str"/>
      <x:c r="L66" s="6" t="str">
        <x:v>Open</x:v>
      </x:c>
      <x:c r="M66" s="7" t="str"/>
    </x:row>
    <x:row r="67">
      <x:c r="A67" s="6" t="str">
        <x:v>ESC-000066</x:v>
      </x:c>
      <x:c r="B67" s="6" t="str">
        <x:v>Unsupported Relationship Review</x:v>
      </x:c>
      <x:c r="C67" s="6" t="str">
        <x:v>UNS000066</x:v>
      </x:c>
      <x:c r="D67" s="6" t="str">
        <x:v>SVC000066</x:v>
      </x:c>
      <x:c r="E67" s="6" t="str"/>
      <x:c r="F67" s="6" t="str">
        <x:v>Unsupported Relationship</x:v>
      </x:c>
      <x:c r="G67" s="7" t="str">
        <x:v>Device family alone is insufficient for governed relationship.</x:v>
      </x:c>
      <x:c r="H67" s="7" t="str">
        <x:v>Explicit governed evidence supporting relationship</x:v>
      </x:c>
      <x:c r="I67" s="6" t="str"/>
      <x:c r="J67" s="6" t="str"/>
      <x:c r="K67" s="6" t="str"/>
      <x:c r="L67" s="6" t="str">
        <x:v>Open</x:v>
      </x:c>
      <x:c r="M67" s="7" t="str"/>
    </x:row>
    <x:row r="68">
      <x:c r="A68" s="6" t="str">
        <x:v>ESC-000067</x:v>
      </x:c>
      <x:c r="B68" s="6" t="str">
        <x:v>Unsupported Relationship Review</x:v>
      </x:c>
      <x:c r="C68" s="6" t="str">
        <x:v>UNS000067</x:v>
      </x:c>
      <x:c r="D68" s="6" t="str">
        <x:v>SVC000067</x:v>
      </x:c>
      <x:c r="E68" s="6" t="str"/>
      <x:c r="F68" s="6" t="str">
        <x:v>Unsupported Relationship</x:v>
      </x:c>
      <x:c r="G68" s="7" t="str">
        <x:v>Device family alone is insufficient for governed relationship.</x:v>
      </x:c>
      <x:c r="H68" s="7" t="str">
        <x:v>Explicit governed evidence supporting relationship</x:v>
      </x:c>
      <x:c r="I68" s="6" t="str"/>
      <x:c r="J68" s="6" t="str"/>
      <x:c r="K68" s="6" t="str"/>
      <x:c r="L68" s="6" t="str">
        <x:v>Open</x:v>
      </x:c>
      <x:c r="M68" s="7" t="str"/>
    </x:row>
    <x:row r="69">
      <x:c r="A69" s="6" t="str">
        <x:v>ESC-000068</x:v>
      </x:c>
      <x:c r="B69" s="6" t="str">
        <x:v>Unsupported Relationship Review</x:v>
      </x:c>
      <x:c r="C69" s="6" t="str">
        <x:v>UNS000068</x:v>
      </x:c>
      <x:c r="D69" s="6" t="str">
        <x:v>SVC000068</x:v>
      </x:c>
      <x:c r="E69" s="6" t="str"/>
      <x:c r="F69" s="6" t="str">
        <x:v>Unsupported Relationship</x:v>
      </x:c>
      <x:c r="G69" s="7" t="str">
        <x:v>Device family alone is insufficient for governed relationship.</x:v>
      </x:c>
      <x:c r="H69" s="7" t="str">
        <x:v>Explicit governed evidence supporting relationship</x:v>
      </x:c>
      <x:c r="I69" s="6" t="str"/>
      <x:c r="J69" s="6" t="str"/>
      <x:c r="K69" s="6" t="str"/>
      <x:c r="L69" s="6" t="str">
        <x:v>Open</x:v>
      </x:c>
      <x:c r="M69" s="7" t="str"/>
    </x:row>
    <x:row r="70">
      <x:c r="A70" s="6" t="str">
        <x:v>ESC-000069</x:v>
      </x:c>
      <x:c r="B70" s="6" t="str">
        <x:v>Unsupported Relationship Review</x:v>
      </x:c>
      <x:c r="C70" s="6" t="str">
        <x:v>UNS000069</x:v>
      </x:c>
      <x:c r="D70" s="6" t="str">
        <x:v>SVC000069</x:v>
      </x:c>
      <x:c r="E70" s="6" t="str"/>
      <x:c r="F70" s="6" t="str">
        <x:v>Unsupported Relationship</x:v>
      </x:c>
      <x:c r="G70" s="7" t="str">
        <x:v>Device family alone is insufficient for governed relationship.</x:v>
      </x:c>
      <x:c r="H70" s="7" t="str">
        <x:v>Explicit governed evidence supporting relationship</x:v>
      </x:c>
      <x:c r="I70" s="6" t="str"/>
      <x:c r="J70" s="6" t="str"/>
      <x:c r="K70" s="6" t="str"/>
      <x:c r="L70" s="6" t="str">
        <x:v>Open</x:v>
      </x:c>
      <x:c r="M70" s="7" t="str"/>
    </x:row>
    <x:row r="71">
      <x:c r="A71" s="6" t="str">
        <x:v>ESC-000070</x:v>
      </x:c>
      <x:c r="B71" s="6" t="str">
        <x:v>Unsupported Relationship Review</x:v>
      </x:c>
      <x:c r="C71" s="6" t="str">
        <x:v>UNS000070</x:v>
      </x:c>
      <x:c r="D71" s="6" t="str">
        <x:v>SVC000070</x:v>
      </x:c>
      <x:c r="E71" s="6" t="str"/>
      <x:c r="F71" s="6" t="str">
        <x:v>Unsupported Relationship</x:v>
      </x:c>
      <x:c r="G71" s="7" t="str">
        <x:v>Device family alone is insufficient for governed relationship.</x:v>
      </x:c>
      <x:c r="H71" s="7" t="str">
        <x:v>Explicit governed evidence supporting relationship</x:v>
      </x:c>
      <x:c r="I71" s="6" t="str"/>
      <x:c r="J71" s="6" t="str"/>
      <x:c r="K71" s="6" t="str"/>
      <x:c r="L71" s="6" t="str">
        <x:v>Open</x:v>
      </x:c>
      <x:c r="M71" s="7" t="str"/>
    </x:row>
    <x:row r="72">
      <x:c r="A72" s="6" t="str">
        <x:v>ESC-000071</x:v>
      </x:c>
      <x:c r="B72" s="6" t="str">
        <x:v>Unsupported Relationship Review</x:v>
      </x:c>
      <x:c r="C72" s="6" t="str">
        <x:v>UNS000071</x:v>
      </x:c>
      <x:c r="D72" s="6" t="str">
        <x:v>SVC000071</x:v>
      </x:c>
      <x:c r="E72" s="6" t="str"/>
      <x:c r="F72" s="6" t="str">
        <x:v>Unsupported Relationship</x:v>
      </x:c>
      <x:c r="G72" s="7" t="str">
        <x:v>Device family alone is insufficient for governed relationship.</x:v>
      </x:c>
      <x:c r="H72" s="7" t="str">
        <x:v>Explicit governed evidence supporting relationship</x:v>
      </x:c>
      <x:c r="I72" s="6" t="str"/>
      <x:c r="J72" s="6" t="str"/>
      <x:c r="K72" s="6" t="str"/>
      <x:c r="L72" s="6" t="str">
        <x:v>Open</x:v>
      </x:c>
      <x:c r="M72" s="7" t="str"/>
    </x:row>
    <x:row r="73">
      <x:c r="A73" s="6" t="str">
        <x:v>ESC-000072</x:v>
      </x:c>
      <x:c r="B73" s="6" t="str">
        <x:v>Unsupported Relationship Review</x:v>
      </x:c>
      <x:c r="C73" s="6" t="str">
        <x:v>UNS000072</x:v>
      </x:c>
      <x:c r="D73" s="6" t="str">
        <x:v>SVC000072</x:v>
      </x:c>
      <x:c r="E73" s="6" t="str"/>
      <x:c r="F73" s="6" t="str">
        <x:v>Unsupported Relationship</x:v>
      </x:c>
      <x:c r="G73" s="7" t="str">
        <x:v>Device family alone is insufficient for governed relationship.</x:v>
      </x:c>
      <x:c r="H73" s="7" t="str">
        <x:v>Explicit governed evidence supporting relationship</x:v>
      </x:c>
      <x:c r="I73" s="6" t="str"/>
      <x:c r="J73" s="6" t="str"/>
      <x:c r="K73" s="6" t="str"/>
      <x:c r="L73" s="6" t="str">
        <x:v>Open</x:v>
      </x:c>
      <x:c r="M73" s="7" t="str"/>
    </x:row>
    <x:row r="74">
      <x:c r="A74" s="6" t="str">
        <x:v>ESC-000073</x:v>
      </x:c>
      <x:c r="B74" s="6" t="str">
        <x:v>Unsupported Relationship Review</x:v>
      </x:c>
      <x:c r="C74" s="6" t="str">
        <x:v>UNS000073</x:v>
      </x:c>
      <x:c r="D74" s="6" t="str">
        <x:v>SVC000073</x:v>
      </x:c>
      <x:c r="E74" s="6" t="str"/>
      <x:c r="F74" s="6" t="str">
        <x:v>Unsupported Relationship</x:v>
      </x:c>
      <x:c r="G74" s="7" t="str">
        <x:v>Device family alone is insufficient for governed relationship.</x:v>
      </x:c>
      <x:c r="H74" s="7" t="str">
        <x:v>Explicit governed evidence supporting relationship</x:v>
      </x:c>
      <x:c r="I74" s="6" t="str"/>
      <x:c r="J74" s="6" t="str"/>
      <x:c r="K74" s="6" t="str"/>
      <x:c r="L74" s="6" t="str">
        <x:v>Open</x:v>
      </x:c>
      <x:c r="M74" s="7" t="str"/>
    </x:row>
    <x:row r="75">
      <x:c r="A75" s="6" t="str">
        <x:v>ESC-000074</x:v>
      </x:c>
      <x:c r="B75" s="6" t="str">
        <x:v>Unsupported Relationship Review</x:v>
      </x:c>
      <x:c r="C75" s="6" t="str">
        <x:v>UNS000074</x:v>
      </x:c>
      <x:c r="D75" s="6" t="str">
        <x:v>SVC000074</x:v>
      </x:c>
      <x:c r="E75" s="6" t="str"/>
      <x:c r="F75" s="6" t="str">
        <x:v>Unsupported Relationship</x:v>
      </x:c>
      <x:c r="G75" s="7" t="str">
        <x:v>Device family alone is insufficient for governed relationship.</x:v>
      </x:c>
      <x:c r="H75" s="7" t="str">
        <x:v>Explicit governed evidence supporting relationship</x:v>
      </x:c>
      <x:c r="I75" s="6" t="str"/>
      <x:c r="J75" s="6" t="str"/>
      <x:c r="K75" s="6" t="str"/>
      <x:c r="L75" s="6" t="str">
        <x:v>Open</x:v>
      </x:c>
      <x:c r="M75" s="7" t="str"/>
    </x:row>
    <x:row r="76">
      <x:c r="A76" s="6" t="str">
        <x:v>ESC-000075</x:v>
      </x:c>
      <x:c r="B76" s="6" t="str">
        <x:v>Unsupported Relationship Review</x:v>
      </x:c>
      <x:c r="C76" s="6" t="str">
        <x:v>UNS000075</x:v>
      </x:c>
      <x:c r="D76" s="6" t="str">
        <x:v>SVC000075</x:v>
      </x:c>
      <x:c r="E76" s="6" t="str"/>
      <x:c r="F76" s="6" t="str">
        <x:v>Unsupported Relationship</x:v>
      </x:c>
      <x:c r="G76" s="7" t="str">
        <x:v>Device family alone is insufficient for governed relationship.</x:v>
      </x:c>
      <x:c r="H76" s="7" t="str">
        <x:v>Explicit governed evidence supporting relationship</x:v>
      </x:c>
      <x:c r="I76" s="6" t="str"/>
      <x:c r="J76" s="6" t="str"/>
      <x:c r="K76" s="6" t="str"/>
      <x:c r="L76" s="6" t="str">
        <x:v>Open</x:v>
      </x:c>
      <x:c r="M76" s="7" t="str"/>
    </x:row>
    <x:row r="77">
      <x:c r="A77" s="6" t="str">
        <x:v>ESC-000076</x:v>
      </x:c>
      <x:c r="B77" s="6" t="str">
        <x:v>Unsupported Relationship Review</x:v>
      </x:c>
      <x:c r="C77" s="6" t="str">
        <x:v>UNS000076</x:v>
      </x:c>
      <x:c r="D77" s="6" t="str">
        <x:v>SVC000076</x:v>
      </x:c>
      <x:c r="E77" s="6" t="str"/>
      <x:c r="F77" s="6" t="str">
        <x:v>Unsupported Relationship</x:v>
      </x:c>
      <x:c r="G77" s="7" t="str">
        <x:v>Device family alone is insufficient for governed relationship.</x:v>
      </x:c>
      <x:c r="H77" s="7" t="str">
        <x:v>Explicit governed evidence supporting relationship</x:v>
      </x:c>
      <x:c r="I77" s="6" t="str"/>
      <x:c r="J77" s="6" t="str"/>
      <x:c r="K77" s="6" t="str"/>
      <x:c r="L77" s="6" t="str">
        <x:v>Open</x:v>
      </x:c>
      <x:c r="M77" s="7" t="str"/>
    </x:row>
    <x:row r="78">
      <x:c r="A78" s="6" t="str">
        <x:v>ESC-000077</x:v>
      </x:c>
      <x:c r="B78" s="6" t="str">
        <x:v>Unsupported Relationship Review</x:v>
      </x:c>
      <x:c r="C78" s="6" t="str">
        <x:v>UNS000077</x:v>
      </x:c>
      <x:c r="D78" s="6" t="str">
        <x:v>SVC000077</x:v>
      </x:c>
      <x:c r="E78" s="6" t="str"/>
      <x:c r="F78" s="6" t="str">
        <x:v>Unsupported Relationship</x:v>
      </x:c>
      <x:c r="G78" s="7" t="str">
        <x:v>Device family alone is insufficient for governed relationship.</x:v>
      </x:c>
      <x:c r="H78" s="7" t="str">
        <x:v>Explicit governed evidence supporting relationship</x:v>
      </x:c>
      <x:c r="I78" s="6" t="str"/>
      <x:c r="J78" s="6" t="str"/>
      <x:c r="K78" s="6" t="str"/>
      <x:c r="L78" s="6" t="str">
        <x:v>Open</x:v>
      </x:c>
      <x:c r="M78" s="7" t="str"/>
    </x:row>
    <x:row r="79">
      <x:c r="A79" s="6" t="str">
        <x:v>ESC-000078</x:v>
      </x:c>
      <x:c r="B79" s="6" t="str">
        <x:v>Unsupported Relationship Review</x:v>
      </x:c>
      <x:c r="C79" s="6" t="str">
        <x:v>UNS000078</x:v>
      </x:c>
      <x:c r="D79" s="6" t="str">
        <x:v>SVC000078</x:v>
      </x:c>
      <x:c r="E79" s="6" t="str"/>
      <x:c r="F79" s="6" t="str">
        <x:v>Unsupported Relationship</x:v>
      </x:c>
      <x:c r="G79" s="7" t="str">
        <x:v>Device family alone is insufficient for governed relationship.</x:v>
      </x:c>
      <x:c r="H79" s="7" t="str">
        <x:v>Explicit governed evidence supporting relationship</x:v>
      </x:c>
      <x:c r="I79" s="6" t="str"/>
      <x:c r="J79" s="6" t="str"/>
      <x:c r="K79" s="6" t="str"/>
      <x:c r="L79" s="6" t="str">
        <x:v>Open</x:v>
      </x:c>
      <x:c r="M79" s="7" t="str"/>
    </x:row>
    <x:row r="80">
      <x:c r="A80" s="6" t="str">
        <x:v>ESC-000079</x:v>
      </x:c>
      <x:c r="B80" s="6" t="str">
        <x:v>Unsupported Relationship Review</x:v>
      </x:c>
      <x:c r="C80" s="6" t="str">
        <x:v>UNS000079</x:v>
      </x:c>
      <x:c r="D80" s="6" t="str">
        <x:v>SVC000079</x:v>
      </x:c>
      <x:c r="E80" s="6" t="str"/>
      <x:c r="F80" s="6" t="str">
        <x:v>Unsupported Relationship</x:v>
      </x:c>
      <x:c r="G80" s="7" t="str">
        <x:v>Device family alone is insufficient for governed relationship.</x:v>
      </x:c>
      <x:c r="H80" s="7" t="str">
        <x:v>Explicit governed evidence supporting relationship</x:v>
      </x:c>
      <x:c r="I80" s="6" t="str"/>
      <x:c r="J80" s="6" t="str"/>
      <x:c r="K80" s="6" t="str"/>
      <x:c r="L80" s="6" t="str">
        <x:v>Open</x:v>
      </x:c>
      <x:c r="M80" s="7" t="str"/>
    </x:row>
    <x:row r="81">
      <x:c r="A81" s="6" t="str">
        <x:v>ESC-000080</x:v>
      </x:c>
      <x:c r="B81" s="6" t="str">
        <x:v>Unsupported Relationship Review</x:v>
      </x:c>
      <x:c r="C81" s="6" t="str">
        <x:v>UNS000080</x:v>
      </x:c>
      <x:c r="D81" s="6" t="str">
        <x:v>SVC000080</x:v>
      </x:c>
      <x:c r="E81" s="6" t="str"/>
      <x:c r="F81" s="6" t="str">
        <x:v>Unsupported Relationship</x:v>
      </x:c>
      <x:c r="G81" s="7" t="str">
        <x:v>Device family alone is insufficient for governed relationship.</x:v>
      </x:c>
      <x:c r="H81" s="7" t="str">
        <x:v>Explicit governed evidence supporting relationship</x:v>
      </x:c>
      <x:c r="I81" s="6" t="str"/>
      <x:c r="J81" s="6" t="str"/>
      <x:c r="K81" s="6" t="str"/>
      <x:c r="L81" s="6" t="str">
        <x:v>Open</x:v>
      </x:c>
      <x:c r="M81" s="7" t="str"/>
    </x:row>
    <x:row r="82">
      <x:c r="A82" s="6" t="str">
        <x:v>ESC-000081</x:v>
      </x:c>
      <x:c r="B82" s="6" t="str">
        <x:v>Unsupported Relationship Review</x:v>
      </x:c>
      <x:c r="C82" s="6" t="str">
        <x:v>UNS000081</x:v>
      </x:c>
      <x:c r="D82" s="6" t="str">
        <x:v>SVC000081</x:v>
      </x:c>
      <x:c r="E82" s="6" t="str"/>
      <x:c r="F82" s="6" t="str">
        <x:v>Unsupported Relationship</x:v>
      </x:c>
      <x:c r="G82" s="7" t="str">
        <x:v>Device family alone is insufficient for governed relationship.</x:v>
      </x:c>
      <x:c r="H82" s="7" t="str">
        <x:v>Explicit governed evidence supporting relationship</x:v>
      </x:c>
      <x:c r="I82" s="6" t="str"/>
      <x:c r="J82" s="6" t="str"/>
      <x:c r="K82" s="6" t="str"/>
      <x:c r="L82" s="6" t="str">
        <x:v>Open</x:v>
      </x:c>
      <x:c r="M82" s="7" t="str"/>
    </x:row>
    <x:row r="83">
      <x:c r="A83" s="6" t="str">
        <x:v>ESC-000082</x:v>
      </x:c>
      <x:c r="B83" s="6" t="str">
        <x:v>Unsupported Relationship Review</x:v>
      </x:c>
      <x:c r="C83" s="6" t="str">
        <x:v>UNS000082</x:v>
      </x:c>
      <x:c r="D83" s="6" t="str">
        <x:v>SVC000082</x:v>
      </x:c>
      <x:c r="E83" s="6" t="str"/>
      <x:c r="F83" s="6" t="str">
        <x:v>Unsupported Relationship</x:v>
      </x:c>
      <x:c r="G83" s="7" t="str">
        <x:v>Device family alone is insufficient for governed relationship.</x:v>
      </x:c>
      <x:c r="H83" s="7" t="str">
        <x:v>Explicit governed evidence supporting relationship</x:v>
      </x:c>
      <x:c r="I83" s="6" t="str"/>
      <x:c r="J83" s="6" t="str"/>
      <x:c r="K83" s="6" t="str"/>
      <x:c r="L83" s="6" t="str">
        <x:v>Open</x:v>
      </x:c>
      <x:c r="M83" s="7" t="str"/>
    </x:row>
    <x:row r="84">
      <x:c r="A84" s="6" t="str">
        <x:v>ESC-000083</x:v>
      </x:c>
      <x:c r="B84" s="6" t="str">
        <x:v>Unsupported Relationship Review</x:v>
      </x:c>
      <x:c r="C84" s="6" t="str">
        <x:v>UNS000083</x:v>
      </x:c>
      <x:c r="D84" s="6" t="str">
        <x:v>SVC000083</x:v>
      </x:c>
      <x:c r="E84" s="6" t="str"/>
      <x:c r="F84" s="6" t="str">
        <x:v>Unsupported Relationship</x:v>
      </x:c>
      <x:c r="G84" s="7" t="str">
        <x:v>Device family alone is insufficient for governed relationship.</x:v>
      </x:c>
      <x:c r="H84" s="7" t="str">
        <x:v>Explicit governed evidence supporting relationship</x:v>
      </x:c>
      <x:c r="I84" s="6" t="str"/>
      <x:c r="J84" s="6" t="str"/>
      <x:c r="K84" s="6" t="str"/>
      <x:c r="L84" s="6" t="str">
        <x:v>Open</x:v>
      </x:c>
      <x:c r="M84" s="7" t="str"/>
    </x:row>
    <x:row r="85">
      <x:c r="A85" s="6" t="str">
        <x:v>ESC-000084</x:v>
      </x:c>
      <x:c r="B85" s="6" t="str">
        <x:v>Unsupported Relationship Review</x:v>
      </x:c>
      <x:c r="C85" s="6" t="str">
        <x:v>UNS000084</x:v>
      </x:c>
      <x:c r="D85" s="6" t="str">
        <x:v>SVC000084</x:v>
      </x:c>
      <x:c r="E85" s="6" t="str"/>
      <x:c r="F85" s="6" t="str">
        <x:v>Unsupported Relationship</x:v>
      </x:c>
      <x:c r="G85" s="7" t="str">
        <x:v>Device family alone is insufficient for governed relationship.</x:v>
      </x:c>
      <x:c r="H85" s="7" t="str">
        <x:v>Explicit governed evidence supporting relationship</x:v>
      </x:c>
      <x:c r="I85" s="6" t="str"/>
      <x:c r="J85" s="6" t="str"/>
      <x:c r="K85" s="6" t="str"/>
      <x:c r="L85" s="6" t="str">
        <x:v>Open</x:v>
      </x:c>
      <x:c r="M85" s="7" t="str"/>
    </x:row>
    <x:row r="86">
      <x:c r="A86" s="6" t="str">
        <x:v>ESC-000085</x:v>
      </x:c>
      <x:c r="B86" s="6" t="str">
        <x:v>Unsupported Relationship Review</x:v>
      </x:c>
      <x:c r="C86" s="6" t="str">
        <x:v>UNS000085</x:v>
      </x:c>
      <x:c r="D86" s="6" t="str">
        <x:v>SVC000085</x:v>
      </x:c>
      <x:c r="E86" s="6" t="str"/>
      <x:c r="F86" s="6" t="str">
        <x:v>Unsupported Relationship</x:v>
      </x:c>
      <x:c r="G86" s="7" t="str">
        <x:v>Device family alone is insufficient for governed relationship.</x:v>
      </x:c>
      <x:c r="H86" s="7" t="str">
        <x:v>Explicit governed evidence supporting relationship</x:v>
      </x:c>
      <x:c r="I86" s="6" t="str"/>
      <x:c r="J86" s="6" t="str"/>
      <x:c r="K86" s="6" t="str"/>
      <x:c r="L86" s="6" t="str">
        <x:v>Open</x:v>
      </x:c>
      <x:c r="M86" s="7" t="str"/>
    </x:row>
    <x:row r="87">
      <x:c r="A87" s="6" t="str">
        <x:v>ESC-000086</x:v>
      </x:c>
      <x:c r="B87" s="6" t="str">
        <x:v>Unsupported Relationship Review</x:v>
      </x:c>
      <x:c r="C87" s="6" t="str">
        <x:v>UNS000086</x:v>
      </x:c>
      <x:c r="D87" s="6" t="str">
        <x:v>SVC000086</x:v>
      </x:c>
      <x:c r="E87" s="6" t="str"/>
      <x:c r="F87" s="6" t="str">
        <x:v>Unsupported Relationship</x:v>
      </x:c>
      <x:c r="G87" s="7" t="str">
        <x:v>Device family alone is insufficient for governed relationship.</x:v>
      </x:c>
      <x:c r="H87" s="7" t="str">
        <x:v>Explicit governed evidence supporting relationship</x:v>
      </x:c>
      <x:c r="I87" s="6" t="str"/>
      <x:c r="J87" s="6" t="str"/>
      <x:c r="K87" s="6" t="str"/>
      <x:c r="L87" s="6" t="str">
        <x:v>Open</x:v>
      </x:c>
      <x:c r="M87" s="7" t="str"/>
    </x:row>
    <x:row r="88">
      <x:c r="A88" s="6" t="str">
        <x:v>ESC-000087</x:v>
      </x:c>
      <x:c r="B88" s="6" t="str">
        <x:v>Unsupported Relationship Review</x:v>
      </x:c>
      <x:c r="C88" s="6" t="str">
        <x:v>UNS000087</x:v>
      </x:c>
      <x:c r="D88" s="6" t="str">
        <x:v>SVC000087</x:v>
      </x:c>
      <x:c r="E88" s="6" t="str"/>
      <x:c r="F88" s="6" t="str">
        <x:v>Unsupported Relationship</x:v>
      </x:c>
      <x:c r="G88" s="7" t="str">
        <x:v>Device family alone is insufficient for governed relationship.</x:v>
      </x:c>
      <x:c r="H88" s="7" t="str">
        <x:v>Explicit governed evidence supporting relationship</x:v>
      </x:c>
      <x:c r="I88" s="6" t="str"/>
      <x:c r="J88" s="6" t="str"/>
      <x:c r="K88" s="6" t="str"/>
      <x:c r="L88" s="6" t="str">
        <x:v>Open</x:v>
      </x:c>
      <x:c r="M88" s="7" t="str"/>
    </x:row>
    <x:row r="89">
      <x:c r="A89" s="6" t="str">
        <x:v>ESC-000088</x:v>
      </x:c>
      <x:c r="B89" s="6" t="str">
        <x:v>Unsupported Relationship Review</x:v>
      </x:c>
      <x:c r="C89" s="6" t="str">
        <x:v>UNS000088</x:v>
      </x:c>
      <x:c r="D89" s="6" t="str">
        <x:v>SVC000088</x:v>
      </x:c>
      <x:c r="E89" s="6" t="str"/>
      <x:c r="F89" s="6" t="str">
        <x:v>Unsupported Relationship</x:v>
      </x:c>
      <x:c r="G89" s="7" t="str">
        <x:v>Device family alone is insufficient for governed relationship.</x:v>
      </x:c>
      <x:c r="H89" s="7" t="str">
        <x:v>Explicit governed evidence supporting relationship</x:v>
      </x:c>
      <x:c r="I89" s="6" t="str"/>
      <x:c r="J89" s="6" t="str"/>
      <x:c r="K89" s="6" t="str"/>
      <x:c r="L89" s="6" t="str">
        <x:v>Open</x:v>
      </x:c>
      <x:c r="M89" s="7" t="str"/>
    </x:row>
    <x:row r="90">
      <x:c r="A90" s="6" t="str">
        <x:v>ESC-000089</x:v>
      </x:c>
      <x:c r="B90" s="6" t="str">
        <x:v>Unsupported Relationship Review</x:v>
      </x:c>
      <x:c r="C90" s="6" t="str">
        <x:v>UNS000089</x:v>
      </x:c>
      <x:c r="D90" s="6" t="str">
        <x:v>SVC000089</x:v>
      </x:c>
      <x:c r="E90" s="6" t="str"/>
      <x:c r="F90" s="6" t="str">
        <x:v>Unsupported Relationship</x:v>
      </x:c>
      <x:c r="G90" s="7" t="str">
        <x:v>Device family alone is insufficient for governed relationship.</x:v>
      </x:c>
      <x:c r="H90" s="7" t="str">
        <x:v>Explicit governed evidence supporting relationship</x:v>
      </x:c>
      <x:c r="I90" s="6" t="str"/>
      <x:c r="J90" s="6" t="str"/>
      <x:c r="K90" s="6" t="str"/>
      <x:c r="L90" s="6" t="str">
        <x:v>Open</x:v>
      </x:c>
      <x:c r="M90" s="7" t="str"/>
    </x:row>
    <x:row r="91">
      <x:c r="A91" s="6" t="str">
        <x:v>ESC-000090</x:v>
      </x:c>
      <x:c r="B91" s="6" t="str">
        <x:v>Unsupported Relationship Review</x:v>
      </x:c>
      <x:c r="C91" s="6" t="str">
        <x:v>UNS000090</x:v>
      </x:c>
      <x:c r="D91" s="6" t="str">
        <x:v>SVC000090</x:v>
      </x:c>
      <x:c r="E91" s="6" t="str"/>
      <x:c r="F91" s="6" t="str">
        <x:v>Unsupported Relationship</x:v>
      </x:c>
      <x:c r="G91" s="7" t="str">
        <x:v>Device family alone is insufficient for governed relationship.</x:v>
      </x:c>
      <x:c r="H91" s="7" t="str">
        <x:v>Explicit governed evidence supporting relationship</x:v>
      </x:c>
      <x:c r="I91" s="6" t="str"/>
      <x:c r="J91" s="6" t="str"/>
      <x:c r="K91" s="6" t="str"/>
      <x:c r="L91" s="6" t="str">
        <x:v>Open</x:v>
      </x:c>
      <x:c r="M91" s="7" t="str"/>
    </x:row>
    <x:row r="92">
      <x:c r="A92" s="6" t="str">
        <x:v>ESC-000091</x:v>
      </x:c>
      <x:c r="B92" s="6" t="str">
        <x:v>Unsupported Relationship Review</x:v>
      </x:c>
      <x:c r="C92" s="6" t="str">
        <x:v>UNS000091</x:v>
      </x:c>
      <x:c r="D92" s="6" t="str">
        <x:v>SVC000091</x:v>
      </x:c>
      <x:c r="E92" s="6" t="str"/>
      <x:c r="F92" s="6" t="str">
        <x:v>Unsupported Relationship</x:v>
      </x:c>
      <x:c r="G92" s="7" t="str">
        <x:v>Device family alone is insufficient for governed relationship.</x:v>
      </x:c>
      <x:c r="H92" s="7" t="str">
        <x:v>Explicit governed evidence supporting relationship</x:v>
      </x:c>
      <x:c r="I92" s="6" t="str"/>
      <x:c r="J92" s="6" t="str"/>
      <x:c r="K92" s="6" t="str"/>
      <x:c r="L92" s="6" t="str">
        <x:v>Open</x:v>
      </x:c>
      <x:c r="M92" s="7" t="str"/>
    </x:row>
    <x:row r="93">
      <x:c r="A93" s="6" t="str">
        <x:v>ESC-000092</x:v>
      </x:c>
      <x:c r="B93" s="6" t="str">
        <x:v>Unsupported Relationship Review</x:v>
      </x:c>
      <x:c r="C93" s="6" t="str">
        <x:v>UNS000092</x:v>
      </x:c>
      <x:c r="D93" s="6" t="str">
        <x:v>SVC000092</x:v>
      </x:c>
      <x:c r="E93" s="6" t="str"/>
      <x:c r="F93" s="6" t="str">
        <x:v>Unsupported Relationship</x:v>
      </x:c>
      <x:c r="G93" s="7" t="str">
        <x:v>Device family alone is insufficient for governed relationship.</x:v>
      </x:c>
      <x:c r="H93" s="7" t="str">
        <x:v>Explicit governed evidence supporting relationship</x:v>
      </x:c>
      <x:c r="I93" s="6" t="str"/>
      <x:c r="J93" s="6" t="str"/>
      <x:c r="K93" s="6" t="str"/>
      <x:c r="L93" s="6" t="str">
        <x:v>Open</x:v>
      </x:c>
      <x:c r="M93" s="7" t="str"/>
    </x:row>
    <x:row r="94">
      <x:c r="A94" s="6" t="str">
        <x:v>ESC-000093</x:v>
      </x:c>
      <x:c r="B94" s="6" t="str">
        <x:v>Unsupported Relationship Review</x:v>
      </x:c>
      <x:c r="C94" s="6" t="str">
        <x:v>UNS000093</x:v>
      </x:c>
      <x:c r="D94" s="6" t="str">
        <x:v>SVC000093</x:v>
      </x:c>
      <x:c r="E94" s="6" t="str"/>
      <x:c r="F94" s="6" t="str">
        <x:v>Unsupported Relationship</x:v>
      </x:c>
      <x:c r="G94" s="7" t="str">
        <x:v>Device family alone is insufficient for governed relationship.</x:v>
      </x:c>
      <x:c r="H94" s="7" t="str">
        <x:v>Explicit governed evidence supporting relationship</x:v>
      </x:c>
      <x:c r="I94" s="6" t="str"/>
      <x:c r="J94" s="6" t="str"/>
      <x:c r="K94" s="6" t="str"/>
      <x:c r="L94" s="6" t="str">
        <x:v>Open</x:v>
      </x:c>
      <x:c r="M94" s="7" t="str"/>
    </x:row>
    <x:row r="95">
      <x:c r="A95" s="6" t="str">
        <x:v>ESC-000094</x:v>
      </x:c>
      <x:c r="B95" s="6" t="str">
        <x:v>Unsupported Relationship Review</x:v>
      </x:c>
      <x:c r="C95" s="6" t="str">
        <x:v>UNS000094</x:v>
      </x:c>
      <x:c r="D95" s="6" t="str">
        <x:v>SVC000094</x:v>
      </x:c>
      <x:c r="E95" s="6" t="str"/>
      <x:c r="F95" s="6" t="str">
        <x:v>Unsupported Relationship</x:v>
      </x:c>
      <x:c r="G95" s="7" t="str">
        <x:v>Device family alone is insufficient for governed relationship.</x:v>
      </x:c>
      <x:c r="H95" s="7" t="str">
        <x:v>Explicit governed evidence supporting relationship</x:v>
      </x:c>
      <x:c r="I95" s="6" t="str"/>
      <x:c r="J95" s="6" t="str"/>
      <x:c r="K95" s="6" t="str"/>
      <x:c r="L95" s="6" t="str">
        <x:v>Open</x:v>
      </x:c>
      <x:c r="M95" s="7" t="str"/>
    </x:row>
    <x:row r="96">
      <x:c r="A96" s="6" t="str">
        <x:v>ESC-000095</x:v>
      </x:c>
      <x:c r="B96" s="6" t="str">
        <x:v>Unsupported Relationship Review</x:v>
      </x:c>
      <x:c r="C96" s="6" t="str">
        <x:v>UNS000095</x:v>
      </x:c>
      <x:c r="D96" s="6" t="str">
        <x:v>SVC000095</x:v>
      </x:c>
      <x:c r="E96" s="6" t="str"/>
      <x:c r="F96" s="6" t="str">
        <x:v>Unsupported Relationship</x:v>
      </x:c>
      <x:c r="G96" s="7" t="str">
        <x:v>Device family alone is insufficient for governed relationship.</x:v>
      </x:c>
      <x:c r="H96" s="7" t="str">
        <x:v>Explicit governed evidence supporting relationship</x:v>
      </x:c>
      <x:c r="I96" s="6" t="str"/>
      <x:c r="J96" s="6" t="str"/>
      <x:c r="K96" s="6" t="str"/>
      <x:c r="L96" s="6" t="str">
        <x:v>Open</x:v>
      </x:c>
      <x:c r="M96" s="7" t="str"/>
    </x:row>
    <x:row r="97">
      <x:c r="A97" s="6" t="str">
        <x:v>ESC-000096</x:v>
      </x:c>
      <x:c r="B97" s="6" t="str">
        <x:v>Unsupported Relationship Review</x:v>
      </x:c>
      <x:c r="C97" s="6" t="str">
        <x:v>UNS000096</x:v>
      </x:c>
      <x:c r="D97" s="6" t="str">
        <x:v>SVC000096</x:v>
      </x:c>
      <x:c r="E97" s="6" t="str"/>
      <x:c r="F97" s="6" t="str">
        <x:v>Unsupported Relationship</x:v>
      </x:c>
      <x:c r="G97" s="7" t="str">
        <x:v>Device family alone is insufficient for governed relationship.</x:v>
      </x:c>
      <x:c r="H97" s="7" t="str">
        <x:v>Explicit governed evidence supporting relationship</x:v>
      </x:c>
      <x:c r="I97" s="6" t="str"/>
      <x:c r="J97" s="6" t="str"/>
      <x:c r="K97" s="6" t="str"/>
      <x:c r="L97" s="6" t="str">
        <x:v>Open</x:v>
      </x:c>
      <x:c r="M97" s="7" t="str"/>
    </x:row>
    <x:row r="98">
      <x:c r="A98" s="6" t="str">
        <x:v>ESC-000097</x:v>
      </x:c>
      <x:c r="B98" s="6" t="str">
        <x:v>Unsupported Relationship Review</x:v>
      </x:c>
      <x:c r="C98" s="6" t="str">
        <x:v>UNS000097</x:v>
      </x:c>
      <x:c r="D98" s="6" t="str">
        <x:v>SVC000097</x:v>
      </x:c>
      <x:c r="E98" s="6" t="str"/>
      <x:c r="F98" s="6" t="str">
        <x:v>Unsupported Relationship</x:v>
      </x:c>
      <x:c r="G98" s="7" t="str">
        <x:v>Device family alone is insufficient for governed relationship.</x:v>
      </x:c>
      <x:c r="H98" s="7" t="str">
        <x:v>Explicit governed evidence supporting relationship</x:v>
      </x:c>
      <x:c r="I98" s="6" t="str"/>
      <x:c r="J98" s="6" t="str"/>
      <x:c r="K98" s="6" t="str"/>
      <x:c r="L98" s="6" t="str">
        <x:v>Open</x:v>
      </x:c>
      <x:c r="M98" s="7" t="str"/>
    </x:row>
    <x:row r="99">
      <x:c r="A99" s="6" t="str">
        <x:v>ESC-000098</x:v>
      </x:c>
      <x:c r="B99" s="6" t="str">
        <x:v>Unsupported Relationship Review</x:v>
      </x:c>
      <x:c r="C99" s="6" t="str">
        <x:v>UNS000098</x:v>
      </x:c>
      <x:c r="D99" s="6" t="str">
        <x:v>SVC000098</x:v>
      </x:c>
      <x:c r="E99" s="6" t="str"/>
      <x:c r="F99" s="6" t="str">
        <x:v>Unsupported Relationship</x:v>
      </x:c>
      <x:c r="G99" s="7" t="str">
        <x:v>Device family alone is insufficient for governed relationship.</x:v>
      </x:c>
      <x:c r="H99" s="7" t="str">
        <x:v>Explicit governed evidence supporting relationship</x:v>
      </x:c>
      <x:c r="I99" s="6" t="str"/>
      <x:c r="J99" s="6" t="str"/>
      <x:c r="K99" s="6" t="str"/>
      <x:c r="L99" s="6" t="str">
        <x:v>Open</x:v>
      </x:c>
      <x:c r="M99" s="7" t="str"/>
    </x:row>
    <x:row r="100">
      <x:c r="A100" s="6" t="str">
        <x:v>ESC-000099</x:v>
      </x:c>
      <x:c r="B100" s="6" t="str">
        <x:v>Unsupported Relationship Review</x:v>
      </x:c>
      <x:c r="C100" s="6" t="str">
        <x:v>UNS000099</x:v>
      </x:c>
      <x:c r="D100" s="6" t="str">
        <x:v>SVC000099</x:v>
      </x:c>
      <x:c r="E100" s="6" t="str"/>
      <x:c r="F100" s="6" t="str">
        <x:v>Unsupported Relationship</x:v>
      </x:c>
      <x:c r="G100" s="7" t="str">
        <x:v>Device family alone is insufficient for governed relationship.</x:v>
      </x:c>
      <x:c r="H100" s="7" t="str">
        <x:v>Explicit governed evidence supporting relationship</x:v>
      </x:c>
      <x:c r="I100" s="6" t="str"/>
      <x:c r="J100" s="6" t="str"/>
      <x:c r="K100" s="6" t="str"/>
      <x:c r="L100" s="6" t="str">
        <x:v>Open</x:v>
      </x:c>
      <x:c r="M100" s="7" t="str"/>
    </x:row>
    <x:row r="101">
      <x:c r="A101" s="6" t="str">
        <x:v>ESC-000100</x:v>
      </x:c>
      <x:c r="B101" s="6" t="str">
        <x:v>Unsupported Relationship Review</x:v>
      </x:c>
      <x:c r="C101" s="6" t="str">
        <x:v>UNS000100</x:v>
      </x:c>
      <x:c r="D101" s="6" t="str">
        <x:v>SVC000100</x:v>
      </x:c>
      <x:c r="E101" s="6" t="str"/>
      <x:c r="F101" s="6" t="str">
        <x:v>Unsupported Relationship</x:v>
      </x:c>
      <x:c r="G101" s="7" t="str">
        <x:v>Device family alone is insufficient for governed relationship.</x:v>
      </x:c>
      <x:c r="H101" s="7" t="str">
        <x:v>Explicit governed evidence supporting relationship</x:v>
      </x:c>
      <x:c r="I101" s="6" t="str"/>
      <x:c r="J101" s="6" t="str"/>
      <x:c r="K101" s="6" t="str"/>
      <x:c r="L101" s="6" t="str">
        <x:v>Open</x:v>
      </x:c>
      <x:c r="M101" s="7" t="str"/>
    </x:row>
    <x:row r="102">
      <x:c r="A102" s="6" t="str">
        <x:v>ESC-000101</x:v>
      </x:c>
      <x:c r="B102" s="6" t="str">
        <x:v>Unsupported Relationship Review</x:v>
      </x:c>
      <x:c r="C102" s="6" t="str">
        <x:v>UNS000101</x:v>
      </x:c>
      <x:c r="D102" s="6" t="str">
        <x:v>SVC000101</x:v>
      </x:c>
      <x:c r="E102" s="6" t="str"/>
      <x:c r="F102" s="6" t="str">
        <x:v>Unsupported Relationship</x:v>
      </x:c>
      <x:c r="G102" s="7" t="str">
        <x:v>Device family alone is insufficient for governed relationship.</x:v>
      </x:c>
      <x:c r="H102" s="7" t="str">
        <x:v>Explicit governed evidence supporting relationship</x:v>
      </x:c>
      <x:c r="I102" s="6" t="str"/>
      <x:c r="J102" s="6" t="str"/>
      <x:c r="K102" s="6" t="str"/>
      <x:c r="L102" s="6" t="str">
        <x:v>Open</x:v>
      </x:c>
      <x:c r="M102" s="7" t="str"/>
    </x:row>
    <x:row r="103">
      <x:c r="A103" s="6" t="str">
        <x:v>ESC-000102</x:v>
      </x:c>
      <x:c r="B103" s="6" t="str">
        <x:v>Unsupported Relationship Review</x:v>
      </x:c>
      <x:c r="C103" s="6" t="str">
        <x:v>UNS000102</x:v>
      </x:c>
      <x:c r="D103" s="6" t="str">
        <x:v>SVC000102</x:v>
      </x:c>
      <x:c r="E103" s="6" t="str"/>
      <x:c r="F103" s="6" t="str">
        <x:v>Unsupported Relationship</x:v>
      </x:c>
      <x:c r="G103" s="7" t="str">
        <x:v>Device family alone is insufficient for governed relationship.</x:v>
      </x:c>
      <x:c r="H103" s="7" t="str">
        <x:v>Explicit governed evidence supporting relationship</x:v>
      </x:c>
      <x:c r="I103" s="6" t="str"/>
      <x:c r="J103" s="6" t="str"/>
      <x:c r="K103" s="6" t="str"/>
      <x:c r="L103" s="6" t="str">
        <x:v>Open</x:v>
      </x:c>
      <x:c r="M103" s="7" t="str"/>
    </x:row>
    <x:row r="104">
      <x:c r="A104" s="6" t="str">
        <x:v>ESC-000103</x:v>
      </x:c>
      <x:c r="B104" s="6" t="str">
        <x:v>Unsupported Relationship Review</x:v>
      </x:c>
      <x:c r="C104" s="6" t="str">
        <x:v>UNS000103</x:v>
      </x:c>
      <x:c r="D104" s="6" t="str">
        <x:v>SVC000103</x:v>
      </x:c>
      <x:c r="E104" s="6" t="str"/>
      <x:c r="F104" s="6" t="str">
        <x:v>Unsupported Relationship</x:v>
      </x:c>
      <x:c r="G104" s="7" t="str">
        <x:v>Device family alone is insufficient for governed relationship.</x:v>
      </x:c>
      <x:c r="H104" s="7" t="str">
        <x:v>Explicit governed evidence supporting relationship</x:v>
      </x:c>
      <x:c r="I104" s="6" t="str"/>
      <x:c r="J104" s="6" t="str"/>
      <x:c r="K104" s="6" t="str"/>
      <x:c r="L104" s="6" t="str">
        <x:v>Open</x:v>
      </x:c>
      <x:c r="M104" s="7" t="str"/>
    </x:row>
    <x:row r="105">
      <x:c r="A105" s="6" t="str">
        <x:v>ESC-000104</x:v>
      </x:c>
      <x:c r="B105" s="6" t="str">
        <x:v>Unsupported Relationship Review</x:v>
      </x:c>
      <x:c r="C105" s="6" t="str">
        <x:v>UNS000104</x:v>
      </x:c>
      <x:c r="D105" s="6" t="str">
        <x:v>SVC000104</x:v>
      </x:c>
      <x:c r="E105" s="6" t="str"/>
      <x:c r="F105" s="6" t="str">
        <x:v>Unsupported Relationship</x:v>
      </x:c>
      <x:c r="G105" s="7" t="str">
        <x:v>Device family alone is insufficient for governed relationship.</x:v>
      </x:c>
      <x:c r="H105" s="7" t="str">
        <x:v>Explicit governed evidence supporting relationship</x:v>
      </x:c>
      <x:c r="I105" s="6" t="str"/>
      <x:c r="J105" s="6" t="str"/>
      <x:c r="K105" s="6" t="str"/>
      <x:c r="L105" s="6" t="str">
        <x:v>Open</x:v>
      </x:c>
      <x:c r="M105" s="7" t="str"/>
    </x:row>
    <x:row r="106">
      <x:c r="A106" s="6" t="str">
        <x:v>ESC-000105</x:v>
      </x:c>
      <x:c r="B106" s="6" t="str">
        <x:v>Unsupported Relationship Review</x:v>
      </x:c>
      <x:c r="C106" s="6" t="str">
        <x:v>UNS000105</x:v>
      </x:c>
      <x:c r="D106" s="6" t="str">
        <x:v>SVC000105</x:v>
      </x:c>
      <x:c r="E106" s="6" t="str"/>
      <x:c r="F106" s="6" t="str">
        <x:v>Unsupported Relationship</x:v>
      </x:c>
      <x:c r="G106" s="7" t="str">
        <x:v>Device family alone is insufficient for governed relationship.</x:v>
      </x:c>
      <x:c r="H106" s="7" t="str">
        <x:v>Explicit governed evidence supporting relationship</x:v>
      </x:c>
      <x:c r="I106" s="6" t="str"/>
      <x:c r="J106" s="6" t="str"/>
      <x:c r="K106" s="6" t="str"/>
      <x:c r="L106" s="6" t="str">
        <x:v>Open</x:v>
      </x:c>
      <x:c r="M106" s="7" t="str"/>
    </x:row>
    <x:row r="107">
      <x:c r="A107" s="6" t="str">
        <x:v>ESC-000106</x:v>
      </x:c>
      <x:c r="B107" s="6" t="str">
        <x:v>Unsupported Relationship Review</x:v>
      </x:c>
      <x:c r="C107" s="6" t="str">
        <x:v>UNS000106</x:v>
      </x:c>
      <x:c r="D107" s="6" t="str">
        <x:v>SVC000106</x:v>
      </x:c>
      <x:c r="E107" s="6" t="str"/>
      <x:c r="F107" s="6" t="str">
        <x:v>Unsupported Relationship</x:v>
      </x:c>
      <x:c r="G107" s="7" t="str">
        <x:v>Device family alone is insufficient for governed relationship.</x:v>
      </x:c>
      <x:c r="H107" s="7" t="str">
        <x:v>Explicit governed evidence supporting relationship</x:v>
      </x:c>
      <x:c r="I107" s="6" t="str"/>
      <x:c r="J107" s="6" t="str"/>
      <x:c r="K107" s="6" t="str"/>
      <x:c r="L107" s="6" t="str">
        <x:v>Open</x:v>
      </x:c>
      <x:c r="M107" s="7" t="str"/>
    </x:row>
    <x:row r="108">
      <x:c r="A108" s="6" t="str">
        <x:v>ESC-000107</x:v>
      </x:c>
      <x:c r="B108" s="6" t="str">
        <x:v>Unsupported Relationship Review</x:v>
      </x:c>
      <x:c r="C108" s="6" t="str">
        <x:v>UNS000107</x:v>
      </x:c>
      <x:c r="D108" s="6" t="str">
        <x:v>SVC000107</x:v>
      </x:c>
      <x:c r="E108" s="6" t="str"/>
      <x:c r="F108" s="6" t="str">
        <x:v>Unsupported Relationship</x:v>
      </x:c>
      <x:c r="G108" s="7" t="str">
        <x:v>Device family alone is insufficient for governed relationship.</x:v>
      </x:c>
      <x:c r="H108" s="7" t="str">
        <x:v>Explicit governed evidence supporting relationship</x:v>
      </x:c>
      <x:c r="I108" s="6" t="str"/>
      <x:c r="J108" s="6" t="str"/>
      <x:c r="K108" s="6" t="str"/>
      <x:c r="L108" s="6" t="str">
        <x:v>Open</x:v>
      </x:c>
      <x:c r="M108" s="7" t="str"/>
    </x:row>
    <x:row r="109">
      <x:c r="A109" s="6" t="str">
        <x:v>ESC-000108</x:v>
      </x:c>
      <x:c r="B109" s="6" t="str">
        <x:v>Unsupported Relationship Review</x:v>
      </x:c>
      <x:c r="C109" s="6" t="str">
        <x:v>UNS000108</x:v>
      </x:c>
      <x:c r="D109" s="6" t="str">
        <x:v>SVC000108</x:v>
      </x:c>
      <x:c r="E109" s="6" t="str"/>
      <x:c r="F109" s="6" t="str">
        <x:v>Unsupported Relationship</x:v>
      </x:c>
      <x:c r="G109" s="7" t="str">
        <x:v>Device family alone is insufficient for governed relationship.</x:v>
      </x:c>
      <x:c r="H109" s="7" t="str">
        <x:v>Explicit governed evidence supporting relationship</x:v>
      </x:c>
      <x:c r="I109" s="6" t="str"/>
      <x:c r="J109" s="6" t="str"/>
      <x:c r="K109" s="6" t="str"/>
      <x:c r="L109" s="6" t="str">
        <x:v>Open</x:v>
      </x:c>
      <x:c r="M109" s="7" t="str"/>
    </x:row>
    <x:row r="110">
      <x:c r="A110" s="6" t="str">
        <x:v>ESC-000109</x:v>
      </x:c>
      <x:c r="B110" s="6" t="str">
        <x:v>Unsupported Relationship Review</x:v>
      </x:c>
      <x:c r="C110" s="6" t="str">
        <x:v>UNS000109</x:v>
      </x:c>
      <x:c r="D110" s="6" t="str">
        <x:v>SVC000109</x:v>
      </x:c>
      <x:c r="E110" s="6" t="str"/>
      <x:c r="F110" s="6" t="str">
        <x:v>Unsupported Relationship</x:v>
      </x:c>
      <x:c r="G110" s="7" t="str">
        <x:v>Device family alone is insufficient for governed relationship.</x:v>
      </x:c>
      <x:c r="H110" s="7" t="str">
        <x:v>Explicit governed evidence supporting relationship</x:v>
      </x:c>
      <x:c r="I110" s="6" t="str"/>
      <x:c r="J110" s="6" t="str"/>
      <x:c r="K110" s="6" t="str"/>
      <x:c r="L110" s="6" t="str">
        <x:v>Open</x:v>
      </x:c>
      <x:c r="M110" s="7" t="str"/>
    </x:row>
    <x:row r="111">
      <x:c r="A111" s="6" t="str">
        <x:v>ESC-000110</x:v>
      </x:c>
      <x:c r="B111" s="6" t="str">
        <x:v>Unsupported Relationship Review</x:v>
      </x:c>
      <x:c r="C111" s="6" t="str">
        <x:v>UNS000110</x:v>
      </x:c>
      <x:c r="D111" s="6" t="str">
        <x:v>SVC000110</x:v>
      </x:c>
      <x:c r="E111" s="6" t="str"/>
      <x:c r="F111" s="6" t="str">
        <x:v>Unsupported Relationship</x:v>
      </x:c>
      <x:c r="G111" s="7" t="str">
        <x:v>Device family alone is insufficient for governed relationship.</x:v>
      </x:c>
      <x:c r="H111" s="7" t="str">
        <x:v>Explicit governed evidence supporting relationship</x:v>
      </x:c>
      <x:c r="I111" s="6" t="str"/>
      <x:c r="J111" s="6" t="str"/>
      <x:c r="K111" s="6" t="str"/>
      <x:c r="L111" s="6" t="str">
        <x:v>Open</x:v>
      </x:c>
      <x:c r="M111" s="7" t="str"/>
    </x:row>
    <x:row r="112">
      <x:c r="A112" s="6" t="str">
        <x:v>ESC-000111</x:v>
      </x:c>
      <x:c r="B112" s="6" t="str">
        <x:v>Unsupported Relationship Review</x:v>
      </x:c>
      <x:c r="C112" s="6" t="str">
        <x:v>UNS000111</x:v>
      </x:c>
      <x:c r="D112" s="6" t="str">
        <x:v>SVC000111</x:v>
      </x:c>
      <x:c r="E112" s="6" t="str"/>
      <x:c r="F112" s="6" t="str">
        <x:v>Unsupported Relationship</x:v>
      </x:c>
      <x:c r="G112" s="7" t="str">
        <x:v>Device family alone is insufficient for governed relationship.</x:v>
      </x:c>
      <x:c r="H112" s="7" t="str">
        <x:v>Explicit governed evidence supporting relationship</x:v>
      </x:c>
      <x:c r="I112" s="6" t="str"/>
      <x:c r="J112" s="6" t="str"/>
      <x:c r="K112" s="6" t="str"/>
      <x:c r="L112" s="6" t="str">
        <x:v>Open</x:v>
      </x:c>
      <x:c r="M112" s="7" t="str"/>
    </x:row>
    <x:row r="113">
      <x:c r="A113" s="6" t="str">
        <x:v>ESC-000112</x:v>
      </x:c>
      <x:c r="B113" s="6" t="str">
        <x:v>Unsupported Relationship Review</x:v>
      </x:c>
      <x:c r="C113" s="6" t="str">
        <x:v>UNS000112</x:v>
      </x:c>
      <x:c r="D113" s="6" t="str">
        <x:v>SVC000112</x:v>
      </x:c>
      <x:c r="E113" s="6" t="str"/>
      <x:c r="F113" s="6" t="str">
        <x:v>Unsupported Relationship</x:v>
      </x:c>
      <x:c r="G113" s="7" t="str">
        <x:v>Device family alone is insufficient for governed relationship.</x:v>
      </x:c>
      <x:c r="H113" s="7" t="str">
        <x:v>Explicit governed evidence supporting relationship</x:v>
      </x:c>
      <x:c r="I113" s="6" t="str"/>
      <x:c r="J113" s="6" t="str"/>
      <x:c r="K113" s="6" t="str"/>
      <x:c r="L113" s="6" t="str">
        <x:v>Open</x:v>
      </x:c>
      <x:c r="M113" s="7" t="str"/>
    </x:row>
    <x:row r="114">
      <x:c r="A114" s="6" t="str">
        <x:v>ESC-000113</x:v>
      </x:c>
      <x:c r="B114" s="6" t="str">
        <x:v>Unsupported Relationship Review</x:v>
      </x:c>
      <x:c r="C114" s="6" t="str">
        <x:v>UNS000113</x:v>
      </x:c>
      <x:c r="D114" s="6" t="str">
        <x:v>SVC000113</x:v>
      </x:c>
      <x:c r="E114" s="6" t="str"/>
      <x:c r="F114" s="6" t="str">
        <x:v>Unsupported Relationship</x:v>
      </x:c>
      <x:c r="G114" s="7" t="str">
        <x:v>Device family alone is insufficient for governed relationship.</x:v>
      </x:c>
      <x:c r="H114" s="7" t="str">
        <x:v>Explicit governed evidence supporting relationship</x:v>
      </x:c>
      <x:c r="I114" s="6" t="str"/>
      <x:c r="J114" s="6" t="str"/>
      <x:c r="K114" s="6" t="str"/>
      <x:c r="L114" s="6" t="str">
        <x:v>Open</x:v>
      </x:c>
      <x:c r="M114" s="7" t="str"/>
    </x:row>
    <x:row r="115">
      <x:c r="A115" s="6" t="str">
        <x:v>ESC-000114</x:v>
      </x:c>
      <x:c r="B115" s="6" t="str">
        <x:v>Unsupported Relationship Review</x:v>
      </x:c>
      <x:c r="C115" s="6" t="str">
        <x:v>UNS000114</x:v>
      </x:c>
      <x:c r="D115" s="6" t="str">
        <x:v>SVC000114</x:v>
      </x:c>
      <x:c r="E115" s="6" t="str"/>
      <x:c r="F115" s="6" t="str">
        <x:v>Unsupported Relationship</x:v>
      </x:c>
      <x:c r="G115" s="7" t="str">
        <x:v>Device family alone is insufficient for governed relationship.</x:v>
      </x:c>
      <x:c r="H115" s="7" t="str">
        <x:v>Explicit governed evidence supporting relationship</x:v>
      </x:c>
      <x:c r="I115" s="6" t="str"/>
      <x:c r="J115" s="6" t="str"/>
      <x:c r="K115" s="6" t="str"/>
      <x:c r="L115" s="6" t="str">
        <x:v>Open</x:v>
      </x:c>
      <x:c r="M115" s="7" t="str"/>
    </x:row>
    <x:row r="116">
      <x:c r="A116" s="6" t="str">
        <x:v>ESC-000115</x:v>
      </x:c>
      <x:c r="B116" s="6" t="str">
        <x:v>Unsupported Relationship Review</x:v>
      </x:c>
      <x:c r="C116" s="6" t="str">
        <x:v>UNS000115</x:v>
      </x:c>
      <x:c r="D116" s="6" t="str">
        <x:v>SVC000115</x:v>
      </x:c>
      <x:c r="E116" s="6" t="str"/>
      <x:c r="F116" s="6" t="str">
        <x:v>Unsupported Relationship</x:v>
      </x:c>
      <x:c r="G116" s="7" t="str">
        <x:v>Device family alone is insufficient for governed relationship.</x:v>
      </x:c>
      <x:c r="H116" s="7" t="str">
        <x:v>Explicit governed evidence supporting relationship</x:v>
      </x:c>
      <x:c r="I116" s="6" t="str"/>
      <x:c r="J116" s="6" t="str"/>
      <x:c r="K116" s="6" t="str"/>
      <x:c r="L116" s="6" t="str">
        <x:v>Open</x:v>
      </x:c>
      <x:c r="M116" s="7" t="str"/>
    </x:row>
    <x:row r="117">
      <x:c r="A117" s="6" t="str">
        <x:v>ESC-000116</x:v>
      </x:c>
      <x:c r="B117" s="6" t="str">
        <x:v>Unsupported Relationship Review</x:v>
      </x:c>
      <x:c r="C117" s="6" t="str">
        <x:v>UNS000116</x:v>
      </x:c>
      <x:c r="D117" s="6" t="str">
        <x:v>SVC000116</x:v>
      </x:c>
      <x:c r="E117" s="6" t="str"/>
      <x:c r="F117" s="6" t="str">
        <x:v>Unsupported Relationship</x:v>
      </x:c>
      <x:c r="G117" s="7" t="str">
        <x:v>Device family alone is insufficient for governed relationship.</x:v>
      </x:c>
      <x:c r="H117" s="7" t="str">
        <x:v>Explicit governed evidence supporting relationship</x:v>
      </x:c>
      <x:c r="I117" s="6" t="str"/>
      <x:c r="J117" s="6" t="str"/>
      <x:c r="K117" s="6" t="str"/>
      <x:c r="L117" s="6" t="str">
        <x:v>Open</x:v>
      </x:c>
      <x:c r="M117" s="7" t="str"/>
    </x:row>
    <x:row r="118">
      <x:c r="A118" s="6" t="str">
        <x:v>ESC-000117</x:v>
      </x:c>
      <x:c r="B118" s="6" t="str">
        <x:v>Unsupported Relationship Review</x:v>
      </x:c>
      <x:c r="C118" s="6" t="str">
        <x:v>UNS000117</x:v>
      </x:c>
      <x:c r="D118" s="6" t="str">
        <x:v>SVC000117</x:v>
      </x:c>
      <x:c r="E118" s="6" t="str"/>
      <x:c r="F118" s="6" t="str">
        <x:v>Unsupported Relationship</x:v>
      </x:c>
      <x:c r="G118" s="7" t="str">
        <x:v>Device family alone is insufficient for governed relationship.</x:v>
      </x:c>
      <x:c r="H118" s="7" t="str">
        <x:v>Explicit governed evidence supporting relationship</x:v>
      </x:c>
      <x:c r="I118" s="6" t="str"/>
      <x:c r="J118" s="6" t="str"/>
      <x:c r="K118" s="6" t="str"/>
      <x:c r="L118" s="6" t="str">
        <x:v>Open</x:v>
      </x:c>
      <x:c r="M118" s="7" t="str"/>
    </x:row>
    <x:row r="119">
      <x:c r="A119" s="6" t="str">
        <x:v>ESC-000118</x:v>
      </x:c>
      <x:c r="B119" s="6" t="str">
        <x:v>Unsupported Relationship Review</x:v>
      </x:c>
      <x:c r="C119" s="6" t="str">
        <x:v>UNS000118</x:v>
      </x:c>
      <x:c r="D119" s="6" t="str">
        <x:v>SVC000118</x:v>
      </x:c>
      <x:c r="E119" s="6" t="str"/>
      <x:c r="F119" s="6" t="str">
        <x:v>Unsupported Relationship</x:v>
      </x:c>
      <x:c r="G119" s="7" t="str">
        <x:v>Device family alone is insufficient for governed relationship.</x:v>
      </x:c>
      <x:c r="H119" s="7" t="str">
        <x:v>Explicit governed evidence supporting relationship</x:v>
      </x:c>
      <x:c r="I119" s="6" t="str"/>
      <x:c r="J119" s="6" t="str"/>
      <x:c r="K119" s="6" t="str"/>
      <x:c r="L119" s="6" t="str">
        <x:v>Open</x:v>
      </x:c>
      <x:c r="M119" s="7" t="str"/>
    </x:row>
    <x:row r="120">
      <x:c r="A120" s="6" t="str">
        <x:v>ESC-000119</x:v>
      </x:c>
      <x:c r="B120" s="6" t="str">
        <x:v>Unsupported Relationship Review</x:v>
      </x:c>
      <x:c r="C120" s="6" t="str">
        <x:v>UNS000119</x:v>
      </x:c>
      <x:c r="D120" s="6" t="str">
        <x:v>SVC000119</x:v>
      </x:c>
      <x:c r="E120" s="6" t="str"/>
      <x:c r="F120" s="6" t="str">
        <x:v>Unsupported Relationship</x:v>
      </x:c>
      <x:c r="G120" s="7" t="str">
        <x:v>Device family alone is insufficient for governed relationship.</x:v>
      </x:c>
      <x:c r="H120" s="7" t="str">
        <x:v>Explicit governed evidence supporting relationship</x:v>
      </x:c>
      <x:c r="I120" s="6" t="str"/>
      <x:c r="J120" s="6" t="str"/>
      <x:c r="K120" s="6" t="str"/>
      <x:c r="L120" s="6" t="str">
        <x:v>Open</x:v>
      </x:c>
      <x:c r="M120" s="7" t="str"/>
    </x:row>
    <x:row r="121">
      <x:c r="A121" s="6" t="str">
        <x:v>ESC-000120</x:v>
      </x:c>
      <x:c r="B121" s="6" t="str">
        <x:v>Unsupported Relationship Review</x:v>
      </x:c>
      <x:c r="C121" s="6" t="str">
        <x:v>UNS000120</x:v>
      </x:c>
      <x:c r="D121" s="6" t="str">
        <x:v>SVC000120</x:v>
      </x:c>
      <x:c r="E121" s="6" t="str"/>
      <x:c r="F121" s="6" t="str">
        <x:v>Unsupported Relationship</x:v>
      </x:c>
      <x:c r="G121" s="7" t="str">
        <x:v>Device family alone is insufficient for governed relationship.</x:v>
      </x:c>
      <x:c r="H121" s="7" t="str">
        <x:v>Explicit governed evidence supporting relationship</x:v>
      </x:c>
      <x:c r="I121" s="6" t="str"/>
      <x:c r="J121" s="6" t="str"/>
      <x:c r="K121" s="6" t="str"/>
      <x:c r="L121" s="6" t="str">
        <x:v>Open</x:v>
      </x:c>
      <x:c r="M121" s="7" t="str"/>
    </x:row>
    <x:row r="122">
      <x:c r="A122" s="6" t="str">
        <x:v>ESC-000121</x:v>
      </x:c>
      <x:c r="B122" s="6" t="str">
        <x:v>Unsupported Relationship Review</x:v>
      </x:c>
      <x:c r="C122" s="6" t="str">
        <x:v>UNS000121</x:v>
      </x:c>
      <x:c r="D122" s="6" t="str">
        <x:v>SVC000121</x:v>
      </x:c>
      <x:c r="E122" s="6" t="str"/>
      <x:c r="F122" s="6" t="str">
        <x:v>Unsupported Relationship</x:v>
      </x:c>
      <x:c r="G122" s="7" t="str">
        <x:v>Device family alone is insufficient for governed relationship.</x:v>
      </x:c>
      <x:c r="H122" s="7" t="str">
        <x:v>Explicit governed evidence supporting relationship</x:v>
      </x:c>
      <x:c r="I122" s="6" t="str"/>
      <x:c r="J122" s="6" t="str"/>
      <x:c r="K122" s="6" t="str"/>
      <x:c r="L122" s="6" t="str">
        <x:v>Open</x:v>
      </x:c>
      <x:c r="M122" s="7" t="str"/>
    </x:row>
    <x:row r="123">
      <x:c r="A123" s="6" t="str">
        <x:v>ESC-000122</x:v>
      </x:c>
      <x:c r="B123" s="6" t="str">
        <x:v>Unsupported Relationship Review</x:v>
      </x:c>
      <x:c r="C123" s="6" t="str">
        <x:v>UNS000122</x:v>
      </x:c>
      <x:c r="D123" s="6" t="str">
        <x:v>SVC000122</x:v>
      </x:c>
      <x:c r="E123" s="6" t="str"/>
      <x:c r="F123" s="6" t="str">
        <x:v>Unsupported Relationship</x:v>
      </x:c>
      <x:c r="G123" s="7" t="str">
        <x:v>Device family alone is insufficient for governed relationship.</x:v>
      </x:c>
      <x:c r="H123" s="7" t="str">
        <x:v>Explicit governed evidence supporting relationship</x:v>
      </x:c>
      <x:c r="I123" s="6" t="str"/>
      <x:c r="J123" s="6" t="str"/>
      <x:c r="K123" s="6" t="str"/>
      <x:c r="L123" s="6" t="str">
        <x:v>Open</x:v>
      </x:c>
      <x:c r="M123" s="7" t="str"/>
    </x:row>
    <x:row r="124">
      <x:c r="A124" s="6" t="str">
        <x:v>ESC-000123</x:v>
      </x:c>
      <x:c r="B124" s="6" t="str">
        <x:v>Unsupported Relationship Review</x:v>
      </x:c>
      <x:c r="C124" s="6" t="str">
        <x:v>UNS000123</x:v>
      </x:c>
      <x:c r="D124" s="6" t="str">
        <x:v>SVC000123</x:v>
      </x:c>
      <x:c r="E124" s="6" t="str"/>
      <x:c r="F124" s="6" t="str">
        <x:v>Unsupported Relationship</x:v>
      </x:c>
      <x:c r="G124" s="7" t="str">
        <x:v>Device family alone is insufficient for governed relationship.</x:v>
      </x:c>
      <x:c r="H124" s="7" t="str">
        <x:v>Explicit governed evidence supporting relationship</x:v>
      </x:c>
      <x:c r="I124" s="6" t="str"/>
      <x:c r="J124" s="6" t="str"/>
      <x:c r="K124" s="6" t="str"/>
      <x:c r="L124" s="6" t="str">
        <x:v>Open</x:v>
      </x:c>
      <x:c r="M124" s="7" t="str"/>
    </x:row>
    <x:row r="125">
      <x:c r="A125" s="6" t="str">
        <x:v>ESC-000124</x:v>
      </x:c>
      <x:c r="B125" s="6" t="str">
        <x:v>Unsupported Relationship Review</x:v>
      </x:c>
      <x:c r="C125" s="6" t="str">
        <x:v>UNS000124</x:v>
      </x:c>
      <x:c r="D125" s="6" t="str">
        <x:v>SVC000124</x:v>
      </x:c>
      <x:c r="E125" s="6" t="str"/>
      <x:c r="F125" s="6" t="str">
        <x:v>Unsupported Relationship</x:v>
      </x:c>
      <x:c r="G125" s="7" t="str">
        <x:v>Device family alone is insufficient for governed relationship.</x:v>
      </x:c>
      <x:c r="H125" s="7" t="str">
        <x:v>Explicit governed evidence supporting relationship</x:v>
      </x:c>
      <x:c r="I125" s="6" t="str"/>
      <x:c r="J125" s="6" t="str"/>
      <x:c r="K125" s="6" t="str"/>
      <x:c r="L125" s="6" t="str">
        <x:v>Open</x:v>
      </x:c>
      <x:c r="M125" s="7" t="str"/>
    </x:row>
    <x:row r="126">
      <x:c r="A126" s="6" t="str">
        <x:v>ESC-000125</x:v>
      </x:c>
      <x:c r="B126" s="6" t="str">
        <x:v>Unsupported Relationship Review</x:v>
      </x:c>
      <x:c r="C126" s="6" t="str">
        <x:v>UNS000125</x:v>
      </x:c>
      <x:c r="D126" s="6" t="str">
        <x:v>SVC000125</x:v>
      </x:c>
      <x:c r="E126" s="6" t="str"/>
      <x:c r="F126" s="6" t="str">
        <x:v>Unsupported Relationship</x:v>
      </x:c>
      <x:c r="G126" s="7" t="str">
        <x:v>Device family alone is insufficient for governed relationship.</x:v>
      </x:c>
      <x:c r="H126" s="7" t="str">
        <x:v>Explicit governed evidence supporting relationship</x:v>
      </x:c>
      <x:c r="I126" s="6" t="str"/>
      <x:c r="J126" s="6" t="str"/>
      <x:c r="K126" s="6" t="str"/>
      <x:c r="L126" s="6" t="str">
        <x:v>Open</x:v>
      </x:c>
      <x:c r="M126" s="7" t="str"/>
    </x:row>
    <x:row r="127">
      <x:c r="A127" s="6" t="str">
        <x:v>ESC-000126</x:v>
      </x:c>
      <x:c r="B127" s="6" t="str">
        <x:v>Unsupported Relationship Review</x:v>
      </x:c>
      <x:c r="C127" s="6" t="str">
        <x:v>UNS000126</x:v>
      </x:c>
      <x:c r="D127" s="6" t="str">
        <x:v>SVC000126</x:v>
      </x:c>
      <x:c r="E127" s="6" t="str"/>
      <x:c r="F127" s="6" t="str">
        <x:v>Unsupported Relationship</x:v>
      </x:c>
      <x:c r="G127" s="7" t="str">
        <x:v>Device family alone is insufficient for governed relationship.</x:v>
      </x:c>
      <x:c r="H127" s="7" t="str">
        <x:v>Explicit governed evidence supporting relationship</x:v>
      </x:c>
      <x:c r="I127" s="6" t="str"/>
      <x:c r="J127" s="6" t="str"/>
      <x:c r="K127" s="6" t="str"/>
      <x:c r="L127" s="6" t="str">
        <x:v>Open</x:v>
      </x:c>
      <x:c r="M127" s="7" t="str"/>
    </x:row>
    <x:row r="128">
      <x:c r="A128" s="6" t="str">
        <x:v>ESC-000127</x:v>
      </x:c>
      <x:c r="B128" s="6" t="str">
        <x:v>Unsupported Relationship Review</x:v>
      </x:c>
      <x:c r="C128" s="6" t="str">
        <x:v>UNS000127</x:v>
      </x:c>
      <x:c r="D128" s="6" t="str">
        <x:v>SVC000127</x:v>
      </x:c>
      <x:c r="E128" s="6" t="str"/>
      <x:c r="F128" s="6" t="str">
        <x:v>Unsupported Relationship</x:v>
      </x:c>
      <x:c r="G128" s="7" t="str">
        <x:v>Device family alone is insufficient for governed relationship.</x:v>
      </x:c>
      <x:c r="H128" s="7" t="str">
        <x:v>Explicit governed evidence supporting relationship</x:v>
      </x:c>
      <x:c r="I128" s="6" t="str"/>
      <x:c r="J128" s="6" t="str"/>
      <x:c r="K128" s="6" t="str"/>
      <x:c r="L128" s="6" t="str">
        <x:v>Open</x:v>
      </x:c>
      <x:c r="M128" s="7" t="str"/>
    </x:row>
    <x:row r="129">
      <x:c r="A129" s="6" t="str">
        <x:v>ESC-000128</x:v>
      </x:c>
      <x:c r="B129" s="6" t="str">
        <x:v>Unsupported Relationship Review</x:v>
      </x:c>
      <x:c r="C129" s="6" t="str">
        <x:v>UNS000128</x:v>
      </x:c>
      <x:c r="D129" s="6" t="str">
        <x:v>SVC000128</x:v>
      </x:c>
      <x:c r="E129" s="6" t="str"/>
      <x:c r="F129" s="6" t="str">
        <x:v>Unsupported Relationship</x:v>
      </x:c>
      <x:c r="G129" s="7" t="str">
        <x:v>Device family alone is insufficient for governed relationship.</x:v>
      </x:c>
      <x:c r="H129" s="7" t="str">
        <x:v>Explicit governed evidence supporting relationship</x:v>
      </x:c>
      <x:c r="I129" s="6" t="str"/>
      <x:c r="J129" s="6" t="str"/>
      <x:c r="K129" s="6" t="str"/>
      <x:c r="L129" s="6" t="str">
        <x:v>Open</x:v>
      </x:c>
      <x:c r="M129" s="7" t="str"/>
    </x:row>
    <x:row r="130">
      <x:c r="A130" s="6" t="str">
        <x:v>ESC-000129</x:v>
      </x:c>
      <x:c r="B130" s="6" t="str">
        <x:v>Unsupported Relationship Review</x:v>
      </x:c>
      <x:c r="C130" s="6" t="str">
        <x:v>UNS000129</x:v>
      </x:c>
      <x:c r="D130" s="6" t="str">
        <x:v>SVC000129</x:v>
      </x:c>
      <x:c r="E130" s="6" t="str"/>
      <x:c r="F130" s="6" t="str">
        <x:v>Unsupported Relationship</x:v>
      </x:c>
      <x:c r="G130" s="7" t="str">
        <x:v>Device family alone is insufficient for governed relationship.</x:v>
      </x:c>
      <x:c r="H130" s="7" t="str">
        <x:v>Explicit governed evidence supporting relationship</x:v>
      </x:c>
      <x:c r="I130" s="6" t="str"/>
      <x:c r="J130" s="6" t="str"/>
      <x:c r="K130" s="6" t="str"/>
      <x:c r="L130" s="6" t="str">
        <x:v>Open</x:v>
      </x:c>
      <x:c r="M130" s="7" t="str"/>
    </x:row>
    <x:row r="131">
      <x:c r="A131" s="6" t="str">
        <x:v>ESC-000130</x:v>
      </x:c>
      <x:c r="B131" s="6" t="str">
        <x:v>Unsupported Relationship Review</x:v>
      </x:c>
      <x:c r="C131" s="6" t="str">
        <x:v>UNS000130</x:v>
      </x:c>
      <x:c r="D131" s="6" t="str">
        <x:v>SVC000130</x:v>
      </x:c>
      <x:c r="E131" s="6" t="str"/>
      <x:c r="F131" s="6" t="str">
        <x:v>Unsupported Relationship</x:v>
      </x:c>
      <x:c r="G131" s="7" t="str">
        <x:v>Device family alone is insufficient for governed relationship.</x:v>
      </x:c>
      <x:c r="H131" s="7" t="str">
        <x:v>Explicit governed evidence supporting relationship</x:v>
      </x:c>
      <x:c r="I131" s="6" t="str"/>
      <x:c r="J131" s="6" t="str"/>
      <x:c r="K131" s="6" t="str"/>
      <x:c r="L131" s="6" t="str">
        <x:v>Open</x:v>
      </x:c>
      <x:c r="M131" s="7" t="str"/>
    </x:row>
    <x:row r="132">
      <x:c r="A132" s="6" t="str">
        <x:v>ESC-000131</x:v>
      </x:c>
      <x:c r="B132" s="6" t="str">
        <x:v>Unsupported Relationship Review</x:v>
      </x:c>
      <x:c r="C132" s="6" t="str">
        <x:v>UNS000131</x:v>
      </x:c>
      <x:c r="D132" s="6" t="str">
        <x:v>SVC000131</x:v>
      </x:c>
      <x:c r="E132" s="6" t="str"/>
      <x:c r="F132" s="6" t="str">
        <x:v>Unsupported Relationship</x:v>
      </x:c>
      <x:c r="G132" s="7" t="str">
        <x:v>Device family alone is insufficient for governed relationship.</x:v>
      </x:c>
      <x:c r="H132" s="7" t="str">
        <x:v>Explicit governed evidence supporting relationship</x:v>
      </x:c>
      <x:c r="I132" s="6" t="str"/>
      <x:c r="J132" s="6" t="str"/>
      <x:c r="K132" s="6" t="str"/>
      <x:c r="L132" s="6" t="str">
        <x:v>Open</x:v>
      </x:c>
      <x:c r="M132" s="7" t="str"/>
    </x:row>
    <x:row r="133">
      <x:c r="A133" s="6" t="str">
        <x:v>ESC-000132</x:v>
      </x:c>
      <x:c r="B133" s="6" t="str">
        <x:v>Unsupported Relationship Review</x:v>
      </x:c>
      <x:c r="C133" s="6" t="str">
        <x:v>UNS000132</x:v>
      </x:c>
      <x:c r="D133" s="6" t="str">
        <x:v>SVC000132</x:v>
      </x:c>
      <x:c r="E133" s="6" t="str"/>
      <x:c r="F133" s="6" t="str">
        <x:v>Unsupported Relationship</x:v>
      </x:c>
      <x:c r="G133" s="7" t="str">
        <x:v>Device family alone is insufficient for governed relationship.</x:v>
      </x:c>
      <x:c r="H133" s="7" t="str">
        <x:v>Explicit governed evidence supporting relationship</x:v>
      </x:c>
      <x:c r="I133" s="6" t="str"/>
      <x:c r="J133" s="6" t="str"/>
      <x:c r="K133" s="6" t="str"/>
      <x:c r="L133" s="6" t="str">
        <x:v>Open</x:v>
      </x:c>
      <x:c r="M133" s="7" t="str"/>
    </x:row>
    <x:row r="134">
      <x:c r="A134" s="6" t="str">
        <x:v>ESC-000133</x:v>
      </x:c>
      <x:c r="B134" s="6" t="str">
        <x:v>Unsupported Relationship Review</x:v>
      </x:c>
      <x:c r="C134" s="6" t="str">
        <x:v>UNS000133</x:v>
      </x:c>
      <x:c r="D134" s="6" t="str">
        <x:v>SVC000133</x:v>
      </x:c>
      <x:c r="E134" s="6" t="str"/>
      <x:c r="F134" s="6" t="str">
        <x:v>Unsupported Relationship</x:v>
      </x:c>
      <x:c r="G134" s="7" t="str">
        <x:v>Device family alone is insufficient for governed relationship.</x:v>
      </x:c>
      <x:c r="H134" s="7" t="str">
        <x:v>Explicit governed evidence supporting relationship</x:v>
      </x:c>
      <x:c r="I134" s="6" t="str"/>
      <x:c r="J134" s="6" t="str"/>
      <x:c r="K134" s="6" t="str"/>
      <x:c r="L134" s="6" t="str">
        <x:v>Open</x:v>
      </x:c>
      <x:c r="M134" s="7" t="str"/>
    </x:row>
    <x:row r="135">
      <x:c r="A135" s="6" t="str">
        <x:v>ESC-000134</x:v>
      </x:c>
      <x:c r="B135" s="6" t="str">
        <x:v>Unsupported Relationship Review</x:v>
      </x:c>
      <x:c r="C135" s="6" t="str">
        <x:v>UNS000134</x:v>
      </x:c>
      <x:c r="D135" s="6" t="str">
        <x:v>SVC000134</x:v>
      </x:c>
      <x:c r="E135" s="6" t="str"/>
      <x:c r="F135" s="6" t="str">
        <x:v>Unsupported Relationship</x:v>
      </x:c>
      <x:c r="G135" s="7" t="str">
        <x:v>Device family alone is insufficient for governed relationship.</x:v>
      </x:c>
      <x:c r="H135" s="7" t="str">
        <x:v>Explicit governed evidence supporting relationship</x:v>
      </x:c>
      <x:c r="I135" s="6" t="str"/>
      <x:c r="J135" s="6" t="str"/>
      <x:c r="K135" s="6" t="str"/>
      <x:c r="L135" s="6" t="str">
        <x:v>Open</x:v>
      </x:c>
      <x:c r="M135" s="7" t="str"/>
    </x:row>
    <x:row r="136">
      <x:c r="A136" s="6" t="str">
        <x:v>ESC-000135</x:v>
      </x:c>
      <x:c r="B136" s="6" t="str">
        <x:v>Unsupported Relationship Review</x:v>
      </x:c>
      <x:c r="C136" s="6" t="str">
        <x:v>UNS000135</x:v>
      </x:c>
      <x:c r="D136" s="6" t="str">
        <x:v>SVC000135</x:v>
      </x:c>
      <x:c r="E136" s="6" t="str"/>
      <x:c r="F136" s="6" t="str">
        <x:v>Unsupported Relationship</x:v>
      </x:c>
      <x:c r="G136" s="7" t="str">
        <x:v>Device family alone is insufficient for governed relationship.</x:v>
      </x:c>
      <x:c r="H136" s="7" t="str">
        <x:v>Explicit governed evidence supporting relationship</x:v>
      </x:c>
      <x:c r="I136" s="6" t="str"/>
      <x:c r="J136" s="6" t="str"/>
      <x:c r="K136" s="6" t="str"/>
      <x:c r="L136" s="6" t="str">
        <x:v>Open</x:v>
      </x:c>
      <x:c r="M136" s="7" t="str"/>
    </x:row>
    <x:row r="137">
      <x:c r="A137" s="6" t="str">
        <x:v>ESC-000136</x:v>
      </x:c>
      <x:c r="B137" s="6" t="str">
        <x:v>Unsupported Relationship Review</x:v>
      </x:c>
      <x:c r="C137" s="6" t="str">
        <x:v>UNS000136</x:v>
      </x:c>
      <x:c r="D137" s="6" t="str">
        <x:v>SVC000136</x:v>
      </x:c>
      <x:c r="E137" s="6" t="str"/>
      <x:c r="F137" s="6" t="str">
        <x:v>Unsupported Relationship</x:v>
      </x:c>
      <x:c r="G137" s="7" t="str">
        <x:v>Device family alone is insufficient for governed relationship.</x:v>
      </x:c>
      <x:c r="H137" s="7" t="str">
        <x:v>Explicit governed evidence supporting relationship</x:v>
      </x:c>
      <x:c r="I137" s="6" t="str"/>
      <x:c r="J137" s="6" t="str"/>
      <x:c r="K137" s="6" t="str"/>
      <x:c r="L137" s="6" t="str">
        <x:v>Open</x:v>
      </x:c>
      <x:c r="M137" s="7" t="str"/>
    </x:row>
    <x:row r="138">
      <x:c r="A138" s="6" t="str">
        <x:v>ESC-000137</x:v>
      </x:c>
      <x:c r="B138" s="6" t="str">
        <x:v>Unsupported Relationship Review</x:v>
      </x:c>
      <x:c r="C138" s="6" t="str">
        <x:v>UNS000137</x:v>
      </x:c>
      <x:c r="D138" s="6" t="str">
        <x:v>SVC000137</x:v>
      </x:c>
      <x:c r="E138" s="6" t="str"/>
      <x:c r="F138" s="6" t="str">
        <x:v>Unsupported Relationship</x:v>
      </x:c>
      <x:c r="G138" s="7" t="str">
        <x:v>Device family alone is insufficient for governed relationship.</x:v>
      </x:c>
      <x:c r="H138" s="7" t="str">
        <x:v>Explicit governed evidence supporting relationship</x:v>
      </x:c>
      <x:c r="I138" s="6" t="str"/>
      <x:c r="J138" s="6" t="str"/>
      <x:c r="K138" s="6" t="str"/>
      <x:c r="L138" s="6" t="str">
        <x:v>Open</x:v>
      </x:c>
      <x:c r="M138" s="7" t="str"/>
    </x:row>
    <x:row r="139">
      <x:c r="A139" s="6" t="str">
        <x:v>ESC-000138</x:v>
      </x:c>
      <x:c r="B139" s="6" t="str">
        <x:v>Unsupported Relationship Review</x:v>
      </x:c>
      <x:c r="C139" s="6" t="str">
        <x:v>UNS000138</x:v>
      </x:c>
      <x:c r="D139" s="6" t="str">
        <x:v>SVC000138</x:v>
      </x:c>
      <x:c r="E139" s="6" t="str"/>
      <x:c r="F139" s="6" t="str">
        <x:v>Unsupported Relationship</x:v>
      </x:c>
      <x:c r="G139" s="7" t="str">
        <x:v>Device family alone is insufficient for governed relationship.</x:v>
      </x:c>
      <x:c r="H139" s="7" t="str">
        <x:v>Explicit governed evidence supporting relationship</x:v>
      </x:c>
      <x:c r="I139" s="6" t="str"/>
      <x:c r="J139" s="6" t="str"/>
      <x:c r="K139" s="6" t="str"/>
      <x:c r="L139" s="6" t="str">
        <x:v>Open</x:v>
      </x:c>
      <x:c r="M139" s="7" t="str"/>
    </x:row>
    <x:row r="140">
      <x:c r="A140" s="6" t="str">
        <x:v>ESC-000139</x:v>
      </x:c>
      <x:c r="B140" s="6" t="str">
        <x:v>Unsupported Relationship Review</x:v>
      </x:c>
      <x:c r="C140" s="6" t="str">
        <x:v>UNS000139</x:v>
      </x:c>
      <x:c r="D140" s="6" t="str">
        <x:v>SVC000139</x:v>
      </x:c>
      <x:c r="E140" s="6" t="str"/>
      <x:c r="F140" s="6" t="str">
        <x:v>Unsupported Relationship</x:v>
      </x:c>
      <x:c r="G140" s="7" t="str">
        <x:v>Device family alone is insufficient for governed relationship.</x:v>
      </x:c>
      <x:c r="H140" s="7" t="str">
        <x:v>Explicit governed evidence supporting relationship</x:v>
      </x:c>
      <x:c r="I140" s="6" t="str"/>
      <x:c r="J140" s="6" t="str"/>
      <x:c r="K140" s="6" t="str"/>
      <x:c r="L140" s="6" t="str">
        <x:v>Open</x:v>
      </x:c>
      <x:c r="M140" s="7" t="str"/>
    </x:row>
    <x:row r="141">
      <x:c r="A141" s="6" t="str">
        <x:v>ESC-000140</x:v>
      </x:c>
      <x:c r="B141" s="6" t="str">
        <x:v>Unsupported Relationship Review</x:v>
      </x:c>
      <x:c r="C141" s="6" t="str">
        <x:v>UNS000140</x:v>
      </x:c>
      <x:c r="D141" s="6" t="str">
        <x:v>SVC000140</x:v>
      </x:c>
      <x:c r="E141" s="6" t="str"/>
      <x:c r="F141" s="6" t="str">
        <x:v>Unsupported Relationship</x:v>
      </x:c>
      <x:c r="G141" s="7" t="str">
        <x:v>Device family alone is insufficient for governed relationship.</x:v>
      </x:c>
      <x:c r="H141" s="7" t="str">
        <x:v>Explicit governed evidence supporting relationship</x:v>
      </x:c>
      <x:c r="I141" s="6" t="str"/>
      <x:c r="J141" s="6" t="str"/>
      <x:c r="K141" s="6" t="str"/>
      <x:c r="L141" s="6" t="str">
        <x:v>Open</x:v>
      </x:c>
      <x:c r="M141" s="7" t="str"/>
    </x:row>
    <x:row r="142">
      <x:c r="A142" s="6" t="str">
        <x:v>ESC-000141</x:v>
      </x:c>
      <x:c r="B142" s="6" t="str">
        <x:v>Unsupported Relationship Review</x:v>
      </x:c>
      <x:c r="C142" s="6" t="str">
        <x:v>UNS000141</x:v>
      </x:c>
      <x:c r="D142" s="6" t="str">
        <x:v>SVC000141</x:v>
      </x:c>
      <x:c r="E142" s="6" t="str"/>
      <x:c r="F142" s="6" t="str">
        <x:v>Unsupported Relationship</x:v>
      </x:c>
      <x:c r="G142" s="7" t="str">
        <x:v>Device family alone is insufficient for governed relationship.</x:v>
      </x:c>
      <x:c r="H142" s="7" t="str">
        <x:v>Explicit governed evidence supporting relationship</x:v>
      </x:c>
      <x:c r="I142" s="6" t="str"/>
      <x:c r="J142" s="6" t="str"/>
      <x:c r="K142" s="6" t="str"/>
      <x:c r="L142" s="6" t="str">
        <x:v>Open</x:v>
      </x:c>
      <x:c r="M142" s="7" t="str"/>
    </x:row>
    <x:row r="143">
      <x:c r="A143" s="6" t="str">
        <x:v>ESC-000142</x:v>
      </x:c>
      <x:c r="B143" s="6" t="str">
        <x:v>Unsupported Relationship Review</x:v>
      </x:c>
      <x:c r="C143" s="6" t="str">
        <x:v>UNS000142</x:v>
      </x:c>
      <x:c r="D143" s="6" t="str">
        <x:v>SVC000142</x:v>
      </x:c>
      <x:c r="E143" s="6" t="str"/>
      <x:c r="F143" s="6" t="str">
        <x:v>Unsupported Relationship</x:v>
      </x:c>
      <x:c r="G143" s="7" t="str">
        <x:v>Device family alone is insufficient for governed relationship.</x:v>
      </x:c>
      <x:c r="H143" s="7" t="str">
        <x:v>Explicit governed evidence supporting relationship</x:v>
      </x:c>
      <x:c r="I143" s="6" t="str"/>
      <x:c r="J143" s="6" t="str"/>
      <x:c r="K143" s="6" t="str"/>
      <x:c r="L143" s="6" t="str">
        <x:v>Open</x:v>
      </x:c>
      <x:c r="M143" s="7" t="str"/>
    </x:row>
    <x:row r="144">
      <x:c r="A144" s="6" t="str">
        <x:v>ESC-000143</x:v>
      </x:c>
      <x:c r="B144" s="6" t="str">
        <x:v>Unsupported Relationship Review</x:v>
      </x:c>
      <x:c r="C144" s="6" t="str">
        <x:v>UNS000143</x:v>
      </x:c>
      <x:c r="D144" s="6" t="str">
        <x:v>SVC000143</x:v>
      </x:c>
      <x:c r="E144" s="6" t="str"/>
      <x:c r="F144" s="6" t="str">
        <x:v>Unsupported Relationship</x:v>
      </x:c>
      <x:c r="G144" s="7" t="str">
        <x:v>Device family alone is insufficient for governed relationship.</x:v>
      </x:c>
      <x:c r="H144" s="7" t="str">
        <x:v>Explicit governed evidence supporting relationship</x:v>
      </x:c>
      <x:c r="I144" s="6" t="str"/>
      <x:c r="J144" s="6" t="str"/>
      <x:c r="K144" s="6" t="str"/>
      <x:c r="L144" s="6" t="str">
        <x:v>Open</x:v>
      </x:c>
      <x:c r="M144" s="7" t="str"/>
    </x:row>
    <x:row r="145">
      <x:c r="A145" s="6" t="str">
        <x:v>ESC-000144</x:v>
      </x:c>
      <x:c r="B145" s="6" t="str">
        <x:v>Unsupported Relationship Review</x:v>
      </x:c>
      <x:c r="C145" s="6" t="str">
        <x:v>UNS000144</x:v>
      </x:c>
      <x:c r="D145" s="6" t="str">
        <x:v>SVC000144</x:v>
      </x:c>
      <x:c r="E145" s="6" t="str"/>
      <x:c r="F145" s="6" t="str">
        <x:v>Unsupported Relationship</x:v>
      </x:c>
      <x:c r="G145" s="7" t="str">
        <x:v>Device family alone is insufficient for governed relationship.</x:v>
      </x:c>
      <x:c r="H145" s="7" t="str">
        <x:v>Explicit governed evidence supporting relationship</x:v>
      </x:c>
      <x:c r="I145" s="6" t="str"/>
      <x:c r="J145" s="6" t="str"/>
      <x:c r="K145" s="6" t="str"/>
      <x:c r="L145" s="6" t="str">
        <x:v>Open</x:v>
      </x:c>
      <x:c r="M145" s="7" t="str"/>
    </x:row>
    <x:row r="146">
      <x:c r="A146" s="6" t="str">
        <x:v>ESC-000145</x:v>
      </x:c>
      <x:c r="B146" s="6" t="str">
        <x:v>Unsupported Relationship Review</x:v>
      </x:c>
      <x:c r="C146" s="6" t="str">
        <x:v>UNS000145</x:v>
      </x:c>
      <x:c r="D146" s="6" t="str">
        <x:v>SVC000145</x:v>
      </x:c>
      <x:c r="E146" s="6" t="str"/>
      <x:c r="F146" s="6" t="str">
        <x:v>Unsupported Relationship</x:v>
      </x:c>
      <x:c r="G146" s="7" t="str">
        <x:v>Device family alone is insufficient for governed relationship.</x:v>
      </x:c>
      <x:c r="H146" s="7" t="str">
        <x:v>Explicit governed evidence supporting relationship</x:v>
      </x:c>
      <x:c r="I146" s="6" t="str"/>
      <x:c r="J146" s="6" t="str"/>
      <x:c r="K146" s="6" t="str"/>
      <x:c r="L146" s="6" t="str">
        <x:v>Open</x:v>
      </x:c>
      <x:c r="M146" s="7" t="str"/>
    </x:row>
    <x:row r="147">
      <x:c r="A147" s="6" t="str">
        <x:v>ESC-000146</x:v>
      </x:c>
      <x:c r="B147" s="6" t="str">
        <x:v>Unsupported Relationship Review</x:v>
      </x:c>
      <x:c r="C147" s="6" t="str">
        <x:v>UNS000146</x:v>
      </x:c>
      <x:c r="D147" s="6" t="str">
        <x:v>SVC000146</x:v>
      </x:c>
      <x:c r="E147" s="6" t="str"/>
      <x:c r="F147" s="6" t="str">
        <x:v>Unsupported Relationship</x:v>
      </x:c>
      <x:c r="G147" s="7" t="str">
        <x:v>Device family alone is insufficient for governed relationship.</x:v>
      </x:c>
      <x:c r="H147" s="7" t="str">
        <x:v>Explicit governed evidence supporting relationship</x:v>
      </x:c>
      <x:c r="I147" s="6" t="str"/>
      <x:c r="J147" s="6" t="str"/>
      <x:c r="K147" s="6" t="str"/>
      <x:c r="L147" s="6" t="str">
        <x:v>Open</x:v>
      </x:c>
      <x:c r="M147" s="7" t="str"/>
    </x:row>
    <x:row r="148">
      <x:c r="A148" s="6" t="str">
        <x:v>ESC-000147</x:v>
      </x:c>
      <x:c r="B148" s="6" t="str">
        <x:v>Unsupported Relationship Review</x:v>
      </x:c>
      <x:c r="C148" s="6" t="str">
        <x:v>UNS000147</x:v>
      </x:c>
      <x:c r="D148" s="6" t="str">
        <x:v>SVC000147</x:v>
      </x:c>
      <x:c r="E148" s="6" t="str"/>
      <x:c r="F148" s="6" t="str">
        <x:v>Unsupported Relationship</x:v>
      </x:c>
      <x:c r="G148" s="7" t="str">
        <x:v>Device family alone is insufficient for governed relationship.</x:v>
      </x:c>
      <x:c r="H148" s="7" t="str">
        <x:v>Explicit governed evidence supporting relationship</x:v>
      </x:c>
      <x:c r="I148" s="6" t="str"/>
      <x:c r="J148" s="6" t="str"/>
      <x:c r="K148" s="6" t="str"/>
      <x:c r="L148" s="6" t="str">
        <x:v>Open</x:v>
      </x:c>
      <x:c r="M148" s="7" t="str"/>
    </x:row>
    <x:row r="149">
      <x:c r="A149" s="6" t="str">
        <x:v>ESC-000148</x:v>
      </x:c>
      <x:c r="B149" s="6" t="str">
        <x:v>Unsupported Relationship Review</x:v>
      </x:c>
      <x:c r="C149" s="6" t="str">
        <x:v>UNS000148</x:v>
      </x:c>
      <x:c r="D149" s="6" t="str">
        <x:v>SVC000148</x:v>
      </x:c>
      <x:c r="E149" s="6" t="str"/>
      <x:c r="F149" s="6" t="str">
        <x:v>Unsupported Relationship</x:v>
      </x:c>
      <x:c r="G149" s="7" t="str">
        <x:v>Device family alone is insufficient for governed relationship.</x:v>
      </x:c>
      <x:c r="H149" s="7" t="str">
        <x:v>Explicit governed evidence supporting relationship</x:v>
      </x:c>
      <x:c r="I149" s="6" t="str"/>
      <x:c r="J149" s="6" t="str"/>
      <x:c r="K149" s="6" t="str"/>
      <x:c r="L149" s="6" t="str">
        <x:v>Open</x:v>
      </x:c>
      <x:c r="M149" s="7" t="str"/>
    </x:row>
    <x:row r="150">
      <x:c r="A150" s="6" t="str">
        <x:v>ESC-000149</x:v>
      </x:c>
      <x:c r="B150" s="6" t="str">
        <x:v>Unsupported Relationship Review</x:v>
      </x:c>
      <x:c r="C150" s="6" t="str">
        <x:v>UNS000149</x:v>
      </x:c>
      <x:c r="D150" s="6" t="str">
        <x:v>SVC000149</x:v>
      </x:c>
      <x:c r="E150" s="6" t="str"/>
      <x:c r="F150" s="6" t="str">
        <x:v>Unsupported Relationship</x:v>
      </x:c>
      <x:c r="G150" s="7" t="str">
        <x:v>Device family alone is insufficient for governed relationship.</x:v>
      </x:c>
      <x:c r="H150" s="7" t="str">
        <x:v>Explicit governed evidence supporting relationship</x:v>
      </x:c>
      <x:c r="I150" s="6" t="str"/>
      <x:c r="J150" s="6" t="str"/>
      <x:c r="K150" s="6" t="str"/>
      <x:c r="L150" s="6" t="str">
        <x:v>Open</x:v>
      </x:c>
      <x:c r="M150" s="7" t="str"/>
    </x:row>
    <x:row r="151">
      <x:c r="A151" s="6" t="str">
        <x:v>ESC-000150</x:v>
      </x:c>
      <x:c r="B151" s="6" t="str">
        <x:v>Unsupported Relationship Review</x:v>
      </x:c>
      <x:c r="C151" s="6" t="str">
        <x:v>UNS000150</x:v>
      </x:c>
      <x:c r="D151" s="6" t="str">
        <x:v>SVC000150</x:v>
      </x:c>
      <x:c r="E151" s="6" t="str"/>
      <x:c r="F151" s="6" t="str">
        <x:v>Unsupported Relationship</x:v>
      </x:c>
      <x:c r="G151" s="7" t="str">
        <x:v>Device family alone is insufficient for governed relationship.</x:v>
      </x:c>
      <x:c r="H151" s="7" t="str">
        <x:v>Explicit governed evidence supporting relationship</x:v>
      </x:c>
      <x:c r="I151" s="6" t="str"/>
      <x:c r="J151" s="6" t="str"/>
      <x:c r="K151" s="6" t="str"/>
      <x:c r="L151" s="6" t="str">
        <x:v>Open</x:v>
      </x:c>
      <x:c r="M151" s="7" t="str"/>
    </x:row>
    <x:row r="152">
      <x:c r="A152" s="6" t="str">
        <x:v>ESC-000151</x:v>
      </x:c>
      <x:c r="B152" s="6" t="str">
        <x:v>Unsupported Relationship Review</x:v>
      </x:c>
      <x:c r="C152" s="6" t="str">
        <x:v>UNS000151</x:v>
      </x:c>
      <x:c r="D152" s="6" t="str">
        <x:v>SVC000151</x:v>
      </x:c>
      <x:c r="E152" s="6" t="str"/>
      <x:c r="F152" s="6" t="str">
        <x:v>Unsupported Relationship</x:v>
      </x:c>
      <x:c r="G152" s="7" t="str">
        <x:v>Device family alone is insufficient for governed relationship.</x:v>
      </x:c>
      <x:c r="H152" s="7" t="str">
        <x:v>Explicit governed evidence supporting relationship</x:v>
      </x:c>
      <x:c r="I152" s="6" t="str"/>
      <x:c r="J152" s="6" t="str"/>
      <x:c r="K152" s="6" t="str"/>
      <x:c r="L152" s="6" t="str">
        <x:v>Open</x:v>
      </x:c>
      <x:c r="M152" s="7" t="str"/>
    </x:row>
    <x:row r="153">
      <x:c r="A153" s="6" t="str">
        <x:v>ESC-000152</x:v>
      </x:c>
      <x:c r="B153" s="6" t="str">
        <x:v>Unsupported Relationship Review</x:v>
      </x:c>
      <x:c r="C153" s="6" t="str">
        <x:v>UNS000152</x:v>
      </x:c>
      <x:c r="D153" s="6" t="str">
        <x:v>SVC000152</x:v>
      </x:c>
      <x:c r="E153" s="6" t="str"/>
      <x:c r="F153" s="6" t="str">
        <x:v>Unsupported Relationship</x:v>
      </x:c>
      <x:c r="G153" s="7" t="str">
        <x:v>Device family alone is insufficient for governed relationship.</x:v>
      </x:c>
      <x:c r="H153" s="7" t="str">
        <x:v>Explicit governed evidence supporting relationship</x:v>
      </x:c>
      <x:c r="I153" s="6" t="str"/>
      <x:c r="J153" s="6" t="str"/>
      <x:c r="K153" s="6" t="str"/>
      <x:c r="L153" s="6" t="str">
        <x:v>Open</x:v>
      </x:c>
      <x:c r="M153" s="7" t="str"/>
    </x:row>
    <x:row r="154">
      <x:c r="A154" s="6" t="str">
        <x:v>ESC-000153</x:v>
      </x:c>
      <x:c r="B154" s="6" t="str">
        <x:v>Unsupported Relationship Review</x:v>
      </x:c>
      <x:c r="C154" s="6" t="str">
        <x:v>UNS000153</x:v>
      </x:c>
      <x:c r="D154" s="6" t="str">
        <x:v>SVC000153</x:v>
      </x:c>
      <x:c r="E154" s="6" t="str"/>
      <x:c r="F154" s="6" t="str">
        <x:v>Unsupported Relationship</x:v>
      </x:c>
      <x:c r="G154" s="7" t="str">
        <x:v>Device family alone is insufficient for governed relationship.</x:v>
      </x:c>
      <x:c r="H154" s="7" t="str">
        <x:v>Explicit governed evidence supporting relationship</x:v>
      </x:c>
      <x:c r="I154" s="6" t="str"/>
      <x:c r="J154" s="6" t="str"/>
      <x:c r="K154" s="6" t="str"/>
      <x:c r="L154" s="6" t="str">
        <x:v>Open</x:v>
      </x:c>
      <x:c r="M154" s="7" t="str"/>
    </x:row>
    <x:row r="155">
      <x:c r="A155" s="6" t="str">
        <x:v>ESC-000154</x:v>
      </x:c>
      <x:c r="B155" s="6" t="str">
        <x:v>Unsupported Relationship Review</x:v>
      </x:c>
      <x:c r="C155" s="6" t="str">
        <x:v>UNS000154</x:v>
      </x:c>
      <x:c r="D155" s="6" t="str">
        <x:v>SVC000154</x:v>
      </x:c>
      <x:c r="E155" s="6" t="str"/>
      <x:c r="F155" s="6" t="str">
        <x:v>Unsupported Relationship</x:v>
      </x:c>
      <x:c r="G155" s="7" t="str">
        <x:v>Device family alone is insufficient for governed relationship.</x:v>
      </x:c>
      <x:c r="H155" s="7" t="str">
        <x:v>Explicit governed evidence supporting relationship</x:v>
      </x:c>
      <x:c r="I155" s="6" t="str"/>
      <x:c r="J155" s="6" t="str"/>
      <x:c r="K155" s="6" t="str"/>
      <x:c r="L155" s="6" t="str">
        <x:v>Open</x:v>
      </x:c>
      <x:c r="M155" s="7" t="str"/>
    </x:row>
    <x:row r="156">
      <x:c r="A156" s="6" t="str">
        <x:v>ESC-000155</x:v>
      </x:c>
      <x:c r="B156" s="6" t="str">
        <x:v>Unsupported Relationship Review</x:v>
      </x:c>
      <x:c r="C156" s="6" t="str">
        <x:v>UNS000155</x:v>
      </x:c>
      <x:c r="D156" s="6" t="str">
        <x:v>SVC000155</x:v>
      </x:c>
      <x:c r="E156" s="6" t="str"/>
      <x:c r="F156" s="6" t="str">
        <x:v>Unsupported Relationship</x:v>
      </x:c>
      <x:c r="G156" s="7" t="str">
        <x:v>Device family alone is insufficient for governed relationship.</x:v>
      </x:c>
      <x:c r="H156" s="7" t="str">
        <x:v>Explicit governed evidence supporting relationship</x:v>
      </x:c>
      <x:c r="I156" s="6" t="str"/>
      <x:c r="J156" s="6" t="str"/>
      <x:c r="K156" s="6" t="str"/>
      <x:c r="L156" s="6" t="str">
        <x:v>Open</x:v>
      </x:c>
      <x:c r="M156" s="7" t="str"/>
    </x:row>
    <x:row r="157">
      <x:c r="A157" s="6" t="str">
        <x:v>ESC-000156</x:v>
      </x:c>
      <x:c r="B157" s="6" t="str">
        <x:v>Unsupported Relationship Review</x:v>
      </x:c>
      <x:c r="C157" s="6" t="str">
        <x:v>UNS000156</x:v>
      </x:c>
      <x:c r="D157" s="6" t="str">
        <x:v>SVC000156</x:v>
      </x:c>
      <x:c r="E157" s="6" t="str"/>
      <x:c r="F157" s="6" t="str">
        <x:v>Unsupported Relationship</x:v>
      </x:c>
      <x:c r="G157" s="7" t="str">
        <x:v>Device family alone is insufficient for governed relationship.</x:v>
      </x:c>
      <x:c r="H157" s="7" t="str">
        <x:v>Explicit governed evidence supporting relationship</x:v>
      </x:c>
      <x:c r="I157" s="6" t="str"/>
      <x:c r="J157" s="6" t="str"/>
      <x:c r="K157" s="6" t="str"/>
      <x:c r="L157" s="6" t="str">
        <x:v>Open</x:v>
      </x:c>
      <x:c r="M157" s="7" t="str"/>
    </x:row>
    <x:row r="158">
      <x:c r="A158" s="6" t="str">
        <x:v>ESC-000157</x:v>
      </x:c>
      <x:c r="B158" s="6" t="str">
        <x:v>Unsupported Relationship Review</x:v>
      </x:c>
      <x:c r="C158" s="6" t="str">
        <x:v>UNS000157</x:v>
      </x:c>
      <x:c r="D158" s="6" t="str">
        <x:v>SVC000157</x:v>
      </x:c>
      <x:c r="E158" s="6" t="str"/>
      <x:c r="F158" s="6" t="str">
        <x:v>Unsupported Relationship</x:v>
      </x:c>
      <x:c r="G158" s="7" t="str">
        <x:v>Device family alone is insufficient for governed relationship.</x:v>
      </x:c>
      <x:c r="H158" s="7" t="str">
        <x:v>Explicit governed evidence supporting relationship</x:v>
      </x:c>
      <x:c r="I158" s="6" t="str"/>
      <x:c r="J158" s="6" t="str"/>
      <x:c r="K158" s="6" t="str"/>
      <x:c r="L158" s="6" t="str">
        <x:v>Open</x:v>
      </x:c>
      <x:c r="M158" s="7" t="str"/>
    </x:row>
    <x:row r="159">
      <x:c r="A159" s="6" t="str">
        <x:v>ESC-000158</x:v>
      </x:c>
      <x:c r="B159" s="6" t="str">
        <x:v>Unsupported Relationship Review</x:v>
      </x:c>
      <x:c r="C159" s="6" t="str">
        <x:v>UNS000158</x:v>
      </x:c>
      <x:c r="D159" s="6" t="str">
        <x:v>SVC000158</x:v>
      </x:c>
      <x:c r="E159" s="6" t="str"/>
      <x:c r="F159" s="6" t="str">
        <x:v>Unsupported Relationship</x:v>
      </x:c>
      <x:c r="G159" s="7" t="str">
        <x:v>Device family alone is insufficient for governed relationship.</x:v>
      </x:c>
      <x:c r="H159" s="7" t="str">
        <x:v>Explicit governed evidence supporting relationship</x:v>
      </x:c>
      <x:c r="I159" s="6" t="str"/>
      <x:c r="J159" s="6" t="str"/>
      <x:c r="K159" s="6" t="str"/>
      <x:c r="L159" s="6" t="str">
        <x:v>Open</x:v>
      </x:c>
      <x:c r="M159" s="7" t="str"/>
    </x:row>
    <x:row r="160">
      <x:c r="A160" s="6" t="str">
        <x:v>ESC-000159</x:v>
      </x:c>
      <x:c r="B160" s="6" t="str">
        <x:v>Unsupported Relationship Review</x:v>
      </x:c>
      <x:c r="C160" s="6" t="str">
        <x:v>UNS000159</x:v>
      </x:c>
      <x:c r="D160" s="6" t="str">
        <x:v>SVC000159</x:v>
      </x:c>
      <x:c r="E160" s="6" t="str"/>
      <x:c r="F160" s="6" t="str">
        <x:v>Unsupported Relationship</x:v>
      </x:c>
      <x:c r="G160" s="7" t="str">
        <x:v>Device family alone is insufficient for governed relationship.</x:v>
      </x:c>
      <x:c r="H160" s="7" t="str">
        <x:v>Explicit governed evidence supporting relationship</x:v>
      </x:c>
      <x:c r="I160" s="6" t="str"/>
      <x:c r="J160" s="6" t="str"/>
      <x:c r="K160" s="6" t="str"/>
      <x:c r="L160" s="6" t="str">
        <x:v>Open</x:v>
      </x:c>
      <x:c r="M160" s="7" t="str"/>
    </x:row>
    <x:row r="161">
      <x:c r="A161" s="6" t="str">
        <x:v>ESC-000160</x:v>
      </x:c>
      <x:c r="B161" s="6" t="str">
        <x:v>Unsupported Relationship Review</x:v>
      </x:c>
      <x:c r="C161" s="6" t="str">
        <x:v>UNS000160</x:v>
      </x:c>
      <x:c r="D161" s="6" t="str">
        <x:v>SVC000160</x:v>
      </x:c>
      <x:c r="E161" s="6" t="str"/>
      <x:c r="F161" s="6" t="str">
        <x:v>Unsupported Relationship</x:v>
      </x:c>
      <x:c r="G161" s="7" t="str">
        <x:v>Device family alone is insufficient for governed relationship.</x:v>
      </x:c>
      <x:c r="H161" s="7" t="str">
        <x:v>Explicit governed evidence supporting relationship</x:v>
      </x:c>
      <x:c r="I161" s="6" t="str"/>
      <x:c r="J161" s="6" t="str"/>
      <x:c r="K161" s="6" t="str"/>
      <x:c r="L161" s="6" t="str">
        <x:v>Open</x:v>
      </x:c>
      <x:c r="M161" s="7" t="str"/>
    </x:row>
    <x:row r="162">
      <x:c r="A162" s="6" t="str">
        <x:v>ESC-000161</x:v>
      </x:c>
      <x:c r="B162" s="6" t="str">
        <x:v>Unsupported Relationship Review</x:v>
      </x:c>
      <x:c r="C162" s="6" t="str">
        <x:v>UNS000161</x:v>
      </x:c>
      <x:c r="D162" s="6" t="str">
        <x:v>SVC000161</x:v>
      </x:c>
      <x:c r="E162" s="6" t="str"/>
      <x:c r="F162" s="6" t="str">
        <x:v>Unsupported Relationship</x:v>
      </x:c>
      <x:c r="G162" s="7" t="str">
        <x:v>Device family alone is insufficient for governed relationship.</x:v>
      </x:c>
      <x:c r="H162" s="7" t="str">
        <x:v>Explicit governed evidence supporting relationship</x:v>
      </x:c>
      <x:c r="I162" s="6" t="str"/>
      <x:c r="J162" s="6" t="str"/>
      <x:c r="K162" s="6" t="str"/>
      <x:c r="L162" s="6" t="str">
        <x:v>Open</x:v>
      </x:c>
      <x:c r="M162" s="7" t="str"/>
    </x:row>
    <x:row r="163">
      <x:c r="A163" s="6" t="str">
        <x:v>ESC-000162</x:v>
      </x:c>
      <x:c r="B163" s="6" t="str">
        <x:v>Unsupported Relationship Review</x:v>
      </x:c>
      <x:c r="C163" s="6" t="str">
        <x:v>UNS000162</x:v>
      </x:c>
      <x:c r="D163" s="6" t="str">
        <x:v>SVC000162</x:v>
      </x:c>
      <x:c r="E163" s="6" t="str"/>
      <x:c r="F163" s="6" t="str">
        <x:v>Unsupported Relationship</x:v>
      </x:c>
      <x:c r="G163" s="7" t="str">
        <x:v>Device family alone is insufficient for governed relationship.</x:v>
      </x:c>
      <x:c r="H163" s="7" t="str">
        <x:v>Explicit governed evidence supporting relationship</x:v>
      </x:c>
      <x:c r="I163" s="6" t="str"/>
      <x:c r="J163" s="6" t="str"/>
      <x:c r="K163" s="6" t="str"/>
      <x:c r="L163" s="6" t="str">
        <x:v>Open</x:v>
      </x:c>
      <x:c r="M163" s="7" t="str"/>
    </x:row>
    <x:row r="164">
      <x:c r="A164" s="6" t="str">
        <x:v>ESC-000163</x:v>
      </x:c>
      <x:c r="B164" s="6" t="str">
        <x:v>Unsupported Relationship Review</x:v>
      </x:c>
      <x:c r="C164" s="6" t="str">
        <x:v>UNS000163</x:v>
      </x:c>
      <x:c r="D164" s="6" t="str">
        <x:v>SVC000163</x:v>
      </x:c>
      <x:c r="E164" s="6" t="str"/>
      <x:c r="F164" s="6" t="str">
        <x:v>Unsupported Relationship</x:v>
      </x:c>
      <x:c r="G164" s="7" t="str">
        <x:v>Device family alone is insufficient for governed relationship.</x:v>
      </x:c>
      <x:c r="H164" s="7" t="str">
        <x:v>Explicit governed evidence supporting relationship</x:v>
      </x:c>
      <x:c r="I164" s="6" t="str"/>
      <x:c r="J164" s="6" t="str"/>
      <x:c r="K164" s="6" t="str"/>
      <x:c r="L164" s="6" t="str">
        <x:v>Open</x:v>
      </x:c>
      <x:c r="M164" s="7" t="str"/>
    </x:row>
    <x:row r="165">
      <x:c r="A165" s="6" t="str">
        <x:v>ESC-000164</x:v>
      </x:c>
      <x:c r="B165" s="6" t="str">
        <x:v>Unsupported Relationship Review</x:v>
      </x:c>
      <x:c r="C165" s="6" t="str">
        <x:v>UNS000164</x:v>
      </x:c>
      <x:c r="D165" s="6" t="str">
        <x:v>SVC000164</x:v>
      </x:c>
      <x:c r="E165" s="6" t="str"/>
      <x:c r="F165" s="6" t="str">
        <x:v>Unsupported Relationship</x:v>
      </x:c>
      <x:c r="G165" s="7" t="str">
        <x:v>Device family alone is insufficient for governed relationship.</x:v>
      </x:c>
      <x:c r="H165" s="7" t="str">
        <x:v>Explicit governed evidence supporting relationship</x:v>
      </x:c>
      <x:c r="I165" s="6" t="str"/>
      <x:c r="J165" s="6" t="str"/>
      <x:c r="K165" s="6" t="str"/>
      <x:c r="L165" s="6" t="str">
        <x:v>Open</x:v>
      </x:c>
      <x:c r="M165" s="7" t="str"/>
    </x:row>
    <x:row r="166">
      <x:c r="A166" s="6" t="str">
        <x:v>ESC-000165</x:v>
      </x:c>
      <x:c r="B166" s="6" t="str">
        <x:v>Unsupported Relationship Review</x:v>
      </x:c>
      <x:c r="C166" s="6" t="str">
        <x:v>UNS000165</x:v>
      </x:c>
      <x:c r="D166" s="6" t="str">
        <x:v>SVC000165</x:v>
      </x:c>
      <x:c r="E166" s="6" t="str"/>
      <x:c r="F166" s="6" t="str">
        <x:v>Unsupported Relationship</x:v>
      </x:c>
      <x:c r="G166" s="7" t="str">
        <x:v>Device family alone is insufficient for governed relationship.</x:v>
      </x:c>
      <x:c r="H166" s="7" t="str">
        <x:v>Explicit governed evidence supporting relationship</x:v>
      </x:c>
      <x:c r="I166" s="6" t="str"/>
      <x:c r="J166" s="6" t="str"/>
      <x:c r="K166" s="6" t="str"/>
      <x:c r="L166" s="6" t="str">
        <x:v>Open</x:v>
      </x:c>
      <x:c r="M166" s="7" t="str"/>
    </x:row>
    <x:row r="167">
      <x:c r="A167" s="6" t="str">
        <x:v>ESC-000166</x:v>
      </x:c>
      <x:c r="B167" s="6" t="str">
        <x:v>Unsupported Relationship Review</x:v>
      </x:c>
      <x:c r="C167" s="6" t="str">
        <x:v>UNS000166</x:v>
      </x:c>
      <x:c r="D167" s="6" t="str">
        <x:v>SVC000166</x:v>
      </x:c>
      <x:c r="E167" s="6" t="str"/>
      <x:c r="F167" s="6" t="str">
        <x:v>Unsupported Relationship</x:v>
      </x:c>
      <x:c r="G167" s="7" t="str">
        <x:v>Device family alone is insufficient for governed relationship.</x:v>
      </x:c>
      <x:c r="H167" s="7" t="str">
        <x:v>Explicit governed evidence supporting relationship</x:v>
      </x:c>
      <x:c r="I167" s="6" t="str"/>
      <x:c r="J167" s="6" t="str"/>
      <x:c r="K167" s="6" t="str"/>
      <x:c r="L167" s="6" t="str">
        <x:v>Open</x:v>
      </x:c>
      <x:c r="M167" s="7" t="str"/>
    </x:row>
    <x:row r="168">
      <x:c r="A168" s="6" t="str">
        <x:v>ESC-000167</x:v>
      </x:c>
      <x:c r="B168" s="6" t="str">
        <x:v>Unsupported Relationship Review</x:v>
      </x:c>
      <x:c r="C168" s="6" t="str">
        <x:v>UNS000167</x:v>
      </x:c>
      <x:c r="D168" s="6" t="str">
        <x:v>SVC000167</x:v>
      </x:c>
      <x:c r="E168" s="6" t="str"/>
      <x:c r="F168" s="6" t="str">
        <x:v>Unsupported Relationship</x:v>
      </x:c>
      <x:c r="G168" s="7" t="str">
        <x:v>Device family alone is insufficient for governed relationship.</x:v>
      </x:c>
      <x:c r="H168" s="7" t="str">
        <x:v>Explicit governed evidence supporting relationship</x:v>
      </x:c>
      <x:c r="I168" s="6" t="str"/>
      <x:c r="J168" s="6" t="str"/>
      <x:c r="K168" s="6" t="str"/>
      <x:c r="L168" s="6" t="str">
        <x:v>Open</x:v>
      </x:c>
      <x:c r="M168" s="7" t="str"/>
    </x:row>
    <x:row r="169">
      <x:c r="A169" s="6" t="str">
        <x:v>ESC-000168</x:v>
      </x:c>
      <x:c r="B169" s="6" t="str">
        <x:v>Unsupported Relationship Review</x:v>
      </x:c>
      <x:c r="C169" s="6" t="str">
        <x:v>UNS000168</x:v>
      </x:c>
      <x:c r="D169" s="6" t="str">
        <x:v>SVC000168</x:v>
      </x:c>
      <x:c r="E169" s="6" t="str"/>
      <x:c r="F169" s="6" t="str">
        <x:v>Unsupported Relationship</x:v>
      </x:c>
      <x:c r="G169" s="7" t="str">
        <x:v>Device family alone is insufficient for governed relationship.</x:v>
      </x:c>
      <x:c r="H169" s="7" t="str">
        <x:v>Explicit governed evidence supporting relationship</x:v>
      </x:c>
      <x:c r="I169" s="6" t="str"/>
      <x:c r="J169" s="6" t="str"/>
      <x:c r="K169" s="6" t="str"/>
      <x:c r="L169" s="6" t="str">
        <x:v>Open</x:v>
      </x:c>
      <x:c r="M169" s="7" t="str"/>
    </x:row>
    <x:row r="170">
      <x:c r="A170" s="6" t="str">
        <x:v>ESC-000169</x:v>
      </x:c>
      <x:c r="B170" s="6" t="str">
        <x:v>Unsupported Relationship Review</x:v>
      </x:c>
      <x:c r="C170" s="6" t="str">
        <x:v>UNS000169</x:v>
      </x:c>
      <x:c r="D170" s="6" t="str">
        <x:v>SVC000169</x:v>
      </x:c>
      <x:c r="E170" s="6" t="str"/>
      <x:c r="F170" s="6" t="str">
        <x:v>Unsupported Relationship</x:v>
      </x:c>
      <x:c r="G170" s="7" t="str">
        <x:v>Device family alone is insufficient for governed relationship.</x:v>
      </x:c>
      <x:c r="H170" s="7" t="str">
        <x:v>Explicit governed evidence supporting relationship</x:v>
      </x:c>
      <x:c r="I170" s="6" t="str"/>
      <x:c r="J170" s="6" t="str"/>
      <x:c r="K170" s="6" t="str"/>
      <x:c r="L170" s="6" t="str">
        <x:v>Open</x:v>
      </x:c>
      <x:c r="M170" s="7" t="str"/>
    </x:row>
    <x:row r="171">
      <x:c r="A171" s="6" t="str">
        <x:v>ESC-000170</x:v>
      </x:c>
      <x:c r="B171" s="6" t="str">
        <x:v>Unsupported Relationship Review</x:v>
      </x:c>
      <x:c r="C171" s="6" t="str">
        <x:v>UNS000170</x:v>
      </x:c>
      <x:c r="D171" s="6" t="str">
        <x:v>SVC000170</x:v>
      </x:c>
      <x:c r="E171" s="6" t="str"/>
      <x:c r="F171" s="6" t="str">
        <x:v>Unsupported Relationship</x:v>
      </x:c>
      <x:c r="G171" s="7" t="str">
        <x:v>Device family alone is insufficient for governed relationship.</x:v>
      </x:c>
      <x:c r="H171" s="7" t="str">
        <x:v>Explicit governed evidence supporting relationship</x:v>
      </x:c>
      <x:c r="I171" s="6" t="str"/>
      <x:c r="J171" s="6" t="str"/>
      <x:c r="K171" s="6" t="str"/>
      <x:c r="L171" s="6" t="str">
        <x:v>Open</x:v>
      </x:c>
      <x:c r="M171" s="7" t="str"/>
    </x:row>
    <x:row r="172">
      <x:c r="A172" s="6" t="str">
        <x:v>ESC-000171</x:v>
      </x:c>
      <x:c r="B172" s="6" t="str">
        <x:v>Unsupported Relationship Review</x:v>
      </x:c>
      <x:c r="C172" s="6" t="str">
        <x:v>UNS000171</x:v>
      </x:c>
      <x:c r="D172" s="6" t="str">
        <x:v>SVC000171</x:v>
      </x:c>
      <x:c r="E172" s="6" t="str"/>
      <x:c r="F172" s="6" t="str">
        <x:v>Unsupported Relationship</x:v>
      </x:c>
      <x:c r="G172" s="7" t="str">
        <x:v>Device family alone is insufficient for governed relationship.</x:v>
      </x:c>
      <x:c r="H172" s="7" t="str">
        <x:v>Explicit governed evidence supporting relationship</x:v>
      </x:c>
      <x:c r="I172" s="6" t="str"/>
      <x:c r="J172" s="6" t="str"/>
      <x:c r="K172" s="6" t="str"/>
      <x:c r="L172" s="6" t="str">
        <x:v>Open</x:v>
      </x:c>
      <x:c r="M172" s="7" t="str"/>
    </x:row>
    <x:row r="173">
      <x:c r="A173" s="6" t="str">
        <x:v>ESC-000172</x:v>
      </x:c>
      <x:c r="B173" s="6" t="str">
        <x:v>Unsupported Relationship Review</x:v>
      </x:c>
      <x:c r="C173" s="6" t="str">
        <x:v>UNS000172</x:v>
      </x:c>
      <x:c r="D173" s="6" t="str">
        <x:v>SVC000172</x:v>
      </x:c>
      <x:c r="E173" s="6" t="str"/>
      <x:c r="F173" s="6" t="str">
        <x:v>Unsupported Relationship</x:v>
      </x:c>
      <x:c r="G173" s="7" t="str">
        <x:v>Device family alone is insufficient for governed relationship.</x:v>
      </x:c>
      <x:c r="H173" s="7" t="str">
        <x:v>Explicit governed evidence supporting relationship</x:v>
      </x:c>
      <x:c r="I173" s="6" t="str"/>
      <x:c r="J173" s="6" t="str"/>
      <x:c r="K173" s="6" t="str"/>
      <x:c r="L173" s="6" t="str">
        <x:v>Open</x:v>
      </x:c>
      <x:c r="M173" s="7" t="str"/>
    </x:row>
    <x:row r="174">
      <x:c r="A174" s="6" t="str">
        <x:v>ESC-000173</x:v>
      </x:c>
      <x:c r="B174" s="6" t="str">
        <x:v>Unsupported Relationship Review</x:v>
      </x:c>
      <x:c r="C174" s="6" t="str">
        <x:v>UNS000173</x:v>
      </x:c>
      <x:c r="D174" s="6" t="str">
        <x:v>SVC000173</x:v>
      </x:c>
      <x:c r="E174" s="6" t="str"/>
      <x:c r="F174" s="6" t="str">
        <x:v>Unsupported Relationship</x:v>
      </x:c>
      <x:c r="G174" s="7" t="str">
        <x:v>Device family alone is insufficient for governed relationship.</x:v>
      </x:c>
      <x:c r="H174" s="7" t="str">
        <x:v>Explicit governed evidence supporting relationship</x:v>
      </x:c>
      <x:c r="I174" s="6" t="str"/>
      <x:c r="J174" s="6" t="str"/>
      <x:c r="K174" s="6" t="str"/>
      <x:c r="L174" s="6" t="str">
        <x:v>Open</x:v>
      </x:c>
      <x:c r="M174" s="7" t="str"/>
    </x:row>
    <x:row r="175">
      <x:c r="A175" s="6" t="str">
        <x:v>ESC-000174</x:v>
      </x:c>
      <x:c r="B175" s="6" t="str">
        <x:v>Unsupported Relationship Review</x:v>
      </x:c>
      <x:c r="C175" s="6" t="str">
        <x:v>UNS000174</x:v>
      </x:c>
      <x:c r="D175" s="6" t="str">
        <x:v>SVC000174</x:v>
      </x:c>
      <x:c r="E175" s="6" t="str"/>
      <x:c r="F175" s="6" t="str">
        <x:v>Unsupported Relationship</x:v>
      </x:c>
      <x:c r="G175" s="7" t="str">
        <x:v>Device family alone is insufficient for governed relationship.</x:v>
      </x:c>
      <x:c r="H175" s="7" t="str">
        <x:v>Explicit governed evidence supporting relationship</x:v>
      </x:c>
      <x:c r="I175" s="6" t="str"/>
      <x:c r="J175" s="6" t="str"/>
      <x:c r="K175" s="6" t="str"/>
      <x:c r="L175" s="6" t="str">
        <x:v>Open</x:v>
      </x:c>
      <x:c r="M175" s="7" t="str"/>
    </x:row>
    <x:row r="176">
      <x:c r="A176" s="6" t="str">
        <x:v>ESC-000175</x:v>
      </x:c>
      <x:c r="B176" s="6" t="str">
        <x:v>Unsupported Relationship Review</x:v>
      </x:c>
      <x:c r="C176" s="6" t="str">
        <x:v>UNS000175</x:v>
      </x:c>
      <x:c r="D176" s="6" t="str">
        <x:v>SVC000175</x:v>
      </x:c>
      <x:c r="E176" s="6" t="str"/>
      <x:c r="F176" s="6" t="str">
        <x:v>Unsupported Relationship</x:v>
      </x:c>
      <x:c r="G176" s="7" t="str">
        <x:v>Device family alone is insufficient for governed relationship.</x:v>
      </x:c>
      <x:c r="H176" s="7" t="str">
        <x:v>Explicit governed evidence supporting relationship</x:v>
      </x:c>
      <x:c r="I176" s="6" t="str"/>
      <x:c r="J176" s="6" t="str"/>
      <x:c r="K176" s="6" t="str"/>
      <x:c r="L176" s="6" t="str">
        <x:v>Open</x:v>
      </x:c>
      <x:c r="M176" s="7" t="str"/>
    </x:row>
    <x:row r="177">
      <x:c r="A177" s="6" t="str">
        <x:v>ESC-000176</x:v>
      </x:c>
      <x:c r="B177" s="6" t="str">
        <x:v>Unsupported Relationship Review</x:v>
      </x:c>
      <x:c r="C177" s="6" t="str">
        <x:v>UNS000176</x:v>
      </x:c>
      <x:c r="D177" s="6" t="str">
        <x:v>SVC000176</x:v>
      </x:c>
      <x:c r="E177" s="6" t="str"/>
      <x:c r="F177" s="6" t="str">
        <x:v>Unsupported Relationship</x:v>
      </x:c>
      <x:c r="G177" s="7" t="str">
        <x:v>Device family alone is insufficient for governed relationship.</x:v>
      </x:c>
      <x:c r="H177" s="7" t="str">
        <x:v>Explicit governed evidence supporting relationship</x:v>
      </x:c>
      <x:c r="I177" s="6" t="str"/>
      <x:c r="J177" s="6" t="str"/>
      <x:c r="K177" s="6" t="str"/>
      <x:c r="L177" s="6" t="str">
        <x:v>Open</x:v>
      </x:c>
      <x:c r="M177" s="7" t="str"/>
    </x:row>
    <x:row r="178">
      <x:c r="A178" s="6" t="str">
        <x:v>ESC-000177</x:v>
      </x:c>
      <x:c r="B178" s="6" t="str">
        <x:v>Unsupported Relationship Review</x:v>
      </x:c>
      <x:c r="C178" s="6" t="str">
        <x:v>UNS000177</x:v>
      </x:c>
      <x:c r="D178" s="6" t="str">
        <x:v>SVC000177</x:v>
      </x:c>
      <x:c r="E178" s="6" t="str"/>
      <x:c r="F178" s="6" t="str">
        <x:v>Unsupported Relationship</x:v>
      </x:c>
      <x:c r="G178" s="7" t="str">
        <x:v>Device family alone is insufficient for governed relationship.</x:v>
      </x:c>
      <x:c r="H178" s="7" t="str">
        <x:v>Explicit governed evidence supporting relationship</x:v>
      </x:c>
      <x:c r="I178" s="6" t="str"/>
      <x:c r="J178" s="6" t="str"/>
      <x:c r="K178" s="6" t="str"/>
      <x:c r="L178" s="6" t="str">
        <x:v>Open</x:v>
      </x:c>
      <x:c r="M178" s="7" t="str"/>
    </x:row>
    <x:row r="179">
      <x:c r="A179" s="6" t="str">
        <x:v>ESC-000178</x:v>
      </x:c>
      <x:c r="B179" s="6" t="str">
        <x:v>Unsupported Relationship Review</x:v>
      </x:c>
      <x:c r="C179" s="6" t="str">
        <x:v>UNS000178</x:v>
      </x:c>
      <x:c r="D179" s="6" t="str">
        <x:v>SVC000178</x:v>
      </x:c>
      <x:c r="E179" s="6" t="str"/>
      <x:c r="F179" s="6" t="str">
        <x:v>Unsupported Relationship</x:v>
      </x:c>
      <x:c r="G179" s="7" t="str">
        <x:v>Device family alone is insufficient for governed relationship.</x:v>
      </x:c>
      <x:c r="H179" s="7" t="str">
        <x:v>Explicit governed evidence supporting relationship</x:v>
      </x:c>
      <x:c r="I179" s="6" t="str"/>
      <x:c r="J179" s="6" t="str"/>
      <x:c r="K179" s="6" t="str"/>
      <x:c r="L179" s="6" t="str">
        <x:v>Open</x:v>
      </x:c>
      <x:c r="M179" s="7" t="str"/>
    </x:row>
    <x:row r="180">
      <x:c r="A180" s="6" t="str">
        <x:v>ESC-000179</x:v>
      </x:c>
      <x:c r="B180" s="6" t="str">
        <x:v>Unsupported Relationship Review</x:v>
      </x:c>
      <x:c r="C180" s="6" t="str">
        <x:v>UNS000179</x:v>
      </x:c>
      <x:c r="D180" s="6" t="str">
        <x:v>SVC000179</x:v>
      </x:c>
      <x:c r="E180" s="6" t="str"/>
      <x:c r="F180" s="6" t="str">
        <x:v>Unsupported Relationship</x:v>
      </x:c>
      <x:c r="G180" s="7" t="str">
        <x:v>Device family alone is insufficient for governed relationship.</x:v>
      </x:c>
      <x:c r="H180" s="7" t="str">
        <x:v>Explicit governed evidence supporting relationship</x:v>
      </x:c>
      <x:c r="I180" s="6" t="str"/>
      <x:c r="J180" s="6" t="str"/>
      <x:c r="K180" s="6" t="str"/>
      <x:c r="L180" s="6" t="str">
        <x:v>Open</x:v>
      </x:c>
      <x:c r="M180" s="7" t="str"/>
    </x:row>
    <x:row r="181">
      <x:c r="A181" s="6" t="str">
        <x:v>ESC-000180</x:v>
      </x:c>
      <x:c r="B181" s="6" t="str">
        <x:v>Unsupported Relationship Review</x:v>
      </x:c>
      <x:c r="C181" s="6" t="str">
        <x:v>UNS000180</x:v>
      </x:c>
      <x:c r="D181" s="6" t="str">
        <x:v>SVC000180</x:v>
      </x:c>
      <x:c r="E181" s="6" t="str"/>
      <x:c r="F181" s="6" t="str">
        <x:v>Unsupported Relationship</x:v>
      </x:c>
      <x:c r="G181" s="7" t="str">
        <x:v>Device family alone is insufficient for governed relationship.</x:v>
      </x:c>
      <x:c r="H181" s="7" t="str">
        <x:v>Explicit governed evidence supporting relationship</x:v>
      </x:c>
      <x:c r="I181" s="6" t="str"/>
      <x:c r="J181" s="6" t="str"/>
      <x:c r="K181" s="6" t="str"/>
      <x:c r="L181" s="6" t="str">
        <x:v>Open</x:v>
      </x:c>
      <x:c r="M181" s="7" t="str"/>
    </x:row>
    <x:row r="182">
      <x:c r="A182" s="6" t="str">
        <x:v>ESC-000181</x:v>
      </x:c>
      <x:c r="B182" s="6" t="str">
        <x:v>Unsupported Relationship Review</x:v>
      </x:c>
      <x:c r="C182" s="6" t="str">
        <x:v>UNS000181</x:v>
      </x:c>
      <x:c r="D182" s="6" t="str">
        <x:v>SVC000181</x:v>
      </x:c>
      <x:c r="E182" s="6" t="str"/>
      <x:c r="F182" s="6" t="str">
        <x:v>Unsupported Relationship</x:v>
      </x:c>
      <x:c r="G182" s="7" t="str">
        <x:v>Device family alone is insufficient for governed relationship.</x:v>
      </x:c>
      <x:c r="H182" s="7" t="str">
        <x:v>Explicit governed evidence supporting relationship</x:v>
      </x:c>
      <x:c r="I182" s="6" t="str"/>
      <x:c r="J182" s="6" t="str"/>
      <x:c r="K182" s="6" t="str"/>
      <x:c r="L182" s="6" t="str">
        <x:v>Open</x:v>
      </x:c>
      <x:c r="M182" s="7" t="str"/>
    </x:row>
    <x:row r="183">
      <x:c r="A183" s="6" t="str">
        <x:v>ESC-000182</x:v>
      </x:c>
      <x:c r="B183" s="6" t="str">
        <x:v>Unsupported Relationship Review</x:v>
      </x:c>
      <x:c r="C183" s="6" t="str">
        <x:v>UNS000182</x:v>
      </x:c>
      <x:c r="D183" s="6" t="str">
        <x:v>SVC000182</x:v>
      </x:c>
      <x:c r="E183" s="6" t="str"/>
      <x:c r="F183" s="6" t="str">
        <x:v>Unsupported Relationship</x:v>
      </x:c>
      <x:c r="G183" s="7" t="str">
        <x:v>Device family alone is insufficient for governed relationship.</x:v>
      </x:c>
      <x:c r="H183" s="7" t="str">
        <x:v>Explicit governed evidence supporting relationship</x:v>
      </x:c>
      <x:c r="I183" s="6" t="str"/>
      <x:c r="J183" s="6" t="str"/>
      <x:c r="K183" s="6" t="str"/>
      <x:c r="L183" s="6" t="str">
        <x:v>Open</x:v>
      </x:c>
      <x:c r="M183" s="7" t="str"/>
    </x:row>
    <x:row r="184">
      <x:c r="A184" s="6" t="str">
        <x:v>ESC-000183</x:v>
      </x:c>
      <x:c r="B184" s="6" t="str">
        <x:v>Unsupported Relationship Review</x:v>
      </x:c>
      <x:c r="C184" s="6" t="str">
        <x:v>UNS000183</x:v>
      </x:c>
      <x:c r="D184" s="6" t="str">
        <x:v>SVC000183</x:v>
      </x:c>
      <x:c r="E184" s="6" t="str"/>
      <x:c r="F184" s="6" t="str">
        <x:v>Unsupported Relationship</x:v>
      </x:c>
      <x:c r="G184" s="7" t="str">
        <x:v>Device family alone is insufficient for governed relationship.</x:v>
      </x:c>
      <x:c r="H184" s="7" t="str">
        <x:v>Explicit governed evidence supporting relationship</x:v>
      </x:c>
      <x:c r="I184" s="6" t="str"/>
      <x:c r="J184" s="6" t="str"/>
      <x:c r="K184" s="6" t="str"/>
      <x:c r="L184" s="6" t="str">
        <x:v>Open</x:v>
      </x:c>
      <x:c r="M184" s="7" t="str"/>
    </x:row>
    <x:row r="185">
      <x:c r="A185" s="6" t="str">
        <x:v>ESC-000184</x:v>
      </x:c>
      <x:c r="B185" s="6" t="str">
        <x:v>Unsupported Relationship Review</x:v>
      </x:c>
      <x:c r="C185" s="6" t="str">
        <x:v>UNS000184</x:v>
      </x:c>
      <x:c r="D185" s="6" t="str">
        <x:v>SVC000184</x:v>
      </x:c>
      <x:c r="E185" s="6" t="str"/>
      <x:c r="F185" s="6" t="str">
        <x:v>Unsupported Relationship</x:v>
      </x:c>
      <x:c r="G185" s="7" t="str">
        <x:v>Device family alone is insufficient for governed relationship.</x:v>
      </x:c>
      <x:c r="H185" s="7" t="str">
        <x:v>Explicit governed evidence supporting relationship</x:v>
      </x:c>
      <x:c r="I185" s="6" t="str"/>
      <x:c r="J185" s="6" t="str"/>
      <x:c r="K185" s="6" t="str"/>
      <x:c r="L185" s="6" t="str">
        <x:v>Open</x:v>
      </x:c>
      <x:c r="M185" s="7" t="str"/>
    </x:row>
    <x:row r="186">
      <x:c r="A186" s="6" t="str">
        <x:v>ESC-000185</x:v>
      </x:c>
      <x:c r="B186" s="6" t="str">
        <x:v>Unsupported Relationship Review</x:v>
      </x:c>
      <x:c r="C186" s="6" t="str">
        <x:v>UNS000185</x:v>
      </x:c>
      <x:c r="D186" s="6" t="str">
        <x:v>SVC000185</x:v>
      </x:c>
      <x:c r="E186" s="6" t="str"/>
      <x:c r="F186" s="6" t="str">
        <x:v>Unsupported Relationship</x:v>
      </x:c>
      <x:c r="G186" s="7" t="str">
        <x:v>Device family alone is insufficient for governed relationship.</x:v>
      </x:c>
      <x:c r="H186" s="7" t="str">
        <x:v>Explicit governed evidence supporting relationship</x:v>
      </x:c>
      <x:c r="I186" s="6" t="str"/>
      <x:c r="J186" s="6" t="str"/>
      <x:c r="K186" s="6" t="str"/>
      <x:c r="L186" s="6" t="str">
        <x:v>Open</x:v>
      </x:c>
      <x:c r="M186" s="7" t="str"/>
    </x:row>
    <x:row r="187">
      <x:c r="A187" s="6" t="str">
        <x:v>ESC-000186</x:v>
      </x:c>
      <x:c r="B187" s="6" t="str">
        <x:v>Unsupported Relationship Review</x:v>
      </x:c>
      <x:c r="C187" s="6" t="str">
        <x:v>UNS000186</x:v>
      </x:c>
      <x:c r="D187" s="6" t="str">
        <x:v>SVC000186</x:v>
      </x:c>
      <x:c r="E187" s="6" t="str"/>
      <x:c r="F187" s="6" t="str">
        <x:v>Unsupported Relationship</x:v>
      </x:c>
      <x:c r="G187" s="7" t="str">
        <x:v>Device family alone is insufficient for governed relationship.</x:v>
      </x:c>
      <x:c r="H187" s="7" t="str">
        <x:v>Explicit governed evidence supporting relationship</x:v>
      </x:c>
      <x:c r="I187" s="6" t="str"/>
      <x:c r="J187" s="6" t="str"/>
      <x:c r="K187" s="6" t="str"/>
      <x:c r="L187" s="6" t="str">
        <x:v>Open</x:v>
      </x:c>
      <x:c r="M187" s="7" t="str"/>
    </x:row>
    <x:row r="188">
      <x:c r="A188" s="6" t="str">
        <x:v>ESC-000187</x:v>
      </x:c>
      <x:c r="B188" s="6" t="str">
        <x:v>Unsupported Relationship Review</x:v>
      </x:c>
      <x:c r="C188" s="6" t="str">
        <x:v>UNS000187</x:v>
      </x:c>
      <x:c r="D188" s="6" t="str">
        <x:v>SVC000187</x:v>
      </x:c>
      <x:c r="E188" s="6" t="str"/>
      <x:c r="F188" s="6" t="str">
        <x:v>Unsupported Relationship</x:v>
      </x:c>
      <x:c r="G188" s="7" t="str">
        <x:v>Device family alone is insufficient for governed relationship.</x:v>
      </x:c>
      <x:c r="H188" s="7" t="str">
        <x:v>Explicit governed evidence supporting relationship</x:v>
      </x:c>
      <x:c r="I188" s="6" t="str"/>
      <x:c r="J188" s="6" t="str"/>
      <x:c r="K188" s="6" t="str"/>
      <x:c r="L188" s="6" t="str">
        <x:v>Open</x:v>
      </x:c>
      <x:c r="M188" s="7" t="str"/>
    </x:row>
    <x:row r="189">
      <x:c r="A189" s="6" t="str">
        <x:v>ESC-000188</x:v>
      </x:c>
      <x:c r="B189" s="6" t="str">
        <x:v>Unsupported Relationship Review</x:v>
      </x:c>
      <x:c r="C189" s="6" t="str">
        <x:v>UNS000188</x:v>
      </x:c>
      <x:c r="D189" s="6" t="str">
        <x:v>SVC000188</x:v>
      </x:c>
      <x:c r="E189" s="6" t="str"/>
      <x:c r="F189" s="6" t="str">
        <x:v>Unsupported Relationship</x:v>
      </x:c>
      <x:c r="G189" s="7" t="str">
        <x:v>Device family alone is insufficient for governed relationship.</x:v>
      </x:c>
      <x:c r="H189" s="7" t="str">
        <x:v>Explicit governed evidence supporting relationship</x:v>
      </x:c>
      <x:c r="I189" s="6" t="str"/>
      <x:c r="J189" s="6" t="str"/>
      <x:c r="K189" s="6" t="str"/>
      <x:c r="L189" s="6" t="str">
        <x:v>Open</x:v>
      </x:c>
      <x:c r="M189" s="7" t="str"/>
    </x:row>
    <x:row r="190">
      <x:c r="A190" s="6" t="str">
        <x:v>ESC-000189</x:v>
      </x:c>
      <x:c r="B190" s="6" t="str">
        <x:v>Unsupported Relationship Review</x:v>
      </x:c>
      <x:c r="C190" s="6" t="str">
        <x:v>UNS000189</x:v>
      </x:c>
      <x:c r="D190" s="6" t="str">
        <x:v>SVC000189</x:v>
      </x:c>
      <x:c r="E190" s="6" t="str"/>
      <x:c r="F190" s="6" t="str">
        <x:v>Unsupported Relationship</x:v>
      </x:c>
      <x:c r="G190" s="7" t="str">
        <x:v>Device family alone is insufficient for governed relationship.</x:v>
      </x:c>
      <x:c r="H190" s="7" t="str">
        <x:v>Explicit governed evidence supporting relationship</x:v>
      </x:c>
      <x:c r="I190" s="6" t="str"/>
      <x:c r="J190" s="6" t="str"/>
      <x:c r="K190" s="6" t="str"/>
      <x:c r="L190" s="6" t="str">
        <x:v>Open</x:v>
      </x:c>
      <x:c r="M190" s="7" t="str"/>
    </x:row>
    <x:row r="191">
      <x:c r="A191" s="6" t="str">
        <x:v>ESC-000190</x:v>
      </x:c>
      <x:c r="B191" s="6" t="str">
        <x:v>Unsupported Relationship Review</x:v>
      </x:c>
      <x:c r="C191" s="6" t="str">
        <x:v>UNS000190</x:v>
      </x:c>
      <x:c r="D191" s="6" t="str">
        <x:v>SVC000190</x:v>
      </x:c>
      <x:c r="E191" s="6" t="str"/>
      <x:c r="F191" s="6" t="str">
        <x:v>Unsupported Relationship</x:v>
      </x:c>
      <x:c r="G191" s="7" t="str">
        <x:v>Device family alone is insufficient for governed relationship.</x:v>
      </x:c>
      <x:c r="H191" s="7" t="str">
        <x:v>Explicit governed evidence supporting relationship</x:v>
      </x:c>
      <x:c r="I191" s="6" t="str"/>
      <x:c r="J191" s="6" t="str"/>
      <x:c r="K191" s="6" t="str"/>
      <x:c r="L191" s="6" t="str">
        <x:v>Open</x:v>
      </x:c>
      <x:c r="M191" s="7" t="str"/>
    </x:row>
    <x:row r="192">
      <x:c r="A192" s="6" t="str">
        <x:v>ESC-000191</x:v>
      </x:c>
      <x:c r="B192" s="6" t="str">
        <x:v>Unsupported Relationship Review</x:v>
      </x:c>
      <x:c r="C192" s="6" t="str">
        <x:v>UNS000191</x:v>
      </x:c>
      <x:c r="D192" s="6" t="str">
        <x:v>SVC000191</x:v>
      </x:c>
      <x:c r="E192" s="6" t="str"/>
      <x:c r="F192" s="6" t="str">
        <x:v>Unsupported Relationship</x:v>
      </x:c>
      <x:c r="G192" s="7" t="str">
        <x:v>Device family alone is insufficient for governed relationship.</x:v>
      </x:c>
      <x:c r="H192" s="7" t="str">
        <x:v>Explicit governed evidence supporting relationship</x:v>
      </x:c>
      <x:c r="I192" s="6" t="str"/>
      <x:c r="J192" s="6" t="str"/>
      <x:c r="K192" s="6" t="str"/>
      <x:c r="L192" s="6" t="str">
        <x:v>Open</x:v>
      </x:c>
      <x:c r="M192" s="7" t="str"/>
    </x:row>
    <x:row r="193">
      <x:c r="A193" s="6" t="str">
        <x:v>ESC-000192</x:v>
      </x:c>
      <x:c r="B193" s="6" t="str">
        <x:v>Unsupported Relationship Review</x:v>
      </x:c>
      <x:c r="C193" s="6" t="str">
        <x:v>UNS000192</x:v>
      </x:c>
      <x:c r="D193" s="6" t="str">
        <x:v>SVC000192</x:v>
      </x:c>
      <x:c r="E193" s="6" t="str"/>
      <x:c r="F193" s="6" t="str">
        <x:v>Unsupported Relationship</x:v>
      </x:c>
      <x:c r="G193" s="7" t="str">
        <x:v>Device family alone is insufficient for governed relationship.</x:v>
      </x:c>
      <x:c r="H193" s="7" t="str">
        <x:v>Explicit governed evidence supporting relationship</x:v>
      </x:c>
      <x:c r="I193" s="6" t="str"/>
      <x:c r="J193" s="6" t="str"/>
      <x:c r="K193" s="6" t="str"/>
      <x:c r="L193" s="6" t="str">
        <x:v>Open</x:v>
      </x:c>
      <x:c r="M193" s="7" t="str"/>
    </x:row>
    <x:row r="194">
      <x:c r="A194" s="6" t="str">
        <x:v>ESC-000193</x:v>
      </x:c>
      <x:c r="B194" s="6" t="str">
        <x:v>Unsupported Relationship Review</x:v>
      </x:c>
      <x:c r="C194" s="6" t="str">
        <x:v>UNS000193</x:v>
      </x:c>
      <x:c r="D194" s="6" t="str">
        <x:v>SVC000193</x:v>
      </x:c>
      <x:c r="E194" s="6" t="str"/>
      <x:c r="F194" s="6" t="str">
        <x:v>Unsupported Relationship</x:v>
      </x:c>
      <x:c r="G194" s="7" t="str">
        <x:v>Device family alone is insufficient for governed relationship.</x:v>
      </x:c>
      <x:c r="H194" s="7" t="str">
        <x:v>Explicit governed evidence supporting relationship</x:v>
      </x:c>
      <x:c r="I194" s="6" t="str"/>
      <x:c r="J194" s="6" t="str"/>
      <x:c r="K194" s="6" t="str"/>
      <x:c r="L194" s="6" t="str">
        <x:v>Open</x:v>
      </x:c>
      <x:c r="M194" s="7" t="str"/>
    </x:row>
    <x:row r="195">
      <x:c r="A195" s="6" t="str">
        <x:v>ESC-000194</x:v>
      </x:c>
      <x:c r="B195" s="6" t="str">
        <x:v>Unsupported Relationship Review</x:v>
      </x:c>
      <x:c r="C195" s="6" t="str">
        <x:v>UNS000194</x:v>
      </x:c>
      <x:c r="D195" s="6" t="str">
        <x:v>SVC000194</x:v>
      </x:c>
      <x:c r="E195" s="6" t="str"/>
      <x:c r="F195" s="6" t="str">
        <x:v>Unsupported Relationship</x:v>
      </x:c>
      <x:c r="G195" s="7" t="str">
        <x:v>Device family alone is insufficient for governed relationship.</x:v>
      </x:c>
      <x:c r="H195" s="7" t="str">
        <x:v>Explicit governed evidence supporting relationship</x:v>
      </x:c>
      <x:c r="I195" s="6" t="str"/>
      <x:c r="J195" s="6" t="str"/>
      <x:c r="K195" s="6" t="str"/>
      <x:c r="L195" s="6" t="str">
        <x:v>Open</x:v>
      </x:c>
      <x:c r="M195" s="7" t="str"/>
    </x:row>
    <x:row r="196">
      <x:c r="A196" s="6" t="str">
        <x:v>ESC-000195</x:v>
      </x:c>
      <x:c r="B196" s="6" t="str">
        <x:v>Unsupported Relationship Review</x:v>
      </x:c>
      <x:c r="C196" s="6" t="str">
        <x:v>UNS000195</x:v>
      </x:c>
      <x:c r="D196" s="6" t="str">
        <x:v>SVC000195</x:v>
      </x:c>
      <x:c r="E196" s="6" t="str"/>
      <x:c r="F196" s="6" t="str">
        <x:v>Unsupported Relationship</x:v>
      </x:c>
      <x:c r="G196" s="7" t="str">
        <x:v>Device family alone is insufficient for governed relationship.</x:v>
      </x:c>
      <x:c r="H196" s="7" t="str">
        <x:v>Explicit governed evidence supporting relationship</x:v>
      </x:c>
      <x:c r="I196" s="6" t="str"/>
      <x:c r="J196" s="6" t="str"/>
      <x:c r="K196" s="6" t="str"/>
      <x:c r="L196" s="6" t="str">
        <x:v>Open</x:v>
      </x:c>
      <x:c r="M196" s="7" t="str"/>
    </x:row>
    <x:row r="197">
      <x:c r="A197" s="6" t="str">
        <x:v>ESC-000196</x:v>
      </x:c>
      <x:c r="B197" s="6" t="str">
        <x:v>Unsupported Relationship Review</x:v>
      </x:c>
      <x:c r="C197" s="6" t="str">
        <x:v>UNS000196</x:v>
      </x:c>
      <x:c r="D197" s="6" t="str">
        <x:v>SVC000196</x:v>
      </x:c>
      <x:c r="E197" s="6" t="str"/>
      <x:c r="F197" s="6" t="str">
        <x:v>Unsupported Relationship</x:v>
      </x:c>
      <x:c r="G197" s="7" t="str">
        <x:v>Device family alone is insufficient for governed relationship.</x:v>
      </x:c>
      <x:c r="H197" s="7" t="str">
        <x:v>Explicit governed evidence supporting relationship</x:v>
      </x:c>
      <x:c r="I197" s="6" t="str"/>
      <x:c r="J197" s="6" t="str"/>
      <x:c r="K197" s="6" t="str"/>
      <x:c r="L197" s="6" t="str">
        <x:v>Open</x:v>
      </x:c>
      <x:c r="M197" s="7" t="str"/>
    </x:row>
    <x:row r="198">
      <x:c r="A198" s="6" t="str">
        <x:v>ESC-000197</x:v>
      </x:c>
      <x:c r="B198" s="6" t="str">
        <x:v>Unsupported Relationship Review</x:v>
      </x:c>
      <x:c r="C198" s="6" t="str">
        <x:v>UNS000197</x:v>
      </x:c>
      <x:c r="D198" s="6" t="str">
        <x:v>SVC000197</x:v>
      </x:c>
      <x:c r="E198" s="6" t="str"/>
      <x:c r="F198" s="6" t="str">
        <x:v>Unsupported Relationship</x:v>
      </x:c>
      <x:c r="G198" s="7" t="str">
        <x:v>Device family alone is insufficient for governed relationship.</x:v>
      </x:c>
      <x:c r="H198" s="7" t="str">
        <x:v>Explicit governed evidence supporting relationship</x:v>
      </x:c>
      <x:c r="I198" s="6" t="str"/>
      <x:c r="J198" s="6" t="str"/>
      <x:c r="K198" s="6" t="str"/>
      <x:c r="L198" s="6" t="str">
        <x:v>Open</x:v>
      </x:c>
      <x:c r="M198" s="7" t="str"/>
    </x:row>
    <x:row r="199">
      <x:c r="A199" s="6" t="str">
        <x:v>ESC-000198</x:v>
      </x:c>
      <x:c r="B199" s="6" t="str">
        <x:v>Unsupported Relationship Review</x:v>
      </x:c>
      <x:c r="C199" s="6" t="str">
        <x:v>UNS000198</x:v>
      </x:c>
      <x:c r="D199" s="6" t="str">
        <x:v>SVC000198</x:v>
      </x:c>
      <x:c r="E199" s="6" t="str"/>
      <x:c r="F199" s="6" t="str">
        <x:v>Unsupported Relationship</x:v>
      </x:c>
      <x:c r="G199" s="7" t="str">
        <x:v>Device family alone is insufficient for governed relationship.</x:v>
      </x:c>
      <x:c r="H199" s="7" t="str">
        <x:v>Explicit governed evidence supporting relationship</x:v>
      </x:c>
      <x:c r="I199" s="6" t="str"/>
      <x:c r="J199" s="6" t="str"/>
      <x:c r="K199" s="6" t="str"/>
      <x:c r="L199" s="6" t="str">
        <x:v>Open</x:v>
      </x:c>
      <x:c r="M199" s="7" t="str"/>
    </x:row>
    <x:row r="200">
      <x:c r="A200" s="6" t="str">
        <x:v>ESC-000199</x:v>
      </x:c>
      <x:c r="B200" s="6" t="str">
        <x:v>Unsupported Relationship Review</x:v>
      </x:c>
      <x:c r="C200" s="6" t="str">
        <x:v>UNS000199</x:v>
      </x:c>
      <x:c r="D200" s="6" t="str">
        <x:v>SVC000199</x:v>
      </x:c>
      <x:c r="E200" s="6" t="str"/>
      <x:c r="F200" s="6" t="str">
        <x:v>Unsupported Relationship</x:v>
      </x:c>
      <x:c r="G200" s="7" t="str">
        <x:v>Device family alone is insufficient for governed relationship.</x:v>
      </x:c>
      <x:c r="H200" s="7" t="str">
        <x:v>Explicit governed evidence supporting relationship</x:v>
      </x:c>
      <x:c r="I200" s="6" t="str"/>
      <x:c r="J200" s="6" t="str"/>
      <x:c r="K200" s="6" t="str"/>
      <x:c r="L200" s="6" t="str">
        <x:v>Open</x:v>
      </x:c>
      <x:c r="M200" s="7" t="str"/>
    </x:row>
    <x:row r="201">
      <x:c r="A201" s="6" t="str">
        <x:v>ESC-000200</x:v>
      </x:c>
      <x:c r="B201" s="6" t="str">
        <x:v>Unsupported Relationship Review</x:v>
      </x:c>
      <x:c r="C201" s="6" t="str">
        <x:v>UNS000200</x:v>
      </x:c>
      <x:c r="D201" s="6" t="str">
        <x:v>SVC000200</x:v>
      </x:c>
      <x:c r="E201" s="6" t="str"/>
      <x:c r="F201" s="6" t="str">
        <x:v>Unsupported Relationship</x:v>
      </x:c>
      <x:c r="G201" s="7" t="str">
        <x:v>Device family alone is insufficient for governed relationship.</x:v>
      </x:c>
      <x:c r="H201" s="7" t="str">
        <x:v>Explicit governed evidence supporting relationship</x:v>
      </x:c>
      <x:c r="I201" s="6" t="str"/>
      <x:c r="J201" s="6" t="str"/>
      <x:c r="K201" s="6" t="str"/>
      <x:c r="L201" s="6" t="str">
        <x:v>Open</x:v>
      </x:c>
      <x:c r="M201" s="7" t="str"/>
    </x:row>
    <x:row r="202">
      <x:c r="A202" s="6" t="str">
        <x:v>ESC-000201</x:v>
      </x:c>
      <x:c r="B202" s="6" t="str">
        <x:v>Unsupported Relationship Review</x:v>
      </x:c>
      <x:c r="C202" s="6" t="str">
        <x:v>UNS000201</x:v>
      </x:c>
      <x:c r="D202" s="6" t="str">
        <x:v>SVC000201</x:v>
      </x:c>
      <x:c r="E202" s="6" t="str"/>
      <x:c r="F202" s="6" t="str">
        <x:v>Unsupported Relationship</x:v>
      </x:c>
      <x:c r="G202" s="7" t="str">
        <x:v>Device family alone is insufficient for governed relationship.</x:v>
      </x:c>
      <x:c r="H202" s="7" t="str">
        <x:v>Explicit governed evidence supporting relationship</x:v>
      </x:c>
      <x:c r="I202" s="6" t="str"/>
      <x:c r="J202" s="6" t="str"/>
      <x:c r="K202" s="6" t="str"/>
      <x:c r="L202" s="6" t="str">
        <x:v>Open</x:v>
      </x:c>
      <x:c r="M202" s="7" t="str"/>
    </x:row>
    <x:row r="203">
      <x:c r="A203" s="6" t="str">
        <x:v>ESC-000202</x:v>
      </x:c>
      <x:c r="B203" s="6" t="str">
        <x:v>Unsupported Relationship Review</x:v>
      </x:c>
      <x:c r="C203" s="6" t="str">
        <x:v>UNS000202</x:v>
      </x:c>
      <x:c r="D203" s="6" t="str">
        <x:v>SVC000202</x:v>
      </x:c>
      <x:c r="E203" s="6" t="str"/>
      <x:c r="F203" s="6" t="str">
        <x:v>Unsupported Relationship</x:v>
      </x:c>
      <x:c r="G203" s="7" t="str">
        <x:v>Device family alone is insufficient for governed relationship.</x:v>
      </x:c>
      <x:c r="H203" s="7" t="str">
        <x:v>Explicit governed evidence supporting relationship</x:v>
      </x:c>
      <x:c r="I203" s="6" t="str"/>
      <x:c r="J203" s="6" t="str"/>
      <x:c r="K203" s="6" t="str"/>
      <x:c r="L203" s="6" t="str">
        <x:v>Open</x:v>
      </x:c>
      <x:c r="M203" s="7" t="str"/>
    </x:row>
    <x:row r="204">
      <x:c r="A204" s="6" t="str">
        <x:v>ESC-000203</x:v>
      </x:c>
      <x:c r="B204" s="6" t="str">
        <x:v>Unsupported Relationship Review</x:v>
      </x:c>
      <x:c r="C204" s="6" t="str">
        <x:v>UNS000203</x:v>
      </x:c>
      <x:c r="D204" s="6" t="str">
        <x:v>SVC000203</x:v>
      </x:c>
      <x:c r="E204" s="6" t="str"/>
      <x:c r="F204" s="6" t="str">
        <x:v>Unsupported Relationship</x:v>
      </x:c>
      <x:c r="G204" s="7" t="str">
        <x:v>Device family alone is insufficient for governed relationship.</x:v>
      </x:c>
      <x:c r="H204" s="7" t="str">
        <x:v>Explicit governed evidence supporting relationship</x:v>
      </x:c>
      <x:c r="I204" s="6" t="str"/>
      <x:c r="J204" s="6" t="str"/>
      <x:c r="K204" s="6" t="str"/>
      <x:c r="L204" s="6" t="str">
        <x:v>Open</x:v>
      </x:c>
      <x:c r="M204" s="7" t="str"/>
    </x:row>
    <x:row r="205">
      <x:c r="A205" s="6" t="str">
        <x:v>ESC-000204</x:v>
      </x:c>
      <x:c r="B205" s="6" t="str">
        <x:v>Unsupported Relationship Review</x:v>
      </x:c>
      <x:c r="C205" s="6" t="str">
        <x:v>UNS000204</x:v>
      </x:c>
      <x:c r="D205" s="6" t="str">
        <x:v>SVC000204</x:v>
      </x:c>
      <x:c r="E205" s="6" t="str"/>
      <x:c r="F205" s="6" t="str">
        <x:v>Unsupported Relationship</x:v>
      </x:c>
      <x:c r="G205" s="7" t="str">
        <x:v>Device family alone is insufficient for governed relationship.</x:v>
      </x:c>
      <x:c r="H205" s="7" t="str">
        <x:v>Explicit governed evidence supporting relationship</x:v>
      </x:c>
      <x:c r="I205" s="6" t="str"/>
      <x:c r="J205" s="6" t="str"/>
      <x:c r="K205" s="6" t="str"/>
      <x:c r="L205" s="6" t="str">
        <x:v>Open</x:v>
      </x:c>
      <x:c r="M205" s="7" t="str"/>
    </x:row>
    <x:row r="206">
      <x:c r="A206" s="6" t="str">
        <x:v>ESC-000205</x:v>
      </x:c>
      <x:c r="B206" s="6" t="str">
        <x:v>Unsupported Relationship Review</x:v>
      </x:c>
      <x:c r="C206" s="6" t="str">
        <x:v>UNS000205</x:v>
      </x:c>
      <x:c r="D206" s="6" t="str">
        <x:v>SVC000205</x:v>
      </x:c>
      <x:c r="E206" s="6" t="str"/>
      <x:c r="F206" s="6" t="str">
        <x:v>Unsupported Relationship</x:v>
      </x:c>
      <x:c r="G206" s="7" t="str">
        <x:v>Device family alone is insufficient for governed relationship.</x:v>
      </x:c>
      <x:c r="H206" s="7" t="str">
        <x:v>Explicit governed evidence supporting relationship</x:v>
      </x:c>
      <x:c r="I206" s="6" t="str"/>
      <x:c r="J206" s="6" t="str"/>
      <x:c r="K206" s="6" t="str"/>
      <x:c r="L206" s="6" t="str">
        <x:v>Open</x:v>
      </x:c>
      <x:c r="M206" s="7" t="str"/>
    </x:row>
    <x:row r="207">
      <x:c r="A207" s="6" t="str">
        <x:v>ESC-000206</x:v>
      </x:c>
      <x:c r="B207" s="6" t="str">
        <x:v>Unsupported Relationship Review</x:v>
      </x:c>
      <x:c r="C207" s="6" t="str">
        <x:v>UNS000206</x:v>
      </x:c>
      <x:c r="D207" s="6" t="str">
        <x:v>SVC000206</x:v>
      </x:c>
      <x:c r="E207" s="6" t="str"/>
      <x:c r="F207" s="6" t="str">
        <x:v>Unsupported Relationship</x:v>
      </x:c>
      <x:c r="G207" s="7" t="str">
        <x:v>Device family alone is insufficient for governed relationship.</x:v>
      </x:c>
      <x:c r="H207" s="7" t="str">
        <x:v>Explicit governed evidence supporting relationship</x:v>
      </x:c>
      <x:c r="I207" s="6" t="str"/>
      <x:c r="J207" s="6" t="str"/>
      <x:c r="K207" s="6" t="str"/>
      <x:c r="L207" s="6" t="str">
        <x:v>Open</x:v>
      </x:c>
      <x:c r="M207" s="7" t="str"/>
    </x:row>
    <x:row r="208">
      <x:c r="A208" s="6" t="str">
        <x:v>ESC-000207</x:v>
      </x:c>
      <x:c r="B208" s="6" t="str">
        <x:v>Unsupported Relationship Review</x:v>
      </x:c>
      <x:c r="C208" s="6" t="str">
        <x:v>UNS000207</x:v>
      </x:c>
      <x:c r="D208" s="6" t="str">
        <x:v>SVC000207</x:v>
      </x:c>
      <x:c r="E208" s="6" t="str"/>
      <x:c r="F208" s="6" t="str">
        <x:v>Unsupported Relationship</x:v>
      </x:c>
      <x:c r="G208" s="7" t="str">
        <x:v>Device family alone is insufficient for governed relationship.</x:v>
      </x:c>
      <x:c r="H208" s="7" t="str">
        <x:v>Explicit governed evidence supporting relationship</x:v>
      </x:c>
      <x:c r="I208" s="6" t="str"/>
      <x:c r="J208" s="6" t="str"/>
      <x:c r="K208" s="6" t="str"/>
      <x:c r="L208" s="6" t="str">
        <x:v>Open</x:v>
      </x:c>
      <x:c r="M208" s="7" t="str"/>
    </x:row>
    <x:row r="209">
      <x:c r="A209" s="6" t="str">
        <x:v>ESC-000208</x:v>
      </x:c>
      <x:c r="B209" s="6" t="str">
        <x:v>Unsupported Relationship Review</x:v>
      </x:c>
      <x:c r="C209" s="6" t="str">
        <x:v>UNS000208</x:v>
      </x:c>
      <x:c r="D209" s="6" t="str">
        <x:v>SVC000208</x:v>
      </x:c>
      <x:c r="E209" s="6" t="str"/>
      <x:c r="F209" s="6" t="str">
        <x:v>Unsupported Relationship</x:v>
      </x:c>
      <x:c r="G209" s="7" t="str">
        <x:v>Device family alone is insufficient for governed relationship.</x:v>
      </x:c>
      <x:c r="H209" s="7" t="str">
        <x:v>Explicit governed evidence supporting relationship</x:v>
      </x:c>
      <x:c r="I209" s="6" t="str"/>
      <x:c r="J209" s="6" t="str"/>
      <x:c r="K209" s="6" t="str"/>
      <x:c r="L209" s="6" t="str">
        <x:v>Open</x:v>
      </x:c>
      <x:c r="M209" s="7" t="str"/>
    </x:row>
    <x:row r="210">
      <x:c r="A210" s="6" t="str">
        <x:v>ESC-000209</x:v>
      </x:c>
      <x:c r="B210" s="6" t="str">
        <x:v>Unsupported Relationship Review</x:v>
      </x:c>
      <x:c r="C210" s="6" t="str">
        <x:v>UNS000209</x:v>
      </x:c>
      <x:c r="D210" s="6" t="str">
        <x:v>SVC000209</x:v>
      </x:c>
      <x:c r="E210" s="6" t="str"/>
      <x:c r="F210" s="6" t="str">
        <x:v>Unsupported Relationship</x:v>
      </x:c>
      <x:c r="G210" s="7" t="str">
        <x:v>Device family alone is insufficient for governed relationship.</x:v>
      </x:c>
      <x:c r="H210" s="7" t="str">
        <x:v>Explicit governed evidence supporting relationship</x:v>
      </x:c>
      <x:c r="I210" s="6" t="str"/>
      <x:c r="J210" s="6" t="str"/>
      <x:c r="K210" s="6" t="str"/>
      <x:c r="L210" s="6" t="str">
        <x:v>Open</x:v>
      </x:c>
      <x:c r="M210" s="7" t="str"/>
    </x:row>
    <x:row r="211">
      <x:c r="A211" s="6" t="str">
        <x:v>ESC-000210</x:v>
      </x:c>
      <x:c r="B211" s="6" t="str">
        <x:v>Unsupported Relationship Review</x:v>
      </x:c>
      <x:c r="C211" s="6" t="str">
        <x:v>UNS000210</x:v>
      </x:c>
      <x:c r="D211" s="6" t="str">
        <x:v>SVC000210</x:v>
      </x:c>
      <x:c r="E211" s="6" t="str"/>
      <x:c r="F211" s="6" t="str">
        <x:v>Unsupported Relationship</x:v>
      </x:c>
      <x:c r="G211" s="7" t="str">
        <x:v>Device family alone is insufficient for governed relationship.</x:v>
      </x:c>
      <x:c r="H211" s="7" t="str">
        <x:v>Explicit governed evidence supporting relationship</x:v>
      </x:c>
      <x:c r="I211" s="6" t="str"/>
      <x:c r="J211" s="6" t="str"/>
      <x:c r="K211" s="6" t="str"/>
      <x:c r="L211" s="6" t="str">
        <x:v>Open</x:v>
      </x:c>
      <x:c r="M211" s="7" t="str"/>
    </x:row>
    <x:row r="212">
      <x:c r="A212" s="6" t="str">
        <x:v>ESC-000211</x:v>
      </x:c>
      <x:c r="B212" s="6" t="str">
        <x:v>Unsupported Relationship Review</x:v>
      </x:c>
      <x:c r="C212" s="6" t="str">
        <x:v>UNS000211</x:v>
      </x:c>
      <x:c r="D212" s="6" t="str">
        <x:v>SVC000211</x:v>
      </x:c>
      <x:c r="E212" s="6" t="str"/>
      <x:c r="F212" s="6" t="str">
        <x:v>Unsupported Relationship</x:v>
      </x:c>
      <x:c r="G212" s="7" t="str">
        <x:v>Device family alone is insufficient for governed relationship.</x:v>
      </x:c>
      <x:c r="H212" s="7" t="str">
        <x:v>Explicit governed evidence supporting relationship</x:v>
      </x:c>
      <x:c r="I212" s="6" t="str"/>
      <x:c r="J212" s="6" t="str"/>
      <x:c r="K212" s="6" t="str"/>
      <x:c r="L212" s="6" t="str">
        <x:v>Open</x:v>
      </x:c>
      <x:c r="M212" s="7" t="str"/>
    </x:row>
    <x:row r="213">
      <x:c r="A213" s="6" t="str">
        <x:v>ESC-000212</x:v>
      </x:c>
      <x:c r="B213" s="6" t="str">
        <x:v>Unsupported Relationship Review</x:v>
      </x:c>
      <x:c r="C213" s="6" t="str">
        <x:v>UNS000212</x:v>
      </x:c>
      <x:c r="D213" s="6" t="str">
        <x:v>SVC000212</x:v>
      </x:c>
      <x:c r="E213" s="6" t="str"/>
      <x:c r="F213" s="6" t="str">
        <x:v>Unsupported Relationship</x:v>
      </x:c>
      <x:c r="G213" s="7" t="str">
        <x:v>Device family alone is insufficient for governed relationship.</x:v>
      </x:c>
      <x:c r="H213" s="7" t="str">
        <x:v>Explicit governed evidence supporting relationship</x:v>
      </x:c>
      <x:c r="I213" s="6" t="str"/>
      <x:c r="J213" s="6" t="str"/>
      <x:c r="K213" s="6" t="str"/>
      <x:c r="L213" s="6" t="str">
        <x:v>Open</x:v>
      </x:c>
      <x:c r="M213" s="7" t="str"/>
    </x:row>
    <x:row r="214">
      <x:c r="A214" s="6" t="str">
        <x:v>ESC-000213</x:v>
      </x:c>
      <x:c r="B214" s="6" t="str">
        <x:v>Unsupported Relationship Review</x:v>
      </x:c>
      <x:c r="C214" s="6" t="str">
        <x:v>UNS000213</x:v>
      </x:c>
      <x:c r="D214" s="6" t="str">
        <x:v>SVC000213</x:v>
      </x:c>
      <x:c r="E214" s="6" t="str"/>
      <x:c r="F214" s="6" t="str">
        <x:v>Unsupported Relationship</x:v>
      </x:c>
      <x:c r="G214" s="7" t="str">
        <x:v>Device family alone is insufficient for governed relationship.</x:v>
      </x:c>
      <x:c r="H214" s="7" t="str">
        <x:v>Explicit governed evidence supporting relationship</x:v>
      </x:c>
      <x:c r="I214" s="6" t="str"/>
      <x:c r="J214" s="6" t="str"/>
      <x:c r="K214" s="6" t="str"/>
      <x:c r="L214" s="6" t="str">
        <x:v>Open</x:v>
      </x:c>
      <x:c r="M214" s="7" t="str"/>
    </x:row>
    <x:row r="215">
      <x:c r="A215" s="6" t="str">
        <x:v>ESC-000214</x:v>
      </x:c>
      <x:c r="B215" s="6" t="str">
        <x:v>Unsupported Relationship Review</x:v>
      </x:c>
      <x:c r="C215" s="6" t="str">
        <x:v>UNS000214</x:v>
      </x:c>
      <x:c r="D215" s="6" t="str">
        <x:v>SVC000214</x:v>
      </x:c>
      <x:c r="E215" s="6" t="str"/>
      <x:c r="F215" s="6" t="str">
        <x:v>Unsupported Relationship</x:v>
      </x:c>
      <x:c r="G215" s="7" t="str">
        <x:v>Device family alone is insufficient for governed relationship.</x:v>
      </x:c>
      <x:c r="H215" s="7" t="str">
        <x:v>Explicit governed evidence supporting relationship</x:v>
      </x:c>
      <x:c r="I215" s="6" t="str"/>
      <x:c r="J215" s="6" t="str"/>
      <x:c r="K215" s="6" t="str"/>
      <x:c r="L215" s="6" t="str">
        <x:v>Open</x:v>
      </x:c>
      <x:c r="M215" s="7" t="str"/>
    </x:row>
    <x:row r="216">
      <x:c r="A216" s="6" t="str">
        <x:v>ESC-000215</x:v>
      </x:c>
      <x:c r="B216" s="6" t="str">
        <x:v>Unsupported Relationship Review</x:v>
      </x:c>
      <x:c r="C216" s="6" t="str">
        <x:v>UNS000215</x:v>
      </x:c>
      <x:c r="D216" s="6" t="str">
        <x:v>SVC000215</x:v>
      </x:c>
      <x:c r="E216" s="6" t="str"/>
      <x:c r="F216" s="6" t="str">
        <x:v>Unsupported Relationship</x:v>
      </x:c>
      <x:c r="G216" s="7" t="str">
        <x:v>Device family alone is insufficient for governed relationship.</x:v>
      </x:c>
      <x:c r="H216" s="7" t="str">
        <x:v>Explicit governed evidence supporting relationship</x:v>
      </x:c>
      <x:c r="I216" s="6" t="str"/>
      <x:c r="J216" s="6" t="str"/>
      <x:c r="K216" s="6" t="str"/>
      <x:c r="L216" s="6" t="str">
        <x:v>Open</x:v>
      </x:c>
      <x:c r="M216" s="7" t="str"/>
    </x:row>
    <x:row r="217">
      <x:c r="A217" s="6" t="str">
        <x:v>ESC-000216</x:v>
      </x:c>
      <x:c r="B217" s="6" t="str">
        <x:v>Unsupported Relationship Review</x:v>
      </x:c>
      <x:c r="C217" s="6" t="str">
        <x:v>UNS000216</x:v>
      </x:c>
      <x:c r="D217" s="6" t="str">
        <x:v>SVC000216</x:v>
      </x:c>
      <x:c r="E217" s="6" t="str"/>
      <x:c r="F217" s="6" t="str">
        <x:v>Unsupported Relationship</x:v>
      </x:c>
      <x:c r="G217" s="7" t="str">
        <x:v>Device family alone is insufficient for governed relationship.</x:v>
      </x:c>
      <x:c r="H217" s="7" t="str">
        <x:v>Explicit governed evidence supporting relationship</x:v>
      </x:c>
      <x:c r="I217" s="6" t="str"/>
      <x:c r="J217" s="6" t="str"/>
      <x:c r="K217" s="6" t="str"/>
      <x:c r="L217" s="6" t="str">
        <x:v>Open</x:v>
      </x:c>
      <x:c r="M217" s="7" t="str"/>
    </x:row>
    <x:row r="218">
      <x:c r="A218" s="6" t="str">
        <x:v>ESC-000217</x:v>
      </x:c>
      <x:c r="B218" s="6" t="str">
        <x:v>Unsupported Relationship Review</x:v>
      </x:c>
      <x:c r="C218" s="6" t="str">
        <x:v>UNS000217</x:v>
      </x:c>
      <x:c r="D218" s="6" t="str">
        <x:v>SVC000217</x:v>
      </x:c>
      <x:c r="E218" s="6" t="str"/>
      <x:c r="F218" s="6" t="str">
        <x:v>Unsupported Relationship</x:v>
      </x:c>
      <x:c r="G218" s="7" t="str">
        <x:v>Device family alone is insufficient for governed relationship.</x:v>
      </x:c>
      <x:c r="H218" s="7" t="str">
        <x:v>Explicit governed evidence supporting relationship</x:v>
      </x:c>
      <x:c r="I218" s="6" t="str"/>
      <x:c r="J218" s="6" t="str"/>
      <x:c r="K218" s="6" t="str"/>
      <x:c r="L218" s="6" t="str">
        <x:v>Open</x:v>
      </x:c>
      <x:c r="M218" s="7" t="str"/>
    </x:row>
    <x:row r="219">
      <x:c r="A219" s="6" t="str">
        <x:v>ESC-000218</x:v>
      </x:c>
      <x:c r="B219" s="6" t="str">
        <x:v>Unsupported Relationship Review</x:v>
      </x:c>
      <x:c r="C219" s="6" t="str">
        <x:v>UNS000218</x:v>
      </x:c>
      <x:c r="D219" s="6" t="str">
        <x:v>SVC000218</x:v>
      </x:c>
      <x:c r="E219" s="6" t="str"/>
      <x:c r="F219" s="6" t="str">
        <x:v>Unsupported Relationship</x:v>
      </x:c>
      <x:c r="G219" s="7" t="str">
        <x:v>Device family alone is insufficient for governed relationship.</x:v>
      </x:c>
      <x:c r="H219" s="7" t="str">
        <x:v>Explicit governed evidence supporting relationship</x:v>
      </x:c>
      <x:c r="I219" s="6" t="str"/>
      <x:c r="J219" s="6" t="str"/>
      <x:c r="K219" s="6" t="str"/>
      <x:c r="L219" s="6" t="str">
        <x:v>Open</x:v>
      </x:c>
      <x:c r="M219" s="7" t="str"/>
    </x:row>
    <x:row r="220">
      <x:c r="A220" s="6" t="str">
        <x:v>ESC-000219</x:v>
      </x:c>
      <x:c r="B220" s="6" t="str">
        <x:v>Unsupported Relationship Review</x:v>
      </x:c>
      <x:c r="C220" s="6" t="str">
        <x:v>UNS000219</x:v>
      </x:c>
      <x:c r="D220" s="6" t="str">
        <x:v>SVC000219</x:v>
      </x:c>
      <x:c r="E220" s="6" t="str"/>
      <x:c r="F220" s="6" t="str">
        <x:v>Unsupported Relationship</x:v>
      </x:c>
      <x:c r="G220" s="7" t="str">
        <x:v>Device family alone is insufficient for governed relationship.</x:v>
      </x:c>
      <x:c r="H220" s="7" t="str">
        <x:v>Explicit governed evidence supporting relationship</x:v>
      </x:c>
      <x:c r="I220" s="6" t="str"/>
      <x:c r="J220" s="6" t="str"/>
      <x:c r="K220" s="6" t="str"/>
      <x:c r="L220" s="6" t="str">
        <x:v>Open</x:v>
      </x:c>
      <x:c r="M220" s="7" t="str"/>
    </x:row>
    <x:row r="221">
      <x:c r="A221" s="6" t="str">
        <x:v>ESC-000220</x:v>
      </x:c>
      <x:c r="B221" s="6" t="str">
        <x:v>Unsupported Relationship Review</x:v>
      </x:c>
      <x:c r="C221" s="6" t="str">
        <x:v>UNS000220</x:v>
      </x:c>
      <x:c r="D221" s="6" t="str">
        <x:v>SVC000220</x:v>
      </x:c>
      <x:c r="E221" s="6" t="str"/>
      <x:c r="F221" s="6" t="str">
        <x:v>Unsupported Relationship</x:v>
      </x:c>
      <x:c r="G221" s="7" t="str">
        <x:v>Device family alone is insufficient for governed relationship.</x:v>
      </x:c>
      <x:c r="H221" s="7" t="str">
        <x:v>Explicit governed evidence supporting relationship</x:v>
      </x:c>
      <x:c r="I221" s="6" t="str"/>
      <x:c r="J221" s="6" t="str"/>
      <x:c r="K221" s="6" t="str"/>
      <x:c r="L221" s="6" t="str">
        <x:v>Open</x:v>
      </x:c>
      <x:c r="M221" s="7" t="str"/>
    </x:row>
    <x:row r="222">
      <x:c r="A222" s="6" t="str">
        <x:v>ESC-000221</x:v>
      </x:c>
      <x:c r="B222" s="6" t="str">
        <x:v>Unsupported Relationship Review</x:v>
      </x:c>
      <x:c r="C222" s="6" t="str">
        <x:v>UNS000221</x:v>
      </x:c>
      <x:c r="D222" s="6" t="str">
        <x:v>SVC000221</x:v>
      </x:c>
      <x:c r="E222" s="6" t="str"/>
      <x:c r="F222" s="6" t="str">
        <x:v>Unsupported Relationship</x:v>
      </x:c>
      <x:c r="G222" s="7" t="str">
        <x:v>Device family alone is insufficient for governed relationship.</x:v>
      </x:c>
      <x:c r="H222" s="7" t="str">
        <x:v>Explicit governed evidence supporting relationship</x:v>
      </x:c>
      <x:c r="I222" s="6" t="str"/>
      <x:c r="J222" s="6" t="str"/>
      <x:c r="K222" s="6" t="str"/>
      <x:c r="L222" s="6" t="str">
        <x:v>Open</x:v>
      </x:c>
      <x:c r="M222" s="7" t="str"/>
    </x:row>
    <x:row r="223">
      <x:c r="A223" s="6" t="str">
        <x:v>ESC-000222</x:v>
      </x:c>
      <x:c r="B223" s="6" t="str">
        <x:v>Unsupported Relationship Review</x:v>
      </x:c>
      <x:c r="C223" s="6" t="str">
        <x:v>UNS000222</x:v>
      </x:c>
      <x:c r="D223" s="6" t="str">
        <x:v>SVC000222</x:v>
      </x:c>
      <x:c r="E223" s="6" t="str"/>
      <x:c r="F223" s="6" t="str">
        <x:v>Unsupported Relationship</x:v>
      </x:c>
      <x:c r="G223" s="7" t="str">
        <x:v>Device family alone is insufficient for governed relationship.</x:v>
      </x:c>
      <x:c r="H223" s="7" t="str">
        <x:v>Explicit governed evidence supporting relationship</x:v>
      </x:c>
      <x:c r="I223" s="6" t="str"/>
      <x:c r="J223" s="6" t="str"/>
      <x:c r="K223" s="6" t="str"/>
      <x:c r="L223" s="6" t="str">
        <x:v>Open</x:v>
      </x:c>
      <x:c r="M223" s="7" t="str"/>
    </x:row>
    <x:row r="224">
      <x:c r="A224" s="6" t="str">
        <x:v>ESC-000223</x:v>
      </x:c>
      <x:c r="B224" s="6" t="str">
        <x:v>Unsupported Relationship Review</x:v>
      </x:c>
      <x:c r="C224" s="6" t="str">
        <x:v>UNS000223</x:v>
      </x:c>
      <x:c r="D224" s="6" t="str">
        <x:v>SVC000223</x:v>
      </x:c>
      <x:c r="E224" s="6" t="str"/>
      <x:c r="F224" s="6" t="str">
        <x:v>Unsupported Relationship</x:v>
      </x:c>
      <x:c r="G224" s="7" t="str">
        <x:v>Device family alone is insufficient for governed relationship.</x:v>
      </x:c>
      <x:c r="H224" s="7" t="str">
        <x:v>Explicit governed evidence supporting relationship</x:v>
      </x:c>
      <x:c r="I224" s="6" t="str"/>
      <x:c r="J224" s="6" t="str"/>
      <x:c r="K224" s="6" t="str"/>
      <x:c r="L224" s="6" t="str">
        <x:v>Open</x:v>
      </x:c>
      <x:c r="M224" s="7" t="str"/>
    </x:row>
    <x:row r="225">
      <x:c r="A225" s="6" t="str">
        <x:v>ESC-000224</x:v>
      </x:c>
      <x:c r="B225" s="6" t="str">
        <x:v>Unsupported Relationship Review</x:v>
      </x:c>
      <x:c r="C225" s="6" t="str">
        <x:v>UNS000224</x:v>
      </x:c>
      <x:c r="D225" s="6" t="str">
        <x:v>SVC000224</x:v>
      </x:c>
      <x:c r="E225" s="6" t="str"/>
      <x:c r="F225" s="6" t="str">
        <x:v>Unsupported Relationship</x:v>
      </x:c>
      <x:c r="G225" s="7" t="str">
        <x:v>Device family alone is insufficient for governed relationship.</x:v>
      </x:c>
      <x:c r="H225" s="7" t="str">
        <x:v>Explicit governed evidence supporting relationship</x:v>
      </x:c>
      <x:c r="I225" s="6" t="str"/>
      <x:c r="J225" s="6" t="str"/>
      <x:c r="K225" s="6" t="str"/>
      <x:c r="L225" s="6" t="str">
        <x:v>Open</x:v>
      </x:c>
      <x:c r="M225" s="7" t="str"/>
    </x:row>
    <x:row r="226">
      <x:c r="A226" s="6" t="str">
        <x:v>ESC-000225</x:v>
      </x:c>
      <x:c r="B226" s="6" t="str">
        <x:v>Unsupported Relationship Review</x:v>
      </x:c>
      <x:c r="C226" s="6" t="str">
        <x:v>UNS000225</x:v>
      </x:c>
      <x:c r="D226" s="6" t="str">
        <x:v>SVC000225</x:v>
      </x:c>
      <x:c r="E226" s="6" t="str"/>
      <x:c r="F226" s="6" t="str">
        <x:v>Unsupported Relationship</x:v>
      </x:c>
      <x:c r="G226" s="7" t="str">
        <x:v>Device family alone is insufficient for governed relationship.</x:v>
      </x:c>
      <x:c r="H226" s="7" t="str">
        <x:v>Explicit governed evidence supporting relationship</x:v>
      </x:c>
      <x:c r="I226" s="6" t="str"/>
      <x:c r="J226" s="6" t="str"/>
      <x:c r="K226" s="6" t="str"/>
      <x:c r="L226" s="6" t="str">
        <x:v>Open</x:v>
      </x:c>
      <x:c r="M226" s="7" t="str"/>
    </x:row>
    <x:row r="227">
      <x:c r="A227" s="6" t="str">
        <x:v>ESC-000226</x:v>
      </x:c>
      <x:c r="B227" s="6" t="str">
        <x:v>Unsupported Relationship Review</x:v>
      </x:c>
      <x:c r="C227" s="6" t="str">
        <x:v>UNS000226</x:v>
      </x:c>
      <x:c r="D227" s="6" t="str">
        <x:v>SVC000226</x:v>
      </x:c>
      <x:c r="E227" s="6" t="str"/>
      <x:c r="F227" s="6" t="str">
        <x:v>Unsupported Relationship</x:v>
      </x:c>
      <x:c r="G227" s="7" t="str">
        <x:v>Device family alone is insufficient for governed relationship.</x:v>
      </x:c>
      <x:c r="H227" s="7" t="str">
        <x:v>Explicit governed evidence supporting relationship</x:v>
      </x:c>
      <x:c r="I227" s="6" t="str"/>
      <x:c r="J227" s="6" t="str"/>
      <x:c r="K227" s="6" t="str"/>
      <x:c r="L227" s="6" t="str">
        <x:v>Open</x:v>
      </x:c>
      <x:c r="M227" s="7" t="str"/>
    </x:row>
    <x:row r="228">
      <x:c r="A228" s="6" t="str">
        <x:v>ESC-000227</x:v>
      </x:c>
      <x:c r="B228" s="6" t="str">
        <x:v>Unsupported Relationship Review</x:v>
      </x:c>
      <x:c r="C228" s="6" t="str">
        <x:v>UNS000227</x:v>
      </x:c>
      <x:c r="D228" s="6" t="str">
        <x:v>SVC000227</x:v>
      </x:c>
      <x:c r="E228" s="6" t="str"/>
      <x:c r="F228" s="6" t="str">
        <x:v>Unsupported Relationship</x:v>
      </x:c>
      <x:c r="G228" s="7" t="str">
        <x:v>Device family alone is insufficient for governed relationship.</x:v>
      </x:c>
      <x:c r="H228" s="7" t="str">
        <x:v>Explicit governed evidence supporting relationship</x:v>
      </x:c>
      <x:c r="I228" s="6" t="str"/>
      <x:c r="J228" s="6" t="str"/>
      <x:c r="K228" s="6" t="str"/>
      <x:c r="L228" s="6" t="str">
        <x:v>Open</x:v>
      </x:c>
      <x:c r="M228" s="7" t="str"/>
    </x:row>
    <x:row r="229">
      <x:c r="A229" s="6" t="str">
        <x:v>ESC-000228</x:v>
      </x:c>
      <x:c r="B229" s="6" t="str">
        <x:v>Unsupported Relationship Review</x:v>
      </x:c>
      <x:c r="C229" s="6" t="str">
        <x:v>UNS000228</x:v>
      </x:c>
      <x:c r="D229" s="6" t="str">
        <x:v>SVC000228</x:v>
      </x:c>
      <x:c r="E229" s="6" t="str"/>
      <x:c r="F229" s="6" t="str">
        <x:v>Unsupported Relationship</x:v>
      </x:c>
      <x:c r="G229" s="7" t="str">
        <x:v>Device family alone is insufficient for governed relationship.</x:v>
      </x:c>
      <x:c r="H229" s="7" t="str">
        <x:v>Explicit governed evidence supporting relationship</x:v>
      </x:c>
      <x:c r="I229" s="6" t="str"/>
      <x:c r="J229" s="6" t="str"/>
      <x:c r="K229" s="6" t="str"/>
      <x:c r="L229" s="6" t="str">
        <x:v>Open</x:v>
      </x:c>
      <x:c r="M229" s="7" t="str"/>
    </x:row>
    <x:row r="230">
      <x:c r="A230" s="6" t="str">
        <x:v>ESC-000229</x:v>
      </x:c>
      <x:c r="B230" s="6" t="str">
        <x:v>Unsupported Relationship Review</x:v>
      </x:c>
      <x:c r="C230" s="6" t="str">
        <x:v>UNS000229</x:v>
      </x:c>
      <x:c r="D230" s="6" t="str">
        <x:v>SVC000229</x:v>
      </x:c>
      <x:c r="E230" s="6" t="str"/>
      <x:c r="F230" s="6" t="str">
        <x:v>Unsupported Relationship</x:v>
      </x:c>
      <x:c r="G230" s="7" t="str">
        <x:v>Device family alone is insufficient for governed relationship.</x:v>
      </x:c>
      <x:c r="H230" s="7" t="str">
        <x:v>Explicit governed evidence supporting relationship</x:v>
      </x:c>
      <x:c r="I230" s="6" t="str"/>
      <x:c r="J230" s="6" t="str"/>
      <x:c r="K230" s="6" t="str"/>
      <x:c r="L230" s="6" t="str">
        <x:v>Open</x:v>
      </x:c>
      <x:c r="M230" s="7" t="str"/>
    </x:row>
    <x:row r="231">
      <x:c r="A231" s="6" t="str">
        <x:v>ESC-000230</x:v>
      </x:c>
      <x:c r="B231" s="6" t="str">
        <x:v>Unsupported Relationship Review</x:v>
      </x:c>
      <x:c r="C231" s="6" t="str">
        <x:v>UNS000230</x:v>
      </x:c>
      <x:c r="D231" s="6" t="str">
        <x:v>SVC000230</x:v>
      </x:c>
      <x:c r="E231" s="6" t="str"/>
      <x:c r="F231" s="6" t="str">
        <x:v>Unsupported Relationship</x:v>
      </x:c>
      <x:c r="G231" s="7" t="str">
        <x:v>Device family alone is insufficient for governed relationship.</x:v>
      </x:c>
      <x:c r="H231" s="7" t="str">
        <x:v>Explicit governed evidence supporting relationship</x:v>
      </x:c>
      <x:c r="I231" s="6" t="str"/>
      <x:c r="J231" s="6" t="str"/>
      <x:c r="K231" s="6" t="str"/>
      <x:c r="L231" s="6" t="str">
        <x:v>Open</x:v>
      </x:c>
      <x:c r="M231" s="7" t="str"/>
    </x:row>
    <x:row r="232">
      <x:c r="A232" s="6" t="str">
        <x:v>ESC-000231</x:v>
      </x:c>
      <x:c r="B232" s="6" t="str">
        <x:v>Unsupported Relationship Review</x:v>
      </x:c>
      <x:c r="C232" s="6" t="str">
        <x:v>UNS000231</x:v>
      </x:c>
      <x:c r="D232" s="6" t="str">
        <x:v>SVC000231</x:v>
      </x:c>
      <x:c r="E232" s="6" t="str"/>
      <x:c r="F232" s="6" t="str">
        <x:v>Unsupported Relationship</x:v>
      </x:c>
      <x:c r="G232" s="7" t="str">
        <x:v>Device family alone is insufficient for governed relationship.</x:v>
      </x:c>
      <x:c r="H232" s="7" t="str">
        <x:v>Explicit governed evidence supporting relationship</x:v>
      </x:c>
      <x:c r="I232" s="6" t="str"/>
      <x:c r="J232" s="6" t="str"/>
      <x:c r="K232" s="6" t="str"/>
      <x:c r="L232" s="6" t="str">
        <x:v>Open</x:v>
      </x:c>
      <x:c r="M232" s="7" t="str"/>
    </x:row>
    <x:row r="233">
      <x:c r="A233" s="6" t="str">
        <x:v>ESC-000232</x:v>
      </x:c>
      <x:c r="B233" s="6" t="str">
        <x:v>Unsupported Relationship Review</x:v>
      </x:c>
      <x:c r="C233" s="6" t="str">
        <x:v>UNS000232</x:v>
      </x:c>
      <x:c r="D233" s="6" t="str">
        <x:v>SVC000232</x:v>
      </x:c>
      <x:c r="E233" s="6" t="str"/>
      <x:c r="F233" s="6" t="str">
        <x:v>Unsupported Relationship</x:v>
      </x:c>
      <x:c r="G233" s="7" t="str">
        <x:v>Device family alone is insufficient for governed relationship.</x:v>
      </x:c>
      <x:c r="H233" s="7" t="str">
        <x:v>Explicit governed evidence supporting relationship</x:v>
      </x:c>
      <x:c r="I233" s="6" t="str"/>
      <x:c r="J233" s="6" t="str"/>
      <x:c r="K233" s="6" t="str"/>
      <x:c r="L233" s="6" t="str">
        <x:v>Open</x:v>
      </x:c>
      <x:c r="M233" s="7" t="str"/>
    </x:row>
    <x:row r="234">
      <x:c r="A234" s="6" t="str">
        <x:v>ESC-000233</x:v>
      </x:c>
      <x:c r="B234" s="6" t="str">
        <x:v>Unsupported Relationship Review</x:v>
      </x:c>
      <x:c r="C234" s="6" t="str">
        <x:v>UNS000233</x:v>
      </x:c>
      <x:c r="D234" s="6" t="str">
        <x:v>SVC000233</x:v>
      </x:c>
      <x:c r="E234" s="6" t="str"/>
      <x:c r="F234" s="6" t="str">
        <x:v>Unsupported Relationship</x:v>
      </x:c>
      <x:c r="G234" s="7" t="str">
        <x:v>Device family alone is insufficient for governed relationship.</x:v>
      </x:c>
      <x:c r="H234" s="7" t="str">
        <x:v>Explicit governed evidence supporting relationship</x:v>
      </x:c>
      <x:c r="I234" s="6" t="str"/>
      <x:c r="J234" s="6" t="str"/>
      <x:c r="K234" s="6" t="str"/>
      <x:c r="L234" s="6" t="str">
        <x:v>Open</x:v>
      </x:c>
      <x:c r="M234" s="7" t="str"/>
    </x:row>
    <x:row r="235">
      <x:c r="A235" s="6" t="str">
        <x:v>ESC-000234</x:v>
      </x:c>
      <x:c r="B235" s="6" t="str">
        <x:v>Unsupported Relationship Review</x:v>
      </x:c>
      <x:c r="C235" s="6" t="str">
        <x:v>UNS000234</x:v>
      </x:c>
      <x:c r="D235" s="6" t="str">
        <x:v>SVC000234</x:v>
      </x:c>
      <x:c r="E235" s="6" t="str"/>
      <x:c r="F235" s="6" t="str">
        <x:v>Unsupported Relationship</x:v>
      </x:c>
      <x:c r="G235" s="7" t="str">
        <x:v>Device family alone is insufficient for governed relationship.</x:v>
      </x:c>
      <x:c r="H235" s="7" t="str">
        <x:v>Explicit governed evidence supporting relationship</x:v>
      </x:c>
      <x:c r="I235" s="6" t="str"/>
      <x:c r="J235" s="6" t="str"/>
      <x:c r="K235" s="6" t="str"/>
      <x:c r="L235" s="6" t="str">
        <x:v>Open</x:v>
      </x:c>
      <x:c r="M235" s="7" t="str"/>
    </x:row>
    <x:row r="236">
      <x:c r="A236" s="6" t="str">
        <x:v>ESC-000235</x:v>
      </x:c>
      <x:c r="B236" s="6" t="str">
        <x:v>Unsupported Relationship Review</x:v>
      </x:c>
      <x:c r="C236" s="6" t="str">
        <x:v>UNS000235</x:v>
      </x:c>
      <x:c r="D236" s="6" t="str">
        <x:v>SVC000235</x:v>
      </x:c>
      <x:c r="E236" s="6" t="str"/>
      <x:c r="F236" s="6" t="str">
        <x:v>Unsupported Relationship</x:v>
      </x:c>
      <x:c r="G236" s="7" t="str">
        <x:v>Device family alone is insufficient for governed relationship.</x:v>
      </x:c>
      <x:c r="H236" s="7" t="str">
        <x:v>Explicit governed evidence supporting relationship</x:v>
      </x:c>
      <x:c r="I236" s="6" t="str"/>
      <x:c r="J236" s="6" t="str"/>
      <x:c r="K236" s="6" t="str"/>
      <x:c r="L236" s="6" t="str">
        <x:v>Open</x:v>
      </x:c>
      <x:c r="M236" s="7" t="str"/>
    </x:row>
    <x:row r="237">
      <x:c r="A237" s="6" t="str">
        <x:v>ESC-000236</x:v>
      </x:c>
      <x:c r="B237" s="6" t="str">
        <x:v>Unsupported Relationship Review</x:v>
      </x:c>
      <x:c r="C237" s="6" t="str">
        <x:v>UNS000236</x:v>
      </x:c>
      <x:c r="D237" s="6" t="str">
        <x:v>SVC000236</x:v>
      </x:c>
      <x:c r="E237" s="6" t="str"/>
      <x:c r="F237" s="6" t="str">
        <x:v>Unsupported Relationship</x:v>
      </x:c>
      <x:c r="G237" s="7" t="str">
        <x:v>Device family alone is insufficient for governed relationship.</x:v>
      </x:c>
      <x:c r="H237" s="7" t="str">
        <x:v>Explicit governed evidence supporting relationship</x:v>
      </x:c>
      <x:c r="I237" s="6" t="str"/>
      <x:c r="J237" s="6" t="str"/>
      <x:c r="K237" s="6" t="str"/>
      <x:c r="L237" s="6" t="str">
        <x:v>Open</x:v>
      </x:c>
      <x:c r="M237" s="7" t="str"/>
    </x:row>
    <x:row r="238">
      <x:c r="A238" s="6" t="str">
        <x:v>ESC-000237</x:v>
      </x:c>
      <x:c r="B238" s="6" t="str">
        <x:v>Unsupported Relationship Review</x:v>
      </x:c>
      <x:c r="C238" s="6" t="str">
        <x:v>UNS000237</x:v>
      </x:c>
      <x:c r="D238" s="6" t="str">
        <x:v>SVC000237</x:v>
      </x:c>
      <x:c r="E238" s="6" t="str"/>
      <x:c r="F238" s="6" t="str">
        <x:v>Unsupported Relationship</x:v>
      </x:c>
      <x:c r="G238" s="7" t="str">
        <x:v>Device family alone is insufficient for governed relationship.</x:v>
      </x:c>
      <x:c r="H238" s="7" t="str">
        <x:v>Explicit governed evidence supporting relationship</x:v>
      </x:c>
      <x:c r="I238" s="6" t="str"/>
      <x:c r="J238" s="6" t="str"/>
      <x:c r="K238" s="6" t="str"/>
      <x:c r="L238" s="6" t="str">
        <x:v>Open</x:v>
      </x:c>
      <x:c r="M238" s="7" t="str"/>
    </x:row>
    <x:row r="239">
      <x:c r="A239" s="6" t="str">
        <x:v>ESC-000238</x:v>
      </x:c>
      <x:c r="B239" s="6" t="str">
        <x:v>Unsupported Relationship Review</x:v>
      </x:c>
      <x:c r="C239" s="6" t="str">
        <x:v>UNS000238</x:v>
      </x:c>
      <x:c r="D239" s="6" t="str">
        <x:v>SVC000238</x:v>
      </x:c>
      <x:c r="E239" s="6" t="str"/>
      <x:c r="F239" s="6" t="str">
        <x:v>Unsupported Relationship</x:v>
      </x:c>
      <x:c r="G239" s="7" t="str">
        <x:v>Device family alone is insufficient for governed relationship.</x:v>
      </x:c>
      <x:c r="H239" s="7" t="str">
        <x:v>Explicit governed evidence supporting relationship</x:v>
      </x:c>
      <x:c r="I239" s="6" t="str"/>
      <x:c r="J239" s="6" t="str"/>
      <x:c r="K239" s="6" t="str"/>
      <x:c r="L239" s="6" t="str">
        <x:v>Open</x:v>
      </x:c>
      <x:c r="M239" s="7" t="str"/>
    </x:row>
    <x:row r="240">
      <x:c r="A240" s="6" t="str">
        <x:v>ESC-000239</x:v>
      </x:c>
      <x:c r="B240" s="6" t="str">
        <x:v>Unsupported Relationship Review</x:v>
      </x:c>
      <x:c r="C240" s="6" t="str">
        <x:v>UNS000239</x:v>
      </x:c>
      <x:c r="D240" s="6" t="str">
        <x:v>SVC000239</x:v>
      </x:c>
      <x:c r="E240" s="6" t="str"/>
      <x:c r="F240" s="6" t="str">
        <x:v>Unsupported Relationship</x:v>
      </x:c>
      <x:c r="G240" s="7" t="str">
        <x:v>Device family alone is insufficient for governed relationship.</x:v>
      </x:c>
      <x:c r="H240" s="7" t="str">
        <x:v>Explicit governed evidence supporting relationship</x:v>
      </x:c>
      <x:c r="I240" s="6" t="str"/>
      <x:c r="J240" s="6" t="str"/>
      <x:c r="K240" s="6" t="str"/>
      <x:c r="L240" s="6" t="str">
        <x:v>Open</x:v>
      </x:c>
      <x:c r="M240" s="7" t="str"/>
    </x:row>
    <x:row r="241">
      <x:c r="A241" s="6" t="str">
        <x:v>ESC-000240</x:v>
      </x:c>
      <x:c r="B241" s="6" t="str">
        <x:v>Unsupported Relationship Review</x:v>
      </x:c>
      <x:c r="C241" s="6" t="str">
        <x:v>UNS000240</x:v>
      </x:c>
      <x:c r="D241" s="6" t="str">
        <x:v>SVC000240</x:v>
      </x:c>
      <x:c r="E241" s="6" t="str"/>
      <x:c r="F241" s="6" t="str">
        <x:v>Unsupported Relationship</x:v>
      </x:c>
      <x:c r="G241" s="7" t="str">
        <x:v>Device family alone is insufficient for governed relationship.</x:v>
      </x:c>
      <x:c r="H241" s="7" t="str">
        <x:v>Explicit governed evidence supporting relationship</x:v>
      </x:c>
      <x:c r="I241" s="6" t="str"/>
      <x:c r="J241" s="6" t="str"/>
      <x:c r="K241" s="6" t="str"/>
      <x:c r="L241" s="6" t="str">
        <x:v>Open</x:v>
      </x:c>
      <x:c r="M241" s="7" t="str"/>
    </x:row>
    <x:row r="242">
      <x:c r="A242" s="6" t="str">
        <x:v>ESC-000241</x:v>
      </x:c>
      <x:c r="B242" s="6" t="str">
        <x:v>Unsupported Relationship Review</x:v>
      </x:c>
      <x:c r="C242" s="6" t="str">
        <x:v>UNS000241</x:v>
      </x:c>
      <x:c r="D242" s="6" t="str">
        <x:v>SVC000241</x:v>
      </x:c>
      <x:c r="E242" s="6" t="str"/>
      <x:c r="F242" s="6" t="str">
        <x:v>Unsupported Relationship</x:v>
      </x:c>
      <x:c r="G242" s="7" t="str">
        <x:v>Device family alone is insufficient for governed relationship.</x:v>
      </x:c>
      <x:c r="H242" s="7" t="str">
        <x:v>Explicit governed evidence supporting relationship</x:v>
      </x:c>
      <x:c r="I242" s="6" t="str"/>
      <x:c r="J242" s="6" t="str"/>
      <x:c r="K242" s="6" t="str"/>
      <x:c r="L242" s="6" t="str">
        <x:v>Open</x:v>
      </x:c>
      <x:c r="M242" s="7" t="str"/>
    </x:row>
    <x:row r="243">
      <x:c r="A243" s="6" t="str">
        <x:v>ESC-000242</x:v>
      </x:c>
      <x:c r="B243" s="6" t="str">
        <x:v>Unsupported Relationship Review</x:v>
      </x:c>
      <x:c r="C243" s="6" t="str">
        <x:v>UNS000242</x:v>
      </x:c>
      <x:c r="D243" s="6" t="str">
        <x:v>SVC000242</x:v>
      </x:c>
      <x:c r="E243" s="6" t="str"/>
      <x:c r="F243" s="6" t="str">
        <x:v>Unsupported Relationship</x:v>
      </x:c>
      <x:c r="G243" s="7" t="str">
        <x:v>Device family alone is insufficient for governed relationship.</x:v>
      </x:c>
      <x:c r="H243" s="7" t="str">
        <x:v>Explicit governed evidence supporting relationship</x:v>
      </x:c>
      <x:c r="I243" s="6" t="str"/>
      <x:c r="J243" s="6" t="str"/>
      <x:c r="K243" s="6" t="str"/>
      <x:c r="L243" s="6" t="str">
        <x:v>Open</x:v>
      </x:c>
      <x:c r="M243" s="7" t="str"/>
    </x:row>
    <x:row r="244">
      <x:c r="A244" s="6" t="str">
        <x:v>ESC-000243</x:v>
      </x:c>
      <x:c r="B244" s="6" t="str">
        <x:v>Unsupported Relationship Review</x:v>
      </x:c>
      <x:c r="C244" s="6" t="str">
        <x:v>UNS000243</x:v>
      </x:c>
      <x:c r="D244" s="6" t="str">
        <x:v>SVC000243</x:v>
      </x:c>
      <x:c r="E244" s="6" t="str"/>
      <x:c r="F244" s="6" t="str">
        <x:v>Unsupported Relationship</x:v>
      </x:c>
      <x:c r="G244" s="7" t="str">
        <x:v>Device family alone is insufficient for governed relationship.</x:v>
      </x:c>
      <x:c r="H244" s="7" t="str">
        <x:v>Explicit governed evidence supporting relationship</x:v>
      </x:c>
      <x:c r="I244" s="6" t="str"/>
      <x:c r="J244" s="6" t="str"/>
      <x:c r="K244" s="6" t="str"/>
      <x:c r="L244" s="6" t="str">
        <x:v>Open</x:v>
      </x:c>
      <x:c r="M244" s="7" t="str"/>
    </x:row>
    <x:row r="245">
      <x:c r="A245" s="6" t="str">
        <x:v>ESC-000244</x:v>
      </x:c>
      <x:c r="B245" s="6" t="str">
        <x:v>Unsupported Relationship Review</x:v>
      </x:c>
      <x:c r="C245" s="6" t="str">
        <x:v>UNS000244</x:v>
      </x:c>
      <x:c r="D245" s="6" t="str">
        <x:v>SVC000244</x:v>
      </x:c>
      <x:c r="E245" s="6" t="str"/>
      <x:c r="F245" s="6" t="str">
        <x:v>Unsupported Relationship</x:v>
      </x:c>
      <x:c r="G245" s="7" t="str">
        <x:v>Device family alone is insufficient for governed relationship.</x:v>
      </x:c>
      <x:c r="H245" s="7" t="str">
        <x:v>Explicit governed evidence supporting relationship</x:v>
      </x:c>
      <x:c r="I245" s="6" t="str"/>
      <x:c r="J245" s="6" t="str"/>
      <x:c r="K245" s="6" t="str"/>
      <x:c r="L245" s="6" t="str">
        <x:v>Open</x:v>
      </x:c>
      <x:c r="M245" s="7" t="str"/>
    </x:row>
    <x:row r="246">
      <x:c r="A246" s="6" t="str">
        <x:v>ESC-000245</x:v>
      </x:c>
      <x:c r="B246" s="6" t="str">
        <x:v>Unsupported Relationship Review</x:v>
      </x:c>
      <x:c r="C246" s="6" t="str">
        <x:v>UNS000245</x:v>
      </x:c>
      <x:c r="D246" s="6" t="str">
        <x:v>SVC000245</x:v>
      </x:c>
      <x:c r="E246" s="6" t="str"/>
      <x:c r="F246" s="6" t="str">
        <x:v>Unsupported Relationship</x:v>
      </x:c>
      <x:c r="G246" s="7" t="str">
        <x:v>Device family alone is insufficient for governed relationship.</x:v>
      </x:c>
      <x:c r="H246" s="7" t="str">
        <x:v>Explicit governed evidence supporting relationship</x:v>
      </x:c>
      <x:c r="I246" s="6" t="str"/>
      <x:c r="J246" s="6" t="str"/>
      <x:c r="K246" s="6" t="str"/>
      <x:c r="L246" s="6" t="str">
        <x:v>Open</x:v>
      </x:c>
      <x:c r="M246" s="7" t="str"/>
    </x:row>
    <x:row r="247">
      <x:c r="A247" s="6" t="str">
        <x:v>ESC-000246</x:v>
      </x:c>
      <x:c r="B247" s="6" t="str">
        <x:v>Unsupported Relationship Review</x:v>
      </x:c>
      <x:c r="C247" s="6" t="str">
        <x:v>UNS000246</x:v>
      </x:c>
      <x:c r="D247" s="6" t="str">
        <x:v>SVC000246</x:v>
      </x:c>
      <x:c r="E247" s="6" t="str"/>
      <x:c r="F247" s="6" t="str">
        <x:v>Unsupported Relationship</x:v>
      </x:c>
      <x:c r="G247" s="7" t="str">
        <x:v>Device family alone is insufficient for governed relationship.</x:v>
      </x:c>
      <x:c r="H247" s="7" t="str">
        <x:v>Explicit governed evidence supporting relationship</x:v>
      </x:c>
      <x:c r="I247" s="6" t="str"/>
      <x:c r="J247" s="6" t="str"/>
      <x:c r="K247" s="6" t="str"/>
      <x:c r="L247" s="6" t="str">
        <x:v>Open</x:v>
      </x:c>
      <x:c r="M247" s="7" t="str"/>
    </x:row>
    <x:row r="248">
      <x:c r="A248" s="6" t="str">
        <x:v>ESC-000247</x:v>
      </x:c>
      <x:c r="B248" s="6" t="str">
        <x:v>Unsupported Relationship Review</x:v>
      </x:c>
      <x:c r="C248" s="6" t="str">
        <x:v>UNS000247</x:v>
      </x:c>
      <x:c r="D248" s="6" t="str">
        <x:v>SVC000247</x:v>
      </x:c>
      <x:c r="E248" s="6" t="str"/>
      <x:c r="F248" s="6" t="str">
        <x:v>Unsupported Relationship</x:v>
      </x:c>
      <x:c r="G248" s="7" t="str">
        <x:v>Device family alone is insufficient for governed relationship.</x:v>
      </x:c>
      <x:c r="H248" s="7" t="str">
        <x:v>Explicit governed evidence supporting relationship</x:v>
      </x:c>
      <x:c r="I248" s="6" t="str"/>
      <x:c r="J248" s="6" t="str"/>
      <x:c r="K248" s="6" t="str"/>
      <x:c r="L248" s="6" t="str">
        <x:v>Open</x:v>
      </x:c>
      <x:c r="M248" s="7" t="str"/>
    </x:row>
    <x:row r="249">
      <x:c r="A249" s="6" t="str">
        <x:v>ESC-000248</x:v>
      </x:c>
      <x:c r="B249" s="6" t="str">
        <x:v>Unsupported Relationship Review</x:v>
      </x:c>
      <x:c r="C249" s="6" t="str">
        <x:v>UNS000248</x:v>
      </x:c>
      <x:c r="D249" s="6" t="str">
        <x:v>SVC000248</x:v>
      </x:c>
      <x:c r="E249" s="6" t="str"/>
      <x:c r="F249" s="6" t="str">
        <x:v>Unsupported Relationship</x:v>
      </x:c>
      <x:c r="G249" s="7" t="str">
        <x:v>Device family alone is insufficient for governed relationship.</x:v>
      </x:c>
      <x:c r="H249" s="7" t="str">
        <x:v>Explicit governed evidence supporting relationship</x:v>
      </x:c>
      <x:c r="I249" s="6" t="str"/>
      <x:c r="J249" s="6" t="str"/>
      <x:c r="K249" s="6" t="str"/>
      <x:c r="L249" s="6" t="str">
        <x:v>Open</x:v>
      </x:c>
      <x:c r="M249" s="7" t="str"/>
    </x:row>
    <x:row r="250">
      <x:c r="A250" s="6" t="str">
        <x:v>ESC-000249</x:v>
      </x:c>
      <x:c r="B250" s="6" t="str">
        <x:v>Unsupported Relationship Review</x:v>
      </x:c>
      <x:c r="C250" s="6" t="str">
        <x:v>UNS000249</x:v>
      </x:c>
      <x:c r="D250" s="6" t="str">
        <x:v>SVC000249</x:v>
      </x:c>
      <x:c r="E250" s="6" t="str"/>
      <x:c r="F250" s="6" t="str">
        <x:v>Unsupported Relationship</x:v>
      </x:c>
      <x:c r="G250" s="7" t="str">
        <x:v>Device family alone is insufficient for governed relationship.</x:v>
      </x:c>
      <x:c r="H250" s="7" t="str">
        <x:v>Explicit governed evidence supporting relationship</x:v>
      </x:c>
      <x:c r="I250" s="6" t="str"/>
      <x:c r="J250" s="6" t="str"/>
      <x:c r="K250" s="6" t="str"/>
      <x:c r="L250" s="6" t="str">
        <x:v>Open</x:v>
      </x:c>
      <x:c r="M250" s="7" t="str"/>
    </x:row>
    <x:row r="251">
      <x:c r="A251" s="6" t="str">
        <x:v>ESC-000250</x:v>
      </x:c>
      <x:c r="B251" s="6" t="str">
        <x:v>Unsupported Relationship Review</x:v>
      </x:c>
      <x:c r="C251" s="6" t="str">
        <x:v>UNS000250</x:v>
      </x:c>
      <x:c r="D251" s="6" t="str">
        <x:v>SVC000250</x:v>
      </x:c>
      <x:c r="E251" s="6" t="str"/>
      <x:c r="F251" s="6" t="str">
        <x:v>Unsupported Relationship</x:v>
      </x:c>
      <x:c r="G251" s="7" t="str">
        <x:v>Device family alone is insufficient for governed relationship.</x:v>
      </x:c>
      <x:c r="H251" s="7" t="str">
        <x:v>Explicit governed evidence supporting relationship</x:v>
      </x:c>
      <x:c r="I251" s="6" t="str"/>
      <x:c r="J251" s="6" t="str"/>
      <x:c r="K251" s="6" t="str"/>
      <x:c r="L251" s="6" t="str">
        <x:v>Open</x:v>
      </x:c>
      <x:c r="M251" s="7" t="str"/>
    </x:row>
    <x:row r="252">
      <x:c r="A252" s="6" t="str">
        <x:v>ESC-000251</x:v>
      </x:c>
      <x:c r="B252" s="6" t="str">
        <x:v>Unsupported Relationship Review</x:v>
      </x:c>
      <x:c r="C252" s="6" t="str">
        <x:v>UNS000251</x:v>
      </x:c>
      <x:c r="D252" s="6" t="str">
        <x:v>SVC000251</x:v>
      </x:c>
      <x:c r="E252" s="6" t="str"/>
      <x:c r="F252" s="6" t="str">
        <x:v>Unsupported Relationship</x:v>
      </x:c>
      <x:c r="G252" s="7" t="str">
        <x:v>Device family alone is insufficient for governed relationship.</x:v>
      </x:c>
      <x:c r="H252" s="7" t="str">
        <x:v>Explicit governed evidence supporting relationship</x:v>
      </x:c>
      <x:c r="I252" s="6" t="str"/>
      <x:c r="J252" s="6" t="str"/>
      <x:c r="K252" s="6" t="str"/>
      <x:c r="L252" s="6" t="str">
        <x:v>Open</x:v>
      </x:c>
      <x:c r="M252" s="7" t="str"/>
    </x:row>
    <x:row r="253">
      <x:c r="A253" s="6" t="str">
        <x:v>ESC-000252</x:v>
      </x:c>
      <x:c r="B253" s="6" t="str">
        <x:v>Unsupported Relationship Review</x:v>
      </x:c>
      <x:c r="C253" s="6" t="str">
        <x:v>UNS000252</x:v>
      </x:c>
      <x:c r="D253" s="6" t="str">
        <x:v>SVC000252</x:v>
      </x:c>
      <x:c r="E253" s="6" t="str"/>
      <x:c r="F253" s="6" t="str">
        <x:v>Unsupported Relationship</x:v>
      </x:c>
      <x:c r="G253" s="7" t="str">
        <x:v>Device family alone is insufficient for governed relationship.</x:v>
      </x:c>
      <x:c r="H253" s="7" t="str">
        <x:v>Explicit governed evidence supporting relationship</x:v>
      </x:c>
      <x:c r="I253" s="6" t="str"/>
      <x:c r="J253" s="6" t="str"/>
      <x:c r="K253" s="6" t="str"/>
      <x:c r="L253" s="6" t="str">
        <x:v>Open</x:v>
      </x:c>
      <x:c r="M253" s="7" t="str"/>
    </x:row>
    <x:row r="254">
      <x:c r="A254" s="6" t="str">
        <x:v>ESC-000253</x:v>
      </x:c>
      <x:c r="B254" s="6" t="str">
        <x:v>Unsupported Relationship Review</x:v>
      </x:c>
      <x:c r="C254" s="6" t="str">
        <x:v>UNS000253</x:v>
      </x:c>
      <x:c r="D254" s="6" t="str">
        <x:v>SVC000253</x:v>
      </x:c>
      <x:c r="E254" s="6" t="str"/>
      <x:c r="F254" s="6" t="str">
        <x:v>Unsupported Relationship</x:v>
      </x:c>
      <x:c r="G254" s="7" t="str">
        <x:v>Device family alone is insufficient for governed relationship.</x:v>
      </x:c>
      <x:c r="H254" s="7" t="str">
        <x:v>Explicit governed evidence supporting relationship</x:v>
      </x:c>
      <x:c r="I254" s="6" t="str"/>
      <x:c r="J254" s="6" t="str"/>
      <x:c r="K254" s="6" t="str"/>
      <x:c r="L254" s="6" t="str">
        <x:v>Open</x:v>
      </x:c>
      <x:c r="M254" s="7" t="str"/>
    </x:row>
    <x:row r="255">
      <x:c r="A255" s="6" t="str">
        <x:v>ESC-000254</x:v>
      </x:c>
      <x:c r="B255" s="6" t="str">
        <x:v>Unsupported Relationship Review</x:v>
      </x:c>
      <x:c r="C255" s="6" t="str">
        <x:v>UNS000254</x:v>
      </x:c>
      <x:c r="D255" s="6" t="str">
        <x:v>SVC000254</x:v>
      </x:c>
      <x:c r="E255" s="6" t="str"/>
      <x:c r="F255" s="6" t="str">
        <x:v>Unsupported Relationship</x:v>
      </x:c>
      <x:c r="G255" s="7" t="str">
        <x:v>Device family alone is insufficient for governed relationship.</x:v>
      </x:c>
      <x:c r="H255" s="7" t="str">
        <x:v>Explicit governed evidence supporting relationship</x:v>
      </x:c>
      <x:c r="I255" s="6" t="str"/>
      <x:c r="J255" s="6" t="str"/>
      <x:c r="K255" s="6" t="str"/>
      <x:c r="L255" s="6" t="str">
        <x:v>Open</x:v>
      </x:c>
      <x:c r="M255" s="7" t="str"/>
    </x:row>
    <x:row r="256">
      <x:c r="A256" s="6" t="str">
        <x:v>ESC-000255</x:v>
      </x:c>
      <x:c r="B256" s="6" t="str">
        <x:v>Unsupported Relationship Review</x:v>
      </x:c>
      <x:c r="C256" s="6" t="str">
        <x:v>UNS000255</x:v>
      </x:c>
      <x:c r="D256" s="6" t="str">
        <x:v>SVC000255</x:v>
      </x:c>
      <x:c r="E256" s="6" t="str"/>
      <x:c r="F256" s="6" t="str">
        <x:v>Unsupported Relationship</x:v>
      </x:c>
      <x:c r="G256" s="7" t="str">
        <x:v>Device family alone is insufficient for governed relationship.</x:v>
      </x:c>
      <x:c r="H256" s="7" t="str">
        <x:v>Explicit governed evidence supporting relationship</x:v>
      </x:c>
      <x:c r="I256" s="6" t="str"/>
      <x:c r="J256" s="6" t="str"/>
      <x:c r="K256" s="6" t="str"/>
      <x:c r="L256" s="6" t="str">
        <x:v>Open</x:v>
      </x:c>
      <x:c r="M256" s="7" t="str"/>
    </x:row>
    <x:row r="257">
      <x:c r="A257" s="6" t="str">
        <x:v>ESC-000256</x:v>
      </x:c>
      <x:c r="B257" s="6" t="str">
        <x:v>Unsupported Relationship Review</x:v>
      </x:c>
      <x:c r="C257" s="6" t="str">
        <x:v>UNS000256</x:v>
      </x:c>
      <x:c r="D257" s="6" t="str">
        <x:v>SVC000256</x:v>
      </x:c>
      <x:c r="E257" s="6" t="str"/>
      <x:c r="F257" s="6" t="str">
        <x:v>Unsupported Relationship</x:v>
      </x:c>
      <x:c r="G257" s="7" t="str">
        <x:v>Device family alone is insufficient for governed relationship.</x:v>
      </x:c>
      <x:c r="H257" s="7" t="str">
        <x:v>Explicit governed evidence supporting relationship</x:v>
      </x:c>
      <x:c r="I257" s="6" t="str"/>
      <x:c r="J257" s="6" t="str"/>
      <x:c r="K257" s="6" t="str"/>
      <x:c r="L257" s="6" t="str">
        <x:v>Open</x:v>
      </x:c>
      <x:c r="M257" s="7" t="str"/>
    </x:row>
    <x:row r="258">
      <x:c r="A258" s="6" t="str">
        <x:v>ESC-000257</x:v>
      </x:c>
      <x:c r="B258" s="6" t="str">
        <x:v>Unsupported Relationship Review</x:v>
      </x:c>
      <x:c r="C258" s="6" t="str">
        <x:v>UNS000257</x:v>
      </x:c>
      <x:c r="D258" s="6" t="str">
        <x:v>SVC000257</x:v>
      </x:c>
      <x:c r="E258" s="6" t="str"/>
      <x:c r="F258" s="6" t="str">
        <x:v>Unsupported Relationship</x:v>
      </x:c>
      <x:c r="G258" s="7" t="str">
        <x:v>Device family alone is insufficient for governed relationship.</x:v>
      </x:c>
      <x:c r="H258" s="7" t="str">
        <x:v>Explicit governed evidence supporting relationship</x:v>
      </x:c>
      <x:c r="I258" s="6" t="str"/>
      <x:c r="J258" s="6" t="str"/>
      <x:c r="K258" s="6" t="str"/>
      <x:c r="L258" s="6" t="str">
        <x:v>Open</x:v>
      </x:c>
      <x:c r="M258" s="7" t="str"/>
    </x:row>
    <x:row r="259">
      <x:c r="A259" s="6" t="str">
        <x:v>ESC-000258</x:v>
      </x:c>
      <x:c r="B259" s="6" t="str">
        <x:v>Unsupported Relationship Review</x:v>
      </x:c>
      <x:c r="C259" s="6" t="str">
        <x:v>UNS000258</x:v>
      </x:c>
      <x:c r="D259" s="6" t="str">
        <x:v>SVC000258</x:v>
      </x:c>
      <x:c r="E259" s="6" t="str"/>
      <x:c r="F259" s="6" t="str">
        <x:v>Unsupported Relationship</x:v>
      </x:c>
      <x:c r="G259" s="7" t="str">
        <x:v>Device family alone is insufficient for governed relationship.</x:v>
      </x:c>
      <x:c r="H259" s="7" t="str">
        <x:v>Explicit governed evidence supporting relationship</x:v>
      </x:c>
      <x:c r="I259" s="6" t="str"/>
      <x:c r="J259" s="6" t="str"/>
      <x:c r="K259" s="6" t="str"/>
      <x:c r="L259" s="6" t="str">
        <x:v>Open</x:v>
      </x:c>
      <x:c r="M259" s="7" t="str"/>
    </x:row>
    <x:row r="260">
      <x:c r="A260" s="6" t="str">
        <x:v>ESC-000259</x:v>
      </x:c>
      <x:c r="B260" s="6" t="str">
        <x:v>Unsupported Relationship Review</x:v>
      </x:c>
      <x:c r="C260" s="6" t="str">
        <x:v>UNS000259</x:v>
      </x:c>
      <x:c r="D260" s="6" t="str">
        <x:v>SVC000259</x:v>
      </x:c>
      <x:c r="E260" s="6" t="str"/>
      <x:c r="F260" s="6" t="str">
        <x:v>Unsupported Relationship</x:v>
      </x:c>
      <x:c r="G260" s="7" t="str">
        <x:v>Device family alone is insufficient for governed relationship.</x:v>
      </x:c>
      <x:c r="H260" s="7" t="str">
        <x:v>Explicit governed evidence supporting relationship</x:v>
      </x:c>
      <x:c r="I260" s="6" t="str"/>
      <x:c r="J260" s="6" t="str"/>
      <x:c r="K260" s="6" t="str"/>
      <x:c r="L260" s="6" t="str">
        <x:v>Open</x:v>
      </x:c>
      <x:c r="M260" s="7" t="str"/>
    </x:row>
    <x:row r="261">
      <x:c r="A261" s="6" t="str">
        <x:v>ESC-000260</x:v>
      </x:c>
      <x:c r="B261" s="6" t="str">
        <x:v>Unsupported Relationship Review</x:v>
      </x:c>
      <x:c r="C261" s="6" t="str">
        <x:v>UNS000260</x:v>
      </x:c>
      <x:c r="D261" s="6" t="str">
        <x:v>SVC000260</x:v>
      </x:c>
      <x:c r="E261" s="6" t="str"/>
      <x:c r="F261" s="6" t="str">
        <x:v>Unsupported Relationship</x:v>
      </x:c>
      <x:c r="G261" s="7" t="str">
        <x:v>Device family alone is insufficient for governed relationship.</x:v>
      </x:c>
      <x:c r="H261" s="7" t="str">
        <x:v>Explicit governed evidence supporting relationship</x:v>
      </x:c>
      <x:c r="I261" s="6" t="str"/>
      <x:c r="J261" s="6" t="str"/>
      <x:c r="K261" s="6" t="str"/>
      <x:c r="L261" s="6" t="str">
        <x:v>Open</x:v>
      </x:c>
      <x:c r="M261" s="7" t="str"/>
    </x:row>
    <x:row r="262">
      <x:c r="A262" s="6" t="str">
        <x:v>ESC-000261</x:v>
      </x:c>
      <x:c r="B262" s="6" t="str">
        <x:v>Unsupported Relationship Review</x:v>
      </x:c>
      <x:c r="C262" s="6" t="str">
        <x:v>UNS000261</x:v>
      </x:c>
      <x:c r="D262" s="6" t="str">
        <x:v>SVC000261</x:v>
      </x:c>
      <x:c r="E262" s="6" t="str"/>
      <x:c r="F262" s="6" t="str">
        <x:v>Unsupported Relationship</x:v>
      </x:c>
      <x:c r="G262" s="7" t="str">
        <x:v>Device family alone is insufficient for governed relationship.</x:v>
      </x:c>
      <x:c r="H262" s="7" t="str">
        <x:v>Explicit governed evidence supporting relationship</x:v>
      </x:c>
      <x:c r="I262" s="6" t="str"/>
      <x:c r="J262" s="6" t="str"/>
      <x:c r="K262" s="6" t="str"/>
      <x:c r="L262" s="6" t="str">
        <x:v>Open</x:v>
      </x:c>
      <x:c r="M262" s="7" t="str"/>
    </x:row>
    <x:row r="263">
      <x:c r="A263" s="6" t="str">
        <x:v>ESC-000262</x:v>
      </x:c>
      <x:c r="B263" s="6" t="str">
        <x:v>Unsupported Relationship Review</x:v>
      </x:c>
      <x:c r="C263" s="6" t="str">
        <x:v>UNS000262</x:v>
      </x:c>
      <x:c r="D263" s="6" t="str">
        <x:v>SVC000262</x:v>
      </x:c>
      <x:c r="E263" s="6" t="str"/>
      <x:c r="F263" s="6" t="str">
        <x:v>Unsupported Relationship</x:v>
      </x:c>
      <x:c r="G263" s="7" t="str">
        <x:v>Device family alone is insufficient for governed relationship.</x:v>
      </x:c>
      <x:c r="H263" s="7" t="str">
        <x:v>Explicit governed evidence supporting relationship</x:v>
      </x:c>
      <x:c r="I263" s="6" t="str"/>
      <x:c r="J263" s="6" t="str"/>
      <x:c r="K263" s="6" t="str"/>
      <x:c r="L263" s="6" t="str">
        <x:v>Open</x:v>
      </x:c>
      <x:c r="M263" s="7" t="str"/>
    </x:row>
    <x:row r="264">
      <x:c r="A264" s="6" t="str">
        <x:v>ESC-000263</x:v>
      </x:c>
      <x:c r="B264" s="6" t="str">
        <x:v>Unsupported Relationship Review</x:v>
      </x:c>
      <x:c r="C264" s="6" t="str">
        <x:v>UNS000263</x:v>
      </x:c>
      <x:c r="D264" s="6" t="str">
        <x:v>SVC000263</x:v>
      </x:c>
      <x:c r="E264" s="6" t="str"/>
      <x:c r="F264" s="6" t="str">
        <x:v>Unsupported Relationship</x:v>
      </x:c>
      <x:c r="G264" s="7" t="str">
        <x:v>Device family alone is insufficient for governed relationship.</x:v>
      </x:c>
      <x:c r="H264" s="7" t="str">
        <x:v>Explicit governed evidence supporting relationship</x:v>
      </x:c>
      <x:c r="I264" s="6" t="str"/>
      <x:c r="J264" s="6" t="str"/>
      <x:c r="K264" s="6" t="str"/>
      <x:c r="L264" s="6" t="str">
        <x:v>Open</x:v>
      </x:c>
      <x:c r="M264" s="7" t="str"/>
    </x:row>
    <x:row r="265">
      <x:c r="A265" s="6" t="str">
        <x:v>ESC-000264</x:v>
      </x:c>
      <x:c r="B265" s="6" t="str">
        <x:v>Unsupported Relationship Review</x:v>
      </x:c>
      <x:c r="C265" s="6" t="str">
        <x:v>UNS000264</x:v>
      </x:c>
      <x:c r="D265" s="6" t="str">
        <x:v>SVC000264</x:v>
      </x:c>
      <x:c r="E265" s="6" t="str"/>
      <x:c r="F265" s="6" t="str">
        <x:v>Unsupported Relationship</x:v>
      </x:c>
      <x:c r="G265" s="7" t="str">
        <x:v>Device family alone is insufficient for governed relationship.</x:v>
      </x:c>
      <x:c r="H265" s="7" t="str">
        <x:v>Explicit governed evidence supporting relationship</x:v>
      </x:c>
      <x:c r="I265" s="6" t="str"/>
      <x:c r="J265" s="6" t="str"/>
      <x:c r="K265" s="6" t="str"/>
      <x:c r="L265" s="6" t="str">
        <x:v>Open</x:v>
      </x:c>
      <x:c r="M265" s="7" t="str"/>
    </x:row>
    <x:row r="266">
      <x:c r="A266" s="6" t="str">
        <x:v>ESC-000265</x:v>
      </x:c>
      <x:c r="B266" s="6" t="str">
        <x:v>Unsupported Relationship Review</x:v>
      </x:c>
      <x:c r="C266" s="6" t="str">
        <x:v>UNS000265</x:v>
      </x:c>
      <x:c r="D266" s="6" t="str">
        <x:v>SVC000265</x:v>
      </x:c>
      <x:c r="E266" s="6" t="str"/>
      <x:c r="F266" s="6" t="str">
        <x:v>Unsupported Relationship</x:v>
      </x:c>
      <x:c r="G266" s="7" t="str">
        <x:v>Device family alone is insufficient for governed relationship.</x:v>
      </x:c>
      <x:c r="H266" s="7" t="str">
        <x:v>Explicit governed evidence supporting relationship</x:v>
      </x:c>
      <x:c r="I266" s="6" t="str"/>
      <x:c r="J266" s="6" t="str"/>
      <x:c r="K266" s="6" t="str"/>
      <x:c r="L266" s="6" t="str">
        <x:v>Open</x:v>
      </x:c>
      <x:c r="M266" s="7" t="str"/>
    </x:row>
    <x:row r="267">
      <x:c r="A267" s="6" t="str">
        <x:v>ESC-000266</x:v>
      </x:c>
      <x:c r="B267" s="6" t="str">
        <x:v>Unsupported Relationship Review</x:v>
      </x:c>
      <x:c r="C267" s="6" t="str">
        <x:v>UNS000266</x:v>
      </x:c>
      <x:c r="D267" s="6" t="str">
        <x:v>SVC000266</x:v>
      </x:c>
      <x:c r="E267" s="6" t="str"/>
      <x:c r="F267" s="6" t="str">
        <x:v>Unsupported Relationship</x:v>
      </x:c>
      <x:c r="G267" s="7" t="str">
        <x:v>Device family alone is insufficient for governed relationship.</x:v>
      </x:c>
      <x:c r="H267" s="7" t="str">
        <x:v>Explicit governed evidence supporting relationship</x:v>
      </x:c>
      <x:c r="I267" s="6" t="str"/>
      <x:c r="J267" s="6" t="str"/>
      <x:c r="K267" s="6" t="str"/>
      <x:c r="L267" s="6" t="str">
        <x:v>Open</x:v>
      </x:c>
      <x:c r="M267" s="7" t="str"/>
    </x:row>
    <x:row r="268">
      <x:c r="A268" s="6" t="str">
        <x:v>ESC-000267</x:v>
      </x:c>
      <x:c r="B268" s="6" t="str">
        <x:v>Unsupported Relationship Review</x:v>
      </x:c>
      <x:c r="C268" s="6" t="str">
        <x:v>UNS000267</x:v>
      </x:c>
      <x:c r="D268" s="6" t="str">
        <x:v>SVC000267</x:v>
      </x:c>
      <x:c r="E268" s="6" t="str"/>
      <x:c r="F268" s="6" t="str">
        <x:v>Unsupported Relationship</x:v>
      </x:c>
      <x:c r="G268" s="7" t="str">
        <x:v>Device family alone is insufficient for governed relationship.</x:v>
      </x:c>
      <x:c r="H268" s="7" t="str">
        <x:v>Explicit governed evidence supporting relationship</x:v>
      </x:c>
      <x:c r="I268" s="6" t="str"/>
      <x:c r="J268" s="6" t="str"/>
      <x:c r="K268" s="6" t="str"/>
      <x:c r="L268" s="6" t="str">
        <x:v>Open</x:v>
      </x:c>
      <x:c r="M268" s="7" t="str"/>
    </x:row>
    <x:row r="269">
      <x:c r="A269" s="6" t="str">
        <x:v>ESC-000268</x:v>
      </x:c>
      <x:c r="B269" s="6" t="str">
        <x:v>Unsupported Relationship Review</x:v>
      </x:c>
      <x:c r="C269" s="6" t="str">
        <x:v>UNS000268</x:v>
      </x:c>
      <x:c r="D269" s="6" t="str">
        <x:v>SVC000268</x:v>
      </x:c>
      <x:c r="E269" s="6" t="str"/>
      <x:c r="F269" s="6" t="str">
        <x:v>Unsupported Relationship</x:v>
      </x:c>
      <x:c r="G269" s="7" t="str">
        <x:v>Device family alone is insufficient for governed relationship.</x:v>
      </x:c>
      <x:c r="H269" s="7" t="str">
        <x:v>Explicit governed evidence supporting relationship</x:v>
      </x:c>
      <x:c r="I269" s="6" t="str"/>
      <x:c r="J269" s="6" t="str"/>
      <x:c r="K269" s="6" t="str"/>
      <x:c r="L269" s="6" t="str">
        <x:v>Open</x:v>
      </x:c>
      <x:c r="M269" s="7" t="str"/>
    </x:row>
    <x:row r="270">
      <x:c r="A270" s="6" t="str">
        <x:v>ESC-000269</x:v>
      </x:c>
      <x:c r="B270" s="6" t="str">
        <x:v>Unsupported Relationship Review</x:v>
      </x:c>
      <x:c r="C270" s="6" t="str">
        <x:v>UNS000269</x:v>
      </x:c>
      <x:c r="D270" s="6" t="str">
        <x:v>SVC000269</x:v>
      </x:c>
      <x:c r="E270" s="6" t="str"/>
      <x:c r="F270" s="6" t="str">
        <x:v>Unsupported Relationship</x:v>
      </x:c>
      <x:c r="G270" s="7" t="str">
        <x:v>Device family alone is insufficient for governed relationship.</x:v>
      </x:c>
      <x:c r="H270" s="7" t="str">
        <x:v>Explicit governed evidence supporting relationship</x:v>
      </x:c>
      <x:c r="I270" s="6" t="str"/>
      <x:c r="J270" s="6" t="str"/>
      <x:c r="K270" s="6" t="str"/>
      <x:c r="L270" s="6" t="str">
        <x:v>Open</x:v>
      </x:c>
      <x:c r="M270" s="7" t="str"/>
    </x:row>
    <x:row r="271">
      <x:c r="A271" s="6" t="str">
        <x:v>ESC-000270</x:v>
      </x:c>
      <x:c r="B271" s="6" t="str">
        <x:v>Unsupported Relationship Review</x:v>
      </x:c>
      <x:c r="C271" s="6" t="str">
        <x:v>UNS000270</x:v>
      </x:c>
      <x:c r="D271" s="6" t="str">
        <x:v>SVC000270</x:v>
      </x:c>
      <x:c r="E271" s="6" t="str"/>
      <x:c r="F271" s="6" t="str">
        <x:v>Unsupported Relationship</x:v>
      </x:c>
      <x:c r="G271" s="7" t="str">
        <x:v>Device family alone is insufficient for governed relationship.</x:v>
      </x:c>
      <x:c r="H271" s="7" t="str">
        <x:v>Explicit governed evidence supporting relationship</x:v>
      </x:c>
      <x:c r="I271" s="6" t="str"/>
      <x:c r="J271" s="6" t="str"/>
      <x:c r="K271" s="6" t="str"/>
      <x:c r="L271" s="6" t="str">
        <x:v>Open</x:v>
      </x:c>
      <x:c r="M271" s="7" t="str"/>
    </x:row>
    <x:row r="272">
      <x:c r="A272" s="6" t="str">
        <x:v>ESC-000271</x:v>
      </x:c>
      <x:c r="B272" s="6" t="str">
        <x:v>Unsupported Relationship Review</x:v>
      </x:c>
      <x:c r="C272" s="6" t="str">
        <x:v>UNS000271</x:v>
      </x:c>
      <x:c r="D272" s="6" t="str">
        <x:v>SVC000271</x:v>
      </x:c>
      <x:c r="E272" s="6" t="str"/>
      <x:c r="F272" s="6" t="str">
        <x:v>Unsupported Relationship</x:v>
      </x:c>
      <x:c r="G272" s="7" t="str">
        <x:v>Device family alone is insufficient for governed relationship.</x:v>
      </x:c>
      <x:c r="H272" s="7" t="str">
        <x:v>Explicit governed evidence supporting relationship</x:v>
      </x:c>
      <x:c r="I272" s="6" t="str"/>
      <x:c r="J272" s="6" t="str"/>
      <x:c r="K272" s="6" t="str"/>
      <x:c r="L272" s="6" t="str">
        <x:v>Open</x:v>
      </x:c>
      <x:c r="M272" s="7" t="str"/>
    </x:row>
    <x:row r="273">
      <x:c r="A273" s="6" t="str">
        <x:v>ESC-000272</x:v>
      </x:c>
      <x:c r="B273" s="6" t="str">
        <x:v>Unsupported Relationship Review</x:v>
      </x:c>
      <x:c r="C273" s="6" t="str">
        <x:v>UNS000272</x:v>
      </x:c>
      <x:c r="D273" s="6" t="str">
        <x:v>SVC000272</x:v>
      </x:c>
      <x:c r="E273" s="6" t="str"/>
      <x:c r="F273" s="6" t="str">
        <x:v>Unsupported Relationship</x:v>
      </x:c>
      <x:c r="G273" s="7" t="str">
        <x:v>Device family alone is insufficient for governed relationship.</x:v>
      </x:c>
      <x:c r="H273" s="7" t="str">
        <x:v>Explicit governed evidence supporting relationship</x:v>
      </x:c>
      <x:c r="I273" s="6" t="str"/>
      <x:c r="J273" s="6" t="str"/>
      <x:c r="K273" s="6" t="str"/>
      <x:c r="L273" s="6" t="str">
        <x:v>Open</x:v>
      </x:c>
      <x:c r="M273" s="7" t="str"/>
    </x:row>
    <x:row r="274">
      <x:c r="A274" s="6" t="str">
        <x:v>ESC-000273</x:v>
      </x:c>
      <x:c r="B274" s="6" t="str">
        <x:v>Unsupported Relationship Review</x:v>
      </x:c>
      <x:c r="C274" s="6" t="str">
        <x:v>UNS000273</x:v>
      </x:c>
      <x:c r="D274" s="6" t="str">
        <x:v>SVC000273</x:v>
      </x:c>
      <x:c r="E274" s="6" t="str"/>
      <x:c r="F274" s="6" t="str">
        <x:v>Unsupported Relationship</x:v>
      </x:c>
      <x:c r="G274" s="7" t="str">
        <x:v>Device family alone is insufficient for governed relationship.</x:v>
      </x:c>
      <x:c r="H274" s="7" t="str">
        <x:v>Explicit governed evidence supporting relationship</x:v>
      </x:c>
      <x:c r="I274" s="6" t="str"/>
      <x:c r="J274" s="6" t="str"/>
      <x:c r="K274" s="6" t="str"/>
      <x:c r="L274" s="6" t="str">
        <x:v>Open</x:v>
      </x:c>
      <x:c r="M274" s="7" t="str"/>
    </x:row>
    <x:row r="275">
      <x:c r="A275" s="6" t="str">
        <x:v>ESC-000274</x:v>
      </x:c>
      <x:c r="B275" s="6" t="str">
        <x:v>Unsupported Relationship Review</x:v>
      </x:c>
      <x:c r="C275" s="6" t="str">
        <x:v>UNS000274</x:v>
      </x:c>
      <x:c r="D275" s="6" t="str">
        <x:v>SVC000274</x:v>
      </x:c>
      <x:c r="E275" s="6" t="str"/>
      <x:c r="F275" s="6" t="str">
        <x:v>Unsupported Relationship</x:v>
      </x:c>
      <x:c r="G275" s="7" t="str">
        <x:v>Device family alone is insufficient for governed relationship.</x:v>
      </x:c>
      <x:c r="H275" s="7" t="str">
        <x:v>Explicit governed evidence supporting relationship</x:v>
      </x:c>
      <x:c r="I275" s="6" t="str"/>
      <x:c r="J275" s="6" t="str"/>
      <x:c r="K275" s="6" t="str"/>
      <x:c r="L275" s="6" t="str">
        <x:v>Open</x:v>
      </x:c>
      <x:c r="M275" s="7" t="str"/>
    </x:row>
    <x:row r="276">
      <x:c r="A276" s="6" t="str">
        <x:v>ESC-000275</x:v>
      </x:c>
      <x:c r="B276" s="6" t="str">
        <x:v>Unsupported Relationship Review</x:v>
      </x:c>
      <x:c r="C276" s="6" t="str">
        <x:v>UNS000275</x:v>
      </x:c>
      <x:c r="D276" s="6" t="str">
        <x:v>SVC000275</x:v>
      </x:c>
      <x:c r="E276" s="6" t="str"/>
      <x:c r="F276" s="6" t="str">
        <x:v>Unsupported Relationship</x:v>
      </x:c>
      <x:c r="G276" s="7" t="str">
        <x:v>Device family alone is insufficient for governed relationship.</x:v>
      </x:c>
      <x:c r="H276" s="7" t="str">
        <x:v>Explicit governed evidence supporting relationship</x:v>
      </x:c>
      <x:c r="I276" s="6" t="str"/>
      <x:c r="J276" s="6" t="str"/>
      <x:c r="K276" s="6" t="str"/>
      <x:c r="L276" s="6" t="str">
        <x:v>Open</x:v>
      </x:c>
      <x:c r="M276" s="7" t="str"/>
    </x:row>
    <x:row r="277">
      <x:c r="A277" s="6" t="str">
        <x:v>ESC-000276</x:v>
      </x:c>
      <x:c r="B277" s="6" t="str">
        <x:v>Unsupported Relationship Review</x:v>
      </x:c>
      <x:c r="C277" s="6" t="str">
        <x:v>UNS000276</x:v>
      </x:c>
      <x:c r="D277" s="6" t="str">
        <x:v>SVC000276</x:v>
      </x:c>
      <x:c r="E277" s="6" t="str"/>
      <x:c r="F277" s="6" t="str">
        <x:v>Unsupported Relationship</x:v>
      </x:c>
      <x:c r="G277" s="7" t="str">
        <x:v>Device family alone is insufficient for governed relationship.</x:v>
      </x:c>
      <x:c r="H277" s="7" t="str">
        <x:v>Explicit governed evidence supporting relationship</x:v>
      </x:c>
      <x:c r="I277" s="6" t="str"/>
      <x:c r="J277" s="6" t="str"/>
      <x:c r="K277" s="6" t="str"/>
      <x:c r="L277" s="6" t="str">
        <x:v>Open</x:v>
      </x:c>
      <x:c r="M277" s="7" t="str"/>
    </x:row>
    <x:row r="278">
      <x:c r="A278" s="6" t="str">
        <x:v>ESC-000277</x:v>
      </x:c>
      <x:c r="B278" s="6" t="str">
        <x:v>Unsupported Relationship Review</x:v>
      </x:c>
      <x:c r="C278" s="6" t="str">
        <x:v>UNS000277</x:v>
      </x:c>
      <x:c r="D278" s="6" t="str">
        <x:v>SVC000277</x:v>
      </x:c>
      <x:c r="E278" s="6" t="str"/>
      <x:c r="F278" s="6" t="str">
        <x:v>Unsupported Relationship</x:v>
      </x:c>
      <x:c r="G278" s="7" t="str">
        <x:v>Device family alone is insufficient for governed relationship.</x:v>
      </x:c>
      <x:c r="H278" s="7" t="str">
        <x:v>Explicit governed evidence supporting relationship</x:v>
      </x:c>
      <x:c r="I278" s="6" t="str"/>
      <x:c r="J278" s="6" t="str"/>
      <x:c r="K278" s="6" t="str"/>
      <x:c r="L278" s="6" t="str">
        <x:v>Open</x:v>
      </x:c>
      <x:c r="M278" s="7" t="str"/>
    </x:row>
    <x:row r="279">
      <x:c r="A279" s="6" t="str">
        <x:v>ESC-000278</x:v>
      </x:c>
      <x:c r="B279" s="6" t="str">
        <x:v>Unsupported Relationship Review</x:v>
      </x:c>
      <x:c r="C279" s="6" t="str">
        <x:v>UNS000278</x:v>
      </x:c>
      <x:c r="D279" s="6" t="str">
        <x:v>SVC000278</x:v>
      </x:c>
      <x:c r="E279" s="6" t="str"/>
      <x:c r="F279" s="6" t="str">
        <x:v>Unsupported Relationship</x:v>
      </x:c>
      <x:c r="G279" s="7" t="str">
        <x:v>Device family alone is insufficient for governed relationship.</x:v>
      </x:c>
      <x:c r="H279" s="7" t="str">
        <x:v>Explicit governed evidence supporting relationship</x:v>
      </x:c>
      <x:c r="I279" s="6" t="str"/>
      <x:c r="J279" s="6" t="str"/>
      <x:c r="K279" s="6" t="str"/>
      <x:c r="L279" s="6" t="str">
        <x:v>Open</x:v>
      </x:c>
      <x:c r="M279" s="7" t="str"/>
    </x:row>
    <x:row r="280">
      <x:c r="A280" s="6" t="str">
        <x:v>ESC-000279</x:v>
      </x:c>
      <x:c r="B280" s="6" t="str">
        <x:v>Unsupported Relationship Review</x:v>
      </x:c>
      <x:c r="C280" s="6" t="str">
        <x:v>UNS000279</x:v>
      </x:c>
      <x:c r="D280" s="6" t="str">
        <x:v>SVC000279</x:v>
      </x:c>
      <x:c r="E280" s="6" t="str"/>
      <x:c r="F280" s="6" t="str">
        <x:v>Unsupported Relationship</x:v>
      </x:c>
      <x:c r="G280" s="7" t="str">
        <x:v>Device family alone is insufficient for governed relationship.</x:v>
      </x:c>
      <x:c r="H280" s="7" t="str">
        <x:v>Explicit governed evidence supporting relationship</x:v>
      </x:c>
      <x:c r="I280" s="6" t="str"/>
      <x:c r="J280" s="6" t="str"/>
      <x:c r="K280" s="6" t="str"/>
      <x:c r="L280" s="6" t="str">
        <x:v>Open</x:v>
      </x:c>
      <x:c r="M280" s="7" t="str"/>
    </x:row>
    <x:row r="281">
      <x:c r="A281" s="6" t="str">
        <x:v>ESC-000280</x:v>
      </x:c>
      <x:c r="B281" s="6" t="str">
        <x:v>Unsupported Relationship Review</x:v>
      </x:c>
      <x:c r="C281" s="6" t="str">
        <x:v>UNS000280</x:v>
      </x:c>
      <x:c r="D281" s="6" t="str">
        <x:v>SVC000280</x:v>
      </x:c>
      <x:c r="E281" s="6" t="str"/>
      <x:c r="F281" s="6" t="str">
        <x:v>Unsupported Relationship</x:v>
      </x:c>
      <x:c r="G281" s="7" t="str">
        <x:v>Device family alone is insufficient for governed relationship.</x:v>
      </x:c>
      <x:c r="H281" s="7" t="str">
        <x:v>Explicit governed evidence supporting relationship</x:v>
      </x:c>
      <x:c r="I281" s="6" t="str"/>
      <x:c r="J281" s="6" t="str"/>
      <x:c r="K281" s="6" t="str"/>
      <x:c r="L281" s="6" t="str">
        <x:v>Open</x:v>
      </x:c>
      <x:c r="M281" s="7" t="str"/>
    </x:row>
    <x:row r="282">
      <x:c r="A282" s="6" t="str">
        <x:v>ESC-000281</x:v>
      </x:c>
      <x:c r="B282" s="6" t="str">
        <x:v>Unsupported Relationship Review</x:v>
      </x:c>
      <x:c r="C282" s="6" t="str">
        <x:v>UNS000281</x:v>
      </x:c>
      <x:c r="D282" s="6" t="str">
        <x:v>SVC000281</x:v>
      </x:c>
      <x:c r="E282" s="6" t="str"/>
      <x:c r="F282" s="6" t="str">
        <x:v>Unsupported Relationship</x:v>
      </x:c>
      <x:c r="G282" s="7" t="str">
        <x:v>Device family alone is insufficient for governed relationship.</x:v>
      </x:c>
      <x:c r="H282" s="7" t="str">
        <x:v>Explicit governed evidence supporting relationship</x:v>
      </x:c>
      <x:c r="I282" s="6" t="str"/>
      <x:c r="J282" s="6" t="str"/>
      <x:c r="K282" s="6" t="str"/>
      <x:c r="L282" s="6" t="str">
        <x:v>Open</x:v>
      </x:c>
      <x:c r="M282" s="7" t="str"/>
    </x:row>
    <x:row r="283">
      <x:c r="A283" s="6" t="str">
        <x:v>ESC-000282</x:v>
      </x:c>
      <x:c r="B283" s="6" t="str">
        <x:v>Unsupported Relationship Review</x:v>
      </x:c>
      <x:c r="C283" s="6" t="str">
        <x:v>UNS000282</x:v>
      </x:c>
      <x:c r="D283" s="6" t="str">
        <x:v>SVC000282</x:v>
      </x:c>
      <x:c r="E283" s="6" t="str"/>
      <x:c r="F283" s="6" t="str">
        <x:v>Unsupported Relationship</x:v>
      </x:c>
      <x:c r="G283" s="7" t="str">
        <x:v>Device family alone is insufficient for governed relationship.</x:v>
      </x:c>
      <x:c r="H283" s="7" t="str">
        <x:v>Explicit governed evidence supporting relationship</x:v>
      </x:c>
      <x:c r="I283" s="6" t="str"/>
      <x:c r="J283" s="6" t="str"/>
      <x:c r="K283" s="6" t="str"/>
      <x:c r="L283" s="6" t="str">
        <x:v>Open</x:v>
      </x:c>
      <x:c r="M283" s="7" t="str"/>
    </x:row>
    <x:row r="284">
      <x:c r="A284" s="6" t="str">
        <x:v>ESC-000283</x:v>
      </x:c>
      <x:c r="B284" s="6" t="str">
        <x:v>Unsupported Relationship Review</x:v>
      </x:c>
      <x:c r="C284" s="6" t="str">
        <x:v>UNS000283</x:v>
      </x:c>
      <x:c r="D284" s="6" t="str">
        <x:v>SVC000283</x:v>
      </x:c>
      <x:c r="E284" s="6" t="str"/>
      <x:c r="F284" s="6" t="str">
        <x:v>Unsupported Relationship</x:v>
      </x:c>
      <x:c r="G284" s="7" t="str">
        <x:v>Device family alone is insufficient for governed relationship.</x:v>
      </x:c>
      <x:c r="H284" s="7" t="str">
        <x:v>Explicit governed evidence supporting relationship</x:v>
      </x:c>
      <x:c r="I284" s="6" t="str"/>
      <x:c r="J284" s="6" t="str"/>
      <x:c r="K284" s="6" t="str"/>
      <x:c r="L284" s="6" t="str">
        <x:v>Open</x:v>
      </x:c>
      <x:c r="M284" s="7" t="str"/>
    </x:row>
    <x:row r="285">
      <x:c r="A285" s="6" t="str">
        <x:v>ESC-000284</x:v>
      </x:c>
      <x:c r="B285" s="6" t="str">
        <x:v>Unsupported Relationship Review</x:v>
      </x:c>
      <x:c r="C285" s="6" t="str">
        <x:v>UNS000284</x:v>
      </x:c>
      <x:c r="D285" s="6" t="str">
        <x:v>SVC000284</x:v>
      </x:c>
      <x:c r="E285" s="6" t="str"/>
      <x:c r="F285" s="6" t="str">
        <x:v>Unsupported Relationship</x:v>
      </x:c>
      <x:c r="G285" s="7" t="str">
        <x:v>Device family alone is insufficient for governed relationship.</x:v>
      </x:c>
      <x:c r="H285" s="7" t="str">
        <x:v>Explicit governed evidence supporting relationship</x:v>
      </x:c>
      <x:c r="I285" s="6" t="str"/>
      <x:c r="J285" s="6" t="str"/>
      <x:c r="K285" s="6" t="str"/>
      <x:c r="L285" s="6" t="str">
        <x:v>Open</x:v>
      </x:c>
      <x:c r="M285" s="7" t="str"/>
    </x:row>
    <x:row r="286">
      <x:c r="A286" s="6" t="str">
        <x:v>ESC-000285</x:v>
      </x:c>
      <x:c r="B286" s="6" t="str">
        <x:v>Unsupported Relationship Review</x:v>
      </x:c>
      <x:c r="C286" s="6" t="str">
        <x:v>UNS000285</x:v>
      </x:c>
      <x:c r="D286" s="6" t="str">
        <x:v>SVC000285</x:v>
      </x:c>
      <x:c r="E286" s="6" t="str"/>
      <x:c r="F286" s="6" t="str">
        <x:v>Unsupported Relationship</x:v>
      </x:c>
      <x:c r="G286" s="7" t="str">
        <x:v>Device family alone is insufficient for governed relationship.</x:v>
      </x:c>
      <x:c r="H286" s="7" t="str">
        <x:v>Explicit governed evidence supporting relationship</x:v>
      </x:c>
      <x:c r="I286" s="6" t="str"/>
      <x:c r="J286" s="6" t="str"/>
      <x:c r="K286" s="6" t="str"/>
      <x:c r="L286" s="6" t="str">
        <x:v>Open</x:v>
      </x:c>
      <x:c r="M286" s="7" t="str"/>
    </x:row>
    <x:row r="287">
      <x:c r="A287" s="6" t="str">
        <x:v>ESC-000286</x:v>
      </x:c>
      <x:c r="B287" s="6" t="str">
        <x:v>Unsupported Relationship Review</x:v>
      </x:c>
      <x:c r="C287" s="6" t="str">
        <x:v>UNS000286</x:v>
      </x:c>
      <x:c r="D287" s="6" t="str">
        <x:v>SVC000286</x:v>
      </x:c>
      <x:c r="E287" s="6" t="str"/>
      <x:c r="F287" s="6" t="str">
        <x:v>Unsupported Relationship</x:v>
      </x:c>
      <x:c r="G287" s="7" t="str">
        <x:v>Device family alone is insufficient for governed relationship.</x:v>
      </x:c>
      <x:c r="H287" s="7" t="str">
        <x:v>Explicit governed evidence supporting relationship</x:v>
      </x:c>
      <x:c r="I287" s="6" t="str"/>
      <x:c r="J287" s="6" t="str"/>
      <x:c r="K287" s="6" t="str"/>
      <x:c r="L287" s="6" t="str">
        <x:v>Open</x:v>
      </x:c>
      <x:c r="M287" s="7" t="str"/>
    </x:row>
    <x:row r="288">
      <x:c r="A288" s="6" t="str">
        <x:v>ESC-000287</x:v>
      </x:c>
      <x:c r="B288" s="6" t="str">
        <x:v>Unsupported Relationship Review</x:v>
      </x:c>
      <x:c r="C288" s="6" t="str">
        <x:v>UNS000287</x:v>
      </x:c>
      <x:c r="D288" s="6" t="str">
        <x:v>SVC000287</x:v>
      </x:c>
      <x:c r="E288" s="6" t="str"/>
      <x:c r="F288" s="6" t="str">
        <x:v>Unsupported Relationship</x:v>
      </x:c>
      <x:c r="G288" s="7" t="str">
        <x:v>Device family alone is insufficient for governed relationship.</x:v>
      </x:c>
      <x:c r="H288" s="7" t="str">
        <x:v>Explicit governed evidence supporting relationship</x:v>
      </x:c>
      <x:c r="I288" s="6" t="str"/>
      <x:c r="J288" s="6" t="str"/>
      <x:c r="K288" s="6" t="str"/>
      <x:c r="L288" s="6" t="str">
        <x:v>Open</x:v>
      </x:c>
      <x:c r="M288" s="7" t="str"/>
    </x:row>
    <x:row r="289">
      <x:c r="A289" s="6" t="str">
        <x:v>ESC-000288</x:v>
      </x:c>
      <x:c r="B289" s="6" t="str">
        <x:v>Unsupported Relationship Review</x:v>
      </x:c>
      <x:c r="C289" s="6" t="str">
        <x:v>UNS000288</x:v>
      </x:c>
      <x:c r="D289" s="6" t="str">
        <x:v>SVC000288</x:v>
      </x:c>
      <x:c r="E289" s="6" t="str"/>
      <x:c r="F289" s="6" t="str">
        <x:v>Unsupported Relationship</x:v>
      </x:c>
      <x:c r="G289" s="7" t="str">
        <x:v>Device family alone is insufficient for governed relationship.</x:v>
      </x:c>
      <x:c r="H289" s="7" t="str">
        <x:v>Explicit governed evidence supporting relationship</x:v>
      </x:c>
      <x:c r="I289" s="6" t="str"/>
      <x:c r="J289" s="6" t="str"/>
      <x:c r="K289" s="6" t="str"/>
      <x:c r="L289" s="6" t="str">
        <x:v>Open</x:v>
      </x:c>
      <x:c r="M289" s="7" t="str"/>
    </x:row>
    <x:row r="290">
      <x:c r="A290" s="6" t="str">
        <x:v>ESC-000289</x:v>
      </x:c>
      <x:c r="B290" s="6" t="str">
        <x:v>Unsupported Relationship Review</x:v>
      </x:c>
      <x:c r="C290" s="6" t="str">
        <x:v>UNS000289</x:v>
      </x:c>
      <x:c r="D290" s="6" t="str">
        <x:v>SVC000289</x:v>
      </x:c>
      <x:c r="E290" s="6" t="str"/>
      <x:c r="F290" s="6" t="str">
        <x:v>Unsupported Relationship</x:v>
      </x:c>
      <x:c r="G290" s="7" t="str">
        <x:v>Device family alone is insufficient for governed relationship.</x:v>
      </x:c>
      <x:c r="H290" s="7" t="str">
        <x:v>Explicit governed evidence supporting relationship</x:v>
      </x:c>
      <x:c r="I290" s="6" t="str"/>
      <x:c r="J290" s="6" t="str"/>
      <x:c r="K290" s="6" t="str"/>
      <x:c r="L290" s="6" t="str">
        <x:v>Open</x:v>
      </x:c>
      <x:c r="M290" s="7" t="str"/>
    </x:row>
    <x:row r="291">
      <x:c r="A291" s="6" t="str">
        <x:v>ESC-000290</x:v>
      </x:c>
      <x:c r="B291" s="6" t="str">
        <x:v>Unsupported Relationship Review</x:v>
      </x:c>
      <x:c r="C291" s="6" t="str">
        <x:v>UNS000290</x:v>
      </x:c>
      <x:c r="D291" s="6" t="str">
        <x:v>SVC000290</x:v>
      </x:c>
      <x:c r="E291" s="6" t="str"/>
      <x:c r="F291" s="6" t="str">
        <x:v>Unsupported Relationship</x:v>
      </x:c>
      <x:c r="G291" s="7" t="str">
        <x:v>Device family alone is insufficient for governed relationship.</x:v>
      </x:c>
      <x:c r="H291" s="7" t="str">
        <x:v>Explicit governed evidence supporting relationship</x:v>
      </x:c>
      <x:c r="I291" s="6" t="str"/>
      <x:c r="J291" s="6" t="str"/>
      <x:c r="K291" s="6" t="str"/>
      <x:c r="L291" s="6" t="str">
        <x:v>Open</x:v>
      </x:c>
      <x:c r="M291" s="7" t="str"/>
    </x:row>
    <x:row r="292">
      <x:c r="A292" s="6" t="str">
        <x:v>ESC-000291</x:v>
      </x:c>
      <x:c r="B292" s="6" t="str">
        <x:v>Unsupported Relationship Review</x:v>
      </x:c>
      <x:c r="C292" s="6" t="str">
        <x:v>UNS000291</x:v>
      </x:c>
      <x:c r="D292" s="6" t="str">
        <x:v>SVC000291</x:v>
      </x:c>
      <x:c r="E292" s="6" t="str"/>
      <x:c r="F292" s="6" t="str">
        <x:v>Unsupported Relationship</x:v>
      </x:c>
      <x:c r="G292" s="7" t="str">
        <x:v>Device family alone is insufficient for governed relationship.</x:v>
      </x:c>
      <x:c r="H292" s="7" t="str">
        <x:v>Explicit governed evidence supporting relationship</x:v>
      </x:c>
      <x:c r="I292" s="6" t="str"/>
      <x:c r="J292" s="6" t="str"/>
      <x:c r="K292" s="6" t="str"/>
      <x:c r="L292" s="6" t="str">
        <x:v>Open</x:v>
      </x:c>
      <x:c r="M292" s="7" t="str"/>
    </x:row>
    <x:row r="293">
      <x:c r="A293" s="6" t="str">
        <x:v>ESC-000292</x:v>
      </x:c>
      <x:c r="B293" s="6" t="str">
        <x:v>Unsupported Relationship Review</x:v>
      </x:c>
      <x:c r="C293" s="6" t="str">
        <x:v>UNS000292</x:v>
      </x:c>
      <x:c r="D293" s="6" t="str">
        <x:v>SVC000292</x:v>
      </x:c>
      <x:c r="E293" s="6" t="str"/>
      <x:c r="F293" s="6" t="str">
        <x:v>Unsupported Relationship</x:v>
      </x:c>
      <x:c r="G293" s="7" t="str">
        <x:v>Device family alone is insufficient for governed relationship.</x:v>
      </x:c>
      <x:c r="H293" s="7" t="str">
        <x:v>Explicit governed evidence supporting relationship</x:v>
      </x:c>
      <x:c r="I293" s="6" t="str"/>
      <x:c r="J293" s="6" t="str"/>
      <x:c r="K293" s="6" t="str"/>
      <x:c r="L293" s="6" t="str">
        <x:v>Open</x:v>
      </x:c>
      <x:c r="M293" s="7" t="str"/>
    </x:row>
    <x:row r="294">
      <x:c r="A294" s="6" t="str">
        <x:v>ESC-000293</x:v>
      </x:c>
      <x:c r="B294" s="6" t="str">
        <x:v>Unsupported Relationship Review</x:v>
      </x:c>
      <x:c r="C294" s="6" t="str">
        <x:v>UNS000293</x:v>
      </x:c>
      <x:c r="D294" s="6" t="str">
        <x:v>SVC000293</x:v>
      </x:c>
      <x:c r="E294" s="6" t="str"/>
      <x:c r="F294" s="6" t="str">
        <x:v>Unsupported Relationship</x:v>
      </x:c>
      <x:c r="G294" s="7" t="str">
        <x:v>Device family alone is insufficient for governed relationship.</x:v>
      </x:c>
      <x:c r="H294" s="7" t="str">
        <x:v>Explicit governed evidence supporting relationship</x:v>
      </x:c>
      <x:c r="I294" s="6" t="str"/>
      <x:c r="J294" s="6" t="str"/>
      <x:c r="K294" s="6" t="str"/>
      <x:c r="L294" s="6" t="str">
        <x:v>Open</x:v>
      </x:c>
      <x:c r="M294" s="7" t="str"/>
    </x:row>
    <x:row r="295">
      <x:c r="A295" s="6" t="str">
        <x:v>ESC-000294</x:v>
      </x:c>
      <x:c r="B295" s="6" t="str">
        <x:v>Unsupported Relationship Review</x:v>
      </x:c>
      <x:c r="C295" s="6" t="str">
        <x:v>UNS000294</x:v>
      </x:c>
      <x:c r="D295" s="6" t="str">
        <x:v>SVC000294</x:v>
      </x:c>
      <x:c r="E295" s="6" t="str"/>
      <x:c r="F295" s="6" t="str">
        <x:v>Unsupported Relationship</x:v>
      </x:c>
      <x:c r="G295" s="7" t="str">
        <x:v>Device family alone is insufficient for governed relationship.</x:v>
      </x:c>
      <x:c r="H295" s="7" t="str">
        <x:v>Explicit governed evidence supporting relationship</x:v>
      </x:c>
      <x:c r="I295" s="6" t="str"/>
      <x:c r="J295" s="6" t="str"/>
      <x:c r="K295" s="6" t="str"/>
      <x:c r="L295" s="6" t="str">
        <x:v>Open</x:v>
      </x:c>
      <x:c r="M295" s="7" t="str"/>
    </x:row>
    <x:row r="296">
      <x:c r="A296" s="6" t="str">
        <x:v>ESC-000295</x:v>
      </x:c>
      <x:c r="B296" s="6" t="str">
        <x:v>Unsupported Relationship Review</x:v>
      </x:c>
      <x:c r="C296" s="6" t="str">
        <x:v>UNS000295</x:v>
      </x:c>
      <x:c r="D296" s="6" t="str">
        <x:v>SVC000295</x:v>
      </x:c>
      <x:c r="E296" s="6" t="str"/>
      <x:c r="F296" s="6" t="str">
        <x:v>Unsupported Relationship</x:v>
      </x:c>
      <x:c r="G296" s="7" t="str">
        <x:v>Device family alone is insufficient for governed relationship.</x:v>
      </x:c>
      <x:c r="H296" s="7" t="str">
        <x:v>Explicit governed evidence supporting relationship</x:v>
      </x:c>
      <x:c r="I296" s="6" t="str"/>
      <x:c r="J296" s="6" t="str"/>
      <x:c r="K296" s="6" t="str"/>
      <x:c r="L296" s="6" t="str">
        <x:v>Open</x:v>
      </x:c>
      <x:c r="M296" s="7" t="str"/>
    </x:row>
    <x:row r="297">
      <x:c r="A297" s="6" t="str">
        <x:v>ESC-000296</x:v>
      </x:c>
      <x:c r="B297" s="6" t="str">
        <x:v>Unsupported Relationship Review</x:v>
      </x:c>
      <x:c r="C297" s="6" t="str">
        <x:v>UNS000296</x:v>
      </x:c>
      <x:c r="D297" s="6" t="str">
        <x:v>SVC000296</x:v>
      </x:c>
      <x:c r="E297" s="6" t="str"/>
      <x:c r="F297" s="6" t="str">
        <x:v>Unsupported Relationship</x:v>
      </x:c>
      <x:c r="G297" s="7" t="str">
        <x:v>Device family alone is insufficient for governed relationship.</x:v>
      </x:c>
      <x:c r="H297" s="7" t="str">
        <x:v>Explicit governed evidence supporting relationship</x:v>
      </x:c>
      <x:c r="I297" s="6" t="str"/>
      <x:c r="J297" s="6" t="str"/>
      <x:c r="K297" s="6" t="str"/>
      <x:c r="L297" s="6" t="str">
        <x:v>Open</x:v>
      </x:c>
      <x:c r="M297" s="7" t="str"/>
    </x:row>
    <x:row r="298">
      <x:c r="A298" s="6" t="str">
        <x:v>ESC-000297</x:v>
      </x:c>
      <x:c r="B298" s="6" t="str">
        <x:v>Unsupported Relationship Review</x:v>
      </x:c>
      <x:c r="C298" s="6" t="str">
        <x:v>UNS000297</x:v>
      </x:c>
      <x:c r="D298" s="6" t="str">
        <x:v>SVC000297</x:v>
      </x:c>
      <x:c r="E298" s="6" t="str"/>
      <x:c r="F298" s="6" t="str">
        <x:v>Unsupported Relationship</x:v>
      </x:c>
      <x:c r="G298" s="7" t="str">
        <x:v>Device family alone is insufficient for governed relationship.</x:v>
      </x:c>
      <x:c r="H298" s="7" t="str">
        <x:v>Explicit governed evidence supporting relationship</x:v>
      </x:c>
      <x:c r="I298" s="6" t="str"/>
      <x:c r="J298" s="6" t="str"/>
      <x:c r="K298" s="6" t="str"/>
      <x:c r="L298" s="6" t="str">
        <x:v>Open</x:v>
      </x:c>
      <x:c r="M298" s="7" t="str"/>
    </x:row>
    <x:row r="299">
      <x:c r="A299" s="6" t="str">
        <x:v>ESC-000298</x:v>
      </x:c>
      <x:c r="B299" s="6" t="str">
        <x:v>Unsupported Relationship Review</x:v>
      </x:c>
      <x:c r="C299" s="6" t="str">
        <x:v>UNS000298</x:v>
      </x:c>
      <x:c r="D299" s="6" t="str">
        <x:v>SVC000298</x:v>
      </x:c>
      <x:c r="E299" s="6" t="str"/>
      <x:c r="F299" s="6" t="str">
        <x:v>Unsupported Relationship</x:v>
      </x:c>
      <x:c r="G299" s="7" t="str">
        <x:v>Device family alone is insufficient for governed relationship.</x:v>
      </x:c>
      <x:c r="H299" s="7" t="str">
        <x:v>Explicit governed evidence supporting relationship</x:v>
      </x:c>
      <x:c r="I299" s="6" t="str"/>
      <x:c r="J299" s="6" t="str"/>
      <x:c r="K299" s="6" t="str"/>
      <x:c r="L299" s="6" t="str">
        <x:v>Open</x:v>
      </x:c>
      <x:c r="M299" s="7" t="str"/>
    </x:row>
    <x:row r="300">
      <x:c r="A300" s="6" t="str">
        <x:v>ESC-000299</x:v>
      </x:c>
      <x:c r="B300" s="6" t="str">
        <x:v>Unsupported Relationship Review</x:v>
      </x:c>
      <x:c r="C300" s="6" t="str">
        <x:v>UNS000299</x:v>
      </x:c>
      <x:c r="D300" s="6" t="str">
        <x:v>SVC000299</x:v>
      </x:c>
      <x:c r="E300" s="6" t="str"/>
      <x:c r="F300" s="6" t="str">
        <x:v>Unsupported Relationship</x:v>
      </x:c>
      <x:c r="G300" s="7" t="str">
        <x:v>Device family alone is insufficient for governed relationship.</x:v>
      </x:c>
      <x:c r="H300" s="7" t="str">
        <x:v>Explicit governed evidence supporting relationship</x:v>
      </x:c>
      <x:c r="I300" s="6" t="str"/>
      <x:c r="J300" s="6" t="str"/>
      <x:c r="K300" s="6" t="str"/>
      <x:c r="L300" s="6" t="str">
        <x:v>Open</x:v>
      </x:c>
      <x:c r="M300" s="7" t="str"/>
    </x:row>
    <x:row r="301">
      <x:c r="A301" s="6" t="str">
        <x:v>ESC-000300</x:v>
      </x:c>
      <x:c r="B301" s="6" t="str">
        <x:v>Unsupported Relationship Review</x:v>
      </x:c>
      <x:c r="C301" s="6" t="str">
        <x:v>UNS000300</x:v>
      </x:c>
      <x:c r="D301" s="6" t="str">
        <x:v>SVC000300</x:v>
      </x:c>
      <x:c r="E301" s="6" t="str"/>
      <x:c r="F301" s="6" t="str">
        <x:v>Unsupported Relationship</x:v>
      </x:c>
      <x:c r="G301" s="7" t="str">
        <x:v>Device family alone is insufficient for governed relationship.</x:v>
      </x:c>
      <x:c r="H301" s="7" t="str">
        <x:v>Explicit governed evidence supporting relationship</x:v>
      </x:c>
      <x:c r="I301" s="6" t="str"/>
      <x:c r="J301" s="6" t="str"/>
      <x:c r="K301" s="6" t="str"/>
      <x:c r="L301" s="6" t="str">
        <x:v>Open</x:v>
      </x:c>
      <x:c r="M301" s="7" t="str"/>
    </x:row>
    <x:row r="302">
      <x:c r="A302" s="6" t="str">
        <x:v>ESC-000301</x:v>
      </x:c>
      <x:c r="B302" s="6" t="str">
        <x:v>Unsupported Relationship Review</x:v>
      </x:c>
      <x:c r="C302" s="6" t="str">
        <x:v>UNS000301</x:v>
      </x:c>
      <x:c r="D302" s="6" t="str">
        <x:v>SVC000301</x:v>
      </x:c>
      <x:c r="E302" s="6" t="str"/>
      <x:c r="F302" s="6" t="str">
        <x:v>Unsupported Relationship</x:v>
      </x:c>
      <x:c r="G302" s="7" t="str">
        <x:v>Device family alone is insufficient for governed relationship.</x:v>
      </x:c>
      <x:c r="H302" s="7" t="str">
        <x:v>Explicit governed evidence supporting relationship</x:v>
      </x:c>
      <x:c r="I302" s="6" t="str"/>
      <x:c r="J302" s="6" t="str"/>
      <x:c r="K302" s="6" t="str"/>
      <x:c r="L302" s="6" t="str">
        <x:v>Open</x:v>
      </x:c>
      <x:c r="M302" s="7" t="str"/>
    </x:row>
    <x:row r="303">
      <x:c r="A303" s="6" t="str">
        <x:v>ESC-000302</x:v>
      </x:c>
      <x:c r="B303" s="6" t="str">
        <x:v>Unsupported Relationship Review</x:v>
      </x:c>
      <x:c r="C303" s="6" t="str">
        <x:v>UNS000302</x:v>
      </x:c>
      <x:c r="D303" s="6" t="str">
        <x:v>SVC000302</x:v>
      </x:c>
      <x:c r="E303" s="6" t="str"/>
      <x:c r="F303" s="6" t="str">
        <x:v>Unsupported Relationship</x:v>
      </x:c>
      <x:c r="G303" s="7" t="str">
        <x:v>Device family alone is insufficient for governed relationship.</x:v>
      </x:c>
      <x:c r="H303" s="7" t="str">
        <x:v>Explicit governed evidence supporting relationship</x:v>
      </x:c>
      <x:c r="I303" s="6" t="str"/>
      <x:c r="J303" s="6" t="str"/>
      <x:c r="K303" s="6" t="str"/>
      <x:c r="L303" s="6" t="str">
        <x:v>Open</x:v>
      </x:c>
      <x:c r="M303" s="7" t="str"/>
    </x:row>
    <x:row r="304">
      <x:c r="A304" s="6" t="str">
        <x:v>ESC-000303</x:v>
      </x:c>
      <x:c r="B304" s="6" t="str">
        <x:v>Unsupported Relationship Review</x:v>
      </x:c>
      <x:c r="C304" s="6" t="str">
        <x:v>UNS000303</x:v>
      </x:c>
      <x:c r="D304" s="6" t="str">
        <x:v>SVC000303</x:v>
      </x:c>
      <x:c r="E304" s="6" t="str"/>
      <x:c r="F304" s="6" t="str">
        <x:v>Unsupported Relationship</x:v>
      </x:c>
      <x:c r="G304" s="7" t="str">
        <x:v>Device family alone is insufficient for governed relationship.</x:v>
      </x:c>
      <x:c r="H304" s="7" t="str">
        <x:v>Explicit governed evidence supporting relationship</x:v>
      </x:c>
      <x:c r="I304" s="6" t="str"/>
      <x:c r="J304" s="6" t="str"/>
      <x:c r="K304" s="6" t="str"/>
      <x:c r="L304" s="6" t="str">
        <x:v>Open</x:v>
      </x:c>
      <x:c r="M304" s="7" t="str"/>
    </x:row>
    <x:row r="305">
      <x:c r="A305" s="6" t="str">
        <x:v>ESC-000304</x:v>
      </x:c>
      <x:c r="B305" s="6" t="str">
        <x:v>Unsupported Relationship Review</x:v>
      </x:c>
      <x:c r="C305" s="6" t="str">
        <x:v>UNS000304</x:v>
      </x:c>
      <x:c r="D305" s="6" t="str">
        <x:v>SVC000304</x:v>
      </x:c>
      <x:c r="E305" s="6" t="str"/>
      <x:c r="F305" s="6" t="str">
        <x:v>Unsupported Relationship</x:v>
      </x:c>
      <x:c r="G305" s="7" t="str">
        <x:v>Device family alone is insufficient for governed relationship.</x:v>
      </x:c>
      <x:c r="H305" s="7" t="str">
        <x:v>Explicit governed evidence supporting relationship</x:v>
      </x:c>
      <x:c r="I305" s="6" t="str"/>
      <x:c r="J305" s="6" t="str"/>
      <x:c r="K305" s="6" t="str"/>
      <x:c r="L305" s="6" t="str">
        <x:v>Open</x:v>
      </x:c>
      <x:c r="M305" s="7" t="str"/>
    </x:row>
    <x:row r="306">
      <x:c r="A306" s="6" t="str">
        <x:v>ESC-000305</x:v>
      </x:c>
      <x:c r="B306" s="6" t="str">
        <x:v>Unsupported Relationship Review</x:v>
      </x:c>
      <x:c r="C306" s="6" t="str">
        <x:v>UNS000305</x:v>
      </x:c>
      <x:c r="D306" s="6" t="str">
        <x:v>SVC000305</x:v>
      </x:c>
      <x:c r="E306" s="6" t="str"/>
      <x:c r="F306" s="6" t="str">
        <x:v>Unsupported Relationship</x:v>
      </x:c>
      <x:c r="G306" s="7" t="str">
        <x:v>Device family alone is insufficient for governed relationship.</x:v>
      </x:c>
      <x:c r="H306" s="7" t="str">
        <x:v>Explicit governed evidence supporting relationship</x:v>
      </x:c>
      <x:c r="I306" s="6" t="str"/>
      <x:c r="J306" s="6" t="str"/>
      <x:c r="K306" s="6" t="str"/>
      <x:c r="L306" s="6" t="str">
        <x:v>Open</x:v>
      </x:c>
      <x:c r="M306" s="7" t="str"/>
    </x:row>
    <x:row r="307">
      <x:c r="A307" s="6" t="str">
        <x:v>ESC-000306</x:v>
      </x:c>
      <x:c r="B307" s="6" t="str">
        <x:v>Unsupported Relationship Review</x:v>
      </x:c>
      <x:c r="C307" s="6" t="str">
        <x:v>UNS000306</x:v>
      </x:c>
      <x:c r="D307" s="6" t="str">
        <x:v>SVC000306</x:v>
      </x:c>
      <x:c r="E307" s="6" t="str"/>
      <x:c r="F307" s="6" t="str">
        <x:v>Unsupported Relationship</x:v>
      </x:c>
      <x:c r="G307" s="7" t="str">
        <x:v>Device family alone is insufficient for governed relationship.</x:v>
      </x:c>
      <x:c r="H307" s="7" t="str">
        <x:v>Explicit governed evidence supporting relationship</x:v>
      </x:c>
      <x:c r="I307" s="6" t="str"/>
      <x:c r="J307" s="6" t="str"/>
      <x:c r="K307" s="6" t="str"/>
      <x:c r="L307" s="6" t="str">
        <x:v>Open</x:v>
      </x:c>
      <x:c r="M307" s="7" t="str"/>
    </x:row>
    <x:row r="308">
      <x:c r="A308" s="6" t="str">
        <x:v>ESC-000307</x:v>
      </x:c>
      <x:c r="B308" s="6" t="str">
        <x:v>Unsupported Relationship Review</x:v>
      </x:c>
      <x:c r="C308" s="6" t="str">
        <x:v>UNS000307</x:v>
      </x:c>
      <x:c r="D308" s="6" t="str">
        <x:v>SVC000307</x:v>
      </x:c>
      <x:c r="E308" s="6" t="str"/>
      <x:c r="F308" s="6" t="str">
        <x:v>Unsupported Relationship</x:v>
      </x:c>
      <x:c r="G308" s="7" t="str">
        <x:v>Device family alone is insufficient for governed relationship.</x:v>
      </x:c>
      <x:c r="H308" s="7" t="str">
        <x:v>Explicit governed evidence supporting relationship</x:v>
      </x:c>
      <x:c r="I308" s="6" t="str"/>
      <x:c r="J308" s="6" t="str"/>
      <x:c r="K308" s="6" t="str"/>
      <x:c r="L308" s="6" t="str">
        <x:v>Open</x:v>
      </x:c>
      <x:c r="M308" s="7" t="str"/>
    </x:row>
    <x:row r="309">
      <x:c r="A309" s="6" t="str">
        <x:v>ESC-000308</x:v>
      </x:c>
      <x:c r="B309" s="6" t="str">
        <x:v>Unsupported Relationship Review</x:v>
      </x:c>
      <x:c r="C309" s="6" t="str">
        <x:v>UNS000308</x:v>
      </x:c>
      <x:c r="D309" s="6" t="str">
        <x:v>SVC000308</x:v>
      </x:c>
      <x:c r="E309" s="6" t="str"/>
      <x:c r="F309" s="6" t="str">
        <x:v>Unsupported Relationship</x:v>
      </x:c>
      <x:c r="G309" s="7" t="str">
        <x:v>Device family alone is insufficient for governed relationship.</x:v>
      </x:c>
      <x:c r="H309" s="7" t="str">
        <x:v>Explicit governed evidence supporting relationship</x:v>
      </x:c>
      <x:c r="I309" s="6" t="str"/>
      <x:c r="J309" s="6" t="str"/>
      <x:c r="K309" s="6" t="str"/>
      <x:c r="L309" s="6" t="str">
        <x:v>Open</x:v>
      </x:c>
      <x:c r="M309" s="7" t="str"/>
    </x:row>
    <x:row r="310">
      <x:c r="A310" s="6" t="str">
        <x:v>ESC-000309</x:v>
      </x:c>
      <x:c r="B310" s="6" t="str">
        <x:v>Unsupported Relationship Review</x:v>
      </x:c>
      <x:c r="C310" s="6" t="str">
        <x:v>UNS000309</x:v>
      </x:c>
      <x:c r="D310" s="6" t="str">
        <x:v>SVC000309</x:v>
      </x:c>
      <x:c r="E310" s="6" t="str"/>
      <x:c r="F310" s="6" t="str">
        <x:v>Unsupported Relationship</x:v>
      </x:c>
      <x:c r="G310" s="7" t="str">
        <x:v>Device family alone is insufficient for governed relationship.</x:v>
      </x:c>
      <x:c r="H310" s="7" t="str">
        <x:v>Explicit governed evidence supporting relationship</x:v>
      </x:c>
      <x:c r="I310" s="6" t="str"/>
      <x:c r="J310" s="6" t="str"/>
      <x:c r="K310" s="6" t="str"/>
      <x:c r="L310" s="6" t="str">
        <x:v>Open</x:v>
      </x:c>
      <x:c r="M310" s="7" t="str"/>
    </x:row>
    <x:row r="311">
      <x:c r="A311" s="6" t="str">
        <x:v>ESC-000310</x:v>
      </x:c>
      <x:c r="B311" s="6" t="str">
        <x:v>Unsupported Relationship Review</x:v>
      </x:c>
      <x:c r="C311" s="6" t="str">
        <x:v>UNS000310</x:v>
      </x:c>
      <x:c r="D311" s="6" t="str">
        <x:v>SVC000310</x:v>
      </x:c>
      <x:c r="E311" s="6" t="str"/>
      <x:c r="F311" s="6" t="str">
        <x:v>Unsupported Relationship</x:v>
      </x:c>
      <x:c r="G311" s="7" t="str">
        <x:v>Device family alone is insufficient for governed relationship.</x:v>
      </x:c>
      <x:c r="H311" s="7" t="str">
        <x:v>Explicit governed evidence supporting relationship</x:v>
      </x:c>
      <x:c r="I311" s="6" t="str"/>
      <x:c r="J311" s="6" t="str"/>
      <x:c r="K311" s="6" t="str"/>
      <x:c r="L311" s="6" t="str">
        <x:v>Open</x:v>
      </x:c>
      <x:c r="M311" s="7" t="str"/>
    </x:row>
    <x:row r="312">
      <x:c r="A312" s="6" t="str">
        <x:v>ESC-000311</x:v>
      </x:c>
      <x:c r="B312" s="6" t="str">
        <x:v>Unsupported Relationship Review</x:v>
      </x:c>
      <x:c r="C312" s="6" t="str">
        <x:v>UNS000311</x:v>
      </x:c>
      <x:c r="D312" s="6" t="str">
        <x:v>SVC000311</x:v>
      </x:c>
      <x:c r="E312" s="6" t="str"/>
      <x:c r="F312" s="6" t="str">
        <x:v>Unsupported Relationship</x:v>
      </x:c>
      <x:c r="G312" s="7" t="str">
        <x:v>Device family alone is insufficient for governed relationship.</x:v>
      </x:c>
      <x:c r="H312" s="7" t="str">
        <x:v>Explicit governed evidence supporting relationship</x:v>
      </x:c>
      <x:c r="I312" s="6" t="str"/>
      <x:c r="J312" s="6" t="str"/>
      <x:c r="K312" s="6" t="str"/>
      <x:c r="L312" s="6" t="str">
        <x:v>Open</x:v>
      </x:c>
      <x:c r="M312" s="7" t="str"/>
    </x:row>
    <x:row r="313">
      <x:c r="A313" s="6" t="str">
        <x:v>ESC-000312</x:v>
      </x:c>
      <x:c r="B313" s="6" t="str">
        <x:v>Unsupported Relationship Review</x:v>
      </x:c>
      <x:c r="C313" s="6" t="str">
        <x:v>UNS000312</x:v>
      </x:c>
      <x:c r="D313" s="6" t="str">
        <x:v>SVC000312</x:v>
      </x:c>
      <x:c r="E313" s="6" t="str"/>
      <x:c r="F313" s="6" t="str">
        <x:v>Unsupported Relationship</x:v>
      </x:c>
      <x:c r="G313" s="7" t="str">
        <x:v>Device family alone is insufficient for governed relationship.</x:v>
      </x:c>
      <x:c r="H313" s="7" t="str">
        <x:v>Explicit governed evidence supporting relationship</x:v>
      </x:c>
      <x:c r="I313" s="6" t="str"/>
      <x:c r="J313" s="6" t="str"/>
      <x:c r="K313" s="6" t="str"/>
      <x:c r="L313" s="6" t="str">
        <x:v>Open</x:v>
      </x:c>
      <x:c r="M313" s="7" t="str"/>
    </x:row>
    <x:row r="314">
      <x:c r="A314" s="6" t="str">
        <x:v>ESC-000313</x:v>
      </x:c>
      <x:c r="B314" s="6" t="str">
        <x:v>Unsupported Relationship Review</x:v>
      </x:c>
      <x:c r="C314" s="6" t="str">
        <x:v>UNS000313</x:v>
      </x:c>
      <x:c r="D314" s="6" t="str">
        <x:v>SVC000313</x:v>
      </x:c>
      <x:c r="E314" s="6" t="str"/>
      <x:c r="F314" s="6" t="str">
        <x:v>Unsupported Relationship</x:v>
      </x:c>
      <x:c r="G314" s="7" t="str">
        <x:v>Device family alone is insufficient for governed relationship.</x:v>
      </x:c>
      <x:c r="H314" s="7" t="str">
        <x:v>Explicit governed evidence supporting relationship</x:v>
      </x:c>
      <x:c r="I314" s="6" t="str"/>
      <x:c r="J314" s="6" t="str"/>
      <x:c r="K314" s="6" t="str"/>
      <x:c r="L314" s="6" t="str">
        <x:v>Open</x:v>
      </x:c>
      <x:c r="M314" s="7" t="str"/>
    </x:row>
    <x:row r="315">
      <x:c r="A315" s="6" t="str">
        <x:v>ESC-000314</x:v>
      </x:c>
      <x:c r="B315" s="6" t="str">
        <x:v>Unsupported Relationship Review</x:v>
      </x:c>
      <x:c r="C315" s="6" t="str">
        <x:v>UNS000314</x:v>
      </x:c>
      <x:c r="D315" s="6" t="str">
        <x:v>SVC000314</x:v>
      </x:c>
      <x:c r="E315" s="6" t="str"/>
      <x:c r="F315" s="6" t="str">
        <x:v>Unsupported Relationship</x:v>
      </x:c>
      <x:c r="G315" s="7" t="str">
        <x:v>Device family alone is insufficient for governed relationship.</x:v>
      </x:c>
      <x:c r="H315" s="7" t="str">
        <x:v>Explicit governed evidence supporting relationship</x:v>
      </x:c>
      <x:c r="I315" s="6" t="str"/>
      <x:c r="J315" s="6" t="str"/>
      <x:c r="K315" s="6" t="str"/>
      <x:c r="L315" s="6" t="str">
        <x:v>Open</x:v>
      </x:c>
      <x:c r="M315" s="7" t="str"/>
    </x:row>
    <x:row r="316">
      <x:c r="A316" s="6" t="str">
        <x:v>ESC-000315</x:v>
      </x:c>
      <x:c r="B316" s="6" t="str">
        <x:v>Duplicate Group Review</x:v>
      </x:c>
      <x:c r="C316" s="6" t="str">
        <x:v>DUP000001</x:v>
      </x:c>
      <x:c r="D316" s="6" t="str">
        <x:v>SVC000008; SVC000086; SVC000087</x:v>
      </x:c>
      <x:c r="E316" s="6" t="str">
        <x:v>DUP000001</x:v>
      </x:c>
      <x:c r="F316" s="6" t="str">
        <x:v>Duplicate Disposition</x:v>
      </x:c>
      <x:c r="G316" s="7" t="str">
        <x:v>Exact normalized service identity fields match multiple records.</x:v>
      </x:c>
      <x:c r="H316" s="7" t="str">
        <x:v>Reviewer disposition and supporting evidence</x:v>
      </x:c>
      <x:c r="I316" s="6" t="str"/>
      <x:c r="J316" s="6" t="str"/>
      <x:c r="K316" s="6" t="str"/>
      <x:c r="L316" s="6" t="str">
        <x:v>Open</x:v>
      </x:c>
      <x:c r="M316" s="7" t="str"/>
    </x:row>
    <x:row r="317">
      <x:c r="A317" s="6" t="str">
        <x:v>ESC-000316</x:v>
      </x:c>
      <x:c r="B317" s="6" t="str">
        <x:v>Duplicate Group Review</x:v>
      </x:c>
      <x:c r="C317" s="6" t="str">
        <x:v>DUP000002</x:v>
      </x:c>
      <x:c r="D317" s="6" t="str">
        <x:v>SVC000009; SVC000088; SVC000089</x:v>
      </x:c>
      <x:c r="E317" s="6" t="str">
        <x:v>DUP000002</x:v>
      </x:c>
      <x:c r="F317" s="6" t="str">
        <x:v>Duplicate Disposition</x:v>
      </x:c>
      <x:c r="G317" s="7" t="str">
        <x:v>Exact normalized service identity fields match multiple records.</x:v>
      </x:c>
      <x:c r="H317" s="7" t="str">
        <x:v>Reviewer disposition and supporting evidence</x:v>
      </x:c>
      <x:c r="I317" s="6" t="str"/>
      <x:c r="J317" s="6" t="str"/>
      <x:c r="K317" s="6" t="str"/>
      <x:c r="L317" s="6" t="str">
        <x:v>Open</x:v>
      </x:c>
      <x:c r="M317" s="7" t="str"/>
    </x:row>
    <x:row r="318">
      <x:c r="A318" s="6" t="str">
        <x:v>ESC-000317</x:v>
      </x:c>
      <x:c r="B318" s="6" t="str">
        <x:v>Duplicate Group Review</x:v>
      </x:c>
      <x:c r="C318" s="6" t="str">
        <x:v>DUP000003</x:v>
      </x:c>
      <x:c r="D318" s="6" t="str">
        <x:v>SVC000090; SVC000091</x:v>
      </x:c>
      <x:c r="E318" s="6" t="str">
        <x:v>DUP000003</x:v>
      </x:c>
      <x:c r="F318" s="6" t="str">
        <x:v>Duplicate Disposition</x:v>
      </x:c>
      <x:c r="G318" s="7" t="str">
        <x:v>Exact normalized service identity fields match multiple records.</x:v>
      </x:c>
      <x:c r="H318" s="7" t="str">
        <x:v>Reviewer disposition and supporting evidence</x:v>
      </x:c>
      <x:c r="I318" s="6" t="str"/>
      <x:c r="J318" s="6" t="str"/>
      <x:c r="K318" s="6" t="str"/>
      <x:c r="L318" s="6" t="str">
        <x:v>Open</x:v>
      </x:c>
      <x:c r="M318" s="7" t="str"/>
    </x:row>
    <x:row r="319">
      <x:c r="A319" s="6" t="str">
        <x:v>ESC-000318</x:v>
      </x:c>
      <x:c r="B319" s="6" t="str">
        <x:v>Duplicate Group Review</x:v>
      </x:c>
      <x:c r="C319" s="6" t="str">
        <x:v>DUP000004</x:v>
      </x:c>
      <x:c r="D319" s="6" t="str">
        <x:v>SVC000092; SVC000093</x:v>
      </x:c>
      <x:c r="E319" s="6" t="str">
        <x:v>DUP000004</x:v>
      </x:c>
      <x:c r="F319" s="6" t="str">
        <x:v>Duplicate Disposition</x:v>
      </x:c>
      <x:c r="G319" s="7" t="str">
        <x:v>Exact normalized service identity fields match multiple records.</x:v>
      </x:c>
      <x:c r="H319" s="7" t="str">
        <x:v>Reviewer disposition and supporting evidence</x:v>
      </x:c>
      <x:c r="I319" s="6" t="str"/>
      <x:c r="J319" s="6" t="str"/>
      <x:c r="K319" s="6" t="str"/>
      <x:c r="L319" s="6" t="str">
        <x:v>Open</x:v>
      </x:c>
      <x:c r="M319" s="7" t="str"/>
    </x:row>
    <x:row r="320">
      <x:c r="A320" s="6" t="str">
        <x:v>ESC-000319</x:v>
      </x:c>
      <x:c r="B320" s="6" t="str">
        <x:v>Duplicate Group Review</x:v>
      </x:c>
      <x:c r="C320" s="6" t="str">
        <x:v>DUP000005</x:v>
      </x:c>
      <x:c r="D320" s="6" t="str">
        <x:v>SVC000101; SVC000102; SVC000103</x:v>
      </x:c>
      <x:c r="E320" s="6" t="str">
        <x:v>DUP000005</x:v>
      </x:c>
      <x:c r="F320" s="6" t="str">
        <x:v>Duplicate Disposition</x:v>
      </x:c>
      <x:c r="G320" s="7" t="str">
        <x:v>Exact normalized service identity fields match multiple records.</x:v>
      </x:c>
      <x:c r="H320" s="7" t="str">
        <x:v>Reviewer disposition and supporting evidence</x:v>
      </x:c>
      <x:c r="I320" s="6" t="str"/>
      <x:c r="J320" s="6" t="str"/>
      <x:c r="K320" s="6" t="str"/>
      <x:c r="L320" s="6" t="str">
        <x:v>Open</x:v>
      </x:c>
      <x:c r="M320" s="7" t="str"/>
    </x:row>
    <x:row r="321">
      <x:c r="A321" s="6" t="str">
        <x:v>ESC-000320</x:v>
      </x:c>
      <x:c r="B321" s="6" t="str">
        <x:v>Duplicate Group Review</x:v>
      </x:c>
      <x:c r="C321" s="6" t="str">
        <x:v>DUP000006</x:v>
      </x:c>
      <x:c r="D321" s="6" t="str">
        <x:v>SVC000167; SVC000202</x:v>
      </x:c>
      <x:c r="E321" s="6" t="str">
        <x:v>DUP000006</x:v>
      </x:c>
      <x:c r="F321" s="6" t="str">
        <x:v>Duplicate Disposition</x:v>
      </x:c>
      <x:c r="G321" s="7" t="str">
        <x:v>Exact normalized service identity fields match multiple records.</x:v>
      </x:c>
      <x:c r="H321" s="7" t="str">
        <x:v>Reviewer disposition and supporting evidence</x:v>
      </x:c>
      <x:c r="I321" s="6" t="str"/>
      <x:c r="J321" s="6" t="str"/>
      <x:c r="K321" s="6" t="str"/>
      <x:c r="L321" s="6" t="str">
        <x:v>Open</x:v>
      </x:c>
      <x:c r="M321" s="7" t="str"/>
    </x:row>
    <x:row r="322">
      <x:c r="A322" s="6" t="str">
        <x:v>ESC-000321</x:v>
      </x:c>
      <x:c r="B322" s="6" t="str">
        <x:v>Duplicate Group Review</x:v>
      </x:c>
      <x:c r="C322" s="6" t="str">
        <x:v>DUP000007</x:v>
      </x:c>
      <x:c r="D322" s="6" t="str">
        <x:v>SVC000170; SVC000203; SVC000204</x:v>
      </x:c>
      <x:c r="E322" s="6" t="str">
        <x:v>DUP000007</x:v>
      </x:c>
      <x:c r="F322" s="6" t="str">
        <x:v>Duplicate Disposition</x:v>
      </x:c>
      <x:c r="G322" s="7" t="str">
        <x:v>Exact normalized service identity fields match multiple records.</x:v>
      </x:c>
      <x:c r="H322" s="7" t="str">
        <x:v>Reviewer disposition and supporting evidence</x:v>
      </x:c>
      <x:c r="I322" s="6" t="str"/>
      <x:c r="J322" s="6" t="str"/>
      <x:c r="K322" s="6" t="str"/>
      <x:c r="L322" s="6" t="str">
        <x:v>Open</x:v>
      </x:c>
      <x:c r="M322" s="7" t="str"/>
    </x:row>
    <x:row r="323">
      <x:c r="A323" s="6" t="str">
        <x:v>ESC-000322</x:v>
      </x:c>
      <x:c r="B323" s="6" t="str">
        <x:v>Duplicate Group Review</x:v>
      </x:c>
      <x:c r="C323" s="6" t="str">
        <x:v>DUP000008</x:v>
      </x:c>
      <x:c r="D323" s="6" t="str">
        <x:v>SVC000173; SVC000175</x:v>
      </x:c>
      <x:c r="E323" s="6" t="str">
        <x:v>DUP000008</x:v>
      </x:c>
      <x:c r="F323" s="6" t="str">
        <x:v>Duplicate Disposition</x:v>
      </x:c>
      <x:c r="G323" s="7" t="str">
        <x:v>Exact normalized service identity fields match multiple records.</x:v>
      </x:c>
      <x:c r="H323" s="7" t="str">
        <x:v>Reviewer disposition and supporting evidence</x:v>
      </x:c>
      <x:c r="I323" s="6" t="str"/>
      <x:c r="J323" s="6" t="str"/>
      <x:c r="K323" s="6" t="str"/>
      <x:c r="L323" s="6" t="str">
        <x:v>Open</x:v>
      </x:c>
      <x:c r="M323" s="7" t="str"/>
    </x:row>
    <x:row r="324">
      <x:c r="A324" s="6" t="str">
        <x:v>ESC-000323</x:v>
      </x:c>
      <x:c r="B324" s="6" t="str">
        <x:v>Duplicate Group Review</x:v>
      </x:c>
      <x:c r="C324" s="6" t="str">
        <x:v>DUP000009</x:v>
      </x:c>
      <x:c r="D324" s="6" t="str">
        <x:v>SVC000174; SVC000176; SVC000177</x:v>
      </x:c>
      <x:c r="E324" s="6" t="str">
        <x:v>DUP000009</x:v>
      </x:c>
      <x:c r="F324" s="6" t="str">
        <x:v>Duplicate Disposition</x:v>
      </x:c>
      <x:c r="G324" s="7" t="str">
        <x:v>Exact normalized service identity fields match multiple records.</x:v>
      </x:c>
      <x:c r="H324" s="7" t="str">
        <x:v>Reviewer disposition and supporting evidence</x:v>
      </x:c>
      <x:c r="I324" s="6" t="str"/>
      <x:c r="J324" s="6" t="str"/>
      <x:c r="K324" s="6" t="str"/>
      <x:c r="L324" s="6" t="str">
        <x:v>Open</x:v>
      </x:c>
      <x:c r="M324" s="7" t="str"/>
    </x:row>
    <x:row r="325">
      <x:c r="A325" s="6" t="str">
        <x:v>ESC-000324</x:v>
      </x:c>
      <x:c r="B325" s="6" t="str">
        <x:v>Duplicate Group Review</x:v>
      </x:c>
      <x:c r="C325" s="6" t="str">
        <x:v>DUP000010</x:v>
      </x:c>
      <x:c r="D325" s="6" t="str">
        <x:v>SVC000180; SVC000206; SVC000207</x:v>
      </x:c>
      <x:c r="E325" s="6" t="str">
        <x:v>DUP000010</x:v>
      </x:c>
      <x:c r="F325" s="6" t="str">
        <x:v>Duplicate Disposition</x:v>
      </x:c>
      <x:c r="G325" s="7" t="str">
        <x:v>Exact normalized service identity fields match multiple records.</x:v>
      </x:c>
      <x:c r="H325" s="7" t="str">
        <x:v>Reviewer disposition and supporting evidence</x:v>
      </x:c>
      <x:c r="I325" s="6" t="str"/>
      <x:c r="J325" s="6" t="str"/>
      <x:c r="K325" s="6" t="str"/>
      <x:c r="L325" s="6" t="str">
        <x:v>Open</x:v>
      </x:c>
      <x:c r="M325" s="7" t="str"/>
    </x:row>
    <x:row r="326">
      <x:c r="A326" s="6" t="str">
        <x:v>ESC-000325</x:v>
      </x:c>
      <x:c r="B326" s="6" t="str">
        <x:v>Duplicate Group Review</x:v>
      </x:c>
      <x:c r="C326" s="6" t="str">
        <x:v>DUP000011</x:v>
      </x:c>
      <x:c r="D326" s="6" t="str">
        <x:v>SVC000217; SVC000218; SVC000219</x:v>
      </x:c>
      <x:c r="E326" s="6" t="str">
        <x:v>DUP000011</x:v>
      </x:c>
      <x:c r="F326" s="6" t="str">
        <x:v>Duplicate Disposition</x:v>
      </x:c>
      <x:c r="G326" s="7" t="str">
        <x:v>Exact normalized service identity fields match multiple records.</x:v>
      </x:c>
      <x:c r="H326" s="7" t="str">
        <x:v>Reviewer disposition and supporting evidence</x:v>
      </x:c>
      <x:c r="I326" s="6" t="str"/>
      <x:c r="J326" s="6" t="str"/>
      <x:c r="K326" s="6" t="str"/>
      <x:c r="L326" s="6" t="str">
        <x:v>Open</x:v>
      </x:c>
      <x:c r="M326" s="7" t="str"/>
    </x:row>
    <x:row r="327">
      <x:c r="A327" s="6" t="str">
        <x:v>ESC-000326</x:v>
      </x:c>
      <x:c r="B327" s="6" t="str">
        <x:v>Duplicate Group Review</x:v>
      </x:c>
      <x:c r="C327" s="6" t="str">
        <x:v>DUP000012</x:v>
      </x:c>
      <x:c r="D327" s="6" t="str">
        <x:v>SVC000223; SVC000224</x:v>
      </x:c>
      <x:c r="E327" s="6" t="str">
        <x:v>DUP000012</x:v>
      </x:c>
      <x:c r="F327" s="6" t="str">
        <x:v>Duplicate Disposition</x:v>
      </x:c>
      <x:c r="G327" s="7" t="str">
        <x:v>Exact normalized service identity fields match multiple records.</x:v>
      </x:c>
      <x:c r="H327" s="7" t="str">
        <x:v>Reviewer disposition and supporting evidence</x:v>
      </x:c>
      <x:c r="I327" s="6" t="str"/>
      <x:c r="J327" s="6" t="str"/>
      <x:c r="K327" s="6" t="str"/>
      <x:c r="L327" s="6" t="str">
        <x:v>Open</x:v>
      </x:c>
      <x:c r="M327" s="7" t="str"/>
    </x:row>
    <x:row r="328">
      <x:c r="A328" s="6" t="str">
        <x:v>ESC-000327</x:v>
      </x:c>
      <x:c r="B328" s="6" t="str">
        <x:v>Duplicate Group Review</x:v>
      </x:c>
      <x:c r="C328" s="6" t="str">
        <x:v>DUP000013</x:v>
      </x:c>
      <x:c r="D328" s="6" t="str">
        <x:v>SVC000225; SVC000226; SVC000227</x:v>
      </x:c>
      <x:c r="E328" s="6" t="str">
        <x:v>DUP000013</x:v>
      </x:c>
      <x:c r="F328" s="6" t="str">
        <x:v>Duplicate Disposition</x:v>
      </x:c>
      <x:c r="G328" s="7" t="str">
        <x:v>Exact normalized service identity fields match multiple records.</x:v>
      </x:c>
      <x:c r="H328" s="7" t="str">
        <x:v>Reviewer disposition and supporting evidence</x:v>
      </x:c>
      <x:c r="I328" s="6" t="str"/>
      <x:c r="J328" s="6" t="str"/>
      <x:c r="K328" s="6" t="str"/>
      <x:c r="L328" s="6" t="str">
        <x:v>Open</x:v>
      </x:c>
      <x:c r="M328" s="7" t="str"/>
    </x:row>
    <x:row r="329">
      <x:c r="A329" s="6" t="str">
        <x:v>ESC-000328</x:v>
      </x:c>
      <x:c r="B329" s="6" t="str">
        <x:v>Duplicate Group Review</x:v>
      </x:c>
      <x:c r="C329" s="6" t="str">
        <x:v>DUP000014</x:v>
      </x:c>
      <x:c r="D329" s="6" t="str">
        <x:v>SVC000229; SVC000230</x:v>
      </x:c>
      <x:c r="E329" s="6" t="str">
        <x:v>DUP000014</x:v>
      </x:c>
      <x:c r="F329" s="6" t="str">
        <x:v>Duplicate Disposition</x:v>
      </x:c>
      <x:c r="G329" s="7" t="str">
        <x:v>Exact normalized service identity fields match multiple records.</x:v>
      </x:c>
      <x:c r="H329" s="7" t="str">
        <x:v>Reviewer disposition and supporting evidence</x:v>
      </x:c>
      <x:c r="I329" s="6" t="str"/>
      <x:c r="J329" s="6" t="str"/>
      <x:c r="K329" s="6" t="str"/>
      <x:c r="L329" s="6" t="str">
        <x:v>Open</x:v>
      </x:c>
      <x:c r="M329" s="7" t="str"/>
    </x:row>
    <x:row r="330">
      <x:c r="A330" s="6" t="str">
        <x:v>ESC-000329</x:v>
      </x:c>
      <x:c r="B330" s="6" t="str">
        <x:v>Duplicate Group Review</x:v>
      </x:c>
      <x:c r="C330" s="6" t="str">
        <x:v>DUP000015</x:v>
      </x:c>
      <x:c r="D330" s="6" t="str">
        <x:v>SVC000231; SVC000232</x:v>
      </x:c>
      <x:c r="E330" s="6" t="str">
        <x:v>DUP000015</x:v>
      </x:c>
      <x:c r="F330" s="6" t="str">
        <x:v>Duplicate Disposition</x:v>
      </x:c>
      <x:c r="G330" s="7" t="str">
        <x:v>Exact normalized service identity fields match multiple records.</x:v>
      </x:c>
      <x:c r="H330" s="7" t="str">
        <x:v>Reviewer disposition and supporting evidence</x:v>
      </x:c>
      <x:c r="I330" s="6" t="str"/>
      <x:c r="J330" s="6" t="str"/>
      <x:c r="K330" s="6" t="str"/>
      <x:c r="L330" s="6" t="str">
        <x:v>Open</x:v>
      </x:c>
      <x:c r="M330" s="7" t="str"/>
    </x:row>
  </x:sheetData>
  <x:dataValidations count="2">
    <x:dataValidation type="list" sqref="L2:L330">
      <x:formula1>"Open,In Review,Resolved,Deferred"</x:formula1>
    </x:dataValidation>
    <x:dataValidation type="list" sqref="D2:D330">
      <x:formula1>"SVC000001,SVC000002,SVC000003,SVC000004,SVC000005,SVC000006,SVC000007,SVC000008,SVC000009,SVC000010,SVC000011,SVC000012,SVC000013,SVC000014,SVC000015,SVC000016,SVC000017,SVC000018,SVC000019,SVC000020,SVC000021,SVC000022,SVC000023,SVC000024,SVC000025,SVC000026,SVC000027,SVC000028,SVC000029,SVC000030,SVC000031,SVC000032,SVC000033,SVC000034,SVC000035,SVC000036,SVC000037,SVC000038,SVC000039,SVC000040,SVC000041,SVC000042,SVC000043,SVC000044,SVC000045,SVC000046,SVC000047,SVC000048,SVC000049,SVC000050,SVC000051,SVC000052,SVC000053,SVC000054,SVC000055,SVC000056,SVC000057,SVC000058,SVC000059,SVC000060,SVC000061,SVC000062,SVC000063,SVC000064,SVC000065,SVC000066,SVC000067,SVC000068,SVC000069,SVC000070,SVC000071,SVC000072,SVC000073,SVC000074,SVC000075,SVC000076,SVC000077,SVC000078,SVC000079,SVC000080,SVC000081,SVC000082,SVC000083,SVC000084,SVC000085,SVC000086,SVC000087,SVC000088,SVC000089,SVC000090,SVC000091,SVC000092,SVC000093,SVC000094,SVC000095,SVC000096,SVC000097,SVC000098,SVC000099,SVC000100,SVC000101,SVC000102,SVC000103,SVC000104,SVC000105,SVC000106,SVC000107,SVC000108,SVC000109,SVC000110,SVC000111,SVC000112,SVC000113,SVC000114,SVC000115,SVC000116,SVC000117,SVC000118,SVC000119,SVC000120,SVC000121,SVC000122,SVC000123,SVC000124,SVC000125,SVC000126,SVC000127,SVC000128,SVC000129,SVC000130,SVC000131,SVC000132,SVC000133,SVC000134,SVC000135,SVC000136,SVC000137,SVC000138,SVC000139,SVC000140,SVC000141,SVC000142,SVC000143,SVC000144,SVC000145,SVC000146,SVC000147,SVC000148,SVC000149,SVC000150,SVC000151,SVC000152,SVC000153,SVC000154,SVC000155,SVC000156,SVC000157,SVC000158,SVC000159,SVC000160,SVC000161,SVC000162,SVC000163,SVC000164,SVC000165,SVC000166,SVC000167,SVC000168,SVC000169,SVC000170,SVC000171,SVC000172,SVC000173,SVC000174,SVC000175,SVC000176,SVC000177,SVC000178,SVC000179,SVC000180,SVC000181,SVC000182,SVC000183,SVC000184,SVC000185,SVC000186,SVC000187,SVC000188,SVC000189,SVC000190,SVC000191,SVC000192,SVC000193,SVC000194,SVC000195,SVC000196,SVC000197,SVC000198,SVC000199,SVC000200,SVC000201,SVC000202,SVC000203,SVC000204,SVC000205,SVC000206,SVC000207,SVC000208,SVC000209,SVC000210,SVC000211,SVC000212,SVC000213,SVC000214,SVC000215,SVC000216,SVC000217,SVC000218,SVC000219,SVC000220,SVC000221,SVC000222,SVC000223,SVC000224,SVC000225,SVC000226,SVC000227,SVC000228,SVC000229,SVC000230,SVC000231,SVC000232,SVC000233,SVC000234,SVC000235,SVC000236,SVC000237,SVC000238,SVC000239,SVC000240,SVC000241,SVC000242,SVC000243,SVC000244,SVC000245,SVC000246,SVC000247,SVC000248,SVC000249,SVC000250,SVC000251,SVC000252,SVC000253,SVC000254,SVC000255,SVC000256,SVC000257,SVC000258,SVC000259,SVC000260,SVC000261,SVC000262,SVC000263,SVC000264,SVC000265,SVC000266,SVC000267,SVC000268,SVC000269,SVC000270,SVC000271,SVC000272,SVC000273,SVC000274,SVC000275,SVC000276,SVC000277,SVC000278,SVC000279,SVC000280,SVC000281,SVC000282,SVC000283,SVC000284,SVC000285,SVC000286,SVC000287,SVC000288,SVC000289,SVC000290,SVC000291,SVC000292,SVC000293,SVC000294,SVC000295,SVC000296,SVC000297,SVC000298,SVC000299,SVC000300,SVC000301,SVC000302,SVC000303,SVC000304,SVC000305,SVC000306,SVC000307,SVC000308,SVC000309,SVC000310,SVC000311,SVC000312,SVC000313,SVC000314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b17a2cee0a4d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.5" hidden="0" customWidth="1"/>
    <x:col min="3" max="3" width="25.25" hidden="0" customWidth="1"/>
    <x:col min="4" max="4" width="18.75" hidden="0" customWidth="1"/>
    <x:col min="5" max="5" width="20.3799991607666" hidden="0" customWidth="1"/>
    <x:col min="6" max="6" width="18" hidden="0" customWidth="1"/>
    <x:col min="7" max="7" width="16.3799991607666" hidden="0" customWidth="1"/>
    <x:col min="8" max="8" width="20.8799991607666" hidden="0" customWidth="1"/>
    <x:col min="9" max="9" width="7.630000114440918" hidden="0" customWidth="1"/>
  </x:cols>
  <x:sheetData>
    <x:row r="1">
      <x:c r="A1" s="5" t="str">
        <x:v>Reviewer</x:v>
      </x:c>
      <x:c r="B1" s="5" t="str">
        <x:v>Role</x:v>
      </x:c>
      <x:c r="C1" s="5" t="str">
        <x:v>Review Stage</x:v>
      </x:c>
      <x:c r="D1" s="5" t="str">
        <x:v>Assigned Item Count</x:v>
      </x:c>
      <x:c r="E1" s="5" t="str">
        <x:v>Completed Item Count</x:v>
      </x:c>
      <x:c r="F1" s="5" t="str">
        <x:v>Blocked Item Count</x:v>
      </x:c>
      <x:c r="G1" s="5" t="str">
        <x:v>Open Escalations</x:v>
      </x:c>
      <x:c r="H1" s="5" t="str">
        <x:v>Target Completion Date</x:v>
      </x:c>
      <x:c r="I1" s="5" t="str">
        <x:v>Notes</x:v>
      </x:c>
    </x:row>
    <x:row r="2">
      <x:c r="A2" s="6" t="str"/>
      <x:c r="B2" s="6" t="str"/>
      <x:c r="C2" s="6" t="str">
        <x:v>Duplicate-group review</x:v>
      </x:c>
      <x:c r="D2" s="6" t="n">
        <x:f>COUNTIF('Review Sequence'!F2:F1586,C2)</x:f>
        <x:v>15</x:v>
      </x:c>
      <x:c r="E2" s="6" t="n">
        <x:f>COUNTIFS('Review Sequence'!F2:F1586,C2,'Review Sequence'!J2:J1586,"Reviewer Complete")</x:f>
        <x:v>0</x:v>
      </x:c>
      <x:c r="F2" s="6" t="n">
        <x:f>COUNTIFS('Review Sequence'!F2:F1586,C2,'Review Sequence'!J2:J1586,"Blocked")</x:f>
        <x:v>0</x:v>
      </x:c>
      <x:c r="G2" s="6" t="n">
        <x:f>COUNTIF('Escalation Queue'!L2:L330,"Open")</x:f>
        <x:v>329</x:v>
      </x:c>
      <x:c r="H2" s="6" t="str"/>
      <x:c r="I2" s="7" t="str"/>
    </x:row>
    <x:row r="3">
      <x:c r="A3" s="6" t="str"/>
      <x:c r="B3" s="6" t="str"/>
      <x:c r="C3" s="6" t="str">
        <x:v>Service identity review</x:v>
      </x:c>
      <x:c r="D3" s="6" t="n">
        <x:f>COUNTIF('Review Sequence'!F2:F1586,C3)</x:f>
        <x:v>314</x:v>
      </x:c>
      <x:c r="E3" s="6" t="n">
        <x:f>COUNTIFS('Review Sequence'!F2:F1586,C3,'Review Sequence'!J2:J1586,"Reviewer Complete")</x:f>
        <x:v>0</x:v>
      </x:c>
      <x:c r="F3" s="6" t="n">
        <x:f>COUNTIFS('Review Sequence'!F2:F1586,C3,'Review Sequence'!J2:J1586,"Blocked")</x:f>
        <x:v>0</x:v>
      </x:c>
      <x:c r="G3" s="6" t="n">
        <x:f>COUNTIF('Escalation Queue'!L2:L330,"Open")</x:f>
        <x:v>329</x:v>
      </x:c>
      <x:c r="H3" s="6" t="str"/>
      <x:c r="I3" s="7" t="str"/>
    </x:row>
    <x:row r="4">
      <x:c r="A4" s="6" t="str"/>
      <x:c r="B4" s="6" t="str"/>
      <x:c r="C4" s="6" t="str">
        <x:v>Manufacturer-scope review</x:v>
      </x:c>
      <x:c r="D4" s="6" t="n">
        <x:f>COUNTIF('Review Sequence'!F2:F1586,C4)</x:f>
        <x:v>314</x:v>
      </x:c>
      <x:c r="E4" s="6" t="n">
        <x:f>COUNTIFS('Review Sequence'!F2:F1586,C4,'Review Sequence'!J2:J1586,"Reviewer Complete")</x:f>
        <x:v>0</x:v>
      </x:c>
      <x:c r="F4" s="6" t="n">
        <x:f>COUNTIFS('Review Sequence'!F2:F1586,C4,'Review Sequence'!J2:J1586,"Blocked")</x:f>
        <x:v>0</x:v>
      </x:c>
      <x:c r="G4" s="6" t="n">
        <x:f>COUNTIF('Escalation Queue'!L2:L330,"Open")</x:f>
        <x:v>329</x:v>
      </x:c>
      <x:c r="H4" s="6" t="str"/>
      <x:c r="I4" s="7" t="str"/>
    </x:row>
    <x:row r="5">
      <x:c r="A5" s="6" t="str"/>
      <x:c r="B5" s="6" t="str"/>
      <x:c r="C5" s="6" t="str">
        <x:v>Device-applicability review</x:v>
      </x:c>
      <x:c r="D5" s="6" t="n">
        <x:f>COUNTIF('Review Sequence'!F2:F1586,C5)</x:f>
        <x:v>314</x:v>
      </x:c>
      <x:c r="E5" s="6" t="n">
        <x:f>COUNTIFS('Review Sequence'!F2:F1586,C5,'Review Sequence'!J2:J1586,"Reviewer Complete")</x:f>
        <x:v>0</x:v>
      </x:c>
      <x:c r="F5" s="6" t="n">
        <x:f>COUNTIFS('Review Sequence'!F2:F1586,C5,'Review Sequence'!J2:J1586,"Blocked")</x:f>
        <x:v>0</x:v>
      </x:c>
      <x:c r="G5" s="6" t="n">
        <x:f>COUNTIF('Escalation Queue'!L2:L330,"Open")</x:f>
        <x:v>329</x:v>
      </x:c>
      <x:c r="H5" s="6" t="str"/>
      <x:c r="I5" s="7" t="str"/>
    </x:row>
    <x:row r="6">
      <x:c r="A6" s="6" t="str"/>
      <x:c r="B6" s="6" t="str"/>
      <x:c r="C6" s="6" t="str">
        <x:v>Part-requirement review</x:v>
      </x:c>
      <x:c r="D6" s="6" t="n">
        <x:f>COUNTIF('Review Sequence'!F2:F1586,C6)</x:f>
        <x:v>314</x:v>
      </x:c>
      <x:c r="E6" s="6" t="n">
        <x:f>COUNTIFS('Review Sequence'!F2:F1586,C6,'Review Sequence'!J2:J1586,"Reviewer Complete")</x:f>
        <x:v>0</x:v>
      </x:c>
      <x:c r="F6" s="6" t="n">
        <x:f>COUNTIFS('Review Sequence'!F2:F1586,C6,'Review Sequence'!J2:J1586,"Blocked")</x:f>
        <x:v>0</x:v>
      </x:c>
      <x:c r="G6" s="6" t="n">
        <x:f>COUNTIF('Escalation Queue'!L2:L330,"Open")</x:f>
        <x:v>329</x:v>
      </x:c>
      <x:c r="H6" s="6" t="str"/>
      <x:c r="I6" s="7" t="str"/>
    </x:row>
    <x:row r="7">
      <x:c r="A7" s="6" t="str"/>
      <x:c r="B7" s="6" t="str"/>
      <x:c r="C7" s="6" t="str">
        <x:v>Labor-reference review</x:v>
      </x:c>
      <x:c r="D7" s="6" t="n">
        <x:f>COUNTIF('Review Sequence'!F2:F1586,C7)</x:f>
        <x:v>314</x:v>
      </x:c>
      <x:c r="E7" s="6" t="n">
        <x:f>COUNTIFS('Review Sequence'!F2:F1586,C7,'Review Sequence'!J2:J1586,"Reviewer Complete")</x:f>
        <x:v>0</x:v>
      </x:c>
      <x:c r="F7" s="6" t="n">
        <x:f>COUNTIFS('Review Sequence'!F2:F1586,C7,'Review Sequence'!J2:J1586,"Blocked")</x:f>
        <x:v>0</x:v>
      </x:c>
      <x:c r="G7" s="6" t="n">
        <x:f>COUNTIF('Escalation Queue'!L2:L330,"Open")</x:f>
        <x:v>329</x:v>
      </x:c>
      <x:c r="H7" s="6" t="str"/>
      <x:c r="I7" s="7" t="str"/>
    </x:row>
    <x:row r="8">
      <x:c r="A8" s="6" t="str"/>
      <x:c r="B8" s="6" t="str"/>
      <x:c r="C8" s="6" t="str">
        <x:v>Second-level approval preparation</x:v>
      </x:c>
      <x:c r="D8" s="6" t="n">
        <x:f>COUNTIF('Review Sequence'!F2:F1586,C8)</x:f>
        <x:v>0</x:v>
      </x:c>
      <x:c r="E8" s="6" t="n">
        <x:f>COUNTIFS('Review Sequence'!F2:F1586,C8,'Review Sequence'!J2:J1586,"Reviewer Complete")</x:f>
        <x:v>0</x:v>
      </x:c>
      <x:c r="F8" s="6" t="n">
        <x:f>COUNTIFS('Review Sequence'!F2:F1586,C8,'Review Sequence'!J2:J1586,"Blocked")</x:f>
        <x:v>0</x:v>
      </x:c>
      <x:c r="G8" s="6" t="n">
        <x:f>COUNTIF('Escalation Queue'!L2:L330,"Open")</x:f>
        <x:v>329</x:v>
      </x:c>
      <x:c r="H8" s="6" t="str"/>
      <x:c r="I8" s="7" t="str"/>
    </x:row>
  </x:sheetData>
  <x:pageMargins left="0.7" right="0.7" top="0.75" bottom="0.75" header="0.3" footer="0.3"/>
  <x:tableParts count="1">
    <x:tablePart xmlns:r="http://schemas.openxmlformats.org/officeDocument/2006/relationships" r:id="R3cec1131efbc45a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2" hidden="0" customWidth="1"/>
  </x:cols>
  <x:sheetData>
    <x:row r="1">
      <x:c r="A1" s="9" t="str">
        <x:v>Execution Progress Dashboard</x:v>
      </x:c>
      <x:c r="B1" s="9" t="str"/>
      <x:c r="C1" s="9" t="str"/>
      <x:c r="D1" s="9" t="str"/>
    </x:row>
    <x:row r="3">
      <x:c r="A3" s="12" t="str">
        <x:v>Metric</x:v>
      </x:c>
      <x:c r="B3" s="12" t="str">
        <x:v>Formula Result</x:v>
      </x:c>
    </x:row>
    <x:row r="4">
      <x:c r="A4" s="10" t="str">
        <x:v>Duplicate groups total</x:v>
      </x:c>
      <x:c r="B4" s="10" t="n">
        <x:f>COUNTA('Duplicate Review Queue'!B2:B16)</x:f>
        <x:v>15</x:v>
      </x:c>
    </x:row>
    <x:row r="5">
      <x:c r="A5" s="10" t="str">
        <x:v>Duplicate groups reviewer-complete</x:v>
      </x:c>
      <x:c r="B5" s="10" t="n">
        <x:f>COUNTIF('Duplicate Review Queue'!J2:J16,"Reviewer Complete")</x:f>
        <x:v>0</x:v>
      </x:c>
    </x:row>
    <x:row r="6">
      <x:c r="A6" s="10" t="str">
        <x:v>Service identity items total</x:v>
      </x:c>
      <x:c r="B6" s="10" t="n">
        <x:f>COUNTA('Service Identity Queue'!C2:C315)</x:f>
        <x:v>314</x:v>
      </x:c>
    </x:row>
    <x:row r="7">
      <x:c r="A7" s="10" t="str">
        <x:v>Service identity items complete</x:v>
      </x:c>
      <x:c r="B7" s="10" t="n">
        <x:f>COUNTIF('Service Identity Queue'!L2:L315,"Reviewer Complete")</x:f>
        <x:v>0</x:v>
      </x:c>
    </x:row>
    <x:row r="8">
      <x:c r="A8" s="10" t="str">
        <x:v>Manufacturer items total</x:v>
      </x:c>
      <x:c r="B8" s="10" t="n">
        <x:f>COUNTA('Manufacturer Scope Queue'!B2:B315)</x:f>
        <x:v>314</x:v>
      </x:c>
    </x:row>
    <x:row r="9">
      <x:c r="A9" s="10" t="str">
        <x:v>Manufacturer items complete</x:v>
      </x:c>
      <x:c r="B9" s="10" t="n">
        <x:f>COUNTIF('Manufacturer Scope Queue'!K2:K315,"Reviewer Complete")</x:f>
        <x:v>0</x:v>
      </x:c>
    </x:row>
    <x:row r="10">
      <x:c r="A10" s="10" t="str">
        <x:v>Device items total</x:v>
      </x:c>
      <x:c r="B10" s="10" t="n">
        <x:f>COUNTA('Device Applicability Queue'!B2:B315)</x:f>
        <x:v>314</x:v>
      </x:c>
    </x:row>
    <x:row r="11">
      <x:c r="A11" s="10" t="str">
        <x:v>Device items complete</x:v>
      </x:c>
      <x:c r="B11" s="10" t="n">
        <x:f>COUNTIF('Device Applicability Queue'!K2:K315,"Reviewer Complete")</x:f>
        <x:v>0</x:v>
      </x:c>
    </x:row>
    <x:row r="12">
      <x:c r="A12" s="10" t="str">
        <x:v>Part items total</x:v>
      </x:c>
      <x:c r="B12" s="10" t="n">
        <x:f>COUNTA('Part Requirement Queue'!B2:B315)</x:f>
        <x:v>314</x:v>
      </x:c>
    </x:row>
    <x:row r="13">
      <x:c r="A13" s="10" t="str">
        <x:v>Part items complete</x:v>
      </x:c>
      <x:c r="B13" s="10" t="n">
        <x:f>COUNTIF('Part Requirement Queue'!J2:J315,"Reviewer Complete")</x:f>
        <x:v>0</x:v>
      </x:c>
    </x:row>
    <x:row r="14">
      <x:c r="A14" s="10" t="str">
        <x:v>Labor items total</x:v>
      </x:c>
      <x:c r="B14" s="10" t="n">
        <x:f>COUNTA('Labor Reference Queue'!B2:B315)</x:f>
        <x:v>314</x:v>
      </x:c>
    </x:row>
    <x:row r="15">
      <x:c r="A15" s="10" t="str">
        <x:v>Labor items complete</x:v>
      </x:c>
      <x:c r="B15" s="10" t="n">
        <x:f>COUNTIF('Labor Reference Queue'!L2:L315,"Reviewer Complete")</x:f>
        <x:v>0</x:v>
      </x:c>
    </x:row>
    <x:row r="16">
      <x:c r="A16" s="10" t="str">
        <x:v>Blocked items</x:v>
      </x:c>
      <x:c r="B16" s="10" t="n">
        <x:f>COUNTIF('Review Sequence'!J2:J1586,"Blocked")+COUNTIF('Blocked Items'!H2:H1586,"&lt;&gt;")</x:f>
        <x:v>1585</x:v>
      </x:c>
    </x:row>
    <x:row r="17">
      <x:c r="A17" s="10" t="str">
        <x:v>Open escalations</x:v>
      </x:c>
      <x:c r="B17" s="10" t="n">
        <x:f>COUNTIF('Escalation Queue'!L2:L330,"Open")</x:f>
        <x:v>329</x:v>
      </x:c>
    </x:row>
    <x:row r="18">
      <x:c r="A18" s="10" t="str">
        <x:v>Awaiting second-level approval</x:v>
      </x:c>
      <x:c r="B18" s="10" t="n">
        <x:f>COUNTIF('Review Sequence'!J2:J1586,"Awaiting Second-Level Approval")</x:f>
        <x:v>0</x:v>
      </x:c>
    </x:row>
    <x:row r="19">
      <x:c r="A19" s="10" t="str">
        <x:v>Closed without approval</x:v>
      </x:c>
      <x:c r="B19" s="10" t="n">
        <x:f>COUNTIF('Review Sequence'!J2:J1586,"Closed Without Approval")</x:f>
        <x:v>0</x:v>
      </x:c>
    </x:row>
    <x:row r="20">
      <x:c r="A20" s="10" t="str">
        <x:v>Percent complete by stage</x:v>
      </x:c>
      <x:c r="B20" s="13" t="n">
        <x:f>IFERROR((B5+B7+B9+B11+B13+B15)/(B4+B6+B8+B10+B12+B14),0)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130001068115234" hidden="0" customWidth="1"/>
    <x:col min="2" max="2" width="7.880000114440918" hidden="0" customWidth="1"/>
    <x:col min="3" max="3" width="66.87999725341797" hidden="0" customWidth="1"/>
  </x:cols>
  <x:sheetData>
    <x:row r="1">
      <x:c r="A1" s="5" t="str">
        <x:v>Validation Gate</x:v>
      </x:c>
      <x:c r="B1" s="5" t="str">
        <x:v>Result</x:v>
      </x:c>
      <x:c r="C1" s="5" t="str">
        <x:v>Details</x:v>
      </x:c>
    </x:row>
    <x:row r="2">
      <x:c r="A2" s="6" t="str">
        <x:v>Runtime gate - load_workspace_dependencies</x:v>
      </x:c>
      <x:c r="B2" s="6" t="str">
        <x:v>PASS</x:v>
      </x:c>
      <x:c r="C2" s="6" t="str">
        <x:v>Managed dependencies available.</x:v>
      </x:c>
    </x:row>
    <x:row r="3">
      <x:c r="A3" s="6" t="str">
        <x:v>Runtime gate - artifact-tool import</x:v>
      </x:c>
      <x:c r="B3" s="6" t="str">
        <x:v>PASS</x:v>
      </x:c>
      <x:c r="C3" s="6" t="str">
        <x:v>Loaded through managed Node dependency loader; no npm install or substitute library used.</x:v>
      </x:c>
    </x:row>
    <x:row r="4">
      <x:c r="A4" s="6" t="str">
        <x:v>Duplicate groups included</x:v>
      </x:c>
      <x:c r="B4" s="6" t="str">
        <x:v>PASS</x:v>
      </x:c>
      <x:c r="C4" s="6" t="str">
        <x:v>15</x:v>
      </x:c>
    </x:row>
    <x:row r="5">
      <x:c r="A5" s="6" t="str">
        <x:v>Service identity items included</x:v>
      </x:c>
      <x:c r="B5" s="6" t="str">
        <x:v>PASS</x:v>
      </x:c>
      <x:c r="C5" s="6" t="str">
        <x:v>314</x:v>
      </x:c>
    </x:row>
    <x:row r="6">
      <x:c r="A6" s="6" t="str">
        <x:v>Manufacturer items included</x:v>
      </x:c>
      <x:c r="B6" s="6" t="str">
        <x:v>PASS</x:v>
      </x:c>
      <x:c r="C6" s="6" t="str">
        <x:v>314</x:v>
      </x:c>
    </x:row>
    <x:row r="7">
      <x:c r="A7" s="6" t="str">
        <x:v>Device items included</x:v>
      </x:c>
      <x:c r="B7" s="6" t="str">
        <x:v>PASS</x:v>
      </x:c>
      <x:c r="C7" s="6" t="str">
        <x:v>314</x:v>
      </x:c>
    </x:row>
    <x:row r="8">
      <x:c r="A8" s="6" t="str">
        <x:v>Part items included</x:v>
      </x:c>
      <x:c r="B8" s="6" t="str">
        <x:v>PASS</x:v>
      </x:c>
      <x:c r="C8" s="6" t="str">
        <x:v>314</x:v>
      </x:c>
    </x:row>
    <x:row r="9">
      <x:c r="A9" s="6" t="str">
        <x:v>Labor items included</x:v>
      </x:c>
      <x:c r="B9" s="6" t="str">
        <x:v>PASS</x:v>
      </x:c>
      <x:c r="C9" s="6" t="str">
        <x:v>314</x:v>
      </x:c>
    </x:row>
    <x:row r="10">
      <x:c r="A10" s="6" t="str">
        <x:v>Escalation items initialized</x:v>
      </x:c>
      <x:c r="B10" s="6" t="str">
        <x:v>PASS</x:v>
      </x:c>
      <x:c r="C10" s="6" t="str">
        <x:v>329</x:v>
      </x:c>
    </x:row>
    <x:row r="11">
      <x:c r="A11" s="6" t="str">
        <x:v>Service IDs exist</x:v>
      </x:c>
      <x:c r="B11" s="6" t="str">
        <x:v>PASS</x:v>
      </x:c>
      <x:c r="C11" s="6" t="str">
        <x:v>Queues use Phase 4B governed Service IDs.</x:v>
      </x:c>
    </x:row>
    <x:row r="12">
      <x:c r="A12" s="6" t="str">
        <x:v>Governed ID dropdowns</x:v>
      </x:c>
      <x:c r="B12" s="6" t="str">
        <x:v>PASS</x:v>
      </x:c>
      <x:c r="C12" s="6" t="str">
        <x:v>Manufacturer, Device, Part, and Service ID dropdowns use governed IDs.</x:v>
      </x:c>
    </x:row>
    <x:row r="13">
      <x:c r="A13" s="6" t="str">
        <x:v>Dependency formulas exist</x:v>
      </x:c>
      <x:c r="B13" s="6" t="str">
        <x:v>PASS</x:v>
      </x:c>
      <x:c r="C13" s="6" t="str">
        <x:v>Review Sequence and downstream queues include dependency formulas/checks.</x:v>
      </x:c>
    </x:row>
    <x:row r="14">
      <x:c r="A14" s="6" t="str">
        <x:v>Blocked items surface correctly</x:v>
      </x:c>
      <x:c r="B14" s="6" t="str">
        <x:v>PASS</x:v>
      </x:c>
      <x:c r="C14" s="6" t="str">
        <x:v>Blocked Items sheet formula-surfaces dependency/current status/blocking reasons.</x:v>
      </x:c>
    </x:row>
    <x:row r="15">
      <x:c r="A15" s="6" t="str">
        <x:v>Dashboard reconciles</x:v>
      </x:c>
      <x:c r="B15" s="6" t="str">
        <x:v>PASS</x:v>
      </x:c>
      <x:c r="C15" s="6" t="str">
        <x:v>Progress Dashboard formulas reference queue sheets.</x:v>
      </x:c>
    </x:row>
    <x:row r="16">
      <x:c r="A16" s="6" t="str">
        <x:v>Approval fields blank or Pending</x:v>
      </x:c>
      <x:c r="B16" s="6" t="str">
        <x:v>PASS</x:v>
      </x:c>
      <x:c r="C16" s="6" t="str">
        <x:v>Approval names/dates blank; approval statuses Pending.</x:v>
      </x:c>
    </x:row>
    <x:row r="17">
      <x:c r="A17" s="6" t="str">
        <x:v>Import Eligibility</x:v>
      </x:c>
      <x:c r="B17" s="6" t="str">
        <x:v>PASS</x:v>
      </x:c>
      <x:c r="C17" s="6" t="str">
        <x:v>Approval Preparation defaults to Not Eligible.</x:v>
      </x:c>
    </x:row>
    <x:row r="18">
      <x:c r="A18" s="6" t="str">
        <x:v>Production/Pricing controls</x:v>
      </x:c>
      <x:c r="B18" s="6" t="str">
        <x:v>PASS</x:v>
      </x:c>
      <x:c r="C18" s="6" t="str">
        <x:v>Production and pricing activation prohibited in metadata/readiness.</x:v>
      </x:c>
    </x:row>
    <x:row r="19">
      <x:c r="A19" s="6" t="str">
        <x:v>Formula error search</x:v>
      </x:c>
      <x:c r="B19" s="6" t="str">
        <x:v>PASS</x:v>
      </x:c>
      <x:c r="C19" s="6" t="str">
        <x:v>No formula error matches found.</x:v>
      </x:c>
    </x:row>
    <x:row r="20">
      <x:c r="A20" s="6" t="str">
        <x:v>Source hashes unchanged</x:v>
      </x:c>
      <x:c r="B20" s="6" t="str">
        <x:v>PASS</x:v>
      </x:c>
      <x:c r="C20" s="6" t="str">
        <x:v>Pre/post source hashes match.</x:v>
      </x:c>
    </x:row>
  </x:sheetData>
  <x:pageMargins left="0.7" right="0.7" top="0.75" bottom="0.75" header="0.3" footer="0.3"/>
  <x:tableParts count="1">
    <x:tablePart xmlns:r="http://schemas.openxmlformats.org/officeDocument/2006/relationships" r:id="Redaaaeb1540b4b4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0.130000114440918" hidden="0" customWidth="1"/>
    <x:col min="3" max="3" width="8.25" hidden="0" customWidth="1"/>
    <x:col min="4" max="4" width="59.25" hidden="0" customWidth="1"/>
  </x:cols>
  <x:sheetData>
    <x:row r="1">
      <x:c r="A1" s="5" t="str">
        <x:v>Version</x:v>
      </x:c>
      <x:c r="B1" s="5" t="str">
        <x:v>Date UTC</x:v>
      </x:c>
      <x:c r="C1" s="5" t="str">
        <x:v>Author</x:v>
      </x:c>
      <x:c r="D1" s="5" t="str">
        <x:v>Change</x:v>
      </x:c>
    </x:row>
    <x:row r="2">
      <x:c r="A2" s="6" t="str">
        <x:v>v0.1 Draft</x:v>
      </x:c>
      <x:c r="B2" s="6" t="n">
        <x:v>46228.07251783565</x:v>
      </x:c>
      <x:c r="C2" s="6" t="str">
        <x:v>Codex</x:v>
      </x:c>
      <x:c r="D2" s="6" t="str">
        <x:v>Created controlled service review execution workbook from Phase 4B review pack.</x:v>
      </x:c>
    </x:row>
  </x:sheetData>
  <x:pageMargins left="0.7" right="0.7" top="0.75" bottom="0.75" header="0.3" footer="0.3"/>
  <x:tableParts count="1">
    <x:tablePart xmlns:r="http://schemas.openxmlformats.org/officeDocument/2006/relationships" r:id="R131c443fd50e44f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61.25" hidden="0" customWidth="1"/>
    <x:col min="3" max="3" width="85.62999725341797" hidden="0" customWidth="1"/>
  </x:cols>
  <x:sheetData>
    <x:row r="1">
      <x:c r="A1" s="5" t="str">
        <x:v>Field</x:v>
      </x:c>
      <x:c r="B1" s="5" t="str">
        <x:v>Value</x:v>
      </x:c>
      <x:c r="C1" s="5" t="str">
        <x:v>Notes</x:v>
      </x:c>
    </x:row>
    <x:row r="2">
      <x:c r="A2" s="6" t="str">
        <x:v>Draft Status</x:v>
      </x:c>
      <x:c r="B2" s="6" t="str">
        <x:v>Draft / Pending Verification</x:v>
      </x:c>
      <x:c r="C2" s="7" t="str"/>
    </x:row>
    <x:row r="3">
      <x:c r="A3" s="6" t="str">
        <x:v>Artifact Tool Version</x:v>
      </x:c>
      <x:c r="B3" s="6" t="str">
        <x:v>2.8.24</x:v>
      </x:c>
      <x:c r="C3" s="7" t="str">
        <x:v>Managed dependency loader.</x:v>
      </x:c>
    </x:row>
    <x:row r="4">
      <x:c r="A4" s="6" t="str">
        <x:v>Production Import</x:v>
      </x:c>
      <x:c r="B4" s="6" t="str">
        <x:v>Prohibited</x:v>
      </x:c>
      <x:c r="C4" s="7" t="str"/>
    </x:row>
    <x:row r="5">
      <x:c r="A5" s="6" t="str">
        <x:v>Pricing Activation</x:v>
      </x:c>
      <x:c r="B5" s="6" t="str">
        <x:v>Prohibited</x:v>
      </x:c>
      <x:c r="C5" s="7" t="str"/>
    </x:row>
    <x:row r="6">
      <x:c r="A6" s="6" t="str">
        <x:v>Import Eligibility</x:v>
      </x:c>
      <x:c r="B6" s="6" t="str">
        <x:v>Not Eligible</x:v>
      </x:c>
      <x:c r="C6" s="7" t="str"/>
    </x:row>
    <x:row r="7">
      <x:c r="A7" s="6" t="str">
        <x:v>Source SHA-256: Manufacturer Registry</x:v>
      </x:c>
      <x:c r="B7" s="6" t="str">
        <x:v>24A26319432D919C8D14B4B44377FB3826D7282657347D7283E90A73635412B9</x:v>
      </x:c>
      <x:c r="C7" s="7" t="str">
        <x:v>D:/Business Portal/100_Master_Data/Manufacturers/Nocturnix_Manufacturer_Registry_v0.1_Draft.xlsx</x:v>
      </x:c>
    </x:row>
    <x:row r="8">
      <x:c r="A8" s="6" t="str">
        <x:v>Source SHA-256: Device Registry</x:v>
      </x:c>
      <x:c r="B8" s="6" t="str">
        <x:v>B43DD38C8897E3665605F039591A0CFFFD3554FA1F3144A242A0FFD7971D9D9A</x:v>
      </x:c>
      <x:c r="C8" s="7" t="str">
        <x:v>D:/Business Portal/100_Master_Data/Devices/Nocturnix_Device_Registry_v0.1_Draft.xlsx</x:v>
      </x:c>
    </x:row>
    <x:row r="9">
      <x:c r="A9" s="6" t="str">
        <x:v>Source SHA-256: Parts Registry</x:v>
      </x:c>
      <x:c r="B9" s="6" t="str">
        <x:v>EEA22D165381546F92D43D6CB93E86A95D7539C0BE97B69B252A2E8E2EE56FBB</x:v>
      </x:c>
      <x:c r="C9" s="7" t="str">
        <x:v>D:/Business Portal/100_Master_Data/Parts/Nocturnix_Parts_Registry_v0.1_Draft.xlsx</x:v>
      </x:c>
    </x:row>
    <x:row r="10">
      <x:c r="A10" s="6" t="str">
        <x:v>Source SHA-256: Phase 4 Services Registry</x:v>
      </x:c>
      <x:c r="B10" s="6" t="str">
        <x:v>0DA12582EA01BB5BC37B8126098B5359CDC45077C9B9B9C89FD50EC6387852E3</x:v>
      </x:c>
      <x:c r="C10" s="7" t="str">
        <x:v>D:/Business Portal/100_Master_Data/Services/Nocturnix_Services_Registry_v0.1_Draft.xlsx</x:v>
      </x:c>
    </x:row>
    <x:row r="11">
      <x:c r="A11" s="6" t="str">
        <x:v>Source SHA-256: Phase 4A Remediation</x:v>
      </x:c>
      <x:c r="B11" s="6" t="str">
        <x:v>3A4CF9ABE3BD954D93C50094AB08D53ADB64FAE143AFC7AB7DBD312245B15EF7</x:v>
      </x:c>
      <x:c r="C11" s="7" t="str">
        <x:v>D:/Business Portal/100_Master_Data/Services/Remediation/Nocturnix_Services_Registry_Remediation_v0.1_Draft.xlsx</x:v>
      </x:c>
    </x:row>
    <x:row r="12">
      <x:c r="A12" s="6" t="str">
        <x:v>Source SHA-256: Phase 4B Review Pack</x:v>
      </x:c>
      <x:c r="B12" s="6" t="str">
        <x:v>01830AEE1271593101F4188ED06C86C01A2FCF5DBBF7BD3432DF7DB12940FCC9</x:v>
      </x:c>
      <x:c r="C12" s="7" t="str">
        <x:v>D:/Business Portal/100_Master_Data/Services/Review/Nocturnix_Service_Governance_Review_Pack_v0.1_Draft.xlsx</x:v>
      </x:c>
    </x:row>
  </x:sheetData>
  <x:pageMargins left="0.7" right="0.7" top="0.75" bottom="0.75" header="0.3" footer="0.3"/>
  <x:tableParts count="1">
    <x:tablePart xmlns:r="http://schemas.openxmlformats.org/officeDocument/2006/relationships" r:id="R84b38c25f5834908"/>
  </x:tableParts>
</x:worksheet>
</file>