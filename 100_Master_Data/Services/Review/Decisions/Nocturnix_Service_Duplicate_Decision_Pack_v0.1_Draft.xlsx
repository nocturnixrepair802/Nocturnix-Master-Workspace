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40d5bc7e1f14f2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structions" sheetId="1" r:id="R6c88a258f6fd4c3d"/>
    <x:sheet xmlns:r="http://schemas.openxmlformats.org/officeDocument/2006/relationships" name="Duplicate Review Dashboard" sheetId="2" r:id="Rfc301513e4ec4c52"/>
    <x:sheet xmlns:r="http://schemas.openxmlformats.org/officeDocument/2006/relationships" name="Duplicate Group Summary" sheetId="3" r:id="Red7d362536604dc9"/>
    <x:sheet xmlns:r="http://schemas.openxmlformats.org/officeDocument/2006/relationships" name="Group Member Comparison" sheetId="4" r:id="Rc1071caaa17b42ed"/>
    <x:sheet xmlns:r="http://schemas.openxmlformats.org/officeDocument/2006/relationships" name="Evidence Comparison" sheetId="5" r:id="R3d4ffe8bfdaa4681"/>
    <x:sheet xmlns:r="http://schemas.openxmlformats.org/officeDocument/2006/relationships" name="Reviewer Decision Entry" sheetId="6" r:id="R742cadfc63bf40a4"/>
    <x:sheet xmlns:r="http://schemas.openxmlformats.org/officeDocument/2006/relationships" name="Second-Level Approval Preparation" sheetId="7" r:id="R22d0796027564ed4"/>
    <x:sheet xmlns:r="http://schemas.openxmlformats.org/officeDocument/2006/relationships" name="Escalation Queue" sheetId="8" r:id="R680abfae1c974230"/>
    <x:sheet xmlns:r="http://schemas.openxmlformats.org/officeDocument/2006/relationships" name="Decision Export Preview" sheetId="9" r:id="Rd9cc7ab5135c4343"/>
    <x:sheet xmlns:r="http://schemas.openxmlformats.org/officeDocument/2006/relationships" name="Validation Summary" sheetId="10" r:id="Rcef5144a5ebc4eed"/>
    <x:sheet xmlns:r="http://schemas.openxmlformats.org/officeDocument/2006/relationships" name="Revision History" sheetId="11" r:id="R157da0c3f2d74e50"/>
    <x:sheet xmlns:r="http://schemas.openxmlformats.org/officeDocument/2006/relationships" name="Import Metadata" sheetId="12" r:id="Re9a2557d46b7405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0"/>
      <x:color rgb="FF1F2937"/>
      <x:name val="Aptos"/>
    </x:font>
    <x:font>
      <x:b/>
      <x:sz val="10"/>
      <x:color rgb="FFFFFFFF"/>
      <x:name val="Aptos"/>
    </x:font>
    <x:font>
      <x:b/>
      <x:sz val="14"/>
      <x:color rgb="FFFFFFFF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9"/>
      </x:patternFill>
    </x:fill>
    <x:fill>
      <x:patternFill patternType="solid">
        <x:fgColor rgb="FF466A85"/>
      </x:patternFill>
    </x:fill>
  </x:fills>
  <x:borders count="2">
    <x:border/>
    <x:border>
      <x:left style="thin">
        <x:color rgb="FFD9E2EC"/>
      </x:left>
      <x:right style="thin">
        <x:color rgb="FFD9E2EC"/>
      </x:right>
      <x:top style="thin">
        <x:color rgb="FFD9E2EC"/>
      </x:top>
      <x:bottom style="thin">
        <x:color rgb="FFD9E2EC"/>
      </x:bottom>
    </x:border>
  </x:borders>
  <x:cellStyleXfs count="1">
    <x:xf numFmtId="0" fontId="0" fillId="0" borderId="0"/>
  </x:cellStyleXfs>
  <x:cellXfs count="13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wrapText="1"/>
    </x:xf>
    <x:xf numFmtId="0" fontId="1" fillId="0" borderId="1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0" fillId="0" borderId="1" xfId="0" applyNumberFormat="1" applyFont="1" applyFill="1" applyBorder="1"/>
    <x:xf numFmtId="0" fontId="0" fillId="3" borderId="1" xfId="0" applyNumberFormat="1" applyFont="1" applyFill="1" applyBorder="1"/>
    <x:xf numFmtId="0" fontId="4" fillId="3" borderId="1" xfId="0" applyNumberFormat="1" applyFont="1" applyFill="1" applyBorder="1"/>
    <x:xf numFmtId="0" fontId="1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97c93512dc9443a" /><Relationship Type="http://schemas.openxmlformats.org/officeDocument/2006/relationships/theme" Target="/xl/theme/theme1.xml" Id="R20848ffd129d4d18" /><Relationship Type="http://schemas.openxmlformats.org/officeDocument/2006/relationships/sharedStrings" Target="/xl/sharedStrings.xml" Id="R7ec6385db3f147f2" /><Relationship Type="http://schemas.openxmlformats.org/officeDocument/2006/relationships/worksheet" Target="/xl/worksheets/sheet1.xml" Id="R6c88a258f6fd4c3d" /><Relationship Type="http://schemas.openxmlformats.org/officeDocument/2006/relationships/worksheet" Target="/xl/worksheets/sheet2.xml" Id="Rfc301513e4ec4c52" /><Relationship Type="http://schemas.openxmlformats.org/officeDocument/2006/relationships/worksheet" Target="/xl/worksheets/sheet3.xml" Id="Red7d362536604dc9" /><Relationship Type="http://schemas.openxmlformats.org/officeDocument/2006/relationships/worksheet" Target="/xl/worksheets/sheet4.xml" Id="Rc1071caaa17b42ed" /><Relationship Type="http://schemas.openxmlformats.org/officeDocument/2006/relationships/worksheet" Target="/xl/worksheets/sheet5.xml" Id="R3d4ffe8bfdaa4681" /><Relationship Type="http://schemas.openxmlformats.org/officeDocument/2006/relationships/worksheet" Target="/xl/worksheets/sheet6.xml" Id="R742cadfc63bf40a4" /><Relationship Type="http://schemas.openxmlformats.org/officeDocument/2006/relationships/worksheet" Target="/xl/worksheets/sheet7.xml" Id="R22d0796027564ed4" /><Relationship Type="http://schemas.openxmlformats.org/officeDocument/2006/relationships/worksheet" Target="/xl/worksheets/sheet8.xml" Id="R680abfae1c974230" /><Relationship Type="http://schemas.openxmlformats.org/officeDocument/2006/relationships/worksheet" Target="/xl/worksheets/sheet9.xml" Id="Rd9cc7ab5135c4343" /><Relationship Type="http://schemas.openxmlformats.org/officeDocument/2006/relationships/worksheet" Target="/xl/worksheets/sheet10.xml" Id="Rcef5144a5ebc4eed" /><Relationship Type="http://schemas.openxmlformats.org/officeDocument/2006/relationships/worksheet" Target="/xl/worksheets/sheet11.xml" Id="R157da0c3f2d74e50" /><Relationship Type="http://schemas.openxmlformats.org/officeDocument/2006/relationships/worksheet" Target="/xl/worksheets/sheet12.xml" Id="Re9a2557d46b74052" /></Relationships>
</file>

<file path=xl/tables/table1.xml><?xml version="1.0" encoding="utf-8"?>
<x:table xmlns:x="http://schemas.openxmlformats.org/spreadsheetml/2006/main" id="1" name="InstructionsTable" displayName="InstructionsTable" ref="A1:B6" headerRowCount="1" totalsRowCount="0" totalsRowShown="0">
  <x:tableColumns count="2">
    <x:tableColumn id="1" name="Section"/>
    <x:tableColumn id="2" name="Instruction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DuplicateGroupSummaryTable" displayName="DuplicateGroupSummaryTable" ref="A1:R16" headerRowCount="1" totalsRowCount="0" totalsRowShown="0">
  <x:tableColumns count="18">
    <x:tableColumn id="1" name="Duplicate Group ID"/>
    <x:tableColumn id="2" name="Group Member Count"/>
    <x:tableColumn id="3" name="Service IDs"/>
    <x:tableColumn id="4" name="Service Names"/>
    <x:tableColumn id="5" name="Normalized Names"/>
    <x:tableColumn id="6" name="Source Service IDs"/>
    <x:tableColumn id="7" name="Duplicate Reason"/>
    <x:tableColumn id="8" name="Manufacturer Evidence Summary"/>
    <x:tableColumn id="9" name="Device Evidence Summary"/>
    <x:tableColumn id="10" name="Part Evidence Summary"/>
    <x:tableColumn id="11" name="Labor Evidence Summary"/>
    <x:tableColumn id="12" name="Current Review Status"/>
    <x:tableColumn id="13" name="Priority"/>
    <x:tableColumn id="14" name="Assigned Reviewer"/>
    <x:tableColumn id="15" name="Target Review Date"/>
    <x:tableColumn id="16" name="Blocking Issue"/>
    <x:tableColumn id="17" name="Escalation Required"/>
    <x:tableColumn id="18" name="Note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GroupMemberComparisonTable" displayName="GroupMemberComparisonTable" ref="A1:T39" headerRowCount="1" totalsRowCount="0" totalsRowShown="0">
  <x:tableColumns count="20">
    <x:tableColumn id="1" name="Duplicate Group ID"/>
    <x:tableColumn id="2" name="Service ID"/>
    <x:tableColumn id="3" name="Current Canonical Service Name"/>
    <x:tableColumn id="4" name="Observed Service Name"/>
    <x:tableColumn id="5" name="Normalized Service Name"/>
    <x:tableColumn id="6" name="Service Category"/>
    <x:tableColumn id="7" name="Service Type"/>
    <x:tableColumn id="8" name="Service Family"/>
    <x:tableColumn id="9" name="Service Variant"/>
    <x:tableColumn id="10" name="Manufacturer Evidence"/>
    <x:tableColumn id="11" name="Device Evidence"/>
    <x:tableColumn id="12" name="Part Evidence"/>
    <x:tableColumn id="13" name="Labor Evidence"/>
    <x:tableColumn id="14" name="Source Workbook"/>
    <x:tableColumn id="15" name="Source Worksheet"/>
    <x:tableColumn id="16" name="Source Record"/>
    <x:tableColumn id="17" name="Current Governance Status"/>
    <x:tableColumn id="18" name="Current Production Status"/>
    <x:tableColumn id="19" name="Current Pricing Status"/>
    <x:tableColumn id="20" name="Notes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EvidenceComparisonTable" displayName="EvidenceComparisonTable" ref="A1:M77" headerRowCount="1" totalsRowCount="0" totalsRowShown="0">
  <x:tableColumns count="13">
    <x:tableColumn id="1" name="Evidence ID"/>
    <x:tableColumn id="2" name="Duplicate Group ID"/>
    <x:tableColumn id="3" name="Service ID"/>
    <x:tableColumn id="4" name="Evidence Type"/>
    <x:tableColumn id="5" name="Evidence Value"/>
    <x:tableColumn id="6" name="Source Workbook"/>
    <x:tableColumn id="7" name="Source Worksheet"/>
    <x:tableColumn id="8" name="Source Record"/>
    <x:tableColumn id="9" name="Evidence Strength"/>
    <x:tableColumn id="10" name="Supports Duplicate"/>
    <x:tableColumn id="11" name="Supports Separate Identity"/>
    <x:tableColumn id="12" name="Evidence Conflict"/>
    <x:tableColumn id="13" name="Reviewer Note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ReviewerDecisionEntryTable" displayName="ReviewerDecisionEntryTable" ref="A1:W16" headerRowCount="1" totalsRowCount="0" totalsRowShown="0">
  <x:tableColumns count="23">
    <x:tableColumn id="1" name="Decision ID"/>
    <x:tableColumn id="2" name="Duplicate Group ID"/>
    <x:tableColumn id="3" name="Service IDs"/>
    <x:tableColumn id="4" name="Service Names"/>
    <x:tableColumn id="5" name="Proposed Disposition"/>
    <x:tableColumn id="6" name="Proposed Surviving Service ID"/>
    <x:tableColumn id="7" name="Proposed Retired Service IDs"/>
    <x:tableColumn id="8" name="Proposed Canonical Service Name"/>
    <x:tableColumn id="9" name="Proposed Parent Service ID"/>
    <x:tableColumn id="10" name="Proposed Child Service IDs"/>
    <x:tableColumn id="11" name="Decision Basis"/>
    <x:tableColumn id="12" name="Evidence References"/>
    <x:tableColumn id="13" name="Reviewer Decision"/>
    <x:tableColumn id="14" name="Reviewer Name"/>
    <x:tableColumn id="15" name="Review Date"/>
    <x:tableColumn id="16" name="Reviewer Confidence"/>
    <x:tableColumn id="17" name="Escalation Required"/>
    <x:tableColumn id="18" name="Escalation Reason"/>
    <x:tableColumn id="19" name="Second-Level Approval Status"/>
    <x:tableColumn id="20" name="Approver Name"/>
    <x:tableColumn id="21" name="Approval Date"/>
    <x:tableColumn id="22" name="Import Eligibility"/>
    <x:tableColumn id="23" name="Note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SecondLevelApprovalPreparationTable" displayName="SecondLevelApprovalPreparationTable" ref="A1:Q16" headerRowCount="1" totalsRowCount="0" totalsRowShown="0">
  <x:tableColumns count="17">
    <x:tableColumn id="1" name="Approval Preparation ID"/>
    <x:tableColumn id="2" name="Decision ID"/>
    <x:tableColumn id="3" name="Duplicate Group ID"/>
    <x:tableColumn id="4" name="Proposed Disposition"/>
    <x:tableColumn id="5" name="Proposed Surviving Service ID"/>
    <x:tableColumn id="6" name="Proposed Retired Service IDs"/>
    <x:tableColumn id="7" name="Proposed Canonical Service Name"/>
    <x:tableColumn id="8" name="Evidence References"/>
    <x:tableColumn id="9" name="Reviewer Name"/>
    <x:tableColumn id="10" name="Review Date"/>
    <x:tableColumn id="11" name="Validation Check"/>
    <x:tableColumn id="12" name="Dependency Check"/>
    <x:tableColumn id="13" name="Second-Level Approval Status"/>
    <x:tableColumn id="14" name="Approver Name"/>
    <x:tableColumn id="15" name="Approval Date"/>
    <x:tableColumn id="16" name="Approval Notes"/>
    <x:tableColumn id="17" name="Import Eligibility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EscalationQueueTable" displayName="EscalationQueueTable" ref="A1:K16" headerRowCount="1" totalsRowCount="0" totalsRowShown="0">
  <x:tableColumns count="11">
    <x:tableColumn id="1" name="Escalation ID"/>
    <x:tableColumn id="2" name="Duplicate Group ID"/>
    <x:tableColumn id="3" name="Decision ID"/>
    <x:tableColumn id="4" name="Escalation Type"/>
    <x:tableColumn id="5" name="Issue Summary"/>
    <x:tableColumn id="6" name="Evidence Required"/>
    <x:tableColumn id="7" name="Assigned Reviewer"/>
    <x:tableColumn id="8" name="Assigned Approver"/>
    <x:tableColumn id="9" name="Due Date"/>
    <x:tableColumn id="10" name="Escalation Status"/>
    <x:tableColumn id="11" name="Resolution Note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DecisionExportPreviewTable" displayName="DecisionExportPreviewTable" ref="A1:O16" headerRowCount="1" totalsRowCount="0" totalsRowShown="0">
  <x:tableColumns count="15">
    <x:tableColumn id="1" name="Export Preview ID"/>
    <x:tableColumn id="2" name="Duplicate Group ID"/>
    <x:tableColumn id="3" name="Decision Type"/>
    <x:tableColumn id="4" name="Surviving Service ID"/>
    <x:tableColumn id="5" name="Retired Service IDs"/>
    <x:tableColumn id="6" name="Proposed Canonical Name"/>
    <x:tableColumn id="7" name="Parent Service ID"/>
    <x:tableColumn id="8" name="Child Service IDs"/>
    <x:tableColumn id="9" name="Reviewer"/>
    <x:tableColumn id="10" name="Review Date"/>
    <x:tableColumn id="11" name="Approval Status"/>
    <x:tableColumn id="12" name="Import Eligibility"/>
    <x:tableColumn id="13" name="Production Eligibility"/>
    <x:tableColumn id="14" name="Pricing Eligibility"/>
    <x:tableColumn id="15" name="Note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ValidationSummaryTable" displayName="ValidationSummaryTable" ref="A1:C15" headerRowCount="1" totalsRowCount="0" totalsRowShown="0">
  <x:tableColumns count="3">
    <x:tableColumn id="1" name="Validation Gate"/>
    <x:tableColumn id="2" name="Result"/>
    <x:tableColumn id="3" name="Detail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RevisionHistoryTable" displayName="RevisionHistoryTable" ref="A1:D2" headerRowCount="1" totalsRowCount="0" totalsRowShown="0">
  <x:tableColumns count="4">
    <x:tableColumn id="1" name="Version"/>
    <x:tableColumn id="2" name="Date UTC"/>
    <x:tableColumn id="3" name="Author"/>
    <x:tableColumn id="4" name="Change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ImportMetadataTable" displayName="ImportMetadataTable" ref="A1:C13" headerRowCount="1" totalsRowCount="0" totalsRowShown="0">
  <x:tableColumns count="3">
    <x:tableColumn id="1" name="Field"/>
    <x:tableColumn id="2" name="Value"/>
    <x:tableColumn id="3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d28f01c309d4cd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6bb7e329c30048d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a55f98568b3b429c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fb9e452515ab4159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e849b3e252a84ff8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9a8a27bc95d94673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3b305100ecc84010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5f5875fc71374024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e2afdf0e1cb54ac9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a12dc0510878401e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1.xml" Id="R003e0cf922b84487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.25" hidden="0" customWidth="1"/>
    <x:col min="2" max="2" width="107.12999725341797" hidden="0" customWidth="1"/>
  </x:cols>
  <x:sheetData>
    <x:row r="1">
      <x:c r="A1" s="5" t="str">
        <x:v>Section</x:v>
      </x:c>
      <x:c r="B1" s="5" t="str">
        <x:v>Instruction</x:v>
      </x:c>
    </x:row>
    <x:row r="2">
      <x:c r="A2" s="6" t="str">
        <x:v>Status</x:v>
      </x:c>
      <x:c r="B2" s="6" t="str">
        <x:v>Draft; Manual Review Required; Reviewer Proposal Only; Second-Level Approval Required.</x:v>
      </x:c>
    </x:row>
    <x:row r="3">
      <x:c r="A3" s="6" t="str">
        <x:v>Prohibitions</x:v>
      </x:c>
      <x:c r="B3" s="6" t="str">
        <x:v>No Merge Executed; No Service ID Retired; No Registry Modified; Import Prohibited; Production Prohibited; Pricing Activation Prohibited.</x:v>
      </x:c>
    </x:row>
    <x:row r="4">
      <x:c r="A4" s="6" t="str">
        <x:v>Reviewer Workflow</x:v>
      </x:c>
      <x:c r="B4" s="6" t="str">
        <x:v>Compare source evidence, group members, and normalized names before choosing a proposed disposition. Do not change source-controlled values.</x:v>
      </x:c>
    </x:row>
    <x:row r="5">
      <x:c r="A5" s="6" t="str">
        <x:v>Approval Boundary</x:v>
      </x:c>
      <x:c r="B5" s="6" t="str">
        <x:v>No proposed decision becomes approved or effective in this phase. Second-level approval is prepared only.</x:v>
      </x:c>
    </x:row>
    <x:row r="6">
      <x:c r="A6" s="6" t="str">
        <x:v>Legend</x:v>
      </x:c>
      <x:c r="B6" s="6" t="str">
        <x:v>Blue header/source sheets are source-controlled. Reviewer-entry columns collect proposals and remain governance-blocked.</x:v>
      </x:c>
    </x:row>
  </x:sheetData>
  <x:pageMargins left="0.7" right="0.7" top="0.75" bottom="0.75" header="0.3" footer="0.3"/>
  <x:tableParts count="1">
    <x:tablePart xmlns:r="http://schemas.openxmlformats.org/officeDocument/2006/relationships" r:id="R5d28f01c309d4cde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.5" hidden="0" customWidth="1"/>
    <x:col min="2" max="2" width="12" hidden="0" customWidth="1"/>
  </x:cols>
  <x:sheetData>
    <x:row r="1">
      <x:c r="A1" s="8" t="str">
        <x:v>Duplicate Review Dashboard</x:v>
      </x:c>
      <x:c r="B1" s="8" t="str"/>
      <x:c r="C1" s="8" t="str"/>
    </x:row>
    <x:row r="3">
      <x:c r="A3" s="11" t="str">
        <x:v>Metric</x:v>
      </x:c>
      <x:c r="B3" s="11" t="str">
        <x:v>Formula Result</x:v>
      </x:c>
    </x:row>
    <x:row r="4">
      <x:c r="A4" s="9" t="str">
        <x:v>Total duplicate groups</x:v>
      </x:c>
      <x:c r="B4" s="9" t="n">
        <x:f>COUNTA('Reviewer Decision Entry'!B2:B16)</x:f>
        <x:v>15</x:v>
      </x:c>
    </x:row>
    <x:row r="5">
      <x:c r="A5" s="9" t="str">
        <x:v>Groups not started</x:v>
      </x:c>
      <x:c r="B5" s="9" t="n">
        <x:f>COUNTIF('Duplicate Group Summary'!L2:L16,"Not Started")</x:f>
        <x:v>15</x:v>
      </x:c>
    </x:row>
    <x:row r="6">
      <x:c r="A6" s="9" t="str">
        <x:v>Groups in review</x:v>
      </x:c>
      <x:c r="B6" s="9" t="n">
        <x:f>COUNTIF('Duplicate Group Summary'!L2:L16,"In Review")</x:f>
        <x:v>0</x:v>
      </x:c>
    </x:row>
    <x:row r="7">
      <x:c r="A7" s="9" t="str">
        <x:v>Groups reviewer-complete</x:v>
      </x:c>
      <x:c r="B7" s="9" t="n">
        <x:f>COUNTIF('Reviewer Decision Entry'!M2:M16,"Reviewer Complete")</x:f>
        <x:v>0</x:v>
      </x:c>
    </x:row>
    <x:row r="8">
      <x:c r="A8" s="9" t="str">
        <x:v>Groups escalated</x:v>
      </x:c>
      <x:c r="B8" s="9" t="n">
        <x:f>COUNTIF('Reviewer Decision Entry'!M2:M16,"Escalate")</x:f>
        <x:v>0</x:v>
      </x:c>
    </x:row>
    <x:row r="9">
      <x:c r="A9" s="9" t="str">
        <x:v>Groups awaiting second-level approval</x:v>
      </x:c>
      <x:c r="B9" s="9" t="n">
        <x:f>COUNTIF('Reviewer Decision Entry'!S2:S16,"Pending")</x:f>
        <x:v>15</x:v>
      </x:c>
    </x:row>
    <x:row r="10">
      <x:c r="A10" s="9" t="str">
        <x:v>Groups returned for rework</x:v>
      </x:c>
      <x:c r="B10" s="9" t="n">
        <x:f>COUNTIF('Duplicate Group Summary'!L2:L16,"Returned for Rework")</x:f>
        <x:v>0</x:v>
      </x:c>
    </x:row>
    <x:row r="11">
      <x:c r="A11" s="9" t="str">
        <x:v>Groups closed without approval</x:v>
      </x:c>
      <x:c r="B11" s="9" t="n">
        <x:f>COUNTIF('Duplicate Group Summary'!L2:L16,"Closed Without Approval")</x:f>
        <x:v>0</x:v>
      </x:c>
    </x:row>
    <x:row r="12">
      <x:c r="A12" s="9" t="str">
        <x:v>Groups with proposed merges</x:v>
      </x:c>
      <x:c r="B12" s="9" t="n">
        <x:f>COUNTIF('Reviewer Decision Entry'!E2:E16,"Merge Proposed")</x:f>
        <x:v>0</x:v>
      </x:c>
    </x:row>
    <x:row r="13">
      <x:c r="A13" s="9" t="str">
        <x:v>Groups marked keep separate</x:v>
      </x:c>
      <x:c r="B13" s="9" t="n">
        <x:f>COUNTIF('Reviewer Decision Entry'!E2:E16,"Keep Separate")</x:f>
        <x:v>0</x:v>
      </x:c>
    </x:row>
    <x:row r="14">
      <x:c r="A14" s="9" t="str">
        <x:v>Groups with proposed renames</x:v>
      </x:c>
      <x:c r="B14" s="9" t="n">
        <x:f>COUNTIF('Reviewer Decision Entry'!E2:E16,"Rename Proposed")</x:f>
        <x:v>0</x:v>
      </x:c>
    </x:row>
    <x:row r="15">
      <x:c r="A15" s="9" t="str">
        <x:v>Groups with proposed parent-child relationships</x:v>
      </x:c>
      <x:c r="B15" s="9" t="n">
        <x:f>COUNTIF('Reviewer Decision Entry'!E2:E16,"Parent-Child Relationship")</x:f>
        <x:v>0</x:v>
      </x:c>
    </x:row>
  </x:sheetData>
  <x:mergeCells>
    <x:mergeCell ref="A1:C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.5" hidden="0" customWidth="1"/>
    <x:col min="2" max="2" width="19.3799991607666" hidden="0" customWidth="1"/>
    <x:col min="3" max="3" width="27.25" hidden="0" customWidth="1"/>
    <x:col min="4" max="4" width="81.62999725341797" hidden="0" customWidth="1"/>
    <x:col min="5" max="5" width="71.25" hidden="0" customWidth="1"/>
    <x:col min="6" max="6" width="27.25" hidden="0" customWidth="1"/>
    <x:col min="7" max="7" width="45.880001068115234" hidden="0" customWidth="1"/>
    <x:col min="8" max="8" width="28.25" hidden="0" customWidth="1"/>
    <x:col min="9" max="9" width="81.62999725341797" hidden="0" customWidth="1"/>
    <x:col min="10" max="10" width="21.1299991607666" hidden="0" customWidth="1"/>
    <x:col min="11" max="11" width="22.3799991607666" hidden="0" customWidth="1"/>
    <x:col min="12" max="12" width="20" hidden="0" customWidth="1"/>
    <x:col min="13" max="13" width="8.5" hidden="0" customWidth="1"/>
    <x:col min="14" max="14" width="17.25" hidden="0" customWidth="1"/>
    <x:col min="15" max="15" width="17.3799991607666" hidden="0" customWidth="1"/>
    <x:col min="16" max="16" width="14" hidden="0" customWidth="1"/>
    <x:col min="17" max="17" width="18.25" hidden="0" customWidth="1"/>
    <x:col min="18" max="18" width="7.630000114440918" hidden="0" customWidth="1"/>
  </x:cols>
  <x:sheetData>
    <x:row r="1">
      <x:c r="A1" s="5" t="str">
        <x:v>Duplicate Group ID</x:v>
      </x:c>
      <x:c r="B1" s="5" t="str">
        <x:v>Group Member Count</x:v>
      </x:c>
      <x:c r="C1" s="5" t="str">
        <x:v>Service IDs</x:v>
      </x:c>
      <x:c r="D1" s="5" t="str">
        <x:v>Service Names</x:v>
      </x:c>
      <x:c r="E1" s="5" t="str">
        <x:v>Normalized Names</x:v>
      </x:c>
      <x:c r="F1" s="5" t="str">
        <x:v>Source Service IDs</x:v>
      </x:c>
      <x:c r="G1" s="5" t="str">
        <x:v>Duplicate Reason</x:v>
      </x:c>
      <x:c r="H1" s="5" t="str">
        <x:v>Manufacturer Evidence Summary</x:v>
      </x:c>
      <x:c r="I1" s="5" t="str">
        <x:v>Device Evidence Summary</x:v>
      </x:c>
      <x:c r="J1" s="5" t="str">
        <x:v>Part Evidence Summary</x:v>
      </x:c>
      <x:c r="K1" s="5" t="str">
        <x:v>Labor Evidence Summary</x:v>
      </x:c>
      <x:c r="L1" s="5" t="str">
        <x:v>Current Review Status</x:v>
      </x:c>
      <x:c r="M1" s="5" t="str">
        <x:v>Priority</x:v>
      </x:c>
      <x:c r="N1" s="5" t="str">
        <x:v>Assigned Reviewer</x:v>
      </x:c>
      <x:c r="O1" s="5" t="str">
        <x:v>Target Review Date</x:v>
      </x:c>
      <x:c r="P1" s="5" t="str">
        <x:v>Blocking Issue</x:v>
      </x:c>
      <x:c r="Q1" s="5" t="str">
        <x:v>Escalation Required</x:v>
      </x:c>
      <x:c r="R1" s="5" t="str">
        <x:v>Notes</x:v>
      </x:c>
    </x:row>
    <x:row r="2">
      <x:c r="A2" s="6" t="str">
        <x:v>DUP000001</x:v>
      </x:c>
      <x:c r="B2" s="6" t="n">
        <x:v>3</x:v>
      </x:c>
      <x:c r="C2" s="12" t="str">
        <x:v>SVC000008; SVC000086; SVC000087</x:v>
      </x:c>
      <x:c r="D2" s="12" t="str">
        <x:v>iPhone 6 Screen replacement; iPhone 6+ Screen replacement; iPhone 6 Screen replacement</x:v>
      </x:c>
      <x:c r="E2" s="6" t="str">
        <x:v>iphone 6 screen replacement|repair|iphone screen repair|iphone 6 screen replacement</x:v>
      </x:c>
      <x:c r="F2" s="12" t="str">
        <x:v>SVC000083; SVC000161; SVC000162</x:v>
      </x:c>
      <x:c r="G2" s="12" t="str">
        <x:v>Exact normalized service identity fields match multiple records.</x:v>
      </x:c>
      <x:c r="H2" s="12" t="str">
        <x:v>; ; </x:v>
      </x:c>
      <x:c r="I2" s="12" t="str">
        <x:v>iPhone 6 Screen replacement; iPhone 6+ Screen replacement; iPhone 6 Screen replacement</x:v>
      </x:c>
      <x:c r="J2" s="12" t="str">
        <x:v>; ; </x:v>
      </x:c>
      <x:c r="K2" s="12" t="str">
        <x:v>; ; </x:v>
      </x:c>
      <x:c r="L2" s="6" t="str">
        <x:v>Not Started</x:v>
      </x:c>
      <x:c r="M2" s="6" t="str">
        <x:v>High</x:v>
      </x:c>
      <x:c r="N2" s="6" t="str"/>
      <x:c r="O2" s="6" t="str"/>
      <x:c r="P2" s="12" t="str"/>
      <x:c r="Q2" s="6" t="str">
        <x:v>No</x:v>
      </x:c>
      <x:c r="R2" s="12" t="str"/>
    </x:row>
    <x:row r="3">
      <x:c r="A3" s="6" t="str">
        <x:v>DUP000002</x:v>
      </x:c>
      <x:c r="B3" s="6" t="n">
        <x:v>3</x:v>
      </x:c>
      <x:c r="C3" s="12" t="str">
        <x:v>SVC000009; SVC000088; SVC000089</x:v>
      </x:c>
      <x:c r="D3" s="12" t="str">
        <x:v>iPhone 6S+ Screen replacement; iPhone 6S+ Screen replacement; iPhone 6S Screen replacement</x:v>
      </x:c>
      <x:c r="E3" s="6" t="str">
        <x:v>iphone 6s screen replacement|repair|iphone screen repair|iphone 6s screen replacement</x:v>
      </x:c>
      <x:c r="F3" s="12" t="str">
        <x:v>SVC000084; SVC000163; SVC000164</x:v>
      </x:c>
      <x:c r="G3" s="12" t="str">
        <x:v>Exact normalized service identity fields match multiple records.</x:v>
      </x:c>
      <x:c r="H3" s="12" t="str">
        <x:v>; ; </x:v>
      </x:c>
      <x:c r="I3" s="12" t="str">
        <x:v>iPhone 6S+ Screen replacement; iPhone 6S+ Screen replacement; iPhone 6S Screen replacement</x:v>
      </x:c>
      <x:c r="J3" s="12" t="str">
        <x:v>; ; </x:v>
      </x:c>
      <x:c r="K3" s="12" t="str">
        <x:v>; ; </x:v>
      </x:c>
      <x:c r="L3" s="6" t="str">
        <x:v>Not Started</x:v>
      </x:c>
      <x:c r="M3" s="6" t="str">
        <x:v>High</x:v>
      </x:c>
      <x:c r="N3" s="6" t="str"/>
      <x:c r="O3" s="6" t="str"/>
      <x:c r="P3" s="12" t="str"/>
      <x:c r="Q3" s="6" t="str">
        <x:v>No</x:v>
      </x:c>
      <x:c r="R3" s="12" t="str"/>
    </x:row>
    <x:row r="4">
      <x:c r="A4" s="6" t="str">
        <x:v>DUP000003</x:v>
      </x:c>
      <x:c r="B4" s="6" t="n">
        <x:v>2</x:v>
      </x:c>
      <x:c r="C4" s="12" t="str">
        <x:v>SVC000090; SVC000091</x:v>
      </x:c>
      <x:c r="D4" s="12" t="str">
        <x:v>iPhone 7+ Screen replacement; iPhone 7 Screen replacement</x:v>
      </x:c>
      <x:c r="E4" s="6" t="str">
        <x:v>iphone 7 screen replacement|repair|iphone screen repair|iphone 7 screen replacement</x:v>
      </x:c>
      <x:c r="F4" s="12" t="str">
        <x:v>SVC000165; SVC000166</x:v>
      </x:c>
      <x:c r="G4" s="12" t="str">
        <x:v>Exact normalized service identity fields match multiple records.</x:v>
      </x:c>
      <x:c r="H4" s="12" t="str">
        <x:v>; </x:v>
      </x:c>
      <x:c r="I4" s="12" t="str">
        <x:v>iPhone 7+ Screen replacement; iPhone 7 Screen replacement</x:v>
      </x:c>
      <x:c r="J4" s="12" t="str">
        <x:v>; </x:v>
      </x:c>
      <x:c r="K4" s="12" t="str">
        <x:v>; </x:v>
      </x:c>
      <x:c r="L4" s="6" t="str">
        <x:v>Not Started</x:v>
      </x:c>
      <x:c r="M4" s="6" t="str">
        <x:v>High</x:v>
      </x:c>
      <x:c r="N4" s="6" t="str"/>
      <x:c r="O4" s="6" t="str"/>
      <x:c r="P4" s="12" t="str"/>
      <x:c r="Q4" s="6" t="str">
        <x:v>No</x:v>
      </x:c>
      <x:c r="R4" s="12" t="str"/>
    </x:row>
    <x:row r="5">
      <x:c r="A5" s="6" t="str">
        <x:v>DUP000004</x:v>
      </x:c>
      <x:c r="B5" s="6" t="n">
        <x:v>2</x:v>
      </x:c>
      <x:c r="C5" s="12" t="str">
        <x:v>SVC000092; SVC000093</x:v>
      </x:c>
      <x:c r="D5" s="12" t="str">
        <x:v>iPhone 8+ Screen replacement; iPhone 8 Screen replacement</x:v>
      </x:c>
      <x:c r="E5" s="6" t="str">
        <x:v>iphone 8 screen replacement|repair|iphone screen repair|iphone 8 screen replacement</x:v>
      </x:c>
      <x:c r="F5" s="12" t="str">
        <x:v>SVC000167; SVC000168</x:v>
      </x:c>
      <x:c r="G5" s="12" t="str">
        <x:v>Exact normalized service identity fields match multiple records.</x:v>
      </x:c>
      <x:c r="H5" s="12" t="str">
        <x:v>; </x:v>
      </x:c>
      <x:c r="I5" s="12" t="str">
        <x:v>iPhone 8+ Screen replacement; iPhone 8 Screen replacement</x:v>
      </x:c>
      <x:c r="J5" s="12" t="str">
        <x:v>; </x:v>
      </x:c>
      <x:c r="K5" s="12" t="str">
        <x:v>; </x:v>
      </x:c>
      <x:c r="L5" s="6" t="str">
        <x:v>Not Started</x:v>
      </x:c>
      <x:c r="M5" s="6" t="str">
        <x:v>High</x:v>
      </x:c>
      <x:c r="N5" s="6" t="str"/>
      <x:c r="O5" s="6" t="str"/>
      <x:c r="P5" s="12" t="str"/>
      <x:c r="Q5" s="6" t="str">
        <x:v>No</x:v>
      </x:c>
      <x:c r="R5" s="12" t="str"/>
    </x:row>
    <x:row r="6">
      <x:c r="A6" s="6" t="str">
        <x:v>DUP000005</x:v>
      </x:c>
      <x:c r="B6" s="6" t="n">
        <x:v>3</x:v>
      </x:c>
      <x:c r="C6" s="12" t="str">
        <x:v>SVC000101; SVC000102; SVC000103</x:v>
      </x:c>
      <x:c r="D6" s="12" t="str">
        <x:v>iPhone 4S Screen replacement; iPhone 4S Screen replacement; iPhone 4S Screen replacement</x:v>
      </x:c>
      <x:c r="E6" s="6" t="str">
        <x:v>iphone 4s screen replacement|repair|iphone screen repair|iphone 4s screen replacement</x:v>
      </x:c>
      <x:c r="F6" s="12" t="str">
        <x:v>SVC000176; SVC000177; SVC000178</x:v>
      </x:c>
      <x:c r="G6" s="12" t="str">
        <x:v>Exact normalized service identity fields match multiple records.</x:v>
      </x:c>
      <x:c r="H6" s="12" t="str">
        <x:v>; ; </x:v>
      </x:c>
      <x:c r="I6" s="12" t="str">
        <x:v>iPhone 4S Screen replacement; iPhone 4S Screen replacement; iPhone 4S Screen replacement</x:v>
      </x:c>
      <x:c r="J6" s="12" t="str">
        <x:v>; ; </x:v>
      </x:c>
      <x:c r="K6" s="12" t="str">
        <x:v>; ; </x:v>
      </x:c>
      <x:c r="L6" s="6" t="str">
        <x:v>Not Started</x:v>
      </x:c>
      <x:c r="M6" s="6" t="str">
        <x:v>High</x:v>
      </x:c>
      <x:c r="N6" s="6" t="str"/>
      <x:c r="O6" s="6" t="str"/>
      <x:c r="P6" s="12" t="str"/>
      <x:c r="Q6" s="6" t="str">
        <x:v>No</x:v>
      </x:c>
      <x:c r="R6" s="12" t="str"/>
    </x:row>
    <x:row r="7">
      <x:c r="A7" s="6" t="str">
        <x:v>DUP000006</x:v>
      </x:c>
      <x:c r="B7" s="6" t="n">
        <x:v>2</x:v>
      </x:c>
      <x:c r="C7" s="12" t="str">
        <x:v>SVC000167; SVC000202</x:v>
      </x:c>
      <x:c r="D7" s="12" t="str">
        <x:v>iPhone 7+ Battery Replacement; iPhone 7 Battery Replacement</x:v>
      </x:c>
      <x:c r="E7" s="6" t="str">
        <x:v>iphone 7 battery replacement|repair|miscellaneous repair|iphone 7 battery replacement</x:v>
      </x:c>
      <x:c r="F7" s="12" t="str">
        <x:v>SVC000242; SVC000277</x:v>
      </x:c>
      <x:c r="G7" s="12" t="str">
        <x:v>Exact normalized service identity fields match multiple records.</x:v>
      </x:c>
      <x:c r="H7" s="12" t="str">
        <x:v>; </x:v>
      </x:c>
      <x:c r="I7" s="12" t="str">
        <x:v>iPhone 7+ Battery Replacement; iPhone 7 Battery Replacement</x:v>
      </x:c>
      <x:c r="J7" s="12" t="str">
        <x:v>; </x:v>
      </x:c>
      <x:c r="K7" s="12" t="str">
        <x:v>; </x:v>
      </x:c>
      <x:c r="L7" s="6" t="str">
        <x:v>Not Started</x:v>
      </x:c>
      <x:c r="M7" s="6" t="str">
        <x:v>High</x:v>
      </x:c>
      <x:c r="N7" s="6" t="str"/>
      <x:c r="O7" s="6" t="str"/>
      <x:c r="P7" s="12" t="str"/>
      <x:c r="Q7" s="6" t="str">
        <x:v>No</x:v>
      </x:c>
      <x:c r="R7" s="12" t="str"/>
    </x:row>
    <x:row r="8">
      <x:c r="A8" s="6" t="str">
        <x:v>DUP000007</x:v>
      </x:c>
      <x:c r="B8" s="6" t="n">
        <x:v>3</x:v>
      </x:c>
      <x:c r="C8" s="12" t="str">
        <x:v>SVC000170; SVC000203; SVC000204</x:v>
      </x:c>
      <x:c r="D8" s="12" t="str">
        <x:v>iPhone 4S Battery Replacement; iPhone 4S Battery Replacement; iPhone 4S Battery Replacement</x:v>
      </x:c>
      <x:c r="E8" s="6" t="str">
        <x:v>iphone 4s battery replacement|repair|miscellaneous repair|iphone 4s battery replacement</x:v>
      </x:c>
      <x:c r="F8" s="12" t="str">
        <x:v>SVC000245; SVC000278; SVC000279</x:v>
      </x:c>
      <x:c r="G8" s="12" t="str">
        <x:v>Exact normalized service identity fields match multiple records.</x:v>
      </x:c>
      <x:c r="H8" s="12" t="str">
        <x:v>; ; </x:v>
      </x:c>
      <x:c r="I8" s="12" t="str">
        <x:v>iPhone 4S Battery Replacement; iPhone 4S Battery Replacement; iPhone 4S Battery Replacement</x:v>
      </x:c>
      <x:c r="J8" s="12" t="str">
        <x:v>; ; </x:v>
      </x:c>
      <x:c r="K8" s="12" t="str">
        <x:v>; ; </x:v>
      </x:c>
      <x:c r="L8" s="6" t="str">
        <x:v>Not Started</x:v>
      </x:c>
      <x:c r="M8" s="6" t="str">
        <x:v>High</x:v>
      </x:c>
      <x:c r="N8" s="6" t="str"/>
      <x:c r="O8" s="6" t="str"/>
      <x:c r="P8" s="12" t="str"/>
      <x:c r="Q8" s="6" t="str">
        <x:v>No</x:v>
      </x:c>
      <x:c r="R8" s="12" t="str"/>
    </x:row>
    <x:row r="9">
      <x:c r="A9" s="6" t="str">
        <x:v>DUP000008</x:v>
      </x:c>
      <x:c r="B9" s="6" t="n">
        <x:v>2</x:v>
      </x:c>
      <x:c r="C9" s="12" t="str">
        <x:v>SVC000173; SVC000175</x:v>
      </x:c>
      <x:c r="D9" s="12" t="str">
        <x:v>iPhone 8+ Battery Replacement; iPhone 8 Battery Replacement</x:v>
      </x:c>
      <x:c r="E9" s="6" t="str">
        <x:v>iphone 8 battery replacement|repair|miscellaneous repair|iphone 8 battery replacement</x:v>
      </x:c>
      <x:c r="F9" s="12" t="str">
        <x:v>SVC000248; SVC000250</x:v>
      </x:c>
      <x:c r="G9" s="12" t="str">
        <x:v>Exact normalized service identity fields match multiple records.</x:v>
      </x:c>
      <x:c r="H9" s="12" t="str">
        <x:v>; </x:v>
      </x:c>
      <x:c r="I9" s="12" t="str">
        <x:v>iPhone 8+ Battery Replacement; iPhone 8 Battery Replacement</x:v>
      </x:c>
      <x:c r="J9" s="12" t="str">
        <x:v>; </x:v>
      </x:c>
      <x:c r="K9" s="12" t="str">
        <x:v>; </x:v>
      </x:c>
      <x:c r="L9" s="6" t="str">
        <x:v>Not Started</x:v>
      </x:c>
      <x:c r="M9" s="6" t="str">
        <x:v>High</x:v>
      </x:c>
      <x:c r="N9" s="6" t="str"/>
      <x:c r="O9" s="6" t="str"/>
      <x:c r="P9" s="12" t="str"/>
      <x:c r="Q9" s="6" t="str">
        <x:v>No</x:v>
      </x:c>
      <x:c r="R9" s="12" t="str"/>
    </x:row>
    <x:row r="10">
      <x:c r="A10" s="6" t="str">
        <x:v>DUP000009</x:v>
      </x:c>
      <x:c r="B10" s="6" t="n">
        <x:v>3</x:v>
      </x:c>
      <x:c r="C10" s="12" t="str">
        <x:v>SVC000174; SVC000176; SVC000177</x:v>
      </x:c>
      <x:c r="D10" s="12" t="str">
        <x:v>iPhone 6S Battery Replacement; iPhone 6S+ Battery Replacement; iPhone 6S+ Battery Replacement</x:v>
      </x:c>
      <x:c r="E10" s="6" t="str">
        <x:v>iphone 6s battery replacement|repair|miscellaneous repair|iphone 6s battery replacement</x:v>
      </x:c>
      <x:c r="F10" s="12" t="str">
        <x:v>SVC000249; SVC000251; SVC000252</x:v>
      </x:c>
      <x:c r="G10" s="12" t="str">
        <x:v>Exact normalized service identity fields match multiple records.</x:v>
      </x:c>
      <x:c r="H10" s="12" t="str">
        <x:v>; ; </x:v>
      </x:c>
      <x:c r="I10" s="12" t="str">
        <x:v>iPhone 6S Battery Replacement; iPhone 6S+ Battery Replacement; iPhone 6S+ Battery Replacement</x:v>
      </x:c>
      <x:c r="J10" s="12" t="str">
        <x:v>; ; </x:v>
      </x:c>
      <x:c r="K10" s="12" t="str">
        <x:v>; ; </x:v>
      </x:c>
      <x:c r="L10" s="6" t="str">
        <x:v>Not Started</x:v>
      </x:c>
      <x:c r="M10" s="6" t="str">
        <x:v>High</x:v>
      </x:c>
      <x:c r="N10" s="6" t="str"/>
      <x:c r="O10" s="6" t="str"/>
      <x:c r="P10" s="12" t="str"/>
      <x:c r="Q10" s="6" t="str">
        <x:v>No</x:v>
      </x:c>
      <x:c r="R10" s="12" t="str"/>
    </x:row>
    <x:row r="11">
      <x:c r="A11" s="6" t="str">
        <x:v>DUP000010</x:v>
      </x:c>
      <x:c r="B11" s="6" t="n">
        <x:v>3</x:v>
      </x:c>
      <x:c r="C11" s="12" t="str">
        <x:v>SVC000180; SVC000206; SVC000207</x:v>
      </x:c>
      <x:c r="D11" s="12" t="str">
        <x:v>iPhone 6+ Battery Replacement; iPhone 6 Battery Replacement; iPhone 6 Battery Replacement</x:v>
      </x:c>
      <x:c r="E11" s="6" t="str">
        <x:v>iphone 6 battery replacement|repair|miscellaneous repair|iphone 6 battery replacement</x:v>
      </x:c>
      <x:c r="F11" s="12" t="str">
        <x:v>SVC000255; SVC000281; SVC000282</x:v>
      </x:c>
      <x:c r="G11" s="12" t="str">
        <x:v>Exact normalized service identity fields match multiple records.</x:v>
      </x:c>
      <x:c r="H11" s="12" t="str">
        <x:v>; ; </x:v>
      </x:c>
      <x:c r="I11" s="12" t="str">
        <x:v>iPhone 6+ Battery Replacement; iPhone 6 Battery Replacement; iPhone 6 Battery Replacement</x:v>
      </x:c>
      <x:c r="J11" s="12" t="str">
        <x:v>; ; </x:v>
      </x:c>
      <x:c r="K11" s="12" t="str">
        <x:v>; ; </x:v>
      </x:c>
      <x:c r="L11" s="6" t="str">
        <x:v>Not Started</x:v>
      </x:c>
      <x:c r="M11" s="6" t="str">
        <x:v>High</x:v>
      </x:c>
      <x:c r="N11" s="6" t="str"/>
      <x:c r="O11" s="6" t="str"/>
      <x:c r="P11" s="12" t="str"/>
      <x:c r="Q11" s="6" t="str">
        <x:v>No</x:v>
      </x:c>
      <x:c r="R11" s="12" t="str"/>
    </x:row>
    <x:row r="12">
      <x:c r="A12" s="6" t="str">
        <x:v>DUP000011</x:v>
      </x:c>
      <x:c r="B12" s="6" t="n">
        <x:v>3</x:v>
      </x:c>
      <x:c r="C12" s="12" t="str">
        <x:v>SVC000217; SVC000218; SVC000219</x:v>
      </x:c>
      <x:c r="D12" s="12" t="str">
        <x:v>iPhone 4S Charge Port Replacement; iPhone 4S Charge Port Replacement; iPhone 4S Charge Port Replacement</x:v>
      </x:c>
      <x:c r="E12" s="6" t="str">
        <x:v>iphone 4s charge port replacement|repair|miscellaneous repair|iphone 4s charge port replacement</x:v>
      </x:c>
      <x:c r="F12" s="12" t="str">
        <x:v>SVC000292; SVC000293; SVC000294</x:v>
      </x:c>
      <x:c r="G12" s="12" t="str">
        <x:v>Exact normalized service identity fields match multiple records.</x:v>
      </x:c>
      <x:c r="H12" s="12" t="str">
        <x:v>; ; </x:v>
      </x:c>
      <x:c r="I12" s="12" t="str">
        <x:v>iPhone 4S Charge Port Replacement; iPhone 4S Charge Port Replacement; iPhone 4S Charge Port Replacement</x:v>
      </x:c>
      <x:c r="J12" s="12" t="str">
        <x:v>; ; </x:v>
      </x:c>
      <x:c r="K12" s="12" t="str">
        <x:v>; ; </x:v>
      </x:c>
      <x:c r="L12" s="6" t="str">
        <x:v>Not Started</x:v>
      </x:c>
      <x:c r="M12" s="6" t="str">
        <x:v>High</x:v>
      </x:c>
      <x:c r="N12" s="6" t="str"/>
      <x:c r="O12" s="6" t="str"/>
      <x:c r="P12" s="12" t="str"/>
      <x:c r="Q12" s="6" t="str">
        <x:v>No</x:v>
      </x:c>
      <x:c r="R12" s="12" t="str"/>
    </x:row>
    <x:row r="13">
      <x:c r="A13" s="6" t="str">
        <x:v>DUP000012</x:v>
      </x:c>
      <x:c r="B13" s="6" t="n">
        <x:v>2</x:v>
      </x:c>
      <x:c r="C13" s="12" t="str">
        <x:v>SVC000223; SVC000224</x:v>
      </x:c>
      <x:c r="D13" s="12" t="str">
        <x:v>iPhone 6 Charge Port Replacement; iPhone 6+ Charge Port Replacement</x:v>
      </x:c>
      <x:c r="E13" s="6" t="str">
        <x:v>iphone 6 charge port replacement|repair|miscellaneous repair|iphone 6 charge port replacement</x:v>
      </x:c>
      <x:c r="F13" s="12" t="str">
        <x:v>SVC000298; SVC000299</x:v>
      </x:c>
      <x:c r="G13" s="12" t="str">
        <x:v>Exact normalized service identity fields match multiple records.</x:v>
      </x:c>
      <x:c r="H13" s="12" t="str">
        <x:v>; </x:v>
      </x:c>
      <x:c r="I13" s="12" t="str">
        <x:v>iPhone 6 Charge Port Replacement; iPhone 6+ Charge Port Replacement</x:v>
      </x:c>
      <x:c r="J13" s="12" t="str">
        <x:v>; </x:v>
      </x:c>
      <x:c r="K13" s="12" t="str">
        <x:v>; </x:v>
      </x:c>
      <x:c r="L13" s="6" t="str">
        <x:v>Not Started</x:v>
      </x:c>
      <x:c r="M13" s="6" t="str">
        <x:v>High</x:v>
      </x:c>
      <x:c r="N13" s="6" t="str"/>
      <x:c r="O13" s="6" t="str"/>
      <x:c r="P13" s="12" t="str"/>
      <x:c r="Q13" s="6" t="str">
        <x:v>No</x:v>
      </x:c>
      <x:c r="R13" s="12" t="str"/>
    </x:row>
    <x:row r="14">
      <x:c r="A14" s="6" t="str">
        <x:v>DUP000013</x:v>
      </x:c>
      <x:c r="B14" s="6" t="n">
        <x:v>3</x:v>
      </x:c>
      <x:c r="C14" s="12" t="str">
        <x:v>SVC000225; SVC000226; SVC000227</x:v>
      </x:c>
      <x:c r="D14" s="12" t="str">
        <x:v>iPhone 6S Charge Port Replacement; iPhone 6S+ Charge Port Replacement; iPhone 6S+ Charge Port Replacement</x:v>
      </x:c>
      <x:c r="E14" s="6" t="str">
        <x:v>iphone 6s charge port replacement|repair|miscellaneous repair|iphone 6s charge port replacement</x:v>
      </x:c>
      <x:c r="F14" s="12" t="str">
        <x:v>SVC000300; SVC000301; SVC000302</x:v>
      </x:c>
      <x:c r="G14" s="12" t="str">
        <x:v>Exact normalized service identity fields match multiple records.</x:v>
      </x:c>
      <x:c r="H14" s="12" t="str">
        <x:v>; ; </x:v>
      </x:c>
      <x:c r="I14" s="12" t="str">
        <x:v>iPhone 6S Charge Port Replacement; iPhone 6S+ Charge Port Replacement; iPhone 6S+ Charge Port Replacement</x:v>
      </x:c>
      <x:c r="J14" s="12" t="str">
        <x:v>; ; </x:v>
      </x:c>
      <x:c r="K14" s="12" t="str">
        <x:v>; ; </x:v>
      </x:c>
      <x:c r="L14" s="6" t="str">
        <x:v>Not Started</x:v>
      </x:c>
      <x:c r="M14" s="6" t="str">
        <x:v>High</x:v>
      </x:c>
      <x:c r="N14" s="6" t="str"/>
      <x:c r="O14" s="6" t="str"/>
      <x:c r="P14" s="12" t="str"/>
      <x:c r="Q14" s="6" t="str">
        <x:v>No</x:v>
      </x:c>
      <x:c r="R14" s="12" t="str"/>
    </x:row>
    <x:row r="15">
      <x:c r="A15" s="6" t="str">
        <x:v>DUP000014</x:v>
      </x:c>
      <x:c r="B15" s="6" t="n">
        <x:v>2</x:v>
      </x:c>
      <x:c r="C15" s="12" t="str">
        <x:v>SVC000229; SVC000230</x:v>
      </x:c>
      <x:c r="D15" s="12" t="str">
        <x:v>iPhone 7 Charge Port Replacement; iPhone 7+ Charge Port Replacement</x:v>
      </x:c>
      <x:c r="E15" s="6" t="str">
        <x:v>iphone 7 charge port replacement|repair|miscellaneous repair|iphone 7 charge port replacement</x:v>
      </x:c>
      <x:c r="F15" s="12" t="str">
        <x:v>SVC000304; SVC000305</x:v>
      </x:c>
      <x:c r="G15" s="12" t="str">
        <x:v>Exact normalized service identity fields match multiple records.</x:v>
      </x:c>
      <x:c r="H15" s="12" t="str">
        <x:v>; </x:v>
      </x:c>
      <x:c r="I15" s="12" t="str">
        <x:v>iPhone 7 Charge Port Replacement; iPhone 7+ Charge Port Replacement</x:v>
      </x:c>
      <x:c r="J15" s="12" t="str">
        <x:v>; </x:v>
      </x:c>
      <x:c r="K15" s="12" t="str">
        <x:v>; </x:v>
      </x:c>
      <x:c r="L15" s="6" t="str">
        <x:v>Not Started</x:v>
      </x:c>
      <x:c r="M15" s="6" t="str">
        <x:v>High</x:v>
      </x:c>
      <x:c r="N15" s="6" t="str"/>
      <x:c r="O15" s="6" t="str"/>
      <x:c r="P15" s="12" t="str"/>
      <x:c r="Q15" s="6" t="str">
        <x:v>No</x:v>
      </x:c>
      <x:c r="R15" s="12" t="str"/>
    </x:row>
    <x:row r="16">
      <x:c r="A16" s="6" t="str">
        <x:v>DUP000015</x:v>
      </x:c>
      <x:c r="B16" s="6" t="n">
        <x:v>2</x:v>
      </x:c>
      <x:c r="C16" s="12" t="str">
        <x:v>SVC000231; SVC000232</x:v>
      </x:c>
      <x:c r="D16" s="12" t="str">
        <x:v>iPhone 8 Charge Port Replacement; iPhone 8+ Charge Port Replacement</x:v>
      </x:c>
      <x:c r="E16" s="6" t="str">
        <x:v>iphone 8 charge port replacement|repair|miscellaneous repair|iphone 8 charge port replacement</x:v>
      </x:c>
      <x:c r="F16" s="12" t="str">
        <x:v>SVC000306; SVC000307</x:v>
      </x:c>
      <x:c r="G16" s="12" t="str">
        <x:v>Exact normalized service identity fields match multiple records.</x:v>
      </x:c>
      <x:c r="H16" s="12" t="str">
        <x:v>; </x:v>
      </x:c>
      <x:c r="I16" s="12" t="str">
        <x:v>iPhone 8 Charge Port Replacement; iPhone 8+ Charge Port Replacement</x:v>
      </x:c>
      <x:c r="J16" s="12" t="str">
        <x:v>; </x:v>
      </x:c>
      <x:c r="K16" s="12" t="str">
        <x:v>; </x:v>
      </x:c>
      <x:c r="L16" s="6" t="str">
        <x:v>Not Started</x:v>
      </x:c>
      <x:c r="M16" s="6" t="str">
        <x:v>High</x:v>
      </x:c>
      <x:c r="N16" s="6" t="str"/>
      <x:c r="O16" s="6" t="str"/>
      <x:c r="P16" s="12" t="str"/>
      <x:c r="Q16" s="6" t="str">
        <x:v>No</x:v>
      </x:c>
      <x:c r="R16" s="12" t="str"/>
    </x:row>
  </x:sheetData>
  <x:dataValidations count="3">
    <x:dataValidation type="list" sqref="L2:L16">
      <x:formula1>"Not Started,In Review,Blocked,Reviewer Complete,Awaiting Second-Level Approval,Returned for Rework,Closed Without Approval"</x:formula1>
    </x:dataValidation>
    <x:dataValidation type="list" sqref="M2:M16">
      <x:formula1>"Critical,High,Normal,Low"</x:formula1>
    </x:dataValidation>
    <x:dataValidation type="list" sqref="Q2:Q16">
      <x:formula1>"Yes,No"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6bb7e329c30048d6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.5" hidden="0" customWidth="1"/>
    <x:col min="2" max="2" width="10.75" hidden="0" customWidth="1"/>
    <x:col min="3" max="3" width="27.8799991607666" hidden="0" customWidth="1"/>
    <x:col min="4" max="4" width="27.3799991607666" hidden="0" customWidth="1"/>
    <x:col min="5" max="5" width="25.6299991607666" hidden="0" customWidth="1"/>
    <x:col min="6" max="6" width="16" hidden="0" customWidth="1"/>
    <x:col min="7" max="7" width="16" hidden="0" customWidth="1"/>
    <x:col min="8" max="8" width="14.130000114440918" hidden="0" customWidth="1"/>
    <x:col min="9" max="9" width="27.3799991607666" hidden="0" customWidth="1"/>
    <x:col min="10" max="10" width="20.6299991607666" hidden="0" customWidth="1"/>
    <x:col min="11" max="11" width="81.62999725341797" hidden="0" customWidth="1"/>
    <x:col min="12" max="12" width="13.380000114440918" hidden="0" customWidth="1"/>
    <x:col min="13" max="13" width="14.75" hidden="0" customWidth="1"/>
    <x:col min="14" max="14" width="32.25" hidden="0" customWidth="1"/>
    <x:col min="15" max="15" width="17" hidden="0" customWidth="1"/>
    <x:col min="16" max="16" width="14.25" hidden="0" customWidth="1"/>
    <x:col min="17" max="17" width="23.6299991607666" hidden="0" customWidth="1"/>
    <x:col min="18" max="18" width="22.8799991607666" hidden="0" customWidth="1"/>
    <x:col min="19" max="19" width="20.75" hidden="0" customWidth="1"/>
    <x:col min="20" max="20" width="26" hidden="0" customWidth="1"/>
  </x:cols>
  <x:sheetData>
    <x:row r="1">
      <x:c r="A1" s="5" t="str">
        <x:v>Duplicate Group ID</x:v>
      </x:c>
      <x:c r="B1" s="5" t="str">
        <x:v>Service ID</x:v>
      </x:c>
      <x:c r="C1" s="5" t="str">
        <x:v>Current Canonical Service Name</x:v>
      </x:c>
      <x:c r="D1" s="5" t="str">
        <x:v>Observed Service Name</x:v>
      </x:c>
      <x:c r="E1" s="5" t="str">
        <x:v>Normalized Service Name</x:v>
      </x:c>
      <x:c r="F1" s="5" t="str">
        <x:v>Service Category</x:v>
      </x:c>
      <x:c r="G1" s="5" t="str">
        <x:v>Service Type</x:v>
      </x:c>
      <x:c r="H1" s="5" t="str">
        <x:v>Service Family</x:v>
      </x:c>
      <x:c r="I1" s="5" t="str">
        <x:v>Service Variant</x:v>
      </x:c>
      <x:c r="J1" s="5" t="str">
        <x:v>Manufacturer Evidence</x:v>
      </x:c>
      <x:c r="K1" s="5" t="str">
        <x:v>Device Evidence</x:v>
      </x:c>
      <x:c r="L1" s="5" t="str">
        <x:v>Part Evidence</x:v>
      </x:c>
      <x:c r="M1" s="5" t="str">
        <x:v>Labor Evidence</x:v>
      </x:c>
      <x:c r="N1" s="5" t="str">
        <x:v>Source Workbook</x:v>
      </x:c>
      <x:c r="O1" s="5" t="str">
        <x:v>Source Worksheet</x:v>
      </x:c>
      <x:c r="P1" s="5" t="str">
        <x:v>Source Record</x:v>
      </x:c>
      <x:c r="Q1" s="5" t="str">
        <x:v>Current Governance Status</x:v>
      </x:c>
      <x:c r="R1" s="5" t="str">
        <x:v>Current Production Status</x:v>
      </x:c>
      <x:c r="S1" s="5" t="str">
        <x:v>Current Pricing Status</x:v>
      </x:c>
      <x:c r="T1" s="5" t="str">
        <x:v>Notes</x:v>
      </x:c>
    </x:row>
    <x:row r="2">
      <x:c r="A2" s="6" t="str">
        <x:v>DUP000001</x:v>
      </x:c>
      <x:c r="B2" s="6" t="str">
        <x:v>SVC000008</x:v>
      </x:c>
      <x:c r="C2" s="6" t="str">
        <x:v>iPhone 6 Screen replacement</x:v>
      </x:c>
      <x:c r="D2" s="6" t="str">
        <x:v>iPhone 6 Screen replacement</x:v>
      </x:c>
      <x:c r="E2" s="6" t="str">
        <x:v>iphone 6 screen replacement</x:v>
      </x:c>
      <x:c r="F2" s="6" t="str">
        <x:v>Repair</x:v>
      </x:c>
      <x:c r="G2" s="6" t="str">
        <x:v>iPhone Screen Repair</x:v>
      </x:c>
      <x:c r="H2" s="6" t="str">
        <x:v>Phone</x:v>
      </x:c>
      <x:c r="I2" s="6" t="str">
        <x:v>iPhone 6 Screen replacement</x:v>
      </x:c>
      <x:c r="J2" s="12" t="str">
        <x:v>; ; </x:v>
      </x:c>
      <x:c r="K2" s="12" t="str">
        <x:v>iPhone 6 Screen replacement; iPhone 6+ Screen replacement; iPhone 6 Screen replacement</x:v>
      </x:c>
      <x:c r="L2" s="12" t="str">
        <x:v>; ; </x:v>
      </x:c>
      <x:c r="M2" s="12" t="str">
        <x:v>; ; </x:v>
      </x:c>
      <x:c r="N2" s="6" t="str">
        <x:v>Nocturnix_Master_Services_Catalog_v1.xlsx</x:v>
      </x:c>
      <x:c r="O2" s="6" t="str">
        <x:v>01 - Master Services</x:v>
      </x:c>
      <x:c r="P2" s="6" t="n">
        <x:v>48</x:v>
      </x:c>
      <x:c r="Q2" s="6" t="str">
        <x:v>Pending Verification</x:v>
      </x:c>
      <x:c r="R2" s="6" t="str">
        <x:v>Production Prohibited</x:v>
      </x:c>
      <x:c r="S2" s="6" t="str">
        <x:v>Pricing Activation Prohibited</x:v>
      </x:c>
      <x:c r="T2" s="12" t="str">
        <x:v>Source-controlled comparison row.</x:v>
      </x:c>
    </x:row>
    <x:row r="3">
      <x:c r="A3" s="6" t="str">
        <x:v>DUP000001</x:v>
      </x:c>
      <x:c r="B3" s="6" t="str">
        <x:v>SVC000086</x:v>
      </x:c>
      <x:c r="C3" s="6" t="str">
        <x:v>iPhone 6+ Screen replacement</x:v>
      </x:c>
      <x:c r="D3" s="6" t="str">
        <x:v>iPhone 6+ Screen replacement</x:v>
      </x:c>
      <x:c r="E3" s="6" t="str">
        <x:v>iphone 6 screen replacement</x:v>
      </x:c>
      <x:c r="F3" s="6" t="str">
        <x:v>Repair</x:v>
      </x:c>
      <x:c r="G3" s="6" t="str">
        <x:v>iPhone Screen Repair</x:v>
      </x:c>
      <x:c r="H3" s="6" t="str">
        <x:v>Phone</x:v>
      </x:c>
      <x:c r="I3" s="6" t="str">
        <x:v>iPhone 6+ Screen replacement</x:v>
      </x:c>
      <x:c r="J3" s="12" t="str">
        <x:v>; ; </x:v>
      </x:c>
      <x:c r="K3" s="12" t="str">
        <x:v>iPhone 6 Screen replacement; iPhone 6+ Screen replacement; iPhone 6 Screen replacement</x:v>
      </x:c>
      <x:c r="L3" s="12" t="str">
        <x:v>; ; </x:v>
      </x:c>
      <x:c r="M3" s="12" t="str">
        <x:v>; ; </x:v>
      </x:c>
      <x:c r="N3" s="6" t="str">
        <x:v>Nocturnix_Master_Services_Catalog_v1.xlsx</x:v>
      </x:c>
      <x:c r="O3" s="6" t="str">
        <x:v>01 - Master Services</x:v>
      </x:c>
      <x:c r="P3" s="6" t="n">
        <x:v>126</x:v>
      </x:c>
      <x:c r="Q3" s="6" t="str">
        <x:v>Pending Verification</x:v>
      </x:c>
      <x:c r="R3" s="6" t="str">
        <x:v>Production Prohibited</x:v>
      </x:c>
      <x:c r="S3" s="6" t="str">
        <x:v>Pricing Activation Prohibited</x:v>
      </x:c>
      <x:c r="T3" s="12" t="str">
        <x:v>Source-controlled comparison row.</x:v>
      </x:c>
    </x:row>
    <x:row r="4">
      <x:c r="A4" s="6" t="str">
        <x:v>DUP000001</x:v>
      </x:c>
      <x:c r="B4" s="6" t="str">
        <x:v>SVC000087</x:v>
      </x:c>
      <x:c r="C4" s="6" t="str">
        <x:v>iPhone 6 Screen replacement</x:v>
      </x:c>
      <x:c r="D4" s="6" t="str">
        <x:v>iPhone 6 Screen replacement</x:v>
      </x:c>
      <x:c r="E4" s="6" t="str">
        <x:v>iphone 6 screen replacement</x:v>
      </x:c>
      <x:c r="F4" s="6" t="str">
        <x:v>Repair</x:v>
      </x:c>
      <x:c r="G4" s="6" t="str">
        <x:v>iPhone Screen Repair</x:v>
      </x:c>
      <x:c r="H4" s="6" t="str">
        <x:v>Phone</x:v>
      </x:c>
      <x:c r="I4" s="6" t="str">
        <x:v>iPhone 6 Screen replacement</x:v>
      </x:c>
      <x:c r="J4" s="12" t="str">
        <x:v>; ; </x:v>
      </x:c>
      <x:c r="K4" s="12" t="str">
        <x:v>iPhone 6 Screen replacement; iPhone 6+ Screen replacement; iPhone 6 Screen replacement</x:v>
      </x:c>
      <x:c r="L4" s="12" t="str">
        <x:v>; ; </x:v>
      </x:c>
      <x:c r="M4" s="12" t="str">
        <x:v>; ; </x:v>
      </x:c>
      <x:c r="N4" s="6" t="str">
        <x:v>Nocturnix_Master_Services_Catalog_v1.xlsx</x:v>
      </x:c>
      <x:c r="O4" s="6" t="str">
        <x:v>01 - Master Services</x:v>
      </x:c>
      <x:c r="P4" s="6" t="n">
        <x:v>127</x:v>
      </x:c>
      <x:c r="Q4" s="6" t="str">
        <x:v>Pending Verification</x:v>
      </x:c>
      <x:c r="R4" s="6" t="str">
        <x:v>Production Prohibited</x:v>
      </x:c>
      <x:c r="S4" s="6" t="str">
        <x:v>Pricing Activation Prohibited</x:v>
      </x:c>
      <x:c r="T4" s="12" t="str">
        <x:v>Source-controlled comparison row.</x:v>
      </x:c>
    </x:row>
    <x:row r="5">
      <x:c r="A5" s="6" t="str">
        <x:v>DUP000002</x:v>
      </x:c>
      <x:c r="B5" s="6" t="str">
        <x:v>SVC000009</x:v>
      </x:c>
      <x:c r="C5" s="6" t="str">
        <x:v>iPhone 6S+ Screen replacement</x:v>
      </x:c>
      <x:c r="D5" s="6" t="str">
        <x:v>iPhone 6S+ Screen replacement</x:v>
      </x:c>
      <x:c r="E5" s="6" t="str">
        <x:v>iphone 6s screen replacement</x:v>
      </x:c>
      <x:c r="F5" s="6" t="str">
        <x:v>Repair</x:v>
      </x:c>
      <x:c r="G5" s="6" t="str">
        <x:v>iPhone Screen Repair</x:v>
      </x:c>
      <x:c r="H5" s="6" t="str">
        <x:v>Phone</x:v>
      </x:c>
      <x:c r="I5" s="6" t="str">
        <x:v>iPhone 6S+ Screen replacement</x:v>
      </x:c>
      <x:c r="J5" s="12" t="str">
        <x:v>; ; </x:v>
      </x:c>
      <x:c r="K5" s="12" t="str">
        <x:v>iPhone 6S+ Screen replacement; iPhone 6S+ Screen replacement; iPhone 6S Screen replacement</x:v>
      </x:c>
      <x:c r="L5" s="12" t="str">
        <x:v>; ; </x:v>
      </x:c>
      <x:c r="M5" s="12" t="str">
        <x:v>; ; </x:v>
      </x:c>
      <x:c r="N5" s="6" t="str">
        <x:v>Nocturnix_Master_Services_Catalog_v1.xlsx</x:v>
      </x:c>
      <x:c r="O5" s="6" t="str">
        <x:v>01 - Master Services</x:v>
      </x:c>
      <x:c r="P5" s="6" t="n">
        <x:v>49</x:v>
      </x:c>
      <x:c r="Q5" s="6" t="str">
        <x:v>Pending Verification</x:v>
      </x:c>
      <x:c r="R5" s="6" t="str">
        <x:v>Production Prohibited</x:v>
      </x:c>
      <x:c r="S5" s="6" t="str">
        <x:v>Pricing Activation Prohibited</x:v>
      </x:c>
      <x:c r="T5" s="12" t="str">
        <x:v>Source-controlled comparison row.</x:v>
      </x:c>
    </x:row>
    <x:row r="6">
      <x:c r="A6" s="6" t="str">
        <x:v>DUP000002</x:v>
      </x:c>
      <x:c r="B6" s="6" t="str">
        <x:v>SVC000088</x:v>
      </x:c>
      <x:c r="C6" s="6" t="str">
        <x:v>iPhone 6S+ Screen replacement</x:v>
      </x:c>
      <x:c r="D6" s="6" t="str">
        <x:v>iPhone 6S+ Screen replacement</x:v>
      </x:c>
      <x:c r="E6" s="6" t="str">
        <x:v>iphone 6s screen replacement</x:v>
      </x:c>
      <x:c r="F6" s="6" t="str">
        <x:v>Repair</x:v>
      </x:c>
      <x:c r="G6" s="6" t="str">
        <x:v>iPhone Screen Repair</x:v>
      </x:c>
      <x:c r="H6" s="6" t="str">
        <x:v>Phone</x:v>
      </x:c>
      <x:c r="I6" s="6" t="str">
        <x:v>iPhone 6S+ Screen replacement</x:v>
      </x:c>
      <x:c r="J6" s="12" t="str">
        <x:v>; ; </x:v>
      </x:c>
      <x:c r="K6" s="12" t="str">
        <x:v>iPhone 6S+ Screen replacement; iPhone 6S+ Screen replacement; iPhone 6S Screen replacement</x:v>
      </x:c>
      <x:c r="L6" s="12" t="str">
        <x:v>; ; </x:v>
      </x:c>
      <x:c r="M6" s="12" t="str">
        <x:v>; ; </x:v>
      </x:c>
      <x:c r="N6" s="6" t="str">
        <x:v>Nocturnix_Master_Services_Catalog_v1.xlsx</x:v>
      </x:c>
      <x:c r="O6" s="6" t="str">
        <x:v>01 - Master Services</x:v>
      </x:c>
      <x:c r="P6" s="6" t="n">
        <x:v>128</x:v>
      </x:c>
      <x:c r="Q6" s="6" t="str">
        <x:v>Pending Verification</x:v>
      </x:c>
      <x:c r="R6" s="6" t="str">
        <x:v>Production Prohibited</x:v>
      </x:c>
      <x:c r="S6" s="6" t="str">
        <x:v>Pricing Activation Prohibited</x:v>
      </x:c>
      <x:c r="T6" s="12" t="str">
        <x:v>Source-controlled comparison row.</x:v>
      </x:c>
    </x:row>
    <x:row r="7">
      <x:c r="A7" s="6" t="str">
        <x:v>DUP000002</x:v>
      </x:c>
      <x:c r="B7" s="6" t="str">
        <x:v>SVC000089</x:v>
      </x:c>
      <x:c r="C7" s="6" t="str">
        <x:v>iPhone 6S Screen replacement</x:v>
      </x:c>
      <x:c r="D7" s="6" t="str">
        <x:v>iPhone 6S Screen replacement</x:v>
      </x:c>
      <x:c r="E7" s="6" t="str">
        <x:v>iphone 6s screen replacement</x:v>
      </x:c>
      <x:c r="F7" s="6" t="str">
        <x:v>Repair</x:v>
      </x:c>
      <x:c r="G7" s="6" t="str">
        <x:v>iPhone Screen Repair</x:v>
      </x:c>
      <x:c r="H7" s="6" t="str">
        <x:v>Phone</x:v>
      </x:c>
      <x:c r="I7" s="6" t="str">
        <x:v>iPhone 6S Screen replacement</x:v>
      </x:c>
      <x:c r="J7" s="12" t="str">
        <x:v>; ; </x:v>
      </x:c>
      <x:c r="K7" s="12" t="str">
        <x:v>iPhone 6S+ Screen replacement; iPhone 6S+ Screen replacement; iPhone 6S Screen replacement</x:v>
      </x:c>
      <x:c r="L7" s="12" t="str">
        <x:v>; ; </x:v>
      </x:c>
      <x:c r="M7" s="12" t="str">
        <x:v>; ; </x:v>
      </x:c>
      <x:c r="N7" s="6" t="str">
        <x:v>Nocturnix_Master_Services_Catalog_v1.xlsx</x:v>
      </x:c>
      <x:c r="O7" s="6" t="str">
        <x:v>01 - Master Services</x:v>
      </x:c>
      <x:c r="P7" s="6" t="n">
        <x:v>129</x:v>
      </x:c>
      <x:c r="Q7" s="6" t="str">
        <x:v>Pending Verification</x:v>
      </x:c>
      <x:c r="R7" s="6" t="str">
        <x:v>Production Prohibited</x:v>
      </x:c>
      <x:c r="S7" s="6" t="str">
        <x:v>Pricing Activation Prohibited</x:v>
      </x:c>
      <x:c r="T7" s="12" t="str">
        <x:v>Source-controlled comparison row.</x:v>
      </x:c>
    </x:row>
    <x:row r="8">
      <x:c r="A8" s="6" t="str">
        <x:v>DUP000003</x:v>
      </x:c>
      <x:c r="B8" s="6" t="str">
        <x:v>SVC000090</x:v>
      </x:c>
      <x:c r="C8" s="6" t="str">
        <x:v>iPhone 7+ Screen replacement</x:v>
      </x:c>
      <x:c r="D8" s="6" t="str">
        <x:v>iPhone 7+ Screen replacement</x:v>
      </x:c>
      <x:c r="E8" s="6" t="str">
        <x:v>iphone 7 screen replacement</x:v>
      </x:c>
      <x:c r="F8" s="6" t="str">
        <x:v>Repair</x:v>
      </x:c>
      <x:c r="G8" s="6" t="str">
        <x:v>iPhone Screen Repair</x:v>
      </x:c>
      <x:c r="H8" s="6" t="str">
        <x:v>Phone</x:v>
      </x:c>
      <x:c r="I8" s="6" t="str">
        <x:v>iPhone 7+ Screen replacement</x:v>
      </x:c>
      <x:c r="J8" s="12" t="str">
        <x:v>; </x:v>
      </x:c>
      <x:c r="K8" s="12" t="str">
        <x:v>iPhone 7+ Screen replacement; iPhone 7 Screen replacement</x:v>
      </x:c>
      <x:c r="L8" s="12" t="str">
        <x:v>; </x:v>
      </x:c>
      <x:c r="M8" s="12" t="str">
        <x:v>; </x:v>
      </x:c>
      <x:c r="N8" s="6" t="str">
        <x:v>Nocturnix_Master_Services_Catalog_v1.xlsx</x:v>
      </x:c>
      <x:c r="O8" s="6" t="str">
        <x:v>01 - Master Services</x:v>
      </x:c>
      <x:c r="P8" s="6" t="n">
        <x:v>130</x:v>
      </x:c>
      <x:c r="Q8" s="6" t="str">
        <x:v>Pending Verification</x:v>
      </x:c>
      <x:c r="R8" s="6" t="str">
        <x:v>Production Prohibited</x:v>
      </x:c>
      <x:c r="S8" s="6" t="str">
        <x:v>Pricing Activation Prohibited</x:v>
      </x:c>
      <x:c r="T8" s="12" t="str">
        <x:v>Source-controlled comparison row.</x:v>
      </x:c>
    </x:row>
    <x:row r="9">
      <x:c r="A9" s="6" t="str">
        <x:v>DUP000003</x:v>
      </x:c>
      <x:c r="B9" s="6" t="str">
        <x:v>SVC000091</x:v>
      </x:c>
      <x:c r="C9" s="6" t="str">
        <x:v>iPhone 7 Screen replacement</x:v>
      </x:c>
      <x:c r="D9" s="6" t="str">
        <x:v>iPhone 7 Screen replacement</x:v>
      </x:c>
      <x:c r="E9" s="6" t="str">
        <x:v>iphone 7 screen replacement</x:v>
      </x:c>
      <x:c r="F9" s="6" t="str">
        <x:v>Repair</x:v>
      </x:c>
      <x:c r="G9" s="6" t="str">
        <x:v>iPhone Screen Repair</x:v>
      </x:c>
      <x:c r="H9" s="6" t="str">
        <x:v>Phone</x:v>
      </x:c>
      <x:c r="I9" s="6" t="str">
        <x:v>iPhone 7 Screen replacement</x:v>
      </x:c>
      <x:c r="J9" s="12" t="str">
        <x:v>; </x:v>
      </x:c>
      <x:c r="K9" s="12" t="str">
        <x:v>iPhone 7+ Screen replacement; iPhone 7 Screen replacement</x:v>
      </x:c>
      <x:c r="L9" s="12" t="str">
        <x:v>; </x:v>
      </x:c>
      <x:c r="M9" s="12" t="str">
        <x:v>; </x:v>
      </x:c>
      <x:c r="N9" s="6" t="str">
        <x:v>Nocturnix_Master_Services_Catalog_v1.xlsx</x:v>
      </x:c>
      <x:c r="O9" s="6" t="str">
        <x:v>01 - Master Services</x:v>
      </x:c>
      <x:c r="P9" s="6" t="n">
        <x:v>131</x:v>
      </x:c>
      <x:c r="Q9" s="6" t="str">
        <x:v>Pending Verification</x:v>
      </x:c>
      <x:c r="R9" s="6" t="str">
        <x:v>Production Prohibited</x:v>
      </x:c>
      <x:c r="S9" s="6" t="str">
        <x:v>Pricing Activation Prohibited</x:v>
      </x:c>
      <x:c r="T9" s="12" t="str">
        <x:v>Source-controlled comparison row.</x:v>
      </x:c>
    </x:row>
    <x:row r="10">
      <x:c r="A10" s="6" t="str">
        <x:v>DUP000004</x:v>
      </x:c>
      <x:c r="B10" s="6" t="str">
        <x:v>SVC000092</x:v>
      </x:c>
      <x:c r="C10" s="6" t="str">
        <x:v>iPhone 8+ Screen replacement</x:v>
      </x:c>
      <x:c r="D10" s="6" t="str">
        <x:v>iPhone 8+ Screen replacement</x:v>
      </x:c>
      <x:c r="E10" s="6" t="str">
        <x:v>iphone 8 screen replacement</x:v>
      </x:c>
      <x:c r="F10" s="6" t="str">
        <x:v>Repair</x:v>
      </x:c>
      <x:c r="G10" s="6" t="str">
        <x:v>iPhone Screen Repair</x:v>
      </x:c>
      <x:c r="H10" s="6" t="str">
        <x:v>Phone</x:v>
      </x:c>
      <x:c r="I10" s="6" t="str">
        <x:v>iPhone 8+ Screen replacement</x:v>
      </x:c>
      <x:c r="J10" s="12" t="str">
        <x:v>; </x:v>
      </x:c>
      <x:c r="K10" s="12" t="str">
        <x:v>iPhone 8+ Screen replacement; iPhone 8 Screen replacement</x:v>
      </x:c>
      <x:c r="L10" s="12" t="str">
        <x:v>; </x:v>
      </x:c>
      <x:c r="M10" s="12" t="str">
        <x:v>; </x:v>
      </x:c>
      <x:c r="N10" s="6" t="str">
        <x:v>Nocturnix_Master_Services_Catalog_v1.xlsx</x:v>
      </x:c>
      <x:c r="O10" s="6" t="str">
        <x:v>01 - Master Services</x:v>
      </x:c>
      <x:c r="P10" s="6" t="n">
        <x:v>132</x:v>
      </x:c>
      <x:c r="Q10" s="6" t="str">
        <x:v>Pending Verification</x:v>
      </x:c>
      <x:c r="R10" s="6" t="str">
        <x:v>Production Prohibited</x:v>
      </x:c>
      <x:c r="S10" s="6" t="str">
        <x:v>Pricing Activation Prohibited</x:v>
      </x:c>
      <x:c r="T10" s="12" t="str">
        <x:v>Source-controlled comparison row.</x:v>
      </x:c>
    </x:row>
    <x:row r="11">
      <x:c r="A11" s="6" t="str">
        <x:v>DUP000004</x:v>
      </x:c>
      <x:c r="B11" s="6" t="str">
        <x:v>SVC000093</x:v>
      </x:c>
      <x:c r="C11" s="6" t="str">
        <x:v>iPhone 8 Screen replacement</x:v>
      </x:c>
      <x:c r="D11" s="6" t="str">
        <x:v>iPhone 8 Screen replacement</x:v>
      </x:c>
      <x:c r="E11" s="6" t="str">
        <x:v>iphone 8 screen replacement</x:v>
      </x:c>
      <x:c r="F11" s="6" t="str">
        <x:v>Repair</x:v>
      </x:c>
      <x:c r="G11" s="6" t="str">
        <x:v>iPhone Screen Repair</x:v>
      </x:c>
      <x:c r="H11" s="6" t="str">
        <x:v>Phone</x:v>
      </x:c>
      <x:c r="I11" s="6" t="str">
        <x:v>iPhone 8 Screen replacement</x:v>
      </x:c>
      <x:c r="J11" s="12" t="str">
        <x:v>; </x:v>
      </x:c>
      <x:c r="K11" s="12" t="str">
        <x:v>iPhone 8+ Screen replacement; iPhone 8 Screen replacement</x:v>
      </x:c>
      <x:c r="L11" s="12" t="str">
        <x:v>; </x:v>
      </x:c>
      <x:c r="M11" s="12" t="str">
        <x:v>; </x:v>
      </x:c>
      <x:c r="N11" s="6" t="str">
        <x:v>Nocturnix_Master_Services_Catalog_v1.xlsx</x:v>
      </x:c>
      <x:c r="O11" s="6" t="str">
        <x:v>01 - Master Services</x:v>
      </x:c>
      <x:c r="P11" s="6" t="n">
        <x:v>133</x:v>
      </x:c>
      <x:c r="Q11" s="6" t="str">
        <x:v>Pending Verification</x:v>
      </x:c>
      <x:c r="R11" s="6" t="str">
        <x:v>Production Prohibited</x:v>
      </x:c>
      <x:c r="S11" s="6" t="str">
        <x:v>Pricing Activation Prohibited</x:v>
      </x:c>
      <x:c r="T11" s="12" t="str">
        <x:v>Source-controlled comparison row.</x:v>
      </x:c>
    </x:row>
    <x:row r="12">
      <x:c r="A12" s="6" t="str">
        <x:v>DUP000005</x:v>
      </x:c>
      <x:c r="B12" s="6" t="str">
        <x:v>SVC000101</x:v>
      </x:c>
      <x:c r="C12" s="6" t="str">
        <x:v>iPhone 4S Screen replacement</x:v>
      </x:c>
      <x:c r="D12" s="6" t="str">
        <x:v>iPhone 4S Screen replacement</x:v>
      </x:c>
      <x:c r="E12" s="6" t="str">
        <x:v>iphone 4s screen replacement</x:v>
      </x:c>
      <x:c r="F12" s="6" t="str">
        <x:v>Repair</x:v>
      </x:c>
      <x:c r="G12" s="6" t="str">
        <x:v>iPhone Screen Repair</x:v>
      </x:c>
      <x:c r="H12" s="6" t="str">
        <x:v>Phone</x:v>
      </x:c>
      <x:c r="I12" s="6" t="str">
        <x:v>iPhone 4S Screen replacement</x:v>
      </x:c>
      <x:c r="J12" s="12" t="str">
        <x:v>; ; </x:v>
      </x:c>
      <x:c r="K12" s="12" t="str">
        <x:v>iPhone 4S Screen replacement; iPhone 4S Screen replacement; iPhone 4S Screen replacement</x:v>
      </x:c>
      <x:c r="L12" s="12" t="str">
        <x:v>; ; </x:v>
      </x:c>
      <x:c r="M12" s="12" t="str">
        <x:v>; ; </x:v>
      </x:c>
      <x:c r="N12" s="6" t="str">
        <x:v>Nocturnix_Master_Services_Catalog_v1.xlsx</x:v>
      </x:c>
      <x:c r="O12" s="6" t="str">
        <x:v>01 - Master Services</x:v>
      </x:c>
      <x:c r="P12" s="6" t="n">
        <x:v>141</x:v>
      </x:c>
      <x:c r="Q12" s="6" t="str">
        <x:v>Pending Verification</x:v>
      </x:c>
      <x:c r="R12" s="6" t="str">
        <x:v>Production Prohibited</x:v>
      </x:c>
      <x:c r="S12" s="6" t="str">
        <x:v>Pricing Activation Prohibited</x:v>
      </x:c>
      <x:c r="T12" s="12" t="str">
        <x:v>Source-controlled comparison row.</x:v>
      </x:c>
    </x:row>
    <x:row r="13">
      <x:c r="A13" s="6" t="str">
        <x:v>DUP000005</x:v>
      </x:c>
      <x:c r="B13" s="6" t="str">
        <x:v>SVC000102</x:v>
      </x:c>
      <x:c r="C13" s="6" t="str">
        <x:v>iPhone 4S Screen replacement</x:v>
      </x:c>
      <x:c r="D13" s="6" t="str">
        <x:v>iPhone 4S Screen replacement</x:v>
      </x:c>
      <x:c r="E13" s="6" t="str">
        <x:v>iphone 4s screen replacement</x:v>
      </x:c>
      <x:c r="F13" s="6" t="str">
        <x:v>Repair</x:v>
      </x:c>
      <x:c r="G13" s="6" t="str">
        <x:v>iPhone Screen Repair</x:v>
      </x:c>
      <x:c r="H13" s="6" t="str">
        <x:v>Phone</x:v>
      </x:c>
      <x:c r="I13" s="6" t="str">
        <x:v>iPhone 4S Screen replacement</x:v>
      </x:c>
      <x:c r="J13" s="12" t="str">
        <x:v>; ; </x:v>
      </x:c>
      <x:c r="K13" s="12" t="str">
        <x:v>iPhone 4S Screen replacement; iPhone 4S Screen replacement; iPhone 4S Screen replacement</x:v>
      </x:c>
      <x:c r="L13" s="12" t="str">
        <x:v>; ; </x:v>
      </x:c>
      <x:c r="M13" s="12" t="str">
        <x:v>; ; </x:v>
      </x:c>
      <x:c r="N13" s="6" t="str">
        <x:v>Nocturnix_Master_Services_Catalog_v1.xlsx</x:v>
      </x:c>
      <x:c r="O13" s="6" t="str">
        <x:v>01 - Master Services</x:v>
      </x:c>
      <x:c r="P13" s="6" t="n">
        <x:v>142</x:v>
      </x:c>
      <x:c r="Q13" s="6" t="str">
        <x:v>Pending Verification</x:v>
      </x:c>
      <x:c r="R13" s="6" t="str">
        <x:v>Production Prohibited</x:v>
      </x:c>
      <x:c r="S13" s="6" t="str">
        <x:v>Pricing Activation Prohibited</x:v>
      </x:c>
      <x:c r="T13" s="12" t="str">
        <x:v>Source-controlled comparison row.</x:v>
      </x:c>
    </x:row>
    <x:row r="14">
      <x:c r="A14" s="6" t="str">
        <x:v>DUP000005</x:v>
      </x:c>
      <x:c r="B14" s="6" t="str">
        <x:v>SVC000103</x:v>
      </x:c>
      <x:c r="C14" s="6" t="str">
        <x:v>iPhone 4S Screen replacement</x:v>
      </x:c>
      <x:c r="D14" s="6" t="str">
        <x:v>iPhone 4S Screen replacement</x:v>
      </x:c>
      <x:c r="E14" s="6" t="str">
        <x:v>iphone 4s screen replacement</x:v>
      </x:c>
      <x:c r="F14" s="6" t="str">
        <x:v>Repair</x:v>
      </x:c>
      <x:c r="G14" s="6" t="str">
        <x:v>iPhone Screen Repair</x:v>
      </x:c>
      <x:c r="H14" s="6" t="str">
        <x:v>Phone</x:v>
      </x:c>
      <x:c r="I14" s="6" t="str">
        <x:v>iPhone 4S Screen replacement</x:v>
      </x:c>
      <x:c r="J14" s="12" t="str">
        <x:v>; ; </x:v>
      </x:c>
      <x:c r="K14" s="12" t="str">
        <x:v>iPhone 4S Screen replacement; iPhone 4S Screen replacement; iPhone 4S Screen replacement</x:v>
      </x:c>
      <x:c r="L14" s="12" t="str">
        <x:v>; ; </x:v>
      </x:c>
      <x:c r="M14" s="12" t="str">
        <x:v>; ; </x:v>
      </x:c>
      <x:c r="N14" s="6" t="str">
        <x:v>Nocturnix_Master_Services_Catalog_v1.xlsx</x:v>
      </x:c>
      <x:c r="O14" s="6" t="str">
        <x:v>01 - Master Services</x:v>
      </x:c>
      <x:c r="P14" s="6" t="n">
        <x:v>143</x:v>
      </x:c>
      <x:c r="Q14" s="6" t="str">
        <x:v>Pending Verification</x:v>
      </x:c>
      <x:c r="R14" s="6" t="str">
        <x:v>Production Prohibited</x:v>
      </x:c>
      <x:c r="S14" s="6" t="str">
        <x:v>Pricing Activation Prohibited</x:v>
      </x:c>
      <x:c r="T14" s="12" t="str">
        <x:v>Source-controlled comparison row.</x:v>
      </x:c>
    </x:row>
    <x:row r="15">
      <x:c r="A15" s="6" t="str">
        <x:v>DUP000006</x:v>
      </x:c>
      <x:c r="B15" s="6" t="str">
        <x:v>SVC000167</x:v>
      </x:c>
      <x:c r="C15" s="6" t="str">
        <x:v>iPhone 7+ Battery Replacement</x:v>
      </x:c>
      <x:c r="D15" s="6" t="str">
        <x:v>iPhone 7+ Battery Replacement</x:v>
      </x:c>
      <x:c r="E15" s="6" t="str">
        <x:v>iphone 7 battery replacement</x:v>
      </x:c>
      <x:c r="F15" s="6" t="str">
        <x:v>Repair</x:v>
      </x:c>
      <x:c r="G15" s="6" t="str">
        <x:v>Miscellaneous Repair</x:v>
      </x:c>
      <x:c r="H15" s="6" t="str">
        <x:v>Phone</x:v>
      </x:c>
      <x:c r="I15" s="6" t="str">
        <x:v>iPhone 7+ Battery Replacement</x:v>
      </x:c>
      <x:c r="J15" s="12" t="str">
        <x:v>; </x:v>
      </x:c>
      <x:c r="K15" s="12" t="str">
        <x:v>iPhone 7+ Battery Replacement; iPhone 7 Battery Replacement</x:v>
      </x:c>
      <x:c r="L15" s="12" t="str">
        <x:v>; </x:v>
      </x:c>
      <x:c r="M15" s="12" t="str">
        <x:v>; </x:v>
      </x:c>
      <x:c r="N15" s="6" t="str">
        <x:v>Nocturnix_Master_Services_Catalog_v1.xlsx</x:v>
      </x:c>
      <x:c r="O15" s="6" t="str">
        <x:v>01 - Master Services</x:v>
      </x:c>
      <x:c r="P15" s="6" t="n">
        <x:v>207</x:v>
      </x:c>
      <x:c r="Q15" s="6" t="str">
        <x:v>Pending Verification</x:v>
      </x:c>
      <x:c r="R15" s="6" t="str">
        <x:v>Production Prohibited</x:v>
      </x:c>
      <x:c r="S15" s="6" t="str">
        <x:v>Pricing Activation Prohibited</x:v>
      </x:c>
      <x:c r="T15" s="12" t="str">
        <x:v>Source-controlled comparison row.</x:v>
      </x:c>
    </x:row>
    <x:row r="16">
      <x:c r="A16" s="6" t="str">
        <x:v>DUP000006</x:v>
      </x:c>
      <x:c r="B16" s="6" t="str">
        <x:v>SVC000202</x:v>
      </x:c>
      <x:c r="C16" s="6" t="str">
        <x:v>iPhone 7 Battery Replacement</x:v>
      </x:c>
      <x:c r="D16" s="6" t="str">
        <x:v>iPhone 7 Battery Replacement</x:v>
      </x:c>
      <x:c r="E16" s="6" t="str">
        <x:v>iphone 7 battery replacement</x:v>
      </x:c>
      <x:c r="F16" s="6" t="str">
        <x:v>Repair</x:v>
      </x:c>
      <x:c r="G16" s="6" t="str">
        <x:v>Miscellaneous Repair</x:v>
      </x:c>
      <x:c r="H16" s="6" t="str">
        <x:v>Phone</x:v>
      </x:c>
      <x:c r="I16" s="6" t="str">
        <x:v>iPhone 7 Battery Replacement</x:v>
      </x:c>
      <x:c r="J16" s="12" t="str">
        <x:v>; </x:v>
      </x:c>
      <x:c r="K16" s="12" t="str">
        <x:v>iPhone 7+ Battery Replacement; iPhone 7 Battery Replacement</x:v>
      </x:c>
      <x:c r="L16" s="12" t="str">
        <x:v>; </x:v>
      </x:c>
      <x:c r="M16" s="12" t="str">
        <x:v>; </x:v>
      </x:c>
      <x:c r="N16" s="6" t="str">
        <x:v>Nocturnix_Master_Services_Catalog_v1.xlsx</x:v>
      </x:c>
      <x:c r="O16" s="6" t="str">
        <x:v>01 - Master Services</x:v>
      </x:c>
      <x:c r="P16" s="6" t="n">
        <x:v>242</x:v>
      </x:c>
      <x:c r="Q16" s="6" t="str">
        <x:v>Pending Verification</x:v>
      </x:c>
      <x:c r="R16" s="6" t="str">
        <x:v>Production Prohibited</x:v>
      </x:c>
      <x:c r="S16" s="6" t="str">
        <x:v>Pricing Activation Prohibited</x:v>
      </x:c>
      <x:c r="T16" s="12" t="str">
        <x:v>Source-controlled comparison row.</x:v>
      </x:c>
    </x:row>
    <x:row r="17">
      <x:c r="A17" s="6" t="str">
        <x:v>DUP000007</x:v>
      </x:c>
      <x:c r="B17" s="6" t="str">
        <x:v>SVC000170</x:v>
      </x:c>
      <x:c r="C17" s="6" t="str">
        <x:v>iPhone 4S Battery Replacement</x:v>
      </x:c>
      <x:c r="D17" s="6" t="str">
        <x:v>iPhone 4S Battery Replacement</x:v>
      </x:c>
      <x:c r="E17" s="6" t="str">
        <x:v>iphone 4s battery replacement</x:v>
      </x:c>
      <x:c r="F17" s="6" t="str">
        <x:v>Repair</x:v>
      </x:c>
      <x:c r="G17" s="6" t="str">
        <x:v>Miscellaneous Repair</x:v>
      </x:c>
      <x:c r="H17" s="6" t="str">
        <x:v>Phone</x:v>
      </x:c>
      <x:c r="I17" s="6" t="str">
        <x:v>iPhone 4S Battery Replacement</x:v>
      </x:c>
      <x:c r="J17" s="12" t="str">
        <x:v>; ; </x:v>
      </x:c>
      <x:c r="K17" s="12" t="str">
        <x:v>iPhone 4S Battery Replacement; iPhone 4S Battery Replacement; iPhone 4S Battery Replacement</x:v>
      </x:c>
      <x:c r="L17" s="12" t="str">
        <x:v>; ; </x:v>
      </x:c>
      <x:c r="M17" s="12" t="str">
        <x:v>; ; </x:v>
      </x:c>
      <x:c r="N17" s="6" t="str">
        <x:v>Nocturnix_Master_Services_Catalog_v1.xlsx</x:v>
      </x:c>
      <x:c r="O17" s="6" t="str">
        <x:v>01 - Master Services</x:v>
      </x:c>
      <x:c r="P17" s="6" t="n">
        <x:v>210</x:v>
      </x:c>
      <x:c r="Q17" s="6" t="str">
        <x:v>Pending Verification</x:v>
      </x:c>
      <x:c r="R17" s="6" t="str">
        <x:v>Production Prohibited</x:v>
      </x:c>
      <x:c r="S17" s="6" t="str">
        <x:v>Pricing Activation Prohibited</x:v>
      </x:c>
      <x:c r="T17" s="12" t="str">
        <x:v>Source-controlled comparison row.</x:v>
      </x:c>
    </x:row>
    <x:row r="18">
      <x:c r="A18" s="6" t="str">
        <x:v>DUP000007</x:v>
      </x:c>
      <x:c r="B18" s="6" t="str">
        <x:v>SVC000203</x:v>
      </x:c>
      <x:c r="C18" s="6" t="str">
        <x:v>iPhone 4S Battery Replacement</x:v>
      </x:c>
      <x:c r="D18" s="6" t="str">
        <x:v>iPhone 4S Battery Replacement</x:v>
      </x:c>
      <x:c r="E18" s="6" t="str">
        <x:v>iphone 4s battery replacement</x:v>
      </x:c>
      <x:c r="F18" s="6" t="str">
        <x:v>Repair</x:v>
      </x:c>
      <x:c r="G18" s="6" t="str">
        <x:v>Miscellaneous Repair</x:v>
      </x:c>
      <x:c r="H18" s="6" t="str">
        <x:v>Phone</x:v>
      </x:c>
      <x:c r="I18" s="6" t="str">
        <x:v>iPhone 4S Battery Replacement</x:v>
      </x:c>
      <x:c r="J18" s="12" t="str">
        <x:v>; ; </x:v>
      </x:c>
      <x:c r="K18" s="12" t="str">
        <x:v>iPhone 4S Battery Replacement; iPhone 4S Battery Replacement; iPhone 4S Battery Replacement</x:v>
      </x:c>
      <x:c r="L18" s="12" t="str">
        <x:v>; ; </x:v>
      </x:c>
      <x:c r="M18" s="12" t="str">
        <x:v>; ; </x:v>
      </x:c>
      <x:c r="N18" s="6" t="str">
        <x:v>Nocturnix_Master_Services_Catalog_v1.xlsx</x:v>
      </x:c>
      <x:c r="O18" s="6" t="str">
        <x:v>01 - Master Services</x:v>
      </x:c>
      <x:c r="P18" s="6" t="n">
        <x:v>243</x:v>
      </x:c>
      <x:c r="Q18" s="6" t="str">
        <x:v>Pending Verification</x:v>
      </x:c>
      <x:c r="R18" s="6" t="str">
        <x:v>Production Prohibited</x:v>
      </x:c>
      <x:c r="S18" s="6" t="str">
        <x:v>Pricing Activation Prohibited</x:v>
      </x:c>
      <x:c r="T18" s="12" t="str">
        <x:v>Source-controlled comparison row.</x:v>
      </x:c>
    </x:row>
    <x:row r="19">
      <x:c r="A19" s="6" t="str">
        <x:v>DUP000007</x:v>
      </x:c>
      <x:c r="B19" s="6" t="str">
        <x:v>SVC000204</x:v>
      </x:c>
      <x:c r="C19" s="6" t="str">
        <x:v>iPhone 4S Battery Replacement</x:v>
      </x:c>
      <x:c r="D19" s="6" t="str">
        <x:v>iPhone 4S Battery Replacement</x:v>
      </x:c>
      <x:c r="E19" s="6" t="str">
        <x:v>iphone 4s battery replacement</x:v>
      </x:c>
      <x:c r="F19" s="6" t="str">
        <x:v>Repair</x:v>
      </x:c>
      <x:c r="G19" s="6" t="str">
        <x:v>Miscellaneous Repair</x:v>
      </x:c>
      <x:c r="H19" s="6" t="str">
        <x:v>Phone</x:v>
      </x:c>
      <x:c r="I19" s="6" t="str">
        <x:v>iPhone 4S Battery Replacement</x:v>
      </x:c>
      <x:c r="J19" s="12" t="str">
        <x:v>; ; </x:v>
      </x:c>
      <x:c r="K19" s="12" t="str">
        <x:v>iPhone 4S Battery Replacement; iPhone 4S Battery Replacement; iPhone 4S Battery Replacement</x:v>
      </x:c>
      <x:c r="L19" s="12" t="str">
        <x:v>; ; </x:v>
      </x:c>
      <x:c r="M19" s="12" t="str">
        <x:v>; ; </x:v>
      </x:c>
      <x:c r="N19" s="6" t="str">
        <x:v>Nocturnix_Master_Services_Catalog_v1.xlsx</x:v>
      </x:c>
      <x:c r="O19" s="6" t="str">
        <x:v>01 - Master Services</x:v>
      </x:c>
      <x:c r="P19" s="6" t="n">
        <x:v>244</x:v>
      </x:c>
      <x:c r="Q19" s="6" t="str">
        <x:v>Pending Verification</x:v>
      </x:c>
      <x:c r="R19" s="6" t="str">
        <x:v>Production Prohibited</x:v>
      </x:c>
      <x:c r="S19" s="6" t="str">
        <x:v>Pricing Activation Prohibited</x:v>
      </x:c>
      <x:c r="T19" s="12" t="str">
        <x:v>Source-controlled comparison row.</x:v>
      </x:c>
    </x:row>
    <x:row r="20">
      <x:c r="A20" s="6" t="str">
        <x:v>DUP000008</x:v>
      </x:c>
      <x:c r="B20" s="6" t="str">
        <x:v>SVC000173</x:v>
      </x:c>
      <x:c r="C20" s="6" t="str">
        <x:v>iPhone 8+ Battery Replacement</x:v>
      </x:c>
      <x:c r="D20" s="6" t="str">
        <x:v>iPhone 8+ Battery Replacement</x:v>
      </x:c>
      <x:c r="E20" s="6" t="str">
        <x:v>iphone 8 battery replacement</x:v>
      </x:c>
      <x:c r="F20" s="6" t="str">
        <x:v>Repair</x:v>
      </x:c>
      <x:c r="G20" s="6" t="str">
        <x:v>Miscellaneous Repair</x:v>
      </x:c>
      <x:c r="H20" s="6" t="str">
        <x:v>Phone</x:v>
      </x:c>
      <x:c r="I20" s="6" t="str">
        <x:v>iPhone 8+ Battery Replacement</x:v>
      </x:c>
      <x:c r="J20" s="12" t="str">
        <x:v>; </x:v>
      </x:c>
      <x:c r="K20" s="12" t="str">
        <x:v>iPhone 8+ Battery Replacement; iPhone 8 Battery Replacement</x:v>
      </x:c>
      <x:c r="L20" s="12" t="str">
        <x:v>; </x:v>
      </x:c>
      <x:c r="M20" s="12" t="str">
        <x:v>; </x:v>
      </x:c>
      <x:c r="N20" s="6" t="str">
        <x:v>Nocturnix_Master_Services_Catalog_v1.xlsx</x:v>
      </x:c>
      <x:c r="O20" s="6" t="str">
        <x:v>01 - Master Services</x:v>
      </x:c>
      <x:c r="P20" s="6" t="n">
        <x:v>213</x:v>
      </x:c>
      <x:c r="Q20" s="6" t="str">
        <x:v>Pending Verification</x:v>
      </x:c>
      <x:c r="R20" s="6" t="str">
        <x:v>Production Prohibited</x:v>
      </x:c>
      <x:c r="S20" s="6" t="str">
        <x:v>Pricing Activation Prohibited</x:v>
      </x:c>
      <x:c r="T20" s="12" t="str">
        <x:v>Source-controlled comparison row.</x:v>
      </x:c>
    </x:row>
    <x:row r="21">
      <x:c r="A21" s="6" t="str">
        <x:v>DUP000008</x:v>
      </x:c>
      <x:c r="B21" s="6" t="str">
        <x:v>SVC000175</x:v>
      </x:c>
      <x:c r="C21" s="6" t="str">
        <x:v>iPhone 8 Battery Replacement</x:v>
      </x:c>
      <x:c r="D21" s="6" t="str">
        <x:v>iPhone 8 Battery Replacement</x:v>
      </x:c>
      <x:c r="E21" s="6" t="str">
        <x:v>iphone 8 battery replacement</x:v>
      </x:c>
      <x:c r="F21" s="6" t="str">
        <x:v>Repair</x:v>
      </x:c>
      <x:c r="G21" s="6" t="str">
        <x:v>Miscellaneous Repair</x:v>
      </x:c>
      <x:c r="H21" s="6" t="str">
        <x:v>Phone</x:v>
      </x:c>
      <x:c r="I21" s="6" t="str">
        <x:v>iPhone 8 Battery Replacement</x:v>
      </x:c>
      <x:c r="J21" s="12" t="str">
        <x:v>; </x:v>
      </x:c>
      <x:c r="K21" s="12" t="str">
        <x:v>iPhone 8+ Battery Replacement; iPhone 8 Battery Replacement</x:v>
      </x:c>
      <x:c r="L21" s="12" t="str">
        <x:v>; </x:v>
      </x:c>
      <x:c r="M21" s="12" t="str">
        <x:v>; </x:v>
      </x:c>
      <x:c r="N21" s="6" t="str">
        <x:v>Nocturnix_Master_Services_Catalog_v1.xlsx</x:v>
      </x:c>
      <x:c r="O21" s="6" t="str">
        <x:v>01 - Master Services</x:v>
      </x:c>
      <x:c r="P21" s="6" t="n">
        <x:v>215</x:v>
      </x:c>
      <x:c r="Q21" s="6" t="str">
        <x:v>Pending Verification</x:v>
      </x:c>
      <x:c r="R21" s="6" t="str">
        <x:v>Production Prohibited</x:v>
      </x:c>
      <x:c r="S21" s="6" t="str">
        <x:v>Pricing Activation Prohibited</x:v>
      </x:c>
      <x:c r="T21" s="12" t="str">
        <x:v>Source-controlled comparison row.</x:v>
      </x:c>
    </x:row>
    <x:row r="22">
      <x:c r="A22" s="6" t="str">
        <x:v>DUP000009</x:v>
      </x:c>
      <x:c r="B22" s="6" t="str">
        <x:v>SVC000174</x:v>
      </x:c>
      <x:c r="C22" s="6" t="str">
        <x:v>iPhone 6S Battery Replacement</x:v>
      </x:c>
      <x:c r="D22" s="6" t="str">
        <x:v>iPhone 6S Battery Replacement</x:v>
      </x:c>
      <x:c r="E22" s="6" t="str">
        <x:v>iphone 6s battery replacement</x:v>
      </x:c>
      <x:c r="F22" s="6" t="str">
        <x:v>Repair</x:v>
      </x:c>
      <x:c r="G22" s="6" t="str">
        <x:v>Miscellaneous Repair</x:v>
      </x:c>
      <x:c r="H22" s="6" t="str">
        <x:v>Phone</x:v>
      </x:c>
      <x:c r="I22" s="6" t="str">
        <x:v>iPhone 6S Battery Replacement</x:v>
      </x:c>
      <x:c r="J22" s="12" t="str">
        <x:v>; ; </x:v>
      </x:c>
      <x:c r="K22" s="12" t="str">
        <x:v>iPhone 6S Battery Replacement; iPhone 6S+ Battery Replacement; iPhone 6S+ Battery Replacement</x:v>
      </x:c>
      <x:c r="L22" s="12" t="str">
        <x:v>; ; </x:v>
      </x:c>
      <x:c r="M22" s="12" t="str">
        <x:v>; ; </x:v>
      </x:c>
      <x:c r="N22" s="6" t="str">
        <x:v>Nocturnix_Master_Services_Catalog_v1.xlsx</x:v>
      </x:c>
      <x:c r="O22" s="6" t="str">
        <x:v>01 - Master Services</x:v>
      </x:c>
      <x:c r="P22" s="6" t="n">
        <x:v>214</x:v>
      </x:c>
      <x:c r="Q22" s="6" t="str">
        <x:v>Pending Verification</x:v>
      </x:c>
      <x:c r="R22" s="6" t="str">
        <x:v>Production Prohibited</x:v>
      </x:c>
      <x:c r="S22" s="6" t="str">
        <x:v>Pricing Activation Prohibited</x:v>
      </x:c>
      <x:c r="T22" s="12" t="str">
        <x:v>Source-controlled comparison row.</x:v>
      </x:c>
    </x:row>
    <x:row r="23">
      <x:c r="A23" s="6" t="str">
        <x:v>DUP000009</x:v>
      </x:c>
      <x:c r="B23" s="6" t="str">
        <x:v>SVC000176</x:v>
      </x:c>
      <x:c r="C23" s="6" t="str">
        <x:v>iPhone 6S+ Battery Replacement</x:v>
      </x:c>
      <x:c r="D23" s="6" t="str">
        <x:v>iPhone 6S+ Battery Replacement</x:v>
      </x:c>
      <x:c r="E23" s="6" t="str">
        <x:v>iphone 6s battery replacement</x:v>
      </x:c>
      <x:c r="F23" s="6" t="str">
        <x:v>Repair</x:v>
      </x:c>
      <x:c r="G23" s="6" t="str">
        <x:v>Miscellaneous Repair</x:v>
      </x:c>
      <x:c r="H23" s="6" t="str">
        <x:v>Phone</x:v>
      </x:c>
      <x:c r="I23" s="6" t="str">
        <x:v>iPhone 6S+ Battery Replacement</x:v>
      </x:c>
      <x:c r="J23" s="12" t="str">
        <x:v>; ; </x:v>
      </x:c>
      <x:c r="K23" s="12" t="str">
        <x:v>iPhone 6S Battery Replacement; iPhone 6S+ Battery Replacement; iPhone 6S+ Battery Replacement</x:v>
      </x:c>
      <x:c r="L23" s="12" t="str">
        <x:v>; ; </x:v>
      </x:c>
      <x:c r="M23" s="12" t="str">
        <x:v>; ; </x:v>
      </x:c>
      <x:c r="N23" s="6" t="str">
        <x:v>Nocturnix_Master_Services_Catalog_v1.xlsx</x:v>
      </x:c>
      <x:c r="O23" s="6" t="str">
        <x:v>01 - Master Services</x:v>
      </x:c>
      <x:c r="P23" s="6" t="n">
        <x:v>216</x:v>
      </x:c>
      <x:c r="Q23" s="6" t="str">
        <x:v>Pending Verification</x:v>
      </x:c>
      <x:c r="R23" s="6" t="str">
        <x:v>Production Prohibited</x:v>
      </x:c>
      <x:c r="S23" s="6" t="str">
        <x:v>Pricing Activation Prohibited</x:v>
      </x:c>
      <x:c r="T23" s="12" t="str">
        <x:v>Source-controlled comparison row.</x:v>
      </x:c>
    </x:row>
    <x:row r="24">
      <x:c r="A24" s="6" t="str">
        <x:v>DUP000009</x:v>
      </x:c>
      <x:c r="B24" s="6" t="str">
        <x:v>SVC000177</x:v>
      </x:c>
      <x:c r="C24" s="6" t="str">
        <x:v>iPhone 6S+ Battery Replacement</x:v>
      </x:c>
      <x:c r="D24" s="6" t="str">
        <x:v>iPhone 6S+ Battery Replacement</x:v>
      </x:c>
      <x:c r="E24" s="6" t="str">
        <x:v>iphone 6s battery replacement</x:v>
      </x:c>
      <x:c r="F24" s="6" t="str">
        <x:v>Repair</x:v>
      </x:c>
      <x:c r="G24" s="6" t="str">
        <x:v>Miscellaneous Repair</x:v>
      </x:c>
      <x:c r="H24" s="6" t="str">
        <x:v>Phone</x:v>
      </x:c>
      <x:c r="I24" s="6" t="str">
        <x:v>iPhone 6S+ Battery Replacement</x:v>
      </x:c>
      <x:c r="J24" s="12" t="str">
        <x:v>; ; </x:v>
      </x:c>
      <x:c r="K24" s="12" t="str">
        <x:v>iPhone 6S Battery Replacement; iPhone 6S+ Battery Replacement; iPhone 6S+ Battery Replacement</x:v>
      </x:c>
      <x:c r="L24" s="12" t="str">
        <x:v>; ; </x:v>
      </x:c>
      <x:c r="M24" s="12" t="str">
        <x:v>; ; </x:v>
      </x:c>
      <x:c r="N24" s="6" t="str">
        <x:v>Nocturnix_Master_Services_Catalog_v1.xlsx</x:v>
      </x:c>
      <x:c r="O24" s="6" t="str">
        <x:v>01 - Master Services</x:v>
      </x:c>
      <x:c r="P24" s="6" t="n">
        <x:v>217</x:v>
      </x:c>
      <x:c r="Q24" s="6" t="str">
        <x:v>Pending Verification</x:v>
      </x:c>
      <x:c r="R24" s="6" t="str">
        <x:v>Production Prohibited</x:v>
      </x:c>
      <x:c r="S24" s="6" t="str">
        <x:v>Pricing Activation Prohibited</x:v>
      </x:c>
      <x:c r="T24" s="12" t="str">
        <x:v>Source-controlled comparison row.</x:v>
      </x:c>
    </x:row>
    <x:row r="25">
      <x:c r="A25" s="6" t="str">
        <x:v>DUP000010</x:v>
      </x:c>
      <x:c r="B25" s="6" t="str">
        <x:v>SVC000180</x:v>
      </x:c>
      <x:c r="C25" s="6" t="str">
        <x:v>iPhone 6+ Battery Replacement</x:v>
      </x:c>
      <x:c r="D25" s="6" t="str">
        <x:v>iPhone 6+ Battery Replacement</x:v>
      </x:c>
      <x:c r="E25" s="6" t="str">
        <x:v>iphone 6 battery replacement</x:v>
      </x:c>
      <x:c r="F25" s="6" t="str">
        <x:v>Repair</x:v>
      </x:c>
      <x:c r="G25" s="6" t="str">
        <x:v>Miscellaneous Repair</x:v>
      </x:c>
      <x:c r="H25" s="6" t="str">
        <x:v>Phone</x:v>
      </x:c>
      <x:c r="I25" s="6" t="str">
        <x:v>iPhone 6+ Battery Replacement</x:v>
      </x:c>
      <x:c r="J25" s="12" t="str">
        <x:v>; ; </x:v>
      </x:c>
      <x:c r="K25" s="12" t="str">
        <x:v>iPhone 6+ Battery Replacement; iPhone 6 Battery Replacement; iPhone 6 Battery Replacement</x:v>
      </x:c>
      <x:c r="L25" s="12" t="str">
        <x:v>; ; </x:v>
      </x:c>
      <x:c r="M25" s="12" t="str">
        <x:v>; ; </x:v>
      </x:c>
      <x:c r="N25" s="6" t="str">
        <x:v>Nocturnix_Master_Services_Catalog_v1.xlsx</x:v>
      </x:c>
      <x:c r="O25" s="6" t="str">
        <x:v>01 - Master Services</x:v>
      </x:c>
      <x:c r="P25" s="6" t="n">
        <x:v>220</x:v>
      </x:c>
      <x:c r="Q25" s="6" t="str">
        <x:v>Pending Verification</x:v>
      </x:c>
      <x:c r="R25" s="6" t="str">
        <x:v>Production Prohibited</x:v>
      </x:c>
      <x:c r="S25" s="6" t="str">
        <x:v>Pricing Activation Prohibited</x:v>
      </x:c>
      <x:c r="T25" s="12" t="str">
        <x:v>Source-controlled comparison row.</x:v>
      </x:c>
    </x:row>
    <x:row r="26">
      <x:c r="A26" s="6" t="str">
        <x:v>DUP000010</x:v>
      </x:c>
      <x:c r="B26" s="6" t="str">
        <x:v>SVC000206</x:v>
      </x:c>
      <x:c r="C26" s="6" t="str">
        <x:v>iPhone 6 Battery Replacement</x:v>
      </x:c>
      <x:c r="D26" s="6" t="str">
        <x:v>iPhone 6 Battery Replacement</x:v>
      </x:c>
      <x:c r="E26" s="6" t="str">
        <x:v>iphone 6 battery replacement</x:v>
      </x:c>
      <x:c r="F26" s="6" t="str">
        <x:v>Repair</x:v>
      </x:c>
      <x:c r="G26" s="6" t="str">
        <x:v>Miscellaneous Repair</x:v>
      </x:c>
      <x:c r="H26" s="6" t="str">
        <x:v>Phone</x:v>
      </x:c>
      <x:c r="I26" s="6" t="str">
        <x:v>iPhone 6 Battery Replacement</x:v>
      </x:c>
      <x:c r="J26" s="12" t="str">
        <x:v>; ; </x:v>
      </x:c>
      <x:c r="K26" s="12" t="str">
        <x:v>iPhone 6+ Battery Replacement; iPhone 6 Battery Replacement; iPhone 6 Battery Replacement</x:v>
      </x:c>
      <x:c r="L26" s="12" t="str">
        <x:v>; ; </x:v>
      </x:c>
      <x:c r="M26" s="12" t="str">
        <x:v>; ; </x:v>
      </x:c>
      <x:c r="N26" s="6" t="str">
        <x:v>Nocturnix_Master_Services_Catalog_v1.xlsx</x:v>
      </x:c>
      <x:c r="O26" s="6" t="str">
        <x:v>01 - Master Services</x:v>
      </x:c>
      <x:c r="P26" s="6" t="n">
        <x:v>246</x:v>
      </x:c>
      <x:c r="Q26" s="6" t="str">
        <x:v>Pending Verification</x:v>
      </x:c>
      <x:c r="R26" s="6" t="str">
        <x:v>Production Prohibited</x:v>
      </x:c>
      <x:c r="S26" s="6" t="str">
        <x:v>Pricing Activation Prohibited</x:v>
      </x:c>
      <x:c r="T26" s="12" t="str">
        <x:v>Source-controlled comparison row.</x:v>
      </x:c>
    </x:row>
    <x:row r="27">
      <x:c r="A27" s="6" t="str">
        <x:v>DUP000010</x:v>
      </x:c>
      <x:c r="B27" s="6" t="str">
        <x:v>SVC000207</x:v>
      </x:c>
      <x:c r="C27" s="6" t="str">
        <x:v>iPhone 6 Battery Replacement</x:v>
      </x:c>
      <x:c r="D27" s="6" t="str">
        <x:v>iPhone 6 Battery Replacement</x:v>
      </x:c>
      <x:c r="E27" s="6" t="str">
        <x:v>iphone 6 battery replacement</x:v>
      </x:c>
      <x:c r="F27" s="6" t="str">
        <x:v>Repair</x:v>
      </x:c>
      <x:c r="G27" s="6" t="str">
        <x:v>Miscellaneous Repair</x:v>
      </x:c>
      <x:c r="H27" s="6" t="str">
        <x:v>Phone</x:v>
      </x:c>
      <x:c r="I27" s="6" t="str">
        <x:v>iPhone 6 Battery Replacement</x:v>
      </x:c>
      <x:c r="J27" s="12" t="str">
        <x:v>; ; </x:v>
      </x:c>
      <x:c r="K27" s="12" t="str">
        <x:v>iPhone 6+ Battery Replacement; iPhone 6 Battery Replacement; iPhone 6 Battery Replacement</x:v>
      </x:c>
      <x:c r="L27" s="12" t="str">
        <x:v>; ; </x:v>
      </x:c>
      <x:c r="M27" s="12" t="str">
        <x:v>; ; </x:v>
      </x:c>
      <x:c r="N27" s="6" t="str">
        <x:v>Nocturnix_Master_Services_Catalog_v1.xlsx</x:v>
      </x:c>
      <x:c r="O27" s="6" t="str">
        <x:v>01 - Master Services</x:v>
      </x:c>
      <x:c r="P27" s="6" t="n">
        <x:v>247</x:v>
      </x:c>
      <x:c r="Q27" s="6" t="str">
        <x:v>Pending Verification</x:v>
      </x:c>
      <x:c r="R27" s="6" t="str">
        <x:v>Production Prohibited</x:v>
      </x:c>
      <x:c r="S27" s="6" t="str">
        <x:v>Pricing Activation Prohibited</x:v>
      </x:c>
      <x:c r="T27" s="12" t="str">
        <x:v>Source-controlled comparison row.</x:v>
      </x:c>
    </x:row>
    <x:row r="28">
      <x:c r="A28" s="6" t="str">
        <x:v>DUP000011</x:v>
      </x:c>
      <x:c r="B28" s="6" t="str">
        <x:v>SVC000217</x:v>
      </x:c>
      <x:c r="C28" s="6" t="str">
        <x:v>iPhone 4S Charge Port Replacement</x:v>
      </x:c>
      <x:c r="D28" s="6" t="str">
        <x:v>iPhone 4S Charge Port Replacement</x:v>
      </x:c>
      <x:c r="E28" s="6" t="str">
        <x:v>iphone 4s charge port replacement</x:v>
      </x:c>
      <x:c r="F28" s="6" t="str">
        <x:v>Repair</x:v>
      </x:c>
      <x:c r="G28" s="6" t="str">
        <x:v>Miscellaneous Repair</x:v>
      </x:c>
      <x:c r="H28" s="6" t="str">
        <x:v>Phone</x:v>
      </x:c>
      <x:c r="I28" s="6" t="str">
        <x:v>iPhone 4S Charge Port Replacement</x:v>
      </x:c>
      <x:c r="J28" s="12" t="str">
        <x:v>; ; </x:v>
      </x:c>
      <x:c r="K28" s="12" t="str">
        <x:v>iPhone 4S Charge Port Replacement; iPhone 4S Charge Port Replacement; iPhone 4S Charge Port Replacement</x:v>
      </x:c>
      <x:c r="L28" s="12" t="str">
        <x:v>; ; </x:v>
      </x:c>
      <x:c r="M28" s="12" t="str">
        <x:v>; ; </x:v>
      </x:c>
      <x:c r="N28" s="6" t="str">
        <x:v>Nocturnix_Master_Services_Catalog_v1.xlsx</x:v>
      </x:c>
      <x:c r="O28" s="6" t="str">
        <x:v>01 - Master Services</x:v>
      </x:c>
      <x:c r="P28" s="6" t="n">
        <x:v>257</x:v>
      </x:c>
      <x:c r="Q28" s="6" t="str">
        <x:v>Pending Verification</x:v>
      </x:c>
      <x:c r="R28" s="6" t="str">
        <x:v>Production Prohibited</x:v>
      </x:c>
      <x:c r="S28" s="6" t="str">
        <x:v>Pricing Activation Prohibited</x:v>
      </x:c>
      <x:c r="T28" s="12" t="str">
        <x:v>Source-controlled comparison row.</x:v>
      </x:c>
    </x:row>
    <x:row r="29">
      <x:c r="A29" s="6" t="str">
        <x:v>DUP000011</x:v>
      </x:c>
      <x:c r="B29" s="6" t="str">
        <x:v>SVC000218</x:v>
      </x:c>
      <x:c r="C29" s="6" t="str">
        <x:v>iPhone 4S Charge Port Replacement</x:v>
      </x:c>
      <x:c r="D29" s="6" t="str">
        <x:v>iPhone 4S Charge Port Replacement</x:v>
      </x:c>
      <x:c r="E29" s="6" t="str">
        <x:v>iphone 4s charge port replacement</x:v>
      </x:c>
      <x:c r="F29" s="6" t="str">
        <x:v>Repair</x:v>
      </x:c>
      <x:c r="G29" s="6" t="str">
        <x:v>Miscellaneous Repair</x:v>
      </x:c>
      <x:c r="H29" s="6" t="str">
        <x:v>Phone</x:v>
      </x:c>
      <x:c r="I29" s="6" t="str">
        <x:v>iPhone 4S Charge Port Replacement</x:v>
      </x:c>
      <x:c r="J29" s="12" t="str">
        <x:v>; ; </x:v>
      </x:c>
      <x:c r="K29" s="12" t="str">
        <x:v>iPhone 4S Charge Port Replacement; iPhone 4S Charge Port Replacement; iPhone 4S Charge Port Replacement</x:v>
      </x:c>
      <x:c r="L29" s="12" t="str">
        <x:v>; ; </x:v>
      </x:c>
      <x:c r="M29" s="12" t="str">
        <x:v>; ; </x:v>
      </x:c>
      <x:c r="N29" s="6" t="str">
        <x:v>Nocturnix_Master_Services_Catalog_v1.xlsx</x:v>
      </x:c>
      <x:c r="O29" s="6" t="str">
        <x:v>01 - Master Services</x:v>
      </x:c>
      <x:c r="P29" s="6" t="n">
        <x:v>258</x:v>
      </x:c>
      <x:c r="Q29" s="6" t="str">
        <x:v>Pending Verification</x:v>
      </x:c>
      <x:c r="R29" s="6" t="str">
        <x:v>Production Prohibited</x:v>
      </x:c>
      <x:c r="S29" s="6" t="str">
        <x:v>Pricing Activation Prohibited</x:v>
      </x:c>
      <x:c r="T29" s="12" t="str">
        <x:v>Source-controlled comparison row.</x:v>
      </x:c>
    </x:row>
    <x:row r="30">
      <x:c r="A30" s="6" t="str">
        <x:v>DUP000011</x:v>
      </x:c>
      <x:c r="B30" s="6" t="str">
        <x:v>SVC000219</x:v>
      </x:c>
      <x:c r="C30" s="6" t="str">
        <x:v>iPhone 4S Charge Port Replacement</x:v>
      </x:c>
      <x:c r="D30" s="6" t="str">
        <x:v>iPhone 4S Charge Port Replacement</x:v>
      </x:c>
      <x:c r="E30" s="6" t="str">
        <x:v>iphone 4s charge port replacement</x:v>
      </x:c>
      <x:c r="F30" s="6" t="str">
        <x:v>Repair</x:v>
      </x:c>
      <x:c r="G30" s="6" t="str">
        <x:v>Miscellaneous Repair</x:v>
      </x:c>
      <x:c r="H30" s="6" t="str">
        <x:v>Phone</x:v>
      </x:c>
      <x:c r="I30" s="6" t="str">
        <x:v>iPhone 4S Charge Port Replacement</x:v>
      </x:c>
      <x:c r="J30" s="12" t="str">
        <x:v>; ; </x:v>
      </x:c>
      <x:c r="K30" s="12" t="str">
        <x:v>iPhone 4S Charge Port Replacement; iPhone 4S Charge Port Replacement; iPhone 4S Charge Port Replacement</x:v>
      </x:c>
      <x:c r="L30" s="12" t="str">
        <x:v>; ; </x:v>
      </x:c>
      <x:c r="M30" s="12" t="str">
        <x:v>; ; </x:v>
      </x:c>
      <x:c r="N30" s="6" t="str">
        <x:v>Nocturnix_Master_Services_Catalog_v1.xlsx</x:v>
      </x:c>
      <x:c r="O30" s="6" t="str">
        <x:v>01 - Master Services</x:v>
      </x:c>
      <x:c r="P30" s="6" t="n">
        <x:v>259</x:v>
      </x:c>
      <x:c r="Q30" s="6" t="str">
        <x:v>Pending Verification</x:v>
      </x:c>
      <x:c r="R30" s="6" t="str">
        <x:v>Production Prohibited</x:v>
      </x:c>
      <x:c r="S30" s="6" t="str">
        <x:v>Pricing Activation Prohibited</x:v>
      </x:c>
      <x:c r="T30" s="12" t="str">
        <x:v>Source-controlled comparison row.</x:v>
      </x:c>
    </x:row>
    <x:row r="31">
      <x:c r="A31" s="6" t="str">
        <x:v>DUP000012</x:v>
      </x:c>
      <x:c r="B31" s="6" t="str">
        <x:v>SVC000223</x:v>
      </x:c>
      <x:c r="C31" s="6" t="str">
        <x:v>iPhone 6 Charge Port Replacement</x:v>
      </x:c>
      <x:c r="D31" s="6" t="str">
        <x:v>iPhone 6 Charge Port Replacement</x:v>
      </x:c>
      <x:c r="E31" s="6" t="str">
        <x:v>iphone 6 charge port replacement</x:v>
      </x:c>
      <x:c r="F31" s="6" t="str">
        <x:v>Repair</x:v>
      </x:c>
      <x:c r="G31" s="6" t="str">
        <x:v>Miscellaneous Repair</x:v>
      </x:c>
      <x:c r="H31" s="6" t="str">
        <x:v>Phone</x:v>
      </x:c>
      <x:c r="I31" s="6" t="str">
        <x:v>iPhone 6 Charge Port Replacement</x:v>
      </x:c>
      <x:c r="J31" s="12" t="str">
        <x:v>; </x:v>
      </x:c>
      <x:c r="K31" s="12" t="str">
        <x:v>iPhone 6 Charge Port Replacement; iPhone 6+ Charge Port Replacement</x:v>
      </x:c>
      <x:c r="L31" s="12" t="str">
        <x:v>; </x:v>
      </x:c>
      <x:c r="M31" s="12" t="str">
        <x:v>; </x:v>
      </x:c>
      <x:c r="N31" s="6" t="str">
        <x:v>Nocturnix_Master_Services_Catalog_v1.xlsx</x:v>
      </x:c>
      <x:c r="O31" s="6" t="str">
        <x:v>01 - Master Services</x:v>
      </x:c>
      <x:c r="P31" s="6" t="n">
        <x:v>263</x:v>
      </x:c>
      <x:c r="Q31" s="6" t="str">
        <x:v>Pending Verification</x:v>
      </x:c>
      <x:c r="R31" s="6" t="str">
        <x:v>Production Prohibited</x:v>
      </x:c>
      <x:c r="S31" s="6" t="str">
        <x:v>Pricing Activation Prohibited</x:v>
      </x:c>
      <x:c r="T31" s="12" t="str">
        <x:v>Source-controlled comparison row.</x:v>
      </x:c>
    </x:row>
    <x:row r="32">
      <x:c r="A32" s="6" t="str">
        <x:v>DUP000012</x:v>
      </x:c>
      <x:c r="B32" s="6" t="str">
        <x:v>SVC000224</x:v>
      </x:c>
      <x:c r="C32" s="6" t="str">
        <x:v>iPhone 6+ Charge Port Replacement</x:v>
      </x:c>
      <x:c r="D32" s="6" t="str">
        <x:v>iPhone 6+ Charge Port Replacement</x:v>
      </x:c>
      <x:c r="E32" s="6" t="str">
        <x:v>iphone 6 charge port replacement</x:v>
      </x:c>
      <x:c r="F32" s="6" t="str">
        <x:v>Repair</x:v>
      </x:c>
      <x:c r="G32" s="6" t="str">
        <x:v>Miscellaneous Repair</x:v>
      </x:c>
      <x:c r="H32" s="6" t="str">
        <x:v>Phone</x:v>
      </x:c>
      <x:c r="I32" s="6" t="str">
        <x:v>iPhone 6+ Charge Port Replacement</x:v>
      </x:c>
      <x:c r="J32" s="12" t="str">
        <x:v>; </x:v>
      </x:c>
      <x:c r="K32" s="12" t="str">
        <x:v>iPhone 6 Charge Port Replacement; iPhone 6+ Charge Port Replacement</x:v>
      </x:c>
      <x:c r="L32" s="12" t="str">
        <x:v>; </x:v>
      </x:c>
      <x:c r="M32" s="12" t="str">
        <x:v>; </x:v>
      </x:c>
      <x:c r="N32" s="6" t="str">
        <x:v>Nocturnix_Master_Services_Catalog_v1.xlsx</x:v>
      </x:c>
      <x:c r="O32" s="6" t="str">
        <x:v>01 - Master Services</x:v>
      </x:c>
      <x:c r="P32" s="6" t="n">
        <x:v>264</x:v>
      </x:c>
      <x:c r="Q32" s="6" t="str">
        <x:v>Pending Verification</x:v>
      </x:c>
      <x:c r="R32" s="6" t="str">
        <x:v>Production Prohibited</x:v>
      </x:c>
      <x:c r="S32" s="6" t="str">
        <x:v>Pricing Activation Prohibited</x:v>
      </x:c>
      <x:c r="T32" s="12" t="str">
        <x:v>Source-controlled comparison row.</x:v>
      </x:c>
    </x:row>
    <x:row r="33">
      <x:c r="A33" s="6" t="str">
        <x:v>DUP000013</x:v>
      </x:c>
      <x:c r="B33" s="6" t="str">
        <x:v>SVC000225</x:v>
      </x:c>
      <x:c r="C33" s="6" t="str">
        <x:v>iPhone 6S Charge Port Replacement</x:v>
      </x:c>
      <x:c r="D33" s="6" t="str">
        <x:v>iPhone 6S Charge Port Replacement</x:v>
      </x:c>
      <x:c r="E33" s="6" t="str">
        <x:v>iphone 6s charge port replacement</x:v>
      </x:c>
      <x:c r="F33" s="6" t="str">
        <x:v>Repair</x:v>
      </x:c>
      <x:c r="G33" s="6" t="str">
        <x:v>Miscellaneous Repair</x:v>
      </x:c>
      <x:c r="H33" s="6" t="str">
        <x:v>Phone</x:v>
      </x:c>
      <x:c r="I33" s="6" t="str">
        <x:v>iPhone 6S Charge Port Replacement</x:v>
      </x:c>
      <x:c r="J33" s="12" t="str">
        <x:v>; ; </x:v>
      </x:c>
      <x:c r="K33" s="12" t="str">
        <x:v>iPhone 6S Charge Port Replacement; iPhone 6S+ Charge Port Replacement; iPhone 6S+ Charge Port Replacement</x:v>
      </x:c>
      <x:c r="L33" s="12" t="str">
        <x:v>; ; </x:v>
      </x:c>
      <x:c r="M33" s="12" t="str">
        <x:v>; ; </x:v>
      </x:c>
      <x:c r="N33" s="6" t="str">
        <x:v>Nocturnix_Master_Services_Catalog_v1.xlsx</x:v>
      </x:c>
      <x:c r="O33" s="6" t="str">
        <x:v>01 - Master Services</x:v>
      </x:c>
      <x:c r="P33" s="6" t="n">
        <x:v>265</x:v>
      </x:c>
      <x:c r="Q33" s="6" t="str">
        <x:v>Pending Verification</x:v>
      </x:c>
      <x:c r="R33" s="6" t="str">
        <x:v>Production Prohibited</x:v>
      </x:c>
      <x:c r="S33" s="6" t="str">
        <x:v>Pricing Activation Prohibited</x:v>
      </x:c>
      <x:c r="T33" s="12" t="str">
        <x:v>Source-controlled comparison row.</x:v>
      </x:c>
    </x:row>
    <x:row r="34">
      <x:c r="A34" s="6" t="str">
        <x:v>DUP000013</x:v>
      </x:c>
      <x:c r="B34" s="6" t="str">
        <x:v>SVC000226</x:v>
      </x:c>
      <x:c r="C34" s="6" t="str">
        <x:v>iPhone 6S+ Charge Port Replacement</x:v>
      </x:c>
      <x:c r="D34" s="6" t="str">
        <x:v>iPhone 6S+ Charge Port Replacement</x:v>
      </x:c>
      <x:c r="E34" s="6" t="str">
        <x:v>iphone 6s charge port replacement</x:v>
      </x:c>
      <x:c r="F34" s="6" t="str">
        <x:v>Repair</x:v>
      </x:c>
      <x:c r="G34" s="6" t="str">
        <x:v>Miscellaneous Repair</x:v>
      </x:c>
      <x:c r="H34" s="6" t="str">
        <x:v>Phone</x:v>
      </x:c>
      <x:c r="I34" s="6" t="str">
        <x:v>iPhone 6S+ Charge Port Replacement</x:v>
      </x:c>
      <x:c r="J34" s="12" t="str">
        <x:v>; ; </x:v>
      </x:c>
      <x:c r="K34" s="12" t="str">
        <x:v>iPhone 6S Charge Port Replacement; iPhone 6S+ Charge Port Replacement; iPhone 6S+ Charge Port Replacement</x:v>
      </x:c>
      <x:c r="L34" s="12" t="str">
        <x:v>; ; </x:v>
      </x:c>
      <x:c r="M34" s="12" t="str">
        <x:v>; ; </x:v>
      </x:c>
      <x:c r="N34" s="6" t="str">
        <x:v>Nocturnix_Master_Services_Catalog_v1.xlsx</x:v>
      </x:c>
      <x:c r="O34" s="6" t="str">
        <x:v>01 - Master Services</x:v>
      </x:c>
      <x:c r="P34" s="6" t="n">
        <x:v>266</x:v>
      </x:c>
      <x:c r="Q34" s="6" t="str">
        <x:v>Pending Verification</x:v>
      </x:c>
      <x:c r="R34" s="6" t="str">
        <x:v>Production Prohibited</x:v>
      </x:c>
      <x:c r="S34" s="6" t="str">
        <x:v>Pricing Activation Prohibited</x:v>
      </x:c>
      <x:c r="T34" s="12" t="str">
        <x:v>Source-controlled comparison row.</x:v>
      </x:c>
    </x:row>
    <x:row r="35">
      <x:c r="A35" s="6" t="str">
        <x:v>DUP000013</x:v>
      </x:c>
      <x:c r="B35" s="6" t="str">
        <x:v>SVC000227</x:v>
      </x:c>
      <x:c r="C35" s="6" t="str">
        <x:v>iPhone 6S+ Charge Port Replacement</x:v>
      </x:c>
      <x:c r="D35" s="6" t="str">
        <x:v>iPhone 6S+ Charge Port Replacement</x:v>
      </x:c>
      <x:c r="E35" s="6" t="str">
        <x:v>iphone 6s charge port replacement</x:v>
      </x:c>
      <x:c r="F35" s="6" t="str">
        <x:v>Repair</x:v>
      </x:c>
      <x:c r="G35" s="6" t="str">
        <x:v>Miscellaneous Repair</x:v>
      </x:c>
      <x:c r="H35" s="6" t="str">
        <x:v>Phone</x:v>
      </x:c>
      <x:c r="I35" s="6" t="str">
        <x:v>iPhone 6S+ Charge Port Replacement</x:v>
      </x:c>
      <x:c r="J35" s="12" t="str">
        <x:v>; ; </x:v>
      </x:c>
      <x:c r="K35" s="12" t="str">
        <x:v>iPhone 6S Charge Port Replacement; iPhone 6S+ Charge Port Replacement; iPhone 6S+ Charge Port Replacement</x:v>
      </x:c>
      <x:c r="L35" s="12" t="str">
        <x:v>; ; </x:v>
      </x:c>
      <x:c r="M35" s="12" t="str">
        <x:v>; ; </x:v>
      </x:c>
      <x:c r="N35" s="6" t="str">
        <x:v>Nocturnix_Master_Services_Catalog_v1.xlsx</x:v>
      </x:c>
      <x:c r="O35" s="6" t="str">
        <x:v>01 - Master Services</x:v>
      </x:c>
      <x:c r="P35" s="6" t="n">
        <x:v>267</x:v>
      </x:c>
      <x:c r="Q35" s="6" t="str">
        <x:v>Pending Verification</x:v>
      </x:c>
      <x:c r="R35" s="6" t="str">
        <x:v>Production Prohibited</x:v>
      </x:c>
      <x:c r="S35" s="6" t="str">
        <x:v>Pricing Activation Prohibited</x:v>
      </x:c>
      <x:c r="T35" s="12" t="str">
        <x:v>Source-controlled comparison row.</x:v>
      </x:c>
    </x:row>
    <x:row r="36">
      <x:c r="A36" s="6" t="str">
        <x:v>DUP000014</x:v>
      </x:c>
      <x:c r="B36" s="6" t="str">
        <x:v>SVC000229</x:v>
      </x:c>
      <x:c r="C36" s="6" t="str">
        <x:v>iPhone 7 Charge Port Replacement</x:v>
      </x:c>
      <x:c r="D36" s="6" t="str">
        <x:v>iPhone 7 Charge Port Replacement</x:v>
      </x:c>
      <x:c r="E36" s="6" t="str">
        <x:v>iphone 7 charge port replacement</x:v>
      </x:c>
      <x:c r="F36" s="6" t="str">
        <x:v>Repair</x:v>
      </x:c>
      <x:c r="G36" s="6" t="str">
        <x:v>Miscellaneous Repair</x:v>
      </x:c>
      <x:c r="H36" s="6" t="str">
        <x:v>Phone</x:v>
      </x:c>
      <x:c r="I36" s="6" t="str">
        <x:v>iPhone 7 Charge Port Replacement</x:v>
      </x:c>
      <x:c r="J36" s="12" t="str">
        <x:v>; </x:v>
      </x:c>
      <x:c r="K36" s="12" t="str">
        <x:v>iPhone 7 Charge Port Replacement; iPhone 7+ Charge Port Replacement</x:v>
      </x:c>
      <x:c r="L36" s="12" t="str">
        <x:v>; </x:v>
      </x:c>
      <x:c r="M36" s="12" t="str">
        <x:v>; </x:v>
      </x:c>
      <x:c r="N36" s="6" t="str">
        <x:v>Nocturnix_Master_Services_Catalog_v1.xlsx</x:v>
      </x:c>
      <x:c r="O36" s="6" t="str">
        <x:v>01 - Master Services</x:v>
      </x:c>
      <x:c r="P36" s="6" t="n">
        <x:v>269</x:v>
      </x:c>
      <x:c r="Q36" s="6" t="str">
        <x:v>Pending Verification</x:v>
      </x:c>
      <x:c r="R36" s="6" t="str">
        <x:v>Production Prohibited</x:v>
      </x:c>
      <x:c r="S36" s="6" t="str">
        <x:v>Pricing Activation Prohibited</x:v>
      </x:c>
      <x:c r="T36" s="12" t="str">
        <x:v>Source-controlled comparison row.</x:v>
      </x:c>
    </x:row>
    <x:row r="37">
      <x:c r="A37" s="6" t="str">
        <x:v>DUP000014</x:v>
      </x:c>
      <x:c r="B37" s="6" t="str">
        <x:v>SVC000230</x:v>
      </x:c>
      <x:c r="C37" s="6" t="str">
        <x:v>iPhone 7+ Charge Port Replacement</x:v>
      </x:c>
      <x:c r="D37" s="6" t="str">
        <x:v>iPhone 7+ Charge Port Replacement</x:v>
      </x:c>
      <x:c r="E37" s="6" t="str">
        <x:v>iphone 7 charge port replacement</x:v>
      </x:c>
      <x:c r="F37" s="6" t="str">
        <x:v>Repair</x:v>
      </x:c>
      <x:c r="G37" s="6" t="str">
        <x:v>Miscellaneous Repair</x:v>
      </x:c>
      <x:c r="H37" s="6" t="str">
        <x:v>Phone</x:v>
      </x:c>
      <x:c r="I37" s="6" t="str">
        <x:v>iPhone 7+ Charge Port Replacement</x:v>
      </x:c>
      <x:c r="J37" s="12" t="str">
        <x:v>; </x:v>
      </x:c>
      <x:c r="K37" s="12" t="str">
        <x:v>iPhone 7 Charge Port Replacement; iPhone 7+ Charge Port Replacement</x:v>
      </x:c>
      <x:c r="L37" s="12" t="str">
        <x:v>; </x:v>
      </x:c>
      <x:c r="M37" s="12" t="str">
        <x:v>; </x:v>
      </x:c>
      <x:c r="N37" s="6" t="str">
        <x:v>Nocturnix_Master_Services_Catalog_v1.xlsx</x:v>
      </x:c>
      <x:c r="O37" s="6" t="str">
        <x:v>01 - Master Services</x:v>
      </x:c>
      <x:c r="P37" s="6" t="n">
        <x:v>270</x:v>
      </x:c>
      <x:c r="Q37" s="6" t="str">
        <x:v>Pending Verification</x:v>
      </x:c>
      <x:c r="R37" s="6" t="str">
        <x:v>Production Prohibited</x:v>
      </x:c>
      <x:c r="S37" s="6" t="str">
        <x:v>Pricing Activation Prohibited</x:v>
      </x:c>
      <x:c r="T37" s="12" t="str">
        <x:v>Source-controlled comparison row.</x:v>
      </x:c>
    </x:row>
    <x:row r="38">
      <x:c r="A38" s="6" t="str">
        <x:v>DUP000015</x:v>
      </x:c>
      <x:c r="B38" s="6" t="str">
        <x:v>SVC000231</x:v>
      </x:c>
      <x:c r="C38" s="6" t="str">
        <x:v>iPhone 8 Charge Port Replacement</x:v>
      </x:c>
      <x:c r="D38" s="6" t="str">
        <x:v>iPhone 8 Charge Port Replacement</x:v>
      </x:c>
      <x:c r="E38" s="6" t="str">
        <x:v>iphone 8 charge port replacement</x:v>
      </x:c>
      <x:c r="F38" s="6" t="str">
        <x:v>Repair</x:v>
      </x:c>
      <x:c r="G38" s="6" t="str">
        <x:v>Miscellaneous Repair</x:v>
      </x:c>
      <x:c r="H38" s="6" t="str">
        <x:v>Phone</x:v>
      </x:c>
      <x:c r="I38" s="6" t="str">
        <x:v>iPhone 8 Charge Port Replacement</x:v>
      </x:c>
      <x:c r="J38" s="12" t="str">
        <x:v>; </x:v>
      </x:c>
      <x:c r="K38" s="12" t="str">
        <x:v>iPhone 8 Charge Port Replacement; iPhone 8+ Charge Port Replacement</x:v>
      </x:c>
      <x:c r="L38" s="12" t="str">
        <x:v>; </x:v>
      </x:c>
      <x:c r="M38" s="12" t="str">
        <x:v>; </x:v>
      </x:c>
      <x:c r="N38" s="6" t="str">
        <x:v>Nocturnix_Master_Services_Catalog_v1.xlsx</x:v>
      </x:c>
      <x:c r="O38" s="6" t="str">
        <x:v>01 - Master Services</x:v>
      </x:c>
      <x:c r="P38" s="6" t="n">
        <x:v>271</x:v>
      </x:c>
      <x:c r="Q38" s="6" t="str">
        <x:v>Pending Verification</x:v>
      </x:c>
      <x:c r="R38" s="6" t="str">
        <x:v>Production Prohibited</x:v>
      </x:c>
      <x:c r="S38" s="6" t="str">
        <x:v>Pricing Activation Prohibited</x:v>
      </x:c>
      <x:c r="T38" s="12" t="str">
        <x:v>Source-controlled comparison row.</x:v>
      </x:c>
    </x:row>
    <x:row r="39">
      <x:c r="A39" s="6" t="str">
        <x:v>DUP000015</x:v>
      </x:c>
      <x:c r="B39" s="6" t="str">
        <x:v>SVC000232</x:v>
      </x:c>
      <x:c r="C39" s="6" t="str">
        <x:v>iPhone 8+ Charge Port Replacement</x:v>
      </x:c>
      <x:c r="D39" s="6" t="str">
        <x:v>iPhone 8+ Charge Port Replacement</x:v>
      </x:c>
      <x:c r="E39" s="6" t="str">
        <x:v>iphone 8 charge port replacement</x:v>
      </x:c>
      <x:c r="F39" s="6" t="str">
        <x:v>Repair</x:v>
      </x:c>
      <x:c r="G39" s="6" t="str">
        <x:v>Miscellaneous Repair</x:v>
      </x:c>
      <x:c r="H39" s="6" t="str">
        <x:v>Phone</x:v>
      </x:c>
      <x:c r="I39" s="6" t="str">
        <x:v>iPhone 8+ Charge Port Replacement</x:v>
      </x:c>
      <x:c r="J39" s="12" t="str">
        <x:v>; </x:v>
      </x:c>
      <x:c r="K39" s="12" t="str">
        <x:v>iPhone 8 Charge Port Replacement; iPhone 8+ Charge Port Replacement</x:v>
      </x:c>
      <x:c r="L39" s="12" t="str">
        <x:v>; </x:v>
      </x:c>
      <x:c r="M39" s="12" t="str">
        <x:v>; </x:v>
      </x:c>
      <x:c r="N39" s="6" t="str">
        <x:v>Nocturnix_Master_Services_Catalog_v1.xlsx</x:v>
      </x:c>
      <x:c r="O39" s="6" t="str">
        <x:v>01 - Master Services</x:v>
      </x:c>
      <x:c r="P39" s="6" t="n">
        <x:v>272</x:v>
      </x:c>
      <x:c r="Q39" s="6" t="str">
        <x:v>Pending Verification</x:v>
      </x:c>
      <x:c r="R39" s="6" t="str">
        <x:v>Production Prohibited</x:v>
      </x:c>
      <x:c r="S39" s="6" t="str">
        <x:v>Pricing Activation Prohibited</x:v>
      </x:c>
      <x:c r="T39" s="12" t="str">
        <x:v>Source-controlled comparison row.</x:v>
      </x:c>
    </x:row>
  </x:sheetData>
  <x:pageMargins left="0.7" right="0.7" top="0.75" bottom="0.75" header="0.3" footer="0.3"/>
  <x:tableParts count="1">
    <x:tablePart xmlns:r="http://schemas.openxmlformats.org/officeDocument/2006/relationships" r:id="Ra55f98568b3b429c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7.5" hidden="0" customWidth="1"/>
    <x:col min="3" max="3" width="10.75" hidden="0" customWidth="1"/>
    <x:col min="4" max="4" width="20.75" hidden="0" customWidth="1"/>
    <x:col min="5" max="5" width="27.3799991607666" hidden="0" customWidth="1"/>
    <x:col min="6" max="6" width="35.75" hidden="0" customWidth="1"/>
    <x:col min="7" max="7" width="19.6299991607666" hidden="0" customWidth="1"/>
    <x:col min="8" max="8" width="14.25" hidden="0" customWidth="1"/>
    <x:col min="9" max="9" width="16.8799991607666" hidden="0" customWidth="1"/>
    <x:col min="10" max="10" width="17.75" hidden="0" customWidth="1"/>
    <x:col min="11" max="11" width="23.3799991607666" hidden="0" customWidth="1"/>
    <x:col min="12" max="12" width="16.5" hidden="0" customWidth="1"/>
    <x:col min="13" max="13" width="14.880000114440918" hidden="0" customWidth="1"/>
  </x:cols>
  <x:sheetData>
    <x:row r="1">
      <x:c r="A1" s="5" t="str">
        <x:v>Evidence ID</x:v>
      </x:c>
      <x:c r="B1" s="5" t="str">
        <x:v>Duplicate Group ID</x:v>
      </x:c>
      <x:c r="C1" s="5" t="str">
        <x:v>Service ID</x:v>
      </x:c>
      <x:c r="D1" s="5" t="str">
        <x:v>Evidence Type</x:v>
      </x:c>
      <x:c r="E1" s="5" t="str">
        <x:v>Evidence Value</x:v>
      </x:c>
      <x:c r="F1" s="5" t="str">
        <x:v>Source Workbook</x:v>
      </x:c>
      <x:c r="G1" s="5" t="str">
        <x:v>Source Worksheet</x:v>
      </x:c>
      <x:c r="H1" s="5" t="str">
        <x:v>Source Record</x:v>
      </x:c>
      <x:c r="I1" s="5" t="str">
        <x:v>Evidence Strength</x:v>
      </x:c>
      <x:c r="J1" s="5" t="str">
        <x:v>Supports Duplicate</x:v>
      </x:c>
      <x:c r="K1" s="5" t="str">
        <x:v>Supports Separate Identity</x:v>
      </x:c>
      <x:c r="L1" s="5" t="str">
        <x:v>Evidence Conflict</x:v>
      </x:c>
      <x:c r="M1" s="5" t="str">
        <x:v>Reviewer Notes</x:v>
      </x:c>
    </x:row>
    <x:row r="2">
      <x:c r="A2" s="12" t="str">
        <x:v>DPEV-00001</x:v>
      </x:c>
      <x:c r="B2" s="6" t="str">
        <x:v>DUP000001</x:v>
      </x:c>
      <x:c r="C2" s="6" t="str">
        <x:v>SVC000008</x:v>
      </x:c>
      <x:c r="D2" s="12" t="str">
        <x:v>Service Identity Observation</x:v>
      </x:c>
      <x:c r="E2" s="12" t="str">
        <x:v>iPhone 6 Screen replacement</x:v>
      </x:c>
      <x:c r="F2" s="6" t="str">
        <x:v>Nocturnix_Master_Services_Catalog_v1.xlsx</x:v>
      </x:c>
      <x:c r="G2" s="6" t="str">
        <x:v>01 - Master Services</x:v>
      </x:c>
      <x:c r="H2" s="6" t="n">
        <x:v>48</x:v>
      </x:c>
      <x:c r="I2" s="12" t="str">
        <x:v>Contextual</x:v>
      </x:c>
      <x:c r="J2" s="6" t="str">
        <x:v>Yes</x:v>
      </x:c>
      <x:c r="K2" s="6" t="str">
        <x:v>Unknown</x:v>
      </x:c>
      <x:c r="L2" s="12" t="str">
        <x:v>No</x:v>
      </x:c>
      <x:c r="M2" s="12" t="str"/>
    </x:row>
    <x:row r="3">
      <x:c r="A3" s="12" t="str">
        <x:v>DPEV-00002</x:v>
      </x:c>
      <x:c r="B3" s="6" t="str">
        <x:v>DUP000002</x:v>
      </x:c>
      <x:c r="C3" s="6" t="str">
        <x:v>SVC000009</x:v>
      </x:c>
      <x:c r="D3" s="12" t="str">
        <x:v>Service Identity Observation</x:v>
      </x:c>
      <x:c r="E3" s="12" t="str">
        <x:v>iPhone 6S+ Screen replacement</x:v>
      </x:c>
      <x:c r="F3" s="6" t="str">
        <x:v>Nocturnix_Master_Services_Catalog_v1.xlsx</x:v>
      </x:c>
      <x:c r="G3" s="6" t="str">
        <x:v>01 - Master Services</x:v>
      </x:c>
      <x:c r="H3" s="6" t="n">
        <x:v>49</x:v>
      </x:c>
      <x:c r="I3" s="12" t="str">
        <x:v>Contextual</x:v>
      </x:c>
      <x:c r="J3" s="6" t="str">
        <x:v>Yes</x:v>
      </x:c>
      <x:c r="K3" s="6" t="str">
        <x:v>Unknown</x:v>
      </x:c>
      <x:c r="L3" s="12" t="str">
        <x:v>No</x:v>
      </x:c>
      <x:c r="M3" s="12" t="str"/>
    </x:row>
    <x:row r="4">
      <x:c r="A4" s="12" t="str">
        <x:v>DPEV-00003</x:v>
      </x:c>
      <x:c r="B4" s="6" t="str">
        <x:v>DUP000001</x:v>
      </x:c>
      <x:c r="C4" s="6" t="str">
        <x:v>SVC000086</x:v>
      </x:c>
      <x:c r="D4" s="12" t="str">
        <x:v>Service Identity Observation</x:v>
      </x:c>
      <x:c r="E4" s="12" t="str">
        <x:v>iPhone 6+ Screen replacement</x:v>
      </x:c>
      <x:c r="F4" s="6" t="str">
        <x:v>Nocturnix_Master_Services_Catalog_v1.xlsx</x:v>
      </x:c>
      <x:c r="G4" s="6" t="str">
        <x:v>01 - Master Services</x:v>
      </x:c>
      <x:c r="H4" s="6" t="n">
        <x:v>126</x:v>
      </x:c>
      <x:c r="I4" s="12" t="str">
        <x:v>Contextual</x:v>
      </x:c>
      <x:c r="J4" s="6" t="str">
        <x:v>Yes</x:v>
      </x:c>
      <x:c r="K4" s="6" t="str">
        <x:v>Unknown</x:v>
      </x:c>
      <x:c r="L4" s="12" t="str">
        <x:v>No</x:v>
      </x:c>
      <x:c r="M4" s="12" t="str"/>
    </x:row>
    <x:row r="5">
      <x:c r="A5" s="12" t="str">
        <x:v>DPEV-00004</x:v>
      </x:c>
      <x:c r="B5" s="6" t="str">
        <x:v>DUP000001</x:v>
      </x:c>
      <x:c r="C5" s="6" t="str">
        <x:v>SVC000087</x:v>
      </x:c>
      <x:c r="D5" s="12" t="str">
        <x:v>Service Identity Observation</x:v>
      </x:c>
      <x:c r="E5" s="12" t="str">
        <x:v>iPhone 6 Screen replacement</x:v>
      </x:c>
      <x:c r="F5" s="6" t="str">
        <x:v>Nocturnix_Master_Services_Catalog_v1.xlsx</x:v>
      </x:c>
      <x:c r="G5" s="6" t="str">
        <x:v>01 - Master Services</x:v>
      </x:c>
      <x:c r="H5" s="6" t="n">
        <x:v>127</x:v>
      </x:c>
      <x:c r="I5" s="12" t="str">
        <x:v>Contextual</x:v>
      </x:c>
      <x:c r="J5" s="6" t="str">
        <x:v>Yes</x:v>
      </x:c>
      <x:c r="K5" s="6" t="str">
        <x:v>Unknown</x:v>
      </x:c>
      <x:c r="L5" s="12" t="str">
        <x:v>No</x:v>
      </x:c>
      <x:c r="M5" s="12" t="str"/>
    </x:row>
    <x:row r="6">
      <x:c r="A6" s="12" t="str">
        <x:v>DPEV-00005</x:v>
      </x:c>
      <x:c r="B6" s="6" t="str">
        <x:v>DUP000002</x:v>
      </x:c>
      <x:c r="C6" s="6" t="str">
        <x:v>SVC000088</x:v>
      </x:c>
      <x:c r="D6" s="12" t="str">
        <x:v>Service Identity Observation</x:v>
      </x:c>
      <x:c r="E6" s="12" t="str">
        <x:v>iPhone 6S+ Screen replacement</x:v>
      </x:c>
      <x:c r="F6" s="6" t="str">
        <x:v>Nocturnix_Master_Services_Catalog_v1.xlsx</x:v>
      </x:c>
      <x:c r="G6" s="6" t="str">
        <x:v>01 - Master Services</x:v>
      </x:c>
      <x:c r="H6" s="6" t="n">
        <x:v>128</x:v>
      </x:c>
      <x:c r="I6" s="12" t="str">
        <x:v>Contextual</x:v>
      </x:c>
      <x:c r="J6" s="6" t="str">
        <x:v>Yes</x:v>
      </x:c>
      <x:c r="K6" s="6" t="str">
        <x:v>Unknown</x:v>
      </x:c>
      <x:c r="L6" s="12" t="str">
        <x:v>No</x:v>
      </x:c>
      <x:c r="M6" s="12" t="str"/>
    </x:row>
    <x:row r="7">
      <x:c r="A7" s="12" t="str">
        <x:v>DPEV-00006</x:v>
      </x:c>
      <x:c r="B7" s="6" t="str">
        <x:v>DUP000002</x:v>
      </x:c>
      <x:c r="C7" s="6" t="str">
        <x:v>SVC000089</x:v>
      </x:c>
      <x:c r="D7" s="12" t="str">
        <x:v>Service Identity Observation</x:v>
      </x:c>
      <x:c r="E7" s="12" t="str">
        <x:v>iPhone 6S Screen replacement</x:v>
      </x:c>
      <x:c r="F7" s="6" t="str">
        <x:v>Nocturnix_Master_Services_Catalog_v1.xlsx</x:v>
      </x:c>
      <x:c r="G7" s="6" t="str">
        <x:v>01 - Master Services</x:v>
      </x:c>
      <x:c r="H7" s="6" t="n">
        <x:v>129</x:v>
      </x:c>
      <x:c r="I7" s="12" t="str">
        <x:v>Contextual</x:v>
      </x:c>
      <x:c r="J7" s="6" t="str">
        <x:v>Yes</x:v>
      </x:c>
      <x:c r="K7" s="6" t="str">
        <x:v>Unknown</x:v>
      </x:c>
      <x:c r="L7" s="12" t="str">
        <x:v>No</x:v>
      </x:c>
      <x:c r="M7" s="12" t="str"/>
    </x:row>
    <x:row r="8">
      <x:c r="A8" s="12" t="str">
        <x:v>DPEV-00007</x:v>
      </x:c>
      <x:c r="B8" s="6" t="str">
        <x:v>DUP000003</x:v>
      </x:c>
      <x:c r="C8" s="6" t="str">
        <x:v>SVC000090</x:v>
      </x:c>
      <x:c r="D8" s="12" t="str">
        <x:v>Service Identity Observation</x:v>
      </x:c>
      <x:c r="E8" s="12" t="str">
        <x:v>iPhone 7+ Screen replacement</x:v>
      </x:c>
      <x:c r="F8" s="6" t="str">
        <x:v>Nocturnix_Master_Services_Catalog_v1.xlsx</x:v>
      </x:c>
      <x:c r="G8" s="6" t="str">
        <x:v>01 - Master Services</x:v>
      </x:c>
      <x:c r="H8" s="6" t="n">
        <x:v>130</x:v>
      </x:c>
      <x:c r="I8" s="12" t="str">
        <x:v>Contextual</x:v>
      </x:c>
      <x:c r="J8" s="6" t="str">
        <x:v>Yes</x:v>
      </x:c>
      <x:c r="K8" s="6" t="str">
        <x:v>Unknown</x:v>
      </x:c>
      <x:c r="L8" s="12" t="str">
        <x:v>No</x:v>
      </x:c>
      <x:c r="M8" s="12" t="str"/>
    </x:row>
    <x:row r="9">
      <x:c r="A9" s="12" t="str">
        <x:v>DPEV-00008</x:v>
      </x:c>
      <x:c r="B9" s="6" t="str">
        <x:v>DUP000003</x:v>
      </x:c>
      <x:c r="C9" s="6" t="str">
        <x:v>SVC000091</x:v>
      </x:c>
      <x:c r="D9" s="12" t="str">
        <x:v>Service Identity Observation</x:v>
      </x:c>
      <x:c r="E9" s="12" t="str">
        <x:v>iPhone 7 Screen replacement</x:v>
      </x:c>
      <x:c r="F9" s="6" t="str">
        <x:v>Nocturnix_Master_Services_Catalog_v1.xlsx</x:v>
      </x:c>
      <x:c r="G9" s="6" t="str">
        <x:v>01 - Master Services</x:v>
      </x:c>
      <x:c r="H9" s="6" t="n">
        <x:v>131</x:v>
      </x:c>
      <x:c r="I9" s="12" t="str">
        <x:v>Contextual</x:v>
      </x:c>
      <x:c r="J9" s="6" t="str">
        <x:v>Yes</x:v>
      </x:c>
      <x:c r="K9" s="6" t="str">
        <x:v>Unknown</x:v>
      </x:c>
      <x:c r="L9" s="12" t="str">
        <x:v>No</x:v>
      </x:c>
      <x:c r="M9" s="12" t="str"/>
    </x:row>
    <x:row r="10">
      <x:c r="A10" s="12" t="str">
        <x:v>DPEV-00009</x:v>
      </x:c>
      <x:c r="B10" s="6" t="str">
        <x:v>DUP000004</x:v>
      </x:c>
      <x:c r="C10" s="6" t="str">
        <x:v>SVC000092</x:v>
      </x:c>
      <x:c r="D10" s="12" t="str">
        <x:v>Service Identity Observation</x:v>
      </x:c>
      <x:c r="E10" s="12" t="str">
        <x:v>iPhone 8+ Screen replacement</x:v>
      </x:c>
      <x:c r="F10" s="6" t="str">
        <x:v>Nocturnix_Master_Services_Catalog_v1.xlsx</x:v>
      </x:c>
      <x:c r="G10" s="6" t="str">
        <x:v>01 - Master Services</x:v>
      </x:c>
      <x:c r="H10" s="6" t="n">
        <x:v>132</x:v>
      </x:c>
      <x:c r="I10" s="12" t="str">
        <x:v>Contextual</x:v>
      </x:c>
      <x:c r="J10" s="6" t="str">
        <x:v>Yes</x:v>
      </x:c>
      <x:c r="K10" s="6" t="str">
        <x:v>Unknown</x:v>
      </x:c>
      <x:c r="L10" s="12" t="str">
        <x:v>No</x:v>
      </x:c>
      <x:c r="M10" s="12" t="str"/>
    </x:row>
    <x:row r="11">
      <x:c r="A11" s="12" t="str">
        <x:v>DPEV-00010</x:v>
      </x:c>
      <x:c r="B11" s="6" t="str">
        <x:v>DUP000004</x:v>
      </x:c>
      <x:c r="C11" s="6" t="str">
        <x:v>SVC000093</x:v>
      </x:c>
      <x:c r="D11" s="12" t="str">
        <x:v>Service Identity Observation</x:v>
      </x:c>
      <x:c r="E11" s="12" t="str">
        <x:v>iPhone 8 Screen replacement</x:v>
      </x:c>
      <x:c r="F11" s="6" t="str">
        <x:v>Nocturnix_Master_Services_Catalog_v1.xlsx</x:v>
      </x:c>
      <x:c r="G11" s="6" t="str">
        <x:v>01 - Master Services</x:v>
      </x:c>
      <x:c r="H11" s="6" t="n">
        <x:v>133</x:v>
      </x:c>
      <x:c r="I11" s="12" t="str">
        <x:v>Contextual</x:v>
      </x:c>
      <x:c r="J11" s="6" t="str">
        <x:v>Yes</x:v>
      </x:c>
      <x:c r="K11" s="6" t="str">
        <x:v>Unknown</x:v>
      </x:c>
      <x:c r="L11" s="12" t="str">
        <x:v>No</x:v>
      </x:c>
      <x:c r="M11" s="12" t="str"/>
    </x:row>
    <x:row r="12">
      <x:c r="A12" s="12" t="str">
        <x:v>DPEV-00011</x:v>
      </x:c>
      <x:c r="B12" s="6" t="str">
        <x:v>DUP000005</x:v>
      </x:c>
      <x:c r="C12" s="6" t="str">
        <x:v>SVC000101</x:v>
      </x:c>
      <x:c r="D12" s="12" t="str">
        <x:v>Service Identity Observation</x:v>
      </x:c>
      <x:c r="E12" s="12" t="str">
        <x:v>iPhone 4S Screen replacement</x:v>
      </x:c>
      <x:c r="F12" s="6" t="str">
        <x:v>Nocturnix_Master_Services_Catalog_v1.xlsx</x:v>
      </x:c>
      <x:c r="G12" s="6" t="str">
        <x:v>01 - Master Services</x:v>
      </x:c>
      <x:c r="H12" s="6" t="n">
        <x:v>141</x:v>
      </x:c>
      <x:c r="I12" s="12" t="str">
        <x:v>Contextual</x:v>
      </x:c>
      <x:c r="J12" s="6" t="str">
        <x:v>Yes</x:v>
      </x:c>
      <x:c r="K12" s="6" t="str">
        <x:v>Unknown</x:v>
      </x:c>
      <x:c r="L12" s="12" t="str">
        <x:v>No</x:v>
      </x:c>
      <x:c r="M12" s="12" t="str"/>
    </x:row>
    <x:row r="13">
      <x:c r="A13" s="12" t="str">
        <x:v>DPEV-00012</x:v>
      </x:c>
      <x:c r="B13" s="6" t="str">
        <x:v>DUP000005</x:v>
      </x:c>
      <x:c r="C13" s="6" t="str">
        <x:v>SVC000102</x:v>
      </x:c>
      <x:c r="D13" s="12" t="str">
        <x:v>Service Identity Observation</x:v>
      </x:c>
      <x:c r="E13" s="12" t="str">
        <x:v>iPhone 4S Screen replacement</x:v>
      </x:c>
      <x:c r="F13" s="6" t="str">
        <x:v>Nocturnix_Master_Services_Catalog_v1.xlsx</x:v>
      </x:c>
      <x:c r="G13" s="6" t="str">
        <x:v>01 - Master Services</x:v>
      </x:c>
      <x:c r="H13" s="6" t="n">
        <x:v>142</x:v>
      </x:c>
      <x:c r="I13" s="12" t="str">
        <x:v>Contextual</x:v>
      </x:c>
      <x:c r="J13" s="6" t="str">
        <x:v>Yes</x:v>
      </x:c>
      <x:c r="K13" s="6" t="str">
        <x:v>Unknown</x:v>
      </x:c>
      <x:c r="L13" s="12" t="str">
        <x:v>No</x:v>
      </x:c>
      <x:c r="M13" s="12" t="str"/>
    </x:row>
    <x:row r="14">
      <x:c r="A14" s="12" t="str">
        <x:v>DPEV-00013</x:v>
      </x:c>
      <x:c r="B14" s="6" t="str">
        <x:v>DUP000005</x:v>
      </x:c>
      <x:c r="C14" s="6" t="str">
        <x:v>SVC000103</x:v>
      </x:c>
      <x:c r="D14" s="12" t="str">
        <x:v>Service Identity Observation</x:v>
      </x:c>
      <x:c r="E14" s="12" t="str">
        <x:v>iPhone 4S Screen replacement</x:v>
      </x:c>
      <x:c r="F14" s="6" t="str">
        <x:v>Nocturnix_Master_Services_Catalog_v1.xlsx</x:v>
      </x:c>
      <x:c r="G14" s="6" t="str">
        <x:v>01 - Master Services</x:v>
      </x:c>
      <x:c r="H14" s="6" t="n">
        <x:v>143</x:v>
      </x:c>
      <x:c r="I14" s="12" t="str">
        <x:v>Contextual</x:v>
      </x:c>
      <x:c r="J14" s="6" t="str">
        <x:v>Yes</x:v>
      </x:c>
      <x:c r="K14" s="6" t="str">
        <x:v>Unknown</x:v>
      </x:c>
      <x:c r="L14" s="12" t="str">
        <x:v>No</x:v>
      </x:c>
      <x:c r="M14" s="12" t="str"/>
    </x:row>
    <x:row r="15">
      <x:c r="A15" s="12" t="str">
        <x:v>DPEV-00014</x:v>
      </x:c>
      <x:c r="B15" s="6" t="str">
        <x:v>DUP000006</x:v>
      </x:c>
      <x:c r="C15" s="6" t="str">
        <x:v>SVC000167</x:v>
      </x:c>
      <x:c r="D15" s="12" t="str">
        <x:v>Service Identity Observation</x:v>
      </x:c>
      <x:c r="E15" s="12" t="str">
        <x:v>iPhone 7+ Battery Replacement</x:v>
      </x:c>
      <x:c r="F15" s="6" t="str">
        <x:v>Nocturnix_Master_Services_Catalog_v1.xlsx</x:v>
      </x:c>
      <x:c r="G15" s="6" t="str">
        <x:v>01 - Master Services</x:v>
      </x:c>
      <x:c r="H15" s="6" t="n">
        <x:v>207</x:v>
      </x:c>
      <x:c r="I15" s="12" t="str">
        <x:v>Contextual</x:v>
      </x:c>
      <x:c r="J15" s="6" t="str">
        <x:v>Yes</x:v>
      </x:c>
      <x:c r="K15" s="6" t="str">
        <x:v>Unknown</x:v>
      </x:c>
      <x:c r="L15" s="12" t="str">
        <x:v>No</x:v>
      </x:c>
      <x:c r="M15" s="12" t="str"/>
    </x:row>
    <x:row r="16">
      <x:c r="A16" s="12" t="str">
        <x:v>DPEV-00015</x:v>
      </x:c>
      <x:c r="B16" s="6" t="str">
        <x:v>DUP000007</x:v>
      </x:c>
      <x:c r="C16" s="6" t="str">
        <x:v>SVC000170</x:v>
      </x:c>
      <x:c r="D16" s="12" t="str">
        <x:v>Service Identity Observation</x:v>
      </x:c>
      <x:c r="E16" s="12" t="str">
        <x:v>iPhone 4S Battery Replacement</x:v>
      </x:c>
      <x:c r="F16" s="6" t="str">
        <x:v>Nocturnix_Master_Services_Catalog_v1.xlsx</x:v>
      </x:c>
      <x:c r="G16" s="6" t="str">
        <x:v>01 - Master Services</x:v>
      </x:c>
      <x:c r="H16" s="6" t="n">
        <x:v>210</x:v>
      </x:c>
      <x:c r="I16" s="12" t="str">
        <x:v>Contextual</x:v>
      </x:c>
      <x:c r="J16" s="6" t="str">
        <x:v>Yes</x:v>
      </x:c>
      <x:c r="K16" s="6" t="str">
        <x:v>Unknown</x:v>
      </x:c>
      <x:c r="L16" s="12" t="str">
        <x:v>No</x:v>
      </x:c>
      <x:c r="M16" s="12" t="str"/>
    </x:row>
    <x:row r="17">
      <x:c r="A17" s="12" t="str">
        <x:v>DPEV-00016</x:v>
      </x:c>
      <x:c r="B17" s="6" t="str">
        <x:v>DUP000008</x:v>
      </x:c>
      <x:c r="C17" s="6" t="str">
        <x:v>SVC000173</x:v>
      </x:c>
      <x:c r="D17" s="12" t="str">
        <x:v>Service Identity Observation</x:v>
      </x:c>
      <x:c r="E17" s="12" t="str">
        <x:v>iPhone 8+ Battery Replacement</x:v>
      </x:c>
      <x:c r="F17" s="6" t="str">
        <x:v>Nocturnix_Master_Services_Catalog_v1.xlsx</x:v>
      </x:c>
      <x:c r="G17" s="6" t="str">
        <x:v>01 - Master Services</x:v>
      </x:c>
      <x:c r="H17" s="6" t="n">
        <x:v>213</x:v>
      </x:c>
      <x:c r="I17" s="12" t="str">
        <x:v>Contextual</x:v>
      </x:c>
      <x:c r="J17" s="6" t="str">
        <x:v>Yes</x:v>
      </x:c>
      <x:c r="K17" s="6" t="str">
        <x:v>Unknown</x:v>
      </x:c>
      <x:c r="L17" s="12" t="str">
        <x:v>No</x:v>
      </x:c>
      <x:c r="M17" s="12" t="str"/>
    </x:row>
    <x:row r="18">
      <x:c r="A18" s="12" t="str">
        <x:v>DPEV-00017</x:v>
      </x:c>
      <x:c r="B18" s="6" t="str">
        <x:v>DUP000009</x:v>
      </x:c>
      <x:c r="C18" s="6" t="str">
        <x:v>SVC000174</x:v>
      </x:c>
      <x:c r="D18" s="12" t="str">
        <x:v>Service Identity Observation</x:v>
      </x:c>
      <x:c r="E18" s="12" t="str">
        <x:v>iPhone 6S Battery Replacement</x:v>
      </x:c>
      <x:c r="F18" s="6" t="str">
        <x:v>Nocturnix_Master_Services_Catalog_v1.xlsx</x:v>
      </x:c>
      <x:c r="G18" s="6" t="str">
        <x:v>01 - Master Services</x:v>
      </x:c>
      <x:c r="H18" s="6" t="n">
        <x:v>214</x:v>
      </x:c>
      <x:c r="I18" s="12" t="str">
        <x:v>Contextual</x:v>
      </x:c>
      <x:c r="J18" s="6" t="str">
        <x:v>Yes</x:v>
      </x:c>
      <x:c r="K18" s="6" t="str">
        <x:v>Unknown</x:v>
      </x:c>
      <x:c r="L18" s="12" t="str">
        <x:v>No</x:v>
      </x:c>
      <x:c r="M18" s="12" t="str"/>
    </x:row>
    <x:row r="19">
      <x:c r="A19" s="12" t="str">
        <x:v>DPEV-00018</x:v>
      </x:c>
      <x:c r="B19" s="6" t="str">
        <x:v>DUP000008</x:v>
      </x:c>
      <x:c r="C19" s="6" t="str">
        <x:v>SVC000175</x:v>
      </x:c>
      <x:c r="D19" s="12" t="str">
        <x:v>Service Identity Observation</x:v>
      </x:c>
      <x:c r="E19" s="12" t="str">
        <x:v>iPhone 8 Battery Replacement</x:v>
      </x:c>
      <x:c r="F19" s="6" t="str">
        <x:v>Nocturnix_Master_Services_Catalog_v1.xlsx</x:v>
      </x:c>
      <x:c r="G19" s="6" t="str">
        <x:v>01 - Master Services</x:v>
      </x:c>
      <x:c r="H19" s="6" t="n">
        <x:v>215</x:v>
      </x:c>
      <x:c r="I19" s="12" t="str">
        <x:v>Contextual</x:v>
      </x:c>
      <x:c r="J19" s="6" t="str">
        <x:v>Yes</x:v>
      </x:c>
      <x:c r="K19" s="6" t="str">
        <x:v>Unknown</x:v>
      </x:c>
      <x:c r="L19" s="12" t="str">
        <x:v>No</x:v>
      </x:c>
      <x:c r="M19" s="12" t="str"/>
    </x:row>
    <x:row r="20">
      <x:c r="A20" s="12" t="str">
        <x:v>DPEV-00019</x:v>
      </x:c>
      <x:c r="B20" s="6" t="str">
        <x:v>DUP000009</x:v>
      </x:c>
      <x:c r="C20" s="6" t="str">
        <x:v>SVC000176</x:v>
      </x:c>
      <x:c r="D20" s="12" t="str">
        <x:v>Service Identity Observation</x:v>
      </x:c>
      <x:c r="E20" s="12" t="str">
        <x:v>iPhone 6S+ Battery Replacement</x:v>
      </x:c>
      <x:c r="F20" s="6" t="str">
        <x:v>Nocturnix_Master_Services_Catalog_v1.xlsx</x:v>
      </x:c>
      <x:c r="G20" s="6" t="str">
        <x:v>01 - Master Services</x:v>
      </x:c>
      <x:c r="H20" s="6" t="n">
        <x:v>216</x:v>
      </x:c>
      <x:c r="I20" s="12" t="str">
        <x:v>Contextual</x:v>
      </x:c>
      <x:c r="J20" s="6" t="str">
        <x:v>Yes</x:v>
      </x:c>
      <x:c r="K20" s="6" t="str">
        <x:v>Unknown</x:v>
      </x:c>
      <x:c r="L20" s="12" t="str">
        <x:v>No</x:v>
      </x:c>
      <x:c r="M20" s="12" t="str"/>
    </x:row>
    <x:row r="21">
      <x:c r="A21" s="12" t="str">
        <x:v>DPEV-00020</x:v>
      </x:c>
      <x:c r="B21" s="6" t="str">
        <x:v>DUP000009</x:v>
      </x:c>
      <x:c r="C21" s="6" t="str">
        <x:v>SVC000177</x:v>
      </x:c>
      <x:c r="D21" s="12" t="str">
        <x:v>Service Identity Observation</x:v>
      </x:c>
      <x:c r="E21" s="12" t="str">
        <x:v>iPhone 6S+ Battery Replacement</x:v>
      </x:c>
      <x:c r="F21" s="6" t="str">
        <x:v>Nocturnix_Master_Services_Catalog_v1.xlsx</x:v>
      </x:c>
      <x:c r="G21" s="6" t="str">
        <x:v>01 - Master Services</x:v>
      </x:c>
      <x:c r="H21" s="6" t="n">
        <x:v>217</x:v>
      </x:c>
      <x:c r="I21" s="12" t="str">
        <x:v>Contextual</x:v>
      </x:c>
      <x:c r="J21" s="6" t="str">
        <x:v>Yes</x:v>
      </x:c>
      <x:c r="K21" s="6" t="str">
        <x:v>Unknown</x:v>
      </x:c>
      <x:c r="L21" s="12" t="str">
        <x:v>No</x:v>
      </x:c>
      <x:c r="M21" s="12" t="str"/>
    </x:row>
    <x:row r="22">
      <x:c r="A22" s="12" t="str">
        <x:v>DPEV-00021</x:v>
      </x:c>
      <x:c r="B22" s="6" t="str">
        <x:v>DUP000010</x:v>
      </x:c>
      <x:c r="C22" s="6" t="str">
        <x:v>SVC000180</x:v>
      </x:c>
      <x:c r="D22" s="12" t="str">
        <x:v>Service Identity Observation</x:v>
      </x:c>
      <x:c r="E22" s="12" t="str">
        <x:v>iPhone 6+ Battery Replacement</x:v>
      </x:c>
      <x:c r="F22" s="6" t="str">
        <x:v>Nocturnix_Master_Services_Catalog_v1.xlsx</x:v>
      </x:c>
      <x:c r="G22" s="6" t="str">
        <x:v>01 - Master Services</x:v>
      </x:c>
      <x:c r="H22" s="6" t="n">
        <x:v>220</x:v>
      </x:c>
      <x:c r="I22" s="12" t="str">
        <x:v>Contextual</x:v>
      </x:c>
      <x:c r="J22" s="6" t="str">
        <x:v>Yes</x:v>
      </x:c>
      <x:c r="K22" s="6" t="str">
        <x:v>Unknown</x:v>
      </x:c>
      <x:c r="L22" s="12" t="str">
        <x:v>No</x:v>
      </x:c>
      <x:c r="M22" s="12" t="str"/>
    </x:row>
    <x:row r="23">
      <x:c r="A23" s="12" t="str">
        <x:v>DPEV-00022</x:v>
      </x:c>
      <x:c r="B23" s="6" t="str">
        <x:v>DUP000006</x:v>
      </x:c>
      <x:c r="C23" s="6" t="str">
        <x:v>SVC000202</x:v>
      </x:c>
      <x:c r="D23" s="12" t="str">
        <x:v>Service Identity Observation</x:v>
      </x:c>
      <x:c r="E23" s="12" t="str">
        <x:v>iPhone 7 Battery Replacement</x:v>
      </x:c>
      <x:c r="F23" s="6" t="str">
        <x:v>Nocturnix_Master_Services_Catalog_v1.xlsx</x:v>
      </x:c>
      <x:c r="G23" s="6" t="str">
        <x:v>01 - Master Services</x:v>
      </x:c>
      <x:c r="H23" s="6" t="n">
        <x:v>242</x:v>
      </x:c>
      <x:c r="I23" s="12" t="str">
        <x:v>Contextual</x:v>
      </x:c>
      <x:c r="J23" s="6" t="str">
        <x:v>Yes</x:v>
      </x:c>
      <x:c r="K23" s="6" t="str">
        <x:v>Unknown</x:v>
      </x:c>
      <x:c r="L23" s="12" t="str">
        <x:v>No</x:v>
      </x:c>
      <x:c r="M23" s="12" t="str"/>
    </x:row>
    <x:row r="24">
      <x:c r="A24" s="12" t="str">
        <x:v>DPEV-00023</x:v>
      </x:c>
      <x:c r="B24" s="6" t="str">
        <x:v>DUP000007</x:v>
      </x:c>
      <x:c r="C24" s="6" t="str">
        <x:v>SVC000203</x:v>
      </x:c>
      <x:c r="D24" s="12" t="str">
        <x:v>Service Identity Observation</x:v>
      </x:c>
      <x:c r="E24" s="12" t="str">
        <x:v>iPhone 4S Battery Replacement</x:v>
      </x:c>
      <x:c r="F24" s="6" t="str">
        <x:v>Nocturnix_Master_Services_Catalog_v1.xlsx</x:v>
      </x:c>
      <x:c r="G24" s="6" t="str">
        <x:v>01 - Master Services</x:v>
      </x:c>
      <x:c r="H24" s="6" t="n">
        <x:v>243</x:v>
      </x:c>
      <x:c r="I24" s="12" t="str">
        <x:v>Contextual</x:v>
      </x:c>
      <x:c r="J24" s="6" t="str">
        <x:v>Yes</x:v>
      </x:c>
      <x:c r="K24" s="6" t="str">
        <x:v>Unknown</x:v>
      </x:c>
      <x:c r="L24" s="12" t="str">
        <x:v>No</x:v>
      </x:c>
      <x:c r="M24" s="12" t="str"/>
    </x:row>
    <x:row r="25">
      <x:c r="A25" s="12" t="str">
        <x:v>DPEV-00024</x:v>
      </x:c>
      <x:c r="B25" s="6" t="str">
        <x:v>DUP000007</x:v>
      </x:c>
      <x:c r="C25" s="6" t="str">
        <x:v>SVC000204</x:v>
      </x:c>
      <x:c r="D25" s="12" t="str">
        <x:v>Service Identity Observation</x:v>
      </x:c>
      <x:c r="E25" s="12" t="str">
        <x:v>iPhone 4S Battery Replacement</x:v>
      </x:c>
      <x:c r="F25" s="6" t="str">
        <x:v>Nocturnix_Master_Services_Catalog_v1.xlsx</x:v>
      </x:c>
      <x:c r="G25" s="6" t="str">
        <x:v>01 - Master Services</x:v>
      </x:c>
      <x:c r="H25" s="6" t="n">
        <x:v>244</x:v>
      </x:c>
      <x:c r="I25" s="12" t="str">
        <x:v>Contextual</x:v>
      </x:c>
      <x:c r="J25" s="6" t="str">
        <x:v>Yes</x:v>
      </x:c>
      <x:c r="K25" s="6" t="str">
        <x:v>Unknown</x:v>
      </x:c>
      <x:c r="L25" s="12" t="str">
        <x:v>No</x:v>
      </x:c>
      <x:c r="M25" s="12" t="str"/>
    </x:row>
    <x:row r="26">
      <x:c r="A26" s="12" t="str">
        <x:v>DPEV-00025</x:v>
      </x:c>
      <x:c r="B26" s="6" t="str">
        <x:v>DUP000010</x:v>
      </x:c>
      <x:c r="C26" s="6" t="str">
        <x:v>SVC000206</x:v>
      </x:c>
      <x:c r="D26" s="12" t="str">
        <x:v>Service Identity Observation</x:v>
      </x:c>
      <x:c r="E26" s="12" t="str">
        <x:v>iPhone 6 Battery Replacement</x:v>
      </x:c>
      <x:c r="F26" s="6" t="str">
        <x:v>Nocturnix_Master_Services_Catalog_v1.xlsx</x:v>
      </x:c>
      <x:c r="G26" s="6" t="str">
        <x:v>01 - Master Services</x:v>
      </x:c>
      <x:c r="H26" s="6" t="n">
        <x:v>246</x:v>
      </x:c>
      <x:c r="I26" s="12" t="str">
        <x:v>Contextual</x:v>
      </x:c>
      <x:c r="J26" s="6" t="str">
        <x:v>Yes</x:v>
      </x:c>
      <x:c r="K26" s="6" t="str">
        <x:v>Unknown</x:v>
      </x:c>
      <x:c r="L26" s="12" t="str">
        <x:v>No</x:v>
      </x:c>
      <x:c r="M26" s="12" t="str"/>
    </x:row>
    <x:row r="27">
      <x:c r="A27" s="12" t="str">
        <x:v>DPEV-00026</x:v>
      </x:c>
      <x:c r="B27" s="6" t="str">
        <x:v>DUP000010</x:v>
      </x:c>
      <x:c r="C27" s="6" t="str">
        <x:v>SVC000207</x:v>
      </x:c>
      <x:c r="D27" s="12" t="str">
        <x:v>Service Identity Observation</x:v>
      </x:c>
      <x:c r="E27" s="12" t="str">
        <x:v>iPhone 6 Battery Replacement</x:v>
      </x:c>
      <x:c r="F27" s="6" t="str">
        <x:v>Nocturnix_Master_Services_Catalog_v1.xlsx</x:v>
      </x:c>
      <x:c r="G27" s="6" t="str">
        <x:v>01 - Master Services</x:v>
      </x:c>
      <x:c r="H27" s="6" t="n">
        <x:v>247</x:v>
      </x:c>
      <x:c r="I27" s="12" t="str">
        <x:v>Contextual</x:v>
      </x:c>
      <x:c r="J27" s="6" t="str">
        <x:v>Yes</x:v>
      </x:c>
      <x:c r="K27" s="6" t="str">
        <x:v>Unknown</x:v>
      </x:c>
      <x:c r="L27" s="12" t="str">
        <x:v>No</x:v>
      </x:c>
      <x:c r="M27" s="12" t="str"/>
    </x:row>
    <x:row r="28">
      <x:c r="A28" s="12" t="str">
        <x:v>DPEV-00027</x:v>
      </x:c>
      <x:c r="B28" s="6" t="str">
        <x:v>DUP000011</x:v>
      </x:c>
      <x:c r="C28" s="6" t="str">
        <x:v>SVC000217</x:v>
      </x:c>
      <x:c r="D28" s="12" t="str">
        <x:v>Service Identity Observation</x:v>
      </x:c>
      <x:c r="E28" s="12" t="str">
        <x:v>iPhone 4S Charge Port Replacement</x:v>
      </x:c>
      <x:c r="F28" s="6" t="str">
        <x:v>Nocturnix_Master_Services_Catalog_v1.xlsx</x:v>
      </x:c>
      <x:c r="G28" s="6" t="str">
        <x:v>01 - Master Services</x:v>
      </x:c>
      <x:c r="H28" s="6" t="n">
        <x:v>257</x:v>
      </x:c>
      <x:c r="I28" s="12" t="str">
        <x:v>Contextual</x:v>
      </x:c>
      <x:c r="J28" s="6" t="str">
        <x:v>Yes</x:v>
      </x:c>
      <x:c r="K28" s="6" t="str">
        <x:v>Unknown</x:v>
      </x:c>
      <x:c r="L28" s="12" t="str">
        <x:v>No</x:v>
      </x:c>
      <x:c r="M28" s="12" t="str"/>
    </x:row>
    <x:row r="29">
      <x:c r="A29" s="12" t="str">
        <x:v>DPEV-00028</x:v>
      </x:c>
      <x:c r="B29" s="6" t="str">
        <x:v>DUP000011</x:v>
      </x:c>
      <x:c r="C29" s="6" t="str">
        <x:v>SVC000218</x:v>
      </x:c>
      <x:c r="D29" s="12" t="str">
        <x:v>Service Identity Observation</x:v>
      </x:c>
      <x:c r="E29" s="12" t="str">
        <x:v>iPhone 4S Charge Port Replacement</x:v>
      </x:c>
      <x:c r="F29" s="6" t="str">
        <x:v>Nocturnix_Master_Services_Catalog_v1.xlsx</x:v>
      </x:c>
      <x:c r="G29" s="6" t="str">
        <x:v>01 - Master Services</x:v>
      </x:c>
      <x:c r="H29" s="6" t="n">
        <x:v>258</x:v>
      </x:c>
      <x:c r="I29" s="12" t="str">
        <x:v>Contextual</x:v>
      </x:c>
      <x:c r="J29" s="6" t="str">
        <x:v>Yes</x:v>
      </x:c>
      <x:c r="K29" s="6" t="str">
        <x:v>Unknown</x:v>
      </x:c>
      <x:c r="L29" s="12" t="str">
        <x:v>No</x:v>
      </x:c>
      <x:c r="M29" s="12" t="str"/>
    </x:row>
    <x:row r="30">
      <x:c r="A30" s="12" t="str">
        <x:v>DPEV-00029</x:v>
      </x:c>
      <x:c r="B30" s="6" t="str">
        <x:v>DUP000011</x:v>
      </x:c>
      <x:c r="C30" s="6" t="str">
        <x:v>SVC000219</x:v>
      </x:c>
      <x:c r="D30" s="12" t="str">
        <x:v>Service Identity Observation</x:v>
      </x:c>
      <x:c r="E30" s="12" t="str">
        <x:v>iPhone 4S Charge Port Replacement</x:v>
      </x:c>
      <x:c r="F30" s="6" t="str">
        <x:v>Nocturnix_Master_Services_Catalog_v1.xlsx</x:v>
      </x:c>
      <x:c r="G30" s="6" t="str">
        <x:v>01 - Master Services</x:v>
      </x:c>
      <x:c r="H30" s="6" t="n">
        <x:v>259</x:v>
      </x:c>
      <x:c r="I30" s="12" t="str">
        <x:v>Contextual</x:v>
      </x:c>
      <x:c r="J30" s="6" t="str">
        <x:v>Yes</x:v>
      </x:c>
      <x:c r="K30" s="6" t="str">
        <x:v>Unknown</x:v>
      </x:c>
      <x:c r="L30" s="12" t="str">
        <x:v>No</x:v>
      </x:c>
      <x:c r="M30" s="12" t="str"/>
    </x:row>
    <x:row r="31">
      <x:c r="A31" s="12" t="str">
        <x:v>DPEV-00030</x:v>
      </x:c>
      <x:c r="B31" s="6" t="str">
        <x:v>DUP000012</x:v>
      </x:c>
      <x:c r="C31" s="6" t="str">
        <x:v>SVC000223</x:v>
      </x:c>
      <x:c r="D31" s="12" t="str">
        <x:v>Service Identity Observation</x:v>
      </x:c>
      <x:c r="E31" s="12" t="str">
        <x:v>iPhone 6 Charge Port Replacement</x:v>
      </x:c>
      <x:c r="F31" s="6" t="str">
        <x:v>Nocturnix_Master_Services_Catalog_v1.xlsx</x:v>
      </x:c>
      <x:c r="G31" s="6" t="str">
        <x:v>01 - Master Services</x:v>
      </x:c>
      <x:c r="H31" s="6" t="n">
        <x:v>263</x:v>
      </x:c>
      <x:c r="I31" s="12" t="str">
        <x:v>Contextual</x:v>
      </x:c>
      <x:c r="J31" s="6" t="str">
        <x:v>Yes</x:v>
      </x:c>
      <x:c r="K31" s="6" t="str">
        <x:v>Unknown</x:v>
      </x:c>
      <x:c r="L31" s="12" t="str">
        <x:v>No</x:v>
      </x:c>
      <x:c r="M31" s="12" t="str"/>
    </x:row>
    <x:row r="32">
      <x:c r="A32" s="12" t="str">
        <x:v>DPEV-00031</x:v>
      </x:c>
      <x:c r="B32" s="6" t="str">
        <x:v>DUP000012</x:v>
      </x:c>
      <x:c r="C32" s="6" t="str">
        <x:v>SVC000224</x:v>
      </x:c>
      <x:c r="D32" s="12" t="str">
        <x:v>Service Identity Observation</x:v>
      </x:c>
      <x:c r="E32" s="12" t="str">
        <x:v>iPhone 6+ Charge Port Replacement</x:v>
      </x:c>
      <x:c r="F32" s="6" t="str">
        <x:v>Nocturnix_Master_Services_Catalog_v1.xlsx</x:v>
      </x:c>
      <x:c r="G32" s="6" t="str">
        <x:v>01 - Master Services</x:v>
      </x:c>
      <x:c r="H32" s="6" t="n">
        <x:v>264</x:v>
      </x:c>
      <x:c r="I32" s="12" t="str">
        <x:v>Contextual</x:v>
      </x:c>
      <x:c r="J32" s="6" t="str">
        <x:v>Yes</x:v>
      </x:c>
      <x:c r="K32" s="6" t="str">
        <x:v>Unknown</x:v>
      </x:c>
      <x:c r="L32" s="12" t="str">
        <x:v>No</x:v>
      </x:c>
      <x:c r="M32" s="12" t="str"/>
    </x:row>
    <x:row r="33">
      <x:c r="A33" s="12" t="str">
        <x:v>DPEV-00032</x:v>
      </x:c>
      <x:c r="B33" s="6" t="str">
        <x:v>DUP000013</x:v>
      </x:c>
      <x:c r="C33" s="6" t="str">
        <x:v>SVC000225</x:v>
      </x:c>
      <x:c r="D33" s="12" t="str">
        <x:v>Service Identity Observation</x:v>
      </x:c>
      <x:c r="E33" s="12" t="str">
        <x:v>iPhone 6S Charge Port Replacement</x:v>
      </x:c>
      <x:c r="F33" s="6" t="str">
        <x:v>Nocturnix_Master_Services_Catalog_v1.xlsx</x:v>
      </x:c>
      <x:c r="G33" s="6" t="str">
        <x:v>01 - Master Services</x:v>
      </x:c>
      <x:c r="H33" s="6" t="n">
        <x:v>265</x:v>
      </x:c>
      <x:c r="I33" s="12" t="str">
        <x:v>Contextual</x:v>
      </x:c>
      <x:c r="J33" s="6" t="str">
        <x:v>Yes</x:v>
      </x:c>
      <x:c r="K33" s="6" t="str">
        <x:v>Unknown</x:v>
      </x:c>
      <x:c r="L33" s="12" t="str">
        <x:v>No</x:v>
      </x:c>
      <x:c r="M33" s="12" t="str"/>
    </x:row>
    <x:row r="34">
      <x:c r="A34" s="12" t="str">
        <x:v>DPEV-00033</x:v>
      </x:c>
      <x:c r="B34" s="6" t="str">
        <x:v>DUP000013</x:v>
      </x:c>
      <x:c r="C34" s="6" t="str">
        <x:v>SVC000226</x:v>
      </x:c>
      <x:c r="D34" s="12" t="str">
        <x:v>Service Identity Observation</x:v>
      </x:c>
      <x:c r="E34" s="12" t="str">
        <x:v>iPhone 6S+ Charge Port Replacement</x:v>
      </x:c>
      <x:c r="F34" s="6" t="str">
        <x:v>Nocturnix_Master_Services_Catalog_v1.xlsx</x:v>
      </x:c>
      <x:c r="G34" s="6" t="str">
        <x:v>01 - Master Services</x:v>
      </x:c>
      <x:c r="H34" s="6" t="n">
        <x:v>266</x:v>
      </x:c>
      <x:c r="I34" s="12" t="str">
        <x:v>Contextual</x:v>
      </x:c>
      <x:c r="J34" s="6" t="str">
        <x:v>Yes</x:v>
      </x:c>
      <x:c r="K34" s="6" t="str">
        <x:v>Unknown</x:v>
      </x:c>
      <x:c r="L34" s="12" t="str">
        <x:v>No</x:v>
      </x:c>
      <x:c r="M34" s="12" t="str"/>
    </x:row>
    <x:row r="35">
      <x:c r="A35" s="12" t="str">
        <x:v>DPEV-00034</x:v>
      </x:c>
      <x:c r="B35" s="6" t="str">
        <x:v>DUP000013</x:v>
      </x:c>
      <x:c r="C35" s="6" t="str">
        <x:v>SVC000227</x:v>
      </x:c>
      <x:c r="D35" s="12" t="str">
        <x:v>Service Identity Observation</x:v>
      </x:c>
      <x:c r="E35" s="12" t="str">
        <x:v>iPhone 6S+ Charge Port Replacement</x:v>
      </x:c>
      <x:c r="F35" s="6" t="str">
        <x:v>Nocturnix_Master_Services_Catalog_v1.xlsx</x:v>
      </x:c>
      <x:c r="G35" s="6" t="str">
        <x:v>01 - Master Services</x:v>
      </x:c>
      <x:c r="H35" s="6" t="n">
        <x:v>267</x:v>
      </x:c>
      <x:c r="I35" s="12" t="str">
        <x:v>Contextual</x:v>
      </x:c>
      <x:c r="J35" s="6" t="str">
        <x:v>Yes</x:v>
      </x:c>
      <x:c r="K35" s="6" t="str">
        <x:v>Unknown</x:v>
      </x:c>
      <x:c r="L35" s="12" t="str">
        <x:v>No</x:v>
      </x:c>
      <x:c r="M35" s="12" t="str"/>
    </x:row>
    <x:row r="36">
      <x:c r="A36" s="12" t="str">
        <x:v>DPEV-00035</x:v>
      </x:c>
      <x:c r="B36" s="6" t="str">
        <x:v>DUP000014</x:v>
      </x:c>
      <x:c r="C36" s="6" t="str">
        <x:v>SVC000229</x:v>
      </x:c>
      <x:c r="D36" s="12" t="str">
        <x:v>Service Identity Observation</x:v>
      </x:c>
      <x:c r="E36" s="12" t="str">
        <x:v>iPhone 7 Charge Port Replacement</x:v>
      </x:c>
      <x:c r="F36" s="6" t="str">
        <x:v>Nocturnix_Master_Services_Catalog_v1.xlsx</x:v>
      </x:c>
      <x:c r="G36" s="6" t="str">
        <x:v>01 - Master Services</x:v>
      </x:c>
      <x:c r="H36" s="6" t="n">
        <x:v>269</x:v>
      </x:c>
      <x:c r="I36" s="12" t="str">
        <x:v>Contextual</x:v>
      </x:c>
      <x:c r="J36" s="6" t="str">
        <x:v>Yes</x:v>
      </x:c>
      <x:c r="K36" s="6" t="str">
        <x:v>Unknown</x:v>
      </x:c>
      <x:c r="L36" s="12" t="str">
        <x:v>No</x:v>
      </x:c>
      <x:c r="M36" s="12" t="str"/>
    </x:row>
    <x:row r="37">
      <x:c r="A37" s="12" t="str">
        <x:v>DPEV-00036</x:v>
      </x:c>
      <x:c r="B37" s="6" t="str">
        <x:v>DUP000014</x:v>
      </x:c>
      <x:c r="C37" s="6" t="str">
        <x:v>SVC000230</x:v>
      </x:c>
      <x:c r="D37" s="12" t="str">
        <x:v>Service Identity Observation</x:v>
      </x:c>
      <x:c r="E37" s="12" t="str">
        <x:v>iPhone 7+ Charge Port Replacement</x:v>
      </x:c>
      <x:c r="F37" s="6" t="str">
        <x:v>Nocturnix_Master_Services_Catalog_v1.xlsx</x:v>
      </x:c>
      <x:c r="G37" s="6" t="str">
        <x:v>01 - Master Services</x:v>
      </x:c>
      <x:c r="H37" s="6" t="n">
        <x:v>270</x:v>
      </x:c>
      <x:c r="I37" s="12" t="str">
        <x:v>Contextual</x:v>
      </x:c>
      <x:c r="J37" s="6" t="str">
        <x:v>Yes</x:v>
      </x:c>
      <x:c r="K37" s="6" t="str">
        <x:v>Unknown</x:v>
      </x:c>
      <x:c r="L37" s="12" t="str">
        <x:v>No</x:v>
      </x:c>
      <x:c r="M37" s="12" t="str"/>
    </x:row>
    <x:row r="38">
      <x:c r="A38" s="12" t="str">
        <x:v>DPEV-00037</x:v>
      </x:c>
      <x:c r="B38" s="6" t="str">
        <x:v>DUP000015</x:v>
      </x:c>
      <x:c r="C38" s="6" t="str">
        <x:v>SVC000231</x:v>
      </x:c>
      <x:c r="D38" s="12" t="str">
        <x:v>Service Identity Observation</x:v>
      </x:c>
      <x:c r="E38" s="12" t="str">
        <x:v>iPhone 8 Charge Port Replacement</x:v>
      </x:c>
      <x:c r="F38" s="6" t="str">
        <x:v>Nocturnix_Master_Services_Catalog_v1.xlsx</x:v>
      </x:c>
      <x:c r="G38" s="6" t="str">
        <x:v>01 - Master Services</x:v>
      </x:c>
      <x:c r="H38" s="6" t="n">
        <x:v>271</x:v>
      </x:c>
      <x:c r="I38" s="12" t="str">
        <x:v>Contextual</x:v>
      </x:c>
      <x:c r="J38" s="6" t="str">
        <x:v>Yes</x:v>
      </x:c>
      <x:c r="K38" s="6" t="str">
        <x:v>Unknown</x:v>
      </x:c>
      <x:c r="L38" s="12" t="str">
        <x:v>No</x:v>
      </x:c>
      <x:c r="M38" s="12" t="str"/>
    </x:row>
    <x:row r="39">
      <x:c r="A39" s="12" t="str">
        <x:v>DPEV-00038</x:v>
      </x:c>
      <x:c r="B39" s="6" t="str">
        <x:v>DUP000015</x:v>
      </x:c>
      <x:c r="C39" s="6" t="str">
        <x:v>SVC000232</x:v>
      </x:c>
      <x:c r="D39" s="12" t="str">
        <x:v>Service Identity Observation</x:v>
      </x:c>
      <x:c r="E39" s="12" t="str">
        <x:v>iPhone 8+ Charge Port Replacement</x:v>
      </x:c>
      <x:c r="F39" s="6" t="str">
        <x:v>Nocturnix_Master_Services_Catalog_v1.xlsx</x:v>
      </x:c>
      <x:c r="G39" s="6" t="str">
        <x:v>01 - Master Services</x:v>
      </x:c>
      <x:c r="H39" s="6" t="n">
        <x:v>272</x:v>
      </x:c>
      <x:c r="I39" s="12" t="str">
        <x:v>Contextual</x:v>
      </x:c>
      <x:c r="J39" s="6" t="str">
        <x:v>Yes</x:v>
      </x:c>
      <x:c r="K39" s="6" t="str">
        <x:v>Unknown</x:v>
      </x:c>
      <x:c r="L39" s="12" t="str">
        <x:v>No</x:v>
      </x:c>
      <x:c r="M39" s="12" t="str"/>
    </x:row>
    <x:row r="40">
      <x:c r="A40" s="12" t="str">
        <x:v>DPEV-00039</x:v>
      </x:c>
      <x:c r="B40" s="6" t="str">
        <x:v>DUP000001</x:v>
      </x:c>
      <x:c r="C40" s="6" t="str">
        <x:v>SVC000008</x:v>
      </x:c>
      <x:c r="D40" s="12" t="str">
        <x:v>Unsupported Relationship</x:v>
      </x:c>
      <x:c r="E40" s="12" t="str">
        <x:v>PHN</x:v>
      </x:c>
      <x:c r="F40" s="6" t="str">
        <x:v>Nocturnix_Master_Compatibility_Catalog_v1.xlsx</x:v>
      </x:c>
      <x:c r="G40" s="6" t="str">
        <x:v>01 - Compatibility Records</x:v>
      </x:c>
      <x:c r="H40" s="6" t="n">
        <x:v>48</x:v>
      </x:c>
      <x:c r="I40" s="12" t="str">
        <x:v>Unsupported</x:v>
      </x:c>
      <x:c r="J40" s="6" t="str">
        <x:v>No</x:v>
      </x:c>
      <x:c r="K40" s="6" t="str">
        <x:v>Unknown</x:v>
      </x:c>
      <x:c r="L40" s="12" t="str">
        <x:v>Yes</x:v>
      </x:c>
      <x:c r="M40" s="12" t="str"/>
    </x:row>
    <x:row r="41">
      <x:c r="A41" s="12" t="str">
        <x:v>DPEV-00040</x:v>
      </x:c>
      <x:c r="B41" s="6" t="str">
        <x:v>DUP000002</x:v>
      </x:c>
      <x:c r="C41" s="6" t="str">
        <x:v>SVC000009</x:v>
      </x:c>
      <x:c r="D41" s="12" t="str">
        <x:v>Unsupported Relationship</x:v>
      </x:c>
      <x:c r="E41" s="12" t="str">
        <x:v>PHN</x:v>
      </x:c>
      <x:c r="F41" s="6" t="str">
        <x:v>Nocturnix_Master_Compatibility_Catalog_v1.xlsx</x:v>
      </x:c>
      <x:c r="G41" s="6" t="str">
        <x:v>01 - Compatibility Records</x:v>
      </x:c>
      <x:c r="H41" s="6" t="n">
        <x:v>49</x:v>
      </x:c>
      <x:c r="I41" s="12" t="str">
        <x:v>Unsupported</x:v>
      </x:c>
      <x:c r="J41" s="6" t="str">
        <x:v>No</x:v>
      </x:c>
      <x:c r="K41" s="6" t="str">
        <x:v>Unknown</x:v>
      </x:c>
      <x:c r="L41" s="12" t="str">
        <x:v>Yes</x:v>
      </x:c>
      <x:c r="M41" s="12" t="str"/>
    </x:row>
    <x:row r="42">
      <x:c r="A42" s="12" t="str">
        <x:v>DPEV-00041</x:v>
      </x:c>
      <x:c r="B42" s="6" t="str">
        <x:v>DUP000001</x:v>
      </x:c>
      <x:c r="C42" s="6" t="str">
        <x:v>SVC000086</x:v>
      </x:c>
      <x:c r="D42" s="12" t="str">
        <x:v>Unsupported Relationship</x:v>
      </x:c>
      <x:c r="E42" s="12" t="str">
        <x:v>PHN</x:v>
      </x:c>
      <x:c r="F42" s="6" t="str">
        <x:v>Nocturnix_Master_Compatibility_Catalog_v1.xlsx</x:v>
      </x:c>
      <x:c r="G42" s="6" t="str">
        <x:v>01 - Compatibility Records</x:v>
      </x:c>
      <x:c r="H42" s="6" t="n">
        <x:v>126</x:v>
      </x:c>
      <x:c r="I42" s="12" t="str">
        <x:v>Unsupported</x:v>
      </x:c>
      <x:c r="J42" s="6" t="str">
        <x:v>No</x:v>
      </x:c>
      <x:c r="K42" s="6" t="str">
        <x:v>Unknown</x:v>
      </x:c>
      <x:c r="L42" s="12" t="str">
        <x:v>Yes</x:v>
      </x:c>
      <x:c r="M42" s="12" t="str"/>
    </x:row>
    <x:row r="43">
      <x:c r="A43" s="12" t="str">
        <x:v>DPEV-00042</x:v>
      </x:c>
      <x:c r="B43" s="6" t="str">
        <x:v>DUP000001</x:v>
      </x:c>
      <x:c r="C43" s="6" t="str">
        <x:v>SVC000087</x:v>
      </x:c>
      <x:c r="D43" s="12" t="str">
        <x:v>Unsupported Relationship</x:v>
      </x:c>
      <x:c r="E43" s="12" t="str">
        <x:v>PHN</x:v>
      </x:c>
      <x:c r="F43" s="6" t="str">
        <x:v>Nocturnix_Master_Compatibility_Catalog_v1.xlsx</x:v>
      </x:c>
      <x:c r="G43" s="6" t="str">
        <x:v>01 - Compatibility Records</x:v>
      </x:c>
      <x:c r="H43" s="6" t="n">
        <x:v>127</x:v>
      </x:c>
      <x:c r="I43" s="12" t="str">
        <x:v>Unsupported</x:v>
      </x:c>
      <x:c r="J43" s="6" t="str">
        <x:v>No</x:v>
      </x:c>
      <x:c r="K43" s="6" t="str">
        <x:v>Unknown</x:v>
      </x:c>
      <x:c r="L43" s="12" t="str">
        <x:v>Yes</x:v>
      </x:c>
      <x:c r="M43" s="12" t="str"/>
    </x:row>
    <x:row r="44">
      <x:c r="A44" s="12" t="str">
        <x:v>DPEV-00043</x:v>
      </x:c>
      <x:c r="B44" s="6" t="str">
        <x:v>DUP000002</x:v>
      </x:c>
      <x:c r="C44" s="6" t="str">
        <x:v>SVC000088</x:v>
      </x:c>
      <x:c r="D44" s="12" t="str">
        <x:v>Unsupported Relationship</x:v>
      </x:c>
      <x:c r="E44" s="12" t="str">
        <x:v>PHN</x:v>
      </x:c>
      <x:c r="F44" s="6" t="str">
        <x:v>Nocturnix_Master_Compatibility_Catalog_v1.xlsx</x:v>
      </x:c>
      <x:c r="G44" s="6" t="str">
        <x:v>01 - Compatibility Records</x:v>
      </x:c>
      <x:c r="H44" s="6" t="n">
        <x:v>128</x:v>
      </x:c>
      <x:c r="I44" s="12" t="str">
        <x:v>Unsupported</x:v>
      </x:c>
      <x:c r="J44" s="6" t="str">
        <x:v>No</x:v>
      </x:c>
      <x:c r="K44" s="6" t="str">
        <x:v>Unknown</x:v>
      </x:c>
      <x:c r="L44" s="12" t="str">
        <x:v>Yes</x:v>
      </x:c>
      <x:c r="M44" s="12" t="str"/>
    </x:row>
    <x:row r="45">
      <x:c r="A45" s="12" t="str">
        <x:v>DPEV-00044</x:v>
      </x:c>
      <x:c r="B45" s="6" t="str">
        <x:v>DUP000002</x:v>
      </x:c>
      <x:c r="C45" s="6" t="str">
        <x:v>SVC000089</x:v>
      </x:c>
      <x:c r="D45" s="12" t="str">
        <x:v>Unsupported Relationship</x:v>
      </x:c>
      <x:c r="E45" s="12" t="str">
        <x:v>PHN</x:v>
      </x:c>
      <x:c r="F45" s="6" t="str">
        <x:v>Nocturnix_Master_Compatibility_Catalog_v1.xlsx</x:v>
      </x:c>
      <x:c r="G45" s="6" t="str">
        <x:v>01 - Compatibility Records</x:v>
      </x:c>
      <x:c r="H45" s="6" t="n">
        <x:v>129</x:v>
      </x:c>
      <x:c r="I45" s="12" t="str">
        <x:v>Unsupported</x:v>
      </x:c>
      <x:c r="J45" s="6" t="str">
        <x:v>No</x:v>
      </x:c>
      <x:c r="K45" s="6" t="str">
        <x:v>Unknown</x:v>
      </x:c>
      <x:c r="L45" s="12" t="str">
        <x:v>Yes</x:v>
      </x:c>
      <x:c r="M45" s="12" t="str"/>
    </x:row>
    <x:row r="46">
      <x:c r="A46" s="12" t="str">
        <x:v>DPEV-00045</x:v>
      </x:c>
      <x:c r="B46" s="6" t="str">
        <x:v>DUP000003</x:v>
      </x:c>
      <x:c r="C46" s="6" t="str">
        <x:v>SVC000090</x:v>
      </x:c>
      <x:c r="D46" s="12" t="str">
        <x:v>Unsupported Relationship</x:v>
      </x:c>
      <x:c r="E46" s="12" t="str">
        <x:v>PHN</x:v>
      </x:c>
      <x:c r="F46" s="6" t="str">
        <x:v>Nocturnix_Master_Compatibility_Catalog_v1.xlsx</x:v>
      </x:c>
      <x:c r="G46" s="6" t="str">
        <x:v>01 - Compatibility Records</x:v>
      </x:c>
      <x:c r="H46" s="6" t="n">
        <x:v>130</x:v>
      </x:c>
      <x:c r="I46" s="12" t="str">
        <x:v>Unsupported</x:v>
      </x:c>
      <x:c r="J46" s="6" t="str">
        <x:v>No</x:v>
      </x:c>
      <x:c r="K46" s="6" t="str">
        <x:v>Unknown</x:v>
      </x:c>
      <x:c r="L46" s="12" t="str">
        <x:v>Yes</x:v>
      </x:c>
      <x:c r="M46" s="12" t="str"/>
    </x:row>
    <x:row r="47">
      <x:c r="A47" s="12" t="str">
        <x:v>DPEV-00046</x:v>
      </x:c>
      <x:c r="B47" s="6" t="str">
        <x:v>DUP000003</x:v>
      </x:c>
      <x:c r="C47" s="6" t="str">
        <x:v>SVC000091</x:v>
      </x:c>
      <x:c r="D47" s="12" t="str">
        <x:v>Unsupported Relationship</x:v>
      </x:c>
      <x:c r="E47" s="12" t="str">
        <x:v>PHN</x:v>
      </x:c>
      <x:c r="F47" s="6" t="str">
        <x:v>Nocturnix_Master_Compatibility_Catalog_v1.xlsx</x:v>
      </x:c>
      <x:c r="G47" s="6" t="str">
        <x:v>01 - Compatibility Records</x:v>
      </x:c>
      <x:c r="H47" s="6" t="n">
        <x:v>131</x:v>
      </x:c>
      <x:c r="I47" s="12" t="str">
        <x:v>Unsupported</x:v>
      </x:c>
      <x:c r="J47" s="6" t="str">
        <x:v>No</x:v>
      </x:c>
      <x:c r="K47" s="6" t="str">
        <x:v>Unknown</x:v>
      </x:c>
      <x:c r="L47" s="12" t="str">
        <x:v>Yes</x:v>
      </x:c>
      <x:c r="M47" s="12" t="str"/>
    </x:row>
    <x:row r="48">
      <x:c r="A48" s="12" t="str">
        <x:v>DPEV-00047</x:v>
      </x:c>
      <x:c r="B48" s="6" t="str">
        <x:v>DUP000004</x:v>
      </x:c>
      <x:c r="C48" s="6" t="str">
        <x:v>SVC000092</x:v>
      </x:c>
      <x:c r="D48" s="12" t="str">
        <x:v>Unsupported Relationship</x:v>
      </x:c>
      <x:c r="E48" s="12" t="str">
        <x:v>PHN</x:v>
      </x:c>
      <x:c r="F48" s="6" t="str">
        <x:v>Nocturnix_Master_Compatibility_Catalog_v1.xlsx</x:v>
      </x:c>
      <x:c r="G48" s="6" t="str">
        <x:v>01 - Compatibility Records</x:v>
      </x:c>
      <x:c r="H48" s="6" t="n">
        <x:v>132</x:v>
      </x:c>
      <x:c r="I48" s="12" t="str">
        <x:v>Unsupported</x:v>
      </x:c>
      <x:c r="J48" s="6" t="str">
        <x:v>No</x:v>
      </x:c>
      <x:c r="K48" s="6" t="str">
        <x:v>Unknown</x:v>
      </x:c>
      <x:c r="L48" s="12" t="str">
        <x:v>Yes</x:v>
      </x:c>
      <x:c r="M48" s="12" t="str"/>
    </x:row>
    <x:row r="49">
      <x:c r="A49" s="12" t="str">
        <x:v>DPEV-00048</x:v>
      </x:c>
      <x:c r="B49" s="6" t="str">
        <x:v>DUP000004</x:v>
      </x:c>
      <x:c r="C49" s="6" t="str">
        <x:v>SVC000093</x:v>
      </x:c>
      <x:c r="D49" s="12" t="str">
        <x:v>Unsupported Relationship</x:v>
      </x:c>
      <x:c r="E49" s="12" t="str">
        <x:v>PHN</x:v>
      </x:c>
      <x:c r="F49" s="6" t="str">
        <x:v>Nocturnix_Master_Compatibility_Catalog_v1.xlsx</x:v>
      </x:c>
      <x:c r="G49" s="6" t="str">
        <x:v>01 - Compatibility Records</x:v>
      </x:c>
      <x:c r="H49" s="6" t="n">
        <x:v>133</x:v>
      </x:c>
      <x:c r="I49" s="12" t="str">
        <x:v>Unsupported</x:v>
      </x:c>
      <x:c r="J49" s="6" t="str">
        <x:v>No</x:v>
      </x:c>
      <x:c r="K49" s="6" t="str">
        <x:v>Unknown</x:v>
      </x:c>
      <x:c r="L49" s="12" t="str">
        <x:v>Yes</x:v>
      </x:c>
      <x:c r="M49" s="12" t="str"/>
    </x:row>
    <x:row r="50">
      <x:c r="A50" s="12" t="str">
        <x:v>DPEV-00049</x:v>
      </x:c>
      <x:c r="B50" s="6" t="str">
        <x:v>DUP000005</x:v>
      </x:c>
      <x:c r="C50" s="6" t="str">
        <x:v>SVC000101</x:v>
      </x:c>
      <x:c r="D50" s="12" t="str">
        <x:v>Unsupported Relationship</x:v>
      </x:c>
      <x:c r="E50" s="12" t="str">
        <x:v>PHN</x:v>
      </x:c>
      <x:c r="F50" s="6" t="str">
        <x:v>Nocturnix_Master_Compatibility_Catalog_v1.xlsx</x:v>
      </x:c>
      <x:c r="G50" s="6" t="str">
        <x:v>01 - Compatibility Records</x:v>
      </x:c>
      <x:c r="H50" s="6" t="n">
        <x:v>141</x:v>
      </x:c>
      <x:c r="I50" s="12" t="str">
        <x:v>Unsupported</x:v>
      </x:c>
      <x:c r="J50" s="6" t="str">
        <x:v>No</x:v>
      </x:c>
      <x:c r="K50" s="6" t="str">
        <x:v>Unknown</x:v>
      </x:c>
      <x:c r="L50" s="12" t="str">
        <x:v>Yes</x:v>
      </x:c>
      <x:c r="M50" s="12" t="str"/>
    </x:row>
    <x:row r="51">
      <x:c r="A51" s="12" t="str">
        <x:v>DPEV-00050</x:v>
      </x:c>
      <x:c r="B51" s="6" t="str">
        <x:v>DUP000005</x:v>
      </x:c>
      <x:c r="C51" s="6" t="str">
        <x:v>SVC000102</x:v>
      </x:c>
      <x:c r="D51" s="12" t="str">
        <x:v>Unsupported Relationship</x:v>
      </x:c>
      <x:c r="E51" s="12" t="str">
        <x:v>PHN</x:v>
      </x:c>
      <x:c r="F51" s="6" t="str">
        <x:v>Nocturnix_Master_Compatibility_Catalog_v1.xlsx</x:v>
      </x:c>
      <x:c r="G51" s="6" t="str">
        <x:v>01 - Compatibility Records</x:v>
      </x:c>
      <x:c r="H51" s="6" t="n">
        <x:v>142</x:v>
      </x:c>
      <x:c r="I51" s="12" t="str">
        <x:v>Unsupported</x:v>
      </x:c>
      <x:c r="J51" s="6" t="str">
        <x:v>No</x:v>
      </x:c>
      <x:c r="K51" s="6" t="str">
        <x:v>Unknown</x:v>
      </x:c>
      <x:c r="L51" s="12" t="str">
        <x:v>Yes</x:v>
      </x:c>
      <x:c r="M51" s="12" t="str"/>
    </x:row>
    <x:row r="52">
      <x:c r="A52" s="12" t="str">
        <x:v>DPEV-00051</x:v>
      </x:c>
      <x:c r="B52" s="6" t="str">
        <x:v>DUP000005</x:v>
      </x:c>
      <x:c r="C52" s="6" t="str">
        <x:v>SVC000103</x:v>
      </x:c>
      <x:c r="D52" s="12" t="str">
        <x:v>Unsupported Relationship</x:v>
      </x:c>
      <x:c r="E52" s="12" t="str">
        <x:v>PHN</x:v>
      </x:c>
      <x:c r="F52" s="6" t="str">
        <x:v>Nocturnix_Master_Compatibility_Catalog_v1.xlsx</x:v>
      </x:c>
      <x:c r="G52" s="6" t="str">
        <x:v>01 - Compatibility Records</x:v>
      </x:c>
      <x:c r="H52" s="6" t="n">
        <x:v>143</x:v>
      </x:c>
      <x:c r="I52" s="12" t="str">
        <x:v>Unsupported</x:v>
      </x:c>
      <x:c r="J52" s="6" t="str">
        <x:v>No</x:v>
      </x:c>
      <x:c r="K52" s="6" t="str">
        <x:v>Unknown</x:v>
      </x:c>
      <x:c r="L52" s="12" t="str">
        <x:v>Yes</x:v>
      </x:c>
      <x:c r="M52" s="12" t="str"/>
    </x:row>
    <x:row r="53">
      <x:c r="A53" s="12" t="str">
        <x:v>DPEV-00052</x:v>
      </x:c>
      <x:c r="B53" s="6" t="str">
        <x:v>DUP000006</x:v>
      </x:c>
      <x:c r="C53" s="6" t="str">
        <x:v>SVC000167</x:v>
      </x:c>
      <x:c r="D53" s="12" t="str">
        <x:v>Unsupported Relationship</x:v>
      </x:c>
      <x:c r="E53" s="12" t="str">
        <x:v>PHN</x:v>
      </x:c>
      <x:c r="F53" s="6" t="str">
        <x:v>Nocturnix_Master_Compatibility_Catalog_v1.xlsx</x:v>
      </x:c>
      <x:c r="G53" s="6" t="str">
        <x:v>01 - Compatibility Records</x:v>
      </x:c>
      <x:c r="H53" s="6" t="n">
        <x:v>207</x:v>
      </x:c>
      <x:c r="I53" s="12" t="str">
        <x:v>Unsupported</x:v>
      </x:c>
      <x:c r="J53" s="6" t="str">
        <x:v>No</x:v>
      </x:c>
      <x:c r="K53" s="6" t="str">
        <x:v>Unknown</x:v>
      </x:c>
      <x:c r="L53" s="12" t="str">
        <x:v>Yes</x:v>
      </x:c>
      <x:c r="M53" s="12" t="str"/>
    </x:row>
    <x:row r="54">
      <x:c r="A54" s="12" t="str">
        <x:v>DPEV-00053</x:v>
      </x:c>
      <x:c r="B54" s="6" t="str">
        <x:v>DUP000007</x:v>
      </x:c>
      <x:c r="C54" s="6" t="str">
        <x:v>SVC000170</x:v>
      </x:c>
      <x:c r="D54" s="12" t="str">
        <x:v>Unsupported Relationship</x:v>
      </x:c>
      <x:c r="E54" s="12" t="str">
        <x:v>PHN</x:v>
      </x:c>
      <x:c r="F54" s="6" t="str">
        <x:v>Nocturnix_Master_Compatibility_Catalog_v1.xlsx</x:v>
      </x:c>
      <x:c r="G54" s="6" t="str">
        <x:v>01 - Compatibility Records</x:v>
      </x:c>
      <x:c r="H54" s="6" t="n">
        <x:v>210</x:v>
      </x:c>
      <x:c r="I54" s="12" t="str">
        <x:v>Unsupported</x:v>
      </x:c>
      <x:c r="J54" s="6" t="str">
        <x:v>No</x:v>
      </x:c>
      <x:c r="K54" s="6" t="str">
        <x:v>Unknown</x:v>
      </x:c>
      <x:c r="L54" s="12" t="str">
        <x:v>Yes</x:v>
      </x:c>
      <x:c r="M54" s="12" t="str"/>
    </x:row>
    <x:row r="55">
      <x:c r="A55" s="12" t="str">
        <x:v>DPEV-00054</x:v>
      </x:c>
      <x:c r="B55" s="6" t="str">
        <x:v>DUP000008</x:v>
      </x:c>
      <x:c r="C55" s="6" t="str">
        <x:v>SVC000173</x:v>
      </x:c>
      <x:c r="D55" s="12" t="str">
        <x:v>Unsupported Relationship</x:v>
      </x:c>
      <x:c r="E55" s="12" t="str">
        <x:v>PHN</x:v>
      </x:c>
      <x:c r="F55" s="6" t="str">
        <x:v>Nocturnix_Master_Compatibility_Catalog_v1.xlsx</x:v>
      </x:c>
      <x:c r="G55" s="6" t="str">
        <x:v>01 - Compatibility Records</x:v>
      </x:c>
      <x:c r="H55" s="6" t="n">
        <x:v>213</x:v>
      </x:c>
      <x:c r="I55" s="12" t="str">
        <x:v>Unsupported</x:v>
      </x:c>
      <x:c r="J55" s="6" t="str">
        <x:v>No</x:v>
      </x:c>
      <x:c r="K55" s="6" t="str">
        <x:v>Unknown</x:v>
      </x:c>
      <x:c r="L55" s="12" t="str">
        <x:v>Yes</x:v>
      </x:c>
      <x:c r="M55" s="12" t="str"/>
    </x:row>
    <x:row r="56">
      <x:c r="A56" s="12" t="str">
        <x:v>DPEV-00055</x:v>
      </x:c>
      <x:c r="B56" s="6" t="str">
        <x:v>DUP000009</x:v>
      </x:c>
      <x:c r="C56" s="6" t="str">
        <x:v>SVC000174</x:v>
      </x:c>
      <x:c r="D56" s="12" t="str">
        <x:v>Unsupported Relationship</x:v>
      </x:c>
      <x:c r="E56" s="12" t="str">
        <x:v>PHN</x:v>
      </x:c>
      <x:c r="F56" s="6" t="str">
        <x:v>Nocturnix_Master_Compatibility_Catalog_v1.xlsx</x:v>
      </x:c>
      <x:c r="G56" s="6" t="str">
        <x:v>01 - Compatibility Records</x:v>
      </x:c>
      <x:c r="H56" s="6" t="n">
        <x:v>214</x:v>
      </x:c>
      <x:c r="I56" s="12" t="str">
        <x:v>Unsupported</x:v>
      </x:c>
      <x:c r="J56" s="6" t="str">
        <x:v>No</x:v>
      </x:c>
      <x:c r="K56" s="6" t="str">
        <x:v>Unknown</x:v>
      </x:c>
      <x:c r="L56" s="12" t="str">
        <x:v>Yes</x:v>
      </x:c>
      <x:c r="M56" s="12" t="str"/>
    </x:row>
    <x:row r="57">
      <x:c r="A57" s="12" t="str">
        <x:v>DPEV-00056</x:v>
      </x:c>
      <x:c r="B57" s="6" t="str">
        <x:v>DUP000008</x:v>
      </x:c>
      <x:c r="C57" s="6" t="str">
        <x:v>SVC000175</x:v>
      </x:c>
      <x:c r="D57" s="12" t="str">
        <x:v>Unsupported Relationship</x:v>
      </x:c>
      <x:c r="E57" s="12" t="str">
        <x:v>PHN</x:v>
      </x:c>
      <x:c r="F57" s="6" t="str">
        <x:v>Nocturnix_Master_Compatibility_Catalog_v1.xlsx</x:v>
      </x:c>
      <x:c r="G57" s="6" t="str">
        <x:v>01 - Compatibility Records</x:v>
      </x:c>
      <x:c r="H57" s="6" t="n">
        <x:v>215</x:v>
      </x:c>
      <x:c r="I57" s="12" t="str">
        <x:v>Unsupported</x:v>
      </x:c>
      <x:c r="J57" s="6" t="str">
        <x:v>No</x:v>
      </x:c>
      <x:c r="K57" s="6" t="str">
        <x:v>Unknown</x:v>
      </x:c>
      <x:c r="L57" s="12" t="str">
        <x:v>Yes</x:v>
      </x:c>
      <x:c r="M57" s="12" t="str"/>
    </x:row>
    <x:row r="58">
      <x:c r="A58" s="12" t="str">
        <x:v>DPEV-00057</x:v>
      </x:c>
      <x:c r="B58" s="6" t="str">
        <x:v>DUP000009</x:v>
      </x:c>
      <x:c r="C58" s="6" t="str">
        <x:v>SVC000176</x:v>
      </x:c>
      <x:c r="D58" s="12" t="str">
        <x:v>Unsupported Relationship</x:v>
      </x:c>
      <x:c r="E58" s="12" t="str">
        <x:v>PHN</x:v>
      </x:c>
      <x:c r="F58" s="6" t="str">
        <x:v>Nocturnix_Master_Compatibility_Catalog_v1.xlsx</x:v>
      </x:c>
      <x:c r="G58" s="6" t="str">
        <x:v>01 - Compatibility Records</x:v>
      </x:c>
      <x:c r="H58" s="6" t="n">
        <x:v>216</x:v>
      </x:c>
      <x:c r="I58" s="12" t="str">
        <x:v>Unsupported</x:v>
      </x:c>
      <x:c r="J58" s="6" t="str">
        <x:v>No</x:v>
      </x:c>
      <x:c r="K58" s="6" t="str">
        <x:v>Unknown</x:v>
      </x:c>
      <x:c r="L58" s="12" t="str">
        <x:v>Yes</x:v>
      </x:c>
      <x:c r="M58" s="12" t="str"/>
    </x:row>
    <x:row r="59">
      <x:c r="A59" s="12" t="str">
        <x:v>DPEV-00058</x:v>
      </x:c>
      <x:c r="B59" s="6" t="str">
        <x:v>DUP000009</x:v>
      </x:c>
      <x:c r="C59" s="6" t="str">
        <x:v>SVC000177</x:v>
      </x:c>
      <x:c r="D59" s="12" t="str">
        <x:v>Unsupported Relationship</x:v>
      </x:c>
      <x:c r="E59" s="12" t="str">
        <x:v>PHN</x:v>
      </x:c>
      <x:c r="F59" s="6" t="str">
        <x:v>Nocturnix_Master_Compatibility_Catalog_v1.xlsx</x:v>
      </x:c>
      <x:c r="G59" s="6" t="str">
        <x:v>01 - Compatibility Records</x:v>
      </x:c>
      <x:c r="H59" s="6" t="n">
        <x:v>217</x:v>
      </x:c>
      <x:c r="I59" s="12" t="str">
        <x:v>Unsupported</x:v>
      </x:c>
      <x:c r="J59" s="6" t="str">
        <x:v>No</x:v>
      </x:c>
      <x:c r="K59" s="6" t="str">
        <x:v>Unknown</x:v>
      </x:c>
      <x:c r="L59" s="12" t="str">
        <x:v>Yes</x:v>
      </x:c>
      <x:c r="M59" s="12" t="str"/>
    </x:row>
    <x:row r="60">
      <x:c r="A60" s="12" t="str">
        <x:v>DPEV-00059</x:v>
      </x:c>
      <x:c r="B60" s="6" t="str">
        <x:v>DUP000010</x:v>
      </x:c>
      <x:c r="C60" s="6" t="str">
        <x:v>SVC000180</x:v>
      </x:c>
      <x:c r="D60" s="12" t="str">
        <x:v>Unsupported Relationship</x:v>
      </x:c>
      <x:c r="E60" s="12" t="str">
        <x:v>PHN</x:v>
      </x:c>
      <x:c r="F60" s="6" t="str">
        <x:v>Nocturnix_Master_Compatibility_Catalog_v1.xlsx</x:v>
      </x:c>
      <x:c r="G60" s="6" t="str">
        <x:v>01 - Compatibility Records</x:v>
      </x:c>
      <x:c r="H60" s="6" t="n">
        <x:v>220</x:v>
      </x:c>
      <x:c r="I60" s="12" t="str">
        <x:v>Unsupported</x:v>
      </x:c>
      <x:c r="J60" s="6" t="str">
        <x:v>No</x:v>
      </x:c>
      <x:c r="K60" s="6" t="str">
        <x:v>Unknown</x:v>
      </x:c>
      <x:c r="L60" s="12" t="str">
        <x:v>Yes</x:v>
      </x:c>
      <x:c r="M60" s="12" t="str"/>
    </x:row>
    <x:row r="61">
      <x:c r="A61" s="12" t="str">
        <x:v>DPEV-00060</x:v>
      </x:c>
      <x:c r="B61" s="6" t="str">
        <x:v>DUP000006</x:v>
      </x:c>
      <x:c r="C61" s="6" t="str">
        <x:v>SVC000202</x:v>
      </x:c>
      <x:c r="D61" s="12" t="str">
        <x:v>Unsupported Relationship</x:v>
      </x:c>
      <x:c r="E61" s="12" t="str">
        <x:v>PHN</x:v>
      </x:c>
      <x:c r="F61" s="6" t="str">
        <x:v>Nocturnix_Master_Compatibility_Catalog_v1.xlsx</x:v>
      </x:c>
      <x:c r="G61" s="6" t="str">
        <x:v>01 - Compatibility Records</x:v>
      </x:c>
      <x:c r="H61" s="6" t="n">
        <x:v>242</x:v>
      </x:c>
      <x:c r="I61" s="12" t="str">
        <x:v>Unsupported</x:v>
      </x:c>
      <x:c r="J61" s="6" t="str">
        <x:v>No</x:v>
      </x:c>
      <x:c r="K61" s="6" t="str">
        <x:v>Unknown</x:v>
      </x:c>
      <x:c r="L61" s="12" t="str">
        <x:v>Yes</x:v>
      </x:c>
      <x:c r="M61" s="12" t="str"/>
    </x:row>
    <x:row r="62">
      <x:c r="A62" s="12" t="str">
        <x:v>DPEV-00061</x:v>
      </x:c>
      <x:c r="B62" s="6" t="str">
        <x:v>DUP000007</x:v>
      </x:c>
      <x:c r="C62" s="6" t="str">
        <x:v>SVC000203</x:v>
      </x:c>
      <x:c r="D62" s="12" t="str">
        <x:v>Unsupported Relationship</x:v>
      </x:c>
      <x:c r="E62" s="12" t="str">
        <x:v>PHN</x:v>
      </x:c>
      <x:c r="F62" s="6" t="str">
        <x:v>Nocturnix_Master_Compatibility_Catalog_v1.xlsx</x:v>
      </x:c>
      <x:c r="G62" s="6" t="str">
        <x:v>01 - Compatibility Records</x:v>
      </x:c>
      <x:c r="H62" s="6" t="n">
        <x:v>243</x:v>
      </x:c>
      <x:c r="I62" s="12" t="str">
        <x:v>Unsupported</x:v>
      </x:c>
      <x:c r="J62" s="6" t="str">
        <x:v>No</x:v>
      </x:c>
      <x:c r="K62" s="6" t="str">
        <x:v>Unknown</x:v>
      </x:c>
      <x:c r="L62" s="12" t="str">
        <x:v>Yes</x:v>
      </x:c>
      <x:c r="M62" s="12" t="str"/>
    </x:row>
    <x:row r="63">
      <x:c r="A63" s="12" t="str">
        <x:v>DPEV-00062</x:v>
      </x:c>
      <x:c r="B63" s="6" t="str">
        <x:v>DUP000007</x:v>
      </x:c>
      <x:c r="C63" s="6" t="str">
        <x:v>SVC000204</x:v>
      </x:c>
      <x:c r="D63" s="12" t="str">
        <x:v>Unsupported Relationship</x:v>
      </x:c>
      <x:c r="E63" s="12" t="str">
        <x:v>PHN</x:v>
      </x:c>
      <x:c r="F63" s="6" t="str">
        <x:v>Nocturnix_Master_Compatibility_Catalog_v1.xlsx</x:v>
      </x:c>
      <x:c r="G63" s="6" t="str">
        <x:v>01 - Compatibility Records</x:v>
      </x:c>
      <x:c r="H63" s="6" t="n">
        <x:v>244</x:v>
      </x:c>
      <x:c r="I63" s="12" t="str">
        <x:v>Unsupported</x:v>
      </x:c>
      <x:c r="J63" s="6" t="str">
        <x:v>No</x:v>
      </x:c>
      <x:c r="K63" s="6" t="str">
        <x:v>Unknown</x:v>
      </x:c>
      <x:c r="L63" s="12" t="str">
        <x:v>Yes</x:v>
      </x:c>
      <x:c r="M63" s="12" t="str"/>
    </x:row>
    <x:row r="64">
      <x:c r="A64" s="12" t="str">
        <x:v>DPEV-00063</x:v>
      </x:c>
      <x:c r="B64" s="6" t="str">
        <x:v>DUP000010</x:v>
      </x:c>
      <x:c r="C64" s="6" t="str">
        <x:v>SVC000206</x:v>
      </x:c>
      <x:c r="D64" s="12" t="str">
        <x:v>Unsupported Relationship</x:v>
      </x:c>
      <x:c r="E64" s="12" t="str">
        <x:v>PHN</x:v>
      </x:c>
      <x:c r="F64" s="6" t="str">
        <x:v>Nocturnix_Master_Compatibility_Catalog_v1.xlsx</x:v>
      </x:c>
      <x:c r="G64" s="6" t="str">
        <x:v>01 - Compatibility Records</x:v>
      </x:c>
      <x:c r="H64" s="6" t="n">
        <x:v>246</x:v>
      </x:c>
      <x:c r="I64" s="12" t="str">
        <x:v>Unsupported</x:v>
      </x:c>
      <x:c r="J64" s="6" t="str">
        <x:v>No</x:v>
      </x:c>
      <x:c r="K64" s="6" t="str">
        <x:v>Unknown</x:v>
      </x:c>
      <x:c r="L64" s="12" t="str">
        <x:v>Yes</x:v>
      </x:c>
      <x:c r="M64" s="12" t="str"/>
    </x:row>
    <x:row r="65">
      <x:c r="A65" s="12" t="str">
        <x:v>DPEV-00064</x:v>
      </x:c>
      <x:c r="B65" s="6" t="str">
        <x:v>DUP000010</x:v>
      </x:c>
      <x:c r="C65" s="6" t="str">
        <x:v>SVC000207</x:v>
      </x:c>
      <x:c r="D65" s="12" t="str">
        <x:v>Unsupported Relationship</x:v>
      </x:c>
      <x:c r="E65" s="12" t="str">
        <x:v>PHN</x:v>
      </x:c>
      <x:c r="F65" s="6" t="str">
        <x:v>Nocturnix_Master_Compatibility_Catalog_v1.xlsx</x:v>
      </x:c>
      <x:c r="G65" s="6" t="str">
        <x:v>01 - Compatibility Records</x:v>
      </x:c>
      <x:c r="H65" s="6" t="n">
        <x:v>247</x:v>
      </x:c>
      <x:c r="I65" s="12" t="str">
        <x:v>Unsupported</x:v>
      </x:c>
      <x:c r="J65" s="6" t="str">
        <x:v>No</x:v>
      </x:c>
      <x:c r="K65" s="6" t="str">
        <x:v>Unknown</x:v>
      </x:c>
      <x:c r="L65" s="12" t="str">
        <x:v>Yes</x:v>
      </x:c>
      <x:c r="M65" s="12" t="str"/>
    </x:row>
    <x:row r="66">
      <x:c r="A66" s="12" t="str">
        <x:v>DPEV-00065</x:v>
      </x:c>
      <x:c r="B66" s="6" t="str">
        <x:v>DUP000011</x:v>
      </x:c>
      <x:c r="C66" s="6" t="str">
        <x:v>SVC000217</x:v>
      </x:c>
      <x:c r="D66" s="12" t="str">
        <x:v>Unsupported Relationship</x:v>
      </x:c>
      <x:c r="E66" s="12" t="str">
        <x:v>PHN</x:v>
      </x:c>
      <x:c r="F66" s="6" t="str">
        <x:v>Nocturnix_Master_Compatibility_Catalog_v1.xlsx</x:v>
      </x:c>
      <x:c r="G66" s="6" t="str">
        <x:v>01 - Compatibility Records</x:v>
      </x:c>
      <x:c r="H66" s="6" t="n">
        <x:v>257</x:v>
      </x:c>
      <x:c r="I66" s="12" t="str">
        <x:v>Unsupported</x:v>
      </x:c>
      <x:c r="J66" s="6" t="str">
        <x:v>No</x:v>
      </x:c>
      <x:c r="K66" s="6" t="str">
        <x:v>Unknown</x:v>
      </x:c>
      <x:c r="L66" s="12" t="str">
        <x:v>Yes</x:v>
      </x:c>
      <x:c r="M66" s="12" t="str"/>
    </x:row>
    <x:row r="67">
      <x:c r="A67" s="12" t="str">
        <x:v>DPEV-00066</x:v>
      </x:c>
      <x:c r="B67" s="6" t="str">
        <x:v>DUP000011</x:v>
      </x:c>
      <x:c r="C67" s="6" t="str">
        <x:v>SVC000218</x:v>
      </x:c>
      <x:c r="D67" s="12" t="str">
        <x:v>Unsupported Relationship</x:v>
      </x:c>
      <x:c r="E67" s="12" t="str">
        <x:v>PHN</x:v>
      </x:c>
      <x:c r="F67" s="6" t="str">
        <x:v>Nocturnix_Master_Compatibility_Catalog_v1.xlsx</x:v>
      </x:c>
      <x:c r="G67" s="6" t="str">
        <x:v>01 - Compatibility Records</x:v>
      </x:c>
      <x:c r="H67" s="6" t="n">
        <x:v>258</x:v>
      </x:c>
      <x:c r="I67" s="12" t="str">
        <x:v>Unsupported</x:v>
      </x:c>
      <x:c r="J67" s="6" t="str">
        <x:v>No</x:v>
      </x:c>
      <x:c r="K67" s="6" t="str">
        <x:v>Unknown</x:v>
      </x:c>
      <x:c r="L67" s="12" t="str">
        <x:v>Yes</x:v>
      </x:c>
      <x:c r="M67" s="12" t="str"/>
    </x:row>
    <x:row r="68">
      <x:c r="A68" s="12" t="str">
        <x:v>DPEV-00067</x:v>
      </x:c>
      <x:c r="B68" s="6" t="str">
        <x:v>DUP000011</x:v>
      </x:c>
      <x:c r="C68" s="6" t="str">
        <x:v>SVC000219</x:v>
      </x:c>
      <x:c r="D68" s="12" t="str">
        <x:v>Unsupported Relationship</x:v>
      </x:c>
      <x:c r="E68" s="12" t="str">
        <x:v>PHN</x:v>
      </x:c>
      <x:c r="F68" s="6" t="str">
        <x:v>Nocturnix_Master_Compatibility_Catalog_v1.xlsx</x:v>
      </x:c>
      <x:c r="G68" s="6" t="str">
        <x:v>01 - Compatibility Records</x:v>
      </x:c>
      <x:c r="H68" s="6" t="n">
        <x:v>259</x:v>
      </x:c>
      <x:c r="I68" s="12" t="str">
        <x:v>Unsupported</x:v>
      </x:c>
      <x:c r="J68" s="6" t="str">
        <x:v>No</x:v>
      </x:c>
      <x:c r="K68" s="6" t="str">
        <x:v>Unknown</x:v>
      </x:c>
      <x:c r="L68" s="12" t="str">
        <x:v>Yes</x:v>
      </x:c>
      <x:c r="M68" s="12" t="str"/>
    </x:row>
    <x:row r="69">
      <x:c r="A69" s="12" t="str">
        <x:v>DPEV-00068</x:v>
      </x:c>
      <x:c r="B69" s="6" t="str">
        <x:v>DUP000012</x:v>
      </x:c>
      <x:c r="C69" s="6" t="str">
        <x:v>SVC000223</x:v>
      </x:c>
      <x:c r="D69" s="12" t="str">
        <x:v>Unsupported Relationship</x:v>
      </x:c>
      <x:c r="E69" s="12" t="str">
        <x:v>PHN</x:v>
      </x:c>
      <x:c r="F69" s="6" t="str">
        <x:v>Nocturnix_Master_Compatibility_Catalog_v1.xlsx</x:v>
      </x:c>
      <x:c r="G69" s="6" t="str">
        <x:v>01 - Compatibility Records</x:v>
      </x:c>
      <x:c r="H69" s="6" t="n">
        <x:v>263</x:v>
      </x:c>
      <x:c r="I69" s="12" t="str">
        <x:v>Unsupported</x:v>
      </x:c>
      <x:c r="J69" s="6" t="str">
        <x:v>No</x:v>
      </x:c>
      <x:c r="K69" s="6" t="str">
        <x:v>Unknown</x:v>
      </x:c>
      <x:c r="L69" s="12" t="str">
        <x:v>Yes</x:v>
      </x:c>
      <x:c r="M69" s="12" t="str"/>
    </x:row>
    <x:row r="70">
      <x:c r="A70" s="12" t="str">
        <x:v>DPEV-00069</x:v>
      </x:c>
      <x:c r="B70" s="6" t="str">
        <x:v>DUP000012</x:v>
      </x:c>
      <x:c r="C70" s="6" t="str">
        <x:v>SVC000224</x:v>
      </x:c>
      <x:c r="D70" s="12" t="str">
        <x:v>Unsupported Relationship</x:v>
      </x:c>
      <x:c r="E70" s="12" t="str">
        <x:v>PHN</x:v>
      </x:c>
      <x:c r="F70" s="6" t="str">
        <x:v>Nocturnix_Master_Compatibility_Catalog_v1.xlsx</x:v>
      </x:c>
      <x:c r="G70" s="6" t="str">
        <x:v>01 - Compatibility Records</x:v>
      </x:c>
      <x:c r="H70" s="6" t="n">
        <x:v>264</x:v>
      </x:c>
      <x:c r="I70" s="12" t="str">
        <x:v>Unsupported</x:v>
      </x:c>
      <x:c r="J70" s="6" t="str">
        <x:v>No</x:v>
      </x:c>
      <x:c r="K70" s="6" t="str">
        <x:v>Unknown</x:v>
      </x:c>
      <x:c r="L70" s="12" t="str">
        <x:v>Yes</x:v>
      </x:c>
      <x:c r="M70" s="12" t="str"/>
    </x:row>
    <x:row r="71">
      <x:c r="A71" s="12" t="str">
        <x:v>DPEV-00070</x:v>
      </x:c>
      <x:c r="B71" s="6" t="str">
        <x:v>DUP000013</x:v>
      </x:c>
      <x:c r="C71" s="6" t="str">
        <x:v>SVC000225</x:v>
      </x:c>
      <x:c r="D71" s="12" t="str">
        <x:v>Unsupported Relationship</x:v>
      </x:c>
      <x:c r="E71" s="12" t="str">
        <x:v>PHN</x:v>
      </x:c>
      <x:c r="F71" s="6" t="str">
        <x:v>Nocturnix_Master_Compatibility_Catalog_v1.xlsx</x:v>
      </x:c>
      <x:c r="G71" s="6" t="str">
        <x:v>01 - Compatibility Records</x:v>
      </x:c>
      <x:c r="H71" s="6" t="n">
        <x:v>265</x:v>
      </x:c>
      <x:c r="I71" s="12" t="str">
        <x:v>Unsupported</x:v>
      </x:c>
      <x:c r="J71" s="6" t="str">
        <x:v>No</x:v>
      </x:c>
      <x:c r="K71" s="6" t="str">
        <x:v>Unknown</x:v>
      </x:c>
      <x:c r="L71" s="12" t="str">
        <x:v>Yes</x:v>
      </x:c>
      <x:c r="M71" s="12" t="str"/>
    </x:row>
    <x:row r="72">
      <x:c r="A72" s="12" t="str">
        <x:v>DPEV-00071</x:v>
      </x:c>
      <x:c r="B72" s="6" t="str">
        <x:v>DUP000013</x:v>
      </x:c>
      <x:c r="C72" s="6" t="str">
        <x:v>SVC000226</x:v>
      </x:c>
      <x:c r="D72" s="12" t="str">
        <x:v>Unsupported Relationship</x:v>
      </x:c>
      <x:c r="E72" s="12" t="str">
        <x:v>PHN</x:v>
      </x:c>
      <x:c r="F72" s="6" t="str">
        <x:v>Nocturnix_Master_Compatibility_Catalog_v1.xlsx</x:v>
      </x:c>
      <x:c r="G72" s="6" t="str">
        <x:v>01 - Compatibility Records</x:v>
      </x:c>
      <x:c r="H72" s="6" t="n">
        <x:v>266</x:v>
      </x:c>
      <x:c r="I72" s="12" t="str">
        <x:v>Unsupported</x:v>
      </x:c>
      <x:c r="J72" s="6" t="str">
        <x:v>No</x:v>
      </x:c>
      <x:c r="K72" s="6" t="str">
        <x:v>Unknown</x:v>
      </x:c>
      <x:c r="L72" s="12" t="str">
        <x:v>Yes</x:v>
      </x:c>
      <x:c r="M72" s="12" t="str"/>
    </x:row>
    <x:row r="73">
      <x:c r="A73" s="12" t="str">
        <x:v>DPEV-00072</x:v>
      </x:c>
      <x:c r="B73" s="6" t="str">
        <x:v>DUP000013</x:v>
      </x:c>
      <x:c r="C73" s="6" t="str">
        <x:v>SVC000227</x:v>
      </x:c>
      <x:c r="D73" s="12" t="str">
        <x:v>Unsupported Relationship</x:v>
      </x:c>
      <x:c r="E73" s="12" t="str">
        <x:v>PHN</x:v>
      </x:c>
      <x:c r="F73" s="6" t="str">
        <x:v>Nocturnix_Master_Compatibility_Catalog_v1.xlsx</x:v>
      </x:c>
      <x:c r="G73" s="6" t="str">
        <x:v>01 - Compatibility Records</x:v>
      </x:c>
      <x:c r="H73" s="6" t="n">
        <x:v>267</x:v>
      </x:c>
      <x:c r="I73" s="12" t="str">
        <x:v>Unsupported</x:v>
      </x:c>
      <x:c r="J73" s="6" t="str">
        <x:v>No</x:v>
      </x:c>
      <x:c r="K73" s="6" t="str">
        <x:v>Unknown</x:v>
      </x:c>
      <x:c r="L73" s="12" t="str">
        <x:v>Yes</x:v>
      </x:c>
      <x:c r="M73" s="12" t="str"/>
    </x:row>
    <x:row r="74">
      <x:c r="A74" s="12" t="str">
        <x:v>DPEV-00073</x:v>
      </x:c>
      <x:c r="B74" s="6" t="str">
        <x:v>DUP000014</x:v>
      </x:c>
      <x:c r="C74" s="6" t="str">
        <x:v>SVC000229</x:v>
      </x:c>
      <x:c r="D74" s="12" t="str">
        <x:v>Unsupported Relationship</x:v>
      </x:c>
      <x:c r="E74" s="12" t="str">
        <x:v>PHN</x:v>
      </x:c>
      <x:c r="F74" s="6" t="str">
        <x:v>Nocturnix_Master_Compatibility_Catalog_v1.xlsx</x:v>
      </x:c>
      <x:c r="G74" s="6" t="str">
        <x:v>01 - Compatibility Records</x:v>
      </x:c>
      <x:c r="H74" s="6" t="n">
        <x:v>269</x:v>
      </x:c>
      <x:c r="I74" s="12" t="str">
        <x:v>Unsupported</x:v>
      </x:c>
      <x:c r="J74" s="6" t="str">
        <x:v>No</x:v>
      </x:c>
      <x:c r="K74" s="6" t="str">
        <x:v>Unknown</x:v>
      </x:c>
      <x:c r="L74" s="12" t="str">
        <x:v>Yes</x:v>
      </x:c>
      <x:c r="M74" s="12" t="str"/>
    </x:row>
    <x:row r="75">
      <x:c r="A75" s="12" t="str">
        <x:v>DPEV-00074</x:v>
      </x:c>
      <x:c r="B75" s="6" t="str">
        <x:v>DUP000014</x:v>
      </x:c>
      <x:c r="C75" s="6" t="str">
        <x:v>SVC000230</x:v>
      </x:c>
      <x:c r="D75" s="12" t="str">
        <x:v>Unsupported Relationship</x:v>
      </x:c>
      <x:c r="E75" s="12" t="str">
        <x:v>PHN</x:v>
      </x:c>
      <x:c r="F75" s="6" t="str">
        <x:v>Nocturnix_Master_Compatibility_Catalog_v1.xlsx</x:v>
      </x:c>
      <x:c r="G75" s="6" t="str">
        <x:v>01 - Compatibility Records</x:v>
      </x:c>
      <x:c r="H75" s="6" t="n">
        <x:v>270</x:v>
      </x:c>
      <x:c r="I75" s="12" t="str">
        <x:v>Unsupported</x:v>
      </x:c>
      <x:c r="J75" s="6" t="str">
        <x:v>No</x:v>
      </x:c>
      <x:c r="K75" s="6" t="str">
        <x:v>Unknown</x:v>
      </x:c>
      <x:c r="L75" s="12" t="str">
        <x:v>Yes</x:v>
      </x:c>
      <x:c r="M75" s="12" t="str"/>
    </x:row>
    <x:row r="76">
      <x:c r="A76" s="12" t="str">
        <x:v>DPEV-00075</x:v>
      </x:c>
      <x:c r="B76" s="6" t="str">
        <x:v>DUP000015</x:v>
      </x:c>
      <x:c r="C76" s="6" t="str">
        <x:v>SVC000231</x:v>
      </x:c>
      <x:c r="D76" s="12" t="str">
        <x:v>Unsupported Relationship</x:v>
      </x:c>
      <x:c r="E76" s="12" t="str">
        <x:v>PHN</x:v>
      </x:c>
      <x:c r="F76" s="6" t="str">
        <x:v>Nocturnix_Master_Compatibility_Catalog_v1.xlsx</x:v>
      </x:c>
      <x:c r="G76" s="6" t="str">
        <x:v>01 - Compatibility Records</x:v>
      </x:c>
      <x:c r="H76" s="6" t="n">
        <x:v>271</x:v>
      </x:c>
      <x:c r="I76" s="12" t="str">
        <x:v>Unsupported</x:v>
      </x:c>
      <x:c r="J76" s="6" t="str">
        <x:v>No</x:v>
      </x:c>
      <x:c r="K76" s="6" t="str">
        <x:v>Unknown</x:v>
      </x:c>
      <x:c r="L76" s="12" t="str">
        <x:v>Yes</x:v>
      </x:c>
      <x:c r="M76" s="12" t="str"/>
    </x:row>
    <x:row r="77">
      <x:c r="A77" s="12" t="str">
        <x:v>DPEV-00076</x:v>
      </x:c>
      <x:c r="B77" s="6" t="str">
        <x:v>DUP000015</x:v>
      </x:c>
      <x:c r="C77" s="6" t="str">
        <x:v>SVC000232</x:v>
      </x:c>
      <x:c r="D77" s="12" t="str">
        <x:v>Unsupported Relationship</x:v>
      </x:c>
      <x:c r="E77" s="12" t="str">
        <x:v>PHN</x:v>
      </x:c>
      <x:c r="F77" s="6" t="str">
        <x:v>Nocturnix_Master_Compatibility_Catalog_v1.xlsx</x:v>
      </x:c>
      <x:c r="G77" s="6" t="str">
        <x:v>01 - Compatibility Records</x:v>
      </x:c>
      <x:c r="H77" s="6" t="n">
        <x:v>272</x:v>
      </x:c>
      <x:c r="I77" s="12" t="str">
        <x:v>Unsupported</x:v>
      </x:c>
      <x:c r="J77" s="6" t="str">
        <x:v>No</x:v>
      </x:c>
      <x:c r="K77" s="6" t="str">
        <x:v>Unknown</x:v>
      </x:c>
      <x:c r="L77" s="12" t="str">
        <x:v>Yes</x:v>
      </x:c>
      <x:c r="M77" s="12" t="str"/>
    </x:row>
  </x:sheetData>
  <x:dataValidations count="5">
    <x:dataValidation type="list" sqref="I2:I77">
      <x:formula1>"Explicit Identifier,Exact Text,Contextual,Ambiguous,Unsupported"</x:formula1>
    </x:dataValidation>
    <x:dataValidation type="list" sqref="J2:J77">
      <x:formula1>"Yes,No,Unknown"</x:formula1>
    </x:dataValidation>
    <x:dataValidation type="list" sqref="K2:K77">
      <x:formula1>"Yes,No,Unknown"</x:formula1>
    </x:dataValidation>
    <x:dataValidation type="list" sqref="L2:L77">
      <x:formula1>"Yes,No,Unknown"</x:formula1>
    </x:dataValidation>
    <x:dataValidation type="list" sqref="C2:C77">
      <x:formula1>"SVC000001,SVC000002,SVC000003,SVC000004,SVC000005,SVC000006,SVC000007,SVC000008,SVC000009,SVC000010,SVC000011,SVC000012,SVC000013,SVC000014,SVC000015,SVC000016,SVC000017,SVC000018,SVC000019,SVC000020,SVC000021,SVC000022,SVC000023,SVC000024,SVC000025,SVC000026,SVC000027,SVC000028,SVC000029,SVC000030,SVC000031,SVC000032,SVC000033,SVC000034,SVC000035,SVC000036,SVC000037,SVC000038,SVC000039,SVC000040,SVC000041,SVC000042,SVC000043,SVC000044,SVC000045,SVC000046,SVC000047,SVC000048,SVC000049,SVC000050,SVC000051,SVC000052,SVC000053,SVC000054,SVC000055,SVC000056,SVC000057,SVC000058,SVC000059,SVC000060,SVC000061,SVC000062,SVC000063,SVC000064,SVC000065,SVC000066,SVC000067,SVC000068,SVC000069,SVC000070,SVC000071,SVC000072,SVC000073,SVC000074,SVC000075,SVC000076,SVC000077,SVC000078,SVC000079,SVC000080,SVC000081,SVC000082,SVC000083,SVC000084,SVC000085,SVC000086,SVC000087,SVC000088,SVC000089,SVC000090,SVC000091,SVC000092,SVC000093,SVC000094,SVC000095,SVC000096,SVC000097,SVC000098,SVC000099,SVC000100,SVC000101,SVC000102,SVC000103,SVC000104,SVC000105,SVC000106,SVC000107,SVC000108,SVC000109,SVC000110,SVC000111,SVC000112,SVC000113,SVC000114,SVC000115,SVC000116,SVC000117,SVC000118,SVC000119,SVC000120,SVC000121,SVC000122,SVC000123,SVC000124,SVC000125,SVC000126,SVC000127,SVC000128,SVC000129,SVC000130,SVC000131,SVC000132,SVC000133,SVC000134,SVC000135,SVC000136,SVC000137,SVC000138,SVC000139,SVC000140,SVC000141,SVC000142,SVC000143,SVC000144,SVC000145,SVC000146,SVC000147,SVC000148,SVC000149,SVC000150,SVC000151,SVC000152,SVC000153,SVC000154,SVC000155,SVC000156,SVC000157,SVC000158,SVC000159,SVC000160,SVC000161,SVC000162,SVC000163,SVC000164,SVC000165,SVC000166,SVC000167,SVC000168,SVC000169,SVC000170,SVC000171,SVC000172,SVC000173,SVC000174,SVC000175,SVC000176,SVC000177,SVC000178,SVC000179,SVC000180,SVC000181,SVC000182,SVC000183,SVC000184,SVC000185,SVC000186,SVC000187,SVC000188,SVC000189,SVC000190,SVC000191,SVC000192,SVC000193,SVC000194,SVC000195,SVC000196,SVC000197,SVC000198,SVC000199,SVC000200,SVC000201,SVC000202,SVC000203,SVC000204,SVC000205,SVC000206,SVC000207,SVC000208,SVC000209,SVC000210,SVC000211,SVC000212,SVC000213,SVC000214,SVC000215,SVC000216,SVC000217,SVC000218,SVC000219,SVC000220,SVC000221,SVC000222,SVC000223,SVC000224,SVC000225,SVC000226,SVC000227,SVC000228,SVC000229,SVC000230,SVC000231,SVC000232,SVC000233,SVC000234,SVC000235,SVC000236,SVC000237,SVC000238,SVC000239,SVC000240,SVC000241,SVC000242,SVC000243,SVC000244,SVC000245,SVC000246,SVC000247,SVC000248,SVC000249,SVC000250,SVC000251,SVC000252,SVC000253,SVC000254,SVC000255,SVC000256,SVC000257,SVC000258,SVC000259,SVC000260,SVC000261,SVC000262,SVC000263,SVC000264,SVC000265,SVC000266,SVC000267,SVC000268,SVC000269,SVC000270,SVC000271,SVC000272,SVC000273,SVC000274,SVC000275,SVC000276,SVC000277,SVC000278,SVC000279,SVC000280,SVC000281,SVC000282,SVC000283,SVC000284,SVC000285,SVC000286,SVC000287,SVC000288,SVC000289,SVC000290,SVC000291,SVC000292,SVC000293,SVC000294,SVC000295,SVC000296,SVC000297,SVC000298,SVC000299,SVC000300,SVC000301,SVC000302,SVC000303,SVC000304,SVC000305,SVC000306,SVC000307,SVC000308,SVC000309,SVC000310,SVC000311,SVC000312,SVC000313,SVC000314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fb9e452515ab4159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.75" hidden="0" customWidth="1"/>
    <x:col min="2" max="2" width="17.5" hidden="0" customWidth="1"/>
    <x:col min="3" max="3" width="27.25" hidden="0" customWidth="1"/>
    <x:col min="4" max="4" width="81.62999725341797" hidden="0" customWidth="1"/>
    <x:col min="5" max="5" width="19.25" hidden="0" customWidth="1"/>
    <x:col min="6" max="6" width="25.6299991607666" hidden="0" customWidth="1"/>
    <x:col min="7" max="7" width="25" hidden="0" customWidth="1"/>
    <x:col min="8" max="8" width="29.25" hidden="0" customWidth="1"/>
    <x:col min="9" max="9" width="23.6299991607666" hidden="0" customWidth="1"/>
    <x:col min="10" max="10" width="23.6299991607666" hidden="0" customWidth="1"/>
    <x:col min="11" max="11" width="14.25" hidden="0" customWidth="1"/>
    <x:col min="12" max="12" width="19" hidden="0" customWidth="1"/>
    <x:col min="13" max="13" width="17" hidden="0" customWidth="1"/>
    <x:col min="14" max="14" width="14.880000114440918" hidden="0" customWidth="1"/>
    <x:col min="15" max="15" width="12.380000114440918" hidden="0" customWidth="1"/>
    <x:col min="16" max="16" width="19.1299991607666" hidden="0" customWidth="1"/>
    <x:col min="17" max="17" width="18.25" hidden="0" customWidth="1"/>
    <x:col min="18" max="18" width="17.1299991607666" hidden="0" customWidth="1"/>
    <x:col min="19" max="19" width="25.75" hidden="0" customWidth="1"/>
    <x:col min="20" max="20" width="14.880000114440918" hidden="0" customWidth="1"/>
    <x:col min="21" max="21" width="13.75" hidden="0" customWidth="1"/>
    <x:col min="22" max="22" width="15.5" hidden="0" customWidth="1"/>
    <x:col min="23" max="23" width="7.630000114440918" hidden="0" customWidth="1"/>
  </x:cols>
  <x:sheetData>
    <x:row r="1">
      <x:c r="A1" s="5" t="str">
        <x:v>Decision ID</x:v>
      </x:c>
      <x:c r="B1" s="5" t="str">
        <x:v>Duplicate Group ID</x:v>
      </x:c>
      <x:c r="C1" s="5" t="str">
        <x:v>Service IDs</x:v>
      </x:c>
      <x:c r="D1" s="5" t="str">
        <x:v>Service Names</x:v>
      </x:c>
      <x:c r="E1" s="5" t="str">
        <x:v>Proposed Disposition</x:v>
      </x:c>
      <x:c r="F1" s="5" t="str">
        <x:v>Proposed Surviving Service ID</x:v>
      </x:c>
      <x:c r="G1" s="5" t="str">
        <x:v>Proposed Retired Service IDs</x:v>
      </x:c>
      <x:c r="H1" s="5" t="str">
        <x:v>Proposed Canonical Service Name</x:v>
      </x:c>
      <x:c r="I1" s="5" t="str">
        <x:v>Proposed Parent Service ID</x:v>
      </x:c>
      <x:c r="J1" s="5" t="str">
        <x:v>Proposed Child Service IDs</x:v>
      </x:c>
      <x:c r="K1" s="5" t="str">
        <x:v>Decision Basis</x:v>
      </x:c>
      <x:c r="L1" s="5" t="str">
        <x:v>Evidence References</x:v>
      </x:c>
      <x:c r="M1" s="5" t="str">
        <x:v>Reviewer Decision</x:v>
      </x:c>
      <x:c r="N1" s="5" t="str">
        <x:v>Reviewer Name</x:v>
      </x:c>
      <x:c r="O1" s="5" t="str">
        <x:v>Review Date</x:v>
      </x:c>
      <x:c r="P1" s="5" t="str">
        <x:v>Reviewer Confidence</x:v>
      </x:c>
      <x:c r="Q1" s="5" t="str">
        <x:v>Escalation Required</x:v>
      </x:c>
      <x:c r="R1" s="5" t="str">
        <x:v>Escalation Reason</x:v>
      </x:c>
      <x:c r="S1" s="5" t="str">
        <x:v>Second-Level Approval Status</x:v>
      </x:c>
      <x:c r="T1" s="5" t="str">
        <x:v>Approver Name</x:v>
      </x:c>
      <x:c r="U1" s="5" t="str">
        <x:v>Approval Date</x:v>
      </x:c>
      <x:c r="V1" s="5" t="str">
        <x:v>Import Eligibility</x:v>
      </x:c>
      <x:c r="W1" s="5" t="str">
        <x:v>Notes</x:v>
      </x:c>
    </x:row>
    <x:row r="2">
      <x:c r="A2" s="6" t="str">
        <x:v>DDEC-0001</x:v>
      </x:c>
      <x:c r="B2" s="6" t="str">
        <x:v>DUP000001</x:v>
      </x:c>
      <x:c r="C2" s="12" t="str">
        <x:v>SVC000008; SVC000086; SVC000087</x:v>
      </x:c>
      <x:c r="D2" s="12" t="str">
        <x:v>iPhone 6 Screen replacement; iPhone 6+ Screen replacement; iPhone 6 Screen replacement</x:v>
      </x:c>
      <x:c r="E2" s="6" t="str">
        <x:v>Unresolved</x:v>
      </x:c>
      <x:c r="F2" s="6" t="str"/>
      <x:c r="G2" s="12" t="str"/>
      <x:c r="H2" s="6" t="str"/>
      <x:c r="I2" s="6" t="str"/>
      <x:c r="J2" s="12" t="str"/>
      <x:c r="K2" s="12" t="str"/>
      <x:c r="L2" s="12" t="str"/>
      <x:c r="M2" s="6" t="str">
        <x:v>Unresolved</x:v>
      </x:c>
      <x:c r="N2" s="6" t="str"/>
      <x:c r="O2" s="6" t="str"/>
      <x:c r="P2" s="6" t="str">
        <x:v>Insufficient Evidence</x:v>
      </x:c>
      <x:c r="Q2" s="6" t="str">
        <x:v>No</x:v>
      </x:c>
      <x:c r="R2" s="12" t="str"/>
      <x:c r="S2" s="6" t="str">
        <x:v>Pending</x:v>
      </x:c>
      <x:c r="T2" s="6" t="str"/>
      <x:c r="U2" s="6" t="str"/>
      <x:c r="V2" s="6" t="str">
        <x:v>Not Eligible</x:v>
      </x:c>
      <x:c r="W2" s="12" t="str"/>
    </x:row>
    <x:row r="3">
      <x:c r="A3" s="6" t="str">
        <x:v>DDEC-0002</x:v>
      </x:c>
      <x:c r="B3" s="6" t="str">
        <x:v>DUP000002</x:v>
      </x:c>
      <x:c r="C3" s="12" t="str">
        <x:v>SVC000009; SVC000088; SVC000089</x:v>
      </x:c>
      <x:c r="D3" s="12" t="str">
        <x:v>iPhone 6S+ Screen replacement; iPhone 6S+ Screen replacement; iPhone 6S Screen replacement</x:v>
      </x:c>
      <x:c r="E3" s="6" t="str">
        <x:v>Unresolved</x:v>
      </x:c>
      <x:c r="F3" s="6" t="str"/>
      <x:c r="G3" s="12" t="str"/>
      <x:c r="H3" s="6" t="str"/>
      <x:c r="I3" s="6" t="str"/>
      <x:c r="J3" s="12" t="str"/>
      <x:c r="K3" s="12" t="str"/>
      <x:c r="L3" s="12" t="str"/>
      <x:c r="M3" s="6" t="str">
        <x:v>Unresolved</x:v>
      </x:c>
      <x:c r="N3" s="6" t="str"/>
      <x:c r="O3" s="6" t="str"/>
      <x:c r="P3" s="6" t="str">
        <x:v>Insufficient Evidence</x:v>
      </x:c>
      <x:c r="Q3" s="6" t="str">
        <x:v>No</x:v>
      </x:c>
      <x:c r="R3" s="12" t="str"/>
      <x:c r="S3" s="6" t="str">
        <x:v>Pending</x:v>
      </x:c>
      <x:c r="T3" s="6" t="str"/>
      <x:c r="U3" s="6" t="str"/>
      <x:c r="V3" s="6" t="str">
        <x:v>Not Eligible</x:v>
      </x:c>
      <x:c r="W3" s="12" t="str"/>
    </x:row>
    <x:row r="4">
      <x:c r="A4" s="6" t="str">
        <x:v>DDEC-0003</x:v>
      </x:c>
      <x:c r="B4" s="6" t="str">
        <x:v>DUP000003</x:v>
      </x:c>
      <x:c r="C4" s="12" t="str">
        <x:v>SVC000090; SVC000091</x:v>
      </x:c>
      <x:c r="D4" s="12" t="str">
        <x:v>iPhone 7+ Screen replacement; iPhone 7 Screen replacement</x:v>
      </x:c>
      <x:c r="E4" s="6" t="str">
        <x:v>Unresolved</x:v>
      </x:c>
      <x:c r="F4" s="6" t="str"/>
      <x:c r="G4" s="12" t="str"/>
      <x:c r="H4" s="6" t="str"/>
      <x:c r="I4" s="6" t="str"/>
      <x:c r="J4" s="12" t="str"/>
      <x:c r="K4" s="12" t="str"/>
      <x:c r="L4" s="12" t="str"/>
      <x:c r="M4" s="6" t="str">
        <x:v>Unresolved</x:v>
      </x:c>
      <x:c r="N4" s="6" t="str"/>
      <x:c r="O4" s="6" t="str"/>
      <x:c r="P4" s="6" t="str">
        <x:v>Insufficient Evidence</x:v>
      </x:c>
      <x:c r="Q4" s="6" t="str">
        <x:v>No</x:v>
      </x:c>
      <x:c r="R4" s="12" t="str"/>
      <x:c r="S4" s="6" t="str">
        <x:v>Pending</x:v>
      </x:c>
      <x:c r="T4" s="6" t="str"/>
      <x:c r="U4" s="6" t="str"/>
      <x:c r="V4" s="6" t="str">
        <x:v>Not Eligible</x:v>
      </x:c>
      <x:c r="W4" s="12" t="str"/>
    </x:row>
    <x:row r="5">
      <x:c r="A5" s="6" t="str">
        <x:v>DDEC-0004</x:v>
      </x:c>
      <x:c r="B5" s="6" t="str">
        <x:v>DUP000004</x:v>
      </x:c>
      <x:c r="C5" s="12" t="str">
        <x:v>SVC000092; SVC000093</x:v>
      </x:c>
      <x:c r="D5" s="12" t="str">
        <x:v>iPhone 8+ Screen replacement; iPhone 8 Screen replacement</x:v>
      </x:c>
      <x:c r="E5" s="6" t="str">
        <x:v>Unresolved</x:v>
      </x:c>
      <x:c r="F5" s="6" t="str"/>
      <x:c r="G5" s="12" t="str"/>
      <x:c r="H5" s="6" t="str"/>
      <x:c r="I5" s="6" t="str"/>
      <x:c r="J5" s="12" t="str"/>
      <x:c r="K5" s="12" t="str"/>
      <x:c r="L5" s="12" t="str"/>
      <x:c r="M5" s="6" t="str">
        <x:v>Unresolved</x:v>
      </x:c>
      <x:c r="N5" s="6" t="str"/>
      <x:c r="O5" s="6" t="str"/>
      <x:c r="P5" s="6" t="str">
        <x:v>Insufficient Evidence</x:v>
      </x:c>
      <x:c r="Q5" s="6" t="str">
        <x:v>No</x:v>
      </x:c>
      <x:c r="R5" s="12" t="str"/>
      <x:c r="S5" s="6" t="str">
        <x:v>Pending</x:v>
      </x:c>
      <x:c r="T5" s="6" t="str"/>
      <x:c r="U5" s="6" t="str"/>
      <x:c r="V5" s="6" t="str">
        <x:v>Not Eligible</x:v>
      </x:c>
      <x:c r="W5" s="12" t="str"/>
    </x:row>
    <x:row r="6">
      <x:c r="A6" s="6" t="str">
        <x:v>DDEC-0005</x:v>
      </x:c>
      <x:c r="B6" s="6" t="str">
        <x:v>DUP000005</x:v>
      </x:c>
      <x:c r="C6" s="12" t="str">
        <x:v>SVC000101; SVC000102; SVC000103</x:v>
      </x:c>
      <x:c r="D6" s="12" t="str">
        <x:v>iPhone 4S Screen replacement; iPhone 4S Screen replacement; iPhone 4S Screen replacement</x:v>
      </x:c>
      <x:c r="E6" s="6" t="str">
        <x:v>Unresolved</x:v>
      </x:c>
      <x:c r="F6" s="6" t="str"/>
      <x:c r="G6" s="12" t="str"/>
      <x:c r="H6" s="6" t="str"/>
      <x:c r="I6" s="6" t="str"/>
      <x:c r="J6" s="12" t="str"/>
      <x:c r="K6" s="12" t="str"/>
      <x:c r="L6" s="12" t="str"/>
      <x:c r="M6" s="6" t="str">
        <x:v>Unresolved</x:v>
      </x:c>
      <x:c r="N6" s="6" t="str"/>
      <x:c r="O6" s="6" t="str"/>
      <x:c r="P6" s="6" t="str">
        <x:v>Insufficient Evidence</x:v>
      </x:c>
      <x:c r="Q6" s="6" t="str">
        <x:v>No</x:v>
      </x:c>
      <x:c r="R6" s="12" t="str"/>
      <x:c r="S6" s="6" t="str">
        <x:v>Pending</x:v>
      </x:c>
      <x:c r="T6" s="6" t="str"/>
      <x:c r="U6" s="6" t="str"/>
      <x:c r="V6" s="6" t="str">
        <x:v>Not Eligible</x:v>
      </x:c>
      <x:c r="W6" s="12" t="str"/>
    </x:row>
    <x:row r="7">
      <x:c r="A7" s="6" t="str">
        <x:v>DDEC-0006</x:v>
      </x:c>
      <x:c r="B7" s="6" t="str">
        <x:v>DUP000006</x:v>
      </x:c>
      <x:c r="C7" s="12" t="str">
        <x:v>SVC000167; SVC000202</x:v>
      </x:c>
      <x:c r="D7" s="12" t="str">
        <x:v>iPhone 7+ Battery Replacement; iPhone 7 Battery Replacement</x:v>
      </x:c>
      <x:c r="E7" s="6" t="str">
        <x:v>Unresolved</x:v>
      </x:c>
      <x:c r="F7" s="6" t="str"/>
      <x:c r="G7" s="12" t="str"/>
      <x:c r="H7" s="6" t="str"/>
      <x:c r="I7" s="6" t="str"/>
      <x:c r="J7" s="12" t="str"/>
      <x:c r="K7" s="12" t="str"/>
      <x:c r="L7" s="12" t="str"/>
      <x:c r="M7" s="6" t="str">
        <x:v>Unresolved</x:v>
      </x:c>
      <x:c r="N7" s="6" t="str"/>
      <x:c r="O7" s="6" t="str"/>
      <x:c r="P7" s="6" t="str">
        <x:v>Insufficient Evidence</x:v>
      </x:c>
      <x:c r="Q7" s="6" t="str">
        <x:v>No</x:v>
      </x:c>
      <x:c r="R7" s="12" t="str"/>
      <x:c r="S7" s="6" t="str">
        <x:v>Pending</x:v>
      </x:c>
      <x:c r="T7" s="6" t="str"/>
      <x:c r="U7" s="6" t="str"/>
      <x:c r="V7" s="6" t="str">
        <x:v>Not Eligible</x:v>
      </x:c>
      <x:c r="W7" s="12" t="str"/>
    </x:row>
    <x:row r="8">
      <x:c r="A8" s="6" t="str">
        <x:v>DDEC-0007</x:v>
      </x:c>
      <x:c r="B8" s="6" t="str">
        <x:v>DUP000007</x:v>
      </x:c>
      <x:c r="C8" s="12" t="str">
        <x:v>SVC000170; SVC000203; SVC000204</x:v>
      </x:c>
      <x:c r="D8" s="12" t="str">
        <x:v>iPhone 4S Battery Replacement; iPhone 4S Battery Replacement; iPhone 4S Battery Replacement</x:v>
      </x:c>
      <x:c r="E8" s="6" t="str">
        <x:v>Unresolved</x:v>
      </x:c>
      <x:c r="F8" s="6" t="str"/>
      <x:c r="G8" s="12" t="str"/>
      <x:c r="H8" s="6" t="str"/>
      <x:c r="I8" s="6" t="str"/>
      <x:c r="J8" s="12" t="str"/>
      <x:c r="K8" s="12" t="str"/>
      <x:c r="L8" s="12" t="str"/>
      <x:c r="M8" s="6" t="str">
        <x:v>Unresolved</x:v>
      </x:c>
      <x:c r="N8" s="6" t="str"/>
      <x:c r="O8" s="6" t="str"/>
      <x:c r="P8" s="6" t="str">
        <x:v>Insufficient Evidence</x:v>
      </x:c>
      <x:c r="Q8" s="6" t="str">
        <x:v>No</x:v>
      </x:c>
      <x:c r="R8" s="12" t="str"/>
      <x:c r="S8" s="6" t="str">
        <x:v>Pending</x:v>
      </x:c>
      <x:c r="T8" s="6" t="str"/>
      <x:c r="U8" s="6" t="str"/>
      <x:c r="V8" s="6" t="str">
        <x:v>Not Eligible</x:v>
      </x:c>
      <x:c r="W8" s="12" t="str"/>
    </x:row>
    <x:row r="9">
      <x:c r="A9" s="6" t="str">
        <x:v>DDEC-0008</x:v>
      </x:c>
      <x:c r="B9" s="6" t="str">
        <x:v>DUP000008</x:v>
      </x:c>
      <x:c r="C9" s="12" t="str">
        <x:v>SVC000173; SVC000175</x:v>
      </x:c>
      <x:c r="D9" s="12" t="str">
        <x:v>iPhone 8+ Battery Replacement; iPhone 8 Battery Replacement</x:v>
      </x:c>
      <x:c r="E9" s="6" t="str">
        <x:v>Unresolved</x:v>
      </x:c>
      <x:c r="F9" s="6" t="str"/>
      <x:c r="G9" s="12" t="str"/>
      <x:c r="H9" s="6" t="str"/>
      <x:c r="I9" s="6" t="str"/>
      <x:c r="J9" s="12" t="str"/>
      <x:c r="K9" s="12" t="str"/>
      <x:c r="L9" s="12" t="str"/>
      <x:c r="M9" s="6" t="str">
        <x:v>Unresolved</x:v>
      </x:c>
      <x:c r="N9" s="6" t="str"/>
      <x:c r="O9" s="6" t="str"/>
      <x:c r="P9" s="6" t="str">
        <x:v>Insufficient Evidence</x:v>
      </x:c>
      <x:c r="Q9" s="6" t="str">
        <x:v>No</x:v>
      </x:c>
      <x:c r="R9" s="12" t="str"/>
      <x:c r="S9" s="6" t="str">
        <x:v>Pending</x:v>
      </x:c>
      <x:c r="T9" s="6" t="str"/>
      <x:c r="U9" s="6" t="str"/>
      <x:c r="V9" s="6" t="str">
        <x:v>Not Eligible</x:v>
      </x:c>
      <x:c r="W9" s="12" t="str"/>
    </x:row>
    <x:row r="10">
      <x:c r="A10" s="6" t="str">
        <x:v>DDEC-0009</x:v>
      </x:c>
      <x:c r="B10" s="6" t="str">
        <x:v>DUP000009</x:v>
      </x:c>
      <x:c r="C10" s="12" t="str">
        <x:v>SVC000174; SVC000176; SVC000177</x:v>
      </x:c>
      <x:c r="D10" s="12" t="str">
        <x:v>iPhone 6S Battery Replacement; iPhone 6S+ Battery Replacement; iPhone 6S+ Battery Replacement</x:v>
      </x:c>
      <x:c r="E10" s="6" t="str">
        <x:v>Unresolved</x:v>
      </x:c>
      <x:c r="F10" s="6" t="str"/>
      <x:c r="G10" s="12" t="str"/>
      <x:c r="H10" s="6" t="str"/>
      <x:c r="I10" s="6" t="str"/>
      <x:c r="J10" s="12" t="str"/>
      <x:c r="K10" s="12" t="str"/>
      <x:c r="L10" s="12" t="str"/>
      <x:c r="M10" s="6" t="str">
        <x:v>Unresolved</x:v>
      </x:c>
      <x:c r="N10" s="6" t="str"/>
      <x:c r="O10" s="6" t="str"/>
      <x:c r="P10" s="6" t="str">
        <x:v>Insufficient Evidence</x:v>
      </x:c>
      <x:c r="Q10" s="6" t="str">
        <x:v>No</x:v>
      </x:c>
      <x:c r="R10" s="12" t="str"/>
      <x:c r="S10" s="6" t="str">
        <x:v>Pending</x:v>
      </x:c>
      <x:c r="T10" s="6" t="str"/>
      <x:c r="U10" s="6" t="str"/>
      <x:c r="V10" s="6" t="str">
        <x:v>Not Eligible</x:v>
      </x:c>
      <x:c r="W10" s="12" t="str"/>
    </x:row>
    <x:row r="11">
      <x:c r="A11" s="6" t="str">
        <x:v>DDEC-0010</x:v>
      </x:c>
      <x:c r="B11" s="6" t="str">
        <x:v>DUP000010</x:v>
      </x:c>
      <x:c r="C11" s="12" t="str">
        <x:v>SVC000180; SVC000206; SVC000207</x:v>
      </x:c>
      <x:c r="D11" s="12" t="str">
        <x:v>iPhone 6+ Battery Replacement; iPhone 6 Battery Replacement; iPhone 6 Battery Replacement</x:v>
      </x:c>
      <x:c r="E11" s="6" t="str">
        <x:v>Unresolved</x:v>
      </x:c>
      <x:c r="F11" s="6" t="str"/>
      <x:c r="G11" s="12" t="str"/>
      <x:c r="H11" s="6" t="str"/>
      <x:c r="I11" s="6" t="str"/>
      <x:c r="J11" s="12" t="str"/>
      <x:c r="K11" s="12" t="str"/>
      <x:c r="L11" s="12" t="str"/>
      <x:c r="M11" s="6" t="str">
        <x:v>Unresolved</x:v>
      </x:c>
      <x:c r="N11" s="6" t="str"/>
      <x:c r="O11" s="6" t="str"/>
      <x:c r="P11" s="6" t="str">
        <x:v>Insufficient Evidence</x:v>
      </x:c>
      <x:c r="Q11" s="6" t="str">
        <x:v>No</x:v>
      </x:c>
      <x:c r="R11" s="12" t="str"/>
      <x:c r="S11" s="6" t="str">
        <x:v>Pending</x:v>
      </x:c>
      <x:c r="T11" s="6" t="str"/>
      <x:c r="U11" s="6" t="str"/>
      <x:c r="V11" s="6" t="str">
        <x:v>Not Eligible</x:v>
      </x:c>
      <x:c r="W11" s="12" t="str"/>
    </x:row>
    <x:row r="12">
      <x:c r="A12" s="6" t="str">
        <x:v>DDEC-0011</x:v>
      </x:c>
      <x:c r="B12" s="6" t="str">
        <x:v>DUP000011</x:v>
      </x:c>
      <x:c r="C12" s="12" t="str">
        <x:v>SVC000217; SVC000218; SVC000219</x:v>
      </x:c>
      <x:c r="D12" s="12" t="str">
        <x:v>iPhone 4S Charge Port Replacement; iPhone 4S Charge Port Replacement; iPhone 4S Charge Port Replacement</x:v>
      </x:c>
      <x:c r="E12" s="6" t="str">
        <x:v>Unresolved</x:v>
      </x:c>
      <x:c r="F12" s="6" t="str"/>
      <x:c r="G12" s="12" t="str"/>
      <x:c r="H12" s="6" t="str"/>
      <x:c r="I12" s="6" t="str"/>
      <x:c r="J12" s="12" t="str"/>
      <x:c r="K12" s="12" t="str"/>
      <x:c r="L12" s="12" t="str"/>
      <x:c r="M12" s="6" t="str">
        <x:v>Unresolved</x:v>
      </x:c>
      <x:c r="N12" s="6" t="str"/>
      <x:c r="O12" s="6" t="str"/>
      <x:c r="P12" s="6" t="str">
        <x:v>Insufficient Evidence</x:v>
      </x:c>
      <x:c r="Q12" s="6" t="str">
        <x:v>No</x:v>
      </x:c>
      <x:c r="R12" s="12" t="str"/>
      <x:c r="S12" s="6" t="str">
        <x:v>Pending</x:v>
      </x:c>
      <x:c r="T12" s="6" t="str"/>
      <x:c r="U12" s="6" t="str"/>
      <x:c r="V12" s="6" t="str">
        <x:v>Not Eligible</x:v>
      </x:c>
      <x:c r="W12" s="12" t="str"/>
    </x:row>
    <x:row r="13">
      <x:c r="A13" s="6" t="str">
        <x:v>DDEC-0012</x:v>
      </x:c>
      <x:c r="B13" s="6" t="str">
        <x:v>DUP000012</x:v>
      </x:c>
      <x:c r="C13" s="12" t="str">
        <x:v>SVC000223; SVC000224</x:v>
      </x:c>
      <x:c r="D13" s="12" t="str">
        <x:v>iPhone 6 Charge Port Replacement; iPhone 6+ Charge Port Replacement</x:v>
      </x:c>
      <x:c r="E13" s="6" t="str">
        <x:v>Unresolved</x:v>
      </x:c>
      <x:c r="F13" s="6" t="str"/>
      <x:c r="G13" s="12" t="str"/>
      <x:c r="H13" s="6" t="str"/>
      <x:c r="I13" s="6" t="str"/>
      <x:c r="J13" s="12" t="str"/>
      <x:c r="K13" s="12" t="str"/>
      <x:c r="L13" s="12" t="str"/>
      <x:c r="M13" s="6" t="str">
        <x:v>Unresolved</x:v>
      </x:c>
      <x:c r="N13" s="6" t="str"/>
      <x:c r="O13" s="6" t="str"/>
      <x:c r="P13" s="6" t="str">
        <x:v>Insufficient Evidence</x:v>
      </x:c>
      <x:c r="Q13" s="6" t="str">
        <x:v>No</x:v>
      </x:c>
      <x:c r="R13" s="12" t="str"/>
      <x:c r="S13" s="6" t="str">
        <x:v>Pending</x:v>
      </x:c>
      <x:c r="T13" s="6" t="str"/>
      <x:c r="U13" s="6" t="str"/>
      <x:c r="V13" s="6" t="str">
        <x:v>Not Eligible</x:v>
      </x:c>
      <x:c r="W13" s="12" t="str"/>
    </x:row>
    <x:row r="14">
      <x:c r="A14" s="6" t="str">
        <x:v>DDEC-0013</x:v>
      </x:c>
      <x:c r="B14" s="6" t="str">
        <x:v>DUP000013</x:v>
      </x:c>
      <x:c r="C14" s="12" t="str">
        <x:v>SVC000225; SVC000226; SVC000227</x:v>
      </x:c>
      <x:c r="D14" s="12" t="str">
        <x:v>iPhone 6S Charge Port Replacement; iPhone 6S+ Charge Port Replacement; iPhone 6S+ Charge Port Replacement</x:v>
      </x:c>
      <x:c r="E14" s="6" t="str">
        <x:v>Unresolved</x:v>
      </x:c>
      <x:c r="F14" s="6" t="str"/>
      <x:c r="G14" s="12" t="str"/>
      <x:c r="H14" s="6" t="str"/>
      <x:c r="I14" s="6" t="str"/>
      <x:c r="J14" s="12" t="str"/>
      <x:c r="K14" s="12" t="str"/>
      <x:c r="L14" s="12" t="str"/>
      <x:c r="M14" s="6" t="str">
        <x:v>Unresolved</x:v>
      </x:c>
      <x:c r="N14" s="6" t="str"/>
      <x:c r="O14" s="6" t="str"/>
      <x:c r="P14" s="6" t="str">
        <x:v>Insufficient Evidence</x:v>
      </x:c>
      <x:c r="Q14" s="6" t="str">
        <x:v>No</x:v>
      </x:c>
      <x:c r="R14" s="12" t="str"/>
      <x:c r="S14" s="6" t="str">
        <x:v>Pending</x:v>
      </x:c>
      <x:c r="T14" s="6" t="str"/>
      <x:c r="U14" s="6" t="str"/>
      <x:c r="V14" s="6" t="str">
        <x:v>Not Eligible</x:v>
      </x:c>
      <x:c r="W14" s="12" t="str"/>
    </x:row>
    <x:row r="15">
      <x:c r="A15" s="6" t="str">
        <x:v>DDEC-0014</x:v>
      </x:c>
      <x:c r="B15" s="6" t="str">
        <x:v>DUP000014</x:v>
      </x:c>
      <x:c r="C15" s="12" t="str">
        <x:v>SVC000229; SVC000230</x:v>
      </x:c>
      <x:c r="D15" s="12" t="str">
        <x:v>iPhone 7 Charge Port Replacement; iPhone 7+ Charge Port Replacement</x:v>
      </x:c>
      <x:c r="E15" s="6" t="str">
        <x:v>Unresolved</x:v>
      </x:c>
      <x:c r="F15" s="6" t="str"/>
      <x:c r="G15" s="12" t="str"/>
      <x:c r="H15" s="6" t="str"/>
      <x:c r="I15" s="6" t="str"/>
      <x:c r="J15" s="12" t="str"/>
      <x:c r="K15" s="12" t="str"/>
      <x:c r="L15" s="12" t="str"/>
      <x:c r="M15" s="6" t="str">
        <x:v>Unresolved</x:v>
      </x:c>
      <x:c r="N15" s="6" t="str"/>
      <x:c r="O15" s="6" t="str"/>
      <x:c r="P15" s="6" t="str">
        <x:v>Insufficient Evidence</x:v>
      </x:c>
      <x:c r="Q15" s="6" t="str">
        <x:v>No</x:v>
      </x:c>
      <x:c r="R15" s="12" t="str"/>
      <x:c r="S15" s="6" t="str">
        <x:v>Pending</x:v>
      </x:c>
      <x:c r="T15" s="6" t="str"/>
      <x:c r="U15" s="6" t="str"/>
      <x:c r="V15" s="6" t="str">
        <x:v>Not Eligible</x:v>
      </x:c>
      <x:c r="W15" s="12" t="str"/>
    </x:row>
    <x:row r="16">
      <x:c r="A16" s="6" t="str">
        <x:v>DDEC-0015</x:v>
      </x:c>
      <x:c r="B16" s="6" t="str">
        <x:v>DUP000015</x:v>
      </x:c>
      <x:c r="C16" s="12" t="str">
        <x:v>SVC000231; SVC000232</x:v>
      </x:c>
      <x:c r="D16" s="12" t="str">
        <x:v>iPhone 8 Charge Port Replacement; iPhone 8+ Charge Port Replacement</x:v>
      </x:c>
      <x:c r="E16" s="6" t="str">
        <x:v>Unresolved</x:v>
      </x:c>
      <x:c r="F16" s="6" t="str"/>
      <x:c r="G16" s="12" t="str"/>
      <x:c r="H16" s="6" t="str"/>
      <x:c r="I16" s="6" t="str"/>
      <x:c r="J16" s="12" t="str"/>
      <x:c r="K16" s="12" t="str"/>
      <x:c r="L16" s="12" t="str"/>
      <x:c r="M16" s="6" t="str">
        <x:v>Unresolved</x:v>
      </x:c>
      <x:c r="N16" s="6" t="str"/>
      <x:c r="O16" s="6" t="str"/>
      <x:c r="P16" s="6" t="str">
        <x:v>Insufficient Evidence</x:v>
      </x:c>
      <x:c r="Q16" s="6" t="str">
        <x:v>No</x:v>
      </x:c>
      <x:c r="R16" s="12" t="str"/>
      <x:c r="S16" s="6" t="str">
        <x:v>Pending</x:v>
      </x:c>
      <x:c r="T16" s="6" t="str"/>
      <x:c r="U16" s="6" t="str"/>
      <x:c r="V16" s="6" t="str">
        <x:v>Not Eligible</x:v>
      </x:c>
      <x:c r="W16" s="12" t="str"/>
    </x:row>
  </x:sheetData>
  <x:dataValidations count="10">
    <x:dataValidation type="list" sqref="E2:E16">
      <x:formula1>"Keep Separate,Merge Proposed,Rename Proposed,Parent-Child Relationship,Reject Source Record,Escalate,Unresolved"</x:formula1>
    </x:dataValidation>
    <x:dataValidation type="list" sqref="M2:M16">
      <x:formula1>"Reviewer Complete,In Review,Blocked,Escalate,Unresolved"</x:formula1>
    </x:dataValidation>
    <x:dataValidation type="list" sqref="P2:P16">
      <x:formula1>"High,Medium,Low,Insufficient Evidence"</x:formula1>
    </x:dataValidation>
    <x:dataValidation type="list" sqref="Q2:Q16">
      <x:formula1>"Yes,No"</x:formula1>
    </x:dataValidation>
    <x:dataValidation type="list" sqref="S2:S16">
      <x:formula1>"Pending,Approved,Rejected,Escalated,Not Approved"</x:formula1>
    </x:dataValidation>
    <x:dataValidation type="list" sqref="V2:V16">
      <x:formula1>"Not Eligible"</x:formula1>
    </x:dataValidation>
    <x:dataValidation type="list" sqref="F2:F16">
      <x:formula1>"SVC000001,SVC000002,SVC000003,SVC000004,SVC000005,SVC000006,SVC000007,SVC000008,SVC000009,SVC000010,SVC000011,SVC000012,SVC000013,SVC000014,SVC000015,SVC000016,SVC000017,SVC000018,SVC000019,SVC000020,SVC000021,SVC000022,SVC000023,SVC000024,SVC000025,SVC000026,SVC000027,SVC000028,SVC000029,SVC000030,SVC000031,SVC000032,SVC000033,SVC000034,SVC000035,SVC000036,SVC000037,SVC000038,SVC000039,SVC000040,SVC000041,SVC000042,SVC000043,SVC000044,SVC000045,SVC000046,SVC000047,SVC000048,SVC000049,SVC000050,SVC000051,SVC000052,SVC000053,SVC000054,SVC000055,SVC000056,SVC000057,SVC000058,SVC000059,SVC000060,SVC000061,SVC000062,SVC000063,SVC000064,SVC000065,SVC000066,SVC000067,SVC000068,SVC000069,SVC000070,SVC000071,SVC000072,SVC000073,SVC000074,SVC000075,SVC000076,SVC000077,SVC000078,SVC000079,SVC000080,SVC000081,SVC000082,SVC000083,SVC000084,SVC000085,SVC000086,SVC000087,SVC000088,SVC000089,SVC000090,SVC000091,SVC000092,SVC000093,SVC000094,SVC000095,SVC000096,SVC000097,SVC000098,SVC000099,SVC000100,SVC000101,SVC000102,SVC000103,SVC000104,SVC000105,SVC000106,SVC000107,SVC000108,SVC000109,SVC000110,SVC000111,SVC000112,SVC000113,SVC000114,SVC000115,SVC000116,SVC000117,SVC000118,SVC000119,SVC000120,SVC000121,SVC000122,SVC000123,SVC000124,SVC000125,SVC000126,SVC000127,SVC000128,SVC000129,SVC000130,SVC000131,SVC000132,SVC000133,SVC000134,SVC000135,SVC000136,SVC000137,SVC000138,SVC000139,SVC000140,SVC000141,SVC000142,SVC000143,SVC000144,SVC000145,SVC000146,SVC000147,SVC000148,SVC000149,SVC000150,SVC000151,SVC000152,SVC000153,SVC000154,SVC000155,SVC000156,SVC000157,SVC000158,SVC000159,SVC000160,SVC000161,SVC000162,SVC000163,SVC000164,SVC000165,SVC000166,SVC000167,SVC000168,SVC000169,SVC000170,SVC000171,SVC000172,SVC000173,SVC000174,SVC000175,SVC000176,SVC000177,SVC000178,SVC000179,SVC000180,SVC000181,SVC000182,SVC000183,SVC000184,SVC000185,SVC000186,SVC000187,SVC000188,SVC000189,SVC000190,SVC000191,SVC000192,SVC000193,SVC000194,SVC000195,SVC000196,SVC000197,SVC000198,SVC000199,SVC000200,SVC000201,SVC000202,SVC000203,SVC000204,SVC000205,SVC000206,SVC000207,SVC000208,SVC000209,SVC000210,SVC000211,SVC000212,SVC000213,SVC000214,SVC000215,SVC000216,SVC000217,SVC000218,SVC000219,SVC000220,SVC000221,SVC000222,SVC000223,SVC000224,SVC000225,SVC000226,SVC000227,SVC000228,SVC000229,SVC000230,SVC000231,SVC000232,SVC000233,SVC000234,SVC000235,SVC000236,SVC000237,SVC000238,SVC000239,SVC000240,SVC000241,SVC000242,SVC000243,SVC000244,SVC000245,SVC000246,SVC000247,SVC000248,SVC000249,SVC000250,SVC000251,SVC000252,SVC000253,SVC000254,SVC000255,SVC000256,SVC000257,SVC000258,SVC000259,SVC000260,SVC000261,SVC000262,SVC000263,SVC000264,SVC000265,SVC000266,SVC000267,SVC000268,SVC000269,SVC000270,SVC000271,SVC000272,SVC000273,SVC000274,SVC000275,SVC000276,SVC000277,SVC000278,SVC000279,SVC000280,SVC000281,SVC000282,SVC000283,SVC000284,SVC000285,SVC000286,SVC000287,SVC000288,SVC000289,SVC000290,SVC000291,SVC000292,SVC000293,SVC000294,SVC000295,SVC000296,SVC000297,SVC000298,SVC000299,SVC000300,SVC000301,SVC000302,SVC000303,SVC000304,SVC000305,SVC000306,SVC000307,SVC000308,SVC000309,SVC000310,SVC000311,SVC000312,SVC000313,SVC000314"</x:formula1>
    </x:dataValidation>
    <x:dataValidation type="list" sqref="G2:G16">
      <x:formula1>"SVC000001,SVC000002,SVC000003,SVC000004,SVC000005,SVC000006,SVC000007,SVC000008,SVC000009,SVC000010,SVC000011,SVC000012,SVC000013,SVC000014,SVC000015,SVC000016,SVC000017,SVC000018,SVC000019,SVC000020,SVC000021,SVC000022,SVC000023,SVC000024,SVC000025,SVC000026,SVC000027,SVC000028,SVC000029,SVC000030,SVC000031,SVC000032,SVC000033,SVC000034,SVC000035,SVC000036,SVC000037,SVC000038,SVC000039,SVC000040,SVC000041,SVC000042,SVC000043,SVC000044,SVC000045,SVC000046,SVC000047,SVC000048,SVC000049,SVC000050,SVC000051,SVC000052,SVC000053,SVC000054,SVC000055,SVC000056,SVC000057,SVC000058,SVC000059,SVC000060,SVC000061,SVC000062,SVC000063,SVC000064,SVC000065,SVC000066,SVC000067,SVC000068,SVC000069,SVC000070,SVC000071,SVC000072,SVC000073,SVC000074,SVC000075,SVC000076,SVC000077,SVC000078,SVC000079,SVC000080,SVC000081,SVC000082,SVC000083,SVC000084,SVC000085,SVC000086,SVC000087,SVC000088,SVC000089,SVC000090,SVC000091,SVC000092,SVC000093,SVC000094,SVC000095,SVC000096,SVC000097,SVC000098,SVC000099,SVC000100,SVC000101,SVC000102,SVC000103,SVC000104,SVC000105,SVC000106,SVC000107,SVC000108,SVC000109,SVC000110,SVC000111,SVC000112,SVC000113,SVC000114,SVC000115,SVC000116,SVC000117,SVC000118,SVC000119,SVC000120,SVC000121,SVC000122,SVC000123,SVC000124,SVC000125,SVC000126,SVC000127,SVC000128,SVC000129,SVC000130,SVC000131,SVC000132,SVC000133,SVC000134,SVC000135,SVC000136,SVC000137,SVC000138,SVC000139,SVC000140,SVC000141,SVC000142,SVC000143,SVC000144,SVC000145,SVC000146,SVC000147,SVC000148,SVC000149,SVC000150,SVC000151,SVC000152,SVC000153,SVC000154,SVC000155,SVC000156,SVC000157,SVC000158,SVC000159,SVC000160,SVC000161,SVC000162,SVC000163,SVC000164,SVC000165,SVC000166,SVC000167,SVC000168,SVC000169,SVC000170,SVC000171,SVC000172,SVC000173,SVC000174,SVC000175,SVC000176,SVC000177,SVC000178,SVC000179,SVC000180,SVC000181,SVC000182,SVC000183,SVC000184,SVC000185,SVC000186,SVC000187,SVC000188,SVC000189,SVC000190,SVC000191,SVC000192,SVC000193,SVC000194,SVC000195,SVC000196,SVC000197,SVC000198,SVC000199,SVC000200,SVC000201,SVC000202,SVC000203,SVC000204,SVC000205,SVC000206,SVC000207,SVC000208,SVC000209,SVC000210,SVC000211,SVC000212,SVC000213,SVC000214,SVC000215,SVC000216,SVC000217,SVC000218,SVC000219,SVC000220,SVC000221,SVC000222,SVC000223,SVC000224,SVC000225,SVC000226,SVC000227,SVC000228,SVC000229,SVC000230,SVC000231,SVC000232,SVC000233,SVC000234,SVC000235,SVC000236,SVC000237,SVC000238,SVC000239,SVC000240,SVC000241,SVC000242,SVC000243,SVC000244,SVC000245,SVC000246,SVC000247,SVC000248,SVC000249,SVC000250,SVC000251,SVC000252,SVC000253,SVC000254,SVC000255,SVC000256,SVC000257,SVC000258,SVC000259,SVC000260,SVC000261,SVC000262,SVC000263,SVC000264,SVC000265,SVC000266,SVC000267,SVC000268,SVC000269,SVC000270,SVC000271,SVC000272,SVC000273,SVC000274,SVC000275,SVC000276,SVC000277,SVC000278,SVC000279,SVC000280,SVC000281,SVC000282,SVC000283,SVC000284,SVC000285,SVC000286,SVC000287,SVC000288,SVC000289,SVC000290,SVC000291,SVC000292,SVC000293,SVC000294,SVC000295,SVC000296,SVC000297,SVC000298,SVC000299,SVC000300,SVC000301,SVC000302,SVC000303,SVC000304,SVC000305,SVC000306,SVC000307,SVC000308,SVC000309,SVC000310,SVC000311,SVC000312,SVC000313,SVC000314"</x:formula1>
    </x:dataValidation>
    <x:dataValidation type="list" sqref="I2:I16">
      <x:formula1>"SVC000001,SVC000002,SVC000003,SVC000004,SVC000005,SVC000006,SVC000007,SVC000008,SVC000009,SVC000010,SVC000011,SVC000012,SVC000013,SVC000014,SVC000015,SVC000016,SVC000017,SVC000018,SVC000019,SVC000020,SVC000021,SVC000022,SVC000023,SVC000024,SVC000025,SVC000026,SVC000027,SVC000028,SVC000029,SVC000030,SVC000031,SVC000032,SVC000033,SVC000034,SVC000035,SVC000036,SVC000037,SVC000038,SVC000039,SVC000040,SVC000041,SVC000042,SVC000043,SVC000044,SVC000045,SVC000046,SVC000047,SVC000048,SVC000049,SVC000050,SVC000051,SVC000052,SVC000053,SVC000054,SVC000055,SVC000056,SVC000057,SVC000058,SVC000059,SVC000060,SVC000061,SVC000062,SVC000063,SVC000064,SVC000065,SVC000066,SVC000067,SVC000068,SVC000069,SVC000070,SVC000071,SVC000072,SVC000073,SVC000074,SVC000075,SVC000076,SVC000077,SVC000078,SVC000079,SVC000080,SVC000081,SVC000082,SVC000083,SVC000084,SVC000085,SVC000086,SVC000087,SVC000088,SVC000089,SVC000090,SVC000091,SVC000092,SVC000093,SVC000094,SVC000095,SVC000096,SVC000097,SVC000098,SVC000099,SVC000100,SVC000101,SVC000102,SVC000103,SVC000104,SVC000105,SVC000106,SVC000107,SVC000108,SVC000109,SVC000110,SVC000111,SVC000112,SVC000113,SVC000114,SVC000115,SVC000116,SVC000117,SVC000118,SVC000119,SVC000120,SVC000121,SVC000122,SVC000123,SVC000124,SVC000125,SVC000126,SVC000127,SVC000128,SVC000129,SVC000130,SVC000131,SVC000132,SVC000133,SVC000134,SVC000135,SVC000136,SVC000137,SVC000138,SVC000139,SVC000140,SVC000141,SVC000142,SVC000143,SVC000144,SVC000145,SVC000146,SVC000147,SVC000148,SVC000149,SVC000150,SVC000151,SVC000152,SVC000153,SVC000154,SVC000155,SVC000156,SVC000157,SVC000158,SVC000159,SVC000160,SVC000161,SVC000162,SVC000163,SVC000164,SVC000165,SVC000166,SVC000167,SVC000168,SVC000169,SVC000170,SVC000171,SVC000172,SVC000173,SVC000174,SVC000175,SVC000176,SVC000177,SVC000178,SVC000179,SVC000180,SVC000181,SVC000182,SVC000183,SVC000184,SVC000185,SVC000186,SVC000187,SVC000188,SVC000189,SVC000190,SVC000191,SVC000192,SVC000193,SVC000194,SVC000195,SVC000196,SVC000197,SVC000198,SVC000199,SVC000200,SVC000201,SVC000202,SVC000203,SVC000204,SVC000205,SVC000206,SVC000207,SVC000208,SVC000209,SVC000210,SVC000211,SVC000212,SVC000213,SVC000214,SVC000215,SVC000216,SVC000217,SVC000218,SVC000219,SVC000220,SVC000221,SVC000222,SVC000223,SVC000224,SVC000225,SVC000226,SVC000227,SVC000228,SVC000229,SVC000230,SVC000231,SVC000232,SVC000233,SVC000234,SVC000235,SVC000236,SVC000237,SVC000238,SVC000239,SVC000240,SVC000241,SVC000242,SVC000243,SVC000244,SVC000245,SVC000246,SVC000247,SVC000248,SVC000249,SVC000250,SVC000251,SVC000252,SVC000253,SVC000254,SVC000255,SVC000256,SVC000257,SVC000258,SVC000259,SVC000260,SVC000261,SVC000262,SVC000263,SVC000264,SVC000265,SVC000266,SVC000267,SVC000268,SVC000269,SVC000270,SVC000271,SVC000272,SVC000273,SVC000274,SVC000275,SVC000276,SVC000277,SVC000278,SVC000279,SVC000280,SVC000281,SVC000282,SVC000283,SVC000284,SVC000285,SVC000286,SVC000287,SVC000288,SVC000289,SVC000290,SVC000291,SVC000292,SVC000293,SVC000294,SVC000295,SVC000296,SVC000297,SVC000298,SVC000299,SVC000300,SVC000301,SVC000302,SVC000303,SVC000304,SVC000305,SVC000306,SVC000307,SVC000308,SVC000309,SVC000310,SVC000311,SVC000312,SVC000313,SVC000314"</x:formula1>
    </x:dataValidation>
    <x:dataValidation type="list" sqref="J2:J16">
      <x:formula1>"SVC000001,SVC000002,SVC000003,SVC000004,SVC000005,SVC000006,SVC000007,SVC000008,SVC000009,SVC000010,SVC000011,SVC000012,SVC000013,SVC000014,SVC000015,SVC000016,SVC000017,SVC000018,SVC000019,SVC000020,SVC000021,SVC000022,SVC000023,SVC000024,SVC000025,SVC000026,SVC000027,SVC000028,SVC000029,SVC000030,SVC000031,SVC000032,SVC000033,SVC000034,SVC000035,SVC000036,SVC000037,SVC000038,SVC000039,SVC000040,SVC000041,SVC000042,SVC000043,SVC000044,SVC000045,SVC000046,SVC000047,SVC000048,SVC000049,SVC000050,SVC000051,SVC000052,SVC000053,SVC000054,SVC000055,SVC000056,SVC000057,SVC000058,SVC000059,SVC000060,SVC000061,SVC000062,SVC000063,SVC000064,SVC000065,SVC000066,SVC000067,SVC000068,SVC000069,SVC000070,SVC000071,SVC000072,SVC000073,SVC000074,SVC000075,SVC000076,SVC000077,SVC000078,SVC000079,SVC000080,SVC000081,SVC000082,SVC000083,SVC000084,SVC000085,SVC000086,SVC000087,SVC000088,SVC000089,SVC000090,SVC000091,SVC000092,SVC000093,SVC000094,SVC000095,SVC000096,SVC000097,SVC000098,SVC000099,SVC000100,SVC000101,SVC000102,SVC000103,SVC000104,SVC000105,SVC000106,SVC000107,SVC000108,SVC000109,SVC000110,SVC000111,SVC000112,SVC000113,SVC000114,SVC000115,SVC000116,SVC000117,SVC000118,SVC000119,SVC000120,SVC000121,SVC000122,SVC000123,SVC000124,SVC000125,SVC000126,SVC000127,SVC000128,SVC000129,SVC000130,SVC000131,SVC000132,SVC000133,SVC000134,SVC000135,SVC000136,SVC000137,SVC000138,SVC000139,SVC000140,SVC000141,SVC000142,SVC000143,SVC000144,SVC000145,SVC000146,SVC000147,SVC000148,SVC000149,SVC000150,SVC000151,SVC000152,SVC000153,SVC000154,SVC000155,SVC000156,SVC000157,SVC000158,SVC000159,SVC000160,SVC000161,SVC000162,SVC000163,SVC000164,SVC000165,SVC000166,SVC000167,SVC000168,SVC000169,SVC000170,SVC000171,SVC000172,SVC000173,SVC000174,SVC000175,SVC000176,SVC000177,SVC000178,SVC000179,SVC000180,SVC000181,SVC000182,SVC000183,SVC000184,SVC000185,SVC000186,SVC000187,SVC000188,SVC000189,SVC000190,SVC000191,SVC000192,SVC000193,SVC000194,SVC000195,SVC000196,SVC000197,SVC000198,SVC000199,SVC000200,SVC000201,SVC000202,SVC000203,SVC000204,SVC000205,SVC000206,SVC000207,SVC000208,SVC000209,SVC000210,SVC000211,SVC000212,SVC000213,SVC000214,SVC000215,SVC000216,SVC000217,SVC000218,SVC000219,SVC000220,SVC000221,SVC000222,SVC000223,SVC000224,SVC000225,SVC000226,SVC000227,SVC000228,SVC000229,SVC000230,SVC000231,SVC000232,SVC000233,SVC000234,SVC000235,SVC000236,SVC000237,SVC000238,SVC000239,SVC000240,SVC000241,SVC000242,SVC000243,SVC000244,SVC000245,SVC000246,SVC000247,SVC000248,SVC000249,SVC000250,SVC000251,SVC000252,SVC000253,SVC000254,SVC000255,SVC000256,SVC000257,SVC000258,SVC000259,SVC000260,SVC000261,SVC000262,SVC000263,SVC000264,SVC000265,SVC000266,SVC000267,SVC000268,SVC000269,SVC000270,SVC000271,SVC000272,SVC000273,SVC000274,SVC000275,SVC000276,SVC000277,SVC000278,SVC000279,SVC000280,SVC000281,SVC000282,SVC000283,SVC000284,SVC000285,SVC000286,SVC000287,SVC000288,SVC000289,SVC000290,SVC000291,SVC000292,SVC000293,SVC000294,SVC000295,SVC000296,SVC000297,SVC000298,SVC000299,SVC000300,SVC000301,SVC000302,SVC000303,SVC000304,SVC000305,SVC000306,SVC000307,SVC000308,SVC000309,SVC000310,SVC000311,SVC000312,SVC000313,SVC000314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849b3e252a84ff8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1" hidden="0" customWidth="1"/>
    <x:col min="2" max="2" width="11.75" hidden="0" customWidth="1"/>
    <x:col min="3" max="3" width="17.5" hidden="0" customWidth="1"/>
    <x:col min="4" max="4" width="19.25" hidden="0" customWidth="1"/>
    <x:col min="5" max="5" width="25.6299991607666" hidden="0" customWidth="1"/>
    <x:col min="6" max="6" width="25" hidden="0" customWidth="1"/>
    <x:col min="7" max="7" width="29.25" hidden="0" customWidth="1"/>
    <x:col min="8" max="8" width="19" hidden="0" customWidth="1"/>
    <x:col min="9" max="9" width="14.880000114440918" hidden="0" customWidth="1"/>
    <x:col min="10" max="10" width="12.380000114440918" hidden="0" customWidth="1"/>
    <x:col min="11" max="11" width="15.880000114440918" hidden="0" customWidth="1"/>
    <x:col min="12" max="12" width="17.8799991607666" hidden="0" customWidth="1"/>
    <x:col min="13" max="13" width="25.75" hidden="0" customWidth="1"/>
    <x:col min="14" max="14" width="14.880000114440918" hidden="0" customWidth="1"/>
    <x:col min="15" max="15" width="13.75" hidden="0" customWidth="1"/>
    <x:col min="16" max="16" width="14.630000114440918" hidden="0" customWidth="1"/>
    <x:col min="17" max="17" width="15.5" hidden="0" customWidth="1"/>
  </x:cols>
  <x:sheetData>
    <x:row r="1">
      <x:c r="A1" s="5" t="str">
        <x:v>Approval Preparation ID</x:v>
      </x:c>
      <x:c r="B1" s="5" t="str">
        <x:v>Decision ID</x:v>
      </x:c>
      <x:c r="C1" s="5" t="str">
        <x:v>Duplicate Group ID</x:v>
      </x:c>
      <x:c r="D1" s="5" t="str">
        <x:v>Proposed Disposition</x:v>
      </x:c>
      <x:c r="E1" s="5" t="str">
        <x:v>Proposed Surviving Service ID</x:v>
      </x:c>
      <x:c r="F1" s="5" t="str">
        <x:v>Proposed Retired Service IDs</x:v>
      </x:c>
      <x:c r="G1" s="5" t="str">
        <x:v>Proposed Canonical Service Name</x:v>
      </x:c>
      <x:c r="H1" s="5" t="str">
        <x:v>Evidence References</x:v>
      </x:c>
      <x:c r="I1" s="5" t="str">
        <x:v>Reviewer Name</x:v>
      </x:c>
      <x:c r="J1" s="5" t="str">
        <x:v>Review Date</x:v>
      </x:c>
      <x:c r="K1" s="5" t="str">
        <x:v>Validation Check</x:v>
      </x:c>
      <x:c r="L1" s="5" t="str">
        <x:v>Dependency Check</x:v>
      </x:c>
      <x:c r="M1" s="5" t="str">
        <x:v>Second-Level Approval Status</x:v>
      </x:c>
      <x:c r="N1" s="5" t="str">
        <x:v>Approver Name</x:v>
      </x:c>
      <x:c r="O1" s="5" t="str">
        <x:v>Approval Date</x:v>
      </x:c>
      <x:c r="P1" s="5" t="str">
        <x:v>Approval Notes</x:v>
      </x:c>
      <x:c r="Q1" s="5" t="str">
        <x:v>Import Eligibility</x:v>
      </x:c>
    </x:row>
    <x:row r="2">
      <x:c r="A2" s="6" t="str">
        <x:v>DAPP-0001</x:v>
      </x:c>
      <x:c r="B2" s="6" t="str">
        <x:v>DDEC-0001</x:v>
      </x:c>
      <x:c r="C2" s="6" t="str">
        <x:v>DUP000001</x:v>
      </x:c>
      <x:c r="D2" s="6" t="str">
        <x:f>IF(XLOOKUP(B2,'Reviewer Decision Entry'!A2:A16,'Reviewer Decision Entry'!M2:M16)="Reviewer Complete",XLOOKUP(B2,'Reviewer Decision Entry'!A2:A16,'Reviewer Decision Entry'!E2:E16),"")</x:f>
      </x:c>
      <x:c r="E2" s="6" t="str">
        <x:f>IF(D2&lt;&gt;"",XLOOKUP(B2,'Reviewer Decision Entry'!A2:A16,'Reviewer Decision Entry'!F2:F16),"")</x:f>
      </x:c>
      <x:c r="F2" s="12" t="str">
        <x:f>IF(D2&lt;&gt;"",XLOOKUP(B2,'Reviewer Decision Entry'!A2:A16,'Reviewer Decision Entry'!G2:G16),"")</x:f>
      </x:c>
      <x:c r="G2" s="6" t="str">
        <x:f>IF(D2&lt;&gt;"",XLOOKUP(B2,'Reviewer Decision Entry'!A2:A16,'Reviewer Decision Entry'!H2:H16),"")</x:f>
      </x:c>
      <x:c r="H2" s="12" t="str">
        <x:f>IF(D2&lt;&gt;"",XLOOKUP(B2,'Reviewer Decision Entry'!A2:A16,'Reviewer Decision Entry'!L2:L16),"")</x:f>
      </x:c>
      <x:c r="I2" s="6" t="str">
        <x:f>IF(D2&lt;&gt;"",XLOOKUP(B2,'Reviewer Decision Entry'!A2:A16,'Reviewer Decision Entry'!N2:N16),"")</x:f>
      </x:c>
      <x:c r="J2" s="6" t="str">
        <x:f>IF(D2&lt;&gt;"",XLOOKUP(B2,'Reviewer Decision Entry'!A2:A16,'Reviewer Decision Entry'!O2:O16),"")</x:f>
      </x:c>
      <x:c r="K2" s="6" t="str">
        <x:f>IF(D2&lt;&gt;"","PASS - reviewer complete; approval still pending","Not ready for approval")</x:f>
        <x:v>Not ready for approval</x:v>
      </x:c>
      <x:c r="L2" s="6" t="str">
        <x:f>IF(Q2="Not Eligible","PASS","FAIL")</x:f>
        <x:v>PASS</x:v>
      </x:c>
      <x:c r="M2" s="6" t="str">
        <x:v>Pending</x:v>
      </x:c>
      <x:c r="N2" s="6" t="str"/>
      <x:c r="O2" s="6" t="str"/>
      <x:c r="P2" s="12" t="str"/>
      <x:c r="Q2" s="6" t="str">
        <x:v>Not Eligible</x:v>
      </x:c>
    </x:row>
    <x:row r="3">
      <x:c r="A3" s="6" t="str">
        <x:v>DAPP-0002</x:v>
      </x:c>
      <x:c r="B3" s="6" t="str">
        <x:v>DDEC-0002</x:v>
      </x:c>
      <x:c r="C3" s="6" t="str">
        <x:v>DUP000002</x:v>
      </x:c>
      <x:c r="D3" s="6" t="str">
        <x:f>IF(XLOOKUP(B3,'Reviewer Decision Entry'!A2:A16,'Reviewer Decision Entry'!M2:M16)="Reviewer Complete",XLOOKUP(B3,'Reviewer Decision Entry'!A2:A16,'Reviewer Decision Entry'!E2:E16),"")</x:f>
      </x:c>
      <x:c r="E3" s="6" t="str">
        <x:f>IF(D3&lt;&gt;"",XLOOKUP(B3,'Reviewer Decision Entry'!A2:A16,'Reviewer Decision Entry'!F2:F16),"")</x:f>
      </x:c>
      <x:c r="F3" s="12" t="str">
        <x:f>IF(D3&lt;&gt;"",XLOOKUP(B3,'Reviewer Decision Entry'!A2:A16,'Reviewer Decision Entry'!G2:G16),"")</x:f>
      </x:c>
      <x:c r="G3" s="6" t="str">
        <x:f>IF(D3&lt;&gt;"",XLOOKUP(B3,'Reviewer Decision Entry'!A2:A16,'Reviewer Decision Entry'!H2:H16),"")</x:f>
      </x:c>
      <x:c r="H3" s="12" t="str">
        <x:f>IF(D3&lt;&gt;"",XLOOKUP(B3,'Reviewer Decision Entry'!A2:A16,'Reviewer Decision Entry'!L2:L16),"")</x:f>
      </x:c>
      <x:c r="I3" s="6" t="str">
        <x:f>IF(D3&lt;&gt;"",XLOOKUP(B3,'Reviewer Decision Entry'!A2:A16,'Reviewer Decision Entry'!N2:N16),"")</x:f>
      </x:c>
      <x:c r="J3" s="6" t="str">
        <x:f>IF(D3&lt;&gt;"",XLOOKUP(B3,'Reviewer Decision Entry'!A2:A16,'Reviewer Decision Entry'!O2:O16),"")</x:f>
      </x:c>
      <x:c r="K3" s="6" t="str">
        <x:f>IF(D3&lt;&gt;"","PASS - reviewer complete; approval still pending","Not ready for approval")</x:f>
        <x:v>Not ready for approval</x:v>
      </x:c>
      <x:c r="L3" s="6" t="str">
        <x:f>IF(Q3="Not Eligible","PASS","FAIL")</x:f>
        <x:v>PASS</x:v>
      </x:c>
      <x:c r="M3" s="6" t="str">
        <x:v>Pending</x:v>
      </x:c>
      <x:c r="N3" s="6" t="str"/>
      <x:c r="O3" s="6" t="str"/>
      <x:c r="P3" s="12" t="str"/>
      <x:c r="Q3" s="6" t="str">
        <x:v>Not Eligible</x:v>
      </x:c>
    </x:row>
    <x:row r="4">
      <x:c r="A4" s="6" t="str">
        <x:v>DAPP-0003</x:v>
      </x:c>
      <x:c r="B4" s="6" t="str">
        <x:v>DDEC-0003</x:v>
      </x:c>
      <x:c r="C4" s="6" t="str">
        <x:v>DUP000003</x:v>
      </x:c>
      <x:c r="D4" s="6" t="str">
        <x:f>IF(XLOOKUP(B4,'Reviewer Decision Entry'!A2:A16,'Reviewer Decision Entry'!M2:M16)="Reviewer Complete",XLOOKUP(B4,'Reviewer Decision Entry'!A2:A16,'Reviewer Decision Entry'!E2:E16),"")</x:f>
      </x:c>
      <x:c r="E4" s="6" t="str">
        <x:f>IF(D4&lt;&gt;"",XLOOKUP(B4,'Reviewer Decision Entry'!A2:A16,'Reviewer Decision Entry'!F2:F16),"")</x:f>
      </x:c>
      <x:c r="F4" s="12" t="str">
        <x:f>IF(D4&lt;&gt;"",XLOOKUP(B4,'Reviewer Decision Entry'!A2:A16,'Reviewer Decision Entry'!G2:G16),"")</x:f>
      </x:c>
      <x:c r="G4" s="6" t="str">
        <x:f>IF(D4&lt;&gt;"",XLOOKUP(B4,'Reviewer Decision Entry'!A2:A16,'Reviewer Decision Entry'!H2:H16),"")</x:f>
      </x:c>
      <x:c r="H4" s="12" t="str">
        <x:f>IF(D4&lt;&gt;"",XLOOKUP(B4,'Reviewer Decision Entry'!A2:A16,'Reviewer Decision Entry'!L2:L16),"")</x:f>
      </x:c>
      <x:c r="I4" s="6" t="str">
        <x:f>IF(D4&lt;&gt;"",XLOOKUP(B4,'Reviewer Decision Entry'!A2:A16,'Reviewer Decision Entry'!N2:N16),"")</x:f>
      </x:c>
      <x:c r="J4" s="6" t="str">
        <x:f>IF(D4&lt;&gt;"",XLOOKUP(B4,'Reviewer Decision Entry'!A2:A16,'Reviewer Decision Entry'!O2:O16),"")</x:f>
      </x:c>
      <x:c r="K4" s="6" t="str">
        <x:f>IF(D4&lt;&gt;"","PASS - reviewer complete; approval still pending","Not ready for approval")</x:f>
        <x:v>Not ready for approval</x:v>
      </x:c>
      <x:c r="L4" s="6" t="str">
        <x:f>IF(Q4="Not Eligible","PASS","FAIL")</x:f>
        <x:v>PASS</x:v>
      </x:c>
      <x:c r="M4" s="6" t="str">
        <x:v>Pending</x:v>
      </x:c>
      <x:c r="N4" s="6" t="str"/>
      <x:c r="O4" s="6" t="str"/>
      <x:c r="P4" s="12" t="str"/>
      <x:c r="Q4" s="6" t="str">
        <x:v>Not Eligible</x:v>
      </x:c>
    </x:row>
    <x:row r="5">
      <x:c r="A5" s="6" t="str">
        <x:v>DAPP-0004</x:v>
      </x:c>
      <x:c r="B5" s="6" t="str">
        <x:v>DDEC-0004</x:v>
      </x:c>
      <x:c r="C5" s="6" t="str">
        <x:v>DUP000004</x:v>
      </x:c>
      <x:c r="D5" s="6" t="str">
        <x:f>IF(XLOOKUP(B5,'Reviewer Decision Entry'!A2:A16,'Reviewer Decision Entry'!M2:M16)="Reviewer Complete",XLOOKUP(B5,'Reviewer Decision Entry'!A2:A16,'Reviewer Decision Entry'!E2:E16),"")</x:f>
      </x:c>
      <x:c r="E5" s="6" t="str">
        <x:f>IF(D5&lt;&gt;"",XLOOKUP(B5,'Reviewer Decision Entry'!A2:A16,'Reviewer Decision Entry'!F2:F16),"")</x:f>
      </x:c>
      <x:c r="F5" s="12" t="str">
        <x:f>IF(D5&lt;&gt;"",XLOOKUP(B5,'Reviewer Decision Entry'!A2:A16,'Reviewer Decision Entry'!G2:G16),"")</x:f>
      </x:c>
      <x:c r="G5" s="6" t="str">
        <x:f>IF(D5&lt;&gt;"",XLOOKUP(B5,'Reviewer Decision Entry'!A2:A16,'Reviewer Decision Entry'!H2:H16),"")</x:f>
      </x:c>
      <x:c r="H5" s="12" t="str">
        <x:f>IF(D5&lt;&gt;"",XLOOKUP(B5,'Reviewer Decision Entry'!A2:A16,'Reviewer Decision Entry'!L2:L16),"")</x:f>
      </x:c>
      <x:c r="I5" s="6" t="str">
        <x:f>IF(D5&lt;&gt;"",XLOOKUP(B5,'Reviewer Decision Entry'!A2:A16,'Reviewer Decision Entry'!N2:N16),"")</x:f>
      </x:c>
      <x:c r="J5" s="6" t="str">
        <x:f>IF(D5&lt;&gt;"",XLOOKUP(B5,'Reviewer Decision Entry'!A2:A16,'Reviewer Decision Entry'!O2:O16),"")</x:f>
      </x:c>
      <x:c r="K5" s="6" t="str">
        <x:f>IF(D5&lt;&gt;"","PASS - reviewer complete; approval still pending","Not ready for approval")</x:f>
        <x:v>Not ready for approval</x:v>
      </x:c>
      <x:c r="L5" s="6" t="str">
        <x:f>IF(Q5="Not Eligible","PASS","FAIL")</x:f>
        <x:v>PASS</x:v>
      </x:c>
      <x:c r="M5" s="6" t="str">
        <x:v>Pending</x:v>
      </x:c>
      <x:c r="N5" s="6" t="str"/>
      <x:c r="O5" s="6" t="str"/>
      <x:c r="P5" s="12" t="str"/>
      <x:c r="Q5" s="6" t="str">
        <x:v>Not Eligible</x:v>
      </x:c>
    </x:row>
    <x:row r="6">
      <x:c r="A6" s="6" t="str">
        <x:v>DAPP-0005</x:v>
      </x:c>
      <x:c r="B6" s="6" t="str">
        <x:v>DDEC-0005</x:v>
      </x:c>
      <x:c r="C6" s="6" t="str">
        <x:v>DUP000005</x:v>
      </x:c>
      <x:c r="D6" s="6" t="str">
        <x:f>IF(XLOOKUP(B6,'Reviewer Decision Entry'!A2:A16,'Reviewer Decision Entry'!M2:M16)="Reviewer Complete",XLOOKUP(B6,'Reviewer Decision Entry'!A2:A16,'Reviewer Decision Entry'!E2:E16),"")</x:f>
      </x:c>
      <x:c r="E6" s="6" t="str">
        <x:f>IF(D6&lt;&gt;"",XLOOKUP(B6,'Reviewer Decision Entry'!A2:A16,'Reviewer Decision Entry'!F2:F16),"")</x:f>
      </x:c>
      <x:c r="F6" s="12" t="str">
        <x:f>IF(D6&lt;&gt;"",XLOOKUP(B6,'Reviewer Decision Entry'!A2:A16,'Reviewer Decision Entry'!G2:G16),"")</x:f>
      </x:c>
      <x:c r="G6" s="6" t="str">
        <x:f>IF(D6&lt;&gt;"",XLOOKUP(B6,'Reviewer Decision Entry'!A2:A16,'Reviewer Decision Entry'!H2:H16),"")</x:f>
      </x:c>
      <x:c r="H6" s="12" t="str">
        <x:f>IF(D6&lt;&gt;"",XLOOKUP(B6,'Reviewer Decision Entry'!A2:A16,'Reviewer Decision Entry'!L2:L16),"")</x:f>
      </x:c>
      <x:c r="I6" s="6" t="str">
        <x:f>IF(D6&lt;&gt;"",XLOOKUP(B6,'Reviewer Decision Entry'!A2:A16,'Reviewer Decision Entry'!N2:N16),"")</x:f>
      </x:c>
      <x:c r="J6" s="6" t="str">
        <x:f>IF(D6&lt;&gt;"",XLOOKUP(B6,'Reviewer Decision Entry'!A2:A16,'Reviewer Decision Entry'!O2:O16),"")</x:f>
      </x:c>
      <x:c r="K6" s="6" t="str">
        <x:f>IF(D6&lt;&gt;"","PASS - reviewer complete; approval still pending","Not ready for approval")</x:f>
        <x:v>Not ready for approval</x:v>
      </x:c>
      <x:c r="L6" s="6" t="str">
        <x:f>IF(Q6="Not Eligible","PASS","FAIL")</x:f>
        <x:v>PASS</x:v>
      </x:c>
      <x:c r="M6" s="6" t="str">
        <x:v>Pending</x:v>
      </x:c>
      <x:c r="N6" s="6" t="str"/>
      <x:c r="O6" s="6" t="str"/>
      <x:c r="P6" s="12" t="str"/>
      <x:c r="Q6" s="6" t="str">
        <x:v>Not Eligible</x:v>
      </x:c>
    </x:row>
    <x:row r="7">
      <x:c r="A7" s="6" t="str">
        <x:v>DAPP-0006</x:v>
      </x:c>
      <x:c r="B7" s="6" t="str">
        <x:v>DDEC-0006</x:v>
      </x:c>
      <x:c r="C7" s="6" t="str">
        <x:v>DUP000006</x:v>
      </x:c>
      <x:c r="D7" s="6" t="str">
        <x:f>IF(XLOOKUP(B7,'Reviewer Decision Entry'!A2:A16,'Reviewer Decision Entry'!M2:M16)="Reviewer Complete",XLOOKUP(B7,'Reviewer Decision Entry'!A2:A16,'Reviewer Decision Entry'!E2:E16),"")</x:f>
      </x:c>
      <x:c r="E7" s="6" t="str">
        <x:f>IF(D7&lt;&gt;"",XLOOKUP(B7,'Reviewer Decision Entry'!A2:A16,'Reviewer Decision Entry'!F2:F16),"")</x:f>
      </x:c>
      <x:c r="F7" s="12" t="str">
        <x:f>IF(D7&lt;&gt;"",XLOOKUP(B7,'Reviewer Decision Entry'!A2:A16,'Reviewer Decision Entry'!G2:G16),"")</x:f>
      </x:c>
      <x:c r="G7" s="6" t="str">
        <x:f>IF(D7&lt;&gt;"",XLOOKUP(B7,'Reviewer Decision Entry'!A2:A16,'Reviewer Decision Entry'!H2:H16),"")</x:f>
      </x:c>
      <x:c r="H7" s="12" t="str">
        <x:f>IF(D7&lt;&gt;"",XLOOKUP(B7,'Reviewer Decision Entry'!A2:A16,'Reviewer Decision Entry'!L2:L16),"")</x:f>
      </x:c>
      <x:c r="I7" s="6" t="str">
        <x:f>IF(D7&lt;&gt;"",XLOOKUP(B7,'Reviewer Decision Entry'!A2:A16,'Reviewer Decision Entry'!N2:N16),"")</x:f>
      </x:c>
      <x:c r="J7" s="6" t="str">
        <x:f>IF(D7&lt;&gt;"",XLOOKUP(B7,'Reviewer Decision Entry'!A2:A16,'Reviewer Decision Entry'!O2:O16),"")</x:f>
      </x:c>
      <x:c r="K7" s="6" t="str">
        <x:f>IF(D7&lt;&gt;"","PASS - reviewer complete; approval still pending","Not ready for approval")</x:f>
        <x:v>Not ready for approval</x:v>
      </x:c>
      <x:c r="L7" s="6" t="str">
        <x:f>IF(Q7="Not Eligible","PASS","FAIL")</x:f>
        <x:v>PASS</x:v>
      </x:c>
      <x:c r="M7" s="6" t="str">
        <x:v>Pending</x:v>
      </x:c>
      <x:c r="N7" s="6" t="str"/>
      <x:c r="O7" s="6" t="str"/>
      <x:c r="P7" s="12" t="str"/>
      <x:c r="Q7" s="6" t="str">
        <x:v>Not Eligible</x:v>
      </x:c>
    </x:row>
    <x:row r="8">
      <x:c r="A8" s="6" t="str">
        <x:v>DAPP-0007</x:v>
      </x:c>
      <x:c r="B8" s="6" t="str">
        <x:v>DDEC-0007</x:v>
      </x:c>
      <x:c r="C8" s="6" t="str">
        <x:v>DUP000007</x:v>
      </x:c>
      <x:c r="D8" s="6" t="str">
        <x:f>IF(XLOOKUP(B8,'Reviewer Decision Entry'!A2:A16,'Reviewer Decision Entry'!M2:M16)="Reviewer Complete",XLOOKUP(B8,'Reviewer Decision Entry'!A2:A16,'Reviewer Decision Entry'!E2:E16),"")</x:f>
      </x:c>
      <x:c r="E8" s="6" t="str">
        <x:f>IF(D8&lt;&gt;"",XLOOKUP(B8,'Reviewer Decision Entry'!A2:A16,'Reviewer Decision Entry'!F2:F16),"")</x:f>
      </x:c>
      <x:c r="F8" s="12" t="str">
        <x:f>IF(D8&lt;&gt;"",XLOOKUP(B8,'Reviewer Decision Entry'!A2:A16,'Reviewer Decision Entry'!G2:G16),"")</x:f>
      </x:c>
      <x:c r="G8" s="6" t="str">
        <x:f>IF(D8&lt;&gt;"",XLOOKUP(B8,'Reviewer Decision Entry'!A2:A16,'Reviewer Decision Entry'!H2:H16),"")</x:f>
      </x:c>
      <x:c r="H8" s="12" t="str">
        <x:f>IF(D8&lt;&gt;"",XLOOKUP(B8,'Reviewer Decision Entry'!A2:A16,'Reviewer Decision Entry'!L2:L16),"")</x:f>
      </x:c>
      <x:c r="I8" s="6" t="str">
        <x:f>IF(D8&lt;&gt;"",XLOOKUP(B8,'Reviewer Decision Entry'!A2:A16,'Reviewer Decision Entry'!N2:N16),"")</x:f>
      </x:c>
      <x:c r="J8" s="6" t="str">
        <x:f>IF(D8&lt;&gt;"",XLOOKUP(B8,'Reviewer Decision Entry'!A2:A16,'Reviewer Decision Entry'!O2:O16),"")</x:f>
      </x:c>
      <x:c r="K8" s="6" t="str">
        <x:f>IF(D8&lt;&gt;"","PASS - reviewer complete; approval still pending","Not ready for approval")</x:f>
        <x:v>Not ready for approval</x:v>
      </x:c>
      <x:c r="L8" s="6" t="str">
        <x:f>IF(Q8="Not Eligible","PASS","FAIL")</x:f>
        <x:v>PASS</x:v>
      </x:c>
      <x:c r="M8" s="6" t="str">
        <x:v>Pending</x:v>
      </x:c>
      <x:c r="N8" s="6" t="str"/>
      <x:c r="O8" s="6" t="str"/>
      <x:c r="P8" s="12" t="str"/>
      <x:c r="Q8" s="6" t="str">
        <x:v>Not Eligible</x:v>
      </x:c>
    </x:row>
    <x:row r="9">
      <x:c r="A9" s="6" t="str">
        <x:v>DAPP-0008</x:v>
      </x:c>
      <x:c r="B9" s="6" t="str">
        <x:v>DDEC-0008</x:v>
      </x:c>
      <x:c r="C9" s="6" t="str">
        <x:v>DUP000008</x:v>
      </x:c>
      <x:c r="D9" s="6" t="str">
        <x:f>IF(XLOOKUP(B9,'Reviewer Decision Entry'!A2:A16,'Reviewer Decision Entry'!M2:M16)="Reviewer Complete",XLOOKUP(B9,'Reviewer Decision Entry'!A2:A16,'Reviewer Decision Entry'!E2:E16),"")</x:f>
      </x:c>
      <x:c r="E9" s="6" t="str">
        <x:f>IF(D9&lt;&gt;"",XLOOKUP(B9,'Reviewer Decision Entry'!A2:A16,'Reviewer Decision Entry'!F2:F16),"")</x:f>
      </x:c>
      <x:c r="F9" s="12" t="str">
        <x:f>IF(D9&lt;&gt;"",XLOOKUP(B9,'Reviewer Decision Entry'!A2:A16,'Reviewer Decision Entry'!G2:G16),"")</x:f>
      </x:c>
      <x:c r="G9" s="6" t="str">
        <x:f>IF(D9&lt;&gt;"",XLOOKUP(B9,'Reviewer Decision Entry'!A2:A16,'Reviewer Decision Entry'!H2:H16),"")</x:f>
      </x:c>
      <x:c r="H9" s="12" t="str">
        <x:f>IF(D9&lt;&gt;"",XLOOKUP(B9,'Reviewer Decision Entry'!A2:A16,'Reviewer Decision Entry'!L2:L16),"")</x:f>
      </x:c>
      <x:c r="I9" s="6" t="str">
        <x:f>IF(D9&lt;&gt;"",XLOOKUP(B9,'Reviewer Decision Entry'!A2:A16,'Reviewer Decision Entry'!N2:N16),"")</x:f>
      </x:c>
      <x:c r="J9" s="6" t="str">
        <x:f>IF(D9&lt;&gt;"",XLOOKUP(B9,'Reviewer Decision Entry'!A2:A16,'Reviewer Decision Entry'!O2:O16),"")</x:f>
      </x:c>
      <x:c r="K9" s="6" t="str">
        <x:f>IF(D9&lt;&gt;"","PASS - reviewer complete; approval still pending","Not ready for approval")</x:f>
        <x:v>Not ready for approval</x:v>
      </x:c>
      <x:c r="L9" s="6" t="str">
        <x:f>IF(Q9="Not Eligible","PASS","FAIL")</x:f>
        <x:v>PASS</x:v>
      </x:c>
      <x:c r="M9" s="6" t="str">
        <x:v>Pending</x:v>
      </x:c>
      <x:c r="N9" s="6" t="str"/>
      <x:c r="O9" s="6" t="str"/>
      <x:c r="P9" s="12" t="str"/>
      <x:c r="Q9" s="6" t="str">
        <x:v>Not Eligible</x:v>
      </x:c>
    </x:row>
    <x:row r="10">
      <x:c r="A10" s="6" t="str">
        <x:v>DAPP-0009</x:v>
      </x:c>
      <x:c r="B10" s="6" t="str">
        <x:v>DDEC-0009</x:v>
      </x:c>
      <x:c r="C10" s="6" t="str">
        <x:v>DUP000009</x:v>
      </x:c>
      <x:c r="D10" s="6" t="str">
        <x:f>IF(XLOOKUP(B10,'Reviewer Decision Entry'!A2:A16,'Reviewer Decision Entry'!M2:M16)="Reviewer Complete",XLOOKUP(B10,'Reviewer Decision Entry'!A2:A16,'Reviewer Decision Entry'!E2:E16),"")</x:f>
      </x:c>
      <x:c r="E10" s="6" t="str">
        <x:f>IF(D10&lt;&gt;"",XLOOKUP(B10,'Reviewer Decision Entry'!A2:A16,'Reviewer Decision Entry'!F2:F16),"")</x:f>
      </x:c>
      <x:c r="F10" s="12" t="str">
        <x:f>IF(D10&lt;&gt;"",XLOOKUP(B10,'Reviewer Decision Entry'!A2:A16,'Reviewer Decision Entry'!G2:G16),"")</x:f>
      </x:c>
      <x:c r="G10" s="6" t="str">
        <x:f>IF(D10&lt;&gt;"",XLOOKUP(B10,'Reviewer Decision Entry'!A2:A16,'Reviewer Decision Entry'!H2:H16),"")</x:f>
      </x:c>
      <x:c r="H10" s="12" t="str">
        <x:f>IF(D10&lt;&gt;"",XLOOKUP(B10,'Reviewer Decision Entry'!A2:A16,'Reviewer Decision Entry'!L2:L16),"")</x:f>
      </x:c>
      <x:c r="I10" s="6" t="str">
        <x:f>IF(D10&lt;&gt;"",XLOOKUP(B10,'Reviewer Decision Entry'!A2:A16,'Reviewer Decision Entry'!N2:N16),"")</x:f>
      </x:c>
      <x:c r="J10" s="6" t="str">
        <x:f>IF(D10&lt;&gt;"",XLOOKUP(B10,'Reviewer Decision Entry'!A2:A16,'Reviewer Decision Entry'!O2:O16),"")</x:f>
      </x:c>
      <x:c r="K10" s="6" t="str">
        <x:f>IF(D10&lt;&gt;"","PASS - reviewer complete; approval still pending","Not ready for approval")</x:f>
        <x:v>Not ready for approval</x:v>
      </x:c>
      <x:c r="L10" s="6" t="str">
        <x:f>IF(Q10="Not Eligible","PASS","FAIL")</x:f>
        <x:v>PASS</x:v>
      </x:c>
      <x:c r="M10" s="6" t="str">
        <x:v>Pending</x:v>
      </x:c>
      <x:c r="N10" s="6" t="str"/>
      <x:c r="O10" s="6" t="str"/>
      <x:c r="P10" s="12" t="str"/>
      <x:c r="Q10" s="6" t="str">
        <x:v>Not Eligible</x:v>
      </x:c>
    </x:row>
    <x:row r="11">
      <x:c r="A11" s="6" t="str">
        <x:v>DAPP-0010</x:v>
      </x:c>
      <x:c r="B11" s="6" t="str">
        <x:v>DDEC-0010</x:v>
      </x:c>
      <x:c r="C11" s="6" t="str">
        <x:v>DUP000010</x:v>
      </x:c>
      <x:c r="D11" s="6" t="str">
        <x:f>IF(XLOOKUP(B11,'Reviewer Decision Entry'!A2:A16,'Reviewer Decision Entry'!M2:M16)="Reviewer Complete",XLOOKUP(B11,'Reviewer Decision Entry'!A2:A16,'Reviewer Decision Entry'!E2:E16),"")</x:f>
      </x:c>
      <x:c r="E11" s="6" t="str">
        <x:f>IF(D11&lt;&gt;"",XLOOKUP(B11,'Reviewer Decision Entry'!A2:A16,'Reviewer Decision Entry'!F2:F16),"")</x:f>
      </x:c>
      <x:c r="F11" s="12" t="str">
        <x:f>IF(D11&lt;&gt;"",XLOOKUP(B11,'Reviewer Decision Entry'!A2:A16,'Reviewer Decision Entry'!G2:G16),"")</x:f>
      </x:c>
      <x:c r="G11" s="6" t="str">
        <x:f>IF(D11&lt;&gt;"",XLOOKUP(B11,'Reviewer Decision Entry'!A2:A16,'Reviewer Decision Entry'!H2:H16),"")</x:f>
      </x:c>
      <x:c r="H11" s="12" t="str">
        <x:f>IF(D11&lt;&gt;"",XLOOKUP(B11,'Reviewer Decision Entry'!A2:A16,'Reviewer Decision Entry'!L2:L16),"")</x:f>
      </x:c>
      <x:c r="I11" s="6" t="str">
        <x:f>IF(D11&lt;&gt;"",XLOOKUP(B11,'Reviewer Decision Entry'!A2:A16,'Reviewer Decision Entry'!N2:N16),"")</x:f>
      </x:c>
      <x:c r="J11" s="6" t="str">
        <x:f>IF(D11&lt;&gt;"",XLOOKUP(B11,'Reviewer Decision Entry'!A2:A16,'Reviewer Decision Entry'!O2:O16),"")</x:f>
      </x:c>
      <x:c r="K11" s="6" t="str">
        <x:f>IF(D11&lt;&gt;"","PASS - reviewer complete; approval still pending","Not ready for approval")</x:f>
        <x:v>Not ready for approval</x:v>
      </x:c>
      <x:c r="L11" s="6" t="str">
        <x:f>IF(Q11="Not Eligible","PASS","FAIL")</x:f>
        <x:v>PASS</x:v>
      </x:c>
      <x:c r="M11" s="6" t="str">
        <x:v>Pending</x:v>
      </x:c>
      <x:c r="N11" s="6" t="str"/>
      <x:c r="O11" s="6" t="str"/>
      <x:c r="P11" s="12" t="str"/>
      <x:c r="Q11" s="6" t="str">
        <x:v>Not Eligible</x:v>
      </x:c>
    </x:row>
    <x:row r="12">
      <x:c r="A12" s="6" t="str">
        <x:v>DAPP-0011</x:v>
      </x:c>
      <x:c r="B12" s="6" t="str">
        <x:v>DDEC-0011</x:v>
      </x:c>
      <x:c r="C12" s="6" t="str">
        <x:v>DUP000011</x:v>
      </x:c>
      <x:c r="D12" s="6" t="str">
        <x:f>IF(XLOOKUP(B12,'Reviewer Decision Entry'!A2:A16,'Reviewer Decision Entry'!M2:M16)="Reviewer Complete",XLOOKUP(B12,'Reviewer Decision Entry'!A2:A16,'Reviewer Decision Entry'!E2:E16),"")</x:f>
      </x:c>
      <x:c r="E12" s="6" t="str">
        <x:f>IF(D12&lt;&gt;"",XLOOKUP(B12,'Reviewer Decision Entry'!A2:A16,'Reviewer Decision Entry'!F2:F16),"")</x:f>
      </x:c>
      <x:c r="F12" s="12" t="str">
        <x:f>IF(D12&lt;&gt;"",XLOOKUP(B12,'Reviewer Decision Entry'!A2:A16,'Reviewer Decision Entry'!G2:G16),"")</x:f>
      </x:c>
      <x:c r="G12" s="6" t="str">
        <x:f>IF(D12&lt;&gt;"",XLOOKUP(B12,'Reviewer Decision Entry'!A2:A16,'Reviewer Decision Entry'!H2:H16),"")</x:f>
      </x:c>
      <x:c r="H12" s="12" t="str">
        <x:f>IF(D12&lt;&gt;"",XLOOKUP(B12,'Reviewer Decision Entry'!A2:A16,'Reviewer Decision Entry'!L2:L16),"")</x:f>
      </x:c>
      <x:c r="I12" s="6" t="str">
        <x:f>IF(D12&lt;&gt;"",XLOOKUP(B12,'Reviewer Decision Entry'!A2:A16,'Reviewer Decision Entry'!N2:N16),"")</x:f>
      </x:c>
      <x:c r="J12" s="6" t="str">
        <x:f>IF(D12&lt;&gt;"",XLOOKUP(B12,'Reviewer Decision Entry'!A2:A16,'Reviewer Decision Entry'!O2:O16),"")</x:f>
      </x:c>
      <x:c r="K12" s="6" t="str">
        <x:f>IF(D12&lt;&gt;"","PASS - reviewer complete; approval still pending","Not ready for approval")</x:f>
        <x:v>Not ready for approval</x:v>
      </x:c>
      <x:c r="L12" s="6" t="str">
        <x:f>IF(Q12="Not Eligible","PASS","FAIL")</x:f>
        <x:v>PASS</x:v>
      </x:c>
      <x:c r="M12" s="6" t="str">
        <x:v>Pending</x:v>
      </x:c>
      <x:c r="N12" s="6" t="str"/>
      <x:c r="O12" s="6" t="str"/>
      <x:c r="P12" s="12" t="str"/>
      <x:c r="Q12" s="6" t="str">
        <x:v>Not Eligible</x:v>
      </x:c>
    </x:row>
    <x:row r="13">
      <x:c r="A13" s="6" t="str">
        <x:v>DAPP-0012</x:v>
      </x:c>
      <x:c r="B13" s="6" t="str">
        <x:v>DDEC-0012</x:v>
      </x:c>
      <x:c r="C13" s="6" t="str">
        <x:v>DUP000012</x:v>
      </x:c>
      <x:c r="D13" s="6" t="str">
        <x:f>IF(XLOOKUP(B13,'Reviewer Decision Entry'!A2:A16,'Reviewer Decision Entry'!M2:M16)="Reviewer Complete",XLOOKUP(B13,'Reviewer Decision Entry'!A2:A16,'Reviewer Decision Entry'!E2:E16),"")</x:f>
      </x:c>
      <x:c r="E13" s="6" t="str">
        <x:f>IF(D13&lt;&gt;"",XLOOKUP(B13,'Reviewer Decision Entry'!A2:A16,'Reviewer Decision Entry'!F2:F16),"")</x:f>
      </x:c>
      <x:c r="F13" s="12" t="str">
        <x:f>IF(D13&lt;&gt;"",XLOOKUP(B13,'Reviewer Decision Entry'!A2:A16,'Reviewer Decision Entry'!G2:G16),"")</x:f>
      </x:c>
      <x:c r="G13" s="6" t="str">
        <x:f>IF(D13&lt;&gt;"",XLOOKUP(B13,'Reviewer Decision Entry'!A2:A16,'Reviewer Decision Entry'!H2:H16),"")</x:f>
      </x:c>
      <x:c r="H13" s="12" t="str">
        <x:f>IF(D13&lt;&gt;"",XLOOKUP(B13,'Reviewer Decision Entry'!A2:A16,'Reviewer Decision Entry'!L2:L16),"")</x:f>
      </x:c>
      <x:c r="I13" s="6" t="str">
        <x:f>IF(D13&lt;&gt;"",XLOOKUP(B13,'Reviewer Decision Entry'!A2:A16,'Reviewer Decision Entry'!N2:N16),"")</x:f>
      </x:c>
      <x:c r="J13" s="6" t="str">
        <x:f>IF(D13&lt;&gt;"",XLOOKUP(B13,'Reviewer Decision Entry'!A2:A16,'Reviewer Decision Entry'!O2:O16),"")</x:f>
      </x:c>
      <x:c r="K13" s="6" t="str">
        <x:f>IF(D13&lt;&gt;"","PASS - reviewer complete; approval still pending","Not ready for approval")</x:f>
        <x:v>Not ready for approval</x:v>
      </x:c>
      <x:c r="L13" s="6" t="str">
        <x:f>IF(Q13="Not Eligible","PASS","FAIL")</x:f>
        <x:v>PASS</x:v>
      </x:c>
      <x:c r="M13" s="6" t="str">
        <x:v>Pending</x:v>
      </x:c>
      <x:c r="N13" s="6" t="str"/>
      <x:c r="O13" s="6" t="str"/>
      <x:c r="P13" s="12" t="str"/>
      <x:c r="Q13" s="6" t="str">
        <x:v>Not Eligible</x:v>
      </x:c>
    </x:row>
    <x:row r="14">
      <x:c r="A14" s="6" t="str">
        <x:v>DAPP-0013</x:v>
      </x:c>
      <x:c r="B14" s="6" t="str">
        <x:v>DDEC-0013</x:v>
      </x:c>
      <x:c r="C14" s="6" t="str">
        <x:v>DUP000013</x:v>
      </x:c>
      <x:c r="D14" s="6" t="str">
        <x:f>IF(XLOOKUP(B14,'Reviewer Decision Entry'!A2:A16,'Reviewer Decision Entry'!M2:M16)="Reviewer Complete",XLOOKUP(B14,'Reviewer Decision Entry'!A2:A16,'Reviewer Decision Entry'!E2:E16),"")</x:f>
      </x:c>
      <x:c r="E14" s="6" t="str">
        <x:f>IF(D14&lt;&gt;"",XLOOKUP(B14,'Reviewer Decision Entry'!A2:A16,'Reviewer Decision Entry'!F2:F16),"")</x:f>
      </x:c>
      <x:c r="F14" s="12" t="str">
        <x:f>IF(D14&lt;&gt;"",XLOOKUP(B14,'Reviewer Decision Entry'!A2:A16,'Reviewer Decision Entry'!G2:G16),"")</x:f>
      </x:c>
      <x:c r="G14" s="6" t="str">
        <x:f>IF(D14&lt;&gt;"",XLOOKUP(B14,'Reviewer Decision Entry'!A2:A16,'Reviewer Decision Entry'!H2:H16),"")</x:f>
      </x:c>
      <x:c r="H14" s="12" t="str">
        <x:f>IF(D14&lt;&gt;"",XLOOKUP(B14,'Reviewer Decision Entry'!A2:A16,'Reviewer Decision Entry'!L2:L16),"")</x:f>
      </x:c>
      <x:c r="I14" s="6" t="str">
        <x:f>IF(D14&lt;&gt;"",XLOOKUP(B14,'Reviewer Decision Entry'!A2:A16,'Reviewer Decision Entry'!N2:N16),"")</x:f>
      </x:c>
      <x:c r="J14" s="6" t="str">
        <x:f>IF(D14&lt;&gt;"",XLOOKUP(B14,'Reviewer Decision Entry'!A2:A16,'Reviewer Decision Entry'!O2:O16),"")</x:f>
      </x:c>
      <x:c r="K14" s="6" t="str">
        <x:f>IF(D14&lt;&gt;"","PASS - reviewer complete; approval still pending","Not ready for approval")</x:f>
        <x:v>Not ready for approval</x:v>
      </x:c>
      <x:c r="L14" s="6" t="str">
        <x:f>IF(Q14="Not Eligible","PASS","FAIL")</x:f>
        <x:v>PASS</x:v>
      </x:c>
      <x:c r="M14" s="6" t="str">
        <x:v>Pending</x:v>
      </x:c>
      <x:c r="N14" s="6" t="str"/>
      <x:c r="O14" s="6" t="str"/>
      <x:c r="P14" s="12" t="str"/>
      <x:c r="Q14" s="6" t="str">
        <x:v>Not Eligible</x:v>
      </x:c>
    </x:row>
    <x:row r="15">
      <x:c r="A15" s="6" t="str">
        <x:v>DAPP-0014</x:v>
      </x:c>
      <x:c r="B15" s="6" t="str">
        <x:v>DDEC-0014</x:v>
      </x:c>
      <x:c r="C15" s="6" t="str">
        <x:v>DUP000014</x:v>
      </x:c>
      <x:c r="D15" s="6" t="str">
        <x:f>IF(XLOOKUP(B15,'Reviewer Decision Entry'!A2:A16,'Reviewer Decision Entry'!M2:M16)="Reviewer Complete",XLOOKUP(B15,'Reviewer Decision Entry'!A2:A16,'Reviewer Decision Entry'!E2:E16),"")</x:f>
      </x:c>
      <x:c r="E15" s="6" t="str">
        <x:f>IF(D15&lt;&gt;"",XLOOKUP(B15,'Reviewer Decision Entry'!A2:A16,'Reviewer Decision Entry'!F2:F16),"")</x:f>
      </x:c>
      <x:c r="F15" s="12" t="str">
        <x:f>IF(D15&lt;&gt;"",XLOOKUP(B15,'Reviewer Decision Entry'!A2:A16,'Reviewer Decision Entry'!G2:G16),"")</x:f>
      </x:c>
      <x:c r="G15" s="6" t="str">
        <x:f>IF(D15&lt;&gt;"",XLOOKUP(B15,'Reviewer Decision Entry'!A2:A16,'Reviewer Decision Entry'!H2:H16),"")</x:f>
      </x:c>
      <x:c r="H15" s="12" t="str">
        <x:f>IF(D15&lt;&gt;"",XLOOKUP(B15,'Reviewer Decision Entry'!A2:A16,'Reviewer Decision Entry'!L2:L16),"")</x:f>
      </x:c>
      <x:c r="I15" s="6" t="str">
        <x:f>IF(D15&lt;&gt;"",XLOOKUP(B15,'Reviewer Decision Entry'!A2:A16,'Reviewer Decision Entry'!N2:N16),"")</x:f>
      </x:c>
      <x:c r="J15" s="6" t="str">
        <x:f>IF(D15&lt;&gt;"",XLOOKUP(B15,'Reviewer Decision Entry'!A2:A16,'Reviewer Decision Entry'!O2:O16),"")</x:f>
      </x:c>
      <x:c r="K15" s="6" t="str">
        <x:f>IF(D15&lt;&gt;"","PASS - reviewer complete; approval still pending","Not ready for approval")</x:f>
        <x:v>Not ready for approval</x:v>
      </x:c>
      <x:c r="L15" s="6" t="str">
        <x:f>IF(Q15="Not Eligible","PASS","FAIL")</x:f>
        <x:v>PASS</x:v>
      </x:c>
      <x:c r="M15" s="6" t="str">
        <x:v>Pending</x:v>
      </x:c>
      <x:c r="N15" s="6" t="str"/>
      <x:c r="O15" s="6" t="str"/>
      <x:c r="P15" s="12" t="str"/>
      <x:c r="Q15" s="6" t="str">
        <x:v>Not Eligible</x:v>
      </x:c>
    </x:row>
    <x:row r="16">
      <x:c r="A16" s="6" t="str">
        <x:v>DAPP-0015</x:v>
      </x:c>
      <x:c r="B16" s="6" t="str">
        <x:v>DDEC-0015</x:v>
      </x:c>
      <x:c r="C16" s="6" t="str">
        <x:v>DUP000015</x:v>
      </x:c>
      <x:c r="D16" s="6" t="str">
        <x:f>IF(XLOOKUP(B16,'Reviewer Decision Entry'!A2:A16,'Reviewer Decision Entry'!M2:M16)="Reviewer Complete",XLOOKUP(B16,'Reviewer Decision Entry'!A2:A16,'Reviewer Decision Entry'!E2:E16),"")</x:f>
      </x:c>
      <x:c r="E16" s="6" t="str">
        <x:f>IF(D16&lt;&gt;"",XLOOKUP(B16,'Reviewer Decision Entry'!A2:A16,'Reviewer Decision Entry'!F2:F16),"")</x:f>
      </x:c>
      <x:c r="F16" s="12" t="str">
        <x:f>IF(D16&lt;&gt;"",XLOOKUP(B16,'Reviewer Decision Entry'!A2:A16,'Reviewer Decision Entry'!G2:G16),"")</x:f>
      </x:c>
      <x:c r="G16" s="6" t="str">
        <x:f>IF(D16&lt;&gt;"",XLOOKUP(B16,'Reviewer Decision Entry'!A2:A16,'Reviewer Decision Entry'!H2:H16),"")</x:f>
      </x:c>
      <x:c r="H16" s="12" t="str">
        <x:f>IF(D16&lt;&gt;"",XLOOKUP(B16,'Reviewer Decision Entry'!A2:A16,'Reviewer Decision Entry'!L2:L16),"")</x:f>
      </x:c>
      <x:c r="I16" s="6" t="str">
        <x:f>IF(D16&lt;&gt;"",XLOOKUP(B16,'Reviewer Decision Entry'!A2:A16,'Reviewer Decision Entry'!N2:N16),"")</x:f>
      </x:c>
      <x:c r="J16" s="6" t="str">
        <x:f>IF(D16&lt;&gt;"",XLOOKUP(B16,'Reviewer Decision Entry'!A2:A16,'Reviewer Decision Entry'!O2:O16),"")</x:f>
      </x:c>
      <x:c r="K16" s="6" t="str">
        <x:f>IF(D16&lt;&gt;"","PASS - reviewer complete; approval still pending","Not ready for approval")</x:f>
        <x:v>Not ready for approval</x:v>
      </x:c>
      <x:c r="L16" s="6" t="str">
        <x:f>IF(Q16="Not Eligible","PASS","FAIL")</x:f>
        <x:v>PASS</x:v>
      </x:c>
      <x:c r="M16" s="6" t="str">
        <x:v>Pending</x:v>
      </x:c>
      <x:c r="N16" s="6" t="str"/>
      <x:c r="O16" s="6" t="str"/>
      <x:c r="P16" s="12" t="str"/>
      <x:c r="Q16" s="6" t="str">
        <x:v>Not Eligible</x:v>
      </x:c>
    </x:row>
  </x:sheetData>
  <x:dataValidations count="4">
    <x:dataValidation type="list" sqref="M2:M16">
      <x:formula1>"Pending,Approved,Rejected,Escalated,Not Approved"</x:formula1>
    </x:dataValidation>
    <x:dataValidation type="list" sqref="Q2:Q16">
      <x:formula1>"Not Eligible"</x:formula1>
    </x:dataValidation>
    <x:dataValidation type="list" sqref="E2:E16">
      <x:formula1>"SVC000001,SVC000002,SVC000003,SVC000004,SVC000005,SVC000006,SVC000007,SVC000008,SVC000009,SVC000010,SVC000011,SVC000012,SVC000013,SVC000014,SVC000015,SVC000016,SVC000017,SVC000018,SVC000019,SVC000020,SVC000021,SVC000022,SVC000023,SVC000024,SVC000025,SVC000026,SVC000027,SVC000028,SVC000029,SVC000030,SVC000031,SVC000032,SVC000033,SVC000034,SVC000035,SVC000036,SVC000037,SVC000038,SVC000039,SVC000040,SVC000041,SVC000042,SVC000043,SVC000044,SVC000045,SVC000046,SVC000047,SVC000048,SVC000049,SVC000050,SVC000051,SVC000052,SVC000053,SVC000054,SVC000055,SVC000056,SVC000057,SVC000058,SVC000059,SVC000060,SVC000061,SVC000062,SVC000063,SVC000064,SVC000065,SVC000066,SVC000067,SVC000068,SVC000069,SVC000070,SVC000071,SVC000072,SVC000073,SVC000074,SVC000075,SVC000076,SVC000077,SVC000078,SVC000079,SVC000080,SVC000081,SVC000082,SVC000083,SVC000084,SVC000085,SVC000086,SVC000087,SVC000088,SVC000089,SVC000090,SVC000091,SVC000092,SVC000093,SVC000094,SVC000095,SVC000096,SVC000097,SVC000098,SVC000099,SVC000100,SVC000101,SVC000102,SVC000103,SVC000104,SVC000105,SVC000106,SVC000107,SVC000108,SVC000109,SVC000110,SVC000111,SVC000112,SVC000113,SVC000114,SVC000115,SVC000116,SVC000117,SVC000118,SVC000119,SVC000120,SVC000121,SVC000122,SVC000123,SVC000124,SVC000125,SVC000126,SVC000127,SVC000128,SVC000129,SVC000130,SVC000131,SVC000132,SVC000133,SVC000134,SVC000135,SVC000136,SVC000137,SVC000138,SVC000139,SVC000140,SVC000141,SVC000142,SVC000143,SVC000144,SVC000145,SVC000146,SVC000147,SVC000148,SVC000149,SVC000150,SVC000151,SVC000152,SVC000153,SVC000154,SVC000155,SVC000156,SVC000157,SVC000158,SVC000159,SVC000160,SVC000161,SVC000162,SVC000163,SVC000164,SVC000165,SVC000166,SVC000167,SVC000168,SVC000169,SVC000170,SVC000171,SVC000172,SVC000173,SVC000174,SVC000175,SVC000176,SVC000177,SVC000178,SVC000179,SVC000180,SVC000181,SVC000182,SVC000183,SVC000184,SVC000185,SVC000186,SVC000187,SVC000188,SVC000189,SVC000190,SVC000191,SVC000192,SVC000193,SVC000194,SVC000195,SVC000196,SVC000197,SVC000198,SVC000199,SVC000200,SVC000201,SVC000202,SVC000203,SVC000204,SVC000205,SVC000206,SVC000207,SVC000208,SVC000209,SVC000210,SVC000211,SVC000212,SVC000213,SVC000214,SVC000215,SVC000216,SVC000217,SVC000218,SVC000219,SVC000220,SVC000221,SVC000222,SVC000223,SVC000224,SVC000225,SVC000226,SVC000227,SVC000228,SVC000229,SVC000230,SVC000231,SVC000232,SVC000233,SVC000234,SVC000235,SVC000236,SVC000237,SVC000238,SVC000239,SVC000240,SVC000241,SVC000242,SVC000243,SVC000244,SVC000245,SVC000246,SVC000247,SVC000248,SVC000249,SVC000250,SVC000251,SVC000252,SVC000253,SVC000254,SVC000255,SVC000256,SVC000257,SVC000258,SVC000259,SVC000260,SVC000261,SVC000262,SVC000263,SVC000264,SVC000265,SVC000266,SVC000267,SVC000268,SVC000269,SVC000270,SVC000271,SVC000272,SVC000273,SVC000274,SVC000275,SVC000276,SVC000277,SVC000278,SVC000279,SVC000280,SVC000281,SVC000282,SVC000283,SVC000284,SVC000285,SVC000286,SVC000287,SVC000288,SVC000289,SVC000290,SVC000291,SVC000292,SVC000293,SVC000294,SVC000295,SVC000296,SVC000297,SVC000298,SVC000299,SVC000300,SVC000301,SVC000302,SVC000303,SVC000304,SVC000305,SVC000306,SVC000307,SVC000308,SVC000309,SVC000310,SVC000311,SVC000312,SVC000313,SVC000314"</x:formula1>
    </x:dataValidation>
    <x:dataValidation type="list" sqref="F2:F16">
      <x:formula1>"SVC000001,SVC000002,SVC000003,SVC000004,SVC000005,SVC000006,SVC000007,SVC000008,SVC000009,SVC000010,SVC000011,SVC000012,SVC000013,SVC000014,SVC000015,SVC000016,SVC000017,SVC000018,SVC000019,SVC000020,SVC000021,SVC000022,SVC000023,SVC000024,SVC000025,SVC000026,SVC000027,SVC000028,SVC000029,SVC000030,SVC000031,SVC000032,SVC000033,SVC000034,SVC000035,SVC000036,SVC000037,SVC000038,SVC000039,SVC000040,SVC000041,SVC000042,SVC000043,SVC000044,SVC000045,SVC000046,SVC000047,SVC000048,SVC000049,SVC000050,SVC000051,SVC000052,SVC000053,SVC000054,SVC000055,SVC000056,SVC000057,SVC000058,SVC000059,SVC000060,SVC000061,SVC000062,SVC000063,SVC000064,SVC000065,SVC000066,SVC000067,SVC000068,SVC000069,SVC000070,SVC000071,SVC000072,SVC000073,SVC000074,SVC000075,SVC000076,SVC000077,SVC000078,SVC000079,SVC000080,SVC000081,SVC000082,SVC000083,SVC000084,SVC000085,SVC000086,SVC000087,SVC000088,SVC000089,SVC000090,SVC000091,SVC000092,SVC000093,SVC000094,SVC000095,SVC000096,SVC000097,SVC000098,SVC000099,SVC000100,SVC000101,SVC000102,SVC000103,SVC000104,SVC000105,SVC000106,SVC000107,SVC000108,SVC000109,SVC000110,SVC000111,SVC000112,SVC000113,SVC000114,SVC000115,SVC000116,SVC000117,SVC000118,SVC000119,SVC000120,SVC000121,SVC000122,SVC000123,SVC000124,SVC000125,SVC000126,SVC000127,SVC000128,SVC000129,SVC000130,SVC000131,SVC000132,SVC000133,SVC000134,SVC000135,SVC000136,SVC000137,SVC000138,SVC000139,SVC000140,SVC000141,SVC000142,SVC000143,SVC000144,SVC000145,SVC000146,SVC000147,SVC000148,SVC000149,SVC000150,SVC000151,SVC000152,SVC000153,SVC000154,SVC000155,SVC000156,SVC000157,SVC000158,SVC000159,SVC000160,SVC000161,SVC000162,SVC000163,SVC000164,SVC000165,SVC000166,SVC000167,SVC000168,SVC000169,SVC000170,SVC000171,SVC000172,SVC000173,SVC000174,SVC000175,SVC000176,SVC000177,SVC000178,SVC000179,SVC000180,SVC000181,SVC000182,SVC000183,SVC000184,SVC000185,SVC000186,SVC000187,SVC000188,SVC000189,SVC000190,SVC000191,SVC000192,SVC000193,SVC000194,SVC000195,SVC000196,SVC000197,SVC000198,SVC000199,SVC000200,SVC000201,SVC000202,SVC000203,SVC000204,SVC000205,SVC000206,SVC000207,SVC000208,SVC000209,SVC000210,SVC000211,SVC000212,SVC000213,SVC000214,SVC000215,SVC000216,SVC000217,SVC000218,SVC000219,SVC000220,SVC000221,SVC000222,SVC000223,SVC000224,SVC000225,SVC000226,SVC000227,SVC000228,SVC000229,SVC000230,SVC000231,SVC000232,SVC000233,SVC000234,SVC000235,SVC000236,SVC000237,SVC000238,SVC000239,SVC000240,SVC000241,SVC000242,SVC000243,SVC000244,SVC000245,SVC000246,SVC000247,SVC000248,SVC000249,SVC000250,SVC000251,SVC000252,SVC000253,SVC000254,SVC000255,SVC000256,SVC000257,SVC000258,SVC000259,SVC000260,SVC000261,SVC000262,SVC000263,SVC000264,SVC000265,SVC000266,SVC000267,SVC000268,SVC000269,SVC000270,SVC000271,SVC000272,SVC000273,SVC000274,SVC000275,SVC000276,SVC000277,SVC000278,SVC000279,SVC000280,SVC000281,SVC000282,SVC000283,SVC000284,SVC000285,SVC000286,SVC000287,SVC000288,SVC000289,SVC000290,SVC000291,SVC000292,SVC000293,SVC000294,SVC000295,SVC000296,SVC000297,SVC000298,SVC000299,SVC000300,SVC000301,SVC000302,SVC000303,SVC000304,SVC000305,SVC000306,SVC000307,SVC000308,SVC000309,SVC000310,SVC000311,SVC000312,SVC000313,SVC000314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a8a27bc95d94673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.130000114440918" hidden="0" customWidth="1"/>
    <x:col min="2" max="2" width="17.5" hidden="0" customWidth="1"/>
    <x:col min="3" max="3" width="11.75" hidden="0" customWidth="1"/>
    <x:col min="4" max="4" width="21.5" hidden="0" customWidth="1"/>
    <x:col min="5" max="5" width="69.87999725341797" hidden="0" customWidth="1"/>
    <x:col min="6" max="6" width="55.25" hidden="0" customWidth="1"/>
    <x:col min="7" max="7" width="17.25" hidden="0" customWidth="1"/>
    <x:col min="8" max="8" width="17.25" hidden="0" customWidth="1"/>
    <x:col min="9" max="9" width="10.130000114440918" hidden="0" customWidth="1"/>
    <x:col min="10" max="10" width="16.3799991607666" hidden="0" customWidth="1"/>
    <x:col min="11" max="11" width="16.1299991607666" hidden="0" customWidth="1"/>
  </x:cols>
  <x:sheetData>
    <x:row r="1">
      <x:c r="A1" s="5" t="str">
        <x:v>Escalation ID</x:v>
      </x:c>
      <x:c r="B1" s="5" t="str">
        <x:v>Duplicate Group ID</x:v>
      </x:c>
      <x:c r="C1" s="5" t="str">
        <x:v>Decision ID</x:v>
      </x:c>
      <x:c r="D1" s="5" t="str">
        <x:v>Escalation Type</x:v>
      </x:c>
      <x:c r="E1" s="5" t="str">
        <x:v>Issue Summary</x:v>
      </x:c>
      <x:c r="F1" s="5" t="str">
        <x:v>Evidence Required</x:v>
      </x:c>
      <x:c r="G1" s="5" t="str">
        <x:v>Assigned Reviewer</x:v>
      </x:c>
      <x:c r="H1" s="5" t="str">
        <x:v>Assigned Approver</x:v>
      </x:c>
      <x:c r="I1" s="5" t="str">
        <x:v>Due Date</x:v>
      </x:c>
      <x:c r="J1" s="5" t="str">
        <x:v>Escalation Status</x:v>
      </x:c>
      <x:c r="K1" s="5" t="str">
        <x:v>Resolution Notes</x:v>
      </x:c>
    </x:row>
    <x:row r="2">
      <x:c r="A2" s="6" t="str">
        <x:v>DESC-0001</x:v>
      </x:c>
      <x:c r="B2" s="6" t="str">
        <x:v>DUP000001</x:v>
      </x:c>
      <x:c r="C2" s="6" t="str">
        <x:v>DDEC-0001</x:v>
      </x:c>
      <x:c r="D2" s="6" t="str">
        <x:v>Duplicate Disposition Review</x:v>
      </x:c>
      <x:c r="E2" s="12" t="str">
        <x:v>Multiple plausible surviving Service IDs or insufficient evidence may exist; reviewer must confirm.</x:v>
      </x:c>
      <x:c r="F2" s="12" t="str">
        <x:v>Reviewer disposition, evidence references, and second-level approval notes.</x:v>
      </x:c>
      <x:c r="G2" s="6" t="str"/>
      <x:c r="H2" s="6" t="str"/>
      <x:c r="I2" s="6" t="str"/>
      <x:c r="J2" s="6" t="str">
        <x:v>Open</x:v>
      </x:c>
      <x:c r="K2" s="12" t="str"/>
    </x:row>
    <x:row r="3">
      <x:c r="A3" s="6" t="str">
        <x:v>DESC-0002</x:v>
      </x:c>
      <x:c r="B3" s="6" t="str">
        <x:v>DUP000002</x:v>
      </x:c>
      <x:c r="C3" s="6" t="str">
        <x:v>DDEC-0002</x:v>
      </x:c>
      <x:c r="D3" s="6" t="str">
        <x:v>Duplicate Disposition Review</x:v>
      </x:c>
      <x:c r="E3" s="12" t="str">
        <x:v>Multiple plausible surviving Service IDs or insufficient evidence may exist; reviewer must confirm.</x:v>
      </x:c>
      <x:c r="F3" s="12" t="str">
        <x:v>Reviewer disposition, evidence references, and second-level approval notes.</x:v>
      </x:c>
      <x:c r="G3" s="6" t="str"/>
      <x:c r="H3" s="6" t="str"/>
      <x:c r="I3" s="6" t="str"/>
      <x:c r="J3" s="6" t="str">
        <x:v>Open</x:v>
      </x:c>
      <x:c r="K3" s="12" t="str"/>
    </x:row>
    <x:row r="4">
      <x:c r="A4" s="6" t="str">
        <x:v>DESC-0003</x:v>
      </x:c>
      <x:c r="B4" s="6" t="str">
        <x:v>DUP000003</x:v>
      </x:c>
      <x:c r="C4" s="6" t="str">
        <x:v>DDEC-0003</x:v>
      </x:c>
      <x:c r="D4" s="6" t="str">
        <x:v>Duplicate Disposition Review</x:v>
      </x:c>
      <x:c r="E4" s="12" t="str">
        <x:v>Multiple plausible surviving Service IDs or insufficient evidence may exist; reviewer must confirm.</x:v>
      </x:c>
      <x:c r="F4" s="12" t="str">
        <x:v>Reviewer disposition, evidence references, and second-level approval notes.</x:v>
      </x:c>
      <x:c r="G4" s="6" t="str"/>
      <x:c r="H4" s="6" t="str"/>
      <x:c r="I4" s="6" t="str"/>
      <x:c r="J4" s="6" t="str">
        <x:v>Open</x:v>
      </x:c>
      <x:c r="K4" s="12" t="str"/>
    </x:row>
    <x:row r="5">
      <x:c r="A5" s="6" t="str">
        <x:v>DESC-0004</x:v>
      </x:c>
      <x:c r="B5" s="6" t="str">
        <x:v>DUP000004</x:v>
      </x:c>
      <x:c r="C5" s="6" t="str">
        <x:v>DDEC-0004</x:v>
      </x:c>
      <x:c r="D5" s="6" t="str">
        <x:v>Duplicate Disposition Review</x:v>
      </x:c>
      <x:c r="E5" s="12" t="str">
        <x:v>Multiple plausible surviving Service IDs or insufficient evidence may exist; reviewer must confirm.</x:v>
      </x:c>
      <x:c r="F5" s="12" t="str">
        <x:v>Reviewer disposition, evidence references, and second-level approval notes.</x:v>
      </x:c>
      <x:c r="G5" s="6" t="str"/>
      <x:c r="H5" s="6" t="str"/>
      <x:c r="I5" s="6" t="str"/>
      <x:c r="J5" s="6" t="str">
        <x:v>Open</x:v>
      </x:c>
      <x:c r="K5" s="12" t="str"/>
    </x:row>
    <x:row r="6">
      <x:c r="A6" s="6" t="str">
        <x:v>DESC-0005</x:v>
      </x:c>
      <x:c r="B6" s="6" t="str">
        <x:v>DUP000005</x:v>
      </x:c>
      <x:c r="C6" s="6" t="str">
        <x:v>DDEC-0005</x:v>
      </x:c>
      <x:c r="D6" s="6" t="str">
        <x:v>Duplicate Disposition Review</x:v>
      </x:c>
      <x:c r="E6" s="12" t="str">
        <x:v>Multiple plausible surviving Service IDs or insufficient evidence may exist; reviewer must confirm.</x:v>
      </x:c>
      <x:c r="F6" s="12" t="str">
        <x:v>Reviewer disposition, evidence references, and second-level approval notes.</x:v>
      </x:c>
      <x:c r="G6" s="6" t="str"/>
      <x:c r="H6" s="6" t="str"/>
      <x:c r="I6" s="6" t="str"/>
      <x:c r="J6" s="6" t="str">
        <x:v>Open</x:v>
      </x:c>
      <x:c r="K6" s="12" t="str"/>
    </x:row>
    <x:row r="7">
      <x:c r="A7" s="6" t="str">
        <x:v>DESC-0006</x:v>
      </x:c>
      <x:c r="B7" s="6" t="str">
        <x:v>DUP000006</x:v>
      </x:c>
      <x:c r="C7" s="6" t="str">
        <x:v>DDEC-0006</x:v>
      </x:c>
      <x:c r="D7" s="6" t="str">
        <x:v>Duplicate Disposition Review</x:v>
      </x:c>
      <x:c r="E7" s="12" t="str">
        <x:v>Multiple plausible surviving Service IDs or insufficient evidence may exist; reviewer must confirm.</x:v>
      </x:c>
      <x:c r="F7" s="12" t="str">
        <x:v>Reviewer disposition, evidence references, and second-level approval notes.</x:v>
      </x:c>
      <x:c r="G7" s="6" t="str"/>
      <x:c r="H7" s="6" t="str"/>
      <x:c r="I7" s="6" t="str"/>
      <x:c r="J7" s="6" t="str">
        <x:v>Open</x:v>
      </x:c>
      <x:c r="K7" s="12" t="str"/>
    </x:row>
    <x:row r="8">
      <x:c r="A8" s="6" t="str">
        <x:v>DESC-0007</x:v>
      </x:c>
      <x:c r="B8" s="6" t="str">
        <x:v>DUP000007</x:v>
      </x:c>
      <x:c r="C8" s="6" t="str">
        <x:v>DDEC-0007</x:v>
      </x:c>
      <x:c r="D8" s="6" t="str">
        <x:v>Duplicate Disposition Review</x:v>
      </x:c>
      <x:c r="E8" s="12" t="str">
        <x:v>Multiple plausible surviving Service IDs or insufficient evidence may exist; reviewer must confirm.</x:v>
      </x:c>
      <x:c r="F8" s="12" t="str">
        <x:v>Reviewer disposition, evidence references, and second-level approval notes.</x:v>
      </x:c>
      <x:c r="G8" s="6" t="str"/>
      <x:c r="H8" s="6" t="str"/>
      <x:c r="I8" s="6" t="str"/>
      <x:c r="J8" s="6" t="str">
        <x:v>Open</x:v>
      </x:c>
      <x:c r="K8" s="12" t="str"/>
    </x:row>
    <x:row r="9">
      <x:c r="A9" s="6" t="str">
        <x:v>DESC-0008</x:v>
      </x:c>
      <x:c r="B9" s="6" t="str">
        <x:v>DUP000008</x:v>
      </x:c>
      <x:c r="C9" s="6" t="str">
        <x:v>DDEC-0008</x:v>
      </x:c>
      <x:c r="D9" s="6" t="str">
        <x:v>Duplicate Disposition Review</x:v>
      </x:c>
      <x:c r="E9" s="12" t="str">
        <x:v>Multiple plausible surviving Service IDs or insufficient evidence may exist; reviewer must confirm.</x:v>
      </x:c>
      <x:c r="F9" s="12" t="str">
        <x:v>Reviewer disposition, evidence references, and second-level approval notes.</x:v>
      </x:c>
      <x:c r="G9" s="6" t="str"/>
      <x:c r="H9" s="6" t="str"/>
      <x:c r="I9" s="6" t="str"/>
      <x:c r="J9" s="6" t="str">
        <x:v>Open</x:v>
      </x:c>
      <x:c r="K9" s="12" t="str"/>
    </x:row>
    <x:row r="10">
      <x:c r="A10" s="6" t="str">
        <x:v>DESC-0009</x:v>
      </x:c>
      <x:c r="B10" s="6" t="str">
        <x:v>DUP000009</x:v>
      </x:c>
      <x:c r="C10" s="6" t="str">
        <x:v>DDEC-0009</x:v>
      </x:c>
      <x:c r="D10" s="6" t="str">
        <x:v>Duplicate Disposition Review</x:v>
      </x:c>
      <x:c r="E10" s="12" t="str">
        <x:v>Multiple plausible surviving Service IDs or insufficient evidence may exist; reviewer must confirm.</x:v>
      </x:c>
      <x:c r="F10" s="12" t="str">
        <x:v>Reviewer disposition, evidence references, and second-level approval notes.</x:v>
      </x:c>
      <x:c r="G10" s="6" t="str"/>
      <x:c r="H10" s="6" t="str"/>
      <x:c r="I10" s="6" t="str"/>
      <x:c r="J10" s="6" t="str">
        <x:v>Open</x:v>
      </x:c>
      <x:c r="K10" s="12" t="str"/>
    </x:row>
    <x:row r="11">
      <x:c r="A11" s="6" t="str">
        <x:v>DESC-0010</x:v>
      </x:c>
      <x:c r="B11" s="6" t="str">
        <x:v>DUP000010</x:v>
      </x:c>
      <x:c r="C11" s="6" t="str">
        <x:v>DDEC-0010</x:v>
      </x:c>
      <x:c r="D11" s="6" t="str">
        <x:v>Duplicate Disposition Review</x:v>
      </x:c>
      <x:c r="E11" s="12" t="str">
        <x:v>Multiple plausible surviving Service IDs or insufficient evidence may exist; reviewer must confirm.</x:v>
      </x:c>
      <x:c r="F11" s="12" t="str">
        <x:v>Reviewer disposition, evidence references, and second-level approval notes.</x:v>
      </x:c>
      <x:c r="G11" s="6" t="str"/>
      <x:c r="H11" s="6" t="str"/>
      <x:c r="I11" s="6" t="str"/>
      <x:c r="J11" s="6" t="str">
        <x:v>Open</x:v>
      </x:c>
      <x:c r="K11" s="12" t="str"/>
    </x:row>
    <x:row r="12">
      <x:c r="A12" s="6" t="str">
        <x:v>DESC-0011</x:v>
      </x:c>
      <x:c r="B12" s="6" t="str">
        <x:v>DUP000011</x:v>
      </x:c>
      <x:c r="C12" s="6" t="str">
        <x:v>DDEC-0011</x:v>
      </x:c>
      <x:c r="D12" s="6" t="str">
        <x:v>Duplicate Disposition Review</x:v>
      </x:c>
      <x:c r="E12" s="12" t="str">
        <x:v>Multiple plausible surviving Service IDs or insufficient evidence may exist; reviewer must confirm.</x:v>
      </x:c>
      <x:c r="F12" s="12" t="str">
        <x:v>Reviewer disposition, evidence references, and second-level approval notes.</x:v>
      </x:c>
      <x:c r="G12" s="6" t="str"/>
      <x:c r="H12" s="6" t="str"/>
      <x:c r="I12" s="6" t="str"/>
      <x:c r="J12" s="6" t="str">
        <x:v>Open</x:v>
      </x:c>
      <x:c r="K12" s="12" t="str"/>
    </x:row>
    <x:row r="13">
      <x:c r="A13" s="6" t="str">
        <x:v>DESC-0012</x:v>
      </x:c>
      <x:c r="B13" s="6" t="str">
        <x:v>DUP000012</x:v>
      </x:c>
      <x:c r="C13" s="6" t="str">
        <x:v>DDEC-0012</x:v>
      </x:c>
      <x:c r="D13" s="6" t="str">
        <x:v>Duplicate Disposition Review</x:v>
      </x:c>
      <x:c r="E13" s="12" t="str">
        <x:v>Multiple plausible surviving Service IDs or insufficient evidence may exist; reviewer must confirm.</x:v>
      </x:c>
      <x:c r="F13" s="12" t="str">
        <x:v>Reviewer disposition, evidence references, and second-level approval notes.</x:v>
      </x:c>
      <x:c r="G13" s="6" t="str"/>
      <x:c r="H13" s="6" t="str"/>
      <x:c r="I13" s="6" t="str"/>
      <x:c r="J13" s="6" t="str">
        <x:v>Open</x:v>
      </x:c>
      <x:c r="K13" s="12" t="str"/>
    </x:row>
    <x:row r="14">
      <x:c r="A14" s="6" t="str">
        <x:v>DESC-0013</x:v>
      </x:c>
      <x:c r="B14" s="6" t="str">
        <x:v>DUP000013</x:v>
      </x:c>
      <x:c r="C14" s="6" t="str">
        <x:v>DDEC-0013</x:v>
      </x:c>
      <x:c r="D14" s="6" t="str">
        <x:v>Duplicate Disposition Review</x:v>
      </x:c>
      <x:c r="E14" s="12" t="str">
        <x:v>Multiple plausible surviving Service IDs or insufficient evidence may exist; reviewer must confirm.</x:v>
      </x:c>
      <x:c r="F14" s="12" t="str">
        <x:v>Reviewer disposition, evidence references, and second-level approval notes.</x:v>
      </x:c>
      <x:c r="G14" s="6" t="str"/>
      <x:c r="H14" s="6" t="str"/>
      <x:c r="I14" s="6" t="str"/>
      <x:c r="J14" s="6" t="str">
        <x:v>Open</x:v>
      </x:c>
      <x:c r="K14" s="12" t="str"/>
    </x:row>
    <x:row r="15">
      <x:c r="A15" s="6" t="str">
        <x:v>DESC-0014</x:v>
      </x:c>
      <x:c r="B15" s="6" t="str">
        <x:v>DUP000014</x:v>
      </x:c>
      <x:c r="C15" s="6" t="str">
        <x:v>DDEC-0014</x:v>
      </x:c>
      <x:c r="D15" s="6" t="str">
        <x:v>Duplicate Disposition Review</x:v>
      </x:c>
      <x:c r="E15" s="12" t="str">
        <x:v>Multiple plausible surviving Service IDs or insufficient evidence may exist; reviewer must confirm.</x:v>
      </x:c>
      <x:c r="F15" s="12" t="str">
        <x:v>Reviewer disposition, evidence references, and second-level approval notes.</x:v>
      </x:c>
      <x:c r="G15" s="6" t="str"/>
      <x:c r="H15" s="6" t="str"/>
      <x:c r="I15" s="6" t="str"/>
      <x:c r="J15" s="6" t="str">
        <x:v>Open</x:v>
      </x:c>
      <x:c r="K15" s="12" t="str"/>
    </x:row>
    <x:row r="16">
      <x:c r="A16" s="6" t="str">
        <x:v>DESC-0015</x:v>
      </x:c>
      <x:c r="B16" s="6" t="str">
        <x:v>DUP000015</x:v>
      </x:c>
      <x:c r="C16" s="6" t="str">
        <x:v>DDEC-0015</x:v>
      </x:c>
      <x:c r="D16" s="6" t="str">
        <x:v>Duplicate Disposition Review</x:v>
      </x:c>
      <x:c r="E16" s="12" t="str">
        <x:v>Multiple plausible surviving Service IDs or insufficient evidence may exist; reviewer must confirm.</x:v>
      </x:c>
      <x:c r="F16" s="12" t="str">
        <x:v>Reviewer disposition, evidence references, and second-level approval notes.</x:v>
      </x:c>
      <x:c r="G16" s="6" t="str"/>
      <x:c r="H16" s="6" t="str"/>
      <x:c r="I16" s="6" t="str"/>
      <x:c r="J16" s="6" t="str">
        <x:v>Open</x:v>
      </x:c>
      <x:c r="K16" s="12" t="str"/>
    </x:row>
  </x:sheetData>
  <x:dataValidations count="1">
    <x:dataValidation type="list" sqref="J2:J16">
      <x:formula1>"Open,In Review,Resolved,Deferred"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3b305100ecc84010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.25" hidden="0" customWidth="1"/>
    <x:col min="2" max="2" width="17.5" hidden="0" customWidth="1"/>
    <x:col min="3" max="3" width="13.630000114440918" hidden="0" customWidth="1"/>
    <x:col min="4" max="4" width="18.1299991607666" hidden="0" customWidth="1"/>
    <x:col min="5" max="5" width="17.5" hidden="0" customWidth="1"/>
    <x:col min="6" max="6" width="23.25" hidden="0" customWidth="1"/>
    <x:col min="7" max="7" width="16" hidden="0" customWidth="1"/>
    <x:col min="8" max="8" width="16" hidden="0" customWidth="1"/>
    <x:col min="9" max="9" width="10" hidden="0" customWidth="1"/>
    <x:col min="10" max="10" width="12.380000114440918" hidden="0" customWidth="1"/>
    <x:col min="11" max="11" width="15.130000114440918" hidden="0" customWidth="1"/>
    <x:col min="12" max="12" width="15.5" hidden="0" customWidth="1"/>
    <x:col min="13" max="13" width="18.75" hidden="0" customWidth="1"/>
    <x:col min="14" max="14" width="15.630000114440918" hidden="0" customWidth="1"/>
    <x:col min="15" max="15" width="36.380001068115234" hidden="0" customWidth="1"/>
  </x:cols>
  <x:sheetData>
    <x:row r="1">
      <x:c r="A1" s="5" t="str">
        <x:v>Export Preview ID</x:v>
      </x:c>
      <x:c r="B1" s="5" t="str">
        <x:v>Duplicate Group ID</x:v>
      </x:c>
      <x:c r="C1" s="5" t="str">
        <x:v>Decision Type</x:v>
      </x:c>
      <x:c r="D1" s="5" t="str">
        <x:v>Surviving Service ID</x:v>
      </x:c>
      <x:c r="E1" s="5" t="str">
        <x:v>Retired Service IDs</x:v>
      </x:c>
      <x:c r="F1" s="5" t="str">
        <x:v>Proposed Canonical Name</x:v>
      </x:c>
      <x:c r="G1" s="5" t="str">
        <x:v>Parent Service ID</x:v>
      </x:c>
      <x:c r="H1" s="5" t="str">
        <x:v>Child Service IDs</x:v>
      </x:c>
      <x:c r="I1" s="5" t="str">
        <x:v>Reviewer</x:v>
      </x:c>
      <x:c r="J1" s="5" t="str">
        <x:v>Review Date</x:v>
      </x:c>
      <x:c r="K1" s="5" t="str">
        <x:v>Approval Status</x:v>
      </x:c>
      <x:c r="L1" s="5" t="str">
        <x:v>Import Eligibility</x:v>
      </x:c>
      <x:c r="M1" s="5" t="str">
        <x:v>Production Eligibility</x:v>
      </x:c>
      <x:c r="N1" s="5" t="str">
        <x:v>Pricing Eligibility</x:v>
      </x:c>
      <x:c r="O1" s="5" t="str">
        <x:v>Notes</x:v>
      </x:c>
    </x:row>
    <x:row r="2">
      <x:c r="A2" s="6" t="str">
        <x:v>DEXP-0001</x:v>
      </x:c>
      <x:c r="B2" s="6" t="str">
        <x:v>DUP000001</x:v>
      </x:c>
      <x:c r="C2" s="6" t="str">
        <x:f>XLOOKUP(B2,'Reviewer Decision Entry'!B2:B16,'Reviewer Decision Entry'!E2:E16)</x:f>
        <x:v>Unresolved</x:v>
      </x:c>
      <x:c r="D2" s="6" t="str">
        <x:f>XLOOKUP(B2,'Reviewer Decision Entry'!B2:B16,'Reviewer Decision Entry'!F2:F16)</x:f>
      </x:c>
      <x:c r="E2" s="12" t="str">
        <x:f>XLOOKUP(B2,'Reviewer Decision Entry'!B2:B16,'Reviewer Decision Entry'!G2:G16)</x:f>
      </x:c>
      <x:c r="F2" s="6" t="str">
        <x:f>XLOOKUP(B2,'Reviewer Decision Entry'!B2:B16,'Reviewer Decision Entry'!H2:H16)</x:f>
      </x:c>
      <x:c r="G2" s="6" t="str">
        <x:f>XLOOKUP(B2,'Reviewer Decision Entry'!B2:B16,'Reviewer Decision Entry'!I2:I16)</x:f>
      </x:c>
      <x:c r="H2" s="12" t="str">
        <x:f>XLOOKUP(B2,'Reviewer Decision Entry'!B2:B16,'Reviewer Decision Entry'!J2:J16)</x:f>
      </x:c>
      <x:c r="I2" s="6" t="str">
        <x:f>XLOOKUP(B2,'Reviewer Decision Entry'!B2:B16,'Reviewer Decision Entry'!N2:N16)</x:f>
      </x:c>
      <x:c r="J2" s="6" t="str">
        <x:f>XLOOKUP(B2,'Reviewer Decision Entry'!B2:B16,'Reviewer Decision Entry'!O2:O16)</x:f>
      </x:c>
      <x:c r="K2" s="6" t="str">
        <x:v>Pending</x:v>
      </x:c>
      <x:c r="L2" s="6" t="str">
        <x:v>Not Eligible</x:v>
      </x:c>
      <x:c r="M2" s="6" t="str">
        <x:v>Prohibited</x:v>
      </x:c>
      <x:c r="N2" s="6" t="str">
        <x:v>Prohibited</x:v>
      </x:c>
      <x:c r="O2" s="12" t="str">
        <x:v>Preview only; not structured as production import.</x:v>
      </x:c>
    </x:row>
    <x:row r="3">
      <x:c r="A3" s="6" t="str">
        <x:v>DEXP-0002</x:v>
      </x:c>
      <x:c r="B3" s="6" t="str">
        <x:v>DUP000002</x:v>
      </x:c>
      <x:c r="C3" s="6" t="str">
        <x:f>XLOOKUP(B3,'Reviewer Decision Entry'!B2:B16,'Reviewer Decision Entry'!E2:E16)</x:f>
        <x:v>Unresolved</x:v>
      </x:c>
      <x:c r="D3" s="6" t="str">
        <x:f>XLOOKUP(B3,'Reviewer Decision Entry'!B2:B16,'Reviewer Decision Entry'!F2:F16)</x:f>
      </x:c>
      <x:c r="E3" s="12" t="str">
        <x:f>XLOOKUP(B3,'Reviewer Decision Entry'!B2:B16,'Reviewer Decision Entry'!G2:G16)</x:f>
      </x:c>
      <x:c r="F3" s="6" t="str">
        <x:f>XLOOKUP(B3,'Reviewer Decision Entry'!B2:B16,'Reviewer Decision Entry'!H2:H16)</x:f>
      </x:c>
      <x:c r="G3" s="6" t="str">
        <x:f>XLOOKUP(B3,'Reviewer Decision Entry'!B2:B16,'Reviewer Decision Entry'!I2:I16)</x:f>
      </x:c>
      <x:c r="H3" s="12" t="str">
        <x:f>XLOOKUP(B3,'Reviewer Decision Entry'!B2:B16,'Reviewer Decision Entry'!J2:J16)</x:f>
      </x:c>
      <x:c r="I3" s="6" t="str">
        <x:f>XLOOKUP(B3,'Reviewer Decision Entry'!B2:B16,'Reviewer Decision Entry'!N2:N16)</x:f>
      </x:c>
      <x:c r="J3" s="6" t="str">
        <x:f>XLOOKUP(B3,'Reviewer Decision Entry'!B2:B16,'Reviewer Decision Entry'!O2:O16)</x:f>
      </x:c>
      <x:c r="K3" s="6" t="str">
        <x:v>Pending</x:v>
      </x:c>
      <x:c r="L3" s="6" t="str">
        <x:v>Not Eligible</x:v>
      </x:c>
      <x:c r="M3" s="6" t="str">
        <x:v>Prohibited</x:v>
      </x:c>
      <x:c r="N3" s="6" t="str">
        <x:v>Prohibited</x:v>
      </x:c>
      <x:c r="O3" s="12" t="str">
        <x:v>Preview only; not structured as production import.</x:v>
      </x:c>
    </x:row>
    <x:row r="4">
      <x:c r="A4" s="6" t="str">
        <x:v>DEXP-0003</x:v>
      </x:c>
      <x:c r="B4" s="6" t="str">
        <x:v>DUP000003</x:v>
      </x:c>
      <x:c r="C4" s="6" t="str">
        <x:f>XLOOKUP(B4,'Reviewer Decision Entry'!B2:B16,'Reviewer Decision Entry'!E2:E16)</x:f>
        <x:v>Unresolved</x:v>
      </x:c>
      <x:c r="D4" s="6" t="str">
        <x:f>XLOOKUP(B4,'Reviewer Decision Entry'!B2:B16,'Reviewer Decision Entry'!F2:F16)</x:f>
      </x:c>
      <x:c r="E4" s="12" t="str">
        <x:f>XLOOKUP(B4,'Reviewer Decision Entry'!B2:B16,'Reviewer Decision Entry'!G2:G16)</x:f>
      </x:c>
      <x:c r="F4" s="6" t="str">
        <x:f>XLOOKUP(B4,'Reviewer Decision Entry'!B2:B16,'Reviewer Decision Entry'!H2:H16)</x:f>
      </x:c>
      <x:c r="G4" s="6" t="str">
        <x:f>XLOOKUP(B4,'Reviewer Decision Entry'!B2:B16,'Reviewer Decision Entry'!I2:I16)</x:f>
      </x:c>
      <x:c r="H4" s="12" t="str">
        <x:f>XLOOKUP(B4,'Reviewer Decision Entry'!B2:B16,'Reviewer Decision Entry'!J2:J16)</x:f>
      </x:c>
      <x:c r="I4" s="6" t="str">
        <x:f>XLOOKUP(B4,'Reviewer Decision Entry'!B2:B16,'Reviewer Decision Entry'!N2:N16)</x:f>
      </x:c>
      <x:c r="J4" s="6" t="str">
        <x:f>XLOOKUP(B4,'Reviewer Decision Entry'!B2:B16,'Reviewer Decision Entry'!O2:O16)</x:f>
      </x:c>
      <x:c r="K4" s="6" t="str">
        <x:v>Pending</x:v>
      </x:c>
      <x:c r="L4" s="6" t="str">
        <x:v>Not Eligible</x:v>
      </x:c>
      <x:c r="M4" s="6" t="str">
        <x:v>Prohibited</x:v>
      </x:c>
      <x:c r="N4" s="6" t="str">
        <x:v>Prohibited</x:v>
      </x:c>
      <x:c r="O4" s="12" t="str">
        <x:v>Preview only; not structured as production import.</x:v>
      </x:c>
    </x:row>
    <x:row r="5">
      <x:c r="A5" s="6" t="str">
        <x:v>DEXP-0004</x:v>
      </x:c>
      <x:c r="B5" s="6" t="str">
        <x:v>DUP000004</x:v>
      </x:c>
      <x:c r="C5" s="6" t="str">
        <x:f>XLOOKUP(B5,'Reviewer Decision Entry'!B2:B16,'Reviewer Decision Entry'!E2:E16)</x:f>
        <x:v>Unresolved</x:v>
      </x:c>
      <x:c r="D5" s="6" t="str">
        <x:f>XLOOKUP(B5,'Reviewer Decision Entry'!B2:B16,'Reviewer Decision Entry'!F2:F16)</x:f>
      </x:c>
      <x:c r="E5" s="12" t="str">
        <x:f>XLOOKUP(B5,'Reviewer Decision Entry'!B2:B16,'Reviewer Decision Entry'!G2:G16)</x:f>
      </x:c>
      <x:c r="F5" s="6" t="str">
        <x:f>XLOOKUP(B5,'Reviewer Decision Entry'!B2:B16,'Reviewer Decision Entry'!H2:H16)</x:f>
      </x:c>
      <x:c r="G5" s="6" t="str">
        <x:f>XLOOKUP(B5,'Reviewer Decision Entry'!B2:B16,'Reviewer Decision Entry'!I2:I16)</x:f>
      </x:c>
      <x:c r="H5" s="12" t="str">
        <x:f>XLOOKUP(B5,'Reviewer Decision Entry'!B2:B16,'Reviewer Decision Entry'!J2:J16)</x:f>
      </x:c>
      <x:c r="I5" s="6" t="str">
        <x:f>XLOOKUP(B5,'Reviewer Decision Entry'!B2:B16,'Reviewer Decision Entry'!N2:N16)</x:f>
      </x:c>
      <x:c r="J5" s="6" t="str">
        <x:f>XLOOKUP(B5,'Reviewer Decision Entry'!B2:B16,'Reviewer Decision Entry'!O2:O16)</x:f>
      </x:c>
      <x:c r="K5" s="6" t="str">
        <x:v>Pending</x:v>
      </x:c>
      <x:c r="L5" s="6" t="str">
        <x:v>Not Eligible</x:v>
      </x:c>
      <x:c r="M5" s="6" t="str">
        <x:v>Prohibited</x:v>
      </x:c>
      <x:c r="N5" s="6" t="str">
        <x:v>Prohibited</x:v>
      </x:c>
      <x:c r="O5" s="12" t="str">
        <x:v>Preview only; not structured as production import.</x:v>
      </x:c>
    </x:row>
    <x:row r="6">
      <x:c r="A6" s="6" t="str">
        <x:v>DEXP-0005</x:v>
      </x:c>
      <x:c r="B6" s="6" t="str">
        <x:v>DUP000005</x:v>
      </x:c>
      <x:c r="C6" s="6" t="str">
        <x:f>XLOOKUP(B6,'Reviewer Decision Entry'!B2:B16,'Reviewer Decision Entry'!E2:E16)</x:f>
        <x:v>Unresolved</x:v>
      </x:c>
      <x:c r="D6" s="6" t="str">
        <x:f>XLOOKUP(B6,'Reviewer Decision Entry'!B2:B16,'Reviewer Decision Entry'!F2:F16)</x:f>
      </x:c>
      <x:c r="E6" s="12" t="str">
        <x:f>XLOOKUP(B6,'Reviewer Decision Entry'!B2:B16,'Reviewer Decision Entry'!G2:G16)</x:f>
      </x:c>
      <x:c r="F6" s="6" t="str">
        <x:f>XLOOKUP(B6,'Reviewer Decision Entry'!B2:B16,'Reviewer Decision Entry'!H2:H16)</x:f>
      </x:c>
      <x:c r="G6" s="6" t="str">
        <x:f>XLOOKUP(B6,'Reviewer Decision Entry'!B2:B16,'Reviewer Decision Entry'!I2:I16)</x:f>
      </x:c>
      <x:c r="H6" s="12" t="str">
        <x:f>XLOOKUP(B6,'Reviewer Decision Entry'!B2:B16,'Reviewer Decision Entry'!J2:J16)</x:f>
      </x:c>
      <x:c r="I6" s="6" t="str">
        <x:f>XLOOKUP(B6,'Reviewer Decision Entry'!B2:B16,'Reviewer Decision Entry'!N2:N16)</x:f>
      </x:c>
      <x:c r="J6" s="6" t="str">
        <x:f>XLOOKUP(B6,'Reviewer Decision Entry'!B2:B16,'Reviewer Decision Entry'!O2:O16)</x:f>
      </x:c>
      <x:c r="K6" s="6" t="str">
        <x:v>Pending</x:v>
      </x:c>
      <x:c r="L6" s="6" t="str">
        <x:v>Not Eligible</x:v>
      </x:c>
      <x:c r="M6" s="6" t="str">
        <x:v>Prohibited</x:v>
      </x:c>
      <x:c r="N6" s="6" t="str">
        <x:v>Prohibited</x:v>
      </x:c>
      <x:c r="O6" s="12" t="str">
        <x:v>Preview only; not structured as production import.</x:v>
      </x:c>
    </x:row>
    <x:row r="7">
      <x:c r="A7" s="6" t="str">
        <x:v>DEXP-0006</x:v>
      </x:c>
      <x:c r="B7" s="6" t="str">
        <x:v>DUP000006</x:v>
      </x:c>
      <x:c r="C7" s="6" t="str">
        <x:f>XLOOKUP(B7,'Reviewer Decision Entry'!B2:B16,'Reviewer Decision Entry'!E2:E16)</x:f>
        <x:v>Unresolved</x:v>
      </x:c>
      <x:c r="D7" s="6" t="str">
        <x:f>XLOOKUP(B7,'Reviewer Decision Entry'!B2:B16,'Reviewer Decision Entry'!F2:F16)</x:f>
      </x:c>
      <x:c r="E7" s="12" t="str">
        <x:f>XLOOKUP(B7,'Reviewer Decision Entry'!B2:B16,'Reviewer Decision Entry'!G2:G16)</x:f>
      </x:c>
      <x:c r="F7" s="6" t="str">
        <x:f>XLOOKUP(B7,'Reviewer Decision Entry'!B2:B16,'Reviewer Decision Entry'!H2:H16)</x:f>
      </x:c>
      <x:c r="G7" s="6" t="str">
        <x:f>XLOOKUP(B7,'Reviewer Decision Entry'!B2:B16,'Reviewer Decision Entry'!I2:I16)</x:f>
      </x:c>
      <x:c r="H7" s="12" t="str">
        <x:f>XLOOKUP(B7,'Reviewer Decision Entry'!B2:B16,'Reviewer Decision Entry'!J2:J16)</x:f>
      </x:c>
      <x:c r="I7" s="6" t="str">
        <x:f>XLOOKUP(B7,'Reviewer Decision Entry'!B2:B16,'Reviewer Decision Entry'!N2:N16)</x:f>
      </x:c>
      <x:c r="J7" s="6" t="str">
        <x:f>XLOOKUP(B7,'Reviewer Decision Entry'!B2:B16,'Reviewer Decision Entry'!O2:O16)</x:f>
      </x:c>
      <x:c r="K7" s="6" t="str">
        <x:v>Pending</x:v>
      </x:c>
      <x:c r="L7" s="6" t="str">
        <x:v>Not Eligible</x:v>
      </x:c>
      <x:c r="M7" s="6" t="str">
        <x:v>Prohibited</x:v>
      </x:c>
      <x:c r="N7" s="6" t="str">
        <x:v>Prohibited</x:v>
      </x:c>
      <x:c r="O7" s="12" t="str">
        <x:v>Preview only; not structured as production import.</x:v>
      </x:c>
    </x:row>
    <x:row r="8">
      <x:c r="A8" s="6" t="str">
        <x:v>DEXP-0007</x:v>
      </x:c>
      <x:c r="B8" s="6" t="str">
        <x:v>DUP000007</x:v>
      </x:c>
      <x:c r="C8" s="6" t="str">
        <x:f>XLOOKUP(B8,'Reviewer Decision Entry'!B2:B16,'Reviewer Decision Entry'!E2:E16)</x:f>
        <x:v>Unresolved</x:v>
      </x:c>
      <x:c r="D8" s="6" t="str">
        <x:f>XLOOKUP(B8,'Reviewer Decision Entry'!B2:B16,'Reviewer Decision Entry'!F2:F16)</x:f>
      </x:c>
      <x:c r="E8" s="12" t="str">
        <x:f>XLOOKUP(B8,'Reviewer Decision Entry'!B2:B16,'Reviewer Decision Entry'!G2:G16)</x:f>
      </x:c>
      <x:c r="F8" s="6" t="str">
        <x:f>XLOOKUP(B8,'Reviewer Decision Entry'!B2:B16,'Reviewer Decision Entry'!H2:H16)</x:f>
      </x:c>
      <x:c r="G8" s="6" t="str">
        <x:f>XLOOKUP(B8,'Reviewer Decision Entry'!B2:B16,'Reviewer Decision Entry'!I2:I16)</x:f>
      </x:c>
      <x:c r="H8" s="12" t="str">
        <x:f>XLOOKUP(B8,'Reviewer Decision Entry'!B2:B16,'Reviewer Decision Entry'!J2:J16)</x:f>
      </x:c>
      <x:c r="I8" s="6" t="str">
        <x:f>XLOOKUP(B8,'Reviewer Decision Entry'!B2:B16,'Reviewer Decision Entry'!N2:N16)</x:f>
      </x:c>
      <x:c r="J8" s="6" t="str">
        <x:f>XLOOKUP(B8,'Reviewer Decision Entry'!B2:B16,'Reviewer Decision Entry'!O2:O16)</x:f>
      </x:c>
      <x:c r="K8" s="6" t="str">
        <x:v>Pending</x:v>
      </x:c>
      <x:c r="L8" s="6" t="str">
        <x:v>Not Eligible</x:v>
      </x:c>
      <x:c r="M8" s="6" t="str">
        <x:v>Prohibited</x:v>
      </x:c>
      <x:c r="N8" s="6" t="str">
        <x:v>Prohibited</x:v>
      </x:c>
      <x:c r="O8" s="12" t="str">
        <x:v>Preview only; not structured as production import.</x:v>
      </x:c>
    </x:row>
    <x:row r="9">
      <x:c r="A9" s="6" t="str">
        <x:v>DEXP-0008</x:v>
      </x:c>
      <x:c r="B9" s="6" t="str">
        <x:v>DUP000008</x:v>
      </x:c>
      <x:c r="C9" s="6" t="str">
        <x:f>XLOOKUP(B9,'Reviewer Decision Entry'!B2:B16,'Reviewer Decision Entry'!E2:E16)</x:f>
        <x:v>Unresolved</x:v>
      </x:c>
      <x:c r="D9" s="6" t="str">
        <x:f>XLOOKUP(B9,'Reviewer Decision Entry'!B2:B16,'Reviewer Decision Entry'!F2:F16)</x:f>
      </x:c>
      <x:c r="E9" s="12" t="str">
        <x:f>XLOOKUP(B9,'Reviewer Decision Entry'!B2:B16,'Reviewer Decision Entry'!G2:G16)</x:f>
      </x:c>
      <x:c r="F9" s="6" t="str">
        <x:f>XLOOKUP(B9,'Reviewer Decision Entry'!B2:B16,'Reviewer Decision Entry'!H2:H16)</x:f>
      </x:c>
      <x:c r="G9" s="6" t="str">
        <x:f>XLOOKUP(B9,'Reviewer Decision Entry'!B2:B16,'Reviewer Decision Entry'!I2:I16)</x:f>
      </x:c>
      <x:c r="H9" s="12" t="str">
        <x:f>XLOOKUP(B9,'Reviewer Decision Entry'!B2:B16,'Reviewer Decision Entry'!J2:J16)</x:f>
      </x:c>
      <x:c r="I9" s="6" t="str">
        <x:f>XLOOKUP(B9,'Reviewer Decision Entry'!B2:B16,'Reviewer Decision Entry'!N2:N16)</x:f>
      </x:c>
      <x:c r="J9" s="6" t="str">
        <x:f>XLOOKUP(B9,'Reviewer Decision Entry'!B2:B16,'Reviewer Decision Entry'!O2:O16)</x:f>
      </x:c>
      <x:c r="K9" s="6" t="str">
        <x:v>Pending</x:v>
      </x:c>
      <x:c r="L9" s="6" t="str">
        <x:v>Not Eligible</x:v>
      </x:c>
      <x:c r="M9" s="6" t="str">
        <x:v>Prohibited</x:v>
      </x:c>
      <x:c r="N9" s="6" t="str">
        <x:v>Prohibited</x:v>
      </x:c>
      <x:c r="O9" s="12" t="str">
        <x:v>Preview only; not structured as production import.</x:v>
      </x:c>
    </x:row>
    <x:row r="10">
      <x:c r="A10" s="6" t="str">
        <x:v>DEXP-0009</x:v>
      </x:c>
      <x:c r="B10" s="6" t="str">
        <x:v>DUP000009</x:v>
      </x:c>
      <x:c r="C10" s="6" t="str">
        <x:f>XLOOKUP(B10,'Reviewer Decision Entry'!B2:B16,'Reviewer Decision Entry'!E2:E16)</x:f>
        <x:v>Unresolved</x:v>
      </x:c>
      <x:c r="D10" s="6" t="str">
        <x:f>XLOOKUP(B10,'Reviewer Decision Entry'!B2:B16,'Reviewer Decision Entry'!F2:F16)</x:f>
      </x:c>
      <x:c r="E10" s="12" t="str">
        <x:f>XLOOKUP(B10,'Reviewer Decision Entry'!B2:B16,'Reviewer Decision Entry'!G2:G16)</x:f>
      </x:c>
      <x:c r="F10" s="6" t="str">
        <x:f>XLOOKUP(B10,'Reviewer Decision Entry'!B2:B16,'Reviewer Decision Entry'!H2:H16)</x:f>
      </x:c>
      <x:c r="G10" s="6" t="str">
        <x:f>XLOOKUP(B10,'Reviewer Decision Entry'!B2:B16,'Reviewer Decision Entry'!I2:I16)</x:f>
      </x:c>
      <x:c r="H10" s="12" t="str">
        <x:f>XLOOKUP(B10,'Reviewer Decision Entry'!B2:B16,'Reviewer Decision Entry'!J2:J16)</x:f>
      </x:c>
      <x:c r="I10" s="6" t="str">
        <x:f>XLOOKUP(B10,'Reviewer Decision Entry'!B2:B16,'Reviewer Decision Entry'!N2:N16)</x:f>
      </x:c>
      <x:c r="J10" s="6" t="str">
        <x:f>XLOOKUP(B10,'Reviewer Decision Entry'!B2:B16,'Reviewer Decision Entry'!O2:O16)</x:f>
      </x:c>
      <x:c r="K10" s="6" t="str">
        <x:v>Pending</x:v>
      </x:c>
      <x:c r="L10" s="6" t="str">
        <x:v>Not Eligible</x:v>
      </x:c>
      <x:c r="M10" s="6" t="str">
        <x:v>Prohibited</x:v>
      </x:c>
      <x:c r="N10" s="6" t="str">
        <x:v>Prohibited</x:v>
      </x:c>
      <x:c r="O10" s="12" t="str">
        <x:v>Preview only; not structured as production import.</x:v>
      </x:c>
    </x:row>
    <x:row r="11">
      <x:c r="A11" s="6" t="str">
        <x:v>DEXP-0010</x:v>
      </x:c>
      <x:c r="B11" s="6" t="str">
        <x:v>DUP000010</x:v>
      </x:c>
      <x:c r="C11" s="6" t="str">
        <x:f>XLOOKUP(B11,'Reviewer Decision Entry'!B2:B16,'Reviewer Decision Entry'!E2:E16)</x:f>
        <x:v>Unresolved</x:v>
      </x:c>
      <x:c r="D11" s="6" t="str">
        <x:f>XLOOKUP(B11,'Reviewer Decision Entry'!B2:B16,'Reviewer Decision Entry'!F2:F16)</x:f>
      </x:c>
      <x:c r="E11" s="12" t="str">
        <x:f>XLOOKUP(B11,'Reviewer Decision Entry'!B2:B16,'Reviewer Decision Entry'!G2:G16)</x:f>
      </x:c>
      <x:c r="F11" s="6" t="str">
        <x:f>XLOOKUP(B11,'Reviewer Decision Entry'!B2:B16,'Reviewer Decision Entry'!H2:H16)</x:f>
      </x:c>
      <x:c r="G11" s="6" t="str">
        <x:f>XLOOKUP(B11,'Reviewer Decision Entry'!B2:B16,'Reviewer Decision Entry'!I2:I16)</x:f>
      </x:c>
      <x:c r="H11" s="12" t="str">
        <x:f>XLOOKUP(B11,'Reviewer Decision Entry'!B2:B16,'Reviewer Decision Entry'!J2:J16)</x:f>
      </x:c>
      <x:c r="I11" s="6" t="str">
        <x:f>XLOOKUP(B11,'Reviewer Decision Entry'!B2:B16,'Reviewer Decision Entry'!N2:N16)</x:f>
      </x:c>
      <x:c r="J11" s="6" t="str">
        <x:f>XLOOKUP(B11,'Reviewer Decision Entry'!B2:B16,'Reviewer Decision Entry'!O2:O16)</x:f>
      </x:c>
      <x:c r="K11" s="6" t="str">
        <x:v>Pending</x:v>
      </x:c>
      <x:c r="L11" s="6" t="str">
        <x:v>Not Eligible</x:v>
      </x:c>
      <x:c r="M11" s="6" t="str">
        <x:v>Prohibited</x:v>
      </x:c>
      <x:c r="N11" s="6" t="str">
        <x:v>Prohibited</x:v>
      </x:c>
      <x:c r="O11" s="12" t="str">
        <x:v>Preview only; not structured as production import.</x:v>
      </x:c>
    </x:row>
    <x:row r="12">
      <x:c r="A12" s="6" t="str">
        <x:v>DEXP-0011</x:v>
      </x:c>
      <x:c r="B12" s="6" t="str">
        <x:v>DUP000011</x:v>
      </x:c>
      <x:c r="C12" s="6" t="str">
        <x:f>XLOOKUP(B12,'Reviewer Decision Entry'!B2:B16,'Reviewer Decision Entry'!E2:E16)</x:f>
        <x:v>Unresolved</x:v>
      </x:c>
      <x:c r="D12" s="6" t="str">
        <x:f>XLOOKUP(B12,'Reviewer Decision Entry'!B2:B16,'Reviewer Decision Entry'!F2:F16)</x:f>
      </x:c>
      <x:c r="E12" s="12" t="str">
        <x:f>XLOOKUP(B12,'Reviewer Decision Entry'!B2:B16,'Reviewer Decision Entry'!G2:G16)</x:f>
      </x:c>
      <x:c r="F12" s="6" t="str">
        <x:f>XLOOKUP(B12,'Reviewer Decision Entry'!B2:B16,'Reviewer Decision Entry'!H2:H16)</x:f>
      </x:c>
      <x:c r="G12" s="6" t="str">
        <x:f>XLOOKUP(B12,'Reviewer Decision Entry'!B2:B16,'Reviewer Decision Entry'!I2:I16)</x:f>
      </x:c>
      <x:c r="H12" s="12" t="str">
        <x:f>XLOOKUP(B12,'Reviewer Decision Entry'!B2:B16,'Reviewer Decision Entry'!J2:J16)</x:f>
      </x:c>
      <x:c r="I12" s="6" t="str">
        <x:f>XLOOKUP(B12,'Reviewer Decision Entry'!B2:B16,'Reviewer Decision Entry'!N2:N16)</x:f>
      </x:c>
      <x:c r="J12" s="6" t="str">
        <x:f>XLOOKUP(B12,'Reviewer Decision Entry'!B2:B16,'Reviewer Decision Entry'!O2:O16)</x:f>
      </x:c>
      <x:c r="K12" s="6" t="str">
        <x:v>Pending</x:v>
      </x:c>
      <x:c r="L12" s="6" t="str">
        <x:v>Not Eligible</x:v>
      </x:c>
      <x:c r="M12" s="6" t="str">
        <x:v>Prohibited</x:v>
      </x:c>
      <x:c r="N12" s="6" t="str">
        <x:v>Prohibited</x:v>
      </x:c>
      <x:c r="O12" s="12" t="str">
        <x:v>Preview only; not structured as production import.</x:v>
      </x:c>
    </x:row>
    <x:row r="13">
      <x:c r="A13" s="6" t="str">
        <x:v>DEXP-0012</x:v>
      </x:c>
      <x:c r="B13" s="6" t="str">
        <x:v>DUP000012</x:v>
      </x:c>
      <x:c r="C13" s="6" t="str">
        <x:f>XLOOKUP(B13,'Reviewer Decision Entry'!B2:B16,'Reviewer Decision Entry'!E2:E16)</x:f>
        <x:v>Unresolved</x:v>
      </x:c>
      <x:c r="D13" s="6" t="str">
        <x:f>XLOOKUP(B13,'Reviewer Decision Entry'!B2:B16,'Reviewer Decision Entry'!F2:F16)</x:f>
      </x:c>
      <x:c r="E13" s="12" t="str">
        <x:f>XLOOKUP(B13,'Reviewer Decision Entry'!B2:B16,'Reviewer Decision Entry'!G2:G16)</x:f>
      </x:c>
      <x:c r="F13" s="6" t="str">
        <x:f>XLOOKUP(B13,'Reviewer Decision Entry'!B2:B16,'Reviewer Decision Entry'!H2:H16)</x:f>
      </x:c>
      <x:c r="G13" s="6" t="str">
        <x:f>XLOOKUP(B13,'Reviewer Decision Entry'!B2:B16,'Reviewer Decision Entry'!I2:I16)</x:f>
      </x:c>
      <x:c r="H13" s="12" t="str">
        <x:f>XLOOKUP(B13,'Reviewer Decision Entry'!B2:B16,'Reviewer Decision Entry'!J2:J16)</x:f>
      </x:c>
      <x:c r="I13" s="6" t="str">
        <x:f>XLOOKUP(B13,'Reviewer Decision Entry'!B2:B16,'Reviewer Decision Entry'!N2:N16)</x:f>
      </x:c>
      <x:c r="J13" s="6" t="str">
        <x:f>XLOOKUP(B13,'Reviewer Decision Entry'!B2:B16,'Reviewer Decision Entry'!O2:O16)</x:f>
      </x:c>
      <x:c r="K13" s="6" t="str">
        <x:v>Pending</x:v>
      </x:c>
      <x:c r="L13" s="6" t="str">
        <x:v>Not Eligible</x:v>
      </x:c>
      <x:c r="M13" s="6" t="str">
        <x:v>Prohibited</x:v>
      </x:c>
      <x:c r="N13" s="6" t="str">
        <x:v>Prohibited</x:v>
      </x:c>
      <x:c r="O13" s="12" t="str">
        <x:v>Preview only; not structured as production import.</x:v>
      </x:c>
    </x:row>
    <x:row r="14">
      <x:c r="A14" s="6" t="str">
        <x:v>DEXP-0013</x:v>
      </x:c>
      <x:c r="B14" s="6" t="str">
        <x:v>DUP000013</x:v>
      </x:c>
      <x:c r="C14" s="6" t="str">
        <x:f>XLOOKUP(B14,'Reviewer Decision Entry'!B2:B16,'Reviewer Decision Entry'!E2:E16)</x:f>
        <x:v>Unresolved</x:v>
      </x:c>
      <x:c r="D14" s="6" t="str">
        <x:f>XLOOKUP(B14,'Reviewer Decision Entry'!B2:B16,'Reviewer Decision Entry'!F2:F16)</x:f>
      </x:c>
      <x:c r="E14" s="12" t="str">
        <x:f>XLOOKUP(B14,'Reviewer Decision Entry'!B2:B16,'Reviewer Decision Entry'!G2:G16)</x:f>
      </x:c>
      <x:c r="F14" s="6" t="str">
        <x:f>XLOOKUP(B14,'Reviewer Decision Entry'!B2:B16,'Reviewer Decision Entry'!H2:H16)</x:f>
      </x:c>
      <x:c r="G14" s="6" t="str">
        <x:f>XLOOKUP(B14,'Reviewer Decision Entry'!B2:B16,'Reviewer Decision Entry'!I2:I16)</x:f>
      </x:c>
      <x:c r="H14" s="12" t="str">
        <x:f>XLOOKUP(B14,'Reviewer Decision Entry'!B2:B16,'Reviewer Decision Entry'!J2:J16)</x:f>
      </x:c>
      <x:c r="I14" s="6" t="str">
        <x:f>XLOOKUP(B14,'Reviewer Decision Entry'!B2:B16,'Reviewer Decision Entry'!N2:N16)</x:f>
      </x:c>
      <x:c r="J14" s="6" t="str">
        <x:f>XLOOKUP(B14,'Reviewer Decision Entry'!B2:B16,'Reviewer Decision Entry'!O2:O16)</x:f>
      </x:c>
      <x:c r="K14" s="6" t="str">
        <x:v>Pending</x:v>
      </x:c>
      <x:c r="L14" s="6" t="str">
        <x:v>Not Eligible</x:v>
      </x:c>
      <x:c r="M14" s="6" t="str">
        <x:v>Prohibited</x:v>
      </x:c>
      <x:c r="N14" s="6" t="str">
        <x:v>Prohibited</x:v>
      </x:c>
      <x:c r="O14" s="12" t="str">
        <x:v>Preview only; not structured as production import.</x:v>
      </x:c>
    </x:row>
    <x:row r="15">
      <x:c r="A15" s="6" t="str">
        <x:v>DEXP-0014</x:v>
      </x:c>
      <x:c r="B15" s="6" t="str">
        <x:v>DUP000014</x:v>
      </x:c>
      <x:c r="C15" s="6" t="str">
        <x:f>XLOOKUP(B15,'Reviewer Decision Entry'!B2:B16,'Reviewer Decision Entry'!E2:E16)</x:f>
        <x:v>Unresolved</x:v>
      </x:c>
      <x:c r="D15" s="6" t="str">
        <x:f>XLOOKUP(B15,'Reviewer Decision Entry'!B2:B16,'Reviewer Decision Entry'!F2:F16)</x:f>
      </x:c>
      <x:c r="E15" s="12" t="str">
        <x:f>XLOOKUP(B15,'Reviewer Decision Entry'!B2:B16,'Reviewer Decision Entry'!G2:G16)</x:f>
      </x:c>
      <x:c r="F15" s="6" t="str">
        <x:f>XLOOKUP(B15,'Reviewer Decision Entry'!B2:B16,'Reviewer Decision Entry'!H2:H16)</x:f>
      </x:c>
      <x:c r="G15" s="6" t="str">
        <x:f>XLOOKUP(B15,'Reviewer Decision Entry'!B2:B16,'Reviewer Decision Entry'!I2:I16)</x:f>
      </x:c>
      <x:c r="H15" s="12" t="str">
        <x:f>XLOOKUP(B15,'Reviewer Decision Entry'!B2:B16,'Reviewer Decision Entry'!J2:J16)</x:f>
      </x:c>
      <x:c r="I15" s="6" t="str">
        <x:f>XLOOKUP(B15,'Reviewer Decision Entry'!B2:B16,'Reviewer Decision Entry'!N2:N16)</x:f>
      </x:c>
      <x:c r="J15" s="6" t="str">
        <x:f>XLOOKUP(B15,'Reviewer Decision Entry'!B2:B16,'Reviewer Decision Entry'!O2:O16)</x:f>
      </x:c>
      <x:c r="K15" s="6" t="str">
        <x:v>Pending</x:v>
      </x:c>
      <x:c r="L15" s="6" t="str">
        <x:v>Not Eligible</x:v>
      </x:c>
      <x:c r="M15" s="6" t="str">
        <x:v>Prohibited</x:v>
      </x:c>
      <x:c r="N15" s="6" t="str">
        <x:v>Prohibited</x:v>
      </x:c>
      <x:c r="O15" s="12" t="str">
        <x:v>Preview only; not structured as production import.</x:v>
      </x:c>
    </x:row>
    <x:row r="16">
      <x:c r="A16" s="6" t="str">
        <x:v>DEXP-0015</x:v>
      </x:c>
      <x:c r="B16" s="6" t="str">
        <x:v>DUP000015</x:v>
      </x:c>
      <x:c r="C16" s="6" t="str">
        <x:f>XLOOKUP(B16,'Reviewer Decision Entry'!B2:B16,'Reviewer Decision Entry'!E2:E16)</x:f>
        <x:v>Unresolved</x:v>
      </x:c>
      <x:c r="D16" s="6" t="str">
        <x:f>XLOOKUP(B16,'Reviewer Decision Entry'!B2:B16,'Reviewer Decision Entry'!F2:F16)</x:f>
      </x:c>
      <x:c r="E16" s="12" t="str">
        <x:f>XLOOKUP(B16,'Reviewer Decision Entry'!B2:B16,'Reviewer Decision Entry'!G2:G16)</x:f>
      </x:c>
      <x:c r="F16" s="6" t="str">
        <x:f>XLOOKUP(B16,'Reviewer Decision Entry'!B2:B16,'Reviewer Decision Entry'!H2:H16)</x:f>
      </x:c>
      <x:c r="G16" s="6" t="str">
        <x:f>XLOOKUP(B16,'Reviewer Decision Entry'!B2:B16,'Reviewer Decision Entry'!I2:I16)</x:f>
      </x:c>
      <x:c r="H16" s="12" t="str">
        <x:f>XLOOKUP(B16,'Reviewer Decision Entry'!B2:B16,'Reviewer Decision Entry'!J2:J16)</x:f>
      </x:c>
      <x:c r="I16" s="6" t="str">
        <x:f>XLOOKUP(B16,'Reviewer Decision Entry'!B2:B16,'Reviewer Decision Entry'!N2:N16)</x:f>
      </x:c>
      <x:c r="J16" s="6" t="str">
        <x:f>XLOOKUP(B16,'Reviewer Decision Entry'!B2:B16,'Reviewer Decision Entry'!O2:O16)</x:f>
      </x:c>
      <x:c r="K16" s="6" t="str">
        <x:v>Pending</x:v>
      </x:c>
      <x:c r="L16" s="6" t="str">
        <x:v>Not Eligible</x:v>
      </x:c>
      <x:c r="M16" s="6" t="str">
        <x:v>Prohibited</x:v>
      </x:c>
      <x:c r="N16" s="6" t="str">
        <x:v>Prohibited</x:v>
      </x:c>
      <x:c r="O16" s="12" t="str">
        <x:v>Preview only; not structured as production import.</x:v>
      </x:c>
    </x:row>
  </x:sheetData>
  <x:dataValidations count="6">
    <x:dataValidation type="list" sqref="L2:L16">
      <x:formula1>"Not Eligible"</x:formula1>
    </x:dataValidation>
    <x:dataValidation type="list" sqref="K2:K16">
      <x:formula1>"Pending,Approved,Rejected,Escalated,Not Approved"</x:formula1>
    </x:dataValidation>
    <x:dataValidation type="list" sqref="D2:D16">
      <x:formula1>"SVC000001,SVC000002,SVC000003,SVC000004,SVC000005,SVC000006,SVC000007,SVC000008,SVC000009,SVC000010,SVC000011,SVC000012,SVC000013,SVC000014,SVC000015,SVC000016,SVC000017,SVC000018,SVC000019,SVC000020,SVC000021,SVC000022,SVC000023,SVC000024,SVC000025,SVC000026,SVC000027,SVC000028,SVC000029,SVC000030,SVC000031,SVC000032,SVC000033,SVC000034,SVC000035,SVC000036,SVC000037,SVC000038,SVC000039,SVC000040,SVC000041,SVC000042,SVC000043,SVC000044,SVC000045,SVC000046,SVC000047,SVC000048,SVC000049,SVC000050,SVC000051,SVC000052,SVC000053,SVC000054,SVC000055,SVC000056,SVC000057,SVC000058,SVC000059,SVC000060,SVC000061,SVC000062,SVC000063,SVC000064,SVC000065,SVC000066,SVC000067,SVC000068,SVC000069,SVC000070,SVC000071,SVC000072,SVC000073,SVC000074,SVC000075,SVC000076,SVC000077,SVC000078,SVC000079,SVC000080,SVC000081,SVC000082,SVC000083,SVC000084,SVC000085,SVC000086,SVC000087,SVC000088,SVC000089,SVC000090,SVC000091,SVC000092,SVC000093,SVC000094,SVC000095,SVC000096,SVC000097,SVC000098,SVC000099,SVC000100,SVC000101,SVC000102,SVC000103,SVC000104,SVC000105,SVC000106,SVC000107,SVC000108,SVC000109,SVC000110,SVC000111,SVC000112,SVC000113,SVC000114,SVC000115,SVC000116,SVC000117,SVC000118,SVC000119,SVC000120,SVC000121,SVC000122,SVC000123,SVC000124,SVC000125,SVC000126,SVC000127,SVC000128,SVC000129,SVC000130,SVC000131,SVC000132,SVC000133,SVC000134,SVC000135,SVC000136,SVC000137,SVC000138,SVC000139,SVC000140,SVC000141,SVC000142,SVC000143,SVC000144,SVC000145,SVC000146,SVC000147,SVC000148,SVC000149,SVC000150,SVC000151,SVC000152,SVC000153,SVC000154,SVC000155,SVC000156,SVC000157,SVC000158,SVC000159,SVC000160,SVC000161,SVC000162,SVC000163,SVC000164,SVC000165,SVC000166,SVC000167,SVC000168,SVC000169,SVC000170,SVC000171,SVC000172,SVC000173,SVC000174,SVC000175,SVC000176,SVC000177,SVC000178,SVC000179,SVC000180,SVC000181,SVC000182,SVC000183,SVC000184,SVC000185,SVC000186,SVC000187,SVC000188,SVC000189,SVC000190,SVC000191,SVC000192,SVC000193,SVC000194,SVC000195,SVC000196,SVC000197,SVC000198,SVC000199,SVC000200,SVC000201,SVC000202,SVC000203,SVC000204,SVC000205,SVC000206,SVC000207,SVC000208,SVC000209,SVC000210,SVC000211,SVC000212,SVC000213,SVC000214,SVC000215,SVC000216,SVC000217,SVC000218,SVC000219,SVC000220,SVC000221,SVC000222,SVC000223,SVC000224,SVC000225,SVC000226,SVC000227,SVC000228,SVC000229,SVC000230,SVC000231,SVC000232,SVC000233,SVC000234,SVC000235,SVC000236,SVC000237,SVC000238,SVC000239,SVC000240,SVC000241,SVC000242,SVC000243,SVC000244,SVC000245,SVC000246,SVC000247,SVC000248,SVC000249,SVC000250,SVC000251,SVC000252,SVC000253,SVC000254,SVC000255,SVC000256,SVC000257,SVC000258,SVC000259,SVC000260,SVC000261,SVC000262,SVC000263,SVC000264,SVC000265,SVC000266,SVC000267,SVC000268,SVC000269,SVC000270,SVC000271,SVC000272,SVC000273,SVC000274,SVC000275,SVC000276,SVC000277,SVC000278,SVC000279,SVC000280,SVC000281,SVC000282,SVC000283,SVC000284,SVC000285,SVC000286,SVC000287,SVC000288,SVC000289,SVC000290,SVC000291,SVC000292,SVC000293,SVC000294,SVC000295,SVC000296,SVC000297,SVC000298,SVC000299,SVC000300,SVC000301,SVC000302,SVC000303,SVC000304,SVC000305,SVC000306,SVC000307,SVC000308,SVC000309,SVC000310,SVC000311,SVC000312,SVC000313,SVC000314"</x:formula1>
    </x:dataValidation>
    <x:dataValidation type="list" sqref="E2:E16">
      <x:formula1>"SVC000001,SVC000002,SVC000003,SVC000004,SVC000005,SVC000006,SVC000007,SVC000008,SVC000009,SVC000010,SVC000011,SVC000012,SVC000013,SVC000014,SVC000015,SVC000016,SVC000017,SVC000018,SVC000019,SVC000020,SVC000021,SVC000022,SVC000023,SVC000024,SVC000025,SVC000026,SVC000027,SVC000028,SVC000029,SVC000030,SVC000031,SVC000032,SVC000033,SVC000034,SVC000035,SVC000036,SVC000037,SVC000038,SVC000039,SVC000040,SVC000041,SVC000042,SVC000043,SVC000044,SVC000045,SVC000046,SVC000047,SVC000048,SVC000049,SVC000050,SVC000051,SVC000052,SVC000053,SVC000054,SVC000055,SVC000056,SVC000057,SVC000058,SVC000059,SVC000060,SVC000061,SVC000062,SVC000063,SVC000064,SVC000065,SVC000066,SVC000067,SVC000068,SVC000069,SVC000070,SVC000071,SVC000072,SVC000073,SVC000074,SVC000075,SVC000076,SVC000077,SVC000078,SVC000079,SVC000080,SVC000081,SVC000082,SVC000083,SVC000084,SVC000085,SVC000086,SVC000087,SVC000088,SVC000089,SVC000090,SVC000091,SVC000092,SVC000093,SVC000094,SVC000095,SVC000096,SVC000097,SVC000098,SVC000099,SVC000100,SVC000101,SVC000102,SVC000103,SVC000104,SVC000105,SVC000106,SVC000107,SVC000108,SVC000109,SVC000110,SVC000111,SVC000112,SVC000113,SVC000114,SVC000115,SVC000116,SVC000117,SVC000118,SVC000119,SVC000120,SVC000121,SVC000122,SVC000123,SVC000124,SVC000125,SVC000126,SVC000127,SVC000128,SVC000129,SVC000130,SVC000131,SVC000132,SVC000133,SVC000134,SVC000135,SVC000136,SVC000137,SVC000138,SVC000139,SVC000140,SVC000141,SVC000142,SVC000143,SVC000144,SVC000145,SVC000146,SVC000147,SVC000148,SVC000149,SVC000150,SVC000151,SVC000152,SVC000153,SVC000154,SVC000155,SVC000156,SVC000157,SVC000158,SVC000159,SVC000160,SVC000161,SVC000162,SVC000163,SVC000164,SVC000165,SVC000166,SVC000167,SVC000168,SVC000169,SVC000170,SVC000171,SVC000172,SVC000173,SVC000174,SVC000175,SVC000176,SVC000177,SVC000178,SVC000179,SVC000180,SVC000181,SVC000182,SVC000183,SVC000184,SVC000185,SVC000186,SVC000187,SVC000188,SVC000189,SVC000190,SVC000191,SVC000192,SVC000193,SVC000194,SVC000195,SVC000196,SVC000197,SVC000198,SVC000199,SVC000200,SVC000201,SVC000202,SVC000203,SVC000204,SVC000205,SVC000206,SVC000207,SVC000208,SVC000209,SVC000210,SVC000211,SVC000212,SVC000213,SVC000214,SVC000215,SVC000216,SVC000217,SVC000218,SVC000219,SVC000220,SVC000221,SVC000222,SVC000223,SVC000224,SVC000225,SVC000226,SVC000227,SVC000228,SVC000229,SVC000230,SVC000231,SVC000232,SVC000233,SVC000234,SVC000235,SVC000236,SVC000237,SVC000238,SVC000239,SVC000240,SVC000241,SVC000242,SVC000243,SVC000244,SVC000245,SVC000246,SVC000247,SVC000248,SVC000249,SVC000250,SVC000251,SVC000252,SVC000253,SVC000254,SVC000255,SVC000256,SVC000257,SVC000258,SVC000259,SVC000260,SVC000261,SVC000262,SVC000263,SVC000264,SVC000265,SVC000266,SVC000267,SVC000268,SVC000269,SVC000270,SVC000271,SVC000272,SVC000273,SVC000274,SVC000275,SVC000276,SVC000277,SVC000278,SVC000279,SVC000280,SVC000281,SVC000282,SVC000283,SVC000284,SVC000285,SVC000286,SVC000287,SVC000288,SVC000289,SVC000290,SVC000291,SVC000292,SVC000293,SVC000294,SVC000295,SVC000296,SVC000297,SVC000298,SVC000299,SVC000300,SVC000301,SVC000302,SVC000303,SVC000304,SVC000305,SVC000306,SVC000307,SVC000308,SVC000309,SVC000310,SVC000311,SVC000312,SVC000313,SVC000314"</x:formula1>
    </x:dataValidation>
    <x:dataValidation type="list" sqref="G2:G16">
      <x:formula1>"SVC000001,SVC000002,SVC000003,SVC000004,SVC000005,SVC000006,SVC000007,SVC000008,SVC000009,SVC000010,SVC000011,SVC000012,SVC000013,SVC000014,SVC000015,SVC000016,SVC000017,SVC000018,SVC000019,SVC000020,SVC000021,SVC000022,SVC000023,SVC000024,SVC000025,SVC000026,SVC000027,SVC000028,SVC000029,SVC000030,SVC000031,SVC000032,SVC000033,SVC000034,SVC000035,SVC000036,SVC000037,SVC000038,SVC000039,SVC000040,SVC000041,SVC000042,SVC000043,SVC000044,SVC000045,SVC000046,SVC000047,SVC000048,SVC000049,SVC000050,SVC000051,SVC000052,SVC000053,SVC000054,SVC000055,SVC000056,SVC000057,SVC000058,SVC000059,SVC000060,SVC000061,SVC000062,SVC000063,SVC000064,SVC000065,SVC000066,SVC000067,SVC000068,SVC000069,SVC000070,SVC000071,SVC000072,SVC000073,SVC000074,SVC000075,SVC000076,SVC000077,SVC000078,SVC000079,SVC000080,SVC000081,SVC000082,SVC000083,SVC000084,SVC000085,SVC000086,SVC000087,SVC000088,SVC000089,SVC000090,SVC000091,SVC000092,SVC000093,SVC000094,SVC000095,SVC000096,SVC000097,SVC000098,SVC000099,SVC000100,SVC000101,SVC000102,SVC000103,SVC000104,SVC000105,SVC000106,SVC000107,SVC000108,SVC000109,SVC000110,SVC000111,SVC000112,SVC000113,SVC000114,SVC000115,SVC000116,SVC000117,SVC000118,SVC000119,SVC000120,SVC000121,SVC000122,SVC000123,SVC000124,SVC000125,SVC000126,SVC000127,SVC000128,SVC000129,SVC000130,SVC000131,SVC000132,SVC000133,SVC000134,SVC000135,SVC000136,SVC000137,SVC000138,SVC000139,SVC000140,SVC000141,SVC000142,SVC000143,SVC000144,SVC000145,SVC000146,SVC000147,SVC000148,SVC000149,SVC000150,SVC000151,SVC000152,SVC000153,SVC000154,SVC000155,SVC000156,SVC000157,SVC000158,SVC000159,SVC000160,SVC000161,SVC000162,SVC000163,SVC000164,SVC000165,SVC000166,SVC000167,SVC000168,SVC000169,SVC000170,SVC000171,SVC000172,SVC000173,SVC000174,SVC000175,SVC000176,SVC000177,SVC000178,SVC000179,SVC000180,SVC000181,SVC000182,SVC000183,SVC000184,SVC000185,SVC000186,SVC000187,SVC000188,SVC000189,SVC000190,SVC000191,SVC000192,SVC000193,SVC000194,SVC000195,SVC000196,SVC000197,SVC000198,SVC000199,SVC000200,SVC000201,SVC000202,SVC000203,SVC000204,SVC000205,SVC000206,SVC000207,SVC000208,SVC000209,SVC000210,SVC000211,SVC000212,SVC000213,SVC000214,SVC000215,SVC000216,SVC000217,SVC000218,SVC000219,SVC000220,SVC000221,SVC000222,SVC000223,SVC000224,SVC000225,SVC000226,SVC000227,SVC000228,SVC000229,SVC000230,SVC000231,SVC000232,SVC000233,SVC000234,SVC000235,SVC000236,SVC000237,SVC000238,SVC000239,SVC000240,SVC000241,SVC000242,SVC000243,SVC000244,SVC000245,SVC000246,SVC000247,SVC000248,SVC000249,SVC000250,SVC000251,SVC000252,SVC000253,SVC000254,SVC000255,SVC000256,SVC000257,SVC000258,SVC000259,SVC000260,SVC000261,SVC000262,SVC000263,SVC000264,SVC000265,SVC000266,SVC000267,SVC000268,SVC000269,SVC000270,SVC000271,SVC000272,SVC000273,SVC000274,SVC000275,SVC000276,SVC000277,SVC000278,SVC000279,SVC000280,SVC000281,SVC000282,SVC000283,SVC000284,SVC000285,SVC000286,SVC000287,SVC000288,SVC000289,SVC000290,SVC000291,SVC000292,SVC000293,SVC000294,SVC000295,SVC000296,SVC000297,SVC000298,SVC000299,SVC000300,SVC000301,SVC000302,SVC000303,SVC000304,SVC000305,SVC000306,SVC000307,SVC000308,SVC000309,SVC000310,SVC000311,SVC000312,SVC000313,SVC000314"</x:formula1>
    </x:dataValidation>
    <x:dataValidation type="list" sqref="H2:H16">
      <x:formula1>"SVC000001,SVC000002,SVC000003,SVC000004,SVC000005,SVC000006,SVC000007,SVC000008,SVC000009,SVC000010,SVC000011,SVC000012,SVC000013,SVC000014,SVC000015,SVC000016,SVC000017,SVC000018,SVC000019,SVC000020,SVC000021,SVC000022,SVC000023,SVC000024,SVC000025,SVC000026,SVC000027,SVC000028,SVC000029,SVC000030,SVC000031,SVC000032,SVC000033,SVC000034,SVC000035,SVC000036,SVC000037,SVC000038,SVC000039,SVC000040,SVC000041,SVC000042,SVC000043,SVC000044,SVC000045,SVC000046,SVC000047,SVC000048,SVC000049,SVC000050,SVC000051,SVC000052,SVC000053,SVC000054,SVC000055,SVC000056,SVC000057,SVC000058,SVC000059,SVC000060,SVC000061,SVC000062,SVC000063,SVC000064,SVC000065,SVC000066,SVC000067,SVC000068,SVC000069,SVC000070,SVC000071,SVC000072,SVC000073,SVC000074,SVC000075,SVC000076,SVC000077,SVC000078,SVC000079,SVC000080,SVC000081,SVC000082,SVC000083,SVC000084,SVC000085,SVC000086,SVC000087,SVC000088,SVC000089,SVC000090,SVC000091,SVC000092,SVC000093,SVC000094,SVC000095,SVC000096,SVC000097,SVC000098,SVC000099,SVC000100,SVC000101,SVC000102,SVC000103,SVC000104,SVC000105,SVC000106,SVC000107,SVC000108,SVC000109,SVC000110,SVC000111,SVC000112,SVC000113,SVC000114,SVC000115,SVC000116,SVC000117,SVC000118,SVC000119,SVC000120,SVC000121,SVC000122,SVC000123,SVC000124,SVC000125,SVC000126,SVC000127,SVC000128,SVC000129,SVC000130,SVC000131,SVC000132,SVC000133,SVC000134,SVC000135,SVC000136,SVC000137,SVC000138,SVC000139,SVC000140,SVC000141,SVC000142,SVC000143,SVC000144,SVC000145,SVC000146,SVC000147,SVC000148,SVC000149,SVC000150,SVC000151,SVC000152,SVC000153,SVC000154,SVC000155,SVC000156,SVC000157,SVC000158,SVC000159,SVC000160,SVC000161,SVC000162,SVC000163,SVC000164,SVC000165,SVC000166,SVC000167,SVC000168,SVC000169,SVC000170,SVC000171,SVC000172,SVC000173,SVC000174,SVC000175,SVC000176,SVC000177,SVC000178,SVC000179,SVC000180,SVC000181,SVC000182,SVC000183,SVC000184,SVC000185,SVC000186,SVC000187,SVC000188,SVC000189,SVC000190,SVC000191,SVC000192,SVC000193,SVC000194,SVC000195,SVC000196,SVC000197,SVC000198,SVC000199,SVC000200,SVC000201,SVC000202,SVC000203,SVC000204,SVC000205,SVC000206,SVC000207,SVC000208,SVC000209,SVC000210,SVC000211,SVC000212,SVC000213,SVC000214,SVC000215,SVC000216,SVC000217,SVC000218,SVC000219,SVC000220,SVC000221,SVC000222,SVC000223,SVC000224,SVC000225,SVC000226,SVC000227,SVC000228,SVC000229,SVC000230,SVC000231,SVC000232,SVC000233,SVC000234,SVC000235,SVC000236,SVC000237,SVC000238,SVC000239,SVC000240,SVC000241,SVC000242,SVC000243,SVC000244,SVC000245,SVC000246,SVC000247,SVC000248,SVC000249,SVC000250,SVC000251,SVC000252,SVC000253,SVC000254,SVC000255,SVC000256,SVC000257,SVC000258,SVC000259,SVC000260,SVC000261,SVC000262,SVC000263,SVC000264,SVC000265,SVC000266,SVC000267,SVC000268,SVC000269,SVC000270,SVC000271,SVC000272,SVC000273,SVC000274,SVC000275,SVC000276,SVC000277,SVC000278,SVC000279,SVC000280,SVC000281,SVC000282,SVC000283,SVC000284,SVC000285,SVC000286,SVC000287,SVC000288,SVC000289,SVC000290,SVC000291,SVC000292,SVC000293,SVC000294,SVC000295,SVC000296,SVC000297,SVC000298,SVC000299,SVC000300,SVC000301,SVC000302,SVC000303,SVC000304,SVC000305,SVC000306,SVC000307,SVC000308,SVC000309,SVC000310,SVC000311,SVC000312,SVC000313,SVC000314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f5875fc71374024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.130001068115234" hidden="0" customWidth="1"/>
    <x:col min="2" max="2" width="7.880000114440918" hidden="0" customWidth="1"/>
    <x:col min="3" max="3" width="66.87999725341797" hidden="0" customWidth="1"/>
  </x:cols>
  <x:sheetData>
    <x:row r="1">
      <x:c r="A1" s="5" t="str">
        <x:v>Validation Gate</x:v>
      </x:c>
      <x:c r="B1" s="5" t="str">
        <x:v>Result</x:v>
      </x:c>
      <x:c r="C1" s="5" t="str">
        <x:v>Details</x:v>
      </x:c>
    </x:row>
    <x:row r="2">
      <x:c r="A2" s="6" t="str">
        <x:v>Runtime gate - load_workspace_dependencies</x:v>
      </x:c>
      <x:c r="B2" s="6" t="str">
        <x:v>PASS</x:v>
      </x:c>
      <x:c r="C2" s="6" t="str">
        <x:v>Managed dependencies available.</x:v>
      </x:c>
    </x:row>
    <x:row r="3">
      <x:c r="A3" s="6" t="str">
        <x:v>Runtime gate - artifact-tool import</x:v>
      </x:c>
      <x:c r="B3" s="6" t="str">
        <x:v>PASS</x:v>
      </x:c>
      <x:c r="C3" s="6" t="str">
        <x:v>Loaded through managed Node dependency loader; no npm install or substitute library used.</x:v>
      </x:c>
    </x:row>
    <x:row r="4">
      <x:c r="A4" s="6" t="str">
        <x:v>Duplicate groups included</x:v>
      </x:c>
      <x:c r="B4" s="6" t="str">
        <x:v>PASS</x:v>
      </x:c>
      <x:c r="C4" s="6" t="str">
        <x:v>15</x:v>
      </x:c>
    </x:row>
    <x:row r="5">
      <x:c r="A5" s="6" t="str">
        <x:v>Decision rows</x:v>
      </x:c>
      <x:c r="B5" s="6" t="str">
        <x:v>PASS</x:v>
      </x:c>
      <x:c r="C5" s="6" t="str">
        <x:v>15</x:v>
      </x:c>
    </x:row>
    <x:row r="6">
      <x:c r="A6" s="6" t="str">
        <x:v>Group members included</x:v>
      </x:c>
      <x:c r="B6" s="6" t="str">
        <x:v>PASS</x:v>
      </x:c>
      <x:c r="C6" s="6" t="str">
        <x:v>38</x:v>
      </x:c>
    </x:row>
    <x:row r="7">
      <x:c r="A7" s="6" t="str">
        <x:v>Service IDs exist</x:v>
      </x:c>
      <x:c r="B7" s="6" t="str">
        <x:v>PASS</x:v>
      </x:c>
      <x:c r="C7" s="6" t="str">
        <x:v>Every group member Service ID exists in Services Registry.</x:v>
      </x:c>
    </x:row>
    <x:row r="8">
      <x:c r="A8" s="6" t="str">
        <x:v>Evidence rows traceable</x:v>
      </x:c>
      <x:c r="B8" s="6" t="str">
        <x:v>PASS</x:v>
      </x:c>
      <x:c r="C8" s="6" t="str">
        <x:v>76 traceable rows.</x:v>
      </x:c>
    </x:row>
    <x:row r="9">
      <x:c r="A9" s="6" t="str">
        <x:v>Dropdown validations</x:v>
      </x:c>
      <x:c r="B9" s="6" t="str">
        <x:v>PASS</x:v>
      </x:c>
      <x:c r="C9" s="6" t="str">
        <x:v>Required decision, approval, escalation, import, priority, and Service ID controls applied.</x:v>
      </x:c>
    </x:row>
    <x:row r="10">
      <x:c r="A10" s="6" t="str">
        <x:v>Approval fields</x:v>
      </x:c>
      <x:c r="B10" s="6" t="str">
        <x:v>PASS</x:v>
      </x:c>
      <x:c r="C10" s="6" t="str">
        <x:v>Approver names/dates blank; approval statuses Pending.</x:v>
      </x:c>
    </x:row>
    <x:row r="11">
      <x:c r="A11" s="6" t="str">
        <x:v>Import/production/pricing</x:v>
      </x:c>
      <x:c r="B11" s="6" t="str">
        <x:v>PASS</x:v>
      </x:c>
      <x:c r="C11" s="6" t="str">
        <x:v>Import Not Eligible; production/pricing Prohibited.</x:v>
      </x:c>
    </x:row>
    <x:row r="12">
      <x:c r="A12" s="6" t="str">
        <x:v>No merge/retirement executed</x:v>
      </x:c>
      <x:c r="B12" s="6" t="str">
        <x:v>PASS</x:v>
      </x:c>
      <x:c r="C12" s="6" t="str">
        <x:v>Workbook captures proposals only.</x:v>
      </x:c>
    </x:row>
    <x:row r="13">
      <x:c r="A13" s="6" t="str">
        <x:v>Dashboard formulas reconcile</x:v>
      </x:c>
      <x:c r="B13" s="6" t="str">
        <x:v>PASS</x:v>
      </x:c>
      <x:c r="C13" s="6" t="str">
        <x:v>Dashboard formulas reference decision and summary sheets.</x:v>
      </x:c>
    </x:row>
    <x:row r="14">
      <x:c r="A14" s="6" t="str">
        <x:v>Formula error search</x:v>
      </x:c>
      <x:c r="B14" s="6" t="str">
        <x:v>PASS</x:v>
      </x:c>
      <x:c r="C14" s="6" t="str">
        <x:v>No formula error matches found.</x:v>
      </x:c>
    </x:row>
    <x:row r="15">
      <x:c r="A15" s="6" t="str">
        <x:v>Source hashes unchanged</x:v>
      </x:c>
      <x:c r="B15" s="6" t="str">
        <x:v>PASS</x:v>
      </x:c>
      <x:c r="C15" s="6" t="str">
        <x:v>Pre/post source hashes match.</x:v>
      </x:c>
    </x:row>
  </x:sheetData>
  <x:pageMargins left="0.7" right="0.7" top="0.75" bottom="0.75" header="0.3" footer="0.3"/>
  <x:tableParts count="1">
    <x:tablePart xmlns:r="http://schemas.openxmlformats.org/officeDocument/2006/relationships" r:id="Re2afdf0e1cb54ac9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.75" hidden="0" customWidth="1"/>
    <x:col min="2" max="2" width="10.130000114440918" hidden="0" customWidth="1"/>
    <x:col min="3" max="3" width="8.25" hidden="0" customWidth="1"/>
    <x:col min="4" max="4" width="56.5" hidden="0" customWidth="1"/>
  </x:cols>
  <x:sheetData>
    <x:row r="1">
      <x:c r="A1" s="5" t="str">
        <x:v>Version</x:v>
      </x:c>
      <x:c r="B1" s="5" t="str">
        <x:v>Date UTC</x:v>
      </x:c>
      <x:c r="C1" s="5" t="str">
        <x:v>Author</x:v>
      </x:c>
      <x:c r="D1" s="5" t="str">
        <x:v>Change</x:v>
      </x:c>
    </x:row>
    <x:row r="2">
      <x:c r="A2" s="6" t="str">
        <x:v>v0.1 Draft</x:v>
      </x:c>
      <x:c r="B2" s="6" t="n">
        <x:v>46228.083152708336</x:v>
      </x:c>
      <x:c r="C2" s="6" t="str">
        <x:v>Codex</x:v>
      </x:c>
      <x:c r="D2" s="6" t="str">
        <x:v>Created duplicate decision capture workbook from Phase 4C duplicate queue.</x:v>
      </x:c>
    </x:row>
  </x:sheetData>
  <x:pageMargins left="0.7" right="0.7" top="0.75" bottom="0.75" header="0.3" footer="0.3"/>
  <x:tableParts count="1">
    <x:tablePart xmlns:r="http://schemas.openxmlformats.org/officeDocument/2006/relationships" r:id="Ra12dc0510878401e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.3799991607666" hidden="0" customWidth="1"/>
    <x:col min="2" max="2" width="61.25" hidden="0" customWidth="1"/>
    <x:col min="3" max="3" width="85.75" hidden="0" customWidth="1"/>
  </x:cols>
  <x:sheetData>
    <x:row r="1">
      <x:c r="A1" s="5" t="str">
        <x:v>Field</x:v>
      </x:c>
      <x:c r="B1" s="5" t="str">
        <x:v>Value</x:v>
      </x:c>
      <x:c r="C1" s="5" t="str">
        <x:v>Notes</x:v>
      </x:c>
    </x:row>
    <x:row r="2">
      <x:c r="A2" s="6" t="str">
        <x:v>Draft Status</x:v>
      </x:c>
      <x:c r="B2" s="6" t="str">
        <x:v>Draft / Manual Review Required</x:v>
      </x:c>
      <x:c r="C2" s="12" t="str"/>
    </x:row>
    <x:row r="3">
      <x:c r="A3" s="6" t="str">
        <x:v>Artifact Tool Version</x:v>
      </x:c>
      <x:c r="B3" s="6" t="str">
        <x:v>2.8.24</x:v>
      </x:c>
      <x:c r="C3" s="12" t="str">
        <x:v>Managed dependency loader.</x:v>
      </x:c>
    </x:row>
    <x:row r="4">
      <x:c r="A4" s="6" t="str">
        <x:v>Import Eligibility</x:v>
      </x:c>
      <x:c r="B4" s="6" t="str">
        <x:v>Not Eligible</x:v>
      </x:c>
      <x:c r="C4" s="12" t="str"/>
    </x:row>
    <x:row r="5">
      <x:c r="A5" s="6" t="str">
        <x:v>Production Eligibility</x:v>
      </x:c>
      <x:c r="B5" s="6" t="str">
        <x:v>Prohibited</x:v>
      </x:c>
      <x:c r="C5" s="12" t="str"/>
    </x:row>
    <x:row r="6">
      <x:c r="A6" s="6" t="str">
        <x:v>Pricing Eligibility</x:v>
      </x:c>
      <x:c r="B6" s="6" t="str">
        <x:v>Prohibited</x:v>
      </x:c>
      <x:c r="C6" s="12" t="str"/>
    </x:row>
    <x:row r="7">
      <x:c r="A7" s="6" t="str">
        <x:v>Source SHA-256: Manufacturer Registry</x:v>
      </x:c>
      <x:c r="B7" s="6" t="str">
        <x:v>24A26319432D919C8D14B4B44377FB3826D7282657347D7283E90A73635412B9</x:v>
      </x:c>
      <x:c r="C7" s="12" t="str">
        <x:v>D:/Business Portal/100_Master_Data/Manufacturers/Nocturnix_Manufacturer_Registry_v0.1_Draft.xlsx</x:v>
      </x:c>
    </x:row>
    <x:row r="8">
      <x:c r="A8" s="6" t="str">
        <x:v>Source SHA-256: Device Registry</x:v>
      </x:c>
      <x:c r="B8" s="6" t="str">
        <x:v>B43DD38C8897E3665605F039591A0CFFFD3554FA1F3144A242A0FFD7971D9D9A</x:v>
      </x:c>
      <x:c r="C8" s="12" t="str">
        <x:v>D:/Business Portal/100_Master_Data/Devices/Nocturnix_Device_Registry_v0.1_Draft.xlsx</x:v>
      </x:c>
    </x:row>
    <x:row r="9">
      <x:c r="A9" s="6" t="str">
        <x:v>Source SHA-256: Parts Registry</x:v>
      </x:c>
      <x:c r="B9" s="6" t="str">
        <x:v>EEA22D165381546F92D43D6CB93E86A95D7539C0BE97B69B252A2E8E2EE56FBB</x:v>
      </x:c>
      <x:c r="C9" s="12" t="str">
        <x:v>D:/Business Portal/100_Master_Data/Parts/Nocturnix_Parts_Registry_v0.1_Draft.xlsx</x:v>
      </x:c>
    </x:row>
    <x:row r="10">
      <x:c r="A10" s="6" t="str">
        <x:v>Source SHA-256: Phase 4 Services Registry</x:v>
      </x:c>
      <x:c r="B10" s="6" t="str">
        <x:v>0DA12582EA01BB5BC37B8126098B5359CDC45077C9B9B9C89FD50EC6387852E3</x:v>
      </x:c>
      <x:c r="C10" s="12" t="str">
        <x:v>D:/Business Portal/100_Master_Data/Services/Nocturnix_Services_Registry_v0.1_Draft.xlsx</x:v>
      </x:c>
    </x:row>
    <x:row r="11">
      <x:c r="A11" s="6" t="str">
        <x:v>Source SHA-256: Phase 4A Remediation</x:v>
      </x:c>
      <x:c r="B11" s="6" t="str">
        <x:v>3A4CF9ABE3BD954D93C50094AB08D53ADB64FAE143AFC7AB7DBD312245B15EF7</x:v>
      </x:c>
      <x:c r="C11" s="12" t="str">
        <x:v>D:/Business Portal/100_Master_Data/Services/Remediation/Nocturnix_Services_Registry_Remediation_v0.1_Draft.xlsx</x:v>
      </x:c>
    </x:row>
    <x:row r="12">
      <x:c r="A12" s="6" t="str">
        <x:v>Source SHA-256: Phase 4B Review Pack</x:v>
      </x:c>
      <x:c r="B12" s="6" t="str">
        <x:v>01830AEE1271593101F4188ED06C86C01A2FCF5DBBF7BD3432DF7DB12940FCC9</x:v>
      </x:c>
      <x:c r="C12" s="12" t="str">
        <x:v>D:/Business Portal/100_Master_Data/Services/Review/Nocturnix_Service_Governance_Review_Pack_v0.1_Draft.xlsx</x:v>
      </x:c>
    </x:row>
    <x:row r="13">
      <x:c r="A13" s="6" t="str">
        <x:v>Source SHA-256: Phase 4C Execution Pack</x:v>
      </x:c>
      <x:c r="B13" s="6" t="str">
        <x:v>31AFD8E03A916C0FE36448DA30892AA552CF5B8959D7624C2A3CD79F794C8CA9</x:v>
      </x:c>
      <x:c r="C13" s="12" t="str">
        <x:v>D:/Business Portal/100_Master_Data/Services/Review/Execution/Nocturnix_Service_Review_Execution_v0.1_Draft.xlsx</x:v>
      </x:c>
    </x:row>
  </x:sheetData>
  <x:pageMargins left="0.7" right="0.7" top="0.75" bottom="0.75" header="0.3" footer="0.3"/>
  <x:tableParts count="1">
    <x:tablePart xmlns:r="http://schemas.openxmlformats.org/officeDocument/2006/relationships" r:id="R003e0cf922b84487"/>
  </x:tableParts>
</x:worksheet>
</file>